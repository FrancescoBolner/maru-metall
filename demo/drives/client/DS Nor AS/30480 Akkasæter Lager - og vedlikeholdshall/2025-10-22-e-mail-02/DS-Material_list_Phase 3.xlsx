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klaStructuresModels\30480\Reports\"/>
    </mc:Choice>
  </mc:AlternateContent>
  <xr:revisionPtr revIDLastSave="0" documentId="8_{ABB7682E-98D1-480F-B61F-9758F39A3A7F}" xr6:coauthVersionLast="47" xr6:coauthVersionMax="47" xr10:uidLastSave="{00000000-0000-0000-0000-000000000000}"/>
  <bookViews>
    <workbookView xWindow="2670" yWindow="2835" windowWidth="21600" windowHeight="13185" xr2:uid="{46B05B14-075D-4CBD-8864-107612976492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 a="1"/>
  <c r="A5" i="2" s="1"/>
  <c r="A4" i="2" a="1"/>
  <c r="A4" i="2" s="1"/>
  <c r="G3" i="2" a="1"/>
  <c r="G3" i="2" s="1"/>
  <c r="G2" i="2" a="1"/>
  <c r="G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<sst xmlns="http://schemas.openxmlformats.org/spreadsheetml/2006/main" count="135" uniqueCount="61">
  <si>
    <t> Project Number: </t>
  </si>
  <si>
    <t> Rev. </t>
  </si>
  <si>
    <t> Total </t>
  </si>
  <si>
    <t> Project </t>
  </si>
  <si>
    <t>Akkasæter Lager- ***  </t>
  </si>
  <si>
    <t> Rev. date </t>
  </si>
  <si>
    <t> EXC </t>
  </si>
  <si>
    <t>EXC 2  </t>
  </si>
  <si>
    <t> Date</t>
  </si>
  <si>
    <t>22.10.2025  </t>
  </si>
  <si>
    <t> Sent by</t>
  </si>
  <si>
    <t>peh  </t>
  </si>
  <si>
    <t> Drafter</t>
  </si>
  <si>
    <t>ZLL  </t>
  </si>
  <si>
    <t>Profile  </t>
  </si>
  <si>
    <t>Material  </t>
  </si>
  <si>
    <t>Quantity  </t>
  </si>
  <si>
    <t>L [mm]  </t>
  </si>
  <si>
    <t>kg/pc  </t>
  </si>
  <si>
    <t>Sum kg  </t>
  </si>
  <si>
    <t>Part pos.  </t>
  </si>
  <si>
    <t>FL5*60</t>
  </si>
  <si>
    <t>S275JR</t>
  </si>
  <si>
    <t>  F0(?)  </t>
  </si>
  <si>
    <t>Total</t>
  </si>
  <si>
    <t>FL5*90</t>
  </si>
  <si>
    <t>FL10*90</t>
  </si>
  <si>
    <t>FL10*100</t>
  </si>
  <si>
    <t>FL10*110</t>
  </si>
  <si>
    <t>FL10*120</t>
  </si>
  <si>
    <t>  l0(?)  </t>
  </si>
  <si>
    <t>IPE120</t>
  </si>
  <si>
    <t xml:space="preserve">S355J2 </t>
  </si>
  <si>
    <t>  s47(?)  </t>
  </si>
  <si>
    <t>L100*10</t>
  </si>
  <si>
    <t>  D0(?)  </t>
  </si>
  <si>
    <t>L120*11</t>
  </si>
  <si>
    <t>  d2(?)  </t>
  </si>
  <si>
    <t>  d2  </t>
  </si>
  <si>
    <t>  d0(?)  </t>
  </si>
  <si>
    <t>  d1  </t>
  </si>
  <si>
    <t>  d17  </t>
  </si>
  <si>
    <t>RHS100X100X6</t>
  </si>
  <si>
    <t xml:space="preserve">S355J2H </t>
  </si>
  <si>
    <t>  s49  </t>
  </si>
  <si>
    <t>  s49(?)  </t>
  </si>
  <si>
    <t>  d22(?)  </t>
  </si>
  <si>
    <t>  d22  </t>
  </si>
  <si>
    <t>  d20  </t>
  </si>
  <si>
    <t>  s48(?)  </t>
  </si>
  <si>
    <t>  s48  </t>
  </si>
  <si>
    <t>  s51  </t>
  </si>
  <si>
    <t>  d23  </t>
  </si>
  <si>
    <t>  s50  </t>
  </si>
  <si>
    <t>  s52  </t>
  </si>
  <si>
    <t>  d21(?)  </t>
  </si>
  <si>
    <t>  d19  </t>
  </si>
  <si>
    <t>  d21  </t>
  </si>
  <si>
    <t>Ø168.3X4.5</t>
  </si>
  <si>
    <t>S235JR</t>
  </si>
  <si>
    <t>  s21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</si>
</sst>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 * #,##0_ ;_ * \-#,##0_ ;_ * &quot;-&quot;??_ ;_ @_ "/>
    <numFmt numFmtId="169" formatCode="[$-409]mmmm\ d\,\ yyyy;@"/>
  </numFmts>
  <fonts count="24">
    <font>
      <sz val="10"/>
      <color theme="1"/>
      <name val="Bookman Old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8B"/>
      <name val="Bookman Old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8B"/>
      <name val="Arial"/>
      <family val="2"/>
    </font>
    <font>
      <sz val="10"/>
      <color rgb="FFFFFFFF"/>
      <name val="Arial"/>
      <family val="2"/>
    </font>
    <font>
      <b/>
      <sz val="10"/>
      <color rgb="FF00008B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horizontal="left"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18" fillId="0" borderId="0" xfId="0" applyFont="1">
      <alignment horizontal="left" vertical="center"/>
    </xf>
    <xf numFmtId="0" fontId="18" fillId="33" borderId="0" xfId="0" applyFont="1" applyFill="1">
      <alignment horizontal="left" vertical="center"/>
    </xf>
    <xf numFmtId="0" fontId="19" fillId="33" borderId="10" xfId="0" applyFont="1" applyFill="1" applyBorder="1" applyAlignment="1">
      <alignment horizontal="left" vertical="center" wrapText="1"/>
    </xf>
    <xf numFmtId="0" fontId="20" fillId="33" borderId="10" xfId="0" applyFont="1" applyFill="1" applyBorder="1" applyAlignment="1">
      <alignment horizontal="left" vertical="center" wrapText="1"/>
    </xf>
    <xf numFmtId="0" fontId="19" fillId="33" borderId="11" xfId="0" applyFont="1" applyFill="1" applyBorder="1" applyAlignment="1">
      <alignment horizontal="left" vertical="center" wrapText="1"/>
    </xf>
    <xf numFmtId="168" fontId="20" fillId="33" borderId="11" xfId="0" applyNumberFormat="1" applyFont="1" applyFill="1" applyBorder="1" applyAlignment="1">
      <alignment horizontal="right" vertical="center" wrapText="1"/>
    </xf>
    <xf numFmtId="0" fontId="21" fillId="33" borderId="0" xfId="0" applyFont="1" applyFill="1" applyAlignment="1">
      <alignment horizontal="left" vertical="center" wrapText="1"/>
    </xf>
    <xf numFmtId="0" fontId="21" fillId="33" borderId="12" xfId="0" applyFont="1" applyFill="1" applyBorder="1" applyAlignment="1">
      <alignment horizontal="left" vertical="center" wrapText="1"/>
    </xf>
    <xf numFmtId="0" fontId="21" fillId="33" borderId="10" xfId="0" applyFont="1" applyFill="1" applyBorder="1" applyAlignment="1">
      <alignment horizontal="left" vertical="center" wrapText="1"/>
    </xf>
    <xf numFmtId="169" fontId="20" fillId="33" borderId="10" xfId="0" applyNumberFormat="1" applyFont="1" applyFill="1" applyBorder="1" applyAlignment="1">
      <alignment horizontal="left" vertical="center" wrapText="1"/>
    </xf>
    <xf numFmtId="0" fontId="22" fillId="33" borderId="0" xfId="0" applyFont="1" applyFill="1" applyAlignment="1">
      <alignment horizontal="left" vertical="center" wrapText="1"/>
    </xf>
    <xf numFmtId="0" fontId="20" fillId="33" borderId="14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21" fillId="33" borderId="10" xfId="0" applyFont="1" applyFill="1" applyBorder="1" applyAlignment="1">
      <alignment horizontal="center" vertical="center" wrapText="1"/>
    </xf>
    <xf numFmtId="168" fontId="20" fillId="33" borderId="10" xfId="0" applyNumberFormat="1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right" vertical="center" wrapText="1"/>
    </xf>
    <xf numFmtId="0" fontId="21" fillId="33" borderId="0" xfId="0" applyFont="1" applyFill="1" applyAlignment="1">
      <alignment horizontal="center" vertical="center" wrapText="1"/>
    </xf>
    <xf numFmtId="0" fontId="23" fillId="33" borderId="10" xfId="0" applyFont="1" applyFill="1" applyBorder="1" applyAlignment="1">
      <alignment horizontal="right" vertical="center" wrapText="1"/>
    </xf>
    <xf numFmtId="0" fontId="21" fillId="33" borderId="12" xfId="0" applyFont="1" applyFill="1" applyBorder="1" applyAlignment="1">
      <alignment horizontal="right" vertical="center" wrapText="1"/>
    </xf>
    <xf numFmtId="0" fontId="21" fillId="33" borderId="12" xfId="0" applyFont="1" applyFill="1" applyBorder="1" applyAlignment="1">
      <alignment horizontal="center" vertical="center" wrapText="1"/>
    </xf>
    <xf numFmtId="168" fontId="20" fillId="33" borderId="12" xfId="0" applyNumberFormat="1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33" borderId="0" xfId="0" applyFont="1" applyFill="1">
      <alignment horizontal="left" vertical="center"/>
    </xf>
    <xf numFmtId="0" fontId="18" fillId="33" borderId="0" xfId="0" applyFont="1" applyFill="1">
      <alignment horizontal="left" vertical="center"/>
    </xf>
    <xf numFmtId="0" fontId="22" fillId="33" borderId="13" xfId="0" applyFont="1" applyFill="1" applyBorder="1" applyAlignment="1">
      <alignment horizontal="left" vertical="center" wrapText="1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6E9F9-3382-46A2-BE28-04C38A234A76}">
  <dimension ref="A1:G64"/>
  <sheetViews>
    <sheetView tabSelected="1" workbookViewId="0">
      <selection activeCell="L17" sqref="L17"/>
    </sheetView>
  </sheetViews>
  <sheetFormatPr baseColWidth="10" defaultRowHeight="12.75"/>
  <cols>
    <col min="1" max="1" width="17" style="1" bestFit="1" customWidth="1"/>
    <col min="2" max="2" width="20.85546875" style="1" bestFit="1" customWidth="1"/>
    <col min="3" max="3" width="10.7109375" style="1" bestFit="1" customWidth="1"/>
    <col min="4" max="4" width="8.42578125" style="1" bestFit="1" customWidth="1"/>
    <col min="5" max="5" width="7.7109375" style="1" bestFit="1" customWidth="1"/>
    <col min="6" max="6" width="9" style="1" bestFit="1" customWidth="1"/>
    <col min="7" max="7" width="10.140625" style="1" bestFit="1" customWidth="1"/>
    <col min="8" max="16384" width="11.42578125" style="1"/>
  </cols>
  <sheetData>
    <row r="1" spans="1:7" ht="14.25" thickTop="1" thickBot="1">
      <c r="A1" s="2" t="s">
        <v>0</v>
      </c>
      <c r="B1" s="3">
        <v>30480</v>
      </c>
      <c r="C1" s="2" t="s">
        <v>1</v>
      </c>
      <c r="D1" s="3">
        <v>0</v>
      </c>
      <c r="E1" s="4" t="s">
        <v>2</v>
      </c>
      <c r="F1" s="5">
        <v>3001.76</v>
      </c>
      <c r="G1" s="6"/>
    </row>
    <row r="2" spans="1:7" ht="13.5" thickTop="1">
      <c r="A2" s="2" t="s">
        <v>3</v>
      </c>
      <c r="B2" s="3" t="s">
        <v>4</v>
      </c>
      <c r="C2" s="2" t="s">
        <v>5</v>
      </c>
      <c r="D2" s="3"/>
      <c r="E2" s="2" t="s">
        <v>6</v>
      </c>
      <c r="F2" s="3" t="s">
        <v>7</v>
      </c>
      <c r="G2" s="25" t="e" cm="1">
        <f t="array" aca="1" ref="G2" ca="1">_xludf.LEFT(A5,_xludf.FIND("_",A5)-1)</f>
        <v>#NAME?</v>
      </c>
    </row>
    <row r="3" spans="1:7">
      <c r="A3" s="2" t="s">
        <v>8</v>
      </c>
      <c r="B3" s="9" t="s">
        <v>9</v>
      </c>
      <c r="C3" s="2" t="s">
        <v>10</v>
      </c>
      <c r="D3" s="3" t="s">
        <v>11</v>
      </c>
      <c r="E3" s="2" t="s">
        <v>12</v>
      </c>
      <c r="F3" s="3" t="s">
        <v>13</v>
      </c>
      <c r="G3" s="25" t="e" cm="1">
        <f t="array" aca="1" ref="G3" ca="1">_xludf.RIGHT(A5,_xludf.LEN(A5)-_xludf.FIND("|",_xludf.SUBSTITUTE(A5,".","|",_xludf.LEN(A5)-_xludf.LEN(_xludf.SUBSTITUTE(A5,".","")))))</f>
        <v>#NAME?</v>
      </c>
    </row>
    <row r="4" spans="1:7">
      <c r="A4" s="11" t="e" cm="1">
        <f t="array" aca="1" ref="A4" ca="1">_xludf.IF(B1="","ERROR: Project number cell (B1) shouldn't be empty", _xludf.IF(_xludf.EXACT(B1,G2),"", "ERROR: File name does not match project number"))</f>
        <v>#NAME?</v>
      </c>
      <c r="B4" s="11"/>
      <c r="C4" s="11"/>
      <c r="D4" s="11"/>
      <c r="E4" s="11"/>
    </row>
    <row r="5" spans="1:7">
      <c r="A5" s="10" t="e" cm="1">
        <f t="array" aca="1" ref="A5" ca="1">_xludf.MID(_xludf.CELL("filename",A1),_xludf.FIND("[",_xludf.CELL("filename",A1))+1,_xludf.FIND("]", _xludf.CELL("filename",A1))-_xludf.FIND("[",_xludf.CELL("filename",A1))-1)</f>
        <v>#NAME?</v>
      </c>
      <c r="B5" s="10"/>
      <c r="C5" s="10"/>
      <c r="D5" s="10"/>
      <c r="E5" s="10"/>
      <c r="F5" s="10"/>
      <c r="G5" s="10"/>
    </row>
    <row r="6" spans="1:7">
      <c r="A6" s="23"/>
      <c r="B6" s="24"/>
      <c r="C6" s="24"/>
      <c r="D6" s="24"/>
      <c r="E6" s="24"/>
      <c r="F6" s="24"/>
      <c r="G6" s="24"/>
    </row>
    <row r="7" spans="1:7">
      <c r="A7" s="12" t="s">
        <v>14</v>
      </c>
      <c r="B7" s="12" t="s">
        <v>15</v>
      </c>
      <c r="C7" s="12" t="s">
        <v>16</v>
      </c>
      <c r="D7" s="12" t="s">
        <v>17</v>
      </c>
      <c r="E7" s="12" t="s">
        <v>18</v>
      </c>
      <c r="F7" s="12" t="s">
        <v>19</v>
      </c>
      <c r="G7" s="12" t="s">
        <v>20</v>
      </c>
    </row>
    <row r="8" spans="1:7">
      <c r="A8" s="8" t="s">
        <v>21</v>
      </c>
      <c r="B8" s="13" t="s">
        <v>22</v>
      </c>
      <c r="C8" s="14">
        <v>2</v>
      </c>
      <c r="D8" s="15">
        <v>120</v>
      </c>
      <c r="E8" s="15">
        <v>0.28000000000000003</v>
      </c>
      <c r="F8" s="15">
        <v>0.56999999999999995</v>
      </c>
      <c r="G8" s="8" t="s">
        <v>23</v>
      </c>
    </row>
    <row r="9" spans="1:7">
      <c r="A9" s="3"/>
      <c r="B9" s="3" t="s">
        <v>24</v>
      </c>
      <c r="C9" s="16">
        <v>2</v>
      </c>
      <c r="D9" s="15">
        <v>240</v>
      </c>
      <c r="E9" s="3"/>
      <c r="F9" s="15">
        <v>0.56999999999999995</v>
      </c>
    </row>
    <row r="10" spans="1:7">
      <c r="A10" s="17"/>
    </row>
    <row r="11" spans="1:7">
      <c r="A11" s="8" t="s">
        <v>25</v>
      </c>
      <c r="B11" s="13" t="s">
        <v>22</v>
      </c>
      <c r="C11" s="14">
        <v>2</v>
      </c>
      <c r="D11" s="15">
        <v>90</v>
      </c>
      <c r="E11" s="15">
        <v>0.32</v>
      </c>
      <c r="F11" s="15">
        <v>0.64</v>
      </c>
      <c r="G11" s="8" t="s">
        <v>23</v>
      </c>
    </row>
    <row r="12" spans="1:7">
      <c r="A12" s="3"/>
      <c r="B12" s="3" t="s">
        <v>24</v>
      </c>
      <c r="C12" s="16">
        <v>2</v>
      </c>
      <c r="D12" s="15">
        <v>180</v>
      </c>
      <c r="E12" s="3"/>
      <c r="F12" s="15">
        <v>0.64</v>
      </c>
    </row>
    <row r="13" spans="1:7">
      <c r="A13" s="17"/>
    </row>
    <row r="14" spans="1:7">
      <c r="A14" s="8" t="s">
        <v>26</v>
      </c>
      <c r="B14" s="13" t="s">
        <v>22</v>
      </c>
      <c r="C14" s="14">
        <v>8</v>
      </c>
      <c r="D14" s="15">
        <v>108</v>
      </c>
      <c r="E14" s="15">
        <v>0.76</v>
      </c>
      <c r="F14" s="15">
        <v>6.1</v>
      </c>
      <c r="G14" s="8" t="s">
        <v>23</v>
      </c>
    </row>
    <row r="15" spans="1:7">
      <c r="A15" s="8" t="s">
        <v>26</v>
      </c>
      <c r="B15" s="13" t="s">
        <v>22</v>
      </c>
      <c r="C15" s="14">
        <v>8</v>
      </c>
      <c r="D15" s="15">
        <v>140</v>
      </c>
      <c r="E15" s="15">
        <v>0.99</v>
      </c>
      <c r="F15" s="15">
        <v>7.91</v>
      </c>
      <c r="G15" s="8" t="s">
        <v>23</v>
      </c>
    </row>
    <row r="16" spans="1:7">
      <c r="A16" s="8" t="s">
        <v>26</v>
      </c>
      <c r="B16" s="13" t="s">
        <v>22</v>
      </c>
      <c r="C16" s="14">
        <v>4</v>
      </c>
      <c r="D16" s="15">
        <v>190</v>
      </c>
      <c r="E16" s="15">
        <v>1.34</v>
      </c>
      <c r="F16" s="15">
        <v>5.37</v>
      </c>
      <c r="G16" s="8" t="s">
        <v>23</v>
      </c>
    </row>
    <row r="17" spans="1:7">
      <c r="A17" s="3"/>
      <c r="B17" s="3" t="s">
        <v>24</v>
      </c>
      <c r="C17" s="16">
        <v>20</v>
      </c>
      <c r="D17" s="15">
        <v>2744</v>
      </c>
      <c r="E17" s="3"/>
      <c r="F17" s="15">
        <v>19.39</v>
      </c>
    </row>
    <row r="18" spans="1:7">
      <c r="A18" s="17"/>
    </row>
    <row r="19" spans="1:7">
      <c r="A19" s="8" t="s">
        <v>27</v>
      </c>
      <c r="B19" s="13" t="s">
        <v>22</v>
      </c>
      <c r="C19" s="14">
        <v>2</v>
      </c>
      <c r="D19" s="15">
        <v>124</v>
      </c>
      <c r="E19" s="15">
        <v>0.98</v>
      </c>
      <c r="F19" s="15">
        <v>1.95</v>
      </c>
      <c r="G19" s="8" t="s">
        <v>23</v>
      </c>
    </row>
    <row r="20" spans="1:7">
      <c r="A20" s="3"/>
      <c r="B20" s="3" t="s">
        <v>24</v>
      </c>
      <c r="C20" s="16">
        <v>2</v>
      </c>
      <c r="D20" s="15">
        <v>248</v>
      </c>
      <c r="E20" s="3"/>
      <c r="F20" s="15">
        <v>1.95</v>
      </c>
    </row>
    <row r="21" spans="1:7">
      <c r="A21" s="17"/>
    </row>
    <row r="22" spans="1:7">
      <c r="A22" s="8" t="s">
        <v>28</v>
      </c>
      <c r="B22" s="13" t="s">
        <v>22</v>
      </c>
      <c r="C22" s="14">
        <v>4</v>
      </c>
      <c r="D22" s="15">
        <v>220</v>
      </c>
      <c r="E22" s="15">
        <v>1.9</v>
      </c>
      <c r="F22" s="15">
        <v>7.6</v>
      </c>
      <c r="G22" s="8" t="s">
        <v>23</v>
      </c>
    </row>
    <row r="23" spans="1:7">
      <c r="A23" s="8" t="s">
        <v>28</v>
      </c>
      <c r="B23" s="13" t="s">
        <v>22</v>
      </c>
      <c r="C23" s="14">
        <v>4</v>
      </c>
      <c r="D23" s="15">
        <v>250</v>
      </c>
      <c r="E23" s="15">
        <v>2.16</v>
      </c>
      <c r="F23" s="15">
        <v>8.64</v>
      </c>
      <c r="G23" s="8" t="s">
        <v>23</v>
      </c>
    </row>
    <row r="24" spans="1:7">
      <c r="A24" s="3"/>
      <c r="B24" s="3" t="s">
        <v>24</v>
      </c>
      <c r="C24" s="16">
        <v>8</v>
      </c>
      <c r="D24" s="15">
        <v>1880</v>
      </c>
      <c r="E24" s="3"/>
      <c r="F24" s="15">
        <v>16.23</v>
      </c>
    </row>
    <row r="25" spans="1:7">
      <c r="A25" s="17"/>
    </row>
    <row r="26" spans="1:7">
      <c r="A26" s="8" t="s">
        <v>29</v>
      </c>
      <c r="B26" s="13" t="s">
        <v>22</v>
      </c>
      <c r="C26" s="14">
        <v>4</v>
      </c>
      <c r="D26" s="15">
        <v>210</v>
      </c>
      <c r="E26" s="15">
        <v>1.98</v>
      </c>
      <c r="F26" s="15">
        <v>7.91</v>
      </c>
      <c r="G26" s="8" t="s">
        <v>23</v>
      </c>
    </row>
    <row r="27" spans="1:7">
      <c r="A27" s="8" t="s">
        <v>29</v>
      </c>
      <c r="B27" s="13" t="s">
        <v>22</v>
      </c>
      <c r="C27" s="14">
        <v>4</v>
      </c>
      <c r="D27" s="15">
        <v>300</v>
      </c>
      <c r="E27" s="15">
        <v>2.83</v>
      </c>
      <c r="F27" s="15">
        <v>11.3</v>
      </c>
      <c r="G27" s="8" t="s">
        <v>30</v>
      </c>
    </row>
    <row r="28" spans="1:7">
      <c r="A28" s="3"/>
      <c r="B28" s="3" t="s">
        <v>24</v>
      </c>
      <c r="C28" s="16">
        <v>8</v>
      </c>
      <c r="D28" s="15">
        <v>2040</v>
      </c>
      <c r="E28" s="3"/>
      <c r="F28" s="15">
        <v>19.22</v>
      </c>
    </row>
    <row r="29" spans="1:7">
      <c r="A29" s="17"/>
    </row>
    <row r="30" spans="1:7">
      <c r="A30" s="8" t="s">
        <v>31</v>
      </c>
      <c r="B30" s="18" t="s">
        <v>32</v>
      </c>
      <c r="C30" s="14">
        <v>4</v>
      </c>
      <c r="D30" s="15">
        <v>4720</v>
      </c>
      <c r="E30" s="15">
        <v>48.91</v>
      </c>
      <c r="F30" s="15">
        <v>195.63</v>
      </c>
      <c r="G30" s="8" t="s">
        <v>33</v>
      </c>
    </row>
    <row r="31" spans="1:7">
      <c r="A31" s="3"/>
      <c r="B31" s="3" t="s">
        <v>24</v>
      </c>
      <c r="C31" s="16">
        <v>4</v>
      </c>
      <c r="D31" s="15">
        <v>18880</v>
      </c>
      <c r="E31" s="3"/>
      <c r="F31" s="15">
        <v>195.63</v>
      </c>
    </row>
    <row r="32" spans="1:7">
      <c r="A32" s="17"/>
    </row>
    <row r="33" spans="1:7">
      <c r="A33" s="8" t="s">
        <v>34</v>
      </c>
      <c r="B33" s="13" t="s">
        <v>22</v>
      </c>
      <c r="C33" s="14">
        <v>2</v>
      </c>
      <c r="D33" s="15">
        <v>120</v>
      </c>
      <c r="E33" s="15">
        <v>1.81</v>
      </c>
      <c r="F33" s="15">
        <v>3.62</v>
      </c>
      <c r="G33" s="8" t="s">
        <v>35</v>
      </c>
    </row>
    <row r="34" spans="1:7">
      <c r="A34" s="3"/>
      <c r="B34" s="3" t="s">
        <v>24</v>
      </c>
      <c r="C34" s="16">
        <v>2</v>
      </c>
      <c r="D34" s="15">
        <v>240</v>
      </c>
      <c r="E34" s="3"/>
      <c r="F34" s="15">
        <v>3.62</v>
      </c>
    </row>
    <row r="35" spans="1:7" ht="13.5" thickBot="1">
      <c r="A35" s="17"/>
    </row>
    <row r="36" spans="1:7" ht="13.5" thickBot="1">
      <c r="A36" s="7" t="s">
        <v>36</v>
      </c>
      <c r="B36" s="19" t="s">
        <v>22</v>
      </c>
      <c r="C36" s="20">
        <v>2</v>
      </c>
      <c r="D36" s="21">
        <v>1540</v>
      </c>
      <c r="E36" s="21">
        <v>30.71</v>
      </c>
      <c r="F36" s="21">
        <v>61.41</v>
      </c>
      <c r="G36" s="7" t="s">
        <v>37</v>
      </c>
    </row>
    <row r="37" spans="1:7" ht="13.5" thickBot="1">
      <c r="A37" s="7" t="s">
        <v>36</v>
      </c>
      <c r="B37" s="19" t="s">
        <v>22</v>
      </c>
      <c r="C37" s="20">
        <v>6</v>
      </c>
      <c r="D37" s="21">
        <v>1800</v>
      </c>
      <c r="E37" s="21">
        <v>35.89</v>
      </c>
      <c r="F37" s="21">
        <v>215.34</v>
      </c>
      <c r="G37" s="7" t="s">
        <v>38</v>
      </c>
    </row>
    <row r="38" spans="1:7" ht="13.5" thickBot="1">
      <c r="A38" s="7" t="s">
        <v>36</v>
      </c>
      <c r="B38" s="19" t="s">
        <v>22</v>
      </c>
      <c r="C38" s="20">
        <v>4</v>
      </c>
      <c r="D38" s="21">
        <v>2847</v>
      </c>
      <c r="E38" s="21">
        <v>56.77</v>
      </c>
      <c r="F38" s="21">
        <v>227.09</v>
      </c>
      <c r="G38" s="7" t="s">
        <v>39</v>
      </c>
    </row>
    <row r="39" spans="1:7" ht="13.5" thickBot="1">
      <c r="A39" s="7" t="s">
        <v>36</v>
      </c>
      <c r="B39" s="19" t="s">
        <v>22</v>
      </c>
      <c r="C39" s="20">
        <v>4</v>
      </c>
      <c r="D39" s="21">
        <v>2881</v>
      </c>
      <c r="E39" s="21">
        <v>57.45</v>
      </c>
      <c r="F39" s="21">
        <v>229.81</v>
      </c>
      <c r="G39" s="7" t="s">
        <v>40</v>
      </c>
    </row>
    <row r="40" spans="1:7" ht="13.5" thickBot="1">
      <c r="A40" s="7" t="s">
        <v>36</v>
      </c>
      <c r="B40" s="19" t="s">
        <v>22</v>
      </c>
      <c r="C40" s="20">
        <v>4</v>
      </c>
      <c r="D40" s="21">
        <v>3198</v>
      </c>
      <c r="E40" s="21">
        <v>63.76</v>
      </c>
      <c r="F40" s="21">
        <v>255.05</v>
      </c>
      <c r="G40" s="7" t="s">
        <v>41</v>
      </c>
    </row>
    <row r="41" spans="1:7">
      <c r="A41" s="3"/>
      <c r="B41" s="3" t="s">
        <v>24</v>
      </c>
      <c r="C41" s="16">
        <v>20</v>
      </c>
      <c r="D41" s="15">
        <v>49584</v>
      </c>
      <c r="E41" s="3"/>
      <c r="F41" s="15">
        <v>988.71</v>
      </c>
    </row>
    <row r="42" spans="1:7">
      <c r="A42" s="17"/>
    </row>
    <row r="43" spans="1:7">
      <c r="A43" s="8" t="s">
        <v>42</v>
      </c>
      <c r="B43" s="18" t="s">
        <v>43</v>
      </c>
      <c r="C43" s="14">
        <v>2</v>
      </c>
      <c r="D43" s="15">
        <v>1040</v>
      </c>
      <c r="E43" s="15">
        <v>17.59</v>
      </c>
      <c r="F43" s="15">
        <v>35.18</v>
      </c>
      <c r="G43" s="8" t="s">
        <v>44</v>
      </c>
    </row>
    <row r="44" spans="1:7">
      <c r="A44" s="8" t="s">
        <v>42</v>
      </c>
      <c r="B44" s="18" t="s">
        <v>43</v>
      </c>
      <c r="C44" s="14">
        <v>2</v>
      </c>
      <c r="D44" s="15">
        <v>1101</v>
      </c>
      <c r="E44" s="15">
        <v>18.62</v>
      </c>
      <c r="F44" s="15">
        <v>37.25</v>
      </c>
      <c r="G44" s="8" t="s">
        <v>45</v>
      </c>
    </row>
    <row r="45" spans="1:7">
      <c r="A45" s="8" t="s">
        <v>42</v>
      </c>
      <c r="B45" s="18" t="s">
        <v>43</v>
      </c>
      <c r="C45" s="14">
        <v>1</v>
      </c>
      <c r="D45" s="15">
        <v>1580</v>
      </c>
      <c r="E45" s="15">
        <v>26.72</v>
      </c>
      <c r="F45" s="15">
        <v>26.72</v>
      </c>
      <c r="G45" s="8" t="s">
        <v>46</v>
      </c>
    </row>
    <row r="46" spans="1:7">
      <c r="A46" s="8" t="s">
        <v>42</v>
      </c>
      <c r="B46" s="18" t="s">
        <v>43</v>
      </c>
      <c r="C46" s="14">
        <v>1</v>
      </c>
      <c r="D46" s="15">
        <v>1601</v>
      </c>
      <c r="E46" s="15">
        <v>27.08</v>
      </c>
      <c r="F46" s="15">
        <v>27.08</v>
      </c>
      <c r="G46" s="8" t="s">
        <v>47</v>
      </c>
    </row>
    <row r="47" spans="1:7">
      <c r="A47" s="8" t="s">
        <v>42</v>
      </c>
      <c r="B47" s="18" t="s">
        <v>43</v>
      </c>
      <c r="C47" s="14">
        <v>6</v>
      </c>
      <c r="D47" s="15">
        <v>1800</v>
      </c>
      <c r="E47" s="15">
        <v>30.45</v>
      </c>
      <c r="F47" s="15">
        <v>182.67</v>
      </c>
      <c r="G47" s="8" t="s">
        <v>48</v>
      </c>
    </row>
    <row r="48" spans="1:7">
      <c r="A48" s="8" t="s">
        <v>42</v>
      </c>
      <c r="B48" s="18" t="s">
        <v>43</v>
      </c>
      <c r="C48" s="14">
        <v>2</v>
      </c>
      <c r="D48" s="15">
        <v>1801</v>
      </c>
      <c r="E48" s="15">
        <v>30.46</v>
      </c>
      <c r="F48" s="15">
        <v>60.92</v>
      </c>
      <c r="G48" s="8" t="s">
        <v>48</v>
      </c>
    </row>
    <row r="49" spans="1:7">
      <c r="A49" s="8" t="s">
        <v>42</v>
      </c>
      <c r="B49" s="18" t="s">
        <v>43</v>
      </c>
      <c r="C49" s="14">
        <v>4</v>
      </c>
      <c r="D49" s="15">
        <v>2260</v>
      </c>
      <c r="E49" s="15">
        <v>38.229999999999997</v>
      </c>
      <c r="F49" s="15">
        <v>152.9</v>
      </c>
      <c r="G49" s="8" t="s">
        <v>49</v>
      </c>
    </row>
    <row r="50" spans="1:7">
      <c r="A50" s="8" t="s">
        <v>42</v>
      </c>
      <c r="B50" s="18" t="s">
        <v>43</v>
      </c>
      <c r="C50" s="14">
        <v>4</v>
      </c>
      <c r="D50" s="15">
        <v>2280</v>
      </c>
      <c r="E50" s="15">
        <v>38.56</v>
      </c>
      <c r="F50" s="15">
        <v>154.25</v>
      </c>
      <c r="G50" s="8" t="s">
        <v>50</v>
      </c>
    </row>
    <row r="51" spans="1:7">
      <c r="A51" s="8" t="s">
        <v>42</v>
      </c>
      <c r="B51" s="18" t="s">
        <v>43</v>
      </c>
      <c r="C51" s="14">
        <v>2</v>
      </c>
      <c r="D51" s="15">
        <v>2281</v>
      </c>
      <c r="E51" s="15">
        <v>38.58</v>
      </c>
      <c r="F51" s="15">
        <v>77.16</v>
      </c>
      <c r="G51" s="8" t="s">
        <v>50</v>
      </c>
    </row>
    <row r="52" spans="1:7">
      <c r="A52" s="8" t="s">
        <v>42</v>
      </c>
      <c r="B52" s="18" t="s">
        <v>43</v>
      </c>
      <c r="C52" s="14">
        <v>2</v>
      </c>
      <c r="D52" s="15">
        <v>2381</v>
      </c>
      <c r="E52" s="15">
        <v>40.270000000000003</v>
      </c>
      <c r="F52" s="15">
        <v>80.540000000000006</v>
      </c>
      <c r="G52" s="8" t="s">
        <v>51</v>
      </c>
    </row>
    <row r="53" spans="1:7">
      <c r="A53" s="8" t="s">
        <v>42</v>
      </c>
      <c r="B53" s="18" t="s">
        <v>43</v>
      </c>
      <c r="C53" s="14">
        <v>2</v>
      </c>
      <c r="D53" s="15">
        <v>2410</v>
      </c>
      <c r="E53" s="15">
        <v>40.76</v>
      </c>
      <c r="F53" s="15">
        <v>81.53</v>
      </c>
      <c r="G53" s="8" t="s">
        <v>52</v>
      </c>
    </row>
    <row r="54" spans="1:7">
      <c r="A54" s="8" t="s">
        <v>42</v>
      </c>
      <c r="B54" s="18" t="s">
        <v>43</v>
      </c>
      <c r="C54" s="14">
        <v>2</v>
      </c>
      <c r="D54" s="15">
        <v>3295</v>
      </c>
      <c r="E54" s="15">
        <v>55.73</v>
      </c>
      <c r="F54" s="15">
        <v>111.46</v>
      </c>
      <c r="G54" s="8" t="s">
        <v>53</v>
      </c>
    </row>
    <row r="55" spans="1:7">
      <c r="A55" s="8" t="s">
        <v>42</v>
      </c>
      <c r="B55" s="18" t="s">
        <v>43</v>
      </c>
      <c r="C55" s="14">
        <v>2</v>
      </c>
      <c r="D55" s="15">
        <v>3395</v>
      </c>
      <c r="E55" s="15">
        <v>57.42</v>
      </c>
      <c r="F55" s="15">
        <v>114.84</v>
      </c>
      <c r="G55" s="8" t="s">
        <v>54</v>
      </c>
    </row>
    <row r="56" spans="1:7">
      <c r="A56" s="8" t="s">
        <v>42</v>
      </c>
      <c r="B56" s="18" t="s">
        <v>43</v>
      </c>
      <c r="C56" s="14">
        <v>2</v>
      </c>
      <c r="D56" s="15">
        <v>4780</v>
      </c>
      <c r="E56" s="15">
        <v>80.849999999999994</v>
      </c>
      <c r="F56" s="15">
        <v>161.69999999999999</v>
      </c>
      <c r="G56" s="8" t="s">
        <v>55</v>
      </c>
    </row>
    <row r="57" spans="1:7">
      <c r="A57" s="8" t="s">
        <v>42</v>
      </c>
      <c r="B57" s="18" t="s">
        <v>43</v>
      </c>
      <c r="C57" s="14">
        <v>1</v>
      </c>
      <c r="D57" s="15">
        <v>4800</v>
      </c>
      <c r="E57" s="15">
        <v>81.19</v>
      </c>
      <c r="F57" s="15">
        <v>81.19</v>
      </c>
      <c r="G57" s="8" t="s">
        <v>56</v>
      </c>
    </row>
    <row r="58" spans="1:7">
      <c r="A58" s="8" t="s">
        <v>42</v>
      </c>
      <c r="B58" s="18" t="s">
        <v>43</v>
      </c>
      <c r="C58" s="14">
        <v>1</v>
      </c>
      <c r="D58" s="15">
        <v>4900</v>
      </c>
      <c r="E58" s="15">
        <v>82.88</v>
      </c>
      <c r="F58" s="15">
        <v>82.88</v>
      </c>
      <c r="G58" s="8" t="s">
        <v>57</v>
      </c>
    </row>
    <row r="59" spans="1:7">
      <c r="A59" s="3"/>
      <c r="B59" s="3" t="s">
        <v>24</v>
      </c>
      <c r="C59" s="16">
        <v>36</v>
      </c>
      <c r="D59" s="15">
        <v>86809</v>
      </c>
      <c r="E59" s="3"/>
      <c r="F59" s="15">
        <v>1468.27</v>
      </c>
    </row>
    <row r="60" spans="1:7">
      <c r="A60" s="17"/>
    </row>
    <row r="61" spans="1:7">
      <c r="A61" s="8" t="s">
        <v>58</v>
      </c>
      <c r="B61" s="13" t="s">
        <v>59</v>
      </c>
      <c r="C61" s="14">
        <v>16</v>
      </c>
      <c r="D61" s="15">
        <v>1000</v>
      </c>
      <c r="E61" s="15">
        <v>17.97</v>
      </c>
      <c r="F61" s="15">
        <v>287.54000000000002</v>
      </c>
      <c r="G61" s="8" t="s">
        <v>60</v>
      </c>
    </row>
    <row r="62" spans="1:7">
      <c r="A62" s="3"/>
      <c r="B62" s="3" t="s">
        <v>24</v>
      </c>
      <c r="C62" s="16">
        <v>16</v>
      </c>
      <c r="D62" s="15">
        <v>16000</v>
      </c>
      <c r="E62" s="3"/>
      <c r="F62" s="15">
        <v>287.54000000000002</v>
      </c>
    </row>
    <row r="63" spans="1:7">
      <c r="A63" s="17"/>
    </row>
    <row r="64" spans="1:7">
      <c r="A64" s="22" t="s">
        <v>24</v>
      </c>
      <c r="B64" s="22"/>
      <c r="C64" s="22"/>
      <c r="D64" s="22"/>
      <c r="E64" s="22"/>
      <c r="F64" s="15">
        <v>3001.76</v>
      </c>
    </row>
  </sheetData>
  <mergeCells count="3">
    <mergeCell ref="A6:G6"/>
    <mergeCell ref="A4:E4"/>
    <mergeCell ref="A5:G5"/>
  </mergeCells>
  <pageMargins left="0.35" right="0.2" top="0.35" bottom="0.2" header="0.15" footer="0.15"/>
  <pageSetup paperSize="9" orientation="landscape" useFirstPageNumber="1" horizontalDpi="4294967293"/>
  <headerFooter>
    <oddHeader>&amp;C&amp;"Times New Roman,Regular"&amp;12&amp;F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riceOfferTemplate" ma:contentTypeID="0x0101003656FDA27A494BC092A9328040A274D000700830A3D05D564AB9A0E847634159A2" ma:contentTypeVersion="57" ma:contentTypeDescription="" ma:contentTypeScope="" ma:versionID="20085f099426a1679d2b0e3a450e1cac">
  <xsd:schema xmlns:xsd="http://www.w3.org/2001/XMLSchema" xmlns:xs="http://www.w3.org/2001/XMLSchema" xmlns:p="http://schemas.microsoft.com/office/2006/metadata/properties" xmlns:ns1="67f72299-ac7c-4625-b403-a095ae70dd05" xmlns:ns3="4677cf2c-acb3-4c5f-9d0d-3ee5fdee7961" targetNamespace="http://schemas.microsoft.com/office/2006/metadata/properties" ma:root="true" ma:fieldsID="78e19474d61c4fa7c0d0dec780a7bcb3" ns1:_="" ns3:_="">
    <xsd:import namespace="67f72299-ac7c-4625-b403-a095ae70dd05"/>
    <xsd:import namespace="4677cf2c-acb3-4c5f-9d0d-3ee5fdee7961"/>
    <xsd:element name="properties">
      <xsd:complexType>
        <xsd:sequence>
          <xsd:element name="documentManagement">
            <xsd:complexType>
              <xsd:all>
                <xsd:element ref="ns1:contactName" minOccurs="0"/>
                <xsd:element ref="ns1:contactPhonePrimary" minOccurs="0"/>
                <xsd:element ref="ns1:contactEMail" minOccurs="0"/>
                <xsd:element ref="ns1:poClient" minOccurs="0"/>
                <xsd:element ref="ns1:formattedDate" minOccurs="0"/>
                <xsd:element ref="ns1:poNumber" minOccurs="0"/>
                <xsd:element ref="ns1:pqName" minOccurs="0"/>
                <xsd:element ref="ns1:pqAddress" minOccurs="0"/>
                <xsd:element ref="ns1:poPrice" minOccurs="0"/>
                <xsd:element ref="ns1:poValidTillDays" minOccurs="0"/>
                <xsd:element ref="ns1:pqOfferManager" minOccurs="0"/>
                <xsd:element ref="ns1:pqOfferManagerJobTitle" minOccurs="0"/>
                <xsd:element ref="ns1:pqOfferManagerPhone" minOccurs="0"/>
                <xsd:element ref="ns1:pqOfferManagerEMail" minOccurs="0"/>
                <xsd:element ref="ns1:pqBudgeter" minOccurs="0"/>
                <xsd:element ref="ns1:pqBudgeterJobTitle" minOccurs="0"/>
                <xsd:element ref="ns1:pqBudgeterPhone" minOccurs="0"/>
                <xsd:element ref="ns1:pqBudgeterEMail" minOccurs="0"/>
                <xsd:element ref="ns3:MediaServiceMetadata" minOccurs="0"/>
                <xsd:element ref="ns3:MediaServiceFastMetadata" minOccurs="0"/>
                <xsd:element ref="ns1:SharedWithUsers" minOccurs="0"/>
                <xsd:element ref="ns1:SharedWithDetails" minOccurs="0"/>
                <xsd:element ref="ns3:lcf76f155ced4ddcb4097134ff3c332f" minOccurs="0"/>
                <xsd:element ref="ns1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Olulisusterasepakkumiseks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f72299-ac7c-4625-b403-a095ae70dd05" elementFormDefault="qualified">
    <xsd:import namespace="http://schemas.microsoft.com/office/2006/documentManagement/types"/>
    <xsd:import namespace="http://schemas.microsoft.com/office/infopath/2007/PartnerControls"/>
    <xsd:element name="contactName" ma:index="0" nillable="true" ma:displayName="Kontakti nimi" ma:internalName="contactName" ma:readOnly="false">
      <xsd:simpleType>
        <xsd:restriction base="dms:Text"/>
      </xsd:simpleType>
    </xsd:element>
    <xsd:element name="contactPhonePrimary" ma:index="1" nillable="true" ma:displayName="Kontakti mobiil" ma:internalName="contactPhonePrimary" ma:readOnly="false">
      <xsd:simpleType>
        <xsd:restriction base="dms:Text"/>
      </xsd:simpleType>
    </xsd:element>
    <xsd:element name="contactEMail" ma:index="2" nillable="true" ma:displayName="Kontakti e-mail" ma:internalName="contactEMail" ma:readOnly="false">
      <xsd:simpleType>
        <xsd:restriction base="dms:Text"/>
      </xsd:simpleType>
    </xsd:element>
    <xsd:element name="poClient" ma:index="3" nillable="true" ma:displayName="Kliendi nimi" ma:internalName="poClient" ma:readOnly="false">
      <xsd:simpleType>
        <xsd:restriction base="dms:Text"/>
      </xsd:simpleType>
    </xsd:element>
    <xsd:element name="formattedDate" ma:index="4" nillable="true" ma:displayName="Kuupäev" ma:internalName="formattedDate" ma:readOnly="false">
      <xsd:simpleType>
        <xsd:restriction base="dms:Text"/>
      </xsd:simpleType>
    </xsd:element>
    <xsd:element name="poNumber" ma:index="5" nillable="true" ma:displayName="DSP Kood" ma:internalName="poNumber" ma:readOnly="false">
      <xsd:simpleType>
        <xsd:restriction base="dms:Text"/>
      </xsd:simpleType>
    </xsd:element>
    <xsd:element name="pqName" ma:index="6" nillable="true" ma:displayName="Objekti nimi" ma:internalName="pqName" ma:readOnly="false">
      <xsd:simpleType>
        <xsd:restriction base="dms:Text"/>
      </xsd:simpleType>
    </xsd:element>
    <xsd:element name="pqAddress" ma:index="7" nillable="true" ma:displayName="Objekti aadress" ma:internalName="pqAddress" ma:readOnly="false">
      <xsd:simpleType>
        <xsd:restriction base="dms:Text"/>
      </xsd:simpleType>
    </xsd:element>
    <xsd:element name="poPrice" ma:index="8" nillable="true" ma:displayName="Hind (km-ta)" ma:internalName="poPrice" ma:readOnly="false">
      <xsd:simpleType>
        <xsd:restriction base="dms:Text"/>
      </xsd:simpleType>
    </xsd:element>
    <xsd:element name="poValidTillDays" ma:index="9" nillable="true" ma:displayName="Kehtivus päevades" ma:internalName="poValidTillDays" ma:readOnly="false">
      <xsd:simpleType>
        <xsd:restriction base="dms:Text"/>
      </xsd:simpleType>
    </xsd:element>
    <xsd:element name="pqOfferManager" ma:index="10" nillable="true" ma:displayName="Pakkumise juht" ma:internalName="pqOfferManager" ma:readOnly="false">
      <xsd:simpleType>
        <xsd:restriction base="dms:Text"/>
      </xsd:simpleType>
    </xsd:element>
    <xsd:element name="pqOfferManagerJobTitle" ma:index="11" nillable="true" ma:displayName="Pakkumise juhi positsioon" ma:internalName="pqOfferManagerJobTitle" ma:readOnly="false">
      <xsd:simpleType>
        <xsd:restriction base="dms:Text"/>
      </xsd:simpleType>
    </xsd:element>
    <xsd:element name="pqOfferManagerPhone" ma:index="12" nillable="true" ma:displayName="Pakkumise juhi mobiil" ma:internalName="pqOfferManagerPhone" ma:readOnly="false">
      <xsd:simpleType>
        <xsd:restriction base="dms:Text"/>
      </xsd:simpleType>
    </xsd:element>
    <xsd:element name="pqOfferManagerEMail" ma:index="13" nillable="true" ma:displayName="Pakkumise juhi e-mail" ma:internalName="pqOfferManagerEMail" ma:readOnly="false">
      <xsd:simpleType>
        <xsd:restriction base="dms:Text"/>
      </xsd:simpleType>
    </xsd:element>
    <xsd:element name="pqBudgeter" ma:index="14" nillable="true" ma:displayName="Eelarvestaja" ma:internalName="pqBudgeter" ma:readOnly="false">
      <xsd:simpleType>
        <xsd:restriction base="dms:Text"/>
      </xsd:simpleType>
    </xsd:element>
    <xsd:element name="pqBudgeterJobTitle" ma:index="15" nillable="true" ma:displayName="Eelarvestaja positsioon" ma:internalName="pqBudgeterJobTitle" ma:readOnly="false">
      <xsd:simpleType>
        <xsd:restriction base="dms:Text"/>
      </xsd:simpleType>
    </xsd:element>
    <xsd:element name="pqBudgeterPhone" ma:index="16" nillable="true" ma:displayName="Eelarvestaja mobiil" ma:internalName="pqBudgeterPhone" ma:readOnly="false">
      <xsd:simpleType>
        <xsd:restriction base="dms:Text"/>
      </xsd:simpleType>
    </xsd:element>
    <xsd:element name="pqBudgeterEMail" ma:index="17" nillable="true" ma:displayName="Eelarvestaja e-mail" ma:internalName="pqBudgeterEMail" ma:readOnly="false">
      <xsd:simpleType>
        <xsd:restriction base="dms:Text"/>
      </xsd:simpleType>
    </xsd:element>
    <xsd:element name="SharedWithUsers" ma:index="28" nillable="true" ma:displayName="Ühiskasutuse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Ühiskasutusse andmise üksikasjad" ma:internalName="SharedWithDetails" ma:readOnly="true">
      <xsd:simpleType>
        <xsd:restriction base="dms:Note">
          <xsd:maxLength value="255"/>
        </xsd:restriction>
      </xsd:simpleType>
    </xsd:element>
    <xsd:element name="TaxCatchAll" ma:index="32" nillable="true" ma:displayName="Taxonomy Catch All Column" ma:hidden="true" ma:list="{896ab889-f28e-42ce-8acc-e4c65d811d6c}" ma:internalName="TaxCatchAll" ma:showField="CatchAllData" ma:web="67f72299-ac7c-4625-b403-a095ae70dd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77cf2c-acb3-4c5f-9d0d-3ee5fdee79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31" nillable="true" ma:taxonomy="true" ma:internalName="lcf76f155ced4ddcb4097134ff3c332f" ma:taxonomyFieldName="MediaServiceImageTags" ma:displayName="Pildisildid" ma:readOnly="false" ma:fieldId="{5cf76f15-5ced-4ddc-b409-7134ff3c332f}" ma:taxonomyMulti="true" ma:sspId="7917b355-1b09-41e2-8b23-d37907ecb1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Olulisusterasepakkumiseks" ma:index="37" nillable="true" ma:displayName="Olulisus terase pakkumiseks" ma:default="0" ma:format="Dropdown" ma:internalName="Olulisusterasepakkumiseks">
      <xsd:simpleType>
        <xsd:restriction base="dms:Boolean"/>
      </xsd:simpleType>
    </xsd:element>
    <xsd:element name="MediaServiceLocation" ma:index="3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3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4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4" ma:displayName="Sisutüüp"/>
        <xsd:element ref="dc:title" minOccurs="0" maxOccurs="1" ma:index="20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f72299-ac7c-4625-b403-a095ae70dd05" xsi:nil="true"/>
    <lcf76f155ced4ddcb4097134ff3c332f xmlns="4677cf2c-acb3-4c5f-9d0d-3ee5fdee7961">
      <Terms xmlns="http://schemas.microsoft.com/office/infopath/2007/PartnerControls"/>
    </lcf76f155ced4ddcb4097134ff3c332f>
    <poValidTillDays xmlns="67f72299-ac7c-4625-b403-a095ae70dd05" xsi:nil="true"/>
    <poPrice xmlns="67f72299-ac7c-4625-b403-a095ae70dd05" xsi:nil="true"/>
    <contactPhonePrimary xmlns="67f72299-ac7c-4625-b403-a095ae70dd05" xsi:nil="true"/>
    <pqOfferManager xmlns="67f72299-ac7c-4625-b403-a095ae70dd05" xsi:nil="true"/>
    <pqOfferManagerPhone xmlns="67f72299-ac7c-4625-b403-a095ae70dd05" xsi:nil="true"/>
    <pqBudgeterPhone xmlns="67f72299-ac7c-4625-b403-a095ae70dd05" xsi:nil="true"/>
    <poNumber xmlns="67f72299-ac7c-4625-b403-a095ae70dd05" xsi:nil="true"/>
    <pqBudgeterEMail xmlns="67f72299-ac7c-4625-b403-a095ae70dd05" xsi:nil="true"/>
    <formattedDate xmlns="67f72299-ac7c-4625-b403-a095ae70dd05" xsi:nil="true"/>
    <contactName xmlns="67f72299-ac7c-4625-b403-a095ae70dd05" xsi:nil="true"/>
    <contactEMail xmlns="67f72299-ac7c-4625-b403-a095ae70dd05" xsi:nil="true"/>
    <pqBudgeterJobTitle xmlns="67f72299-ac7c-4625-b403-a095ae70dd05" xsi:nil="true"/>
    <pqOfferManagerEMail xmlns="67f72299-ac7c-4625-b403-a095ae70dd05" xsi:nil="true"/>
    <pqBudgeter xmlns="67f72299-ac7c-4625-b403-a095ae70dd05" xsi:nil="true"/>
    <pqAddress xmlns="67f72299-ac7c-4625-b403-a095ae70dd05" xsi:nil="true"/>
    <pqOfferManagerJobTitle xmlns="67f72299-ac7c-4625-b403-a095ae70dd05" xsi:nil="true"/>
    <Olulisusterasepakkumiseks xmlns="4677cf2c-acb3-4c5f-9d0d-3ee5fdee7961">false</Olulisusterasepakkumiseks>
    <poClient xmlns="67f72299-ac7c-4625-b403-a095ae70dd05" xsi:nil="true"/>
    <pqName xmlns="67f72299-ac7c-4625-b403-a095ae70dd05" xsi:nil="true"/>
  </documentManagement>
</p:properties>
</file>

<file path=customXml/itemProps1.xml><?xml version="1.0" encoding="utf-8"?>
<ds:datastoreItem xmlns:ds="http://schemas.openxmlformats.org/officeDocument/2006/customXml" ds:itemID="{6C1FB235-652F-4585-8316-8FF4BFB04A0D}"/>
</file>

<file path=customXml/itemProps2.xml><?xml version="1.0" encoding="utf-8"?>
<ds:datastoreItem xmlns:ds="http://schemas.openxmlformats.org/officeDocument/2006/customXml" ds:itemID="{1C596384-7DEF-42DD-B089-80273D0511E1}"/>
</file>

<file path=customXml/itemProps3.xml><?xml version="1.0" encoding="utf-8"?>
<ds:datastoreItem xmlns:ds="http://schemas.openxmlformats.org/officeDocument/2006/customXml" ds:itemID="{0323C506-EE50-4734-9D26-349D79B101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30480 Akkasæter Lager - og vedlikeholdshall - Price request</dc:title>
  <cp:lastModifiedBy>Per Erik Haram</cp:lastModifiedBy>
  <dcterms:created xsi:type="dcterms:W3CDTF">2025-10-22T14:51:53Z</dcterms:created>
  <dcterms:modified xsi:type="dcterms:W3CDTF">2025-10-22T14:51:53Z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0x0101003656FDA27A494BC092A9328040A274D000700830A3D05D564AB9A0E847634159A2</vt:lpwstr>
  </property>
  <property fmtid="{D5CDD505-2E9C-101B-9397-08002B2CF9AE}" pid="3" name="MediaServiceImageTags">
    <vt:lpwstr/>
  </property>
  <property fmtid="{D5CDD505-2E9C-101B-9397-08002B2CF9AE}" pid="4" name="emailCategory">
    <vt:lpwstr>3</vt:lpwstr>
  </property>
  <property fmtid="{D5CDD505-2E9C-101B-9397-08002B2CF9AE}" pid="5" name="reRelatedEMail">
    <vt:lpwstr>30480 Akkasæter Lager - og vedlikeholdshall - Price request</vt:lpwstr>
  </property>
  <property fmtid="{D5CDD505-2E9C-101B-9397-08002B2CF9AE}" pid="6" name="reRecipient">
    <vt:lpwstr>Madis Tuuling</vt:lpwstr>
  </property>
  <property fmtid="{D5CDD505-2E9C-101B-9397-08002B2CF9AE}" pid="8" name="reEMailReceived">
    <vt:filetime>2025-10-22T15:21:57Z</vt:filetime>
  </property>
  <property fmtid="{D5CDD505-2E9C-101B-9397-08002B2CF9AE}" pid="9" name="reSender">
    <vt:lpwstr>Per Erik Haram</vt:lpwstr>
  </property>
  <property fmtid="{D5CDD505-2E9C-101B-9397-08002B2CF9AE}" pid="10" name="reRecipientCC">
    <vt:lpwstr>Arnstein Stokke, Heiti Zukovits, Denis Kamerads</vt:lpwstr>
  </property>
  <property fmtid="{D5CDD505-2E9C-101B-9397-08002B2CF9AE}" pid="12" name="reRefToPQ">
    <vt:lpwstr>4900</vt:lpwstr>
  </property>
  <property fmtid="{D5CDD505-2E9C-101B-9397-08002B2CF9AE}" pid="13" name="reEMailInboundOutbound">
    <vt:lpwstr>Sisse</vt:lpwstr>
  </property>
</Properties>
</file>