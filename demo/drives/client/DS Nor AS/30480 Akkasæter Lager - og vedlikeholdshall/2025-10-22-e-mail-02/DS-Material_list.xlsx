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DD4513AA-0338-4F54-8FB5-BAEDD60DACD3}" xr6:coauthVersionLast="47" xr6:coauthVersionMax="47" xr10:uidLastSave="{00000000-0000-0000-0000-000000000000}"/>
  <bookViews>
    <workbookView xWindow="2670" yWindow="2835" windowWidth="21600" windowHeight="13185" xr2:uid="{35D4CC5E-91EC-4C09-89B5-4AEA3346292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  <c r="A4" i="2" a="1"/>
  <c r="A4" i="2" s="1"/>
  <c r="G3" i="2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<sst xmlns="http://schemas.openxmlformats.org/spreadsheetml/2006/main" count="942" uniqueCount="350">
  <si>
    <t> Project Number: 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</si>
  <si>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</si>
  <si>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</si>
  <si>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</si>
  <si>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</si>
  <si>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</si>
  <si>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</si>
  <si>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</si>
  <si>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</si>
  <si>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22.10.2025  </t>
  </si>
  <si>
    <t> Sent by</t>
  </si>
  <si>
    <t>peh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</si>
  <si>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</si>
  <si>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</si>
  <si>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</si>
  <si>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</si>
  <si>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</si>
  <si>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</si>
  <si>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</si>
  <si>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</si>
  <si>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</si>
  <si>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D30</t>
  </si>
  <si>
    <t xml:space="preserve">S355J2 </t>
  </si>
  <si>
    <t>  Q0(?)  </t>
  </si>
  <si>
    <t>  x19  </t>
  </si>
  <si>
    <t>  x34  </t>
  </si>
  <si>
    <t>  x21  </t>
  </si>
  <si>
    <t>  x35  </t>
  </si>
  <si>
    <t>  x24  </t>
  </si>
  <si>
    <t>  x38  </t>
  </si>
  <si>
    <t>  x40(?)  </t>
  </si>
  <si>
    <t>  x50  </t>
  </si>
  <si>
    <t>  x36  </t>
  </si>
  <si>
    <t>  x39  </t>
  </si>
  <si>
    <t>  x25  </t>
  </si>
  <si>
    <t>  x0(?)  </t>
  </si>
  <si>
    <t>  x23  </t>
  </si>
  <si>
    <t>  x29  </t>
  </si>
  <si>
    <t>  x57  </t>
  </si>
  <si>
    <t>  x26  </t>
  </si>
  <si>
    <t>  x28  </t>
  </si>
  <si>
    <t>  x60  </t>
  </si>
  <si>
    <t>  x59  </t>
  </si>
  <si>
    <t>  x47  </t>
  </si>
  <si>
    <t>  x58  </t>
  </si>
  <si>
    <t>Total</t>
  </si>
  <si>
    <t>FL5*47</t>
  </si>
  <si>
    <t>S275JR</t>
  </si>
  <si>
    <t>  V13  </t>
  </si>
  <si>
    <t>FL5*48</t>
  </si>
  <si>
    <t>FL5*60</t>
  </si>
  <si>
    <t>  F0(?)  </t>
  </si>
  <si>
    <t>FL5*90</t>
  </si>
  <si>
    <t>  C0(?)  </t>
  </si>
  <si>
    <t>  l0(?)  </t>
  </si>
  <si>
    <t>FL5*215</t>
  </si>
  <si>
    <t>  F49  </t>
  </si>
  <si>
    <t>  F5  </t>
  </si>
  <si>
    <t>  F11  </t>
  </si>
  <si>
    <t>FL6*50</t>
  </si>
  <si>
    <t>  A1  </t>
  </si>
  <si>
    <t>FL10*70</t>
  </si>
  <si>
    <t>  D24  </t>
  </si>
  <si>
    <t>FL10*80</t>
  </si>
  <si>
    <t>  A5  </t>
  </si>
  <si>
    <t>  A3(?)  </t>
  </si>
  <si>
    <t>FL10*90</t>
  </si>
  <si>
    <t>  F33(?)  </t>
  </si>
  <si>
    <t>FL10*100</t>
  </si>
  <si>
    <t>  F27  </t>
  </si>
  <si>
    <t>FL10*110</t>
  </si>
  <si>
    <t>FL10*120</t>
  </si>
  <si>
    <t>  F8  </t>
  </si>
  <si>
    <t>FL10*130</t>
  </si>
  <si>
    <t>FL10*135</t>
  </si>
  <si>
    <t>  F40  </t>
  </si>
  <si>
    <t>FL10*140</t>
  </si>
  <si>
    <t>  l2  </t>
  </si>
  <si>
    <t>  F15  </t>
  </si>
  <si>
    <t>  F41(?)  </t>
  </si>
  <si>
    <t>FL10*150</t>
  </si>
  <si>
    <t>  F47(?)  </t>
  </si>
  <si>
    <t>FL10*165</t>
  </si>
  <si>
    <t>FL10*200</t>
  </si>
  <si>
    <t>  F46  </t>
  </si>
  <si>
    <t>  F45(?)  </t>
  </si>
  <si>
    <t>FL12*90</t>
  </si>
  <si>
    <t>  F17  </t>
  </si>
  <si>
    <t>FL12*120</t>
  </si>
  <si>
    <t>  F20  </t>
  </si>
  <si>
    <t>  F26  </t>
  </si>
  <si>
    <t>FL12*160</t>
  </si>
  <si>
    <t>  l3  </t>
  </si>
  <si>
    <t>FL12*180</t>
  </si>
  <si>
    <t>  F16  </t>
  </si>
  <si>
    <t>FL15*88</t>
  </si>
  <si>
    <t>  V0(?)  </t>
  </si>
  <si>
    <t>  V11  </t>
  </si>
  <si>
    <t>FL15*100</t>
  </si>
  <si>
    <t>  V10  </t>
  </si>
  <si>
    <t>FL15*120</t>
  </si>
  <si>
    <t>  F44(?)  </t>
  </si>
  <si>
    <t>  C21  </t>
  </si>
  <si>
    <t>FL15*125</t>
  </si>
  <si>
    <t>FL15*140</t>
  </si>
  <si>
    <t>  C13  </t>
  </si>
  <si>
    <t>  A9  </t>
  </si>
  <si>
    <t>  V12  </t>
  </si>
  <si>
    <t>  C20  </t>
  </si>
  <si>
    <t>  A8  </t>
  </si>
  <si>
    <t>  A7  </t>
  </si>
  <si>
    <t>  A4  </t>
  </si>
  <si>
    <t>FL15*146</t>
  </si>
  <si>
    <t>  F39  </t>
  </si>
  <si>
    <t>FL15*153</t>
  </si>
  <si>
    <t>  C22  </t>
  </si>
  <si>
    <t>FL15*160</t>
  </si>
  <si>
    <t>  F48(?)  </t>
  </si>
  <si>
    <t>  V14  </t>
  </si>
  <si>
    <t>  C26  </t>
  </si>
  <si>
    <t>FL15*165</t>
  </si>
  <si>
    <t>FL15*169</t>
  </si>
  <si>
    <t>  C25(?)  </t>
  </si>
  <si>
    <t>FL15*180</t>
  </si>
  <si>
    <t>  F38  </t>
  </si>
  <si>
    <t>  V5  </t>
  </si>
  <si>
    <t>FL15*184</t>
  </si>
  <si>
    <t>FL15*199</t>
  </si>
  <si>
    <t>  C7(?)  </t>
  </si>
  <si>
    <t>FL15*200</t>
  </si>
  <si>
    <t>  F32  </t>
  </si>
  <si>
    <t>  C18  </t>
  </si>
  <si>
    <t>  A6  </t>
  </si>
  <si>
    <t>  F18  </t>
  </si>
  <si>
    <t>  F7  </t>
  </si>
  <si>
    <t>FL15*207</t>
  </si>
  <si>
    <t>  C9(?)  </t>
  </si>
  <si>
    <t>FL15*213</t>
  </si>
  <si>
    <t>FL15*214</t>
  </si>
  <si>
    <t>  C27  </t>
  </si>
  <si>
    <t>FL15*219</t>
  </si>
  <si>
    <t>  C6(?)  </t>
  </si>
  <si>
    <t>FL15*229</t>
  </si>
  <si>
    <t>  C10(?)  </t>
  </si>
  <si>
    <t>FL15*236</t>
  </si>
  <si>
    <t>FL15*265</t>
  </si>
  <si>
    <t>  F42(?)  </t>
  </si>
  <si>
    <t>FL15*300</t>
  </si>
  <si>
    <t>  F19  </t>
  </si>
  <si>
    <t>FL20*250</t>
  </si>
  <si>
    <t>  F43  </t>
  </si>
  <si>
    <t>FL20*540</t>
  </si>
  <si>
    <t>  F3  </t>
  </si>
  <si>
    <t>  F6  </t>
  </si>
  <si>
    <t>  F12  </t>
  </si>
  <si>
    <t>FL25*250</t>
  </si>
  <si>
    <t>  F14(?)  </t>
  </si>
  <si>
    <t>FL25*300</t>
  </si>
  <si>
    <t>  F30  </t>
  </si>
  <si>
    <t>  A2  </t>
  </si>
  <si>
    <t>  F29(?)  </t>
  </si>
  <si>
    <t>  H1  </t>
  </si>
  <si>
    <t>  H2  </t>
  </si>
  <si>
    <t>  H3(?)  </t>
  </si>
  <si>
    <t>  H4(?)  </t>
  </si>
  <si>
    <t>  F36(?)  </t>
  </si>
  <si>
    <t>FL30*120</t>
  </si>
  <si>
    <t>  F28  </t>
  </si>
  <si>
    <t>FL30*150</t>
  </si>
  <si>
    <t>  F9  </t>
  </si>
  <si>
    <t>FL35*250</t>
  </si>
  <si>
    <t>  f1  </t>
  </si>
  <si>
    <t>  f2  </t>
  </si>
  <si>
    <t>  f7  </t>
  </si>
  <si>
    <t>HEB360</t>
  </si>
  <si>
    <t>  d24  </t>
  </si>
  <si>
    <t>IPE120</t>
  </si>
  <si>
    <t>  s47(?)  </t>
  </si>
  <si>
    <t>IPE240</t>
  </si>
  <si>
    <t>  d26  </t>
  </si>
  <si>
    <t>  d27  </t>
  </si>
  <si>
    <t>IPE400</t>
  </si>
  <si>
    <t>  d14  </t>
  </si>
  <si>
    <t>  D10(?)  </t>
  </si>
  <si>
    <t>IPE600</t>
  </si>
  <si>
    <t>  r6  </t>
  </si>
  <si>
    <t>L60*40*6</t>
  </si>
  <si>
    <t>  D30  </t>
  </si>
  <si>
    <t>  d28  </t>
  </si>
  <si>
    <t>  D32  </t>
  </si>
  <si>
    <t>  d29  </t>
  </si>
  <si>
    <t>  D31  </t>
  </si>
  <si>
    <t>L100*10</t>
  </si>
  <si>
    <t>  D0(?)  </t>
  </si>
  <si>
    <t>L120*11</t>
  </si>
  <si>
    <t>  T3  </t>
  </si>
  <si>
    <t>  T2  </t>
  </si>
  <si>
    <t>  d2(?)  </t>
  </si>
  <si>
    <t>  d2  </t>
  </si>
  <si>
    <t>  d0(?)  </t>
  </si>
  <si>
    <t>  d1  </t>
  </si>
  <si>
    <t>  d17  </t>
  </si>
  <si>
    <t>PD45*7.5</t>
  </si>
  <si>
    <t>PL5*215</t>
  </si>
  <si>
    <t>  C17  </t>
  </si>
  <si>
    <t>PL6*1698</t>
  </si>
  <si>
    <t>  N2(?)  </t>
  </si>
  <si>
    <t>PL8*1697</t>
  </si>
  <si>
    <t>  j5(?)  </t>
  </si>
  <si>
    <t>PL10*65</t>
  </si>
  <si>
    <t>  C23  </t>
  </si>
  <si>
    <t>PL10*72</t>
  </si>
  <si>
    <t>PL10*75</t>
  </si>
  <si>
    <t>PL10*80</t>
  </si>
  <si>
    <t>  T12(?)  </t>
  </si>
  <si>
    <t>PL10*81</t>
  </si>
  <si>
    <t>PL10*100</t>
  </si>
  <si>
    <t>  C15  </t>
  </si>
  <si>
    <t>PL10*120</t>
  </si>
  <si>
    <t>  T6(?)  </t>
  </si>
  <si>
    <t>  T8  </t>
  </si>
  <si>
    <t>PL10*140</t>
  </si>
  <si>
    <t>  T11(?)  </t>
  </si>
  <si>
    <t>  T13(?)  </t>
  </si>
  <si>
    <t>  T5(?)  </t>
  </si>
  <si>
    <t>  T10  </t>
  </si>
  <si>
    <t>  T7  </t>
  </si>
  <si>
    <t>  T4  </t>
  </si>
  <si>
    <t>  T9  </t>
  </si>
  <si>
    <t>PL12*275</t>
  </si>
  <si>
    <t>  C5  </t>
  </si>
  <si>
    <t>PL15*80</t>
  </si>
  <si>
    <t>  V1  </t>
  </si>
  <si>
    <t>PL15*140</t>
  </si>
  <si>
    <t>  BV201(?)  </t>
  </si>
  <si>
    <t>PL15*170</t>
  </si>
  <si>
    <t>  l1  </t>
  </si>
  <si>
    <t>PL15*178</t>
  </si>
  <si>
    <t>  2  </t>
  </si>
  <si>
    <t>PL15*183</t>
  </si>
  <si>
    <t>  C12  </t>
  </si>
  <si>
    <t>PL15*200</t>
  </si>
  <si>
    <t>  C11  </t>
  </si>
  <si>
    <t>PL15*240</t>
  </si>
  <si>
    <t>  C1  </t>
  </si>
  <si>
    <t>RHS100X100X6</t>
  </si>
  <si>
    <t xml:space="preserve">S355J2H </t>
  </si>
  <si>
    <t>  s49  </t>
  </si>
  <si>
    <t>  p39  </t>
  </si>
  <si>
    <t>  p13(?)  </t>
  </si>
  <si>
    <t>  s49(?)  </t>
  </si>
  <si>
    <t>  p2  </t>
  </si>
  <si>
    <t>  p40  </t>
  </si>
  <si>
    <t>  x17  </t>
  </si>
  <si>
    <t>  x56  </t>
  </si>
  <si>
    <t>  d22  </t>
  </si>
  <si>
    <t>  x20(?)  </t>
  </si>
  <si>
    <t>  d20  </t>
  </si>
  <si>
    <t>  p19  </t>
  </si>
  <si>
    <t>  p20  </t>
  </si>
  <si>
    <t>  p8  </t>
  </si>
  <si>
    <t>  p8(?)  </t>
  </si>
  <si>
    <t>  p35  </t>
  </si>
  <si>
    <t>  p29  </t>
  </si>
  <si>
    <t>  s48(?)  </t>
  </si>
  <si>
    <t>  s48  </t>
  </si>
  <si>
    <t>  p33  </t>
  </si>
  <si>
    <t>  p26  </t>
  </si>
  <si>
    <t>  p17  </t>
  </si>
  <si>
    <t>  p21  </t>
  </si>
  <si>
    <t>  p27  </t>
  </si>
  <si>
    <t>  s51  </t>
  </si>
  <si>
    <t>  p30(?)  </t>
  </si>
  <si>
    <t>  d23  </t>
  </si>
  <si>
    <t>  s54  </t>
  </si>
  <si>
    <t>  p47  </t>
  </si>
  <si>
    <t>  p44  </t>
  </si>
  <si>
    <t>  p38(?)  </t>
  </si>
  <si>
    <t>  p43  </t>
  </si>
  <si>
    <t>  p46  </t>
  </si>
  <si>
    <t>  s39(?)  </t>
  </si>
  <si>
    <t>  p45  </t>
  </si>
  <si>
    <t>  p18  </t>
  </si>
  <si>
    <t>  p37(?)  </t>
  </si>
  <si>
    <t>  s50  </t>
  </si>
  <si>
    <t>  s52  </t>
  </si>
  <si>
    <t>  p22  </t>
  </si>
  <si>
    <t>  p9  </t>
  </si>
  <si>
    <t>  p49  </t>
  </si>
  <si>
    <t>  p32  </t>
  </si>
  <si>
    <t>  x6  </t>
  </si>
  <si>
    <t>  x46  </t>
  </si>
  <si>
    <t>  x11  </t>
  </si>
  <si>
    <t>  x8  </t>
  </si>
  <si>
    <t>  x5  </t>
  </si>
  <si>
    <t>  x9(?)  </t>
  </si>
  <si>
    <t>  x55(?)  </t>
  </si>
  <si>
    <t>  x4  </t>
  </si>
  <si>
    <t>  x49  </t>
  </si>
  <si>
    <t>  x7  </t>
  </si>
  <si>
    <t>  x1  </t>
  </si>
  <si>
    <t>  x2  </t>
  </si>
  <si>
    <t>  x3  </t>
  </si>
  <si>
    <t>  x48  </t>
  </si>
  <si>
    <t>  x54(?)  </t>
  </si>
  <si>
    <t>  x53(?)  </t>
  </si>
  <si>
    <t>  x22(?)  </t>
  </si>
  <si>
    <t>  p3  </t>
  </si>
  <si>
    <t>  p16  </t>
  </si>
  <si>
    <t>  d21(?)  </t>
  </si>
  <si>
    <t>  p12(?)  </t>
  </si>
  <si>
    <t>  d19  </t>
  </si>
  <si>
    <t>  d21  </t>
  </si>
  <si>
    <t>  p34  </t>
  </si>
  <si>
    <t>  x14  </t>
  </si>
  <si>
    <t>  x18(?)  </t>
  </si>
  <si>
    <t>  p14(?)  </t>
  </si>
  <si>
    <t>  p0(?)  </t>
  </si>
  <si>
    <t>RHS120X120X8</t>
  </si>
  <si>
    <t>  x16  </t>
  </si>
  <si>
    <t>RHS120X120X10</t>
  </si>
  <si>
    <t>  x15  </t>
  </si>
  <si>
    <t>RHS150X100X6</t>
  </si>
  <si>
    <t>  s38(?)  </t>
  </si>
  <si>
    <t>RHS150X150X6</t>
  </si>
  <si>
    <t>  x44  </t>
  </si>
  <si>
    <t>  x51  </t>
  </si>
  <si>
    <t>  x43  </t>
  </si>
  <si>
    <t>  x52  </t>
  </si>
  <si>
    <t>  x45  </t>
  </si>
  <si>
    <t>RHS150X150X8</t>
  </si>
  <si>
    <t>  p48  </t>
  </si>
  <si>
    <t>  s33  </t>
  </si>
  <si>
    <t>  s25  </t>
  </si>
  <si>
    <t>  s43  </t>
  </si>
  <si>
    <t>  s17  </t>
  </si>
  <si>
    <t>  s1  </t>
  </si>
  <si>
    <t>  s5  </t>
  </si>
  <si>
    <t>RHS180X180X8</t>
  </si>
  <si>
    <t>  s15(?)  </t>
  </si>
  <si>
    <t>  s12(?)  </t>
  </si>
  <si>
    <t>  s11  </t>
  </si>
  <si>
    <t>RHS180X180X10</t>
  </si>
  <si>
    <t>  s31  </t>
  </si>
  <si>
    <t>  s37  </t>
  </si>
  <si>
    <t>  s44(?)  </t>
  </si>
  <si>
    <t>  s4  </t>
  </si>
  <si>
    <t>Ø168.3X4.5</t>
  </si>
  <si>
    <t>S235JR</t>
  </si>
  <si>
    <t>  s21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</si>
</sst>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3" fillId="33" borderId="12" xfId="0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center" vertical="center" wrapText="1"/>
    </xf>
    <xf numFmtId="168" fontId="20" fillId="33" borderId="12" xfId="0" applyNumberFormat="1" applyFont="1" applyFill="1" applyBorder="1" applyAlignment="1">
      <alignment horizontal="right" vertical="center" wrapText="1"/>
    </xf>
    <xf numFmtId="0" fontId="21" fillId="33" borderId="12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  <xf numFmtId="0" fontId="22" fillId="33" borderId="13" xfId="0" applyFont="1" applyFill="1" applyBorder="1" applyAlignment="1">
      <alignment horizontal="left"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65FF-8DD6-43C9-B4C2-A7627D9220AA}">
  <dimension ref="A1:G463"/>
  <sheetViews>
    <sheetView tabSelected="1" topLeftCell="A400" workbookViewId="0">
      <selection activeCell="M18" sqref="M18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1" style="1" bestFit="1" customWidth="1"/>
    <col min="8" max="16384" width="11.42578125" style="1"/>
  </cols>
  <sheetData>
    <row r="1" spans="1:7" ht="14.25" thickTop="1" thickBot="1">
      <c r="A1" s="2" t="s">
        <v>0</v>
      </c>
      <c r="B1" s="3">
        <v>30480</v>
      </c>
      <c r="C1" s="2" t="s">
        <v>1</v>
      </c>
      <c r="D1" s="3">
        <v>0</v>
      </c>
      <c r="E1" s="4" t="s">
        <v>2</v>
      </c>
      <c r="F1" s="5">
        <v>148514.44</v>
      </c>
      <c r="G1" s="6"/>
    </row>
    <row r="2" spans="1:7" ht="13.5" thickTop="1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  <c r="G2" s="26" t="e" cm="1">
        <f t="array" aca="1" ref="G2" ca="1">_xludf.LEFT(A5,_xludf.FIND("_",A5)-1)</f>
        <v>#NAME?</v>
      </c>
    </row>
    <row r="3" spans="1:7">
      <c r="A3" s="2" t="s">
        <v>8</v>
      </c>
      <c r="B3" s="9" t="s">
        <v>9</v>
      </c>
      <c r="C3" s="2" t="s">
        <v>10</v>
      </c>
      <c r="D3" s="3" t="s">
        <v>11</v>
      </c>
      <c r="E3" s="2" t="s">
        <v>12</v>
      </c>
      <c r="F3" s="3" t="s">
        <v>13</v>
      </c>
      <c r="G3" s="26" t="e" cm="1">
        <f t="array" aca="1" ref="G3" ca="1">_xludf.RIGHT(A5,_xludf.LEN(A5)-_xludf.FIND("|",_xludf.SUBSTITUTE(A5,".","|",_xludf.LEN(A5)-_xludf.LEN(_xludf.SUBSTITUTE(A5,".","")))))</f>
        <v>#NAME?</v>
      </c>
    </row>
    <row r="4" spans="1:7">
      <c r="A4" s="11" t="e" cm="1">
        <f t="array" aca="1" ref="A4" ca="1">_xludf.IF(B1="","ERROR: Project number cell (B1) shouldn't be empty", _xludf.IF(_xludf.EXACT(B1,G2),"", "ERROR: File name does not match project number"))</f>
        <v>#NAME?</v>
      </c>
      <c r="B4" s="11"/>
      <c r="C4" s="11"/>
      <c r="D4" s="11"/>
      <c r="E4" s="11"/>
    </row>
    <row r="5" spans="1:7">
      <c r="A5" s="10" t="e" cm="1">
        <f t="array" aca="1" ref="A5" ca="1">_xludf.MID(_xludf.CELL("filename",A1),_xludf.FIND("[",_xludf.CELL("filename",A1))+1,_xludf.FIND("]", _xludf.CELL("filename",A1))-_xludf.FIND("[",_xludf.CELL("filename",A1))-1)</f>
        <v>#NAME?</v>
      </c>
      <c r="B5" s="10"/>
      <c r="C5" s="10"/>
      <c r="D5" s="10"/>
      <c r="E5" s="10"/>
      <c r="F5" s="10"/>
      <c r="G5" s="10"/>
    </row>
    <row r="6" spans="1:7">
      <c r="A6" s="24"/>
      <c r="B6" s="25"/>
      <c r="C6" s="25"/>
      <c r="D6" s="25"/>
      <c r="E6" s="25"/>
      <c r="F6" s="25"/>
      <c r="G6" s="25"/>
    </row>
    <row r="7" spans="1:7">
      <c r="A7" s="12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  <c r="G7" s="12" t="s">
        <v>20</v>
      </c>
    </row>
    <row r="8" spans="1:7">
      <c r="A8" s="8" t="s">
        <v>21</v>
      </c>
      <c r="B8" s="13" t="s">
        <v>22</v>
      </c>
      <c r="C8" s="14">
        <v>138</v>
      </c>
      <c r="D8" s="15">
        <v>260</v>
      </c>
      <c r="E8" s="15">
        <v>1.38</v>
      </c>
      <c r="F8" s="15">
        <v>190.12</v>
      </c>
      <c r="G8" s="8" t="s">
        <v>23</v>
      </c>
    </row>
    <row r="9" spans="1:7">
      <c r="A9" s="8" t="s">
        <v>21</v>
      </c>
      <c r="B9" s="13" t="s">
        <v>22</v>
      </c>
      <c r="C9" s="14">
        <v>4</v>
      </c>
      <c r="D9" s="15">
        <v>1675</v>
      </c>
      <c r="E9" s="15">
        <v>8.8800000000000008</v>
      </c>
      <c r="F9" s="15">
        <v>35.5</v>
      </c>
      <c r="G9" s="8" t="s">
        <v>24</v>
      </c>
    </row>
    <row r="10" spans="1:7">
      <c r="A10" s="8" t="s">
        <v>21</v>
      </c>
      <c r="B10" s="13" t="s">
        <v>22</v>
      </c>
      <c r="C10" s="14">
        <v>2</v>
      </c>
      <c r="D10" s="15">
        <v>4503</v>
      </c>
      <c r="E10" s="15">
        <v>23.86</v>
      </c>
      <c r="F10" s="15">
        <v>47.72</v>
      </c>
      <c r="G10" s="8" t="s">
        <v>25</v>
      </c>
    </row>
    <row r="11" spans="1:7">
      <c r="A11" s="8" t="s">
        <v>21</v>
      </c>
      <c r="B11" s="13" t="s">
        <v>22</v>
      </c>
      <c r="C11" s="14">
        <v>4</v>
      </c>
      <c r="D11" s="15">
        <v>4524</v>
      </c>
      <c r="E11" s="15">
        <v>23.97</v>
      </c>
      <c r="F11" s="15">
        <v>95.89</v>
      </c>
      <c r="G11" s="8" t="s">
        <v>26</v>
      </c>
    </row>
    <row r="12" spans="1:7">
      <c r="A12" s="8" t="s">
        <v>21</v>
      </c>
      <c r="B12" s="13" t="s">
        <v>22</v>
      </c>
      <c r="C12" s="14">
        <v>1</v>
      </c>
      <c r="D12" s="15">
        <v>4649</v>
      </c>
      <c r="E12" s="15">
        <v>24.63</v>
      </c>
      <c r="F12" s="15">
        <v>24.63</v>
      </c>
      <c r="G12" s="8" t="s">
        <v>27</v>
      </c>
    </row>
    <row r="13" spans="1:7">
      <c r="A13" s="8" t="s">
        <v>21</v>
      </c>
      <c r="B13" s="13" t="s">
        <v>22</v>
      </c>
      <c r="C13" s="14">
        <v>1</v>
      </c>
      <c r="D13" s="15">
        <v>4732</v>
      </c>
      <c r="E13" s="15">
        <v>25.07</v>
      </c>
      <c r="F13" s="15">
        <v>25.07</v>
      </c>
      <c r="G13" s="8" t="s">
        <v>28</v>
      </c>
    </row>
    <row r="14" spans="1:7">
      <c r="A14" s="8" t="s">
        <v>21</v>
      </c>
      <c r="B14" s="13" t="s">
        <v>22</v>
      </c>
      <c r="C14" s="14">
        <v>1</v>
      </c>
      <c r="D14" s="15">
        <v>4742</v>
      </c>
      <c r="E14" s="15">
        <v>25.12</v>
      </c>
      <c r="F14" s="15">
        <v>25.12</v>
      </c>
      <c r="G14" s="8" t="s">
        <v>29</v>
      </c>
    </row>
    <row r="15" spans="1:7">
      <c r="A15" s="8" t="s">
        <v>21</v>
      </c>
      <c r="B15" s="13" t="s">
        <v>22</v>
      </c>
      <c r="C15" s="14">
        <v>4</v>
      </c>
      <c r="D15" s="15">
        <v>4808</v>
      </c>
      <c r="E15" s="15">
        <v>25.48</v>
      </c>
      <c r="F15" s="15">
        <v>101.91</v>
      </c>
      <c r="G15" s="8" t="s">
        <v>30</v>
      </c>
    </row>
    <row r="16" spans="1:7">
      <c r="A16" s="8" t="s">
        <v>21</v>
      </c>
      <c r="B16" s="13" t="s">
        <v>22</v>
      </c>
      <c r="C16" s="14">
        <v>2</v>
      </c>
      <c r="D16" s="15">
        <v>4942</v>
      </c>
      <c r="E16" s="15">
        <v>26.19</v>
      </c>
      <c r="F16" s="15">
        <v>52.38</v>
      </c>
      <c r="G16" s="8" t="s">
        <v>31</v>
      </c>
    </row>
    <row r="17" spans="1:7">
      <c r="A17" s="8" t="s">
        <v>21</v>
      </c>
      <c r="B17" s="13" t="s">
        <v>22</v>
      </c>
      <c r="C17" s="14">
        <v>1</v>
      </c>
      <c r="D17" s="15">
        <v>4950</v>
      </c>
      <c r="E17" s="15">
        <v>26.23</v>
      </c>
      <c r="F17" s="15">
        <v>26.23</v>
      </c>
      <c r="G17" s="8" t="s">
        <v>32</v>
      </c>
    </row>
    <row r="18" spans="1:7">
      <c r="A18" s="8" t="s">
        <v>21</v>
      </c>
      <c r="B18" s="13" t="s">
        <v>22</v>
      </c>
      <c r="C18" s="14">
        <v>1</v>
      </c>
      <c r="D18" s="15">
        <v>5025</v>
      </c>
      <c r="E18" s="15">
        <v>26.62</v>
      </c>
      <c r="F18" s="15">
        <v>26.62</v>
      </c>
      <c r="G18" s="8" t="s">
        <v>33</v>
      </c>
    </row>
    <row r="19" spans="1:7">
      <c r="A19" s="8" t="s">
        <v>21</v>
      </c>
      <c r="B19" s="13" t="s">
        <v>22</v>
      </c>
      <c r="C19" s="14">
        <v>1</v>
      </c>
      <c r="D19" s="15">
        <v>5053</v>
      </c>
      <c r="E19" s="15">
        <v>26.77</v>
      </c>
      <c r="F19" s="15">
        <v>26.77</v>
      </c>
      <c r="G19" s="8" t="s">
        <v>34</v>
      </c>
    </row>
    <row r="20" spans="1:7">
      <c r="A20" s="8" t="s">
        <v>21</v>
      </c>
      <c r="B20" s="13" t="s">
        <v>22</v>
      </c>
      <c r="C20" s="14">
        <v>8</v>
      </c>
      <c r="D20" s="15">
        <v>5137</v>
      </c>
      <c r="E20" s="15">
        <v>27.22</v>
      </c>
      <c r="F20" s="15">
        <v>217.74</v>
      </c>
      <c r="G20" s="8" t="s">
        <v>35</v>
      </c>
    </row>
    <row r="21" spans="1:7">
      <c r="A21" s="8" t="s">
        <v>21</v>
      </c>
      <c r="B21" s="13" t="s">
        <v>22</v>
      </c>
      <c r="C21" s="14">
        <v>4</v>
      </c>
      <c r="D21" s="15">
        <v>5250</v>
      </c>
      <c r="E21" s="15">
        <v>27.82</v>
      </c>
      <c r="F21" s="15">
        <v>111.27</v>
      </c>
      <c r="G21" s="8" t="s">
        <v>36</v>
      </c>
    </row>
    <row r="22" spans="1:7">
      <c r="A22" s="8" t="s">
        <v>21</v>
      </c>
      <c r="B22" s="13" t="s">
        <v>22</v>
      </c>
      <c r="C22" s="14">
        <v>4</v>
      </c>
      <c r="D22" s="15">
        <v>5303</v>
      </c>
      <c r="E22" s="15">
        <v>28.1</v>
      </c>
      <c r="F22" s="15">
        <v>112.4</v>
      </c>
      <c r="G22" s="8" t="s">
        <v>35</v>
      </c>
    </row>
    <row r="23" spans="1:7">
      <c r="A23" s="8" t="s">
        <v>21</v>
      </c>
      <c r="B23" s="13" t="s">
        <v>22</v>
      </c>
      <c r="C23" s="14">
        <v>3</v>
      </c>
      <c r="D23" s="15">
        <v>5817</v>
      </c>
      <c r="E23" s="15">
        <v>30.82</v>
      </c>
      <c r="F23" s="15">
        <v>92.46</v>
      </c>
      <c r="G23" s="8" t="s">
        <v>37</v>
      </c>
    </row>
    <row r="24" spans="1:7">
      <c r="A24" s="8" t="s">
        <v>21</v>
      </c>
      <c r="B24" s="13" t="s">
        <v>22</v>
      </c>
      <c r="C24" s="14">
        <v>2</v>
      </c>
      <c r="D24" s="15">
        <v>5864</v>
      </c>
      <c r="E24" s="15">
        <v>31.07</v>
      </c>
      <c r="F24" s="15">
        <v>62.14</v>
      </c>
      <c r="G24" s="8" t="s">
        <v>38</v>
      </c>
    </row>
    <row r="25" spans="1:7">
      <c r="A25" s="8" t="s">
        <v>21</v>
      </c>
      <c r="B25" s="13" t="s">
        <v>22</v>
      </c>
      <c r="C25" s="14">
        <v>4</v>
      </c>
      <c r="D25" s="15">
        <v>5873</v>
      </c>
      <c r="E25" s="15">
        <v>31.12</v>
      </c>
      <c r="F25" s="15">
        <v>124.48</v>
      </c>
      <c r="G25" s="8" t="s">
        <v>39</v>
      </c>
    </row>
    <row r="26" spans="1:7">
      <c r="A26" s="8" t="s">
        <v>21</v>
      </c>
      <c r="B26" s="13" t="s">
        <v>22</v>
      </c>
      <c r="C26" s="14">
        <v>16</v>
      </c>
      <c r="D26" s="15">
        <v>5922</v>
      </c>
      <c r="E26" s="15">
        <v>31.38</v>
      </c>
      <c r="F26" s="15">
        <v>502.04</v>
      </c>
      <c r="G26" s="8" t="s">
        <v>40</v>
      </c>
    </row>
    <row r="27" spans="1:7">
      <c r="A27" s="8" t="s">
        <v>21</v>
      </c>
      <c r="B27" s="13" t="s">
        <v>22</v>
      </c>
      <c r="C27" s="14">
        <v>1</v>
      </c>
      <c r="D27" s="15">
        <v>5924</v>
      </c>
      <c r="E27" s="15">
        <v>31.39</v>
      </c>
      <c r="F27" s="15">
        <v>31.39</v>
      </c>
      <c r="G27" s="8" t="s">
        <v>41</v>
      </c>
    </row>
    <row r="28" spans="1:7">
      <c r="A28" s="8" t="s">
        <v>21</v>
      </c>
      <c r="B28" s="13" t="s">
        <v>22</v>
      </c>
      <c r="C28" s="14">
        <v>1</v>
      </c>
      <c r="D28" s="15">
        <v>5936</v>
      </c>
      <c r="E28" s="15">
        <v>31.45</v>
      </c>
      <c r="F28" s="15">
        <v>31.45</v>
      </c>
      <c r="G28" s="8" t="s">
        <v>42</v>
      </c>
    </row>
    <row r="29" spans="1:7">
      <c r="A29" s="8" t="s">
        <v>21</v>
      </c>
      <c r="B29" s="13" t="s">
        <v>22</v>
      </c>
      <c r="C29" s="14">
        <v>4</v>
      </c>
      <c r="D29" s="15">
        <v>6288</v>
      </c>
      <c r="E29" s="15">
        <v>33.32</v>
      </c>
      <c r="F29" s="15">
        <v>133.28</v>
      </c>
      <c r="G29" s="8" t="s">
        <v>43</v>
      </c>
    </row>
    <row r="30" spans="1:7">
      <c r="A30" s="8" t="s">
        <v>21</v>
      </c>
      <c r="B30" s="13" t="s">
        <v>22</v>
      </c>
      <c r="C30" s="14">
        <v>1</v>
      </c>
      <c r="D30" s="15">
        <v>6397</v>
      </c>
      <c r="E30" s="15">
        <v>33.89</v>
      </c>
      <c r="F30" s="15">
        <v>33.89</v>
      </c>
      <c r="G30" s="8" t="s">
        <v>44</v>
      </c>
    </row>
    <row r="31" spans="1:7">
      <c r="A31" s="3"/>
      <c r="B31" s="3" t="s">
        <v>45</v>
      </c>
      <c r="C31" s="16">
        <v>208</v>
      </c>
      <c r="D31" s="15">
        <v>402089</v>
      </c>
      <c r="E31" s="3"/>
      <c r="F31" s="15">
        <v>2130.5300000000002</v>
      </c>
    </row>
    <row r="32" spans="1:7">
      <c r="A32" s="17"/>
    </row>
    <row r="33" spans="1:7">
      <c r="A33" s="8" t="s">
        <v>46</v>
      </c>
      <c r="B33" s="18" t="s">
        <v>47</v>
      </c>
      <c r="C33" s="14">
        <v>18</v>
      </c>
      <c r="D33" s="15">
        <v>110</v>
      </c>
      <c r="E33" s="15">
        <v>0.2</v>
      </c>
      <c r="F33" s="15">
        <v>3.62</v>
      </c>
      <c r="G33" s="8" t="s">
        <v>48</v>
      </c>
    </row>
    <row r="34" spans="1:7">
      <c r="A34" s="3"/>
      <c r="B34" s="3" t="s">
        <v>45</v>
      </c>
      <c r="C34" s="16">
        <v>18</v>
      </c>
      <c r="D34" s="15">
        <v>1980</v>
      </c>
      <c r="E34" s="3"/>
      <c r="F34" s="15">
        <v>3.62</v>
      </c>
    </row>
    <row r="35" spans="1:7">
      <c r="A35" s="17"/>
    </row>
    <row r="36" spans="1:7">
      <c r="A36" s="8" t="s">
        <v>49</v>
      </c>
      <c r="B36" s="18" t="s">
        <v>47</v>
      </c>
      <c r="C36" s="14">
        <v>18</v>
      </c>
      <c r="D36" s="15">
        <v>110</v>
      </c>
      <c r="E36" s="15">
        <v>0.2</v>
      </c>
      <c r="F36" s="15">
        <v>3.62</v>
      </c>
      <c r="G36" s="8" t="s">
        <v>48</v>
      </c>
    </row>
    <row r="37" spans="1:7">
      <c r="A37" s="3"/>
      <c r="B37" s="3" t="s">
        <v>45</v>
      </c>
      <c r="C37" s="16">
        <v>18</v>
      </c>
      <c r="D37" s="15">
        <v>1980</v>
      </c>
      <c r="E37" s="3"/>
      <c r="F37" s="15">
        <v>3.62</v>
      </c>
    </row>
    <row r="38" spans="1:7">
      <c r="A38" s="17"/>
    </row>
    <row r="39" spans="1:7">
      <c r="A39" s="8" t="s">
        <v>50</v>
      </c>
      <c r="B39" s="18" t="s">
        <v>47</v>
      </c>
      <c r="C39" s="14">
        <v>2</v>
      </c>
      <c r="D39" s="15">
        <v>120</v>
      </c>
      <c r="E39" s="15">
        <v>0.28000000000000003</v>
      </c>
      <c r="F39" s="15">
        <v>0.56999999999999995</v>
      </c>
      <c r="G39" s="8" t="s">
        <v>51</v>
      </c>
    </row>
    <row r="40" spans="1:7">
      <c r="A40" s="3"/>
      <c r="B40" s="3" t="s">
        <v>45</v>
      </c>
      <c r="C40" s="16">
        <v>2</v>
      </c>
      <c r="D40" s="15">
        <v>240</v>
      </c>
      <c r="E40" s="3"/>
      <c r="F40" s="15">
        <v>0.56999999999999995</v>
      </c>
    </row>
    <row r="41" spans="1:7">
      <c r="A41" s="17"/>
    </row>
    <row r="42" spans="1:7">
      <c r="A42" s="8" t="s">
        <v>52</v>
      </c>
      <c r="B42" s="18" t="s">
        <v>47</v>
      </c>
      <c r="C42" s="14">
        <v>96</v>
      </c>
      <c r="D42" s="15">
        <v>90</v>
      </c>
      <c r="E42" s="15">
        <v>0.32</v>
      </c>
      <c r="F42" s="15">
        <v>30.52</v>
      </c>
      <c r="G42" s="8" t="s">
        <v>53</v>
      </c>
    </row>
    <row r="43" spans="1:7">
      <c r="A43" s="8" t="s">
        <v>52</v>
      </c>
      <c r="B43" s="18" t="s">
        <v>47</v>
      </c>
      <c r="C43" s="14">
        <v>8</v>
      </c>
      <c r="D43" s="15">
        <v>108</v>
      </c>
      <c r="E43" s="15">
        <v>0.3</v>
      </c>
      <c r="F43" s="15">
        <v>2.39</v>
      </c>
      <c r="G43" s="8" t="s">
        <v>54</v>
      </c>
    </row>
    <row r="44" spans="1:7">
      <c r="A44" s="3"/>
      <c r="B44" s="3" t="s">
        <v>45</v>
      </c>
      <c r="C44" s="16">
        <v>104</v>
      </c>
      <c r="D44" s="15">
        <v>9504</v>
      </c>
      <c r="E44" s="3"/>
      <c r="F44" s="15">
        <v>32.909999999999997</v>
      </c>
    </row>
    <row r="45" spans="1:7" ht="13.5" thickBot="1">
      <c r="A45" s="17"/>
    </row>
    <row r="46" spans="1:7" ht="13.5" thickBot="1">
      <c r="A46" s="7" t="s">
        <v>55</v>
      </c>
      <c r="B46" s="19" t="s">
        <v>22</v>
      </c>
      <c r="C46" s="20">
        <v>4</v>
      </c>
      <c r="D46" s="21">
        <v>4695</v>
      </c>
      <c r="E46" s="21">
        <v>39.619999999999997</v>
      </c>
      <c r="F46" s="21">
        <v>158.47999999999999</v>
      </c>
      <c r="G46" s="7" t="s">
        <v>56</v>
      </c>
    </row>
    <row r="47" spans="1:7" ht="13.5" thickBot="1">
      <c r="A47" s="7" t="s">
        <v>55</v>
      </c>
      <c r="B47" s="19" t="s">
        <v>22</v>
      </c>
      <c r="C47" s="20">
        <v>18</v>
      </c>
      <c r="D47" s="21">
        <v>4800</v>
      </c>
      <c r="E47" s="21">
        <v>40.51</v>
      </c>
      <c r="F47" s="21">
        <v>729.11</v>
      </c>
      <c r="G47" s="7" t="s">
        <v>57</v>
      </c>
    </row>
    <row r="48" spans="1:7" ht="13.5" thickBot="1">
      <c r="A48" s="7" t="s">
        <v>55</v>
      </c>
      <c r="B48" s="19" t="s">
        <v>22</v>
      </c>
      <c r="C48" s="20">
        <v>4</v>
      </c>
      <c r="D48" s="21">
        <v>5000</v>
      </c>
      <c r="E48" s="21">
        <v>42.19</v>
      </c>
      <c r="F48" s="21">
        <v>168.78</v>
      </c>
      <c r="G48" s="7" t="s">
        <v>58</v>
      </c>
    </row>
    <row r="49" spans="1:7">
      <c r="A49" s="3"/>
      <c r="B49" s="3" t="s">
        <v>45</v>
      </c>
      <c r="C49" s="16">
        <v>26</v>
      </c>
      <c r="D49" s="15">
        <v>125180</v>
      </c>
      <c r="E49" s="3"/>
      <c r="F49" s="15">
        <v>1056.3599999999999</v>
      </c>
    </row>
    <row r="50" spans="1:7">
      <c r="A50" s="17"/>
    </row>
    <row r="51" spans="1:7">
      <c r="A51" s="8" t="s">
        <v>59</v>
      </c>
      <c r="B51" s="18" t="s">
        <v>47</v>
      </c>
      <c r="C51" s="14">
        <v>26</v>
      </c>
      <c r="D51" s="15">
        <v>220</v>
      </c>
      <c r="E51" s="15">
        <v>0.51</v>
      </c>
      <c r="F51" s="15">
        <v>13.37</v>
      </c>
      <c r="G51" s="8" t="s">
        <v>60</v>
      </c>
    </row>
    <row r="52" spans="1:7">
      <c r="A52" s="3"/>
      <c r="B52" s="3" t="s">
        <v>45</v>
      </c>
      <c r="C52" s="16">
        <v>26</v>
      </c>
      <c r="D52" s="15">
        <v>5720</v>
      </c>
      <c r="E52" s="3"/>
      <c r="F52" s="15">
        <v>13.37</v>
      </c>
    </row>
    <row r="53" spans="1:7">
      <c r="A53" s="17"/>
    </row>
    <row r="54" spans="1:7">
      <c r="A54" s="8" t="s">
        <v>61</v>
      </c>
      <c r="B54" s="18" t="s">
        <v>47</v>
      </c>
      <c r="C54" s="14">
        <v>2</v>
      </c>
      <c r="D54" s="15">
        <v>250</v>
      </c>
      <c r="E54" s="15">
        <v>1.37</v>
      </c>
      <c r="F54" s="15">
        <v>2.75</v>
      </c>
      <c r="G54" s="8" t="s">
        <v>62</v>
      </c>
    </row>
    <row r="55" spans="1:7">
      <c r="A55" s="3"/>
      <c r="B55" s="3" t="s">
        <v>45</v>
      </c>
      <c r="C55" s="16">
        <v>2</v>
      </c>
      <c r="D55" s="15">
        <v>500</v>
      </c>
      <c r="E55" s="3"/>
      <c r="F55" s="15">
        <v>2.75</v>
      </c>
    </row>
    <row r="56" spans="1:7">
      <c r="A56" s="17"/>
    </row>
    <row r="57" spans="1:7">
      <c r="A57" s="8" t="s">
        <v>63</v>
      </c>
      <c r="B57" s="18" t="s">
        <v>47</v>
      </c>
      <c r="C57" s="14">
        <v>2</v>
      </c>
      <c r="D57" s="15">
        <v>261</v>
      </c>
      <c r="E57" s="15">
        <v>1.63</v>
      </c>
      <c r="F57" s="15">
        <v>3.26</v>
      </c>
      <c r="G57" s="8" t="s">
        <v>64</v>
      </c>
    </row>
    <row r="58" spans="1:7">
      <c r="A58" s="8" t="s">
        <v>63</v>
      </c>
      <c r="B58" s="18" t="s">
        <v>47</v>
      </c>
      <c r="C58" s="14">
        <v>14</v>
      </c>
      <c r="D58" s="15">
        <v>373</v>
      </c>
      <c r="E58" s="15">
        <v>2.33</v>
      </c>
      <c r="F58" s="15">
        <v>32.57</v>
      </c>
      <c r="G58" s="8" t="s">
        <v>65</v>
      </c>
    </row>
    <row r="59" spans="1:7">
      <c r="A59" s="3"/>
      <c r="B59" s="3" t="s">
        <v>45</v>
      </c>
      <c r="C59" s="16">
        <v>16</v>
      </c>
      <c r="D59" s="15">
        <v>5744</v>
      </c>
      <c r="E59" s="3"/>
      <c r="F59" s="15">
        <v>35.83</v>
      </c>
    </row>
    <row r="60" spans="1:7">
      <c r="A60" s="17"/>
    </row>
    <row r="61" spans="1:7">
      <c r="A61" s="8" t="s">
        <v>66</v>
      </c>
      <c r="B61" s="18" t="s">
        <v>47</v>
      </c>
      <c r="C61" s="14">
        <v>1</v>
      </c>
      <c r="D61" s="15">
        <v>90</v>
      </c>
      <c r="E61" s="15">
        <v>0.64</v>
      </c>
      <c r="F61" s="15">
        <v>0.64</v>
      </c>
      <c r="G61" s="8" t="s">
        <v>51</v>
      </c>
    </row>
    <row r="62" spans="1:7">
      <c r="A62" s="8" t="s">
        <v>66</v>
      </c>
      <c r="B62" s="18" t="s">
        <v>47</v>
      </c>
      <c r="C62" s="14">
        <v>1</v>
      </c>
      <c r="D62" s="15">
        <v>100</v>
      </c>
      <c r="E62" s="15">
        <v>0.71</v>
      </c>
      <c r="F62" s="15">
        <v>0.71</v>
      </c>
      <c r="G62" s="8" t="s">
        <v>51</v>
      </c>
    </row>
    <row r="63" spans="1:7">
      <c r="A63" s="8" t="s">
        <v>66</v>
      </c>
      <c r="B63" s="18" t="s">
        <v>47</v>
      </c>
      <c r="C63" s="14">
        <v>8</v>
      </c>
      <c r="D63" s="15">
        <v>108</v>
      </c>
      <c r="E63" s="15">
        <v>0.76</v>
      </c>
      <c r="F63" s="15">
        <v>6.1</v>
      </c>
      <c r="G63" s="8" t="s">
        <v>51</v>
      </c>
    </row>
    <row r="64" spans="1:7">
      <c r="A64" s="8" t="s">
        <v>66</v>
      </c>
      <c r="B64" s="18" t="s">
        <v>47</v>
      </c>
      <c r="C64" s="14">
        <v>126</v>
      </c>
      <c r="D64" s="15">
        <v>140</v>
      </c>
      <c r="E64" s="15">
        <v>0.99</v>
      </c>
      <c r="F64" s="15">
        <v>124.63</v>
      </c>
      <c r="G64" s="8" t="s">
        <v>51</v>
      </c>
    </row>
    <row r="65" spans="1:7">
      <c r="A65" s="8" t="s">
        <v>66</v>
      </c>
      <c r="B65" s="18" t="s">
        <v>47</v>
      </c>
      <c r="C65" s="14">
        <v>20</v>
      </c>
      <c r="D65" s="15">
        <v>190</v>
      </c>
      <c r="E65" s="15">
        <v>1.34</v>
      </c>
      <c r="F65" s="15">
        <v>26.85</v>
      </c>
      <c r="G65" s="8" t="s">
        <v>51</v>
      </c>
    </row>
    <row r="66" spans="1:7">
      <c r="A66" s="8" t="s">
        <v>66</v>
      </c>
      <c r="B66" s="18" t="s">
        <v>47</v>
      </c>
      <c r="C66" s="14">
        <v>3</v>
      </c>
      <c r="D66" s="15">
        <v>240</v>
      </c>
      <c r="E66" s="15">
        <v>1.7</v>
      </c>
      <c r="F66" s="15">
        <v>5.09</v>
      </c>
      <c r="G66" s="8" t="s">
        <v>67</v>
      </c>
    </row>
    <row r="67" spans="1:7">
      <c r="A67" s="3"/>
      <c r="B67" s="3" t="s">
        <v>45</v>
      </c>
      <c r="C67" s="16">
        <v>159</v>
      </c>
      <c r="D67" s="15">
        <v>23214</v>
      </c>
      <c r="E67" s="3"/>
      <c r="F67" s="15">
        <v>164.01</v>
      </c>
    </row>
    <row r="68" spans="1:7">
      <c r="A68" s="17"/>
    </row>
    <row r="69" spans="1:7">
      <c r="A69" s="8" t="s">
        <v>68</v>
      </c>
      <c r="B69" s="18" t="s">
        <v>47</v>
      </c>
      <c r="C69" s="14">
        <v>4</v>
      </c>
      <c r="D69" s="15">
        <v>124</v>
      </c>
      <c r="E69" s="15">
        <v>0.98</v>
      </c>
      <c r="F69" s="15">
        <v>3.91</v>
      </c>
      <c r="G69" s="8" t="s">
        <v>51</v>
      </c>
    </row>
    <row r="70" spans="1:7">
      <c r="A70" s="8" t="s">
        <v>68</v>
      </c>
      <c r="B70" s="18" t="s">
        <v>47</v>
      </c>
      <c r="C70" s="14">
        <v>24</v>
      </c>
      <c r="D70" s="15">
        <v>150</v>
      </c>
      <c r="E70" s="15">
        <v>1.18</v>
      </c>
      <c r="F70" s="15">
        <v>28.26</v>
      </c>
      <c r="G70" s="8" t="s">
        <v>69</v>
      </c>
    </row>
    <row r="71" spans="1:7">
      <c r="A71" s="3"/>
      <c r="B71" s="3" t="s">
        <v>45</v>
      </c>
      <c r="C71" s="16">
        <v>28</v>
      </c>
      <c r="D71" s="15">
        <v>4096</v>
      </c>
      <c r="E71" s="3"/>
      <c r="F71" s="15">
        <v>32.17</v>
      </c>
    </row>
    <row r="72" spans="1:7">
      <c r="A72" s="17"/>
    </row>
    <row r="73" spans="1:7">
      <c r="A73" s="8" t="s">
        <v>70</v>
      </c>
      <c r="B73" s="18" t="s">
        <v>47</v>
      </c>
      <c r="C73" s="14">
        <v>4</v>
      </c>
      <c r="D73" s="15">
        <v>220</v>
      </c>
      <c r="E73" s="15">
        <v>1.9</v>
      </c>
      <c r="F73" s="15">
        <v>7.6</v>
      </c>
      <c r="G73" s="8" t="s">
        <v>51</v>
      </c>
    </row>
    <row r="74" spans="1:7">
      <c r="A74" s="8" t="s">
        <v>70</v>
      </c>
      <c r="B74" s="18" t="s">
        <v>47</v>
      </c>
      <c r="C74" s="14">
        <v>4</v>
      </c>
      <c r="D74" s="15">
        <v>250</v>
      </c>
      <c r="E74" s="15">
        <v>2.16</v>
      </c>
      <c r="F74" s="15">
        <v>8.64</v>
      </c>
      <c r="G74" s="8" t="s">
        <v>51</v>
      </c>
    </row>
    <row r="75" spans="1:7">
      <c r="A75" s="3"/>
      <c r="B75" s="3" t="s">
        <v>45</v>
      </c>
      <c r="C75" s="16">
        <v>8</v>
      </c>
      <c r="D75" s="15">
        <v>1880</v>
      </c>
      <c r="E75" s="3"/>
      <c r="F75" s="15">
        <v>16.23</v>
      </c>
    </row>
    <row r="76" spans="1:7">
      <c r="A76" s="17"/>
    </row>
    <row r="77" spans="1:7">
      <c r="A77" s="8" t="s">
        <v>71</v>
      </c>
      <c r="B77" s="18" t="s">
        <v>47</v>
      </c>
      <c r="C77" s="14">
        <v>4</v>
      </c>
      <c r="D77" s="15">
        <v>150</v>
      </c>
      <c r="E77" s="15">
        <v>1.41</v>
      </c>
      <c r="F77" s="15">
        <v>5.65</v>
      </c>
      <c r="G77" s="8" t="s">
        <v>72</v>
      </c>
    </row>
    <row r="78" spans="1:7">
      <c r="A78" s="8" t="s">
        <v>71</v>
      </c>
      <c r="B78" s="18" t="s">
        <v>47</v>
      </c>
      <c r="C78" s="14">
        <v>4</v>
      </c>
      <c r="D78" s="15">
        <v>210</v>
      </c>
      <c r="E78" s="15">
        <v>1.98</v>
      </c>
      <c r="F78" s="15">
        <v>7.91</v>
      </c>
      <c r="G78" s="8" t="s">
        <v>51</v>
      </c>
    </row>
    <row r="79" spans="1:7">
      <c r="A79" s="8" t="s">
        <v>71</v>
      </c>
      <c r="B79" s="18" t="s">
        <v>47</v>
      </c>
      <c r="C79" s="14">
        <v>4</v>
      </c>
      <c r="D79" s="15">
        <v>300</v>
      </c>
      <c r="E79" s="15">
        <v>2.83</v>
      </c>
      <c r="F79" s="15">
        <v>11.3</v>
      </c>
      <c r="G79" s="8" t="s">
        <v>54</v>
      </c>
    </row>
    <row r="80" spans="1:7">
      <c r="A80" s="3"/>
      <c r="B80" s="3" t="s">
        <v>45</v>
      </c>
      <c r="C80" s="16">
        <v>12</v>
      </c>
      <c r="D80" s="15">
        <v>2640</v>
      </c>
      <c r="E80" s="3"/>
      <c r="F80" s="15">
        <v>24.87</v>
      </c>
    </row>
    <row r="81" spans="1:7">
      <c r="A81" s="17"/>
    </row>
    <row r="82" spans="1:7">
      <c r="A82" s="8" t="s">
        <v>73</v>
      </c>
      <c r="B82" s="18" t="s">
        <v>47</v>
      </c>
      <c r="C82" s="14">
        <v>2</v>
      </c>
      <c r="D82" s="15">
        <v>190</v>
      </c>
      <c r="E82" s="15">
        <v>1.94</v>
      </c>
      <c r="F82" s="15">
        <v>3.88</v>
      </c>
      <c r="G82" s="8" t="s">
        <v>51</v>
      </c>
    </row>
    <row r="83" spans="1:7">
      <c r="A83" s="3"/>
      <c r="B83" s="3" t="s">
        <v>45</v>
      </c>
      <c r="C83" s="16">
        <v>2</v>
      </c>
      <c r="D83" s="15">
        <v>380</v>
      </c>
      <c r="E83" s="3"/>
      <c r="F83" s="15">
        <v>3.88</v>
      </c>
    </row>
    <row r="84" spans="1:7">
      <c r="A84" s="17"/>
    </row>
    <row r="85" spans="1:7">
      <c r="A85" s="8" t="s">
        <v>74</v>
      </c>
      <c r="B85" s="18" t="s">
        <v>47</v>
      </c>
      <c r="C85" s="14">
        <v>2</v>
      </c>
      <c r="D85" s="15">
        <v>150</v>
      </c>
      <c r="E85" s="15">
        <v>1.59</v>
      </c>
      <c r="F85" s="15">
        <v>3.18</v>
      </c>
      <c r="G85" s="8" t="s">
        <v>75</v>
      </c>
    </row>
    <row r="86" spans="1:7">
      <c r="A86" s="3"/>
      <c r="B86" s="3" t="s">
        <v>45</v>
      </c>
      <c r="C86" s="16">
        <v>2</v>
      </c>
      <c r="D86" s="15">
        <v>300</v>
      </c>
      <c r="E86" s="3"/>
      <c r="F86" s="15">
        <v>3.18</v>
      </c>
    </row>
    <row r="87" spans="1:7">
      <c r="A87" s="17"/>
    </row>
    <row r="88" spans="1:7">
      <c r="A88" s="8" t="s">
        <v>76</v>
      </c>
      <c r="B88" s="18" t="s">
        <v>47</v>
      </c>
      <c r="C88" s="14">
        <v>4</v>
      </c>
      <c r="D88" s="15">
        <v>170</v>
      </c>
      <c r="E88" s="15">
        <v>1.87</v>
      </c>
      <c r="F88" s="15">
        <v>7.47</v>
      </c>
      <c r="G88" s="8" t="s">
        <v>77</v>
      </c>
    </row>
    <row r="89" spans="1:7">
      <c r="A89" s="8" t="s">
        <v>76</v>
      </c>
      <c r="B89" s="18" t="s">
        <v>47</v>
      </c>
      <c r="C89" s="14">
        <v>13</v>
      </c>
      <c r="D89" s="15">
        <v>220</v>
      </c>
      <c r="E89" s="15">
        <v>2.42</v>
      </c>
      <c r="F89" s="15">
        <v>31.43</v>
      </c>
      <c r="G89" s="8" t="s">
        <v>78</v>
      </c>
    </row>
    <row r="90" spans="1:7">
      <c r="A90" s="8" t="s">
        <v>76</v>
      </c>
      <c r="B90" s="18" t="s">
        <v>47</v>
      </c>
      <c r="C90" s="14">
        <v>2</v>
      </c>
      <c r="D90" s="15">
        <v>1238</v>
      </c>
      <c r="E90" s="15">
        <v>13.26</v>
      </c>
      <c r="F90" s="15">
        <v>26.53</v>
      </c>
      <c r="G90" s="8" t="s">
        <v>79</v>
      </c>
    </row>
    <row r="91" spans="1:7">
      <c r="A91" s="3"/>
      <c r="B91" s="3" t="s">
        <v>45</v>
      </c>
      <c r="C91" s="16">
        <v>19</v>
      </c>
      <c r="D91" s="15">
        <v>6016</v>
      </c>
      <c r="E91" s="3"/>
      <c r="F91" s="15">
        <v>65.430000000000007</v>
      </c>
    </row>
    <row r="92" spans="1:7">
      <c r="A92" s="17"/>
    </row>
    <row r="93" spans="1:7">
      <c r="A93" s="8" t="s">
        <v>80</v>
      </c>
      <c r="B93" s="18" t="s">
        <v>47</v>
      </c>
      <c r="C93" s="14">
        <v>2</v>
      </c>
      <c r="D93" s="15">
        <v>150</v>
      </c>
      <c r="E93" s="15">
        <v>1.37</v>
      </c>
      <c r="F93" s="15">
        <v>2.75</v>
      </c>
      <c r="G93" s="8" t="s">
        <v>81</v>
      </c>
    </row>
    <row r="94" spans="1:7">
      <c r="A94" s="3"/>
      <c r="B94" s="3" t="s">
        <v>45</v>
      </c>
      <c r="C94" s="16">
        <v>2</v>
      </c>
      <c r="D94" s="15">
        <v>300</v>
      </c>
      <c r="E94" s="3"/>
      <c r="F94" s="15">
        <v>2.75</v>
      </c>
    </row>
    <row r="95" spans="1:7">
      <c r="A95" s="17"/>
    </row>
    <row r="96" spans="1:7">
      <c r="A96" s="8" t="s">
        <v>82</v>
      </c>
      <c r="B96" s="18" t="s">
        <v>47</v>
      </c>
      <c r="C96" s="14">
        <v>20</v>
      </c>
      <c r="D96" s="15">
        <v>180</v>
      </c>
      <c r="E96" s="15">
        <v>2.34</v>
      </c>
      <c r="F96" s="15">
        <v>46.71</v>
      </c>
      <c r="G96" s="8" t="s">
        <v>51</v>
      </c>
    </row>
    <row r="97" spans="1:7">
      <c r="A97" s="3"/>
      <c r="B97" s="3" t="s">
        <v>45</v>
      </c>
      <c r="C97" s="16">
        <v>20</v>
      </c>
      <c r="D97" s="15">
        <v>3600</v>
      </c>
      <c r="E97" s="3"/>
      <c r="F97" s="15">
        <v>46.71</v>
      </c>
    </row>
    <row r="98" spans="1:7">
      <c r="A98" s="17"/>
    </row>
    <row r="99" spans="1:7">
      <c r="A99" s="8" t="s">
        <v>83</v>
      </c>
      <c r="B99" s="18" t="s">
        <v>47</v>
      </c>
      <c r="C99" s="14">
        <v>4</v>
      </c>
      <c r="D99" s="15">
        <v>250</v>
      </c>
      <c r="E99" s="15">
        <v>3.93</v>
      </c>
      <c r="F99" s="15">
        <v>15.7</v>
      </c>
      <c r="G99" s="8" t="s">
        <v>84</v>
      </c>
    </row>
    <row r="100" spans="1:7">
      <c r="A100" s="8" t="s">
        <v>83</v>
      </c>
      <c r="B100" s="18" t="s">
        <v>47</v>
      </c>
      <c r="C100" s="14">
        <v>2</v>
      </c>
      <c r="D100" s="15">
        <v>300</v>
      </c>
      <c r="E100" s="15">
        <v>4.71</v>
      </c>
      <c r="F100" s="15">
        <v>9.42</v>
      </c>
      <c r="G100" s="8" t="s">
        <v>85</v>
      </c>
    </row>
    <row r="101" spans="1:7">
      <c r="A101" s="3"/>
      <c r="B101" s="3" t="s">
        <v>45</v>
      </c>
      <c r="C101" s="16">
        <v>6</v>
      </c>
      <c r="D101" s="15">
        <v>1600</v>
      </c>
      <c r="E101" s="3"/>
      <c r="F101" s="15">
        <v>25.12</v>
      </c>
    </row>
    <row r="102" spans="1:7">
      <c r="A102" s="17"/>
    </row>
    <row r="103" spans="1:7">
      <c r="A103" s="8" t="s">
        <v>86</v>
      </c>
      <c r="B103" s="18" t="s">
        <v>47</v>
      </c>
      <c r="C103" s="14">
        <v>6</v>
      </c>
      <c r="D103" s="15">
        <v>180</v>
      </c>
      <c r="E103" s="15">
        <v>1.53</v>
      </c>
      <c r="F103" s="15">
        <v>9.16</v>
      </c>
      <c r="G103" s="8" t="s">
        <v>87</v>
      </c>
    </row>
    <row r="104" spans="1:7">
      <c r="A104" s="3"/>
      <c r="B104" s="3" t="s">
        <v>45</v>
      </c>
      <c r="C104" s="16">
        <v>6</v>
      </c>
      <c r="D104" s="15">
        <v>1080</v>
      </c>
      <c r="E104" s="3"/>
      <c r="F104" s="15">
        <v>9.16</v>
      </c>
    </row>
    <row r="105" spans="1:7">
      <c r="A105" s="17"/>
    </row>
    <row r="106" spans="1:7">
      <c r="A106" s="8" t="s">
        <v>88</v>
      </c>
      <c r="B106" s="18" t="s">
        <v>47</v>
      </c>
      <c r="C106" s="14">
        <v>24</v>
      </c>
      <c r="D106" s="15">
        <v>150</v>
      </c>
      <c r="E106" s="15">
        <v>1.7</v>
      </c>
      <c r="F106" s="15">
        <v>40.69</v>
      </c>
      <c r="G106" s="8" t="s">
        <v>89</v>
      </c>
    </row>
    <row r="107" spans="1:7">
      <c r="A107" s="8" t="s">
        <v>88</v>
      </c>
      <c r="B107" s="18" t="s">
        <v>47</v>
      </c>
      <c r="C107" s="14">
        <v>24</v>
      </c>
      <c r="D107" s="15">
        <v>340</v>
      </c>
      <c r="E107" s="15">
        <v>3.84</v>
      </c>
      <c r="F107" s="15">
        <v>92.24</v>
      </c>
      <c r="G107" s="8" t="s">
        <v>90</v>
      </c>
    </row>
    <row r="108" spans="1:7">
      <c r="A108" s="3"/>
      <c r="B108" s="3" t="s">
        <v>45</v>
      </c>
      <c r="C108" s="16">
        <v>48</v>
      </c>
      <c r="D108" s="15">
        <v>11760</v>
      </c>
      <c r="E108" s="3"/>
      <c r="F108" s="15">
        <v>132.94</v>
      </c>
    </row>
    <row r="109" spans="1:7">
      <c r="A109" s="17"/>
    </row>
    <row r="110" spans="1:7">
      <c r="A110" s="8" t="s">
        <v>91</v>
      </c>
      <c r="B110" s="18" t="s">
        <v>47</v>
      </c>
      <c r="C110" s="14">
        <v>32</v>
      </c>
      <c r="D110" s="15">
        <v>210</v>
      </c>
      <c r="E110" s="15">
        <v>3.17</v>
      </c>
      <c r="F110" s="15">
        <v>101.28</v>
      </c>
      <c r="G110" s="8" t="s">
        <v>92</v>
      </c>
    </row>
    <row r="111" spans="1:7">
      <c r="A111" s="3"/>
      <c r="B111" s="3" t="s">
        <v>45</v>
      </c>
      <c r="C111" s="16">
        <v>32</v>
      </c>
      <c r="D111" s="15">
        <v>6720</v>
      </c>
      <c r="E111" s="3"/>
      <c r="F111" s="15">
        <v>101.28</v>
      </c>
    </row>
    <row r="112" spans="1:7">
      <c r="A112" s="17"/>
    </row>
    <row r="113" spans="1:7">
      <c r="A113" s="8" t="s">
        <v>93</v>
      </c>
      <c r="B113" s="18" t="s">
        <v>47</v>
      </c>
      <c r="C113" s="14">
        <v>10</v>
      </c>
      <c r="D113" s="15">
        <v>450</v>
      </c>
      <c r="E113" s="15">
        <v>7.63</v>
      </c>
      <c r="F113" s="15">
        <v>76.3</v>
      </c>
      <c r="G113" s="8" t="s">
        <v>94</v>
      </c>
    </row>
    <row r="114" spans="1:7">
      <c r="A114" s="3"/>
      <c r="B114" s="3" t="s">
        <v>45</v>
      </c>
      <c r="C114" s="16">
        <v>10</v>
      </c>
      <c r="D114" s="15">
        <v>4500</v>
      </c>
      <c r="E114" s="3"/>
      <c r="F114" s="15">
        <v>76.3</v>
      </c>
    </row>
    <row r="115" spans="1:7">
      <c r="A115" s="17"/>
    </row>
    <row r="116" spans="1:7">
      <c r="A116" s="8" t="s">
        <v>95</v>
      </c>
      <c r="B116" s="18" t="s">
        <v>47</v>
      </c>
      <c r="C116" s="14">
        <v>68</v>
      </c>
      <c r="D116" s="15">
        <v>140</v>
      </c>
      <c r="E116" s="15">
        <v>1.45</v>
      </c>
      <c r="F116" s="15">
        <v>98.65</v>
      </c>
      <c r="G116" s="8" t="s">
        <v>96</v>
      </c>
    </row>
    <row r="117" spans="1:7">
      <c r="A117" s="8" t="s">
        <v>95</v>
      </c>
      <c r="B117" s="18" t="s">
        <v>47</v>
      </c>
      <c r="C117" s="14">
        <v>14</v>
      </c>
      <c r="D117" s="15">
        <v>150</v>
      </c>
      <c r="E117" s="15">
        <v>1.55</v>
      </c>
      <c r="F117" s="15">
        <v>21.76</v>
      </c>
      <c r="G117" s="8" t="s">
        <v>97</v>
      </c>
    </row>
    <row r="118" spans="1:7">
      <c r="A118" s="3"/>
      <c r="B118" s="3" t="s">
        <v>45</v>
      </c>
      <c r="C118" s="16">
        <v>82</v>
      </c>
      <c r="D118" s="15">
        <v>11620</v>
      </c>
      <c r="E118" s="3"/>
      <c r="F118" s="15">
        <v>120.41</v>
      </c>
    </row>
    <row r="119" spans="1:7">
      <c r="A119" s="17"/>
    </row>
    <row r="120" spans="1:7">
      <c r="A120" s="8" t="s">
        <v>98</v>
      </c>
      <c r="B120" s="18" t="s">
        <v>47</v>
      </c>
      <c r="C120" s="14">
        <v>2</v>
      </c>
      <c r="D120" s="15">
        <v>120</v>
      </c>
      <c r="E120" s="15">
        <v>1.41</v>
      </c>
      <c r="F120" s="15">
        <v>2.83</v>
      </c>
      <c r="G120" s="8" t="s">
        <v>51</v>
      </c>
    </row>
    <row r="121" spans="1:7">
      <c r="A121" s="8" t="s">
        <v>98</v>
      </c>
      <c r="B121" s="18" t="s">
        <v>47</v>
      </c>
      <c r="C121" s="14">
        <v>58</v>
      </c>
      <c r="D121" s="15">
        <v>140</v>
      </c>
      <c r="E121" s="15">
        <v>1.65</v>
      </c>
      <c r="F121" s="15">
        <v>95.61</v>
      </c>
      <c r="G121" s="8" t="s">
        <v>99</v>
      </c>
    </row>
    <row r="122" spans="1:7">
      <c r="A122" s="3"/>
      <c r="B122" s="3" t="s">
        <v>45</v>
      </c>
      <c r="C122" s="16">
        <v>60</v>
      </c>
      <c r="D122" s="15">
        <v>8360</v>
      </c>
      <c r="E122" s="3"/>
      <c r="F122" s="15">
        <v>98.44</v>
      </c>
    </row>
    <row r="123" spans="1:7">
      <c r="A123" s="17"/>
    </row>
    <row r="124" spans="1:7">
      <c r="A124" s="8" t="s">
        <v>100</v>
      </c>
      <c r="B124" s="18" t="s">
        <v>47</v>
      </c>
      <c r="C124" s="14">
        <v>36</v>
      </c>
      <c r="D124" s="15">
        <v>120</v>
      </c>
      <c r="E124" s="15">
        <v>1.7</v>
      </c>
      <c r="F124" s="15">
        <v>61.04</v>
      </c>
      <c r="G124" s="8" t="s">
        <v>101</v>
      </c>
    </row>
    <row r="125" spans="1:7">
      <c r="A125" s="8" t="s">
        <v>100</v>
      </c>
      <c r="B125" s="18" t="s">
        <v>47</v>
      </c>
      <c r="C125" s="14">
        <v>2</v>
      </c>
      <c r="D125" s="15">
        <v>137</v>
      </c>
      <c r="E125" s="15">
        <v>1.94</v>
      </c>
      <c r="F125" s="15">
        <v>3.88</v>
      </c>
      <c r="G125" s="8" t="s">
        <v>102</v>
      </c>
    </row>
    <row r="126" spans="1:7">
      <c r="A126" s="8" t="s">
        <v>100</v>
      </c>
      <c r="B126" s="18" t="s">
        <v>47</v>
      </c>
      <c r="C126" s="14">
        <v>218</v>
      </c>
      <c r="D126" s="15">
        <v>140</v>
      </c>
      <c r="E126" s="15">
        <v>1.98</v>
      </c>
      <c r="F126" s="15">
        <v>431.25</v>
      </c>
      <c r="G126" s="8" t="s">
        <v>96</v>
      </c>
    </row>
    <row r="127" spans="1:7">
      <c r="A127" s="3"/>
      <c r="B127" s="3" t="s">
        <v>45</v>
      </c>
      <c r="C127" s="16">
        <v>256</v>
      </c>
      <c r="D127" s="15">
        <v>35114</v>
      </c>
      <c r="E127" s="3"/>
      <c r="F127" s="15">
        <v>496.17</v>
      </c>
    </row>
    <row r="128" spans="1:7">
      <c r="A128" s="17"/>
    </row>
    <row r="129" spans="1:7">
      <c r="A129" s="8" t="s">
        <v>103</v>
      </c>
      <c r="B129" s="18" t="s">
        <v>47</v>
      </c>
      <c r="C129" s="14">
        <v>4</v>
      </c>
      <c r="D129" s="15">
        <v>140</v>
      </c>
      <c r="E129" s="15">
        <v>2.06</v>
      </c>
      <c r="F129" s="15">
        <v>8.24</v>
      </c>
      <c r="G129" s="8" t="s">
        <v>51</v>
      </c>
    </row>
    <row r="130" spans="1:7">
      <c r="A130" s="3"/>
      <c r="B130" s="3" t="s">
        <v>45</v>
      </c>
      <c r="C130" s="16">
        <v>4</v>
      </c>
      <c r="D130" s="15">
        <v>560</v>
      </c>
      <c r="E130" s="3"/>
      <c r="F130" s="15">
        <v>8.24</v>
      </c>
    </row>
    <row r="131" spans="1:7">
      <c r="A131" s="17"/>
    </row>
    <row r="132" spans="1:7">
      <c r="A132" s="8" t="s">
        <v>104</v>
      </c>
      <c r="B132" s="18" t="s">
        <v>47</v>
      </c>
      <c r="C132" s="14">
        <v>2</v>
      </c>
      <c r="D132" s="15">
        <v>140</v>
      </c>
      <c r="E132" s="15">
        <v>2.31</v>
      </c>
      <c r="F132" s="15">
        <v>4.62</v>
      </c>
      <c r="G132" s="8" t="s">
        <v>105</v>
      </c>
    </row>
    <row r="133" spans="1:7">
      <c r="A133" s="8" t="s">
        <v>104</v>
      </c>
      <c r="B133" s="18" t="s">
        <v>47</v>
      </c>
      <c r="C133" s="14">
        <v>1</v>
      </c>
      <c r="D133" s="15">
        <v>170</v>
      </c>
      <c r="E133" s="15">
        <v>2.8</v>
      </c>
      <c r="F133" s="15">
        <v>2.8</v>
      </c>
      <c r="G133" s="8" t="s">
        <v>51</v>
      </c>
    </row>
    <row r="134" spans="1:7">
      <c r="A134" s="8" t="s">
        <v>104</v>
      </c>
      <c r="B134" s="18" t="s">
        <v>47</v>
      </c>
      <c r="C134" s="14">
        <v>18</v>
      </c>
      <c r="D134" s="15">
        <v>211</v>
      </c>
      <c r="E134" s="15">
        <v>3.27</v>
      </c>
      <c r="F134" s="15">
        <v>58.82</v>
      </c>
      <c r="G134" s="8" t="s">
        <v>106</v>
      </c>
    </row>
    <row r="135" spans="1:7">
      <c r="A135" s="8" t="s">
        <v>104</v>
      </c>
      <c r="B135" s="18" t="s">
        <v>47</v>
      </c>
      <c r="C135" s="14">
        <v>2</v>
      </c>
      <c r="D135" s="15">
        <v>215</v>
      </c>
      <c r="E135" s="15">
        <v>3.54</v>
      </c>
      <c r="F135" s="15">
        <v>7.09</v>
      </c>
      <c r="G135" s="8" t="s">
        <v>107</v>
      </c>
    </row>
    <row r="136" spans="1:7">
      <c r="A136" s="8" t="s">
        <v>104</v>
      </c>
      <c r="B136" s="18" t="s">
        <v>47</v>
      </c>
      <c r="C136" s="14">
        <v>2</v>
      </c>
      <c r="D136" s="15">
        <v>230</v>
      </c>
      <c r="E136" s="15">
        <v>3.79</v>
      </c>
      <c r="F136" s="15">
        <v>7.58</v>
      </c>
      <c r="G136" s="8" t="s">
        <v>108</v>
      </c>
    </row>
    <row r="137" spans="1:7">
      <c r="A137" s="8" t="s">
        <v>104</v>
      </c>
      <c r="B137" s="18" t="s">
        <v>47</v>
      </c>
      <c r="C137" s="14">
        <v>40</v>
      </c>
      <c r="D137" s="15">
        <v>260</v>
      </c>
      <c r="E137" s="15">
        <v>3.75</v>
      </c>
      <c r="F137" s="15">
        <v>150.21</v>
      </c>
      <c r="G137" s="8" t="s">
        <v>96</v>
      </c>
    </row>
    <row r="138" spans="1:7">
      <c r="A138" s="8" t="s">
        <v>104</v>
      </c>
      <c r="B138" s="18" t="s">
        <v>47</v>
      </c>
      <c r="C138" s="14">
        <v>14</v>
      </c>
      <c r="D138" s="15">
        <v>315</v>
      </c>
      <c r="E138" s="15">
        <v>5.15</v>
      </c>
      <c r="F138" s="15">
        <v>72.150000000000006</v>
      </c>
      <c r="G138" s="8" t="s">
        <v>109</v>
      </c>
    </row>
    <row r="139" spans="1:7">
      <c r="A139" s="8" t="s">
        <v>104</v>
      </c>
      <c r="B139" s="18" t="s">
        <v>47</v>
      </c>
      <c r="C139" s="14">
        <v>16</v>
      </c>
      <c r="D139" s="15">
        <v>413</v>
      </c>
      <c r="E139" s="15">
        <v>6.8</v>
      </c>
      <c r="F139" s="15">
        <v>108.81</v>
      </c>
      <c r="G139" s="8" t="s">
        <v>110</v>
      </c>
    </row>
    <row r="140" spans="1:7">
      <c r="A140" s="8" t="s">
        <v>104</v>
      </c>
      <c r="B140" s="18" t="s">
        <v>47</v>
      </c>
      <c r="C140" s="14">
        <v>28</v>
      </c>
      <c r="D140" s="15">
        <v>1341</v>
      </c>
      <c r="E140" s="15">
        <v>22.09</v>
      </c>
      <c r="F140" s="15">
        <v>618.61</v>
      </c>
      <c r="G140" s="8" t="s">
        <v>111</v>
      </c>
    </row>
    <row r="141" spans="1:7">
      <c r="A141" s="3"/>
      <c r="B141" s="3" t="s">
        <v>45</v>
      </c>
      <c r="C141" s="16">
        <v>123</v>
      </c>
      <c r="D141" s="15">
        <v>64104</v>
      </c>
      <c r="E141" s="3"/>
      <c r="F141" s="15">
        <v>1030.7</v>
      </c>
    </row>
    <row r="142" spans="1:7">
      <c r="A142" s="17"/>
    </row>
    <row r="143" spans="1:7">
      <c r="A143" s="8" t="s">
        <v>112</v>
      </c>
      <c r="B143" s="18" t="s">
        <v>47</v>
      </c>
      <c r="C143" s="14">
        <v>4</v>
      </c>
      <c r="D143" s="15">
        <v>270</v>
      </c>
      <c r="E143" s="15">
        <v>4.13</v>
      </c>
      <c r="F143" s="15">
        <v>16.510000000000002</v>
      </c>
      <c r="G143" s="8" t="s">
        <v>113</v>
      </c>
    </row>
    <row r="144" spans="1:7">
      <c r="A144" s="3"/>
      <c r="B144" s="3" t="s">
        <v>45</v>
      </c>
      <c r="C144" s="16">
        <v>4</v>
      </c>
      <c r="D144" s="15">
        <v>1080</v>
      </c>
      <c r="E144" s="3"/>
      <c r="F144" s="15">
        <v>16.510000000000002</v>
      </c>
    </row>
    <row r="145" spans="1:7">
      <c r="A145" s="17"/>
    </row>
    <row r="146" spans="1:7">
      <c r="A146" s="8" t="s">
        <v>114</v>
      </c>
      <c r="B146" s="18" t="s">
        <v>47</v>
      </c>
      <c r="C146" s="14">
        <v>1</v>
      </c>
      <c r="D146" s="15">
        <v>216</v>
      </c>
      <c r="E146" s="15">
        <v>3.37</v>
      </c>
      <c r="F146" s="15">
        <v>3.37</v>
      </c>
      <c r="G146" s="8" t="s">
        <v>115</v>
      </c>
    </row>
    <row r="147" spans="1:7">
      <c r="A147" s="3"/>
      <c r="B147" s="3" t="s">
        <v>45</v>
      </c>
      <c r="C147" s="16">
        <v>1</v>
      </c>
      <c r="D147" s="15">
        <v>216</v>
      </c>
      <c r="E147" s="3"/>
      <c r="F147" s="15">
        <v>3.37</v>
      </c>
    </row>
    <row r="148" spans="1:7">
      <c r="A148" s="17"/>
    </row>
    <row r="149" spans="1:7">
      <c r="A149" s="8" t="s">
        <v>116</v>
      </c>
      <c r="B149" s="18" t="s">
        <v>47</v>
      </c>
      <c r="C149" s="14">
        <v>3</v>
      </c>
      <c r="D149" s="15">
        <v>170</v>
      </c>
      <c r="E149" s="15">
        <v>3.2</v>
      </c>
      <c r="F149" s="15">
        <v>9.61</v>
      </c>
      <c r="G149" s="8" t="s">
        <v>117</v>
      </c>
    </row>
    <row r="150" spans="1:7">
      <c r="A150" s="8" t="s">
        <v>116</v>
      </c>
      <c r="B150" s="18" t="s">
        <v>47</v>
      </c>
      <c r="C150" s="14">
        <v>16</v>
      </c>
      <c r="D150" s="15">
        <v>235</v>
      </c>
      <c r="E150" s="15">
        <v>4.43</v>
      </c>
      <c r="F150" s="15">
        <v>70.84</v>
      </c>
      <c r="G150" s="8" t="s">
        <v>118</v>
      </c>
    </row>
    <row r="151" spans="1:7">
      <c r="A151" s="8" t="s">
        <v>116</v>
      </c>
      <c r="B151" s="18" t="s">
        <v>47</v>
      </c>
      <c r="C151" s="14">
        <v>16</v>
      </c>
      <c r="D151" s="15">
        <v>435</v>
      </c>
      <c r="E151" s="15">
        <v>7.26</v>
      </c>
      <c r="F151" s="15">
        <v>116.17</v>
      </c>
      <c r="G151" s="8" t="s">
        <v>119</v>
      </c>
    </row>
    <row r="152" spans="1:7">
      <c r="A152" s="3"/>
      <c r="B152" s="3" t="s">
        <v>45</v>
      </c>
      <c r="C152" s="16">
        <v>35</v>
      </c>
      <c r="D152" s="15">
        <v>11230</v>
      </c>
      <c r="E152" s="3"/>
      <c r="F152" s="15">
        <v>196.62</v>
      </c>
    </row>
    <row r="153" spans="1:7">
      <c r="A153" s="17"/>
    </row>
    <row r="154" spans="1:7">
      <c r="A154" s="8" t="s">
        <v>120</v>
      </c>
      <c r="B154" s="18" t="s">
        <v>47</v>
      </c>
      <c r="C154" s="14">
        <v>1</v>
      </c>
      <c r="D154" s="15">
        <v>180</v>
      </c>
      <c r="E154" s="15">
        <v>3.5</v>
      </c>
      <c r="F154" s="15">
        <v>3.5</v>
      </c>
      <c r="G154" s="8" t="s">
        <v>51</v>
      </c>
    </row>
    <row r="155" spans="1:7">
      <c r="A155" s="3"/>
      <c r="B155" s="3" t="s">
        <v>45</v>
      </c>
      <c r="C155" s="16">
        <v>1</v>
      </c>
      <c r="D155" s="15">
        <v>180</v>
      </c>
      <c r="E155" s="3"/>
      <c r="F155" s="15">
        <v>3.5</v>
      </c>
    </row>
    <row r="156" spans="1:7">
      <c r="A156" s="17"/>
    </row>
    <row r="157" spans="1:7">
      <c r="A157" s="8" t="s">
        <v>121</v>
      </c>
      <c r="B157" s="18" t="s">
        <v>47</v>
      </c>
      <c r="C157" s="14">
        <v>1</v>
      </c>
      <c r="D157" s="15">
        <v>250</v>
      </c>
      <c r="E157" s="15">
        <v>3.14</v>
      </c>
      <c r="F157" s="15">
        <v>3.14</v>
      </c>
      <c r="G157" s="8" t="s">
        <v>122</v>
      </c>
    </row>
    <row r="158" spans="1:7">
      <c r="A158" s="3"/>
      <c r="B158" s="3" t="s">
        <v>45</v>
      </c>
      <c r="C158" s="16">
        <v>1</v>
      </c>
      <c r="D158" s="15">
        <v>250</v>
      </c>
      <c r="E158" s="3"/>
      <c r="F158" s="15">
        <v>3.14</v>
      </c>
    </row>
    <row r="159" spans="1:7">
      <c r="A159" s="17"/>
    </row>
    <row r="160" spans="1:7">
      <c r="A160" s="8" t="s">
        <v>123</v>
      </c>
      <c r="B160" s="18" t="s">
        <v>47</v>
      </c>
      <c r="C160" s="14">
        <v>3</v>
      </c>
      <c r="D160" s="15">
        <v>265</v>
      </c>
      <c r="E160" s="15">
        <v>5.62</v>
      </c>
      <c r="F160" s="15">
        <v>16.850000000000001</v>
      </c>
      <c r="G160" s="8" t="s">
        <v>124</v>
      </c>
    </row>
    <row r="161" spans="1:7">
      <c r="A161" s="8" t="s">
        <v>123</v>
      </c>
      <c r="B161" s="18" t="s">
        <v>47</v>
      </c>
      <c r="C161" s="14">
        <v>88</v>
      </c>
      <c r="D161" s="15">
        <v>360</v>
      </c>
      <c r="E161" s="15">
        <v>7.63</v>
      </c>
      <c r="F161" s="15">
        <v>671.46</v>
      </c>
      <c r="G161" s="8" t="s">
        <v>125</v>
      </c>
    </row>
    <row r="162" spans="1:7">
      <c r="A162" s="3"/>
      <c r="B162" s="3" t="s">
        <v>45</v>
      </c>
      <c r="C162" s="16">
        <v>91</v>
      </c>
      <c r="D162" s="15">
        <v>32475</v>
      </c>
      <c r="E162" s="3"/>
      <c r="F162" s="15">
        <v>688.31</v>
      </c>
    </row>
    <row r="163" spans="1:7">
      <c r="A163" s="17"/>
    </row>
    <row r="164" spans="1:7">
      <c r="A164" s="8" t="s">
        <v>126</v>
      </c>
      <c r="B164" s="18" t="s">
        <v>47</v>
      </c>
      <c r="C164" s="14">
        <v>8</v>
      </c>
      <c r="D164" s="15">
        <v>219</v>
      </c>
      <c r="E164" s="15">
        <v>3.77</v>
      </c>
      <c r="F164" s="15">
        <v>30.2</v>
      </c>
      <c r="G164" s="8" t="s">
        <v>53</v>
      </c>
    </row>
    <row r="165" spans="1:7">
      <c r="A165" s="3"/>
      <c r="B165" s="3" t="s">
        <v>45</v>
      </c>
      <c r="C165" s="16">
        <v>8</v>
      </c>
      <c r="D165" s="15">
        <v>1752</v>
      </c>
      <c r="E165" s="3"/>
      <c r="F165" s="15">
        <v>30.2</v>
      </c>
    </row>
    <row r="166" spans="1:7">
      <c r="A166" s="17"/>
    </row>
    <row r="167" spans="1:7">
      <c r="A167" s="8" t="s">
        <v>127</v>
      </c>
      <c r="B167" s="18" t="s">
        <v>47</v>
      </c>
      <c r="C167" s="14">
        <v>4</v>
      </c>
      <c r="D167" s="15">
        <v>236</v>
      </c>
      <c r="E167" s="15">
        <v>4.37</v>
      </c>
      <c r="F167" s="15">
        <v>17.5</v>
      </c>
      <c r="G167" s="8" t="s">
        <v>128</v>
      </c>
    </row>
    <row r="168" spans="1:7">
      <c r="A168" s="3"/>
      <c r="B168" s="3" t="s">
        <v>45</v>
      </c>
      <c r="C168" s="16">
        <v>4</v>
      </c>
      <c r="D168" s="15">
        <v>944</v>
      </c>
      <c r="E168" s="3"/>
      <c r="F168" s="15">
        <v>17.5</v>
      </c>
    </row>
    <row r="169" spans="1:7">
      <c r="A169" s="17"/>
    </row>
    <row r="170" spans="1:7">
      <c r="A170" s="8" t="s">
        <v>129</v>
      </c>
      <c r="B170" s="18" t="s">
        <v>47</v>
      </c>
      <c r="C170" s="14">
        <v>2</v>
      </c>
      <c r="D170" s="15">
        <v>200</v>
      </c>
      <c r="E170" s="15">
        <v>4.71</v>
      </c>
      <c r="F170" s="15">
        <v>9.42</v>
      </c>
      <c r="G170" s="8" t="s">
        <v>130</v>
      </c>
    </row>
    <row r="171" spans="1:7">
      <c r="A171" s="8" t="s">
        <v>129</v>
      </c>
      <c r="B171" s="18" t="s">
        <v>47</v>
      </c>
      <c r="C171" s="14">
        <v>29</v>
      </c>
      <c r="D171" s="15">
        <v>265</v>
      </c>
      <c r="E171" s="15">
        <v>6.24</v>
      </c>
      <c r="F171" s="15">
        <v>180.98</v>
      </c>
      <c r="G171" s="8" t="s">
        <v>131</v>
      </c>
    </row>
    <row r="172" spans="1:7">
      <c r="A172" s="8" t="s">
        <v>129</v>
      </c>
      <c r="B172" s="18" t="s">
        <v>47</v>
      </c>
      <c r="C172" s="14">
        <v>4</v>
      </c>
      <c r="D172" s="15">
        <v>300</v>
      </c>
      <c r="E172" s="15">
        <v>7.05</v>
      </c>
      <c r="F172" s="15">
        <v>28.2</v>
      </c>
      <c r="G172" s="8" t="s">
        <v>132</v>
      </c>
    </row>
    <row r="173" spans="1:7">
      <c r="A173" s="8" t="s">
        <v>129</v>
      </c>
      <c r="B173" s="18" t="s">
        <v>47</v>
      </c>
      <c r="C173" s="14">
        <v>8</v>
      </c>
      <c r="D173" s="15">
        <v>350</v>
      </c>
      <c r="E173" s="15">
        <v>8.24</v>
      </c>
      <c r="F173" s="15">
        <v>65.94</v>
      </c>
      <c r="G173" s="8" t="s">
        <v>133</v>
      </c>
    </row>
    <row r="174" spans="1:7">
      <c r="A174" s="8" t="s">
        <v>129</v>
      </c>
      <c r="B174" s="18" t="s">
        <v>47</v>
      </c>
      <c r="C174" s="14">
        <v>8</v>
      </c>
      <c r="D174" s="15">
        <v>390</v>
      </c>
      <c r="E174" s="15">
        <v>9.18</v>
      </c>
      <c r="F174" s="15">
        <v>73.48</v>
      </c>
      <c r="G174" s="8" t="s">
        <v>134</v>
      </c>
    </row>
    <row r="175" spans="1:7">
      <c r="A175" s="3"/>
      <c r="B175" s="3" t="s">
        <v>45</v>
      </c>
      <c r="C175" s="16">
        <v>51</v>
      </c>
      <c r="D175" s="15">
        <v>15205</v>
      </c>
      <c r="E175" s="3"/>
      <c r="F175" s="15">
        <v>358.01</v>
      </c>
    </row>
    <row r="176" spans="1:7">
      <c r="A176" s="17"/>
    </row>
    <row r="177" spans="1:7">
      <c r="A177" s="8" t="s">
        <v>135</v>
      </c>
      <c r="B177" s="18" t="s">
        <v>47</v>
      </c>
      <c r="C177" s="14">
        <v>4</v>
      </c>
      <c r="D177" s="15">
        <v>229</v>
      </c>
      <c r="E177" s="15">
        <v>4.34</v>
      </c>
      <c r="F177" s="15">
        <v>17.350000000000001</v>
      </c>
      <c r="G177" s="8" t="s">
        <v>136</v>
      </c>
    </row>
    <row r="178" spans="1:7">
      <c r="A178" s="3"/>
      <c r="B178" s="3" t="s">
        <v>45</v>
      </c>
      <c r="C178" s="16">
        <v>4</v>
      </c>
      <c r="D178" s="15">
        <v>916</v>
      </c>
      <c r="E178" s="3"/>
      <c r="F178" s="15">
        <v>17.350000000000001</v>
      </c>
    </row>
    <row r="179" spans="1:7">
      <c r="A179" s="17"/>
    </row>
    <row r="180" spans="1:7">
      <c r="A180" s="8" t="s">
        <v>137</v>
      </c>
      <c r="B180" s="18" t="s">
        <v>47</v>
      </c>
      <c r="C180" s="14">
        <v>16</v>
      </c>
      <c r="D180" s="15">
        <v>250</v>
      </c>
      <c r="E180" s="15">
        <v>5.81</v>
      </c>
      <c r="F180" s="15">
        <v>92.97</v>
      </c>
      <c r="G180" s="8" t="s">
        <v>51</v>
      </c>
    </row>
    <row r="181" spans="1:7">
      <c r="A181" s="3"/>
      <c r="B181" s="3" t="s">
        <v>45</v>
      </c>
      <c r="C181" s="16">
        <v>16</v>
      </c>
      <c r="D181" s="15">
        <v>4000</v>
      </c>
      <c r="E181" s="3"/>
      <c r="F181" s="15">
        <v>92.97</v>
      </c>
    </row>
    <row r="182" spans="1:7">
      <c r="A182" s="17"/>
    </row>
    <row r="183" spans="1:7">
      <c r="A183" s="8" t="s">
        <v>138</v>
      </c>
      <c r="B183" s="18" t="s">
        <v>47</v>
      </c>
      <c r="C183" s="14">
        <v>4</v>
      </c>
      <c r="D183" s="15">
        <v>267</v>
      </c>
      <c r="E183" s="15">
        <v>4.51</v>
      </c>
      <c r="F183" s="15">
        <v>18.04</v>
      </c>
      <c r="G183" s="8" t="s">
        <v>139</v>
      </c>
    </row>
    <row r="184" spans="1:7">
      <c r="A184" s="3"/>
      <c r="B184" s="3" t="s">
        <v>45</v>
      </c>
      <c r="C184" s="16">
        <v>4</v>
      </c>
      <c r="D184" s="15">
        <v>1068</v>
      </c>
      <c r="E184" s="3"/>
      <c r="F184" s="15">
        <v>18.04</v>
      </c>
    </row>
    <row r="185" spans="1:7">
      <c r="A185" s="17"/>
    </row>
    <row r="186" spans="1:7">
      <c r="A186" s="8" t="s">
        <v>140</v>
      </c>
      <c r="B186" s="18" t="s">
        <v>47</v>
      </c>
      <c r="C186" s="14">
        <v>4</v>
      </c>
      <c r="D186" s="15">
        <v>243</v>
      </c>
      <c r="E186" s="15">
        <v>4.42</v>
      </c>
      <c r="F186" s="15">
        <v>17.670000000000002</v>
      </c>
      <c r="G186" s="8" t="s">
        <v>141</v>
      </c>
    </row>
    <row r="187" spans="1:7">
      <c r="A187" s="8" t="s">
        <v>140</v>
      </c>
      <c r="B187" s="18" t="s">
        <v>47</v>
      </c>
      <c r="C187" s="14">
        <v>4</v>
      </c>
      <c r="D187" s="15">
        <v>257</v>
      </c>
      <c r="E187" s="15">
        <v>4.46</v>
      </c>
      <c r="F187" s="15">
        <v>17.829999999999998</v>
      </c>
      <c r="G187" s="8" t="s">
        <v>53</v>
      </c>
    </row>
    <row r="188" spans="1:7">
      <c r="A188" s="3"/>
      <c r="B188" s="3" t="s">
        <v>45</v>
      </c>
      <c r="C188" s="16">
        <v>8</v>
      </c>
      <c r="D188" s="15">
        <v>2000</v>
      </c>
      <c r="E188" s="3"/>
      <c r="F188" s="15">
        <v>35.5</v>
      </c>
    </row>
    <row r="189" spans="1:7">
      <c r="A189" s="17"/>
    </row>
    <row r="190" spans="1:7">
      <c r="A190" s="8" t="s">
        <v>142</v>
      </c>
      <c r="B190" s="18" t="s">
        <v>47</v>
      </c>
      <c r="C190" s="14">
        <v>4</v>
      </c>
      <c r="D190" s="15">
        <v>230</v>
      </c>
      <c r="E190" s="15">
        <v>4.5199999999999996</v>
      </c>
      <c r="F190" s="15">
        <v>18.059999999999999</v>
      </c>
      <c r="G190" s="8" t="s">
        <v>143</v>
      </c>
    </row>
    <row r="191" spans="1:7">
      <c r="A191" s="3"/>
      <c r="B191" s="3" t="s">
        <v>45</v>
      </c>
      <c r="C191" s="16">
        <v>4</v>
      </c>
      <c r="D191" s="15">
        <v>920</v>
      </c>
      <c r="E191" s="3"/>
      <c r="F191" s="15">
        <v>18.059999999999999</v>
      </c>
    </row>
    <row r="192" spans="1:7">
      <c r="A192" s="17"/>
    </row>
    <row r="193" spans="1:7">
      <c r="A193" s="8" t="s">
        <v>144</v>
      </c>
      <c r="B193" s="18" t="s">
        <v>47</v>
      </c>
      <c r="C193" s="14">
        <v>4</v>
      </c>
      <c r="D193" s="15">
        <v>280</v>
      </c>
      <c r="E193" s="15">
        <v>5.13</v>
      </c>
      <c r="F193" s="15">
        <v>20.52</v>
      </c>
      <c r="G193" s="8" t="s">
        <v>53</v>
      </c>
    </row>
    <row r="194" spans="1:7">
      <c r="A194" s="3"/>
      <c r="B194" s="3" t="s">
        <v>45</v>
      </c>
      <c r="C194" s="16">
        <v>4</v>
      </c>
      <c r="D194" s="15">
        <v>1120</v>
      </c>
      <c r="E194" s="3"/>
      <c r="F194" s="15">
        <v>20.52</v>
      </c>
    </row>
    <row r="195" spans="1:7">
      <c r="A195" s="17"/>
    </row>
    <row r="196" spans="1:7">
      <c r="A196" s="8" t="s">
        <v>145</v>
      </c>
      <c r="B196" s="18" t="s">
        <v>47</v>
      </c>
      <c r="C196" s="14">
        <v>2</v>
      </c>
      <c r="D196" s="15">
        <v>300</v>
      </c>
      <c r="E196" s="15">
        <v>9.36</v>
      </c>
      <c r="F196" s="15">
        <v>18.72</v>
      </c>
      <c r="G196" s="8" t="s">
        <v>146</v>
      </c>
    </row>
    <row r="197" spans="1:7">
      <c r="A197" s="3"/>
      <c r="B197" s="3" t="s">
        <v>45</v>
      </c>
      <c r="C197" s="16">
        <v>2</v>
      </c>
      <c r="D197" s="15">
        <v>600</v>
      </c>
      <c r="E197" s="3"/>
      <c r="F197" s="15">
        <v>18.72</v>
      </c>
    </row>
    <row r="198" spans="1:7">
      <c r="A198" s="17"/>
    </row>
    <row r="199" spans="1:7">
      <c r="A199" s="8" t="s">
        <v>147</v>
      </c>
      <c r="B199" s="18" t="s">
        <v>47</v>
      </c>
      <c r="C199" s="14">
        <v>2</v>
      </c>
      <c r="D199" s="15">
        <v>390</v>
      </c>
      <c r="E199" s="15">
        <v>13.78</v>
      </c>
      <c r="F199" s="15">
        <v>27.55</v>
      </c>
      <c r="G199" s="8" t="s">
        <v>148</v>
      </c>
    </row>
    <row r="200" spans="1:7">
      <c r="A200" s="3"/>
      <c r="B200" s="3" t="s">
        <v>45</v>
      </c>
      <c r="C200" s="16">
        <v>2</v>
      </c>
      <c r="D200" s="15">
        <v>780</v>
      </c>
      <c r="E200" s="3"/>
      <c r="F200" s="15">
        <v>27.55</v>
      </c>
    </row>
    <row r="201" spans="1:7">
      <c r="A201" s="17"/>
    </row>
    <row r="202" spans="1:7">
      <c r="A202" s="8" t="s">
        <v>149</v>
      </c>
      <c r="B202" s="18" t="s">
        <v>47</v>
      </c>
      <c r="C202" s="14">
        <v>2</v>
      </c>
      <c r="D202" s="15">
        <v>300</v>
      </c>
      <c r="E202" s="15">
        <v>11.78</v>
      </c>
      <c r="F202" s="15">
        <v>23.55</v>
      </c>
      <c r="G202" s="8" t="s">
        <v>51</v>
      </c>
    </row>
    <row r="203" spans="1:7">
      <c r="A203" s="8" t="s">
        <v>149</v>
      </c>
      <c r="B203" s="18" t="s">
        <v>47</v>
      </c>
      <c r="C203" s="14">
        <v>16</v>
      </c>
      <c r="D203" s="15">
        <v>350</v>
      </c>
      <c r="E203" s="15">
        <v>13.74</v>
      </c>
      <c r="F203" s="15">
        <v>219.8</v>
      </c>
      <c r="G203" s="8" t="s">
        <v>150</v>
      </c>
    </row>
    <row r="204" spans="1:7">
      <c r="A204" s="3"/>
      <c r="B204" s="3" t="s">
        <v>45</v>
      </c>
      <c r="C204" s="16">
        <v>18</v>
      </c>
      <c r="D204" s="15">
        <v>6200</v>
      </c>
      <c r="E204" s="3"/>
      <c r="F204" s="15">
        <v>243.35</v>
      </c>
    </row>
    <row r="205" spans="1:7" ht="13.5" thickBot="1">
      <c r="A205" s="17"/>
    </row>
    <row r="206" spans="1:7" ht="13.5" thickBot="1">
      <c r="A206" s="7" t="s">
        <v>151</v>
      </c>
      <c r="B206" s="19" t="s">
        <v>22</v>
      </c>
      <c r="C206" s="20">
        <v>2</v>
      </c>
      <c r="D206" s="21">
        <v>4695</v>
      </c>
      <c r="E206" s="21">
        <v>398.04</v>
      </c>
      <c r="F206" s="21">
        <v>796.08</v>
      </c>
      <c r="G206" s="7" t="s">
        <v>152</v>
      </c>
    </row>
    <row r="207" spans="1:7" ht="13.5" thickBot="1">
      <c r="A207" s="7" t="s">
        <v>151</v>
      </c>
      <c r="B207" s="19" t="s">
        <v>22</v>
      </c>
      <c r="C207" s="20">
        <v>9</v>
      </c>
      <c r="D207" s="21">
        <v>4800</v>
      </c>
      <c r="E207" s="21">
        <v>406.94</v>
      </c>
      <c r="F207" s="21">
        <v>3662.5</v>
      </c>
      <c r="G207" s="7" t="s">
        <v>153</v>
      </c>
    </row>
    <row r="208" spans="1:7" ht="13.5" thickBot="1">
      <c r="A208" s="7" t="s">
        <v>151</v>
      </c>
      <c r="B208" s="19" t="s">
        <v>22</v>
      </c>
      <c r="C208" s="20">
        <v>2</v>
      </c>
      <c r="D208" s="21">
        <v>5000</v>
      </c>
      <c r="E208" s="21">
        <v>419.06</v>
      </c>
      <c r="F208" s="21">
        <v>838.13</v>
      </c>
      <c r="G208" s="7" t="s">
        <v>154</v>
      </c>
    </row>
    <row r="209" spans="1:7">
      <c r="A209" s="3"/>
      <c r="B209" s="3" t="s">
        <v>45</v>
      </c>
      <c r="C209" s="16">
        <v>13</v>
      </c>
      <c r="D209" s="15">
        <v>62590</v>
      </c>
      <c r="E209" s="3"/>
      <c r="F209" s="15">
        <v>5296.71</v>
      </c>
    </row>
    <row r="210" spans="1:7" ht="13.5" thickBot="1">
      <c r="A210" s="17"/>
    </row>
    <row r="211" spans="1:7" ht="13.5" thickBot="1">
      <c r="A211" s="7" t="s">
        <v>155</v>
      </c>
      <c r="B211" s="19" t="s">
        <v>22</v>
      </c>
      <c r="C211" s="20">
        <v>16</v>
      </c>
      <c r="D211" s="21">
        <v>666</v>
      </c>
      <c r="E211" s="21">
        <v>32.68</v>
      </c>
      <c r="F211" s="21">
        <v>522.80999999999995</v>
      </c>
      <c r="G211" s="7" t="s">
        <v>156</v>
      </c>
    </row>
    <row r="212" spans="1:7">
      <c r="A212" s="3"/>
      <c r="B212" s="3" t="s">
        <v>45</v>
      </c>
      <c r="C212" s="16">
        <v>16</v>
      </c>
      <c r="D212" s="15">
        <v>10656</v>
      </c>
      <c r="E212" s="3"/>
      <c r="F212" s="15">
        <v>522.80999999999995</v>
      </c>
    </row>
    <row r="213" spans="1:7" ht="13.5" thickBot="1">
      <c r="A213" s="17"/>
    </row>
    <row r="214" spans="1:7" ht="13.5" thickBot="1">
      <c r="A214" s="7" t="s">
        <v>157</v>
      </c>
      <c r="B214" s="19" t="s">
        <v>22</v>
      </c>
      <c r="C214" s="20">
        <v>16</v>
      </c>
      <c r="D214" s="21">
        <v>488</v>
      </c>
      <c r="E214" s="21">
        <v>28.73</v>
      </c>
      <c r="F214" s="21">
        <v>459.7</v>
      </c>
      <c r="G214" s="7" t="s">
        <v>158</v>
      </c>
    </row>
    <row r="215" spans="1:7" ht="13.5" thickBot="1">
      <c r="A215" s="7" t="s">
        <v>157</v>
      </c>
      <c r="B215" s="19" t="s">
        <v>22</v>
      </c>
      <c r="C215" s="20">
        <v>16</v>
      </c>
      <c r="D215" s="21">
        <v>580</v>
      </c>
      <c r="E215" s="21">
        <v>34.15</v>
      </c>
      <c r="F215" s="21">
        <v>546.36</v>
      </c>
      <c r="G215" s="7" t="s">
        <v>159</v>
      </c>
    </row>
    <row r="216" spans="1:7" ht="13.5" thickBot="1">
      <c r="A216" s="7" t="s">
        <v>157</v>
      </c>
      <c r="B216" s="19" t="s">
        <v>22</v>
      </c>
      <c r="C216" s="20">
        <v>32</v>
      </c>
      <c r="D216" s="21">
        <v>2351</v>
      </c>
      <c r="E216" s="21">
        <v>138.41999999999999</v>
      </c>
      <c r="F216" s="21">
        <v>4429.28</v>
      </c>
      <c r="G216" s="7" t="s">
        <v>160</v>
      </c>
    </row>
    <row r="217" spans="1:7" ht="13.5" thickBot="1">
      <c r="A217" s="7" t="s">
        <v>157</v>
      </c>
      <c r="B217" s="19" t="s">
        <v>22</v>
      </c>
      <c r="C217" s="20">
        <v>16</v>
      </c>
      <c r="D217" s="21">
        <v>4416</v>
      </c>
      <c r="E217" s="21">
        <v>259.99</v>
      </c>
      <c r="F217" s="21">
        <v>4159.84</v>
      </c>
      <c r="G217" s="7" t="s">
        <v>161</v>
      </c>
    </row>
    <row r="218" spans="1:7" ht="13.5" thickBot="1">
      <c r="A218" s="7" t="s">
        <v>157</v>
      </c>
      <c r="B218" s="19" t="s">
        <v>22</v>
      </c>
      <c r="C218" s="20">
        <v>16</v>
      </c>
      <c r="D218" s="21">
        <v>5758</v>
      </c>
      <c r="E218" s="21">
        <v>338.97</v>
      </c>
      <c r="F218" s="21">
        <v>5423.57</v>
      </c>
      <c r="G218" s="7" t="s">
        <v>162</v>
      </c>
    </row>
    <row r="219" spans="1:7" ht="13.5" thickBot="1">
      <c r="A219" s="7" t="s">
        <v>157</v>
      </c>
      <c r="B219" s="19" t="s">
        <v>22</v>
      </c>
      <c r="C219" s="20">
        <v>16</v>
      </c>
      <c r="D219" s="21">
        <v>6064</v>
      </c>
      <c r="E219" s="21">
        <v>357.02</v>
      </c>
      <c r="F219" s="21">
        <v>5712.35</v>
      </c>
      <c r="G219" s="7" t="s">
        <v>163</v>
      </c>
    </row>
    <row r="220" spans="1:7" ht="13.5" thickBot="1">
      <c r="A220" s="7" t="s">
        <v>157</v>
      </c>
      <c r="B220" s="19" t="s">
        <v>22</v>
      </c>
      <c r="C220" s="20">
        <v>16</v>
      </c>
      <c r="D220" s="21">
        <v>7477</v>
      </c>
      <c r="E220" s="21">
        <v>440.18</v>
      </c>
      <c r="F220" s="21">
        <v>7042.86</v>
      </c>
      <c r="G220" s="7" t="s">
        <v>164</v>
      </c>
    </row>
    <row r="221" spans="1:7">
      <c r="A221" s="8" t="s">
        <v>157</v>
      </c>
      <c r="B221" s="18" t="s">
        <v>47</v>
      </c>
      <c r="C221" s="14">
        <v>16</v>
      </c>
      <c r="D221" s="15">
        <v>403</v>
      </c>
      <c r="E221" s="15">
        <v>23.71</v>
      </c>
      <c r="F221" s="15">
        <v>379.35</v>
      </c>
      <c r="G221" s="8" t="s">
        <v>165</v>
      </c>
    </row>
    <row r="222" spans="1:7">
      <c r="A222" s="3"/>
      <c r="B222" s="3" t="s">
        <v>45</v>
      </c>
      <c r="C222" s="16">
        <v>144</v>
      </c>
      <c r="D222" s="15">
        <v>478208</v>
      </c>
      <c r="E222" s="3"/>
      <c r="F222" s="15">
        <v>28153.3</v>
      </c>
    </row>
    <row r="223" spans="1:7">
      <c r="A223" s="17"/>
    </row>
    <row r="224" spans="1:7">
      <c r="A224" s="8" t="s">
        <v>166</v>
      </c>
      <c r="B224" s="18" t="s">
        <v>47</v>
      </c>
      <c r="C224" s="14">
        <v>2</v>
      </c>
      <c r="D224" s="15">
        <v>150</v>
      </c>
      <c r="E224" s="15">
        <v>4.24</v>
      </c>
      <c r="F224" s="15">
        <v>8.48</v>
      </c>
      <c r="G224" s="8" t="s">
        <v>167</v>
      </c>
    </row>
    <row r="225" spans="1:7">
      <c r="A225" s="3"/>
      <c r="B225" s="3" t="s">
        <v>45</v>
      </c>
      <c r="C225" s="16">
        <v>2</v>
      </c>
      <c r="D225" s="15">
        <v>300</v>
      </c>
      <c r="E225" s="3"/>
      <c r="F225" s="15">
        <v>8.48</v>
      </c>
    </row>
    <row r="226" spans="1:7">
      <c r="A226" s="17"/>
    </row>
    <row r="227" spans="1:7">
      <c r="A227" s="8" t="s">
        <v>168</v>
      </c>
      <c r="B227" s="18" t="s">
        <v>47</v>
      </c>
      <c r="C227" s="14">
        <v>22</v>
      </c>
      <c r="D227" s="15">
        <v>190</v>
      </c>
      <c r="E227" s="15">
        <v>6.71</v>
      </c>
      <c r="F227" s="15">
        <v>147.66</v>
      </c>
      <c r="G227" s="8" t="s">
        <v>169</v>
      </c>
    </row>
    <row r="228" spans="1:7">
      <c r="A228" s="3"/>
      <c r="B228" s="3" t="s">
        <v>45</v>
      </c>
      <c r="C228" s="16">
        <v>22</v>
      </c>
      <c r="D228" s="15">
        <v>4180</v>
      </c>
      <c r="E228" s="3"/>
      <c r="F228" s="15">
        <v>147.66</v>
      </c>
    </row>
    <row r="229" spans="1:7" ht="13.5" thickBot="1">
      <c r="A229" s="17"/>
    </row>
    <row r="230" spans="1:7" ht="13.5" thickBot="1">
      <c r="A230" s="7" t="s">
        <v>170</v>
      </c>
      <c r="B230" s="19" t="s">
        <v>22</v>
      </c>
      <c r="C230" s="20">
        <v>2</v>
      </c>
      <c r="D230" s="21">
        <v>4695</v>
      </c>
      <c r="E230" s="21">
        <v>322.49</v>
      </c>
      <c r="F230" s="21">
        <v>644.98</v>
      </c>
      <c r="G230" s="7" t="s">
        <v>171</v>
      </c>
    </row>
    <row r="231" spans="1:7" ht="13.5" thickBot="1">
      <c r="A231" s="7" t="s">
        <v>170</v>
      </c>
      <c r="B231" s="19" t="s">
        <v>22</v>
      </c>
      <c r="C231" s="20">
        <v>9</v>
      </c>
      <c r="D231" s="21">
        <v>4800</v>
      </c>
      <c r="E231" s="21">
        <v>329.7</v>
      </c>
      <c r="F231" s="21">
        <v>2967.3</v>
      </c>
      <c r="G231" s="7" t="s">
        <v>172</v>
      </c>
    </row>
    <row r="232" spans="1:7" ht="13.5" thickBot="1">
      <c r="A232" s="7" t="s">
        <v>170</v>
      </c>
      <c r="B232" s="19" t="s">
        <v>22</v>
      </c>
      <c r="C232" s="20">
        <v>2</v>
      </c>
      <c r="D232" s="21">
        <v>5010</v>
      </c>
      <c r="E232" s="21">
        <v>344.12</v>
      </c>
      <c r="F232" s="21">
        <v>688.25</v>
      </c>
      <c r="G232" s="7" t="s">
        <v>173</v>
      </c>
    </row>
    <row r="233" spans="1:7">
      <c r="A233" s="3"/>
      <c r="B233" s="3" t="s">
        <v>45</v>
      </c>
      <c r="C233" s="16">
        <v>13</v>
      </c>
      <c r="D233" s="15">
        <v>62610</v>
      </c>
      <c r="E233" s="3"/>
      <c r="F233" s="15">
        <v>4300.5200000000004</v>
      </c>
    </row>
    <row r="234" spans="1:7" ht="13.5" thickBot="1">
      <c r="A234" s="17"/>
    </row>
    <row r="235" spans="1:7" ht="13.5" thickBot="1">
      <c r="A235" s="7" t="s">
        <v>174</v>
      </c>
      <c r="B235" s="19" t="s">
        <v>22</v>
      </c>
      <c r="C235" s="20">
        <v>16</v>
      </c>
      <c r="D235" s="21">
        <v>14891</v>
      </c>
      <c r="E235" s="21">
        <v>2111.11</v>
      </c>
      <c r="F235" s="21">
        <v>33777.78</v>
      </c>
      <c r="G235" s="7" t="s">
        <v>175</v>
      </c>
    </row>
    <row r="236" spans="1:7">
      <c r="A236" s="3"/>
      <c r="B236" s="3" t="s">
        <v>45</v>
      </c>
      <c r="C236" s="16">
        <v>16</v>
      </c>
      <c r="D236" s="15">
        <v>238256</v>
      </c>
      <c r="E236" s="3"/>
      <c r="F236" s="15">
        <v>33777.78</v>
      </c>
    </row>
    <row r="237" spans="1:7">
      <c r="A237" s="17"/>
    </row>
    <row r="238" spans="1:7">
      <c r="A238" s="8" t="s">
        <v>176</v>
      </c>
      <c r="B238" s="13" t="s">
        <v>22</v>
      </c>
      <c r="C238" s="14">
        <v>4</v>
      </c>
      <c r="D238" s="15">
        <v>4720</v>
      </c>
      <c r="E238" s="15">
        <v>48.91</v>
      </c>
      <c r="F238" s="15">
        <v>195.63</v>
      </c>
      <c r="G238" s="8" t="s">
        <v>177</v>
      </c>
    </row>
    <row r="239" spans="1:7">
      <c r="A239" s="3"/>
      <c r="B239" s="3" t="s">
        <v>45</v>
      </c>
      <c r="C239" s="16">
        <v>4</v>
      </c>
      <c r="D239" s="15">
        <v>18880</v>
      </c>
      <c r="E239" s="3"/>
      <c r="F239" s="15">
        <v>195.63</v>
      </c>
    </row>
    <row r="240" spans="1:7">
      <c r="A240" s="17"/>
    </row>
    <row r="241" spans="1:7">
      <c r="A241" s="8" t="s">
        <v>178</v>
      </c>
      <c r="B241" s="13" t="s">
        <v>22</v>
      </c>
      <c r="C241" s="14">
        <v>2</v>
      </c>
      <c r="D241" s="15">
        <v>4700</v>
      </c>
      <c r="E241" s="15">
        <v>144.22</v>
      </c>
      <c r="F241" s="15">
        <v>288.45</v>
      </c>
      <c r="G241" s="8" t="s">
        <v>179</v>
      </c>
    </row>
    <row r="242" spans="1:7">
      <c r="A242" s="8" t="s">
        <v>178</v>
      </c>
      <c r="B242" s="13" t="s">
        <v>22</v>
      </c>
      <c r="C242" s="14">
        <v>11</v>
      </c>
      <c r="D242" s="15">
        <v>4790</v>
      </c>
      <c r="E242" s="15">
        <v>146.97999999999999</v>
      </c>
      <c r="F242" s="15">
        <v>1616.83</v>
      </c>
      <c r="G242" s="8" t="s">
        <v>180</v>
      </c>
    </row>
    <row r="243" spans="1:7">
      <c r="A243" s="3"/>
      <c r="B243" s="3" t="s">
        <v>45</v>
      </c>
      <c r="C243" s="16">
        <v>13</v>
      </c>
      <c r="D243" s="15">
        <v>62090</v>
      </c>
      <c r="E243" s="3"/>
      <c r="F243" s="15">
        <v>1905.27</v>
      </c>
    </row>
    <row r="244" spans="1:7">
      <c r="A244" s="17"/>
    </row>
    <row r="245" spans="1:7">
      <c r="A245" s="8" t="s">
        <v>181</v>
      </c>
      <c r="B245" s="13" t="s">
        <v>22</v>
      </c>
      <c r="C245" s="14">
        <v>2</v>
      </c>
      <c r="D245" s="15">
        <v>14810</v>
      </c>
      <c r="E245" s="15">
        <v>982.41</v>
      </c>
      <c r="F245" s="15">
        <v>1964.82</v>
      </c>
      <c r="G245" s="8" t="s">
        <v>182</v>
      </c>
    </row>
    <row r="246" spans="1:7">
      <c r="A246" s="8" t="s">
        <v>181</v>
      </c>
      <c r="B246" s="13" t="s">
        <v>22</v>
      </c>
      <c r="C246" s="14">
        <v>2</v>
      </c>
      <c r="D246" s="15">
        <v>14841</v>
      </c>
      <c r="E246" s="15">
        <v>984.42</v>
      </c>
      <c r="F246" s="15">
        <v>1968.83</v>
      </c>
      <c r="G246" s="8" t="s">
        <v>183</v>
      </c>
    </row>
    <row r="247" spans="1:7">
      <c r="A247" s="3"/>
      <c r="B247" s="3" t="s">
        <v>45</v>
      </c>
      <c r="C247" s="16">
        <v>4</v>
      </c>
      <c r="D247" s="15">
        <v>59302</v>
      </c>
      <c r="E247" s="3"/>
      <c r="F247" s="15">
        <v>3933.65</v>
      </c>
    </row>
    <row r="248" spans="1:7" ht="13.5" thickBot="1">
      <c r="A248" s="17"/>
    </row>
    <row r="249" spans="1:7" ht="13.5" thickBot="1">
      <c r="A249" s="7" t="s">
        <v>184</v>
      </c>
      <c r="B249" s="19" t="s">
        <v>22</v>
      </c>
      <c r="C249" s="20">
        <v>16</v>
      </c>
      <c r="D249" s="21">
        <v>7530</v>
      </c>
      <c r="E249" s="21">
        <v>922.18</v>
      </c>
      <c r="F249" s="21">
        <v>14754.88</v>
      </c>
      <c r="G249" s="7" t="s">
        <v>185</v>
      </c>
    </row>
    <row r="250" spans="1:7">
      <c r="A250" s="3"/>
      <c r="B250" s="3" t="s">
        <v>45</v>
      </c>
      <c r="C250" s="16">
        <v>16</v>
      </c>
      <c r="D250" s="15">
        <v>120480</v>
      </c>
      <c r="E250" s="3"/>
      <c r="F250" s="15">
        <v>14754.88</v>
      </c>
    </row>
    <row r="251" spans="1:7">
      <c r="A251" s="17"/>
    </row>
    <row r="252" spans="1:7">
      <c r="A252" s="8" t="s">
        <v>186</v>
      </c>
      <c r="B252" s="18" t="s">
        <v>47</v>
      </c>
      <c r="C252" s="14">
        <v>2</v>
      </c>
      <c r="D252" s="15">
        <v>500</v>
      </c>
      <c r="E252" s="15">
        <v>2.23</v>
      </c>
      <c r="F252" s="15">
        <v>4.46</v>
      </c>
      <c r="G252" s="8" t="s">
        <v>187</v>
      </c>
    </row>
    <row r="253" spans="1:7">
      <c r="A253" s="8" t="s">
        <v>186</v>
      </c>
      <c r="B253" s="18" t="s">
        <v>47</v>
      </c>
      <c r="C253" s="14">
        <v>1</v>
      </c>
      <c r="D253" s="15">
        <v>690</v>
      </c>
      <c r="E253" s="15">
        <v>3.08</v>
      </c>
      <c r="F253" s="15">
        <v>3.08</v>
      </c>
      <c r="G253" s="8" t="s">
        <v>188</v>
      </c>
    </row>
    <row r="254" spans="1:7">
      <c r="A254" s="8" t="s">
        <v>186</v>
      </c>
      <c r="B254" s="18" t="s">
        <v>47</v>
      </c>
      <c r="C254" s="14">
        <v>2</v>
      </c>
      <c r="D254" s="15">
        <v>1090</v>
      </c>
      <c r="E254" s="15">
        <v>4.8600000000000003</v>
      </c>
      <c r="F254" s="15">
        <v>9.7200000000000006</v>
      </c>
      <c r="G254" s="8" t="s">
        <v>189</v>
      </c>
    </row>
    <row r="255" spans="1:7">
      <c r="A255" s="8" t="s">
        <v>186</v>
      </c>
      <c r="B255" s="18" t="s">
        <v>47</v>
      </c>
      <c r="C255" s="14">
        <v>1</v>
      </c>
      <c r="D255" s="15">
        <v>1260</v>
      </c>
      <c r="E255" s="15">
        <v>5.62</v>
      </c>
      <c r="F255" s="15">
        <v>5.62</v>
      </c>
      <c r="G255" s="8" t="s">
        <v>190</v>
      </c>
    </row>
    <row r="256" spans="1:7">
      <c r="A256" s="8" t="s">
        <v>186</v>
      </c>
      <c r="B256" s="18" t="s">
        <v>47</v>
      </c>
      <c r="C256" s="14">
        <v>2</v>
      </c>
      <c r="D256" s="15">
        <v>3300</v>
      </c>
      <c r="E256" s="15">
        <v>14.71</v>
      </c>
      <c r="F256" s="15">
        <v>29.43</v>
      </c>
      <c r="G256" s="8" t="s">
        <v>191</v>
      </c>
    </row>
    <row r="257" spans="1:7">
      <c r="A257" s="3"/>
      <c r="B257" s="3" t="s">
        <v>45</v>
      </c>
      <c r="C257" s="16">
        <v>8</v>
      </c>
      <c r="D257" s="15">
        <v>11730</v>
      </c>
      <c r="E257" s="3"/>
      <c r="F257" s="15">
        <v>52.3</v>
      </c>
    </row>
    <row r="258" spans="1:7">
      <c r="A258" s="17"/>
    </row>
    <row r="259" spans="1:7">
      <c r="A259" s="8" t="s">
        <v>192</v>
      </c>
      <c r="B259" s="18" t="s">
        <v>47</v>
      </c>
      <c r="C259" s="14">
        <v>2</v>
      </c>
      <c r="D259" s="15">
        <v>120</v>
      </c>
      <c r="E259" s="15">
        <v>1.81</v>
      </c>
      <c r="F259" s="15">
        <v>3.62</v>
      </c>
      <c r="G259" s="8" t="s">
        <v>193</v>
      </c>
    </row>
    <row r="260" spans="1:7">
      <c r="A260" s="8" t="s">
        <v>192</v>
      </c>
      <c r="B260" s="18" t="s">
        <v>47</v>
      </c>
      <c r="C260" s="14">
        <v>8</v>
      </c>
      <c r="D260" s="15">
        <v>130</v>
      </c>
      <c r="E260" s="15">
        <v>1.96</v>
      </c>
      <c r="F260" s="15">
        <v>15.67</v>
      </c>
      <c r="G260" s="8" t="s">
        <v>193</v>
      </c>
    </row>
    <row r="261" spans="1:7">
      <c r="A261" s="8" t="s">
        <v>192</v>
      </c>
      <c r="B261" s="18" t="s">
        <v>47</v>
      </c>
      <c r="C261" s="14">
        <v>16</v>
      </c>
      <c r="D261" s="15">
        <v>150</v>
      </c>
      <c r="E261" s="15">
        <v>2.2599999999999998</v>
      </c>
      <c r="F261" s="15">
        <v>36.17</v>
      </c>
      <c r="G261" s="8" t="s">
        <v>193</v>
      </c>
    </row>
    <row r="262" spans="1:7">
      <c r="A262" s="3"/>
      <c r="B262" s="3" t="s">
        <v>45</v>
      </c>
      <c r="C262" s="16">
        <v>26</v>
      </c>
      <c r="D262" s="15">
        <v>3680</v>
      </c>
      <c r="E262" s="3"/>
      <c r="F262" s="15">
        <v>55.46</v>
      </c>
    </row>
    <row r="263" spans="1:7" ht="13.5" thickBot="1">
      <c r="A263" s="17"/>
    </row>
    <row r="264" spans="1:7" ht="13.5" thickBot="1">
      <c r="A264" s="7" t="s">
        <v>194</v>
      </c>
      <c r="B264" s="22" t="s">
        <v>47</v>
      </c>
      <c r="C264" s="20">
        <v>1</v>
      </c>
      <c r="D264" s="21">
        <v>760</v>
      </c>
      <c r="E264" s="21">
        <v>15.16</v>
      </c>
      <c r="F264" s="21">
        <v>15.16</v>
      </c>
      <c r="G264" s="7" t="s">
        <v>195</v>
      </c>
    </row>
    <row r="265" spans="1:7" ht="13.5" thickBot="1">
      <c r="A265" s="7" t="s">
        <v>194</v>
      </c>
      <c r="B265" s="22" t="s">
        <v>47</v>
      </c>
      <c r="C265" s="20">
        <v>3</v>
      </c>
      <c r="D265" s="21">
        <v>762</v>
      </c>
      <c r="E265" s="21">
        <v>15.2</v>
      </c>
      <c r="F265" s="21">
        <v>45.6</v>
      </c>
      <c r="G265" s="7" t="s">
        <v>196</v>
      </c>
    </row>
    <row r="266" spans="1:7" ht="13.5" thickBot="1">
      <c r="A266" s="7" t="s">
        <v>194</v>
      </c>
      <c r="B266" s="22" t="s">
        <v>47</v>
      </c>
      <c r="C266" s="20">
        <v>2</v>
      </c>
      <c r="D266" s="21">
        <v>1540</v>
      </c>
      <c r="E266" s="21">
        <v>30.71</v>
      </c>
      <c r="F266" s="21">
        <v>61.41</v>
      </c>
      <c r="G266" s="7" t="s">
        <v>197</v>
      </c>
    </row>
    <row r="267" spans="1:7" ht="13.5" thickBot="1">
      <c r="A267" s="7" t="s">
        <v>194</v>
      </c>
      <c r="B267" s="22" t="s">
        <v>47</v>
      </c>
      <c r="C267" s="20">
        <v>6</v>
      </c>
      <c r="D267" s="21">
        <v>1800</v>
      </c>
      <c r="E267" s="21">
        <v>35.89</v>
      </c>
      <c r="F267" s="21">
        <v>215.34</v>
      </c>
      <c r="G267" s="7" t="s">
        <v>198</v>
      </c>
    </row>
    <row r="268" spans="1:7" ht="13.5" thickBot="1">
      <c r="A268" s="7" t="s">
        <v>194</v>
      </c>
      <c r="B268" s="22" t="s">
        <v>47</v>
      </c>
      <c r="C268" s="20">
        <v>4</v>
      </c>
      <c r="D268" s="21">
        <v>2847</v>
      </c>
      <c r="E268" s="21">
        <v>56.77</v>
      </c>
      <c r="F268" s="21">
        <v>227.09</v>
      </c>
      <c r="G268" s="7" t="s">
        <v>199</v>
      </c>
    </row>
    <row r="269" spans="1:7" ht="13.5" thickBot="1">
      <c r="A269" s="7" t="s">
        <v>194</v>
      </c>
      <c r="B269" s="22" t="s">
        <v>47</v>
      </c>
      <c r="C269" s="20">
        <v>4</v>
      </c>
      <c r="D269" s="21">
        <v>2881</v>
      </c>
      <c r="E269" s="21">
        <v>57.45</v>
      </c>
      <c r="F269" s="21">
        <v>229.81</v>
      </c>
      <c r="G269" s="7" t="s">
        <v>200</v>
      </c>
    </row>
    <row r="270" spans="1:7" ht="13.5" thickBot="1">
      <c r="A270" s="7" t="s">
        <v>194</v>
      </c>
      <c r="B270" s="22" t="s">
        <v>47</v>
      </c>
      <c r="C270" s="20">
        <v>4</v>
      </c>
      <c r="D270" s="21">
        <v>3198</v>
      </c>
      <c r="E270" s="21">
        <v>63.76</v>
      </c>
      <c r="F270" s="21">
        <v>255.05</v>
      </c>
      <c r="G270" s="7" t="s">
        <v>201</v>
      </c>
    </row>
    <row r="271" spans="1:7">
      <c r="A271" s="3"/>
      <c r="B271" s="3" t="s">
        <v>45</v>
      </c>
      <c r="C271" s="16">
        <v>24</v>
      </c>
      <c r="D271" s="15">
        <v>52630</v>
      </c>
      <c r="E271" s="3"/>
      <c r="F271" s="15">
        <v>1049.47</v>
      </c>
    </row>
    <row r="272" spans="1:7">
      <c r="A272" s="17"/>
    </row>
    <row r="273" spans="1:7">
      <c r="A273" s="8" t="s">
        <v>202</v>
      </c>
      <c r="B273" s="13" t="s">
        <v>22</v>
      </c>
      <c r="C273" s="14">
        <v>69</v>
      </c>
      <c r="D273" s="15">
        <v>255</v>
      </c>
      <c r="E273" s="15">
        <v>0.84</v>
      </c>
      <c r="F273" s="15">
        <v>57.72</v>
      </c>
      <c r="G273" s="8" t="s">
        <v>23</v>
      </c>
    </row>
    <row r="274" spans="1:7">
      <c r="A274" s="3"/>
      <c r="B274" s="3" t="s">
        <v>45</v>
      </c>
      <c r="C274" s="16">
        <v>69</v>
      </c>
      <c r="D274" s="15">
        <v>17595</v>
      </c>
      <c r="E274" s="3"/>
      <c r="F274" s="15">
        <v>57.72</v>
      </c>
    </row>
    <row r="275" spans="1:7">
      <c r="A275" s="17"/>
    </row>
    <row r="276" spans="1:7">
      <c r="A276" s="8" t="s">
        <v>203</v>
      </c>
      <c r="B276" s="18" t="s">
        <v>47</v>
      </c>
      <c r="C276" s="14">
        <v>65</v>
      </c>
      <c r="D276" s="15">
        <v>230</v>
      </c>
      <c r="E276" s="15">
        <v>0.71</v>
      </c>
      <c r="F276" s="15">
        <v>45.92</v>
      </c>
      <c r="G276" s="8" t="s">
        <v>204</v>
      </c>
    </row>
    <row r="277" spans="1:7">
      <c r="A277" s="3"/>
      <c r="B277" s="3" t="s">
        <v>45</v>
      </c>
      <c r="C277" s="16">
        <v>65</v>
      </c>
      <c r="D277" s="15">
        <v>14950</v>
      </c>
      <c r="E277" s="3"/>
      <c r="F277" s="15">
        <v>45.92</v>
      </c>
    </row>
    <row r="278" spans="1:7" ht="13.5" thickBot="1">
      <c r="A278" s="17"/>
    </row>
    <row r="279" spans="1:7" ht="13.5" thickBot="1">
      <c r="A279" s="7" t="s">
        <v>205</v>
      </c>
      <c r="B279" s="19" t="s">
        <v>22</v>
      </c>
      <c r="C279" s="20">
        <v>16</v>
      </c>
      <c r="D279" s="21">
        <v>7477</v>
      </c>
      <c r="E279" s="21">
        <v>375.04</v>
      </c>
      <c r="F279" s="21">
        <v>5975.06</v>
      </c>
      <c r="G279" s="7" t="s">
        <v>206</v>
      </c>
    </row>
    <row r="280" spans="1:7">
      <c r="A280" s="3"/>
      <c r="B280" s="3" t="s">
        <v>45</v>
      </c>
      <c r="C280" s="16">
        <v>16</v>
      </c>
      <c r="D280" s="15">
        <v>119632</v>
      </c>
      <c r="E280" s="3"/>
      <c r="F280" s="15">
        <v>5975.06</v>
      </c>
    </row>
    <row r="281" spans="1:7" ht="13.5" thickBot="1">
      <c r="A281" s="17"/>
    </row>
    <row r="282" spans="1:7" ht="13.5" thickBot="1">
      <c r="A282" s="7" t="s">
        <v>207</v>
      </c>
      <c r="B282" s="19" t="s">
        <v>22</v>
      </c>
      <c r="C282" s="20">
        <v>16</v>
      </c>
      <c r="D282" s="21">
        <v>5758</v>
      </c>
      <c r="E282" s="21">
        <v>367.69</v>
      </c>
      <c r="F282" s="21">
        <v>5883.1</v>
      </c>
      <c r="G282" s="7" t="s">
        <v>208</v>
      </c>
    </row>
    <row r="283" spans="1:7">
      <c r="A283" s="3"/>
      <c r="B283" s="3" t="s">
        <v>45</v>
      </c>
      <c r="C283" s="16">
        <v>16</v>
      </c>
      <c r="D283" s="15">
        <v>92128</v>
      </c>
      <c r="E283" s="3"/>
      <c r="F283" s="15">
        <v>5883.1</v>
      </c>
    </row>
    <row r="284" spans="1:7">
      <c r="A284" s="17"/>
    </row>
    <row r="285" spans="1:7">
      <c r="A285" s="8" t="s">
        <v>209</v>
      </c>
      <c r="B285" s="18" t="s">
        <v>47</v>
      </c>
      <c r="C285" s="14">
        <v>38</v>
      </c>
      <c r="D285" s="15">
        <v>100</v>
      </c>
      <c r="E285" s="15">
        <v>0.51</v>
      </c>
      <c r="F285" s="15">
        <v>19.39</v>
      </c>
      <c r="G285" s="8" t="s">
        <v>210</v>
      </c>
    </row>
    <row r="286" spans="1:7">
      <c r="A286" s="3"/>
      <c r="B286" s="3" t="s">
        <v>45</v>
      </c>
      <c r="C286" s="16">
        <v>38</v>
      </c>
      <c r="D286" s="15">
        <v>3800</v>
      </c>
      <c r="E286" s="3"/>
      <c r="F286" s="15">
        <v>19.39</v>
      </c>
    </row>
    <row r="287" spans="1:7">
      <c r="A287" s="17"/>
    </row>
    <row r="288" spans="1:7">
      <c r="A288" s="8" t="s">
        <v>211</v>
      </c>
      <c r="B288" s="18" t="s">
        <v>47</v>
      </c>
      <c r="C288" s="14">
        <v>2</v>
      </c>
      <c r="D288" s="15">
        <v>108</v>
      </c>
      <c r="E288" s="15">
        <v>0.31</v>
      </c>
      <c r="F288" s="15">
        <v>0.61</v>
      </c>
      <c r="G288" s="8" t="s">
        <v>53</v>
      </c>
    </row>
    <row r="289" spans="1:7">
      <c r="A289" s="3"/>
      <c r="B289" s="3" t="s">
        <v>45</v>
      </c>
      <c r="C289" s="16">
        <v>2</v>
      </c>
      <c r="D289" s="15">
        <v>216</v>
      </c>
      <c r="E289" s="3"/>
      <c r="F289" s="15">
        <v>0.61</v>
      </c>
    </row>
    <row r="290" spans="1:7">
      <c r="A290" s="17"/>
    </row>
    <row r="291" spans="1:7">
      <c r="A291" s="8" t="s">
        <v>212</v>
      </c>
      <c r="B291" s="18" t="s">
        <v>47</v>
      </c>
      <c r="C291" s="14">
        <v>19</v>
      </c>
      <c r="D291" s="15">
        <v>100</v>
      </c>
      <c r="E291" s="15">
        <v>0.59</v>
      </c>
      <c r="F291" s="15">
        <v>10.67</v>
      </c>
      <c r="G291" s="8" t="s">
        <v>53</v>
      </c>
    </row>
    <row r="292" spans="1:7">
      <c r="A292" s="3"/>
      <c r="B292" s="3" t="s">
        <v>45</v>
      </c>
      <c r="C292" s="16">
        <v>19</v>
      </c>
      <c r="D292" s="15">
        <v>1900</v>
      </c>
      <c r="E292" s="3"/>
      <c r="F292" s="15">
        <v>10.67</v>
      </c>
    </row>
    <row r="293" spans="1:7">
      <c r="A293" s="17"/>
    </row>
    <row r="294" spans="1:7">
      <c r="A294" s="8" t="s">
        <v>213</v>
      </c>
      <c r="B294" s="18" t="s">
        <v>47</v>
      </c>
      <c r="C294" s="14">
        <v>3</v>
      </c>
      <c r="D294" s="15">
        <v>750</v>
      </c>
      <c r="E294" s="15">
        <v>4.71</v>
      </c>
      <c r="F294" s="15">
        <v>14.13</v>
      </c>
      <c r="G294" s="8" t="s">
        <v>214</v>
      </c>
    </row>
    <row r="295" spans="1:7">
      <c r="A295" s="3"/>
      <c r="B295" s="3" t="s">
        <v>45</v>
      </c>
      <c r="C295" s="16">
        <v>3</v>
      </c>
      <c r="D295" s="15">
        <v>2250</v>
      </c>
      <c r="E295" s="3"/>
      <c r="F295" s="15">
        <v>14.13</v>
      </c>
    </row>
    <row r="296" spans="1:7">
      <c r="A296" s="17"/>
    </row>
    <row r="297" spans="1:7">
      <c r="A297" s="8" t="s">
        <v>215</v>
      </c>
      <c r="B297" s="18" t="s">
        <v>47</v>
      </c>
      <c r="C297" s="14">
        <v>2</v>
      </c>
      <c r="D297" s="15">
        <v>118</v>
      </c>
      <c r="E297" s="15">
        <v>0.37</v>
      </c>
      <c r="F297" s="15">
        <v>0.75</v>
      </c>
      <c r="G297" s="8" t="s">
        <v>53</v>
      </c>
    </row>
    <row r="298" spans="1:7">
      <c r="A298" s="3"/>
      <c r="B298" s="3" t="s">
        <v>45</v>
      </c>
      <c r="C298" s="16">
        <v>2</v>
      </c>
      <c r="D298" s="15">
        <v>236</v>
      </c>
      <c r="E298" s="3"/>
      <c r="F298" s="15">
        <v>0.75</v>
      </c>
    </row>
    <row r="299" spans="1:7">
      <c r="A299" s="17"/>
    </row>
    <row r="300" spans="1:7">
      <c r="A300" s="8" t="s">
        <v>216</v>
      </c>
      <c r="B300" s="18" t="s">
        <v>47</v>
      </c>
      <c r="C300" s="14">
        <v>12</v>
      </c>
      <c r="D300" s="15">
        <v>201</v>
      </c>
      <c r="E300" s="15">
        <v>1.29</v>
      </c>
      <c r="F300" s="15">
        <v>15.47</v>
      </c>
      <c r="G300" s="8" t="s">
        <v>53</v>
      </c>
    </row>
    <row r="301" spans="1:7">
      <c r="A301" s="8" t="s">
        <v>216</v>
      </c>
      <c r="B301" s="18" t="s">
        <v>47</v>
      </c>
      <c r="C301" s="14">
        <v>26</v>
      </c>
      <c r="D301" s="15">
        <v>211</v>
      </c>
      <c r="E301" s="15">
        <v>1.37</v>
      </c>
      <c r="F301" s="15">
        <v>35.549999999999997</v>
      </c>
      <c r="G301" s="8" t="s">
        <v>217</v>
      </c>
    </row>
    <row r="302" spans="1:7">
      <c r="A302" s="3"/>
      <c r="B302" s="3" t="s">
        <v>45</v>
      </c>
      <c r="C302" s="16">
        <v>38</v>
      </c>
      <c r="D302" s="15">
        <v>7898</v>
      </c>
      <c r="E302" s="3"/>
      <c r="F302" s="15">
        <v>51.02</v>
      </c>
    </row>
    <row r="303" spans="1:7">
      <c r="A303" s="17"/>
    </row>
    <row r="304" spans="1:7">
      <c r="A304" s="8" t="s">
        <v>218</v>
      </c>
      <c r="B304" s="18" t="s">
        <v>47</v>
      </c>
      <c r="C304" s="14">
        <v>34</v>
      </c>
      <c r="D304" s="15">
        <v>1000</v>
      </c>
      <c r="E304" s="15">
        <v>9.42</v>
      </c>
      <c r="F304" s="15">
        <v>320.27999999999997</v>
      </c>
      <c r="G304" s="8" t="s">
        <v>219</v>
      </c>
    </row>
    <row r="305" spans="1:7">
      <c r="A305" s="8" t="s">
        <v>218</v>
      </c>
      <c r="B305" s="18" t="s">
        <v>47</v>
      </c>
      <c r="C305" s="14">
        <v>8</v>
      </c>
      <c r="D305" s="15">
        <v>1400</v>
      </c>
      <c r="E305" s="15">
        <v>13.19</v>
      </c>
      <c r="F305" s="15">
        <v>105.5</v>
      </c>
      <c r="G305" s="8" t="s">
        <v>220</v>
      </c>
    </row>
    <row r="306" spans="1:7">
      <c r="A306" s="3"/>
      <c r="B306" s="3" t="s">
        <v>45</v>
      </c>
      <c r="C306" s="16">
        <v>42</v>
      </c>
      <c r="D306" s="15">
        <v>45200</v>
      </c>
      <c r="E306" s="3"/>
      <c r="F306" s="15">
        <v>425.78</v>
      </c>
    </row>
    <row r="307" spans="1:7">
      <c r="A307" s="17"/>
    </row>
    <row r="308" spans="1:7">
      <c r="A308" s="8" t="s">
        <v>221</v>
      </c>
      <c r="B308" s="18" t="s">
        <v>47</v>
      </c>
      <c r="C308" s="14">
        <v>2</v>
      </c>
      <c r="D308" s="15">
        <v>597</v>
      </c>
      <c r="E308" s="15">
        <v>6.47</v>
      </c>
      <c r="F308" s="15">
        <v>12.94</v>
      </c>
      <c r="G308" s="8" t="s">
        <v>222</v>
      </c>
    </row>
    <row r="309" spans="1:7">
      <c r="A309" s="8" t="s">
        <v>221</v>
      </c>
      <c r="B309" s="18" t="s">
        <v>47</v>
      </c>
      <c r="C309" s="14">
        <v>1</v>
      </c>
      <c r="D309" s="15">
        <v>679</v>
      </c>
      <c r="E309" s="15">
        <v>7.47</v>
      </c>
      <c r="F309" s="15">
        <v>7.47</v>
      </c>
      <c r="G309" s="8" t="s">
        <v>223</v>
      </c>
    </row>
    <row r="310" spans="1:7">
      <c r="A310" s="8" t="s">
        <v>221</v>
      </c>
      <c r="B310" s="18" t="s">
        <v>47</v>
      </c>
      <c r="C310" s="14">
        <v>16</v>
      </c>
      <c r="D310" s="15">
        <v>761</v>
      </c>
      <c r="E310" s="15">
        <v>8.3699999999999992</v>
      </c>
      <c r="F310" s="15">
        <v>133.86000000000001</v>
      </c>
      <c r="G310" s="8" t="s">
        <v>224</v>
      </c>
    </row>
    <row r="311" spans="1:7">
      <c r="A311" s="8" t="s">
        <v>221</v>
      </c>
      <c r="B311" s="18" t="s">
        <v>47</v>
      </c>
      <c r="C311" s="14">
        <v>2</v>
      </c>
      <c r="D311" s="15">
        <v>780</v>
      </c>
      <c r="E311" s="15">
        <v>8.57</v>
      </c>
      <c r="F311" s="15">
        <v>17.14</v>
      </c>
      <c r="G311" s="8" t="s">
        <v>225</v>
      </c>
    </row>
    <row r="312" spans="1:7">
      <c r="A312" s="8" t="s">
        <v>221</v>
      </c>
      <c r="B312" s="18" t="s">
        <v>47</v>
      </c>
      <c r="C312" s="14">
        <v>16</v>
      </c>
      <c r="D312" s="15">
        <v>784</v>
      </c>
      <c r="E312" s="15">
        <v>8.6199999999999992</v>
      </c>
      <c r="F312" s="15">
        <v>137.87</v>
      </c>
      <c r="G312" s="8" t="s">
        <v>226</v>
      </c>
    </row>
    <row r="313" spans="1:7">
      <c r="A313" s="8" t="s">
        <v>221</v>
      </c>
      <c r="B313" s="18" t="s">
        <v>47</v>
      </c>
      <c r="C313" s="14">
        <v>4</v>
      </c>
      <c r="D313" s="15">
        <v>1185</v>
      </c>
      <c r="E313" s="15">
        <v>12.93</v>
      </c>
      <c r="F313" s="15">
        <v>51.71</v>
      </c>
      <c r="G313" s="8" t="s">
        <v>227</v>
      </c>
    </row>
    <row r="314" spans="1:7">
      <c r="A314" s="8" t="s">
        <v>221</v>
      </c>
      <c r="B314" s="18" t="s">
        <v>47</v>
      </c>
      <c r="C314" s="14">
        <v>4</v>
      </c>
      <c r="D314" s="15">
        <v>1196</v>
      </c>
      <c r="E314" s="15">
        <v>13.05</v>
      </c>
      <c r="F314" s="15">
        <v>52.2</v>
      </c>
      <c r="G314" s="8" t="s">
        <v>228</v>
      </c>
    </row>
    <row r="315" spans="1:7">
      <c r="A315" s="3"/>
      <c r="B315" s="3" t="s">
        <v>45</v>
      </c>
      <c r="C315" s="16">
        <v>45</v>
      </c>
      <c r="D315" s="15">
        <v>37677</v>
      </c>
      <c r="E315" s="3"/>
      <c r="F315" s="15">
        <v>413.19</v>
      </c>
    </row>
    <row r="316" spans="1:7">
      <c r="A316" s="17"/>
    </row>
    <row r="317" spans="1:7">
      <c r="A317" s="8" t="s">
        <v>229</v>
      </c>
      <c r="B317" s="18" t="s">
        <v>47</v>
      </c>
      <c r="C317" s="14">
        <v>24</v>
      </c>
      <c r="D317" s="15">
        <v>340</v>
      </c>
      <c r="E317" s="15">
        <v>7.87</v>
      </c>
      <c r="F317" s="15">
        <v>188.78</v>
      </c>
      <c r="G317" s="8" t="s">
        <v>230</v>
      </c>
    </row>
    <row r="318" spans="1:7">
      <c r="A318" s="3"/>
      <c r="B318" s="3" t="s">
        <v>45</v>
      </c>
      <c r="C318" s="16">
        <v>24</v>
      </c>
      <c r="D318" s="15">
        <v>8160</v>
      </c>
      <c r="E318" s="3"/>
      <c r="F318" s="15">
        <v>188.78</v>
      </c>
    </row>
    <row r="319" spans="1:7">
      <c r="A319" s="17"/>
    </row>
    <row r="320" spans="1:7">
      <c r="A320" s="8" t="s">
        <v>231</v>
      </c>
      <c r="B320" s="18" t="s">
        <v>47</v>
      </c>
      <c r="C320" s="14">
        <v>100</v>
      </c>
      <c r="D320" s="15">
        <v>240</v>
      </c>
      <c r="E320" s="15">
        <v>1.86</v>
      </c>
      <c r="F320" s="15">
        <v>186.14</v>
      </c>
      <c r="G320" s="8" t="s">
        <v>232</v>
      </c>
    </row>
    <row r="321" spans="1:7">
      <c r="A321" s="3"/>
      <c r="B321" s="3" t="s">
        <v>45</v>
      </c>
      <c r="C321" s="16">
        <v>100</v>
      </c>
      <c r="D321" s="15">
        <v>24000</v>
      </c>
      <c r="E321" s="3"/>
      <c r="F321" s="15">
        <v>186.14</v>
      </c>
    </row>
    <row r="322" spans="1:7">
      <c r="A322" s="17"/>
    </row>
    <row r="323" spans="1:7">
      <c r="A323" s="8" t="s">
        <v>233</v>
      </c>
      <c r="B323" s="18" t="s">
        <v>47</v>
      </c>
      <c r="C323" s="14">
        <v>35</v>
      </c>
      <c r="D323" s="15">
        <v>140</v>
      </c>
      <c r="E323" s="15">
        <v>2.31</v>
      </c>
      <c r="F323" s="15">
        <v>80.78</v>
      </c>
      <c r="G323" s="8" t="s">
        <v>234</v>
      </c>
    </row>
    <row r="324" spans="1:7">
      <c r="A324" s="8" t="s">
        <v>233</v>
      </c>
      <c r="B324" s="18" t="s">
        <v>47</v>
      </c>
      <c r="C324" s="14">
        <v>1</v>
      </c>
      <c r="D324" s="15">
        <v>146</v>
      </c>
      <c r="E324" s="15">
        <v>2.2200000000000002</v>
      </c>
      <c r="F324" s="15">
        <v>2.2200000000000002</v>
      </c>
      <c r="G324" s="8" t="s">
        <v>53</v>
      </c>
    </row>
    <row r="325" spans="1:7">
      <c r="A325" s="3"/>
      <c r="B325" s="3" t="s">
        <v>45</v>
      </c>
      <c r="C325" s="16">
        <v>36</v>
      </c>
      <c r="D325" s="15">
        <v>5046</v>
      </c>
      <c r="E325" s="3"/>
      <c r="F325" s="15">
        <v>83</v>
      </c>
    </row>
    <row r="326" spans="1:7">
      <c r="A326" s="17"/>
    </row>
    <row r="327" spans="1:7">
      <c r="A327" s="8" t="s">
        <v>235</v>
      </c>
      <c r="B327" s="18" t="s">
        <v>47</v>
      </c>
      <c r="C327" s="14">
        <v>2</v>
      </c>
      <c r="D327" s="15">
        <v>500</v>
      </c>
      <c r="E327" s="15">
        <v>10.01</v>
      </c>
      <c r="F327" s="15">
        <v>20.02</v>
      </c>
      <c r="G327" s="8" t="s">
        <v>236</v>
      </c>
    </row>
    <row r="328" spans="1:7">
      <c r="A328" s="3"/>
      <c r="B328" s="3" t="s">
        <v>45</v>
      </c>
      <c r="C328" s="16">
        <v>2</v>
      </c>
      <c r="D328" s="15">
        <v>1000</v>
      </c>
      <c r="E328" s="3"/>
      <c r="F328" s="15">
        <v>20.02</v>
      </c>
    </row>
    <row r="329" spans="1:7">
      <c r="A329" s="17"/>
    </row>
    <row r="330" spans="1:7">
      <c r="A330" s="8" t="s">
        <v>237</v>
      </c>
      <c r="B330" s="18" t="s">
        <v>47</v>
      </c>
      <c r="C330" s="14">
        <v>4</v>
      </c>
      <c r="D330" s="15">
        <v>275</v>
      </c>
      <c r="E330" s="15">
        <v>3.66</v>
      </c>
      <c r="F330" s="15">
        <v>14.65</v>
      </c>
      <c r="G330" s="8" t="s">
        <v>238</v>
      </c>
    </row>
    <row r="331" spans="1:7">
      <c r="A331" s="3"/>
      <c r="B331" s="3" t="s">
        <v>45</v>
      </c>
      <c r="C331" s="16">
        <v>4</v>
      </c>
      <c r="D331" s="15">
        <v>1100</v>
      </c>
      <c r="E331" s="3"/>
      <c r="F331" s="15">
        <v>14.65</v>
      </c>
    </row>
    <row r="332" spans="1:7">
      <c r="A332" s="17"/>
    </row>
    <row r="333" spans="1:7">
      <c r="A333" s="8" t="s">
        <v>239</v>
      </c>
      <c r="B333" s="18" t="s">
        <v>47</v>
      </c>
      <c r="C333" s="14">
        <v>4</v>
      </c>
      <c r="D333" s="15">
        <v>211</v>
      </c>
      <c r="E333" s="15">
        <v>3.56</v>
      </c>
      <c r="F333" s="15">
        <v>14.22</v>
      </c>
      <c r="G333" s="8" t="s">
        <v>240</v>
      </c>
    </row>
    <row r="334" spans="1:7">
      <c r="A334" s="3"/>
      <c r="B334" s="3" t="s">
        <v>45</v>
      </c>
      <c r="C334" s="16">
        <v>4</v>
      </c>
      <c r="D334" s="15">
        <v>844</v>
      </c>
      <c r="E334" s="3"/>
      <c r="F334" s="15">
        <v>14.22</v>
      </c>
    </row>
    <row r="335" spans="1:7">
      <c r="A335" s="17"/>
    </row>
    <row r="336" spans="1:7">
      <c r="A336" s="8" t="s">
        <v>241</v>
      </c>
      <c r="B336" s="18" t="s">
        <v>47</v>
      </c>
      <c r="C336" s="14">
        <v>4</v>
      </c>
      <c r="D336" s="15">
        <v>211</v>
      </c>
      <c r="E336" s="15">
        <v>3.95</v>
      </c>
      <c r="F336" s="15">
        <v>15.8</v>
      </c>
      <c r="G336" s="8" t="s">
        <v>242</v>
      </c>
    </row>
    <row r="337" spans="1:7">
      <c r="A337" s="3"/>
      <c r="B337" s="3" t="s">
        <v>45</v>
      </c>
      <c r="C337" s="16">
        <v>4</v>
      </c>
      <c r="D337" s="15">
        <v>844</v>
      </c>
      <c r="E337" s="3"/>
      <c r="F337" s="15">
        <v>15.8</v>
      </c>
    </row>
    <row r="338" spans="1:7">
      <c r="A338" s="17"/>
    </row>
    <row r="339" spans="1:7">
      <c r="A339" s="8" t="s">
        <v>243</v>
      </c>
      <c r="B339" s="18" t="s">
        <v>47</v>
      </c>
      <c r="C339" s="14">
        <v>1</v>
      </c>
      <c r="D339" s="15">
        <v>380</v>
      </c>
      <c r="E339" s="15">
        <v>10.1</v>
      </c>
      <c r="F339" s="15">
        <v>10.1</v>
      </c>
      <c r="G339" s="8" t="s">
        <v>244</v>
      </c>
    </row>
    <row r="340" spans="1:7">
      <c r="A340" s="3"/>
      <c r="B340" s="3" t="s">
        <v>45</v>
      </c>
      <c r="C340" s="16">
        <v>1</v>
      </c>
      <c r="D340" s="15">
        <v>380</v>
      </c>
      <c r="E340" s="3"/>
      <c r="F340" s="15">
        <v>10.1</v>
      </c>
    </row>
    <row r="341" spans="1:7">
      <c r="A341" s="17"/>
    </row>
    <row r="342" spans="1:7">
      <c r="A342" s="8" t="s">
        <v>245</v>
      </c>
      <c r="B342" s="13" t="s">
        <v>246</v>
      </c>
      <c r="C342" s="14">
        <v>2</v>
      </c>
      <c r="D342" s="15">
        <v>1040</v>
      </c>
      <c r="E342" s="15">
        <v>17.59</v>
      </c>
      <c r="F342" s="15">
        <v>35.18</v>
      </c>
      <c r="G342" s="8" t="s">
        <v>247</v>
      </c>
    </row>
    <row r="343" spans="1:7">
      <c r="A343" s="8" t="s">
        <v>245</v>
      </c>
      <c r="B343" s="13" t="s">
        <v>246</v>
      </c>
      <c r="C343" s="14">
        <v>1</v>
      </c>
      <c r="D343" s="15">
        <v>1095</v>
      </c>
      <c r="E343" s="15">
        <v>18.52</v>
      </c>
      <c r="F343" s="15">
        <v>18.52</v>
      </c>
      <c r="G343" s="8" t="s">
        <v>248</v>
      </c>
    </row>
    <row r="344" spans="1:7">
      <c r="A344" s="8" t="s">
        <v>245</v>
      </c>
      <c r="B344" s="13" t="s">
        <v>246</v>
      </c>
      <c r="C344" s="14">
        <v>4</v>
      </c>
      <c r="D344" s="15">
        <v>1100</v>
      </c>
      <c r="E344" s="15">
        <v>18.61</v>
      </c>
      <c r="F344" s="15">
        <v>74.42</v>
      </c>
      <c r="G344" s="8" t="s">
        <v>249</v>
      </c>
    </row>
    <row r="345" spans="1:7">
      <c r="A345" s="8" t="s">
        <v>245</v>
      </c>
      <c r="B345" s="13" t="s">
        <v>246</v>
      </c>
      <c r="C345" s="14">
        <v>2</v>
      </c>
      <c r="D345" s="15">
        <v>1101</v>
      </c>
      <c r="E345" s="15">
        <v>18.62</v>
      </c>
      <c r="F345" s="15">
        <v>37.25</v>
      </c>
      <c r="G345" s="8" t="s">
        <v>250</v>
      </c>
    </row>
    <row r="346" spans="1:7">
      <c r="A346" s="8" t="s">
        <v>245</v>
      </c>
      <c r="B346" s="13" t="s">
        <v>246</v>
      </c>
      <c r="C346" s="14">
        <v>42</v>
      </c>
      <c r="D346" s="15">
        <v>1170</v>
      </c>
      <c r="E346" s="15">
        <v>19.79</v>
      </c>
      <c r="F346" s="15">
        <v>831.15</v>
      </c>
      <c r="G346" s="8" t="s">
        <v>251</v>
      </c>
    </row>
    <row r="347" spans="1:7">
      <c r="A347" s="8" t="s">
        <v>245</v>
      </c>
      <c r="B347" s="13" t="s">
        <v>246</v>
      </c>
      <c r="C347" s="14">
        <v>4</v>
      </c>
      <c r="D347" s="15">
        <v>1190</v>
      </c>
      <c r="E347" s="15">
        <v>20.13</v>
      </c>
      <c r="F347" s="15">
        <v>80.510000000000005</v>
      </c>
      <c r="G347" s="8" t="s">
        <v>252</v>
      </c>
    </row>
    <row r="348" spans="1:7">
      <c r="A348" s="8" t="s">
        <v>245</v>
      </c>
      <c r="B348" s="13" t="s">
        <v>246</v>
      </c>
      <c r="C348" s="14">
        <v>12</v>
      </c>
      <c r="D348" s="15">
        <v>1200</v>
      </c>
      <c r="E348" s="15">
        <v>20.3</v>
      </c>
      <c r="F348" s="15">
        <v>243.56</v>
      </c>
      <c r="G348" s="8" t="s">
        <v>249</v>
      </c>
    </row>
    <row r="349" spans="1:7">
      <c r="A349" s="8" t="s">
        <v>245</v>
      </c>
      <c r="B349" s="13" t="s">
        <v>246</v>
      </c>
      <c r="C349" s="14">
        <v>4</v>
      </c>
      <c r="D349" s="15">
        <v>1490</v>
      </c>
      <c r="E349" s="15">
        <v>25.2</v>
      </c>
      <c r="F349" s="15">
        <v>100.81</v>
      </c>
      <c r="G349" s="8" t="s">
        <v>253</v>
      </c>
    </row>
    <row r="350" spans="1:7">
      <c r="A350" s="8" t="s">
        <v>245</v>
      </c>
      <c r="B350" s="13" t="s">
        <v>246</v>
      </c>
      <c r="C350" s="14">
        <v>2</v>
      </c>
      <c r="D350" s="15">
        <v>1580</v>
      </c>
      <c r="E350" s="15">
        <v>26.72</v>
      </c>
      <c r="F350" s="15">
        <v>53.45</v>
      </c>
      <c r="G350" s="8" t="s">
        <v>254</v>
      </c>
    </row>
    <row r="351" spans="1:7">
      <c r="A351" s="8" t="s">
        <v>245</v>
      </c>
      <c r="B351" s="13" t="s">
        <v>246</v>
      </c>
      <c r="C351" s="14">
        <v>1</v>
      </c>
      <c r="D351" s="15">
        <v>1601</v>
      </c>
      <c r="E351" s="15">
        <v>27.08</v>
      </c>
      <c r="F351" s="15">
        <v>27.08</v>
      </c>
      <c r="G351" s="8" t="s">
        <v>255</v>
      </c>
    </row>
    <row r="352" spans="1:7">
      <c r="A352" s="8" t="s">
        <v>245</v>
      </c>
      <c r="B352" s="13" t="s">
        <v>246</v>
      </c>
      <c r="C352" s="14">
        <v>1</v>
      </c>
      <c r="D352" s="15">
        <v>1750</v>
      </c>
      <c r="E352" s="15">
        <v>29.6</v>
      </c>
      <c r="F352" s="15">
        <v>29.6</v>
      </c>
      <c r="G352" s="8" t="s">
        <v>256</v>
      </c>
    </row>
    <row r="353" spans="1:7">
      <c r="A353" s="8" t="s">
        <v>245</v>
      </c>
      <c r="B353" s="13" t="s">
        <v>246</v>
      </c>
      <c r="C353" s="14">
        <v>6</v>
      </c>
      <c r="D353" s="15">
        <v>1800</v>
      </c>
      <c r="E353" s="15">
        <v>30.45</v>
      </c>
      <c r="F353" s="15">
        <v>182.67</v>
      </c>
      <c r="G353" s="8" t="s">
        <v>257</v>
      </c>
    </row>
    <row r="354" spans="1:7">
      <c r="A354" s="8" t="s">
        <v>245</v>
      </c>
      <c r="B354" s="13" t="s">
        <v>246</v>
      </c>
      <c r="C354" s="14">
        <v>2</v>
      </c>
      <c r="D354" s="15">
        <v>1801</v>
      </c>
      <c r="E354" s="15">
        <v>30.46</v>
      </c>
      <c r="F354" s="15">
        <v>60.92</v>
      </c>
      <c r="G354" s="8" t="s">
        <v>257</v>
      </c>
    </row>
    <row r="355" spans="1:7">
      <c r="A355" s="8" t="s">
        <v>245</v>
      </c>
      <c r="B355" s="13" t="s">
        <v>246</v>
      </c>
      <c r="C355" s="14">
        <v>1</v>
      </c>
      <c r="D355" s="15">
        <v>1900</v>
      </c>
      <c r="E355" s="15">
        <v>32.14</v>
      </c>
      <c r="F355" s="15">
        <v>32.14</v>
      </c>
      <c r="G355" s="8" t="s">
        <v>258</v>
      </c>
    </row>
    <row r="356" spans="1:7">
      <c r="A356" s="8" t="s">
        <v>245</v>
      </c>
      <c r="B356" s="13" t="s">
        <v>246</v>
      </c>
      <c r="C356" s="14">
        <v>2</v>
      </c>
      <c r="D356" s="15">
        <v>1960</v>
      </c>
      <c r="E356" s="15">
        <v>33.15</v>
      </c>
      <c r="F356" s="15">
        <v>66.3</v>
      </c>
      <c r="G356" s="8" t="s">
        <v>259</v>
      </c>
    </row>
    <row r="357" spans="1:7">
      <c r="A357" s="8" t="s">
        <v>245</v>
      </c>
      <c r="B357" s="13" t="s">
        <v>246</v>
      </c>
      <c r="C357" s="14">
        <v>3</v>
      </c>
      <c r="D357" s="15">
        <v>2090</v>
      </c>
      <c r="E357" s="15">
        <v>35.35</v>
      </c>
      <c r="F357" s="15">
        <v>106.05</v>
      </c>
      <c r="G357" s="8" t="s">
        <v>260</v>
      </c>
    </row>
    <row r="358" spans="1:7">
      <c r="A358" s="8" t="s">
        <v>245</v>
      </c>
      <c r="B358" s="13" t="s">
        <v>246</v>
      </c>
      <c r="C358" s="14">
        <v>7</v>
      </c>
      <c r="D358" s="15">
        <v>2120</v>
      </c>
      <c r="E358" s="15">
        <v>35.86</v>
      </c>
      <c r="F358" s="15">
        <v>251</v>
      </c>
      <c r="G358" s="8" t="s">
        <v>261</v>
      </c>
    </row>
    <row r="359" spans="1:7">
      <c r="A359" s="8" t="s">
        <v>245</v>
      </c>
      <c r="B359" s="13" t="s">
        <v>246</v>
      </c>
      <c r="C359" s="14">
        <v>3</v>
      </c>
      <c r="D359" s="15">
        <v>2200</v>
      </c>
      <c r="E359" s="15">
        <v>37.21</v>
      </c>
      <c r="F359" s="15">
        <v>110.96</v>
      </c>
      <c r="G359" s="8" t="s">
        <v>262</v>
      </c>
    </row>
    <row r="360" spans="1:7">
      <c r="A360" s="8" t="s">
        <v>245</v>
      </c>
      <c r="B360" s="13" t="s">
        <v>246</v>
      </c>
      <c r="C360" s="14">
        <v>1</v>
      </c>
      <c r="D360" s="15">
        <v>2245</v>
      </c>
      <c r="E360" s="15">
        <v>37.97</v>
      </c>
      <c r="F360" s="15">
        <v>37.97</v>
      </c>
      <c r="G360" s="8" t="s">
        <v>263</v>
      </c>
    </row>
    <row r="361" spans="1:7">
      <c r="A361" s="8" t="s">
        <v>245</v>
      </c>
      <c r="B361" s="13" t="s">
        <v>246</v>
      </c>
      <c r="C361" s="14">
        <v>4</v>
      </c>
      <c r="D361" s="15">
        <v>2260</v>
      </c>
      <c r="E361" s="15">
        <v>38.229999999999997</v>
      </c>
      <c r="F361" s="15">
        <v>152.9</v>
      </c>
      <c r="G361" s="8" t="s">
        <v>264</v>
      </c>
    </row>
    <row r="362" spans="1:7">
      <c r="A362" s="8" t="s">
        <v>245</v>
      </c>
      <c r="B362" s="13" t="s">
        <v>246</v>
      </c>
      <c r="C362" s="14">
        <v>4</v>
      </c>
      <c r="D362" s="15">
        <v>2280</v>
      </c>
      <c r="E362" s="15">
        <v>38.56</v>
      </c>
      <c r="F362" s="15">
        <v>154.25</v>
      </c>
      <c r="G362" s="8" t="s">
        <v>265</v>
      </c>
    </row>
    <row r="363" spans="1:7">
      <c r="A363" s="8" t="s">
        <v>245</v>
      </c>
      <c r="B363" s="13" t="s">
        <v>246</v>
      </c>
      <c r="C363" s="14">
        <v>2</v>
      </c>
      <c r="D363" s="15">
        <v>2281</v>
      </c>
      <c r="E363" s="15">
        <v>38.58</v>
      </c>
      <c r="F363" s="15">
        <v>77.16</v>
      </c>
      <c r="G363" s="8" t="s">
        <v>265</v>
      </c>
    </row>
    <row r="364" spans="1:7">
      <c r="A364" s="8" t="s">
        <v>245</v>
      </c>
      <c r="B364" s="13" t="s">
        <v>246</v>
      </c>
      <c r="C364" s="14">
        <v>1</v>
      </c>
      <c r="D364" s="15">
        <v>2325</v>
      </c>
      <c r="E364" s="15">
        <v>39.33</v>
      </c>
      <c r="F364" s="15">
        <v>39.33</v>
      </c>
      <c r="G364" s="8" t="s">
        <v>266</v>
      </c>
    </row>
    <row r="365" spans="1:7">
      <c r="A365" s="8" t="s">
        <v>245</v>
      </c>
      <c r="B365" s="13" t="s">
        <v>246</v>
      </c>
      <c r="C365" s="14">
        <v>9</v>
      </c>
      <c r="D365" s="15">
        <v>2335</v>
      </c>
      <c r="E365" s="15">
        <v>39.49</v>
      </c>
      <c r="F365" s="15">
        <v>355.45</v>
      </c>
      <c r="G365" s="8" t="s">
        <v>267</v>
      </c>
    </row>
    <row r="366" spans="1:7">
      <c r="A366" s="8" t="s">
        <v>245</v>
      </c>
      <c r="B366" s="13" t="s">
        <v>246</v>
      </c>
      <c r="C366" s="14">
        <v>1</v>
      </c>
      <c r="D366" s="15">
        <v>2340</v>
      </c>
      <c r="E366" s="15">
        <v>39.58</v>
      </c>
      <c r="F366" s="15">
        <v>39.58</v>
      </c>
      <c r="G366" s="8" t="s">
        <v>268</v>
      </c>
    </row>
    <row r="367" spans="1:7">
      <c r="A367" s="8" t="s">
        <v>245</v>
      </c>
      <c r="B367" s="13" t="s">
        <v>246</v>
      </c>
      <c r="C367" s="14">
        <v>1</v>
      </c>
      <c r="D367" s="15">
        <v>2345</v>
      </c>
      <c r="E367" s="15">
        <v>39.659999999999997</v>
      </c>
      <c r="F367" s="15">
        <v>39.659999999999997</v>
      </c>
      <c r="G367" s="8" t="s">
        <v>269</v>
      </c>
    </row>
    <row r="368" spans="1:7">
      <c r="A368" s="8" t="s">
        <v>245</v>
      </c>
      <c r="B368" s="13" t="s">
        <v>246</v>
      </c>
      <c r="C368" s="14">
        <v>4</v>
      </c>
      <c r="D368" s="15">
        <v>2350</v>
      </c>
      <c r="E368" s="15">
        <v>39.75</v>
      </c>
      <c r="F368" s="15">
        <v>158.99</v>
      </c>
      <c r="G368" s="8" t="s">
        <v>270</v>
      </c>
    </row>
    <row r="369" spans="1:7">
      <c r="A369" s="8" t="s">
        <v>245</v>
      </c>
      <c r="B369" s="13" t="s">
        <v>246</v>
      </c>
      <c r="C369" s="14">
        <v>2</v>
      </c>
      <c r="D369" s="15">
        <v>2381</v>
      </c>
      <c r="E369" s="15">
        <v>40.270000000000003</v>
      </c>
      <c r="F369" s="15">
        <v>80.540000000000006</v>
      </c>
      <c r="G369" s="8" t="s">
        <v>271</v>
      </c>
    </row>
    <row r="370" spans="1:7">
      <c r="A370" s="8" t="s">
        <v>245</v>
      </c>
      <c r="B370" s="13" t="s">
        <v>246</v>
      </c>
      <c r="C370" s="14">
        <v>2</v>
      </c>
      <c r="D370" s="15">
        <v>2395</v>
      </c>
      <c r="E370" s="15">
        <v>40.51</v>
      </c>
      <c r="F370" s="15">
        <v>81.02</v>
      </c>
      <c r="G370" s="8" t="s">
        <v>272</v>
      </c>
    </row>
    <row r="371" spans="1:7">
      <c r="A371" s="8" t="s">
        <v>245</v>
      </c>
      <c r="B371" s="13" t="s">
        <v>246</v>
      </c>
      <c r="C371" s="14">
        <v>2</v>
      </c>
      <c r="D371" s="15">
        <v>2410</v>
      </c>
      <c r="E371" s="15">
        <v>40.76</v>
      </c>
      <c r="F371" s="15">
        <v>81.53</v>
      </c>
      <c r="G371" s="8" t="s">
        <v>273</v>
      </c>
    </row>
    <row r="372" spans="1:7">
      <c r="A372" s="8" t="s">
        <v>245</v>
      </c>
      <c r="B372" s="13" t="s">
        <v>246</v>
      </c>
      <c r="C372" s="14">
        <v>13</v>
      </c>
      <c r="D372" s="15">
        <v>2485</v>
      </c>
      <c r="E372" s="15">
        <v>42.03</v>
      </c>
      <c r="F372" s="15">
        <v>546.01</v>
      </c>
      <c r="G372" s="8" t="s">
        <v>274</v>
      </c>
    </row>
    <row r="373" spans="1:7">
      <c r="A373" s="8" t="s">
        <v>245</v>
      </c>
      <c r="B373" s="13" t="s">
        <v>246</v>
      </c>
      <c r="C373" s="14">
        <v>2</v>
      </c>
      <c r="D373" s="15">
        <v>2589</v>
      </c>
      <c r="E373" s="15">
        <v>43.8</v>
      </c>
      <c r="F373" s="15">
        <v>87.6</v>
      </c>
      <c r="G373" s="8" t="s">
        <v>275</v>
      </c>
    </row>
    <row r="374" spans="1:7">
      <c r="A374" s="8" t="s">
        <v>245</v>
      </c>
      <c r="B374" s="13" t="s">
        <v>246</v>
      </c>
      <c r="C374" s="14">
        <v>1</v>
      </c>
      <c r="D374" s="15">
        <v>2639</v>
      </c>
      <c r="E374" s="15">
        <v>44.64</v>
      </c>
      <c r="F374" s="15">
        <v>44.64</v>
      </c>
      <c r="G374" s="8" t="s">
        <v>276</v>
      </c>
    </row>
    <row r="375" spans="1:7">
      <c r="A375" s="8" t="s">
        <v>245</v>
      </c>
      <c r="B375" s="13" t="s">
        <v>246</v>
      </c>
      <c r="C375" s="14">
        <v>1</v>
      </c>
      <c r="D375" s="15">
        <v>2725</v>
      </c>
      <c r="E375" s="15">
        <v>46.09</v>
      </c>
      <c r="F375" s="15">
        <v>46.09</v>
      </c>
      <c r="G375" s="8" t="s">
        <v>277</v>
      </c>
    </row>
    <row r="376" spans="1:7">
      <c r="A376" s="8" t="s">
        <v>245</v>
      </c>
      <c r="B376" s="13" t="s">
        <v>246</v>
      </c>
      <c r="C376" s="14">
        <v>1</v>
      </c>
      <c r="D376" s="15">
        <v>2798</v>
      </c>
      <c r="E376" s="15">
        <v>47.32</v>
      </c>
      <c r="F376" s="15">
        <v>47.32</v>
      </c>
      <c r="G376" s="8" t="s">
        <v>278</v>
      </c>
    </row>
    <row r="377" spans="1:7">
      <c r="A377" s="8" t="s">
        <v>245</v>
      </c>
      <c r="B377" s="13" t="s">
        <v>246</v>
      </c>
      <c r="C377" s="14">
        <v>1</v>
      </c>
      <c r="D377" s="15">
        <v>2864</v>
      </c>
      <c r="E377" s="15">
        <v>48.45</v>
      </c>
      <c r="F377" s="15">
        <v>48.45</v>
      </c>
      <c r="G377" s="8" t="s">
        <v>279</v>
      </c>
    </row>
    <row r="378" spans="1:7">
      <c r="A378" s="8" t="s">
        <v>245</v>
      </c>
      <c r="B378" s="13" t="s">
        <v>246</v>
      </c>
      <c r="C378" s="14">
        <v>1</v>
      </c>
      <c r="D378" s="15">
        <v>3075</v>
      </c>
      <c r="E378" s="15">
        <v>51.91</v>
      </c>
      <c r="F378" s="15">
        <v>51.91</v>
      </c>
      <c r="G378" s="8" t="s">
        <v>280</v>
      </c>
    </row>
    <row r="379" spans="1:7">
      <c r="A379" s="8" t="s">
        <v>245</v>
      </c>
      <c r="B379" s="13" t="s">
        <v>246</v>
      </c>
      <c r="C379" s="14">
        <v>1</v>
      </c>
      <c r="D379" s="15">
        <v>3149</v>
      </c>
      <c r="E379" s="15">
        <v>53.26</v>
      </c>
      <c r="F379" s="15">
        <v>53.26</v>
      </c>
      <c r="G379" s="8" t="s">
        <v>281</v>
      </c>
    </row>
    <row r="380" spans="1:7">
      <c r="A380" s="8" t="s">
        <v>245</v>
      </c>
      <c r="B380" s="13" t="s">
        <v>246</v>
      </c>
      <c r="C380" s="14">
        <v>3</v>
      </c>
      <c r="D380" s="15">
        <v>3185</v>
      </c>
      <c r="E380" s="15">
        <v>53.87</v>
      </c>
      <c r="F380" s="15">
        <v>161.61000000000001</v>
      </c>
      <c r="G380" s="8" t="s">
        <v>282</v>
      </c>
    </row>
    <row r="381" spans="1:7">
      <c r="A381" s="8" t="s">
        <v>245</v>
      </c>
      <c r="B381" s="13" t="s">
        <v>246</v>
      </c>
      <c r="C381" s="14">
        <v>2</v>
      </c>
      <c r="D381" s="15">
        <v>3193</v>
      </c>
      <c r="E381" s="15">
        <v>54.01</v>
      </c>
      <c r="F381" s="15">
        <v>108.03</v>
      </c>
      <c r="G381" s="8" t="s">
        <v>283</v>
      </c>
    </row>
    <row r="382" spans="1:7">
      <c r="A382" s="8" t="s">
        <v>245</v>
      </c>
      <c r="B382" s="13" t="s">
        <v>246</v>
      </c>
      <c r="C382" s="14">
        <v>2</v>
      </c>
      <c r="D382" s="15">
        <v>3295</v>
      </c>
      <c r="E382" s="15">
        <v>55.73</v>
      </c>
      <c r="F382" s="15">
        <v>111.46</v>
      </c>
      <c r="G382" s="8" t="s">
        <v>284</v>
      </c>
    </row>
    <row r="383" spans="1:7">
      <c r="A383" s="8" t="s">
        <v>245</v>
      </c>
      <c r="B383" s="13" t="s">
        <v>246</v>
      </c>
      <c r="C383" s="14">
        <v>2</v>
      </c>
      <c r="D383" s="15">
        <v>3395</v>
      </c>
      <c r="E383" s="15">
        <v>57.42</v>
      </c>
      <c r="F383" s="15">
        <v>114.84</v>
      </c>
      <c r="G383" s="8" t="s">
        <v>285</v>
      </c>
    </row>
    <row r="384" spans="1:7">
      <c r="A384" s="8" t="s">
        <v>245</v>
      </c>
      <c r="B384" s="13" t="s">
        <v>246</v>
      </c>
      <c r="C384" s="14">
        <v>2</v>
      </c>
      <c r="D384" s="15">
        <v>3450</v>
      </c>
      <c r="E384" s="15">
        <v>58.35</v>
      </c>
      <c r="F384" s="15">
        <v>116.71</v>
      </c>
      <c r="G384" s="8" t="s">
        <v>286</v>
      </c>
    </row>
    <row r="385" spans="1:7">
      <c r="A385" s="8" t="s">
        <v>245</v>
      </c>
      <c r="B385" s="13" t="s">
        <v>246</v>
      </c>
      <c r="C385" s="14">
        <v>1</v>
      </c>
      <c r="D385" s="15">
        <v>3455</v>
      </c>
      <c r="E385" s="15">
        <v>58.44</v>
      </c>
      <c r="F385" s="15">
        <v>58.44</v>
      </c>
      <c r="G385" s="8" t="s">
        <v>287</v>
      </c>
    </row>
    <row r="386" spans="1:7">
      <c r="A386" s="8" t="s">
        <v>245</v>
      </c>
      <c r="B386" s="13" t="s">
        <v>246</v>
      </c>
      <c r="C386" s="14">
        <v>1</v>
      </c>
      <c r="D386" s="15">
        <v>3480</v>
      </c>
      <c r="E386" s="15">
        <v>58.86</v>
      </c>
      <c r="F386" s="15">
        <v>58.86</v>
      </c>
      <c r="G386" s="8" t="s">
        <v>288</v>
      </c>
    </row>
    <row r="387" spans="1:7">
      <c r="A387" s="8" t="s">
        <v>245</v>
      </c>
      <c r="B387" s="13" t="s">
        <v>246</v>
      </c>
      <c r="C387" s="14">
        <v>3</v>
      </c>
      <c r="D387" s="15">
        <v>3515</v>
      </c>
      <c r="E387" s="15">
        <v>59.45</v>
      </c>
      <c r="F387" s="15">
        <v>178.36</v>
      </c>
      <c r="G387" s="8" t="s">
        <v>289</v>
      </c>
    </row>
    <row r="388" spans="1:7">
      <c r="A388" s="8" t="s">
        <v>245</v>
      </c>
      <c r="B388" s="13" t="s">
        <v>246</v>
      </c>
      <c r="C388" s="14">
        <v>1</v>
      </c>
      <c r="D388" s="15">
        <v>4290</v>
      </c>
      <c r="E388" s="15">
        <v>72.56</v>
      </c>
      <c r="F388" s="15">
        <v>72.56</v>
      </c>
      <c r="G388" s="8" t="s">
        <v>290</v>
      </c>
    </row>
    <row r="389" spans="1:7">
      <c r="A389" s="8" t="s">
        <v>245</v>
      </c>
      <c r="B389" s="13" t="s">
        <v>246</v>
      </c>
      <c r="C389" s="14">
        <v>2</v>
      </c>
      <c r="D389" s="15">
        <v>4318</v>
      </c>
      <c r="E389" s="15">
        <v>73.03</v>
      </c>
      <c r="F389" s="15">
        <v>146.07</v>
      </c>
      <c r="G389" s="8" t="s">
        <v>291</v>
      </c>
    </row>
    <row r="390" spans="1:7">
      <c r="A390" s="8" t="s">
        <v>245</v>
      </c>
      <c r="B390" s="13" t="s">
        <v>246</v>
      </c>
      <c r="C390" s="14">
        <v>10</v>
      </c>
      <c r="D390" s="15">
        <v>4390</v>
      </c>
      <c r="E390" s="15">
        <v>74.25</v>
      </c>
      <c r="F390" s="15">
        <v>742.52</v>
      </c>
      <c r="G390" s="8" t="s">
        <v>292</v>
      </c>
    </row>
    <row r="391" spans="1:7">
      <c r="A391" s="8" t="s">
        <v>245</v>
      </c>
      <c r="B391" s="13" t="s">
        <v>246</v>
      </c>
      <c r="C391" s="14">
        <v>2</v>
      </c>
      <c r="D391" s="15">
        <v>4420</v>
      </c>
      <c r="E391" s="15">
        <v>74.760000000000005</v>
      </c>
      <c r="F391" s="15">
        <v>149.52000000000001</v>
      </c>
      <c r="G391" s="8" t="s">
        <v>293</v>
      </c>
    </row>
    <row r="392" spans="1:7">
      <c r="A392" s="8" t="s">
        <v>245</v>
      </c>
      <c r="B392" s="13" t="s">
        <v>246</v>
      </c>
      <c r="C392" s="14">
        <v>2</v>
      </c>
      <c r="D392" s="15">
        <v>4434</v>
      </c>
      <c r="E392" s="15">
        <v>75</v>
      </c>
      <c r="F392" s="15">
        <v>150.01</v>
      </c>
      <c r="G392" s="8" t="s">
        <v>294</v>
      </c>
    </row>
    <row r="393" spans="1:7">
      <c r="A393" s="8" t="s">
        <v>245</v>
      </c>
      <c r="B393" s="13" t="s">
        <v>246</v>
      </c>
      <c r="C393" s="14">
        <v>2</v>
      </c>
      <c r="D393" s="15">
        <v>4450</v>
      </c>
      <c r="E393" s="15">
        <v>75.27</v>
      </c>
      <c r="F393" s="15">
        <v>150.53</v>
      </c>
      <c r="G393" s="8" t="s">
        <v>295</v>
      </c>
    </row>
    <row r="394" spans="1:7">
      <c r="A394" s="8" t="s">
        <v>245</v>
      </c>
      <c r="B394" s="13" t="s">
        <v>246</v>
      </c>
      <c r="C394" s="14">
        <v>1</v>
      </c>
      <c r="D394" s="15">
        <v>4455</v>
      </c>
      <c r="E394" s="15">
        <v>75.349999999999994</v>
      </c>
      <c r="F394" s="15">
        <v>75.349999999999994</v>
      </c>
      <c r="G394" s="8" t="s">
        <v>296</v>
      </c>
    </row>
    <row r="395" spans="1:7">
      <c r="A395" s="8" t="s">
        <v>245</v>
      </c>
      <c r="B395" s="13" t="s">
        <v>246</v>
      </c>
      <c r="C395" s="14">
        <v>2</v>
      </c>
      <c r="D395" s="15">
        <v>4460</v>
      </c>
      <c r="E395" s="15">
        <v>75.44</v>
      </c>
      <c r="F395" s="15">
        <v>150.87</v>
      </c>
      <c r="G395" s="8" t="s">
        <v>297</v>
      </c>
    </row>
    <row r="396" spans="1:7">
      <c r="A396" s="8" t="s">
        <v>245</v>
      </c>
      <c r="B396" s="13" t="s">
        <v>246</v>
      </c>
      <c r="C396" s="14">
        <v>1</v>
      </c>
      <c r="D396" s="15">
        <v>4470</v>
      </c>
      <c r="E396" s="15">
        <v>75.61</v>
      </c>
      <c r="F396" s="15">
        <v>75.61</v>
      </c>
      <c r="G396" s="8" t="s">
        <v>298</v>
      </c>
    </row>
    <row r="397" spans="1:7">
      <c r="A397" s="8" t="s">
        <v>245</v>
      </c>
      <c r="B397" s="13" t="s">
        <v>246</v>
      </c>
      <c r="C397" s="14">
        <v>14</v>
      </c>
      <c r="D397" s="15">
        <v>4510</v>
      </c>
      <c r="E397" s="15">
        <v>76.28</v>
      </c>
      <c r="F397" s="15">
        <v>1067.94</v>
      </c>
      <c r="G397" s="8" t="s">
        <v>299</v>
      </c>
    </row>
    <row r="398" spans="1:7">
      <c r="A398" s="8" t="s">
        <v>245</v>
      </c>
      <c r="B398" s="13" t="s">
        <v>246</v>
      </c>
      <c r="C398" s="14">
        <v>14</v>
      </c>
      <c r="D398" s="15">
        <v>4517</v>
      </c>
      <c r="E398" s="15">
        <v>76.41</v>
      </c>
      <c r="F398" s="15">
        <v>1069.72</v>
      </c>
      <c r="G398" s="8" t="s">
        <v>300</v>
      </c>
    </row>
    <row r="399" spans="1:7">
      <c r="A399" s="8" t="s">
        <v>245</v>
      </c>
      <c r="B399" s="13" t="s">
        <v>246</v>
      </c>
      <c r="C399" s="14">
        <v>2</v>
      </c>
      <c r="D399" s="15">
        <v>4518</v>
      </c>
      <c r="E399" s="15">
        <v>76.41</v>
      </c>
      <c r="F399" s="15">
        <v>152.82</v>
      </c>
      <c r="G399" s="8" t="s">
        <v>300</v>
      </c>
    </row>
    <row r="400" spans="1:7">
      <c r="A400" s="8" t="s">
        <v>245</v>
      </c>
      <c r="B400" s="13" t="s">
        <v>246</v>
      </c>
      <c r="C400" s="14">
        <v>1</v>
      </c>
      <c r="D400" s="15">
        <v>4521</v>
      </c>
      <c r="E400" s="15">
        <v>76.459999999999994</v>
      </c>
      <c r="F400" s="15">
        <v>76.459999999999994</v>
      </c>
      <c r="G400" s="8" t="s">
        <v>301</v>
      </c>
    </row>
    <row r="401" spans="1:7">
      <c r="A401" s="8" t="s">
        <v>245</v>
      </c>
      <c r="B401" s="13" t="s">
        <v>246</v>
      </c>
      <c r="C401" s="14">
        <v>1</v>
      </c>
      <c r="D401" s="15">
        <v>4538</v>
      </c>
      <c r="E401" s="15">
        <v>76.75</v>
      </c>
      <c r="F401" s="15">
        <v>76.75</v>
      </c>
      <c r="G401" s="8" t="s">
        <v>302</v>
      </c>
    </row>
    <row r="402" spans="1:7">
      <c r="A402" s="8" t="s">
        <v>245</v>
      </c>
      <c r="B402" s="13" t="s">
        <v>246</v>
      </c>
      <c r="C402" s="14">
        <v>3</v>
      </c>
      <c r="D402" s="15">
        <v>4550</v>
      </c>
      <c r="E402" s="15">
        <v>76.959999999999994</v>
      </c>
      <c r="F402" s="15">
        <v>230.87</v>
      </c>
      <c r="G402" s="8" t="s">
        <v>303</v>
      </c>
    </row>
    <row r="403" spans="1:7">
      <c r="A403" s="8" t="s">
        <v>245</v>
      </c>
      <c r="B403" s="13" t="s">
        <v>246</v>
      </c>
      <c r="C403" s="14">
        <v>7</v>
      </c>
      <c r="D403" s="15">
        <v>4600</v>
      </c>
      <c r="E403" s="15">
        <v>77.8</v>
      </c>
      <c r="F403" s="15">
        <v>544.63</v>
      </c>
      <c r="G403" s="8" t="s">
        <v>304</v>
      </c>
    </row>
    <row r="404" spans="1:7">
      <c r="A404" s="8" t="s">
        <v>245</v>
      </c>
      <c r="B404" s="13" t="s">
        <v>246</v>
      </c>
      <c r="C404" s="14">
        <v>1</v>
      </c>
      <c r="D404" s="15">
        <v>4625</v>
      </c>
      <c r="E404" s="15">
        <v>78.23</v>
      </c>
      <c r="F404" s="15">
        <v>78.23</v>
      </c>
      <c r="G404" s="8" t="s">
        <v>305</v>
      </c>
    </row>
    <row r="405" spans="1:7">
      <c r="A405" s="8" t="s">
        <v>245</v>
      </c>
      <c r="B405" s="13" t="s">
        <v>246</v>
      </c>
      <c r="C405" s="14">
        <v>4</v>
      </c>
      <c r="D405" s="15">
        <v>4645</v>
      </c>
      <c r="E405" s="15">
        <v>78.569999999999993</v>
      </c>
      <c r="F405" s="15">
        <v>314.26</v>
      </c>
      <c r="G405" s="8" t="s">
        <v>249</v>
      </c>
    </row>
    <row r="406" spans="1:7">
      <c r="A406" s="8" t="s">
        <v>245</v>
      </c>
      <c r="B406" s="13" t="s">
        <v>246</v>
      </c>
      <c r="C406" s="14">
        <v>5</v>
      </c>
      <c r="D406" s="15">
        <v>4650</v>
      </c>
      <c r="E406" s="15">
        <v>78.650000000000006</v>
      </c>
      <c r="F406" s="15">
        <v>393.25</v>
      </c>
      <c r="G406" s="8" t="s">
        <v>306</v>
      </c>
    </row>
    <row r="407" spans="1:7">
      <c r="A407" s="8" t="s">
        <v>245</v>
      </c>
      <c r="B407" s="13" t="s">
        <v>246</v>
      </c>
      <c r="C407" s="14">
        <v>12</v>
      </c>
      <c r="D407" s="15">
        <v>4655</v>
      </c>
      <c r="E407" s="15">
        <v>78.73</v>
      </c>
      <c r="F407" s="15">
        <v>944.81</v>
      </c>
      <c r="G407" s="8" t="s">
        <v>249</v>
      </c>
    </row>
    <row r="408" spans="1:7">
      <c r="A408" s="8" t="s">
        <v>245</v>
      </c>
      <c r="B408" s="13" t="s">
        <v>246</v>
      </c>
      <c r="C408" s="14">
        <v>15</v>
      </c>
      <c r="D408" s="15">
        <v>4670</v>
      </c>
      <c r="E408" s="15">
        <v>78.989999999999995</v>
      </c>
      <c r="F408" s="15">
        <v>1184.82</v>
      </c>
      <c r="G408" s="8" t="s">
        <v>307</v>
      </c>
    </row>
    <row r="409" spans="1:7">
      <c r="A409" s="8" t="s">
        <v>245</v>
      </c>
      <c r="B409" s="13" t="s">
        <v>246</v>
      </c>
      <c r="C409" s="14">
        <v>8</v>
      </c>
      <c r="D409" s="15">
        <v>4730</v>
      </c>
      <c r="E409" s="15">
        <v>80</v>
      </c>
      <c r="F409" s="15">
        <v>640.02</v>
      </c>
      <c r="G409" s="8" t="s">
        <v>308</v>
      </c>
    </row>
    <row r="410" spans="1:7">
      <c r="A410" s="8" t="s">
        <v>245</v>
      </c>
      <c r="B410" s="13" t="s">
        <v>246</v>
      </c>
      <c r="C410" s="14">
        <v>2</v>
      </c>
      <c r="D410" s="15">
        <v>4780</v>
      </c>
      <c r="E410" s="15">
        <v>80.849999999999994</v>
      </c>
      <c r="F410" s="15">
        <v>161.69999999999999</v>
      </c>
      <c r="G410" s="8" t="s">
        <v>309</v>
      </c>
    </row>
    <row r="411" spans="1:7">
      <c r="A411" s="8" t="s">
        <v>245</v>
      </c>
      <c r="B411" s="13" t="s">
        <v>246</v>
      </c>
      <c r="C411" s="14">
        <v>14</v>
      </c>
      <c r="D411" s="15">
        <v>4790</v>
      </c>
      <c r="E411" s="15">
        <v>81.02</v>
      </c>
      <c r="F411" s="15">
        <v>1134.25</v>
      </c>
      <c r="G411" s="8" t="s">
        <v>310</v>
      </c>
    </row>
    <row r="412" spans="1:7">
      <c r="A412" s="8" t="s">
        <v>245</v>
      </c>
      <c r="B412" s="13" t="s">
        <v>246</v>
      </c>
      <c r="C412" s="14">
        <v>1</v>
      </c>
      <c r="D412" s="15">
        <v>4800</v>
      </c>
      <c r="E412" s="15">
        <v>81.19</v>
      </c>
      <c r="F412" s="15">
        <v>81.19</v>
      </c>
      <c r="G412" s="8" t="s">
        <v>311</v>
      </c>
    </row>
    <row r="413" spans="1:7">
      <c r="A413" s="8" t="s">
        <v>245</v>
      </c>
      <c r="B413" s="13" t="s">
        <v>246</v>
      </c>
      <c r="C413" s="14">
        <v>1</v>
      </c>
      <c r="D413" s="15">
        <v>4900</v>
      </c>
      <c r="E413" s="15">
        <v>82.88</v>
      </c>
      <c r="F413" s="15">
        <v>82.88</v>
      </c>
      <c r="G413" s="8" t="s">
        <v>312</v>
      </c>
    </row>
    <row r="414" spans="1:7">
      <c r="A414" s="8" t="s">
        <v>245</v>
      </c>
      <c r="B414" s="13" t="s">
        <v>246</v>
      </c>
      <c r="C414" s="14">
        <v>1</v>
      </c>
      <c r="D414" s="15">
        <v>4960</v>
      </c>
      <c r="E414" s="15">
        <v>83.14</v>
      </c>
      <c r="F414" s="15">
        <v>83.14</v>
      </c>
      <c r="G414" s="8" t="s">
        <v>313</v>
      </c>
    </row>
    <row r="415" spans="1:7">
      <c r="A415" s="8" t="s">
        <v>245</v>
      </c>
      <c r="B415" s="13" t="s">
        <v>246</v>
      </c>
      <c r="C415" s="14">
        <v>2</v>
      </c>
      <c r="D415" s="15">
        <v>5190</v>
      </c>
      <c r="E415" s="15">
        <v>87.78</v>
      </c>
      <c r="F415" s="15">
        <v>175.57</v>
      </c>
      <c r="G415" s="8" t="s">
        <v>314</v>
      </c>
    </row>
    <row r="416" spans="1:7">
      <c r="A416" s="8" t="s">
        <v>245</v>
      </c>
      <c r="B416" s="13" t="s">
        <v>246</v>
      </c>
      <c r="C416" s="14">
        <v>1</v>
      </c>
      <c r="D416" s="15">
        <v>5450</v>
      </c>
      <c r="E416" s="15">
        <v>92.18</v>
      </c>
      <c r="F416" s="15">
        <v>92.18</v>
      </c>
      <c r="G416" s="8" t="s">
        <v>315</v>
      </c>
    </row>
    <row r="417" spans="1:7" ht="13.5" thickBot="1">
      <c r="A417" s="8" t="s">
        <v>245</v>
      </c>
      <c r="B417" s="13" t="s">
        <v>246</v>
      </c>
      <c r="C417" s="14">
        <v>2</v>
      </c>
      <c r="D417" s="15">
        <v>5470</v>
      </c>
      <c r="E417" s="15">
        <v>92.52</v>
      </c>
      <c r="F417" s="15">
        <v>185.04</v>
      </c>
      <c r="G417" s="8" t="s">
        <v>316</v>
      </c>
    </row>
    <row r="418" spans="1:7" ht="13.5" thickBot="1">
      <c r="A418" s="7" t="s">
        <v>245</v>
      </c>
      <c r="B418" s="19" t="s">
        <v>246</v>
      </c>
      <c r="C418" s="20">
        <v>1</v>
      </c>
      <c r="D418" s="21">
        <v>21060</v>
      </c>
      <c r="E418" s="21">
        <v>356.21</v>
      </c>
      <c r="F418" s="21">
        <v>356.21</v>
      </c>
      <c r="G418" s="7" t="s">
        <v>317</v>
      </c>
    </row>
    <row r="419" spans="1:7">
      <c r="A419" s="3"/>
      <c r="B419" s="3" t="s">
        <v>45</v>
      </c>
      <c r="C419" s="16">
        <v>304</v>
      </c>
      <c r="D419" s="15">
        <v>964595</v>
      </c>
      <c r="E419" s="3"/>
      <c r="F419" s="15">
        <v>16313.32</v>
      </c>
    </row>
    <row r="420" spans="1:7" ht="13.5" thickBot="1">
      <c r="A420" s="17"/>
    </row>
    <row r="421" spans="1:7" ht="13.5" thickBot="1">
      <c r="A421" s="7" t="s">
        <v>318</v>
      </c>
      <c r="B421" s="19" t="s">
        <v>246</v>
      </c>
      <c r="C421" s="20">
        <v>8</v>
      </c>
      <c r="D421" s="21">
        <v>9160</v>
      </c>
      <c r="E421" s="21">
        <v>239.9</v>
      </c>
      <c r="F421" s="21">
        <v>1919.17</v>
      </c>
      <c r="G421" s="7" t="s">
        <v>319</v>
      </c>
    </row>
    <row r="422" spans="1:7">
      <c r="A422" s="3"/>
      <c r="B422" s="3" t="s">
        <v>45</v>
      </c>
      <c r="C422" s="16">
        <v>8</v>
      </c>
      <c r="D422" s="15">
        <v>73280</v>
      </c>
      <c r="E422" s="3"/>
      <c r="F422" s="15">
        <v>1919.17</v>
      </c>
    </row>
    <row r="423" spans="1:7" ht="13.5" thickBot="1">
      <c r="A423" s="17"/>
    </row>
    <row r="424" spans="1:7" ht="13.5" thickBot="1">
      <c r="A424" s="7" t="s">
        <v>320</v>
      </c>
      <c r="B424" s="19" t="s">
        <v>246</v>
      </c>
      <c r="C424" s="20">
        <v>1</v>
      </c>
      <c r="D424" s="21">
        <v>5050</v>
      </c>
      <c r="E424" s="21">
        <v>162.59</v>
      </c>
      <c r="F424" s="21">
        <v>162.59</v>
      </c>
      <c r="G424" s="7" t="s">
        <v>321</v>
      </c>
    </row>
    <row r="425" spans="1:7">
      <c r="A425" s="3"/>
      <c r="B425" s="3" t="s">
        <v>45</v>
      </c>
      <c r="C425" s="16">
        <v>1</v>
      </c>
      <c r="D425" s="15">
        <v>5050</v>
      </c>
      <c r="E425" s="3"/>
      <c r="F425" s="15">
        <v>162.59</v>
      </c>
    </row>
    <row r="426" spans="1:7">
      <c r="A426" s="17"/>
    </row>
    <row r="427" spans="1:7">
      <c r="A427" s="8" t="s">
        <v>322</v>
      </c>
      <c r="B427" s="13" t="s">
        <v>246</v>
      </c>
      <c r="C427" s="14">
        <v>2</v>
      </c>
      <c r="D427" s="15">
        <v>1545</v>
      </c>
      <c r="E427" s="15">
        <v>33.22</v>
      </c>
      <c r="F427" s="15">
        <v>66.44</v>
      </c>
      <c r="G427" s="8" t="s">
        <v>317</v>
      </c>
    </row>
    <row r="428" spans="1:7">
      <c r="A428" s="8" t="s">
        <v>322</v>
      </c>
      <c r="B428" s="13" t="s">
        <v>246</v>
      </c>
      <c r="C428" s="14">
        <v>1</v>
      </c>
      <c r="D428" s="15">
        <v>1896</v>
      </c>
      <c r="E428" s="15">
        <v>40.99</v>
      </c>
      <c r="F428" s="15">
        <v>40.99</v>
      </c>
      <c r="G428" s="8" t="s">
        <v>317</v>
      </c>
    </row>
    <row r="429" spans="1:7">
      <c r="A429" s="8" t="s">
        <v>322</v>
      </c>
      <c r="B429" s="13" t="s">
        <v>246</v>
      </c>
      <c r="C429" s="14">
        <v>1</v>
      </c>
      <c r="D429" s="15">
        <v>3075</v>
      </c>
      <c r="E429" s="15">
        <v>66.36</v>
      </c>
      <c r="F429" s="15">
        <v>66.36</v>
      </c>
      <c r="G429" s="8" t="s">
        <v>323</v>
      </c>
    </row>
    <row r="430" spans="1:7">
      <c r="A430" s="8" t="s">
        <v>322</v>
      </c>
      <c r="B430" s="13" t="s">
        <v>246</v>
      </c>
      <c r="C430" s="14">
        <v>2</v>
      </c>
      <c r="D430" s="15">
        <v>5402</v>
      </c>
      <c r="E430" s="15">
        <v>116.81</v>
      </c>
      <c r="F430" s="15">
        <v>233.62</v>
      </c>
      <c r="G430" s="8" t="s">
        <v>317</v>
      </c>
    </row>
    <row r="431" spans="1:7">
      <c r="A431" s="3"/>
      <c r="B431" s="3" t="s">
        <v>45</v>
      </c>
      <c r="C431" s="16">
        <v>6</v>
      </c>
      <c r="D431" s="15">
        <v>18865</v>
      </c>
      <c r="E431" s="3"/>
      <c r="F431" s="15">
        <v>407.42</v>
      </c>
    </row>
    <row r="432" spans="1:7">
      <c r="A432" s="17"/>
    </row>
    <row r="433" spans="1:7">
      <c r="A433" s="8" t="s">
        <v>324</v>
      </c>
      <c r="B433" s="13" t="s">
        <v>246</v>
      </c>
      <c r="C433" s="14">
        <v>2</v>
      </c>
      <c r="D433" s="15">
        <v>1624</v>
      </c>
      <c r="E433" s="15">
        <v>42.77</v>
      </c>
      <c r="F433" s="15">
        <v>85.53</v>
      </c>
      <c r="G433" s="8" t="s">
        <v>325</v>
      </c>
    </row>
    <row r="434" spans="1:7">
      <c r="A434" s="8" t="s">
        <v>324</v>
      </c>
      <c r="B434" s="13" t="s">
        <v>246</v>
      </c>
      <c r="C434" s="14">
        <v>6</v>
      </c>
      <c r="D434" s="15">
        <v>4510</v>
      </c>
      <c r="E434" s="15">
        <v>118.77</v>
      </c>
      <c r="F434" s="15">
        <v>712.6</v>
      </c>
      <c r="G434" s="8" t="s">
        <v>326</v>
      </c>
    </row>
    <row r="435" spans="1:7">
      <c r="A435" s="8" t="s">
        <v>324</v>
      </c>
      <c r="B435" s="13" t="s">
        <v>246</v>
      </c>
      <c r="C435" s="14">
        <v>10</v>
      </c>
      <c r="D435" s="15">
        <v>4524</v>
      </c>
      <c r="E435" s="15">
        <v>119.13</v>
      </c>
      <c r="F435" s="15">
        <v>1191.3499999999999</v>
      </c>
      <c r="G435" s="8" t="s">
        <v>327</v>
      </c>
    </row>
    <row r="436" spans="1:7">
      <c r="A436" s="8" t="s">
        <v>324</v>
      </c>
      <c r="B436" s="13" t="s">
        <v>246</v>
      </c>
      <c r="C436" s="14">
        <v>2</v>
      </c>
      <c r="D436" s="15">
        <v>5310</v>
      </c>
      <c r="E436" s="15">
        <v>139.83000000000001</v>
      </c>
      <c r="F436" s="15">
        <v>279.67</v>
      </c>
      <c r="G436" s="8" t="s">
        <v>328</v>
      </c>
    </row>
    <row r="437" spans="1:7">
      <c r="A437" s="8" t="s">
        <v>324</v>
      </c>
      <c r="B437" s="13" t="s">
        <v>246</v>
      </c>
      <c r="C437" s="14">
        <v>2</v>
      </c>
      <c r="D437" s="15">
        <v>5324</v>
      </c>
      <c r="E437" s="15">
        <v>140.19999999999999</v>
      </c>
      <c r="F437" s="15">
        <v>280.39999999999998</v>
      </c>
      <c r="G437" s="8" t="s">
        <v>329</v>
      </c>
    </row>
    <row r="438" spans="1:7">
      <c r="A438" s="3"/>
      <c r="B438" s="3" t="s">
        <v>45</v>
      </c>
      <c r="C438" s="16">
        <v>22</v>
      </c>
      <c r="D438" s="15">
        <v>96816</v>
      </c>
      <c r="E438" s="3"/>
      <c r="F438" s="15">
        <v>2549.54</v>
      </c>
    </row>
    <row r="439" spans="1:7" ht="13.5" thickBot="1">
      <c r="A439" s="17"/>
    </row>
    <row r="440" spans="1:7" ht="13.5" thickBot="1">
      <c r="A440" s="7" t="s">
        <v>330</v>
      </c>
      <c r="B440" s="19" t="s">
        <v>246</v>
      </c>
      <c r="C440" s="20">
        <v>1</v>
      </c>
      <c r="D440" s="21">
        <v>3033</v>
      </c>
      <c r="E440" s="21">
        <v>102.46</v>
      </c>
      <c r="F440" s="21">
        <v>102.46</v>
      </c>
      <c r="G440" s="7" t="s">
        <v>331</v>
      </c>
    </row>
    <row r="441" spans="1:7" ht="13.5" thickBot="1">
      <c r="A441" s="7" t="s">
        <v>330</v>
      </c>
      <c r="B441" s="19" t="s">
        <v>246</v>
      </c>
      <c r="C441" s="20">
        <v>2</v>
      </c>
      <c r="D441" s="21">
        <v>3677</v>
      </c>
      <c r="E441" s="21">
        <v>123.61</v>
      </c>
      <c r="F441" s="21">
        <v>247.21</v>
      </c>
      <c r="G441" s="7" t="s">
        <v>332</v>
      </c>
    </row>
    <row r="442" spans="1:7" ht="13.5" thickBot="1">
      <c r="A442" s="7" t="s">
        <v>330</v>
      </c>
      <c r="B442" s="19" t="s">
        <v>246</v>
      </c>
      <c r="C442" s="20">
        <v>2</v>
      </c>
      <c r="D442" s="21">
        <v>3957</v>
      </c>
      <c r="E442" s="21">
        <v>133.07</v>
      </c>
      <c r="F442" s="21">
        <v>266.13</v>
      </c>
      <c r="G442" s="7" t="s">
        <v>333</v>
      </c>
    </row>
    <row r="443" spans="1:7" ht="13.5" thickBot="1">
      <c r="A443" s="7" t="s">
        <v>330</v>
      </c>
      <c r="B443" s="19" t="s">
        <v>246</v>
      </c>
      <c r="C443" s="20">
        <v>2</v>
      </c>
      <c r="D443" s="21">
        <v>5848</v>
      </c>
      <c r="E443" s="21">
        <v>197.26</v>
      </c>
      <c r="F443" s="21">
        <v>394.51</v>
      </c>
      <c r="G443" s="7" t="s">
        <v>334</v>
      </c>
    </row>
    <row r="444" spans="1:7" ht="13.5" thickBot="1">
      <c r="A444" s="7" t="s">
        <v>330</v>
      </c>
      <c r="B444" s="19" t="s">
        <v>246</v>
      </c>
      <c r="C444" s="20">
        <v>1</v>
      </c>
      <c r="D444" s="21">
        <v>6530</v>
      </c>
      <c r="E444" s="21">
        <v>220.6</v>
      </c>
      <c r="F444" s="21">
        <v>220.6</v>
      </c>
      <c r="G444" s="7" t="s">
        <v>335</v>
      </c>
    </row>
    <row r="445" spans="1:7" ht="13.5" thickBot="1">
      <c r="A445" s="7" t="s">
        <v>330</v>
      </c>
      <c r="B445" s="19" t="s">
        <v>246</v>
      </c>
      <c r="C445" s="20">
        <v>8</v>
      </c>
      <c r="D445" s="21">
        <v>7062</v>
      </c>
      <c r="E445" s="21">
        <v>237.97</v>
      </c>
      <c r="F445" s="21">
        <v>1903.73</v>
      </c>
      <c r="G445" s="7" t="s">
        <v>336</v>
      </c>
    </row>
    <row r="446" spans="1:7" ht="13.5" thickBot="1">
      <c r="A446" s="7" t="s">
        <v>330</v>
      </c>
      <c r="B446" s="19" t="s">
        <v>246</v>
      </c>
      <c r="C446" s="20">
        <v>4</v>
      </c>
      <c r="D446" s="21">
        <v>7142</v>
      </c>
      <c r="E446" s="21">
        <v>240.67</v>
      </c>
      <c r="F446" s="21">
        <v>962.68</v>
      </c>
      <c r="G446" s="7" t="s">
        <v>337</v>
      </c>
    </row>
    <row r="447" spans="1:7">
      <c r="A447" s="3"/>
      <c r="B447" s="3" t="s">
        <v>45</v>
      </c>
      <c r="C447" s="16">
        <v>20</v>
      </c>
      <c r="D447" s="15">
        <v>121591</v>
      </c>
      <c r="E447" s="3"/>
      <c r="F447" s="15">
        <v>4097.34</v>
      </c>
    </row>
    <row r="448" spans="1:7" ht="13.5" thickBot="1">
      <c r="A448" s="17"/>
    </row>
    <row r="449" spans="1:7" ht="13.5" thickBot="1">
      <c r="A449" s="7" t="s">
        <v>338</v>
      </c>
      <c r="B449" s="19" t="s">
        <v>246</v>
      </c>
      <c r="C449" s="20">
        <v>4</v>
      </c>
      <c r="D449" s="21">
        <v>6045</v>
      </c>
      <c r="E449" s="21">
        <v>252.15</v>
      </c>
      <c r="F449" s="21">
        <v>1008.61</v>
      </c>
      <c r="G449" s="7" t="s">
        <v>339</v>
      </c>
    </row>
    <row r="450" spans="1:7" ht="13.5" thickBot="1">
      <c r="A450" s="7" t="s">
        <v>338</v>
      </c>
      <c r="B450" s="19" t="s">
        <v>246</v>
      </c>
      <c r="C450" s="20">
        <v>2</v>
      </c>
      <c r="D450" s="21">
        <v>6659</v>
      </c>
      <c r="E450" s="21">
        <v>277.81</v>
      </c>
      <c r="F450" s="21">
        <v>555.62</v>
      </c>
      <c r="G450" s="7" t="s">
        <v>340</v>
      </c>
    </row>
    <row r="451" spans="1:7" ht="13.5" thickBot="1">
      <c r="A451" s="7" t="s">
        <v>338</v>
      </c>
      <c r="B451" s="19" t="s">
        <v>246</v>
      </c>
      <c r="C451" s="20">
        <v>2</v>
      </c>
      <c r="D451" s="21">
        <v>7660</v>
      </c>
      <c r="E451" s="21">
        <v>319.45999999999998</v>
      </c>
      <c r="F451" s="21">
        <v>638.91999999999996</v>
      </c>
      <c r="G451" s="7" t="s">
        <v>341</v>
      </c>
    </row>
    <row r="452" spans="1:7">
      <c r="A452" s="3"/>
      <c r="B452" s="3" t="s">
        <v>45</v>
      </c>
      <c r="C452" s="16">
        <v>8</v>
      </c>
      <c r="D452" s="15">
        <v>52818</v>
      </c>
      <c r="E452" s="3"/>
      <c r="F452" s="15">
        <v>2203.15</v>
      </c>
    </row>
    <row r="453" spans="1:7" ht="13.5" thickBot="1">
      <c r="A453" s="17"/>
    </row>
    <row r="454" spans="1:7" ht="13.5" thickBot="1">
      <c r="A454" s="7" t="s">
        <v>342</v>
      </c>
      <c r="B454" s="19" t="s">
        <v>246</v>
      </c>
      <c r="C454" s="20">
        <v>2</v>
      </c>
      <c r="D454" s="21">
        <v>3115</v>
      </c>
      <c r="E454" s="21">
        <v>156.53</v>
      </c>
      <c r="F454" s="21">
        <v>313.06</v>
      </c>
      <c r="G454" s="7" t="s">
        <v>343</v>
      </c>
    </row>
    <row r="455" spans="1:7" ht="13.5" thickBot="1">
      <c r="A455" s="7" t="s">
        <v>342</v>
      </c>
      <c r="B455" s="19" t="s">
        <v>246</v>
      </c>
      <c r="C455" s="20">
        <v>2</v>
      </c>
      <c r="D455" s="21">
        <v>3400</v>
      </c>
      <c r="E455" s="21">
        <v>170.9</v>
      </c>
      <c r="F455" s="21">
        <v>341.8</v>
      </c>
      <c r="G455" s="7" t="s">
        <v>344</v>
      </c>
    </row>
    <row r="456" spans="1:7" ht="13.5" thickBot="1">
      <c r="A456" s="7" t="s">
        <v>342</v>
      </c>
      <c r="B456" s="19" t="s">
        <v>246</v>
      </c>
      <c r="C456" s="20">
        <v>14</v>
      </c>
      <c r="D456" s="21">
        <v>5850</v>
      </c>
      <c r="E456" s="21">
        <v>294.45999999999998</v>
      </c>
      <c r="F456" s="21">
        <v>4118.29</v>
      </c>
      <c r="G456" s="7" t="s">
        <v>345</v>
      </c>
    </row>
    <row r="457" spans="1:7" ht="13.5" thickBot="1">
      <c r="A457" s="7" t="s">
        <v>342</v>
      </c>
      <c r="B457" s="19" t="s">
        <v>246</v>
      </c>
      <c r="C457" s="20">
        <v>2</v>
      </c>
      <c r="D457" s="21">
        <v>6659</v>
      </c>
      <c r="E457" s="21">
        <v>335.25</v>
      </c>
      <c r="F457" s="21">
        <v>670.5</v>
      </c>
      <c r="G457" s="7" t="s">
        <v>346</v>
      </c>
    </row>
    <row r="458" spans="1:7">
      <c r="A458" s="3"/>
      <c r="B458" s="3" t="s">
        <v>45</v>
      </c>
      <c r="C458" s="16">
        <v>20</v>
      </c>
      <c r="D458" s="15">
        <v>108248</v>
      </c>
      <c r="E458" s="3"/>
      <c r="F458" s="15">
        <v>5443.65</v>
      </c>
    </row>
    <row r="459" spans="1:7">
      <c r="A459" s="17"/>
    </row>
    <row r="460" spans="1:7">
      <c r="A460" s="8" t="s">
        <v>347</v>
      </c>
      <c r="B460" s="18" t="s">
        <v>348</v>
      </c>
      <c r="C460" s="14">
        <v>16</v>
      </c>
      <c r="D460" s="15">
        <v>1000</v>
      </c>
      <c r="E460" s="15">
        <v>17.97</v>
      </c>
      <c r="F460" s="15">
        <v>287.54000000000002</v>
      </c>
      <c r="G460" s="8" t="s">
        <v>349</v>
      </c>
    </row>
    <row r="461" spans="1:7">
      <c r="A461" s="3"/>
      <c r="B461" s="3" t="s">
        <v>45</v>
      </c>
      <c r="C461" s="16">
        <v>16</v>
      </c>
      <c r="D461" s="15">
        <v>16000</v>
      </c>
      <c r="E461" s="3"/>
      <c r="F461" s="15">
        <v>287.54000000000002</v>
      </c>
    </row>
    <row r="462" spans="1:7">
      <c r="A462" s="17"/>
    </row>
    <row r="463" spans="1:7">
      <c r="A463" s="23" t="s">
        <v>45</v>
      </c>
      <c r="B463" s="23"/>
      <c r="C463" s="23"/>
      <c r="D463" s="23"/>
      <c r="E463" s="23"/>
      <c r="F463" s="15">
        <v>148514.44</v>
      </c>
    </row>
  </sheetData>
  <mergeCells count="3">
    <mergeCell ref="A6:G6"/>
    <mergeCell ref="A4:E4"/>
    <mergeCell ref="A5:G5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iceOfferTemplate" ma:contentTypeID="0x0101003656FDA27A494BC092A9328040A274D000700830A3D05D564AB9A0E847634159A2" ma:contentTypeVersion="57" ma:contentTypeDescription="" ma:contentTypeScope="" ma:versionID="20085f099426a1679d2b0e3a450e1cac">
  <xsd:schema xmlns:xsd="http://www.w3.org/2001/XMLSchema" xmlns:xs="http://www.w3.org/2001/XMLSchema" xmlns:p="http://schemas.microsoft.com/office/2006/metadata/properties" xmlns:ns1="67f72299-ac7c-4625-b403-a095ae70dd05" xmlns:ns3="4677cf2c-acb3-4c5f-9d0d-3ee5fdee7961" targetNamespace="http://schemas.microsoft.com/office/2006/metadata/properties" ma:root="true" ma:fieldsID="78e19474d61c4fa7c0d0dec780a7bcb3" ns1:_="" ns3:_="">
    <xsd:import namespace="67f72299-ac7c-4625-b403-a095ae70dd05"/>
    <xsd:import namespace="4677cf2c-acb3-4c5f-9d0d-3ee5fdee7961"/>
    <xsd:element name="properties">
      <xsd:complexType>
        <xsd:sequence>
          <xsd:element name="documentManagement">
            <xsd:complexType>
              <xsd:all>
                <xsd:element ref="ns1:contactName" minOccurs="0"/>
                <xsd:element ref="ns1:contactPhonePrimary" minOccurs="0"/>
                <xsd:element ref="ns1:contactEMail" minOccurs="0"/>
                <xsd:element ref="ns1:poClient" minOccurs="0"/>
                <xsd:element ref="ns1:formattedDate" minOccurs="0"/>
                <xsd:element ref="ns1:poNumber" minOccurs="0"/>
                <xsd:element ref="ns1:pqName" minOccurs="0"/>
                <xsd:element ref="ns1:pqAddress" minOccurs="0"/>
                <xsd:element ref="ns1:poPrice" minOccurs="0"/>
                <xsd:element ref="ns1:poValidTillDays" minOccurs="0"/>
                <xsd:element ref="ns1:pqOfferManager" minOccurs="0"/>
                <xsd:element ref="ns1:pqOfferManagerJobTitle" minOccurs="0"/>
                <xsd:element ref="ns1:pqOfferManagerPhone" minOccurs="0"/>
                <xsd:element ref="ns1:pqOfferManagerEMail" minOccurs="0"/>
                <xsd:element ref="ns1:pqBudgeter" minOccurs="0"/>
                <xsd:element ref="ns1:pqBudgeterJobTitle" minOccurs="0"/>
                <xsd:element ref="ns1:pqBudgeterPhone" minOccurs="0"/>
                <xsd:element ref="ns1:pqBudgeterEMail" minOccurs="0"/>
                <xsd:element ref="ns3:MediaServiceMetadata" minOccurs="0"/>
                <xsd:element ref="ns3:MediaServiceFastMetadata" minOccurs="0"/>
                <xsd:element ref="ns1:SharedWithUsers" minOccurs="0"/>
                <xsd:element ref="ns1:SharedWithDetails" minOccurs="0"/>
                <xsd:element ref="ns3:lcf76f155ced4ddcb4097134ff3c332f" minOccurs="0"/>
                <xsd:element ref="ns1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Olulisusterasepakkumiseks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72299-ac7c-4625-b403-a095ae70dd05" elementFormDefault="qualified">
    <xsd:import namespace="http://schemas.microsoft.com/office/2006/documentManagement/types"/>
    <xsd:import namespace="http://schemas.microsoft.com/office/infopath/2007/PartnerControls"/>
    <xsd:element name="contactName" ma:index="0" nillable="true" ma:displayName="Kontakti nimi" ma:internalName="contactName" ma:readOnly="false">
      <xsd:simpleType>
        <xsd:restriction base="dms:Text"/>
      </xsd:simpleType>
    </xsd:element>
    <xsd:element name="contactPhonePrimary" ma:index="1" nillable="true" ma:displayName="Kontakti mobiil" ma:internalName="contactPhonePrimary" ma:readOnly="false">
      <xsd:simpleType>
        <xsd:restriction base="dms:Text"/>
      </xsd:simpleType>
    </xsd:element>
    <xsd:element name="contactEMail" ma:index="2" nillable="true" ma:displayName="Kontakti e-mail" ma:internalName="contactEMail" ma:readOnly="false">
      <xsd:simpleType>
        <xsd:restriction base="dms:Text"/>
      </xsd:simpleType>
    </xsd:element>
    <xsd:element name="poClient" ma:index="3" nillable="true" ma:displayName="Kliendi nimi" ma:internalName="poClient" ma:readOnly="false">
      <xsd:simpleType>
        <xsd:restriction base="dms:Text"/>
      </xsd:simpleType>
    </xsd:element>
    <xsd:element name="formattedDate" ma:index="4" nillable="true" ma:displayName="Kuupäev" ma:internalName="formattedDate" ma:readOnly="false">
      <xsd:simpleType>
        <xsd:restriction base="dms:Text"/>
      </xsd:simpleType>
    </xsd:element>
    <xsd:element name="poNumber" ma:index="5" nillable="true" ma:displayName="DSP Kood" ma:internalName="poNumber" ma:readOnly="false">
      <xsd:simpleType>
        <xsd:restriction base="dms:Text"/>
      </xsd:simpleType>
    </xsd:element>
    <xsd:element name="pqName" ma:index="6" nillable="true" ma:displayName="Objekti nimi" ma:internalName="pqName" ma:readOnly="false">
      <xsd:simpleType>
        <xsd:restriction base="dms:Text"/>
      </xsd:simpleType>
    </xsd:element>
    <xsd:element name="pqAddress" ma:index="7" nillable="true" ma:displayName="Objekti aadress" ma:internalName="pqAddress" ma:readOnly="false">
      <xsd:simpleType>
        <xsd:restriction base="dms:Text"/>
      </xsd:simpleType>
    </xsd:element>
    <xsd:element name="poPrice" ma:index="8" nillable="true" ma:displayName="Hind (km-ta)" ma:internalName="poPrice" ma:readOnly="false">
      <xsd:simpleType>
        <xsd:restriction base="dms:Text"/>
      </xsd:simpleType>
    </xsd:element>
    <xsd:element name="poValidTillDays" ma:index="9" nillable="true" ma:displayName="Kehtivus päevades" ma:internalName="poValidTillDays" ma:readOnly="false">
      <xsd:simpleType>
        <xsd:restriction base="dms:Text"/>
      </xsd:simpleType>
    </xsd:element>
    <xsd:element name="pqOfferManager" ma:index="10" nillable="true" ma:displayName="Pakkumise juht" ma:internalName="pqOfferManager" ma:readOnly="false">
      <xsd:simpleType>
        <xsd:restriction base="dms:Text"/>
      </xsd:simpleType>
    </xsd:element>
    <xsd:element name="pqOfferManagerJobTitle" ma:index="11" nillable="true" ma:displayName="Pakkumise juhi positsioon" ma:internalName="pqOfferManagerJobTitle" ma:readOnly="false">
      <xsd:simpleType>
        <xsd:restriction base="dms:Text"/>
      </xsd:simpleType>
    </xsd:element>
    <xsd:element name="pqOfferManagerPhone" ma:index="12" nillable="true" ma:displayName="Pakkumise juhi mobiil" ma:internalName="pqOfferManagerPhone" ma:readOnly="false">
      <xsd:simpleType>
        <xsd:restriction base="dms:Text"/>
      </xsd:simpleType>
    </xsd:element>
    <xsd:element name="pqOfferManagerEMail" ma:index="13" nillable="true" ma:displayName="Pakkumise juhi e-mail" ma:internalName="pqOfferManagerEMail" ma:readOnly="false">
      <xsd:simpleType>
        <xsd:restriction base="dms:Text"/>
      </xsd:simpleType>
    </xsd:element>
    <xsd:element name="pqBudgeter" ma:index="14" nillable="true" ma:displayName="Eelarvestaja" ma:internalName="pqBudgeter" ma:readOnly="false">
      <xsd:simpleType>
        <xsd:restriction base="dms:Text"/>
      </xsd:simpleType>
    </xsd:element>
    <xsd:element name="pqBudgeterJobTitle" ma:index="15" nillable="true" ma:displayName="Eelarvestaja positsioon" ma:internalName="pqBudgeterJobTitle" ma:readOnly="false">
      <xsd:simpleType>
        <xsd:restriction base="dms:Text"/>
      </xsd:simpleType>
    </xsd:element>
    <xsd:element name="pqBudgeterPhone" ma:index="16" nillable="true" ma:displayName="Eelarvestaja mobiil" ma:internalName="pqBudgeterPhone" ma:readOnly="false">
      <xsd:simpleType>
        <xsd:restriction base="dms:Text"/>
      </xsd:simpleType>
    </xsd:element>
    <xsd:element name="pqBudgeterEMail" ma:index="17" nillable="true" ma:displayName="Eelarvestaja e-mail" ma:internalName="pqBudgeterEMail" ma:readOnly="false">
      <xsd:simpleType>
        <xsd:restriction base="dms:Text"/>
      </xsd:simpleType>
    </xsd:element>
    <xsd:element name="SharedWithUsers" ma:index="28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32" nillable="true" ma:displayName="Taxonomy Catch All Column" ma:hidden="true" ma:list="{896ab889-f28e-42ce-8acc-e4c65d811d6c}" ma:internalName="TaxCatchAll" ma:showField="CatchAllData" ma:web="67f72299-ac7c-4625-b403-a095ae70d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cf2c-acb3-4c5f-9d0d-3ee5fdee7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Pildisildid" ma:readOnly="false" ma:fieldId="{5cf76f15-5ced-4ddc-b409-7134ff3c332f}" ma:taxonomyMulti="true" ma:sspId="7917b355-1b09-41e2-8b23-d37907ecb1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lulisusterasepakkumiseks" ma:index="37" nillable="true" ma:displayName="Olulisus terase pakkumiseks" ma:default="0" ma:format="Dropdown" ma:internalName="Olulisusterasepakkumiseks">
      <xsd:simpleType>
        <xsd:restriction base="dms:Boolea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Sisutüüp"/>
        <xsd:element ref="dc:title" minOccurs="0" maxOccurs="1" ma:index="20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f72299-ac7c-4625-b403-a095ae70dd05" xsi:nil="true"/>
    <lcf76f155ced4ddcb4097134ff3c332f xmlns="4677cf2c-acb3-4c5f-9d0d-3ee5fdee7961">
      <Terms xmlns="http://schemas.microsoft.com/office/infopath/2007/PartnerControls"/>
    </lcf76f155ced4ddcb4097134ff3c332f>
    <poValidTillDays xmlns="67f72299-ac7c-4625-b403-a095ae70dd05" xsi:nil="true"/>
    <poPrice xmlns="67f72299-ac7c-4625-b403-a095ae70dd05" xsi:nil="true"/>
    <contactPhonePrimary xmlns="67f72299-ac7c-4625-b403-a095ae70dd05" xsi:nil="true"/>
    <pqOfferManager xmlns="67f72299-ac7c-4625-b403-a095ae70dd05" xsi:nil="true"/>
    <pqOfferManagerPhone xmlns="67f72299-ac7c-4625-b403-a095ae70dd05" xsi:nil="true"/>
    <pqBudgeterPhone xmlns="67f72299-ac7c-4625-b403-a095ae70dd05" xsi:nil="true"/>
    <poNumber xmlns="67f72299-ac7c-4625-b403-a095ae70dd05" xsi:nil="true"/>
    <pqBudgeterEMail xmlns="67f72299-ac7c-4625-b403-a095ae70dd05" xsi:nil="true"/>
    <formattedDate xmlns="67f72299-ac7c-4625-b403-a095ae70dd05" xsi:nil="true"/>
    <contactName xmlns="67f72299-ac7c-4625-b403-a095ae70dd05" xsi:nil="true"/>
    <contactEMail xmlns="67f72299-ac7c-4625-b403-a095ae70dd05" xsi:nil="true"/>
    <pqBudgeterJobTitle xmlns="67f72299-ac7c-4625-b403-a095ae70dd05" xsi:nil="true"/>
    <pqOfferManagerEMail xmlns="67f72299-ac7c-4625-b403-a095ae70dd05" xsi:nil="true"/>
    <pqBudgeter xmlns="67f72299-ac7c-4625-b403-a095ae70dd05" xsi:nil="true"/>
    <pqAddress xmlns="67f72299-ac7c-4625-b403-a095ae70dd05" xsi:nil="true"/>
    <pqOfferManagerJobTitle xmlns="67f72299-ac7c-4625-b403-a095ae70dd05" xsi:nil="true"/>
    <Olulisusterasepakkumiseks xmlns="4677cf2c-acb3-4c5f-9d0d-3ee5fdee7961">false</Olulisusterasepakkumiseks>
    <poClient xmlns="67f72299-ac7c-4625-b403-a095ae70dd05" xsi:nil="true"/>
    <pqName xmlns="67f72299-ac7c-4625-b403-a095ae70dd05" xsi:nil="true"/>
  </documentManagement>
</p:properties>
</file>

<file path=customXml/itemProps1.xml><?xml version="1.0" encoding="utf-8"?>
<ds:datastoreItem xmlns:ds="http://schemas.openxmlformats.org/officeDocument/2006/customXml" ds:itemID="{0449FB19-0761-49B4-8300-2087455C05FF}"/>
</file>

<file path=customXml/itemProps2.xml><?xml version="1.0" encoding="utf-8"?>
<ds:datastoreItem xmlns:ds="http://schemas.openxmlformats.org/officeDocument/2006/customXml" ds:itemID="{DE200F12-8D48-4AB6-BFF1-7A027517C713}"/>
</file>

<file path=customXml/itemProps3.xml><?xml version="1.0" encoding="utf-8"?>
<ds:datastoreItem xmlns:ds="http://schemas.openxmlformats.org/officeDocument/2006/customXml" ds:itemID="{9C8A1412-5F9E-46D2-BACA-084B912EE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30480 Akkasæter Lager - og vedlikeholdshall - Price request</dc:title>
  <cp:lastModifiedBy>Per Erik Haram</cp:lastModifiedBy>
  <dcterms:created xsi:type="dcterms:W3CDTF">2025-10-22T14:48:43Z</dcterms:created>
  <dcterms:modified xsi:type="dcterms:W3CDTF">2025-10-22T14:48:43Z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0x0101003656FDA27A494BC092A9328040A274D000700830A3D05D564AB9A0E847634159A2</vt:lpwstr>
  </property>
  <property fmtid="{D5CDD505-2E9C-101B-9397-08002B2CF9AE}" pid="3" name="MediaServiceImageTags">
    <vt:lpwstr/>
  </property>
  <property fmtid="{D5CDD505-2E9C-101B-9397-08002B2CF9AE}" pid="4" name="emailCategory">
    <vt:lpwstr>3</vt:lpwstr>
  </property>
  <property fmtid="{D5CDD505-2E9C-101B-9397-08002B2CF9AE}" pid="5" name="reRelatedEMail">
    <vt:lpwstr>30480 Akkasæter Lager - og vedlikeholdshall - Price request</vt:lpwstr>
  </property>
  <property fmtid="{D5CDD505-2E9C-101B-9397-08002B2CF9AE}" pid="6" name="reRecipient">
    <vt:lpwstr>Madis Tuuling</vt:lpwstr>
  </property>
  <property fmtid="{D5CDD505-2E9C-101B-9397-08002B2CF9AE}" pid="8" name="reEMailReceived">
    <vt:filetime>2025-10-22T15:21:57Z</vt:filetime>
  </property>
  <property fmtid="{D5CDD505-2E9C-101B-9397-08002B2CF9AE}" pid="9" name="reSender">
    <vt:lpwstr>Per Erik Haram</vt:lpwstr>
  </property>
  <property fmtid="{D5CDD505-2E9C-101B-9397-08002B2CF9AE}" pid="10" name="reRecipientCC">
    <vt:lpwstr>Arnstein Stokke, Heiti Zukovits, Denis Kamerads</vt:lpwstr>
  </property>
  <property fmtid="{D5CDD505-2E9C-101B-9397-08002B2CF9AE}" pid="12" name="reRefToPQ">
    <vt:lpwstr>4900</vt:lpwstr>
  </property>
  <property fmtid="{D5CDD505-2E9C-101B-9397-08002B2CF9AE}" pid="13" name="reEMailInboundOutbound">
    <vt:lpwstr>Sisse</vt:lpwstr>
  </property>
</Properties>
</file>