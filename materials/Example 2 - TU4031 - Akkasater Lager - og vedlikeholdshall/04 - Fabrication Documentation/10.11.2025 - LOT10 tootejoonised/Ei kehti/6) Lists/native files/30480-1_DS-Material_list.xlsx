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30480-1\6) Lists\native files\"/>
    </mc:Choice>
  </mc:AlternateContent>
  <xr:revisionPtr revIDLastSave="0" documentId="13_ncr:1_{88963066-F9B9-44E5-B538-15755C436BA9}" xr6:coauthVersionLast="47" xr6:coauthVersionMax="47" xr10:uidLastSave="{00000000-0000-0000-0000-000000000000}"/>
  <bookViews>
    <workbookView xWindow="-120" yWindow="-120" windowWidth="29040" windowHeight="17640" xr2:uid="{31CA3E65-3A81-42E5-BB18-5AB65D8293F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 a="1"/>
  <c r="G3" i="2" s="1"/>
  <c r="G2" i="2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<sst xmlns="http://schemas.openxmlformats.org/spreadsheetml/2006/main" count="595" uniqueCount="261">
  <si>
    <t> Project Number: </t>
  </si>
  <si>
    <t>30480-1</t>
  </si>
  <si>
    <t> Rev. </t>
  </si>
  <si>
    <t> Total </t>
  </si>
  <si>
    <t> Project </t>
  </si>
  <si>
    <t>Akkasæter Lager- ***  </t>
  </si>
  <si>
    <t> Rev. date </t>
  </si>
  <si>
    <t> EXC </t>
  </si>
  <si>
    <t>EXC 2  </t>
  </si>
  <si>
    <t> Date</t>
  </si>
  <si>
    <t>05.11.2025  </t>
  </si>
  <si>
    <t> Sent by</t>
  </si>
  <si>
    <t>peh  </t>
  </si>
  <si>
    <t> Drafter</t>
  </si>
  <si>
    <t>ZLL  </t>
  </si>
  <si>
    <t>Profile  </t>
  </si>
  <si>
    <t>Material  </t>
  </si>
  <si>
    <t>Quantity  </t>
  </si>
  <si>
    <t>L [mm]  </t>
  </si>
  <si>
    <t>kg/pc  </t>
  </si>
  <si>
    <t>Sum kg  </t>
  </si>
  <si>
    <t>Part pos.  </t>
  </si>
  <si>
    <t>D30</t>
  </si>
  <si>
    <t xml:space="preserve">S355J2 </t>
  </si>
  <si>
    <t>  Q1  </t>
  </si>
  <si>
    <t>  x18  </t>
  </si>
  <si>
    <t>  x26  </t>
  </si>
  <si>
    <t>  x19  </t>
  </si>
  <si>
    <t>  x27  </t>
  </si>
  <si>
    <t>  x21  </t>
  </si>
  <si>
    <t>  x28  </t>
  </si>
  <si>
    <t>  x22  </t>
  </si>
  <si>
    <t>  x20  </t>
  </si>
  <si>
    <t>  x25  </t>
  </si>
  <si>
    <t>  x33  </t>
  </si>
  <si>
    <t>  x23  </t>
  </si>
  <si>
    <t>  x24  </t>
  </si>
  <si>
    <t>  x35  </t>
  </si>
  <si>
    <t>  x34  </t>
  </si>
  <si>
    <t>Total</t>
  </si>
  <si>
    <t>FL5*90</t>
  </si>
  <si>
    <t>  F51  </t>
  </si>
  <si>
    <t>FL5*215</t>
  </si>
  <si>
    <t>  F100  </t>
  </si>
  <si>
    <t>  F107  </t>
  </si>
  <si>
    <t>  F109  </t>
  </si>
  <si>
    <t>FL6*60</t>
  </si>
  <si>
    <t>  A3  </t>
  </si>
  <si>
    <t>FL6*140</t>
  </si>
  <si>
    <t>  F94  </t>
  </si>
  <si>
    <t>FL10*65</t>
  </si>
  <si>
    <t>  F50  </t>
  </si>
  <si>
    <t>FL10*80</t>
  </si>
  <si>
    <t>  A5  </t>
  </si>
  <si>
    <t>  A4  </t>
  </si>
  <si>
    <t>FL10*90</t>
  </si>
  <si>
    <t>  F86  </t>
  </si>
  <si>
    <t>  F33  </t>
  </si>
  <si>
    <t>FL10*100</t>
  </si>
  <si>
    <t>  F85  </t>
  </si>
  <si>
    <t>  F87  </t>
  </si>
  <si>
    <t>  f14  </t>
  </si>
  <si>
    <t>FL10*120</t>
  </si>
  <si>
    <t>  F97  </t>
  </si>
  <si>
    <t>  F98  </t>
  </si>
  <si>
    <t>  T6  </t>
  </si>
  <si>
    <t>  T10  </t>
  </si>
  <si>
    <t>FL10*140</t>
  </si>
  <si>
    <t>  l1  </t>
  </si>
  <si>
    <t>  F99  </t>
  </si>
  <si>
    <t>  F22  </t>
  </si>
  <si>
    <t>  T5  </t>
  </si>
  <si>
    <t>  T12  </t>
  </si>
  <si>
    <t>  T9  </t>
  </si>
  <si>
    <t>  T11  </t>
  </si>
  <si>
    <t>FL10*150</t>
  </si>
  <si>
    <t>  F17  </t>
  </si>
  <si>
    <t>FL10*165</t>
  </si>
  <si>
    <t>  F102  </t>
  </si>
  <si>
    <t>FL10*168</t>
  </si>
  <si>
    <t>  F95  </t>
  </si>
  <si>
    <t>FL10*215</t>
  </si>
  <si>
    <t>  F96  </t>
  </si>
  <si>
    <t>FL12*90</t>
  </si>
  <si>
    <t>  F23  </t>
  </si>
  <si>
    <t>FL12*120</t>
  </si>
  <si>
    <t>  F28  </t>
  </si>
  <si>
    <t>FL12*170</t>
  </si>
  <si>
    <t>  l3  </t>
  </si>
  <si>
    <t>FL12*200</t>
  </si>
  <si>
    <t>  F93  </t>
  </si>
  <si>
    <t>FL15*70</t>
  </si>
  <si>
    <t>  A12  </t>
  </si>
  <si>
    <t>FL15*88</t>
  </si>
  <si>
    <t>  V3  </t>
  </si>
  <si>
    <t>FL15*100</t>
  </si>
  <si>
    <t>  F78  </t>
  </si>
  <si>
    <t>  V14  </t>
  </si>
  <si>
    <t>FL15*120</t>
  </si>
  <si>
    <t>  F66  </t>
  </si>
  <si>
    <t>  V2  </t>
  </si>
  <si>
    <t>  F90  </t>
  </si>
  <si>
    <t>FL15*140</t>
  </si>
  <si>
    <t>  F26  </t>
  </si>
  <si>
    <t>  F91  </t>
  </si>
  <si>
    <t>  A10  </t>
  </si>
  <si>
    <t>  V18  </t>
  </si>
  <si>
    <t>  V22  </t>
  </si>
  <si>
    <t>  A9  </t>
  </si>
  <si>
    <t>FL15*170</t>
  </si>
  <si>
    <t>  V21  </t>
  </si>
  <si>
    <t>FL15*180</t>
  </si>
  <si>
    <t>  F38  </t>
  </si>
  <si>
    <t>  F16  </t>
  </si>
  <si>
    <t>FL15*200</t>
  </si>
  <si>
    <t>  F32  </t>
  </si>
  <si>
    <t>  F37  </t>
  </si>
  <si>
    <t>  F24  </t>
  </si>
  <si>
    <t>  F105  </t>
  </si>
  <si>
    <t>FL15*300</t>
  </si>
  <si>
    <t>  F25  </t>
  </si>
  <si>
    <t>FL20*115</t>
  </si>
  <si>
    <t>  F104  </t>
  </si>
  <si>
    <t>FL20*250</t>
  </si>
  <si>
    <t>  F67  </t>
  </si>
  <si>
    <t>  F53  </t>
  </si>
  <si>
    <t>FL20*540</t>
  </si>
  <si>
    <t>  F106  </t>
  </si>
  <si>
    <t>  F108  </t>
  </si>
  <si>
    <t>  F110  </t>
  </si>
  <si>
    <t>FL25*300</t>
  </si>
  <si>
    <t>  F36  </t>
  </si>
  <si>
    <t>FL30*120</t>
  </si>
  <si>
    <t>  F18  </t>
  </si>
  <si>
    <t>FL30*150</t>
  </si>
  <si>
    <t>  F27  </t>
  </si>
  <si>
    <t>FL35*250</t>
  </si>
  <si>
    <t>  f2  </t>
  </si>
  <si>
    <t>  f10  </t>
  </si>
  <si>
    <t>  f13  </t>
  </si>
  <si>
    <t>HEB360</t>
  </si>
  <si>
    <t>  d5  </t>
  </si>
  <si>
    <t>IPE270</t>
  </si>
  <si>
    <t>  d21  </t>
  </si>
  <si>
    <t>  d23  </t>
  </si>
  <si>
    <t>  d1  </t>
  </si>
  <si>
    <t>  d3  </t>
  </si>
  <si>
    <t>IPE400</t>
  </si>
  <si>
    <t>  d13  </t>
  </si>
  <si>
    <t>L60*40*5</t>
  </si>
  <si>
    <t>  D30  </t>
  </si>
  <si>
    <t>  D31  </t>
  </si>
  <si>
    <t>L100*10</t>
  </si>
  <si>
    <t>  D37  </t>
  </si>
  <si>
    <t>  D32  </t>
  </si>
  <si>
    <t>  p11  </t>
  </si>
  <si>
    <t>L120*10</t>
  </si>
  <si>
    <t>  T2  </t>
  </si>
  <si>
    <t>PD45*7.5</t>
  </si>
  <si>
    <t>  Q2  </t>
  </si>
  <si>
    <t>PL5*48</t>
  </si>
  <si>
    <t>  V19  </t>
  </si>
  <si>
    <t>PL10*70</t>
  </si>
  <si>
    <t>  C25  </t>
  </si>
  <si>
    <t>PL10*75</t>
  </si>
  <si>
    <t>  C21  </t>
  </si>
  <si>
    <t>PL10*275</t>
  </si>
  <si>
    <t>  C2  </t>
  </si>
  <si>
    <t>PL15*80</t>
  </si>
  <si>
    <t>  V1  </t>
  </si>
  <si>
    <t>PL15*140</t>
  </si>
  <si>
    <t>  C1  </t>
  </si>
  <si>
    <t>PL15*146</t>
  </si>
  <si>
    <t>  C14  </t>
  </si>
  <si>
    <t>PL15*153</t>
  </si>
  <si>
    <t>  C16  </t>
  </si>
  <si>
    <t>PL15*169</t>
  </si>
  <si>
    <t>  C17  </t>
  </si>
  <si>
    <t>PL15*170</t>
  </si>
  <si>
    <t>  C26  </t>
  </si>
  <si>
    <t>  l2  </t>
  </si>
  <si>
    <t>PL15*176</t>
  </si>
  <si>
    <t>  C32  </t>
  </si>
  <si>
    <t>  C30  </t>
  </si>
  <si>
    <t>PL15*178</t>
  </si>
  <si>
    <t>  C13  </t>
  </si>
  <si>
    <t>PL15*179</t>
  </si>
  <si>
    <t>  C28  </t>
  </si>
  <si>
    <t>PL15*198</t>
  </si>
  <si>
    <t>  C29  </t>
  </si>
  <si>
    <t>PL15*214</t>
  </si>
  <si>
    <t>  C18  </t>
  </si>
  <si>
    <t>PL15*356</t>
  </si>
  <si>
    <t>  C31  </t>
  </si>
  <si>
    <t>PL25*25</t>
  </si>
  <si>
    <t>  C22  </t>
  </si>
  <si>
    <t>REBAR25</t>
  </si>
  <si>
    <t>B550B</t>
  </si>
  <si>
    <t>  I3  </t>
  </si>
  <si>
    <t>RHS80X80X5</t>
  </si>
  <si>
    <t xml:space="preserve">S355J2H </t>
  </si>
  <si>
    <t>  P52  </t>
  </si>
  <si>
    <t>  P51  </t>
  </si>
  <si>
    <t>RHS100X100X6</t>
  </si>
  <si>
    <t>  p32  </t>
  </si>
  <si>
    <t>  p2  </t>
  </si>
  <si>
    <t>  P54  </t>
  </si>
  <si>
    <t>  p21  </t>
  </si>
  <si>
    <t>  p7  </t>
  </si>
  <si>
    <t>  p26  </t>
  </si>
  <si>
    <t>  p13  </t>
  </si>
  <si>
    <t>  p15  </t>
  </si>
  <si>
    <t>  p9  </t>
  </si>
  <si>
    <t>  p1  </t>
  </si>
  <si>
    <t>  p5  </t>
  </si>
  <si>
    <t>  p10  </t>
  </si>
  <si>
    <t>  s36  </t>
  </si>
  <si>
    <t>  p25  </t>
  </si>
  <si>
    <t>  p23  </t>
  </si>
  <si>
    <t>  p31  </t>
  </si>
  <si>
    <t>  p29  </t>
  </si>
  <si>
    <t>  p30  </t>
  </si>
  <si>
    <t>  p33  </t>
  </si>
  <si>
    <t>  p28  </t>
  </si>
  <si>
    <t>  s34  </t>
  </si>
  <si>
    <t>  p35  </t>
  </si>
  <si>
    <t>  p4  </t>
  </si>
  <si>
    <t>  x8  </t>
  </si>
  <si>
    <t>  x2  </t>
  </si>
  <si>
    <t>  x11  </t>
  </si>
  <si>
    <t>  x32  </t>
  </si>
  <si>
    <t>  x29  </t>
  </si>
  <si>
    <t>  x4  </t>
  </si>
  <si>
    <t>  x1  </t>
  </si>
  <si>
    <t>  x16  </t>
  </si>
  <si>
    <t>  x17  </t>
  </si>
  <si>
    <t>  x31  </t>
  </si>
  <si>
    <t>  x30  </t>
  </si>
  <si>
    <t>  p3  </t>
  </si>
  <si>
    <t>  p12  </t>
  </si>
  <si>
    <t>  p22  </t>
  </si>
  <si>
    <t>RHS120X120X8</t>
  </si>
  <si>
    <t>  x15  </t>
  </si>
  <si>
    <t>RHS120X120X10</t>
  </si>
  <si>
    <t>  x12  </t>
  </si>
  <si>
    <t>RHS150X100X6</t>
  </si>
  <si>
    <t>  s35  </t>
  </si>
  <si>
    <t>RHS150X150X8</t>
  </si>
  <si>
    <t>  s26  </t>
  </si>
  <si>
    <t>  s28  </t>
  </si>
  <si>
    <t>  s24  </t>
  </si>
  <si>
    <t>  s1  </t>
  </si>
  <si>
    <t>  s6  </t>
  </si>
  <si>
    <t>RHS180X180X8</t>
  </si>
  <si>
    <t>  s19  </t>
  </si>
  <si>
    <t>  s18  </t>
  </si>
  <si>
    <t>RHS180X180X10</t>
  </si>
  <si>
    <t>  s32  </t>
  </si>
  <si>
    <t>  s31  </t>
  </si>
  <si>
    <t>  s20  </t>
  </si>
  <si>
    <t>  s5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</si>
</sst>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??_ ;_ @_ "/>
    <numFmt numFmtId="165" formatCode="[$-409]mmmm\ d\,\ yyyy;@"/>
  </numFmts>
  <fonts count="24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  <font>
      <sz val="10"/>
      <color rgb="FFFFFFFF"/>
      <name val="Arial"/>
      <family val="2"/>
    </font>
    <font>
      <b/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164" fontId="20" fillId="33" borderId="11" xfId="0" applyNumberFormat="1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left" vertical="center" wrapText="1"/>
    </xf>
    <xf numFmtId="0" fontId="21" fillId="33" borderId="10" xfId="0" applyFont="1" applyFill="1" applyBorder="1" applyAlignment="1">
      <alignment horizontal="left" vertical="center" wrapText="1"/>
    </xf>
    <xf numFmtId="165" fontId="20" fillId="33" borderId="10" xfId="0" applyNumberFormat="1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center" vertical="center" wrapText="1"/>
    </xf>
    <xf numFmtId="164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0" xfId="0" applyFont="1" applyFill="1">
      <alignment horizontal="left" vertical="center"/>
    </xf>
    <xf numFmtId="0" fontId="18" fillId="33" borderId="0" xfId="0" applyFont="1" applyFill="1">
      <alignment horizontal="left" vertical="center"/>
    </xf>
    <xf numFmtId="0" fontId="22" fillId="33" borderId="12" xfId="0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left" vertical="center"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5475-8213-4297-B12B-411C5CE027DB}">
  <dimension ref="A1:H310"/>
  <sheetViews>
    <sheetView tabSelected="1" workbookViewId="0">
      <selection activeCell="J9" sqref="J9"/>
    </sheetView>
  </sheetViews>
  <sheetFormatPr baseColWidth="10" defaultRowHeight="12.75"/>
  <cols>
    <col min="1" max="1" width="17" style="1" bestFit="1" customWidth="1"/>
    <col min="2" max="2" width="20.85546875" style="1" bestFit="1" customWidth="1"/>
    <col min="3" max="3" width="10.7109375" style="1" bestFit="1" customWidth="1"/>
    <col min="4" max="4" width="8.7109375" style="1" bestFit="1" customWidth="1"/>
    <col min="5" max="5" width="7.7109375" style="1" bestFit="1" customWidth="1"/>
    <col min="6" max="6" width="9" style="1" bestFit="1" customWidth="1"/>
    <col min="7" max="7" width="10.140625" style="1" bestFit="1" customWidth="1"/>
    <col min="8" max="16384" width="11.42578125" style="1"/>
  </cols>
  <sheetData>
    <row r="1" spans="1:8" ht="14.25" thickTop="1" thickBot="1">
      <c r="A1" s="2" t="s">
        <v>0</v>
      </c>
      <c r="B1" s="3" t="s">
        <v>1</v>
      </c>
      <c r="C1" s="2" t="s">
        <v>2</v>
      </c>
      <c r="D1" s="3">
        <v>0</v>
      </c>
      <c r="E1" s="4" t="s">
        <v>3</v>
      </c>
      <c r="F1" s="5">
        <v>74496.800000000003</v>
      </c>
      <c r="G1" s="6"/>
    </row>
    <row r="2" spans="1:8" ht="13.5" thickTop="1">
      <c r="A2" s="2" t="s">
        <v>4</v>
      </c>
      <c r="B2" s="3" t="s">
        <v>5</v>
      </c>
      <c r="C2" s="2" t="s">
        <v>6</v>
      </c>
      <c r="D2" s="3"/>
      <c r="E2" s="2" t="s">
        <v>7</v>
      </c>
      <c r="F2" s="3" t="s">
        <v>8</v>
      </c>
      <c r="G2" s="19" t="e" cm="1">
        <f t="array" aca="1" ref="G2" ca="1">_xludf.LEFT(#REF!,_xludf.FIND("_",#REF!)-1)</f>
        <v>#NAME?</v>
      </c>
      <c r="H2" s="20"/>
    </row>
    <row r="3" spans="1:8">
      <c r="A3" s="2" t="s">
        <v>9</v>
      </c>
      <c r="B3" s="8" t="s">
        <v>10</v>
      </c>
      <c r="C3" s="2" t="s">
        <v>11</v>
      </c>
      <c r="D3" s="3" t="s">
        <v>12</v>
      </c>
      <c r="E3" s="2" t="s">
        <v>13</v>
      </c>
      <c r="F3" s="3" t="s">
        <v>14</v>
      </c>
      <c r="G3" s="19" t="e" cm="1">
        <f t="array" aca="1" ref="G3" ca="1">_xludf.RIGHT(#REF!,_xludf.LEN(#REF!)-_xludf.FIND("|",_xludf.SUBSTITUTE(#REF!,".","|",_xludf.LEN(#REF!)-_xludf.LEN(_xludf.SUBSTITUTE(#REF!,".","")))))</f>
        <v>#NAME?</v>
      </c>
      <c r="H3" s="20"/>
    </row>
    <row r="4" spans="1:8">
      <c r="A4" s="17"/>
      <c r="B4" s="18"/>
      <c r="C4" s="18"/>
      <c r="D4" s="18"/>
      <c r="E4" s="18"/>
      <c r="F4" s="18"/>
      <c r="G4" s="18"/>
    </row>
    <row r="5" spans="1:8">
      <c r="A5" s="9" t="s">
        <v>15</v>
      </c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 t="s">
        <v>21</v>
      </c>
    </row>
    <row r="6" spans="1:8">
      <c r="A6" s="7" t="s">
        <v>22</v>
      </c>
      <c r="B6" s="10" t="s">
        <v>23</v>
      </c>
      <c r="C6" s="11">
        <v>92</v>
      </c>
      <c r="D6" s="12">
        <v>260</v>
      </c>
      <c r="E6" s="12">
        <v>1.38</v>
      </c>
      <c r="F6" s="12">
        <v>126.75</v>
      </c>
      <c r="G6" s="7" t="s">
        <v>24</v>
      </c>
    </row>
    <row r="7" spans="1:8">
      <c r="A7" s="7" t="s">
        <v>22</v>
      </c>
      <c r="B7" s="10" t="s">
        <v>23</v>
      </c>
      <c r="C7" s="11">
        <v>4</v>
      </c>
      <c r="D7" s="12">
        <v>1635</v>
      </c>
      <c r="E7" s="12">
        <v>8.66</v>
      </c>
      <c r="F7" s="12">
        <v>34.65</v>
      </c>
      <c r="G7" s="7" t="s">
        <v>25</v>
      </c>
    </row>
    <row r="8" spans="1:8">
      <c r="A8" s="7" t="s">
        <v>22</v>
      </c>
      <c r="B8" s="10" t="s">
        <v>23</v>
      </c>
      <c r="C8" s="11">
        <v>2</v>
      </c>
      <c r="D8" s="12">
        <v>4467</v>
      </c>
      <c r="E8" s="12">
        <v>23.67</v>
      </c>
      <c r="F8" s="12">
        <v>47.34</v>
      </c>
      <c r="G8" s="7" t="s">
        <v>26</v>
      </c>
    </row>
    <row r="9" spans="1:8">
      <c r="A9" s="7" t="s">
        <v>22</v>
      </c>
      <c r="B9" s="10" t="s">
        <v>23</v>
      </c>
      <c r="C9" s="11">
        <v>4</v>
      </c>
      <c r="D9" s="12">
        <v>4524</v>
      </c>
      <c r="E9" s="12">
        <v>23.97</v>
      </c>
      <c r="F9" s="12">
        <v>95.89</v>
      </c>
      <c r="G9" s="7" t="s">
        <v>27</v>
      </c>
    </row>
    <row r="10" spans="1:8">
      <c r="A10" s="7" t="s">
        <v>22</v>
      </c>
      <c r="B10" s="10" t="s">
        <v>23</v>
      </c>
      <c r="C10" s="11">
        <v>1</v>
      </c>
      <c r="D10" s="12">
        <v>4649</v>
      </c>
      <c r="E10" s="12">
        <v>24.63</v>
      </c>
      <c r="F10" s="12">
        <v>24.63</v>
      </c>
      <c r="G10" s="7" t="s">
        <v>28</v>
      </c>
    </row>
    <row r="11" spans="1:8">
      <c r="A11" s="7" t="s">
        <v>22</v>
      </c>
      <c r="B11" s="10" t="s">
        <v>23</v>
      </c>
      <c r="C11" s="11">
        <v>1</v>
      </c>
      <c r="D11" s="12">
        <v>4732</v>
      </c>
      <c r="E11" s="12">
        <v>25.07</v>
      </c>
      <c r="F11" s="12">
        <v>25.07</v>
      </c>
      <c r="G11" s="7" t="s">
        <v>29</v>
      </c>
    </row>
    <row r="12" spans="1:8">
      <c r="A12" s="7" t="s">
        <v>22</v>
      </c>
      <c r="B12" s="10" t="s">
        <v>23</v>
      </c>
      <c r="C12" s="11">
        <v>1</v>
      </c>
      <c r="D12" s="12">
        <v>4950</v>
      </c>
      <c r="E12" s="12">
        <v>26.23</v>
      </c>
      <c r="F12" s="12">
        <v>26.23</v>
      </c>
      <c r="G12" s="7" t="s">
        <v>30</v>
      </c>
    </row>
    <row r="13" spans="1:8">
      <c r="A13" s="7" t="s">
        <v>22</v>
      </c>
      <c r="B13" s="10" t="s">
        <v>23</v>
      </c>
      <c r="C13" s="11">
        <v>1</v>
      </c>
      <c r="D13" s="12">
        <v>5077</v>
      </c>
      <c r="E13" s="12">
        <v>26.9</v>
      </c>
      <c r="F13" s="12">
        <v>26.9</v>
      </c>
      <c r="G13" s="7" t="s">
        <v>31</v>
      </c>
    </row>
    <row r="14" spans="1:8">
      <c r="A14" s="7" t="s">
        <v>22</v>
      </c>
      <c r="B14" s="10" t="s">
        <v>23</v>
      </c>
      <c r="C14" s="11">
        <v>4</v>
      </c>
      <c r="D14" s="12">
        <v>5250</v>
      </c>
      <c r="E14" s="12">
        <v>27.82</v>
      </c>
      <c r="F14" s="12">
        <v>111.27</v>
      </c>
      <c r="G14" s="7" t="s">
        <v>32</v>
      </c>
    </row>
    <row r="15" spans="1:8">
      <c r="A15" s="7" t="s">
        <v>22</v>
      </c>
      <c r="B15" s="10" t="s">
        <v>23</v>
      </c>
      <c r="C15" s="11">
        <v>4</v>
      </c>
      <c r="D15" s="12">
        <v>5817</v>
      </c>
      <c r="E15" s="12">
        <v>30.82</v>
      </c>
      <c r="F15" s="12">
        <v>123.29</v>
      </c>
      <c r="G15" s="7" t="s">
        <v>33</v>
      </c>
    </row>
    <row r="16" spans="1:8">
      <c r="A16" s="7" t="s">
        <v>22</v>
      </c>
      <c r="B16" s="10" t="s">
        <v>23</v>
      </c>
      <c r="C16" s="11">
        <v>2</v>
      </c>
      <c r="D16" s="12">
        <v>5864</v>
      </c>
      <c r="E16" s="12">
        <v>31.07</v>
      </c>
      <c r="F16" s="12">
        <v>62.14</v>
      </c>
      <c r="G16" s="7" t="s">
        <v>34</v>
      </c>
    </row>
    <row r="17" spans="1:7">
      <c r="A17" s="7" t="s">
        <v>22</v>
      </c>
      <c r="B17" s="10" t="s">
        <v>23</v>
      </c>
      <c r="C17" s="11">
        <v>4</v>
      </c>
      <c r="D17" s="12">
        <v>5873</v>
      </c>
      <c r="E17" s="12">
        <v>31.12</v>
      </c>
      <c r="F17" s="12">
        <v>124.48</v>
      </c>
      <c r="G17" s="7" t="s">
        <v>35</v>
      </c>
    </row>
    <row r="18" spans="1:7">
      <c r="A18" s="7" t="s">
        <v>22</v>
      </c>
      <c r="B18" s="10" t="s">
        <v>23</v>
      </c>
      <c r="C18" s="11">
        <v>16</v>
      </c>
      <c r="D18" s="12">
        <v>5922</v>
      </c>
      <c r="E18" s="12">
        <v>31.38</v>
      </c>
      <c r="F18" s="12">
        <v>502.04</v>
      </c>
      <c r="G18" s="7" t="s">
        <v>36</v>
      </c>
    </row>
    <row r="19" spans="1:7">
      <c r="A19" s="7" t="s">
        <v>22</v>
      </c>
      <c r="B19" s="10" t="s">
        <v>23</v>
      </c>
      <c r="C19" s="11">
        <v>1</v>
      </c>
      <c r="D19" s="12">
        <v>5924</v>
      </c>
      <c r="E19" s="12">
        <v>31.39</v>
      </c>
      <c r="F19" s="12">
        <v>31.39</v>
      </c>
      <c r="G19" s="7" t="s">
        <v>37</v>
      </c>
    </row>
    <row r="20" spans="1:7">
      <c r="A20" s="7" t="s">
        <v>22</v>
      </c>
      <c r="B20" s="10" t="s">
        <v>23</v>
      </c>
      <c r="C20" s="11">
        <v>1</v>
      </c>
      <c r="D20" s="12">
        <v>5936</v>
      </c>
      <c r="E20" s="12">
        <v>31.45</v>
      </c>
      <c r="F20" s="12">
        <v>31.45</v>
      </c>
      <c r="G20" s="7" t="s">
        <v>38</v>
      </c>
    </row>
    <row r="21" spans="1:7">
      <c r="A21" s="3"/>
      <c r="B21" s="3" t="s">
        <v>39</v>
      </c>
      <c r="C21" s="13">
        <v>138</v>
      </c>
      <c r="D21" s="12">
        <v>262998</v>
      </c>
      <c r="E21" s="3"/>
      <c r="F21" s="12">
        <v>1393.52</v>
      </c>
    </row>
    <row r="22" spans="1:7">
      <c r="A22" s="14"/>
    </row>
    <row r="23" spans="1:7">
      <c r="A23" s="7" t="s">
        <v>40</v>
      </c>
      <c r="B23" s="10" t="s">
        <v>23</v>
      </c>
      <c r="C23" s="11">
        <v>45</v>
      </c>
      <c r="D23" s="12">
        <v>90</v>
      </c>
      <c r="E23" s="12">
        <v>0.32</v>
      </c>
      <c r="F23" s="12">
        <v>14.31</v>
      </c>
      <c r="G23" s="7" t="s">
        <v>41</v>
      </c>
    </row>
    <row r="24" spans="1:7">
      <c r="A24" s="3"/>
      <c r="B24" s="3" t="s">
        <v>39</v>
      </c>
      <c r="C24" s="13">
        <v>45</v>
      </c>
      <c r="D24" s="12">
        <v>4050</v>
      </c>
      <c r="E24" s="3"/>
      <c r="F24" s="12">
        <v>14.31</v>
      </c>
    </row>
    <row r="25" spans="1:7">
      <c r="A25" s="14"/>
    </row>
    <row r="26" spans="1:7">
      <c r="A26" s="7" t="s">
        <v>42</v>
      </c>
      <c r="B26" s="10" t="s">
        <v>23</v>
      </c>
      <c r="C26" s="11">
        <v>4</v>
      </c>
      <c r="D26" s="12">
        <v>4695</v>
      </c>
      <c r="E26" s="12">
        <v>39.619999999999997</v>
      </c>
      <c r="F26" s="12">
        <v>158.47999999999999</v>
      </c>
      <c r="G26" s="7" t="s">
        <v>43</v>
      </c>
    </row>
    <row r="27" spans="1:7">
      <c r="A27" s="7" t="s">
        <v>42</v>
      </c>
      <c r="B27" s="10" t="s">
        <v>23</v>
      </c>
      <c r="C27" s="11">
        <v>18</v>
      </c>
      <c r="D27" s="12">
        <v>4800</v>
      </c>
      <c r="E27" s="12">
        <v>40.51</v>
      </c>
      <c r="F27" s="12">
        <v>729.11</v>
      </c>
      <c r="G27" s="7" t="s">
        <v>44</v>
      </c>
    </row>
    <row r="28" spans="1:7">
      <c r="A28" s="7" t="s">
        <v>42</v>
      </c>
      <c r="B28" s="10" t="s">
        <v>23</v>
      </c>
      <c r="C28" s="11">
        <v>4</v>
      </c>
      <c r="D28" s="12">
        <v>5000</v>
      </c>
      <c r="E28" s="12">
        <v>42.19</v>
      </c>
      <c r="F28" s="12">
        <v>168.78</v>
      </c>
      <c r="G28" s="7" t="s">
        <v>45</v>
      </c>
    </row>
    <row r="29" spans="1:7">
      <c r="A29" s="3"/>
      <c r="B29" s="3" t="s">
        <v>39</v>
      </c>
      <c r="C29" s="13">
        <v>26</v>
      </c>
      <c r="D29" s="12">
        <v>125180</v>
      </c>
      <c r="E29" s="3"/>
      <c r="F29" s="12">
        <v>1056.3599999999999</v>
      </c>
    </row>
    <row r="30" spans="1:7">
      <c r="A30" s="14"/>
    </row>
    <row r="31" spans="1:7">
      <c r="A31" s="7" t="s">
        <v>46</v>
      </c>
      <c r="B31" s="10" t="s">
        <v>23</v>
      </c>
      <c r="C31" s="11">
        <v>34</v>
      </c>
      <c r="D31" s="12">
        <v>248</v>
      </c>
      <c r="E31" s="12">
        <v>0.69</v>
      </c>
      <c r="F31" s="12">
        <v>23.62</v>
      </c>
      <c r="G31" s="7" t="s">
        <v>47</v>
      </c>
    </row>
    <row r="32" spans="1:7">
      <c r="A32" s="3"/>
      <c r="B32" s="3" t="s">
        <v>39</v>
      </c>
      <c r="C32" s="13">
        <v>34</v>
      </c>
      <c r="D32" s="12">
        <v>8432</v>
      </c>
      <c r="E32" s="3"/>
      <c r="F32" s="12">
        <v>23.62</v>
      </c>
    </row>
    <row r="33" spans="1:7">
      <c r="A33" s="14"/>
    </row>
    <row r="34" spans="1:7">
      <c r="A34" s="7" t="s">
        <v>48</v>
      </c>
      <c r="B34" s="10" t="s">
        <v>23</v>
      </c>
      <c r="C34" s="11">
        <v>20</v>
      </c>
      <c r="D34" s="12">
        <v>200</v>
      </c>
      <c r="E34" s="12">
        <v>1.22</v>
      </c>
      <c r="F34" s="12">
        <v>24.47</v>
      </c>
      <c r="G34" s="7" t="s">
        <v>49</v>
      </c>
    </row>
    <row r="35" spans="1:7">
      <c r="A35" s="3"/>
      <c r="B35" s="3" t="s">
        <v>39</v>
      </c>
      <c r="C35" s="13">
        <v>20</v>
      </c>
      <c r="D35" s="12">
        <v>4000</v>
      </c>
      <c r="E35" s="3"/>
      <c r="F35" s="12">
        <v>24.47</v>
      </c>
    </row>
    <row r="36" spans="1:7">
      <c r="A36" s="14"/>
    </row>
    <row r="37" spans="1:7">
      <c r="A37" s="7" t="s">
        <v>50</v>
      </c>
      <c r="B37" s="10" t="s">
        <v>23</v>
      </c>
      <c r="C37" s="11">
        <v>35</v>
      </c>
      <c r="D37" s="12">
        <v>100</v>
      </c>
      <c r="E37" s="12">
        <v>0.51</v>
      </c>
      <c r="F37" s="12">
        <v>17.86</v>
      </c>
      <c r="G37" s="7" t="s">
        <v>51</v>
      </c>
    </row>
    <row r="38" spans="1:7">
      <c r="A38" s="3"/>
      <c r="B38" s="3" t="s">
        <v>39</v>
      </c>
      <c r="C38" s="13">
        <v>35</v>
      </c>
      <c r="D38" s="12">
        <v>3500</v>
      </c>
      <c r="E38" s="3"/>
      <c r="F38" s="12">
        <v>17.86</v>
      </c>
    </row>
    <row r="39" spans="1:7">
      <c r="A39" s="14"/>
    </row>
    <row r="40" spans="1:7">
      <c r="A40" s="7" t="s">
        <v>52</v>
      </c>
      <c r="B40" s="10" t="s">
        <v>23</v>
      </c>
      <c r="C40" s="11">
        <v>2</v>
      </c>
      <c r="D40" s="12">
        <v>261</v>
      </c>
      <c r="E40" s="12">
        <v>1.63</v>
      </c>
      <c r="F40" s="12">
        <v>3.26</v>
      </c>
      <c r="G40" s="7" t="s">
        <v>53</v>
      </c>
    </row>
    <row r="41" spans="1:7">
      <c r="A41" s="7" t="s">
        <v>52</v>
      </c>
      <c r="B41" s="10" t="s">
        <v>23</v>
      </c>
      <c r="C41" s="11">
        <v>6</v>
      </c>
      <c r="D41" s="12">
        <v>371</v>
      </c>
      <c r="E41" s="12">
        <v>2.31</v>
      </c>
      <c r="F41" s="12">
        <v>13.88</v>
      </c>
      <c r="G41" s="7" t="s">
        <v>54</v>
      </c>
    </row>
    <row r="42" spans="1:7">
      <c r="A42" s="3"/>
      <c r="B42" s="3" t="s">
        <v>39</v>
      </c>
      <c r="C42" s="13">
        <v>8</v>
      </c>
      <c r="D42" s="12">
        <v>2748</v>
      </c>
      <c r="E42" s="3"/>
      <c r="F42" s="12">
        <v>17.14</v>
      </c>
    </row>
    <row r="43" spans="1:7">
      <c r="A43" s="14"/>
    </row>
    <row r="44" spans="1:7">
      <c r="A44" s="7" t="s">
        <v>55</v>
      </c>
      <c r="B44" s="10" t="s">
        <v>23</v>
      </c>
      <c r="C44" s="11">
        <v>10</v>
      </c>
      <c r="D44" s="12">
        <v>110</v>
      </c>
      <c r="E44" s="12">
        <v>0.78</v>
      </c>
      <c r="F44" s="12">
        <v>7.77</v>
      </c>
      <c r="G44" s="7" t="s">
        <v>56</v>
      </c>
    </row>
    <row r="45" spans="1:7">
      <c r="A45" s="7" t="s">
        <v>55</v>
      </c>
      <c r="B45" s="10" t="s">
        <v>23</v>
      </c>
      <c r="C45" s="11">
        <v>89</v>
      </c>
      <c r="D45" s="12">
        <v>140</v>
      </c>
      <c r="E45" s="12">
        <v>0.99</v>
      </c>
      <c r="F45" s="12">
        <v>88.03</v>
      </c>
      <c r="G45" s="7" t="s">
        <v>57</v>
      </c>
    </row>
    <row r="46" spans="1:7">
      <c r="A46" s="3"/>
      <c r="B46" s="3" t="s">
        <v>39</v>
      </c>
      <c r="C46" s="13">
        <v>99</v>
      </c>
      <c r="D46" s="12">
        <v>13560</v>
      </c>
      <c r="E46" s="3"/>
      <c r="F46" s="12">
        <v>95.8</v>
      </c>
    </row>
    <row r="47" spans="1:7">
      <c r="A47" s="14"/>
    </row>
    <row r="48" spans="1:7">
      <c r="A48" s="7" t="s">
        <v>58</v>
      </c>
      <c r="B48" s="10" t="s">
        <v>23</v>
      </c>
      <c r="C48" s="11">
        <v>26</v>
      </c>
      <c r="D48" s="12">
        <v>100</v>
      </c>
      <c r="E48" s="12">
        <v>0.79</v>
      </c>
      <c r="F48" s="12">
        <v>20.41</v>
      </c>
      <c r="G48" s="7" t="s">
        <v>59</v>
      </c>
    </row>
    <row r="49" spans="1:7">
      <c r="A49" s="7" t="s">
        <v>58</v>
      </c>
      <c r="B49" s="10" t="s">
        <v>23</v>
      </c>
      <c r="C49" s="11">
        <v>6</v>
      </c>
      <c r="D49" s="12">
        <v>140</v>
      </c>
      <c r="E49" s="12">
        <v>1.1000000000000001</v>
      </c>
      <c r="F49" s="12">
        <v>6.59</v>
      </c>
      <c r="G49" s="7" t="s">
        <v>60</v>
      </c>
    </row>
    <row r="50" spans="1:7">
      <c r="A50" s="7" t="s">
        <v>58</v>
      </c>
      <c r="B50" s="10" t="s">
        <v>23</v>
      </c>
      <c r="C50" s="11">
        <v>3</v>
      </c>
      <c r="D50" s="12">
        <v>150</v>
      </c>
      <c r="E50" s="12">
        <v>1.18</v>
      </c>
      <c r="F50" s="12">
        <v>3.53</v>
      </c>
      <c r="G50" s="7" t="s">
        <v>61</v>
      </c>
    </row>
    <row r="51" spans="1:7">
      <c r="A51" s="3"/>
      <c r="B51" s="3" t="s">
        <v>39</v>
      </c>
      <c r="C51" s="13">
        <v>35</v>
      </c>
      <c r="D51" s="12">
        <v>3890</v>
      </c>
      <c r="E51" s="3"/>
      <c r="F51" s="12">
        <v>30.54</v>
      </c>
    </row>
    <row r="52" spans="1:7">
      <c r="A52" s="14"/>
    </row>
    <row r="53" spans="1:7">
      <c r="A53" s="7" t="s">
        <v>62</v>
      </c>
      <c r="B53" s="10" t="s">
        <v>23</v>
      </c>
      <c r="C53" s="11">
        <v>7</v>
      </c>
      <c r="D53" s="12">
        <v>210</v>
      </c>
      <c r="E53" s="12">
        <v>1.98</v>
      </c>
      <c r="F53" s="12">
        <v>13.85</v>
      </c>
      <c r="G53" s="7" t="s">
        <v>63</v>
      </c>
    </row>
    <row r="54" spans="1:7">
      <c r="A54" s="7" t="s">
        <v>62</v>
      </c>
      <c r="B54" s="10" t="s">
        <v>23</v>
      </c>
      <c r="C54" s="11">
        <v>3</v>
      </c>
      <c r="D54" s="12">
        <v>280</v>
      </c>
      <c r="E54" s="12">
        <v>2.64</v>
      </c>
      <c r="F54" s="12">
        <v>7.91</v>
      </c>
      <c r="G54" s="7" t="s">
        <v>64</v>
      </c>
    </row>
    <row r="55" spans="1:7">
      <c r="A55" s="7" t="s">
        <v>62</v>
      </c>
      <c r="B55" s="10" t="s">
        <v>23</v>
      </c>
      <c r="C55" s="11">
        <v>17</v>
      </c>
      <c r="D55" s="12">
        <v>1000</v>
      </c>
      <c r="E55" s="12">
        <v>9.42</v>
      </c>
      <c r="F55" s="12">
        <v>160.13999999999999</v>
      </c>
      <c r="G55" s="7" t="s">
        <v>65</v>
      </c>
    </row>
    <row r="56" spans="1:7">
      <c r="A56" s="7" t="s">
        <v>62</v>
      </c>
      <c r="B56" s="10" t="s">
        <v>23</v>
      </c>
      <c r="C56" s="11">
        <v>4</v>
      </c>
      <c r="D56" s="12">
        <v>1400</v>
      </c>
      <c r="E56" s="12">
        <v>13.19</v>
      </c>
      <c r="F56" s="12">
        <v>52.75</v>
      </c>
      <c r="G56" s="7" t="s">
        <v>66</v>
      </c>
    </row>
    <row r="57" spans="1:7">
      <c r="A57" s="3"/>
      <c r="B57" s="3" t="s">
        <v>39</v>
      </c>
      <c r="C57" s="13">
        <v>31</v>
      </c>
      <c r="D57" s="12">
        <v>24910</v>
      </c>
      <c r="E57" s="3"/>
      <c r="F57" s="12">
        <v>234.65</v>
      </c>
    </row>
    <row r="58" spans="1:7">
      <c r="A58" s="14"/>
    </row>
    <row r="59" spans="1:7">
      <c r="A59" s="7" t="s">
        <v>67</v>
      </c>
      <c r="B59" s="10" t="s">
        <v>23</v>
      </c>
      <c r="C59" s="11">
        <v>4</v>
      </c>
      <c r="D59" s="12">
        <v>170</v>
      </c>
      <c r="E59" s="12">
        <v>1.87</v>
      </c>
      <c r="F59" s="12">
        <v>7.47</v>
      </c>
      <c r="G59" s="7" t="s">
        <v>68</v>
      </c>
    </row>
    <row r="60" spans="1:7">
      <c r="A60" s="7" t="s">
        <v>67</v>
      </c>
      <c r="B60" s="10" t="s">
        <v>23</v>
      </c>
      <c r="C60" s="11">
        <v>4</v>
      </c>
      <c r="D60" s="12">
        <v>210</v>
      </c>
      <c r="E60" s="12">
        <v>2.31</v>
      </c>
      <c r="F60" s="12">
        <v>9.23</v>
      </c>
      <c r="G60" s="7" t="s">
        <v>69</v>
      </c>
    </row>
    <row r="61" spans="1:7">
      <c r="A61" s="7" t="s">
        <v>67</v>
      </c>
      <c r="B61" s="10" t="s">
        <v>23</v>
      </c>
      <c r="C61" s="11">
        <v>13</v>
      </c>
      <c r="D61" s="12">
        <v>220</v>
      </c>
      <c r="E61" s="12">
        <v>2.42</v>
      </c>
      <c r="F61" s="12">
        <v>31.43</v>
      </c>
      <c r="G61" s="7" t="s">
        <v>70</v>
      </c>
    </row>
    <row r="62" spans="1:7">
      <c r="A62" s="7" t="s">
        <v>67</v>
      </c>
      <c r="B62" s="10" t="s">
        <v>23</v>
      </c>
      <c r="C62" s="11">
        <v>16</v>
      </c>
      <c r="D62" s="12">
        <v>761</v>
      </c>
      <c r="E62" s="12">
        <v>8.3699999999999992</v>
      </c>
      <c r="F62" s="12">
        <v>133.86000000000001</v>
      </c>
      <c r="G62" s="7" t="s">
        <v>71</v>
      </c>
    </row>
    <row r="63" spans="1:7">
      <c r="A63" s="7" t="s">
        <v>67</v>
      </c>
      <c r="B63" s="10" t="s">
        <v>23</v>
      </c>
      <c r="C63" s="11">
        <v>1</v>
      </c>
      <c r="D63" s="12">
        <v>780</v>
      </c>
      <c r="E63" s="12">
        <v>8.57</v>
      </c>
      <c r="F63" s="12">
        <v>8.57</v>
      </c>
      <c r="G63" s="7" t="s">
        <v>72</v>
      </c>
    </row>
    <row r="64" spans="1:7">
      <c r="A64" s="7" t="s">
        <v>67</v>
      </c>
      <c r="B64" s="10" t="s">
        <v>23</v>
      </c>
      <c r="C64" s="11">
        <v>2</v>
      </c>
      <c r="D64" s="12">
        <v>1185</v>
      </c>
      <c r="E64" s="12">
        <v>12.93</v>
      </c>
      <c r="F64" s="12">
        <v>25.86</v>
      </c>
      <c r="G64" s="7" t="s">
        <v>73</v>
      </c>
    </row>
    <row r="65" spans="1:7">
      <c r="A65" s="7" t="s">
        <v>67</v>
      </c>
      <c r="B65" s="10" t="s">
        <v>23</v>
      </c>
      <c r="C65" s="11">
        <v>2</v>
      </c>
      <c r="D65" s="12">
        <v>1196</v>
      </c>
      <c r="E65" s="12">
        <v>13.05</v>
      </c>
      <c r="F65" s="12">
        <v>26.1</v>
      </c>
      <c r="G65" s="7" t="s">
        <v>74</v>
      </c>
    </row>
    <row r="66" spans="1:7">
      <c r="A66" s="3"/>
      <c r="B66" s="3" t="s">
        <v>39</v>
      </c>
      <c r="C66" s="13">
        <v>42</v>
      </c>
      <c r="D66" s="12">
        <v>22098</v>
      </c>
      <c r="E66" s="3"/>
      <c r="F66" s="12">
        <v>242.53</v>
      </c>
    </row>
    <row r="67" spans="1:7">
      <c r="A67" s="14"/>
    </row>
    <row r="68" spans="1:7">
      <c r="A68" s="7" t="s">
        <v>75</v>
      </c>
      <c r="B68" s="10" t="s">
        <v>23</v>
      </c>
      <c r="C68" s="11">
        <v>28</v>
      </c>
      <c r="D68" s="12">
        <v>160</v>
      </c>
      <c r="E68" s="12">
        <v>1.88</v>
      </c>
      <c r="F68" s="12">
        <v>52.75</v>
      </c>
      <c r="G68" s="7" t="s">
        <v>76</v>
      </c>
    </row>
    <row r="69" spans="1:7">
      <c r="A69" s="3"/>
      <c r="B69" s="3" t="s">
        <v>39</v>
      </c>
      <c r="C69" s="13">
        <v>28</v>
      </c>
      <c r="D69" s="12">
        <v>4480</v>
      </c>
      <c r="E69" s="3"/>
      <c r="F69" s="12">
        <v>52.75</v>
      </c>
    </row>
    <row r="70" spans="1:7">
      <c r="A70" s="14"/>
    </row>
    <row r="71" spans="1:7">
      <c r="A71" s="7" t="s">
        <v>77</v>
      </c>
      <c r="B71" s="10" t="s">
        <v>23</v>
      </c>
      <c r="C71" s="11">
        <v>19</v>
      </c>
      <c r="D71" s="12">
        <v>180</v>
      </c>
      <c r="E71" s="12">
        <v>2.34</v>
      </c>
      <c r="F71" s="12">
        <v>44.38</v>
      </c>
      <c r="G71" s="7" t="s">
        <v>78</v>
      </c>
    </row>
    <row r="72" spans="1:7">
      <c r="A72" s="3"/>
      <c r="B72" s="3" t="s">
        <v>39</v>
      </c>
      <c r="C72" s="13">
        <v>19</v>
      </c>
      <c r="D72" s="12">
        <v>3420</v>
      </c>
      <c r="E72" s="3"/>
      <c r="F72" s="12">
        <v>44.38</v>
      </c>
    </row>
    <row r="73" spans="1:7">
      <c r="A73" s="14"/>
    </row>
    <row r="74" spans="1:7">
      <c r="A74" s="7" t="s">
        <v>79</v>
      </c>
      <c r="B74" s="10" t="s">
        <v>23</v>
      </c>
      <c r="C74" s="11">
        <v>2</v>
      </c>
      <c r="D74" s="12">
        <v>310</v>
      </c>
      <c r="E74" s="12">
        <v>4.09</v>
      </c>
      <c r="F74" s="12">
        <v>8.18</v>
      </c>
      <c r="G74" s="7" t="s">
        <v>80</v>
      </c>
    </row>
    <row r="75" spans="1:7">
      <c r="A75" s="3"/>
      <c r="B75" s="3" t="s">
        <v>39</v>
      </c>
      <c r="C75" s="13">
        <v>2</v>
      </c>
      <c r="D75" s="12">
        <v>620</v>
      </c>
      <c r="E75" s="3"/>
      <c r="F75" s="12">
        <v>8.18</v>
      </c>
    </row>
    <row r="76" spans="1:7">
      <c r="A76" s="14"/>
    </row>
    <row r="77" spans="1:7">
      <c r="A77" s="7" t="s">
        <v>81</v>
      </c>
      <c r="B77" s="10" t="s">
        <v>23</v>
      </c>
      <c r="C77" s="11">
        <v>2</v>
      </c>
      <c r="D77" s="12">
        <v>230</v>
      </c>
      <c r="E77" s="12">
        <v>3.88</v>
      </c>
      <c r="F77" s="12">
        <v>7.76</v>
      </c>
      <c r="G77" s="7" t="s">
        <v>82</v>
      </c>
    </row>
    <row r="78" spans="1:7">
      <c r="A78" s="3"/>
      <c r="B78" s="3" t="s">
        <v>39</v>
      </c>
      <c r="C78" s="13">
        <v>2</v>
      </c>
      <c r="D78" s="12">
        <v>460</v>
      </c>
      <c r="E78" s="3"/>
      <c r="F78" s="12">
        <v>7.76</v>
      </c>
    </row>
    <row r="79" spans="1:7">
      <c r="A79" s="14"/>
    </row>
    <row r="80" spans="1:7">
      <c r="A80" s="7" t="s">
        <v>83</v>
      </c>
      <c r="B80" s="10" t="s">
        <v>23</v>
      </c>
      <c r="C80" s="11">
        <v>4</v>
      </c>
      <c r="D80" s="12">
        <v>200</v>
      </c>
      <c r="E80" s="12">
        <v>1.7</v>
      </c>
      <c r="F80" s="12">
        <v>6.78</v>
      </c>
      <c r="G80" s="7" t="s">
        <v>84</v>
      </c>
    </row>
    <row r="81" spans="1:7">
      <c r="A81" s="3"/>
      <c r="B81" s="3" t="s">
        <v>39</v>
      </c>
      <c r="C81" s="13">
        <v>4</v>
      </c>
      <c r="D81" s="12">
        <v>800</v>
      </c>
      <c r="E81" s="3"/>
      <c r="F81" s="12">
        <v>6.78</v>
      </c>
    </row>
    <row r="82" spans="1:7">
      <c r="A82" s="14"/>
    </row>
    <row r="83" spans="1:7">
      <c r="A83" s="7" t="s">
        <v>85</v>
      </c>
      <c r="B83" s="10" t="s">
        <v>23</v>
      </c>
      <c r="C83" s="11">
        <v>24</v>
      </c>
      <c r="D83" s="12">
        <v>150</v>
      </c>
      <c r="E83" s="12">
        <v>1.7</v>
      </c>
      <c r="F83" s="12">
        <v>40.69</v>
      </c>
      <c r="G83" s="7" t="s">
        <v>86</v>
      </c>
    </row>
    <row r="84" spans="1:7">
      <c r="A84" s="3"/>
      <c r="B84" s="3" t="s">
        <v>39</v>
      </c>
      <c r="C84" s="13">
        <v>24</v>
      </c>
      <c r="D84" s="12">
        <v>3600</v>
      </c>
      <c r="E84" s="3"/>
      <c r="F84" s="12">
        <v>40.69</v>
      </c>
    </row>
    <row r="85" spans="1:7">
      <c r="A85" s="14"/>
    </row>
    <row r="86" spans="1:7">
      <c r="A86" s="7" t="s">
        <v>87</v>
      </c>
      <c r="B86" s="10" t="s">
        <v>23</v>
      </c>
      <c r="C86" s="11">
        <v>32</v>
      </c>
      <c r="D86" s="12">
        <v>250</v>
      </c>
      <c r="E86" s="12">
        <v>4</v>
      </c>
      <c r="F86" s="12">
        <v>128.11000000000001</v>
      </c>
      <c r="G86" s="7" t="s">
        <v>88</v>
      </c>
    </row>
    <row r="87" spans="1:7">
      <c r="A87" s="3"/>
      <c r="B87" s="3" t="s">
        <v>39</v>
      </c>
      <c r="C87" s="13">
        <v>32</v>
      </c>
      <c r="D87" s="12">
        <v>8000</v>
      </c>
      <c r="E87" s="3"/>
      <c r="F87" s="12">
        <v>128.11000000000001</v>
      </c>
    </row>
    <row r="88" spans="1:7">
      <c r="A88" s="14"/>
    </row>
    <row r="89" spans="1:7">
      <c r="A89" s="7" t="s">
        <v>89</v>
      </c>
      <c r="B89" s="10" t="s">
        <v>23</v>
      </c>
      <c r="C89" s="11">
        <v>10</v>
      </c>
      <c r="D89" s="12">
        <v>520</v>
      </c>
      <c r="E89" s="12">
        <v>9.33</v>
      </c>
      <c r="F89" s="12">
        <v>93.26</v>
      </c>
      <c r="G89" s="7" t="s">
        <v>90</v>
      </c>
    </row>
    <row r="90" spans="1:7">
      <c r="A90" s="3"/>
      <c r="B90" s="3" t="s">
        <v>39</v>
      </c>
      <c r="C90" s="13">
        <v>10</v>
      </c>
      <c r="D90" s="12">
        <v>5200</v>
      </c>
      <c r="E90" s="3"/>
      <c r="F90" s="12">
        <v>93.26</v>
      </c>
    </row>
    <row r="91" spans="1:7">
      <c r="A91" s="14"/>
    </row>
    <row r="92" spans="1:7">
      <c r="A92" s="7" t="s">
        <v>91</v>
      </c>
      <c r="B92" s="10" t="s">
        <v>23</v>
      </c>
      <c r="C92" s="11">
        <v>1</v>
      </c>
      <c r="D92" s="12">
        <v>248</v>
      </c>
      <c r="E92" s="12">
        <v>2.0299999999999998</v>
      </c>
      <c r="F92" s="12">
        <v>2.0299999999999998</v>
      </c>
      <c r="G92" s="7" t="s">
        <v>92</v>
      </c>
    </row>
    <row r="93" spans="1:7">
      <c r="A93" s="3"/>
      <c r="B93" s="3" t="s">
        <v>39</v>
      </c>
      <c r="C93" s="13">
        <v>1</v>
      </c>
      <c r="D93" s="12">
        <v>248</v>
      </c>
      <c r="E93" s="3"/>
      <c r="F93" s="12">
        <v>2.0299999999999998</v>
      </c>
    </row>
    <row r="94" spans="1:7">
      <c r="A94" s="14"/>
    </row>
    <row r="95" spans="1:7">
      <c r="A95" s="7" t="s">
        <v>93</v>
      </c>
      <c r="B95" s="10" t="s">
        <v>23</v>
      </c>
      <c r="C95" s="11">
        <v>48</v>
      </c>
      <c r="D95" s="12">
        <v>140</v>
      </c>
      <c r="E95" s="12">
        <v>1.45</v>
      </c>
      <c r="F95" s="12">
        <v>69.63</v>
      </c>
      <c r="G95" s="7" t="s">
        <v>94</v>
      </c>
    </row>
    <row r="96" spans="1:7">
      <c r="A96" s="3"/>
      <c r="B96" s="3" t="s">
        <v>39</v>
      </c>
      <c r="C96" s="13">
        <v>48</v>
      </c>
      <c r="D96" s="12">
        <v>6720</v>
      </c>
      <c r="E96" s="3"/>
      <c r="F96" s="12">
        <v>69.63</v>
      </c>
    </row>
    <row r="97" spans="1:7">
      <c r="A97" s="14"/>
    </row>
    <row r="98" spans="1:7">
      <c r="A98" s="7" t="s">
        <v>95</v>
      </c>
      <c r="B98" s="10" t="s">
        <v>23</v>
      </c>
      <c r="C98" s="11">
        <v>5</v>
      </c>
      <c r="D98" s="12">
        <v>120</v>
      </c>
      <c r="E98" s="12">
        <v>1.41</v>
      </c>
      <c r="F98" s="12">
        <v>7.06</v>
      </c>
      <c r="G98" s="7" t="s">
        <v>96</v>
      </c>
    </row>
    <row r="99" spans="1:7">
      <c r="A99" s="7" t="s">
        <v>95</v>
      </c>
      <c r="B99" s="10" t="s">
        <v>23</v>
      </c>
      <c r="C99" s="11">
        <v>18</v>
      </c>
      <c r="D99" s="12">
        <v>140</v>
      </c>
      <c r="E99" s="12">
        <v>1.65</v>
      </c>
      <c r="F99" s="12">
        <v>29.67</v>
      </c>
      <c r="G99" s="7" t="s">
        <v>97</v>
      </c>
    </row>
    <row r="100" spans="1:7">
      <c r="A100" s="3"/>
      <c r="B100" s="3" t="s">
        <v>39</v>
      </c>
      <c r="C100" s="13">
        <v>23</v>
      </c>
      <c r="D100" s="12">
        <v>3120</v>
      </c>
      <c r="E100" s="3"/>
      <c r="F100" s="12">
        <v>36.74</v>
      </c>
    </row>
    <row r="101" spans="1:7">
      <c r="A101" s="14"/>
    </row>
    <row r="102" spans="1:7">
      <c r="A102" s="7" t="s">
        <v>98</v>
      </c>
      <c r="B102" s="10" t="s">
        <v>23</v>
      </c>
      <c r="C102" s="11">
        <v>19</v>
      </c>
      <c r="D102" s="12">
        <v>120</v>
      </c>
      <c r="E102" s="12">
        <v>1.7</v>
      </c>
      <c r="F102" s="12">
        <v>32.22</v>
      </c>
      <c r="G102" s="7" t="s">
        <v>99</v>
      </c>
    </row>
    <row r="103" spans="1:7">
      <c r="A103" s="7" t="s">
        <v>98</v>
      </c>
      <c r="B103" s="10" t="s">
        <v>23</v>
      </c>
      <c r="C103" s="11">
        <v>168</v>
      </c>
      <c r="D103" s="12">
        <v>140</v>
      </c>
      <c r="E103" s="12">
        <v>1.98</v>
      </c>
      <c r="F103" s="12">
        <v>332.34</v>
      </c>
      <c r="G103" s="7" t="s">
        <v>100</v>
      </c>
    </row>
    <row r="104" spans="1:7">
      <c r="A104" s="7" t="s">
        <v>98</v>
      </c>
      <c r="B104" s="10" t="s">
        <v>23</v>
      </c>
      <c r="C104" s="11">
        <v>2</v>
      </c>
      <c r="D104" s="12">
        <v>150</v>
      </c>
      <c r="E104" s="12">
        <v>2.12</v>
      </c>
      <c r="F104" s="12">
        <v>4.24</v>
      </c>
      <c r="G104" s="7" t="s">
        <v>101</v>
      </c>
    </row>
    <row r="105" spans="1:7">
      <c r="A105" s="3"/>
      <c r="B105" s="3" t="s">
        <v>39</v>
      </c>
      <c r="C105" s="13">
        <v>189</v>
      </c>
      <c r="D105" s="12">
        <v>26100</v>
      </c>
      <c r="E105" s="3"/>
      <c r="F105" s="12">
        <v>368.79</v>
      </c>
    </row>
    <row r="106" spans="1:7">
      <c r="A106" s="14"/>
    </row>
    <row r="107" spans="1:7">
      <c r="A107" s="7" t="s">
        <v>102</v>
      </c>
      <c r="B107" s="10" t="s">
        <v>23</v>
      </c>
      <c r="C107" s="11">
        <v>20</v>
      </c>
      <c r="D107" s="12">
        <v>140</v>
      </c>
      <c r="E107" s="12">
        <v>2.31</v>
      </c>
      <c r="F107" s="12">
        <v>46.16</v>
      </c>
      <c r="G107" s="7" t="s">
        <v>103</v>
      </c>
    </row>
    <row r="108" spans="1:7">
      <c r="A108" s="7" t="s">
        <v>102</v>
      </c>
      <c r="B108" s="10" t="s">
        <v>23</v>
      </c>
      <c r="C108" s="11">
        <v>1</v>
      </c>
      <c r="D108" s="12">
        <v>160</v>
      </c>
      <c r="E108" s="12">
        <v>2.64</v>
      </c>
      <c r="F108" s="12">
        <v>2.64</v>
      </c>
      <c r="G108" s="7" t="s">
        <v>104</v>
      </c>
    </row>
    <row r="109" spans="1:7">
      <c r="A109" s="7" t="s">
        <v>102</v>
      </c>
      <c r="B109" s="10" t="s">
        <v>23</v>
      </c>
      <c r="C109" s="11">
        <v>22</v>
      </c>
      <c r="D109" s="12">
        <v>211</v>
      </c>
      <c r="E109" s="12">
        <v>3.27</v>
      </c>
      <c r="F109" s="12">
        <v>71.900000000000006</v>
      </c>
      <c r="G109" s="7" t="s">
        <v>105</v>
      </c>
    </row>
    <row r="110" spans="1:7">
      <c r="A110" s="7" t="s">
        <v>102</v>
      </c>
      <c r="B110" s="10" t="s">
        <v>23</v>
      </c>
      <c r="C110" s="11">
        <v>2</v>
      </c>
      <c r="D110" s="12">
        <v>215</v>
      </c>
      <c r="E110" s="12">
        <v>3.54</v>
      </c>
      <c r="F110" s="12">
        <v>7.09</v>
      </c>
      <c r="G110" s="7" t="s">
        <v>106</v>
      </c>
    </row>
    <row r="111" spans="1:7">
      <c r="A111" s="7" t="s">
        <v>102</v>
      </c>
      <c r="B111" s="10" t="s">
        <v>23</v>
      </c>
      <c r="C111" s="11">
        <v>12</v>
      </c>
      <c r="D111" s="12">
        <v>260</v>
      </c>
      <c r="E111" s="12">
        <v>3.79</v>
      </c>
      <c r="F111" s="12">
        <v>45.46</v>
      </c>
      <c r="G111" s="7" t="s">
        <v>107</v>
      </c>
    </row>
    <row r="112" spans="1:7">
      <c r="A112" s="7" t="s">
        <v>102</v>
      </c>
      <c r="B112" s="10" t="s">
        <v>23</v>
      </c>
      <c r="C112" s="11">
        <v>14</v>
      </c>
      <c r="D112" s="12">
        <v>313</v>
      </c>
      <c r="E112" s="12">
        <v>5.12</v>
      </c>
      <c r="F112" s="12">
        <v>71.69</v>
      </c>
      <c r="G112" s="7" t="s">
        <v>108</v>
      </c>
    </row>
    <row r="113" spans="1:7">
      <c r="A113" s="3"/>
      <c r="B113" s="3" t="s">
        <v>39</v>
      </c>
      <c r="C113" s="13">
        <v>71</v>
      </c>
      <c r="D113" s="12">
        <v>15534</v>
      </c>
      <c r="E113" s="3"/>
      <c r="F113" s="12">
        <v>244.93</v>
      </c>
    </row>
    <row r="114" spans="1:7">
      <c r="A114" s="14"/>
    </row>
    <row r="115" spans="1:7">
      <c r="A115" s="7" t="s">
        <v>109</v>
      </c>
      <c r="B115" s="10" t="s">
        <v>23</v>
      </c>
      <c r="C115" s="11">
        <v>16</v>
      </c>
      <c r="D115" s="12">
        <v>275</v>
      </c>
      <c r="E115" s="12">
        <v>5.5</v>
      </c>
      <c r="F115" s="12">
        <v>88.08</v>
      </c>
      <c r="G115" s="7" t="s">
        <v>110</v>
      </c>
    </row>
    <row r="116" spans="1:7">
      <c r="A116" s="3"/>
      <c r="B116" s="3" t="s">
        <v>39</v>
      </c>
      <c r="C116" s="13">
        <v>16</v>
      </c>
      <c r="D116" s="12">
        <v>4400</v>
      </c>
      <c r="E116" s="3"/>
      <c r="F116" s="12">
        <v>88.08</v>
      </c>
    </row>
    <row r="117" spans="1:7">
      <c r="A117" s="14"/>
    </row>
    <row r="118" spans="1:7">
      <c r="A118" s="7" t="s">
        <v>111</v>
      </c>
      <c r="B118" s="10" t="s">
        <v>23</v>
      </c>
      <c r="C118" s="11">
        <v>2</v>
      </c>
      <c r="D118" s="12">
        <v>265</v>
      </c>
      <c r="E118" s="12">
        <v>5.62</v>
      </c>
      <c r="F118" s="12">
        <v>11.23</v>
      </c>
      <c r="G118" s="7" t="s">
        <v>112</v>
      </c>
    </row>
    <row r="119" spans="1:7">
      <c r="A119" s="7" t="s">
        <v>111</v>
      </c>
      <c r="B119" s="10" t="s">
        <v>23</v>
      </c>
      <c r="C119" s="11">
        <v>24</v>
      </c>
      <c r="D119" s="12">
        <v>340</v>
      </c>
      <c r="E119" s="12">
        <v>7.21</v>
      </c>
      <c r="F119" s="12">
        <v>172.95</v>
      </c>
      <c r="G119" s="7" t="s">
        <v>113</v>
      </c>
    </row>
    <row r="120" spans="1:7">
      <c r="A120" s="3"/>
      <c r="B120" s="3" t="s">
        <v>39</v>
      </c>
      <c r="C120" s="13">
        <v>26</v>
      </c>
      <c r="D120" s="12">
        <v>8690</v>
      </c>
      <c r="E120" s="3"/>
      <c r="F120" s="12">
        <v>184.18</v>
      </c>
    </row>
    <row r="121" spans="1:7">
      <c r="A121" s="14"/>
    </row>
    <row r="122" spans="1:7">
      <c r="A122" s="7" t="s">
        <v>114</v>
      </c>
      <c r="B122" s="10" t="s">
        <v>23</v>
      </c>
      <c r="C122" s="11">
        <v>2</v>
      </c>
      <c r="D122" s="12">
        <v>200</v>
      </c>
      <c r="E122" s="12">
        <v>4.71</v>
      </c>
      <c r="F122" s="12">
        <v>9.42</v>
      </c>
      <c r="G122" s="7" t="s">
        <v>115</v>
      </c>
    </row>
    <row r="123" spans="1:7">
      <c r="A123" s="7" t="s">
        <v>114</v>
      </c>
      <c r="B123" s="10" t="s">
        <v>23</v>
      </c>
      <c r="C123" s="11">
        <v>28</v>
      </c>
      <c r="D123" s="12">
        <v>265</v>
      </c>
      <c r="E123" s="12">
        <v>6.24</v>
      </c>
      <c r="F123" s="12">
        <v>174.74</v>
      </c>
      <c r="G123" s="7" t="s">
        <v>116</v>
      </c>
    </row>
    <row r="124" spans="1:7">
      <c r="A124" s="7" t="s">
        <v>114</v>
      </c>
      <c r="B124" s="10" t="s">
        <v>23</v>
      </c>
      <c r="C124" s="11">
        <v>4</v>
      </c>
      <c r="D124" s="12">
        <v>350</v>
      </c>
      <c r="E124" s="12">
        <v>8.24</v>
      </c>
      <c r="F124" s="12">
        <v>32.97</v>
      </c>
      <c r="G124" s="7" t="s">
        <v>117</v>
      </c>
    </row>
    <row r="125" spans="1:7">
      <c r="A125" s="7" t="s">
        <v>114</v>
      </c>
      <c r="B125" s="10" t="s">
        <v>23</v>
      </c>
      <c r="C125" s="11">
        <v>8</v>
      </c>
      <c r="D125" s="12">
        <v>390</v>
      </c>
      <c r="E125" s="12">
        <v>9.18</v>
      </c>
      <c r="F125" s="12">
        <v>73.48</v>
      </c>
      <c r="G125" s="7" t="s">
        <v>118</v>
      </c>
    </row>
    <row r="126" spans="1:7">
      <c r="A126" s="3"/>
      <c r="B126" s="3" t="s">
        <v>39</v>
      </c>
      <c r="C126" s="13">
        <v>42</v>
      </c>
      <c r="D126" s="12">
        <v>12340</v>
      </c>
      <c r="E126" s="3"/>
      <c r="F126" s="12">
        <v>290.61</v>
      </c>
    </row>
    <row r="127" spans="1:7">
      <c r="A127" s="14"/>
    </row>
    <row r="128" spans="1:7">
      <c r="A128" s="7" t="s">
        <v>119</v>
      </c>
      <c r="B128" s="10" t="s">
        <v>23</v>
      </c>
      <c r="C128" s="11">
        <v>1</v>
      </c>
      <c r="D128" s="12">
        <v>390</v>
      </c>
      <c r="E128" s="12">
        <v>13.78</v>
      </c>
      <c r="F128" s="12">
        <v>13.78</v>
      </c>
      <c r="G128" s="7" t="s">
        <v>120</v>
      </c>
    </row>
    <row r="129" spans="1:7">
      <c r="A129" s="3"/>
      <c r="B129" s="3" t="s">
        <v>39</v>
      </c>
      <c r="C129" s="13">
        <v>1</v>
      </c>
      <c r="D129" s="12">
        <v>390</v>
      </c>
      <c r="E129" s="3"/>
      <c r="F129" s="12">
        <v>13.78</v>
      </c>
    </row>
    <row r="130" spans="1:7">
      <c r="A130" s="14"/>
    </row>
    <row r="131" spans="1:7">
      <c r="A131" s="7" t="s">
        <v>121</v>
      </c>
      <c r="B131" s="10" t="s">
        <v>23</v>
      </c>
      <c r="C131" s="11">
        <v>16</v>
      </c>
      <c r="D131" s="12">
        <v>240</v>
      </c>
      <c r="E131" s="12">
        <v>4.33</v>
      </c>
      <c r="F131" s="12">
        <v>69.33</v>
      </c>
      <c r="G131" s="7" t="s">
        <v>122</v>
      </c>
    </row>
    <row r="132" spans="1:7">
      <c r="A132" s="3"/>
      <c r="B132" s="3" t="s">
        <v>39</v>
      </c>
      <c r="C132" s="13">
        <v>16</v>
      </c>
      <c r="D132" s="12">
        <v>3840</v>
      </c>
      <c r="E132" s="3"/>
      <c r="F132" s="12">
        <v>69.33</v>
      </c>
    </row>
    <row r="133" spans="1:7">
      <c r="A133" s="14"/>
    </row>
    <row r="134" spans="1:7">
      <c r="A134" s="7" t="s">
        <v>123</v>
      </c>
      <c r="B134" s="10" t="s">
        <v>23</v>
      </c>
      <c r="C134" s="11">
        <v>2</v>
      </c>
      <c r="D134" s="12">
        <v>300</v>
      </c>
      <c r="E134" s="12">
        <v>11.78</v>
      </c>
      <c r="F134" s="12">
        <v>23.55</v>
      </c>
      <c r="G134" s="7" t="s">
        <v>124</v>
      </c>
    </row>
    <row r="135" spans="1:7">
      <c r="A135" s="7" t="s">
        <v>123</v>
      </c>
      <c r="B135" s="10" t="s">
        <v>23</v>
      </c>
      <c r="C135" s="11">
        <v>16</v>
      </c>
      <c r="D135" s="12">
        <v>450</v>
      </c>
      <c r="E135" s="12">
        <v>17.66</v>
      </c>
      <c r="F135" s="12">
        <v>282.60000000000002</v>
      </c>
      <c r="G135" s="7" t="s">
        <v>125</v>
      </c>
    </row>
    <row r="136" spans="1:7">
      <c r="A136" s="3"/>
      <c r="B136" s="3" t="s">
        <v>39</v>
      </c>
      <c r="C136" s="13">
        <v>18</v>
      </c>
      <c r="D136" s="12">
        <v>7800</v>
      </c>
      <c r="E136" s="3"/>
      <c r="F136" s="12">
        <v>306.14999999999998</v>
      </c>
    </row>
    <row r="137" spans="1:7">
      <c r="A137" s="14"/>
    </row>
    <row r="138" spans="1:7">
      <c r="A138" s="7" t="s">
        <v>126</v>
      </c>
      <c r="B138" s="10" t="s">
        <v>23</v>
      </c>
      <c r="C138" s="11">
        <v>2</v>
      </c>
      <c r="D138" s="12">
        <v>4695</v>
      </c>
      <c r="E138" s="12">
        <v>398.04</v>
      </c>
      <c r="F138" s="12">
        <v>796.08</v>
      </c>
      <c r="G138" s="7" t="s">
        <v>127</v>
      </c>
    </row>
    <row r="139" spans="1:7">
      <c r="A139" s="7" t="s">
        <v>126</v>
      </c>
      <c r="B139" s="10" t="s">
        <v>23</v>
      </c>
      <c r="C139" s="11">
        <v>9</v>
      </c>
      <c r="D139" s="12">
        <v>4800</v>
      </c>
      <c r="E139" s="12">
        <v>406.94</v>
      </c>
      <c r="F139" s="12">
        <v>3662.5</v>
      </c>
      <c r="G139" s="7" t="s">
        <v>128</v>
      </c>
    </row>
    <row r="140" spans="1:7">
      <c r="A140" s="7" t="s">
        <v>126</v>
      </c>
      <c r="B140" s="10" t="s">
        <v>23</v>
      </c>
      <c r="C140" s="11">
        <v>2</v>
      </c>
      <c r="D140" s="12">
        <v>5000</v>
      </c>
      <c r="E140" s="12">
        <v>419.07</v>
      </c>
      <c r="F140" s="12">
        <v>838.15</v>
      </c>
      <c r="G140" s="7" t="s">
        <v>129</v>
      </c>
    </row>
    <row r="141" spans="1:7">
      <c r="A141" s="3"/>
      <c r="B141" s="3" t="s">
        <v>39</v>
      </c>
      <c r="C141" s="13">
        <v>13</v>
      </c>
      <c r="D141" s="12">
        <v>62590</v>
      </c>
      <c r="E141" s="3"/>
      <c r="F141" s="12">
        <v>5296.73</v>
      </c>
    </row>
    <row r="142" spans="1:7">
      <c r="A142" s="14"/>
    </row>
    <row r="143" spans="1:7">
      <c r="A143" s="7" t="s">
        <v>130</v>
      </c>
      <c r="B143" s="10" t="s">
        <v>23</v>
      </c>
      <c r="C143" s="11">
        <v>16</v>
      </c>
      <c r="D143" s="12">
        <v>403</v>
      </c>
      <c r="E143" s="12">
        <v>23.71</v>
      </c>
      <c r="F143" s="12">
        <v>379.35</v>
      </c>
      <c r="G143" s="7" t="s">
        <v>131</v>
      </c>
    </row>
    <row r="144" spans="1:7">
      <c r="A144" s="3"/>
      <c r="B144" s="3" t="s">
        <v>39</v>
      </c>
      <c r="C144" s="13">
        <v>16</v>
      </c>
      <c r="D144" s="12">
        <v>6448</v>
      </c>
      <c r="E144" s="3"/>
      <c r="F144" s="12">
        <v>379.35</v>
      </c>
    </row>
    <row r="145" spans="1:7">
      <c r="A145" s="14"/>
    </row>
    <row r="146" spans="1:7">
      <c r="A146" s="7" t="s">
        <v>132</v>
      </c>
      <c r="B146" s="10" t="s">
        <v>23</v>
      </c>
      <c r="C146" s="11">
        <v>2</v>
      </c>
      <c r="D146" s="12">
        <v>150</v>
      </c>
      <c r="E146" s="12">
        <v>4.24</v>
      </c>
      <c r="F146" s="12">
        <v>8.48</v>
      </c>
      <c r="G146" s="7" t="s">
        <v>133</v>
      </c>
    </row>
    <row r="147" spans="1:7">
      <c r="A147" s="3"/>
      <c r="B147" s="3" t="s">
        <v>39</v>
      </c>
      <c r="C147" s="13">
        <v>2</v>
      </c>
      <c r="D147" s="12">
        <v>300</v>
      </c>
      <c r="E147" s="3"/>
      <c r="F147" s="12">
        <v>8.48</v>
      </c>
    </row>
    <row r="148" spans="1:7">
      <c r="A148" s="14"/>
    </row>
    <row r="149" spans="1:7">
      <c r="A149" s="7" t="s">
        <v>134</v>
      </c>
      <c r="B149" s="10" t="s">
        <v>23</v>
      </c>
      <c r="C149" s="11">
        <v>22</v>
      </c>
      <c r="D149" s="12">
        <v>190</v>
      </c>
      <c r="E149" s="12">
        <v>6.71</v>
      </c>
      <c r="F149" s="12">
        <v>147.66</v>
      </c>
      <c r="G149" s="7" t="s">
        <v>135</v>
      </c>
    </row>
    <row r="150" spans="1:7">
      <c r="A150" s="3"/>
      <c r="B150" s="3" t="s">
        <v>39</v>
      </c>
      <c r="C150" s="13">
        <v>22</v>
      </c>
      <c r="D150" s="12">
        <v>4180</v>
      </c>
      <c r="E150" s="3"/>
      <c r="F150" s="12">
        <v>147.66</v>
      </c>
    </row>
    <row r="151" spans="1:7">
      <c r="A151" s="14"/>
    </row>
    <row r="152" spans="1:7">
      <c r="A152" s="7" t="s">
        <v>136</v>
      </c>
      <c r="B152" s="10" t="s">
        <v>23</v>
      </c>
      <c r="C152" s="11">
        <v>2</v>
      </c>
      <c r="D152" s="12">
        <v>4695</v>
      </c>
      <c r="E152" s="12">
        <v>322.49</v>
      </c>
      <c r="F152" s="12">
        <v>644.98</v>
      </c>
      <c r="G152" s="7" t="s">
        <v>137</v>
      </c>
    </row>
    <row r="153" spans="1:7">
      <c r="A153" s="7" t="s">
        <v>136</v>
      </c>
      <c r="B153" s="10" t="s">
        <v>23</v>
      </c>
      <c r="C153" s="11">
        <v>9</v>
      </c>
      <c r="D153" s="12">
        <v>4800</v>
      </c>
      <c r="E153" s="12">
        <v>329.7</v>
      </c>
      <c r="F153" s="12">
        <v>2967.3</v>
      </c>
      <c r="G153" s="7" t="s">
        <v>138</v>
      </c>
    </row>
    <row r="154" spans="1:7">
      <c r="A154" s="7" t="s">
        <v>136</v>
      </c>
      <c r="B154" s="10" t="s">
        <v>23</v>
      </c>
      <c r="C154" s="11">
        <v>2</v>
      </c>
      <c r="D154" s="12">
        <v>5010</v>
      </c>
      <c r="E154" s="12">
        <v>344.12</v>
      </c>
      <c r="F154" s="12">
        <v>688.25</v>
      </c>
      <c r="G154" s="7" t="s">
        <v>139</v>
      </c>
    </row>
    <row r="155" spans="1:7">
      <c r="A155" s="3"/>
      <c r="B155" s="3" t="s">
        <v>39</v>
      </c>
      <c r="C155" s="13">
        <v>13</v>
      </c>
      <c r="D155" s="12">
        <v>62610</v>
      </c>
      <c r="E155" s="3"/>
      <c r="F155" s="12">
        <v>4300.5200000000004</v>
      </c>
    </row>
    <row r="156" spans="1:7">
      <c r="A156" s="14"/>
    </row>
    <row r="157" spans="1:7">
      <c r="A157" s="7" t="s">
        <v>140</v>
      </c>
      <c r="B157" s="10" t="s">
        <v>23</v>
      </c>
      <c r="C157" s="11">
        <v>16</v>
      </c>
      <c r="D157" s="12">
        <v>14935</v>
      </c>
      <c r="E157" s="12">
        <v>2117.38</v>
      </c>
      <c r="F157" s="12">
        <v>33878.050000000003</v>
      </c>
      <c r="G157" s="7" t="s">
        <v>141</v>
      </c>
    </row>
    <row r="158" spans="1:7">
      <c r="A158" s="3"/>
      <c r="B158" s="3" t="s">
        <v>39</v>
      </c>
      <c r="C158" s="13">
        <v>16</v>
      </c>
      <c r="D158" s="12">
        <v>238960</v>
      </c>
      <c r="E158" s="3"/>
      <c r="F158" s="12">
        <v>33878.050000000003</v>
      </c>
    </row>
    <row r="159" spans="1:7">
      <c r="A159" s="14"/>
    </row>
    <row r="160" spans="1:7">
      <c r="A160" s="7" t="s">
        <v>142</v>
      </c>
      <c r="B160" s="10" t="s">
        <v>23</v>
      </c>
      <c r="C160" s="11">
        <v>2</v>
      </c>
      <c r="D160" s="12">
        <v>4700</v>
      </c>
      <c r="E160" s="12">
        <v>169.35</v>
      </c>
      <c r="F160" s="12">
        <v>338.7</v>
      </c>
      <c r="G160" s="7" t="s">
        <v>143</v>
      </c>
    </row>
    <row r="161" spans="1:7">
      <c r="A161" s="7" t="s">
        <v>142</v>
      </c>
      <c r="B161" s="10" t="s">
        <v>23</v>
      </c>
      <c r="C161" s="11">
        <v>8</v>
      </c>
      <c r="D161" s="12">
        <v>4780</v>
      </c>
      <c r="E161" s="12">
        <v>172.23</v>
      </c>
      <c r="F161" s="12">
        <v>1377.84</v>
      </c>
      <c r="G161" s="7" t="s">
        <v>144</v>
      </c>
    </row>
    <row r="162" spans="1:7">
      <c r="A162" s="7" t="s">
        <v>142</v>
      </c>
      <c r="B162" s="10" t="s">
        <v>23</v>
      </c>
      <c r="C162" s="11">
        <v>1</v>
      </c>
      <c r="D162" s="12">
        <v>4790</v>
      </c>
      <c r="E162" s="12">
        <v>172.59</v>
      </c>
      <c r="F162" s="12">
        <v>172.59</v>
      </c>
      <c r="G162" s="7" t="s">
        <v>145</v>
      </c>
    </row>
    <row r="163" spans="1:7">
      <c r="A163" s="7" t="s">
        <v>142</v>
      </c>
      <c r="B163" s="10" t="s">
        <v>23</v>
      </c>
      <c r="C163" s="11">
        <v>2</v>
      </c>
      <c r="D163" s="12">
        <v>5300</v>
      </c>
      <c r="E163" s="12">
        <v>190.97</v>
      </c>
      <c r="F163" s="12">
        <v>381.93</v>
      </c>
      <c r="G163" s="7" t="s">
        <v>146</v>
      </c>
    </row>
    <row r="164" spans="1:7">
      <c r="A164" s="3"/>
      <c r="B164" s="3" t="s">
        <v>39</v>
      </c>
      <c r="C164" s="13">
        <v>13</v>
      </c>
      <c r="D164" s="12">
        <v>63030</v>
      </c>
      <c r="E164" s="3"/>
      <c r="F164" s="12">
        <v>2271.0700000000002</v>
      </c>
    </row>
    <row r="165" spans="1:7">
      <c r="A165" s="14"/>
    </row>
    <row r="166" spans="1:7">
      <c r="A166" s="7" t="s">
        <v>147</v>
      </c>
      <c r="B166" s="10" t="s">
        <v>23</v>
      </c>
      <c r="C166" s="11">
        <v>2</v>
      </c>
      <c r="D166" s="12">
        <v>14810</v>
      </c>
      <c r="E166" s="12">
        <v>982.41</v>
      </c>
      <c r="F166" s="12">
        <v>1964.82</v>
      </c>
      <c r="G166" s="7" t="s">
        <v>148</v>
      </c>
    </row>
    <row r="167" spans="1:7">
      <c r="A167" s="3"/>
      <c r="B167" s="3" t="s">
        <v>39</v>
      </c>
      <c r="C167" s="13">
        <v>2</v>
      </c>
      <c r="D167" s="12">
        <v>29620</v>
      </c>
      <c r="E167" s="3"/>
      <c r="F167" s="12">
        <v>1964.82</v>
      </c>
    </row>
    <row r="168" spans="1:7">
      <c r="A168" s="14"/>
    </row>
    <row r="169" spans="1:7">
      <c r="A169" s="7" t="s">
        <v>149</v>
      </c>
      <c r="B169" s="10" t="s">
        <v>23</v>
      </c>
      <c r="C169" s="11">
        <v>1</v>
      </c>
      <c r="D169" s="12">
        <v>530</v>
      </c>
      <c r="E169" s="12">
        <v>1.99</v>
      </c>
      <c r="F169" s="12">
        <v>1.99</v>
      </c>
      <c r="G169" s="7" t="s">
        <v>150</v>
      </c>
    </row>
    <row r="170" spans="1:7">
      <c r="A170" s="7" t="s">
        <v>149</v>
      </c>
      <c r="B170" s="10" t="s">
        <v>23</v>
      </c>
      <c r="C170" s="11">
        <v>1</v>
      </c>
      <c r="D170" s="12">
        <v>1110</v>
      </c>
      <c r="E170" s="12">
        <v>4.17</v>
      </c>
      <c r="F170" s="12">
        <v>4.17</v>
      </c>
      <c r="G170" s="7" t="s">
        <v>151</v>
      </c>
    </row>
    <row r="171" spans="1:7">
      <c r="A171" s="3"/>
      <c r="B171" s="3" t="s">
        <v>39</v>
      </c>
      <c r="C171" s="13">
        <v>2</v>
      </c>
      <c r="D171" s="12">
        <v>1640</v>
      </c>
      <c r="E171" s="3"/>
      <c r="F171" s="12">
        <v>6.17</v>
      </c>
    </row>
    <row r="172" spans="1:7">
      <c r="A172" s="14"/>
    </row>
    <row r="173" spans="1:7">
      <c r="A173" s="7" t="s">
        <v>152</v>
      </c>
      <c r="B173" s="10" t="s">
        <v>23</v>
      </c>
      <c r="C173" s="11">
        <v>11</v>
      </c>
      <c r="D173" s="12">
        <v>120</v>
      </c>
      <c r="E173" s="12">
        <v>1.81</v>
      </c>
      <c r="F173" s="12">
        <v>19.899999999999999</v>
      </c>
      <c r="G173" s="7" t="s">
        <v>153</v>
      </c>
    </row>
    <row r="174" spans="1:7">
      <c r="A174" s="7" t="s">
        <v>152</v>
      </c>
      <c r="B174" s="10" t="s">
        <v>23</v>
      </c>
      <c r="C174" s="11">
        <v>4</v>
      </c>
      <c r="D174" s="12">
        <v>130</v>
      </c>
      <c r="E174" s="12">
        <v>1.96</v>
      </c>
      <c r="F174" s="12">
        <v>7.84</v>
      </c>
      <c r="G174" s="7" t="s">
        <v>154</v>
      </c>
    </row>
    <row r="175" spans="1:7">
      <c r="A175" s="7" t="s">
        <v>152</v>
      </c>
      <c r="B175" s="10" t="s">
        <v>23</v>
      </c>
      <c r="C175" s="11">
        <v>4</v>
      </c>
      <c r="D175" s="12">
        <v>1200</v>
      </c>
      <c r="E175" s="12">
        <v>18.09</v>
      </c>
      <c r="F175" s="12">
        <v>72.349999999999994</v>
      </c>
      <c r="G175" s="7" t="s">
        <v>155</v>
      </c>
    </row>
    <row r="176" spans="1:7">
      <c r="A176" s="3"/>
      <c r="B176" s="3" t="s">
        <v>39</v>
      </c>
      <c r="C176" s="13">
        <v>19</v>
      </c>
      <c r="D176" s="12">
        <v>6640</v>
      </c>
      <c r="E176" s="3"/>
      <c r="F176" s="12">
        <v>100.08</v>
      </c>
    </row>
    <row r="177" spans="1:7">
      <c r="A177" s="14"/>
    </row>
    <row r="178" spans="1:7">
      <c r="A178" s="7" t="s">
        <v>156</v>
      </c>
      <c r="B178" s="10" t="s">
        <v>23</v>
      </c>
      <c r="C178" s="11">
        <v>2</v>
      </c>
      <c r="D178" s="12">
        <v>762</v>
      </c>
      <c r="E178" s="12">
        <v>13.81</v>
      </c>
      <c r="F178" s="12">
        <v>27.61</v>
      </c>
      <c r="G178" s="7" t="s">
        <v>157</v>
      </c>
    </row>
    <row r="179" spans="1:7">
      <c r="A179" s="3"/>
      <c r="B179" s="3" t="s">
        <v>39</v>
      </c>
      <c r="C179" s="13">
        <v>2</v>
      </c>
      <c r="D179" s="12">
        <v>1524</v>
      </c>
      <c r="E179" s="3"/>
      <c r="F179" s="12">
        <v>27.61</v>
      </c>
    </row>
    <row r="180" spans="1:7">
      <c r="A180" s="14"/>
    </row>
    <row r="181" spans="1:7">
      <c r="A181" s="7" t="s">
        <v>158</v>
      </c>
      <c r="B181" s="10" t="s">
        <v>23</v>
      </c>
      <c r="C181" s="11">
        <v>46</v>
      </c>
      <c r="D181" s="12">
        <v>255</v>
      </c>
      <c r="E181" s="12">
        <v>0.84</v>
      </c>
      <c r="F181" s="12">
        <v>38.479999999999997</v>
      </c>
      <c r="G181" s="7" t="s">
        <v>159</v>
      </c>
    </row>
    <row r="182" spans="1:7">
      <c r="A182" s="3"/>
      <c r="B182" s="3" t="s">
        <v>39</v>
      </c>
      <c r="C182" s="13">
        <v>46</v>
      </c>
      <c r="D182" s="12">
        <v>11730</v>
      </c>
      <c r="E182" s="3"/>
      <c r="F182" s="12">
        <v>38.479999999999997</v>
      </c>
    </row>
    <row r="183" spans="1:7">
      <c r="A183" s="14"/>
    </row>
    <row r="184" spans="1:7">
      <c r="A184" s="7" t="s">
        <v>160</v>
      </c>
      <c r="B184" s="10" t="s">
        <v>23</v>
      </c>
      <c r="C184" s="11">
        <v>36</v>
      </c>
      <c r="D184" s="12">
        <v>110</v>
      </c>
      <c r="E184" s="12">
        <v>0.2</v>
      </c>
      <c r="F184" s="12">
        <v>7.23</v>
      </c>
      <c r="G184" s="7" t="s">
        <v>161</v>
      </c>
    </row>
    <row r="185" spans="1:7">
      <c r="A185" s="3"/>
      <c r="B185" s="3" t="s">
        <v>39</v>
      </c>
      <c r="C185" s="13">
        <v>36</v>
      </c>
      <c r="D185" s="12">
        <v>3960</v>
      </c>
      <c r="E185" s="3"/>
      <c r="F185" s="12">
        <v>7.23</v>
      </c>
    </row>
    <row r="186" spans="1:7">
      <c r="A186" s="14"/>
    </row>
    <row r="187" spans="1:7">
      <c r="A187" s="7" t="s">
        <v>162</v>
      </c>
      <c r="B187" s="10" t="s">
        <v>23</v>
      </c>
      <c r="C187" s="11">
        <v>12</v>
      </c>
      <c r="D187" s="12">
        <v>215</v>
      </c>
      <c r="E187" s="12">
        <v>1.06</v>
      </c>
      <c r="F187" s="12">
        <v>12.77</v>
      </c>
      <c r="G187" s="7" t="s">
        <v>163</v>
      </c>
    </row>
    <row r="188" spans="1:7">
      <c r="A188" s="3"/>
      <c r="B188" s="3" t="s">
        <v>39</v>
      </c>
      <c r="C188" s="13">
        <v>12</v>
      </c>
      <c r="D188" s="12">
        <v>2580</v>
      </c>
      <c r="E188" s="3"/>
      <c r="F188" s="12">
        <v>12.77</v>
      </c>
    </row>
    <row r="189" spans="1:7">
      <c r="A189" s="14"/>
    </row>
    <row r="190" spans="1:7">
      <c r="A190" s="7" t="s">
        <v>164</v>
      </c>
      <c r="B190" s="10" t="s">
        <v>23</v>
      </c>
      <c r="C190" s="11">
        <v>8</v>
      </c>
      <c r="D190" s="12">
        <v>133</v>
      </c>
      <c r="E190" s="12">
        <v>0.39</v>
      </c>
      <c r="F190" s="12">
        <v>3.12</v>
      </c>
      <c r="G190" s="7" t="s">
        <v>165</v>
      </c>
    </row>
    <row r="191" spans="1:7">
      <c r="A191" s="3"/>
      <c r="B191" s="3" t="s">
        <v>39</v>
      </c>
      <c r="C191" s="13">
        <v>8</v>
      </c>
      <c r="D191" s="12">
        <v>1064</v>
      </c>
      <c r="E191" s="3"/>
      <c r="F191" s="12">
        <v>3.12</v>
      </c>
    </row>
    <row r="192" spans="1:7">
      <c r="A192" s="14"/>
    </row>
    <row r="193" spans="1:7">
      <c r="A193" s="7" t="s">
        <v>166</v>
      </c>
      <c r="B193" s="10" t="s">
        <v>23</v>
      </c>
      <c r="C193" s="11">
        <v>24</v>
      </c>
      <c r="D193" s="12">
        <v>340</v>
      </c>
      <c r="E193" s="12">
        <v>6.93</v>
      </c>
      <c r="F193" s="12">
        <v>166.36</v>
      </c>
      <c r="G193" s="7" t="s">
        <v>167</v>
      </c>
    </row>
    <row r="194" spans="1:7">
      <c r="A194" s="3"/>
      <c r="B194" s="3" t="s">
        <v>39</v>
      </c>
      <c r="C194" s="13">
        <v>24</v>
      </c>
      <c r="D194" s="12">
        <v>8160</v>
      </c>
      <c r="E194" s="3"/>
      <c r="F194" s="12">
        <v>166.36</v>
      </c>
    </row>
    <row r="195" spans="1:7">
      <c r="A195" s="14"/>
    </row>
    <row r="196" spans="1:7">
      <c r="A196" s="7" t="s">
        <v>168</v>
      </c>
      <c r="B196" s="10" t="s">
        <v>23</v>
      </c>
      <c r="C196" s="11">
        <v>80</v>
      </c>
      <c r="D196" s="12">
        <v>240</v>
      </c>
      <c r="E196" s="12">
        <v>1.86</v>
      </c>
      <c r="F196" s="12">
        <v>148.91</v>
      </c>
      <c r="G196" s="7" t="s">
        <v>169</v>
      </c>
    </row>
    <row r="197" spans="1:7">
      <c r="A197" s="3"/>
      <c r="B197" s="3" t="s">
        <v>39</v>
      </c>
      <c r="C197" s="13">
        <v>80</v>
      </c>
      <c r="D197" s="12">
        <v>19200</v>
      </c>
      <c r="E197" s="3"/>
      <c r="F197" s="12">
        <v>148.91</v>
      </c>
    </row>
    <row r="198" spans="1:7">
      <c r="A198" s="14"/>
    </row>
    <row r="199" spans="1:7">
      <c r="A199" s="7" t="s">
        <v>170</v>
      </c>
      <c r="B199" s="10" t="s">
        <v>23</v>
      </c>
      <c r="C199" s="11">
        <v>1</v>
      </c>
      <c r="D199" s="12">
        <v>146</v>
      </c>
      <c r="E199" s="12">
        <v>2.2200000000000002</v>
      </c>
      <c r="F199" s="12">
        <v>2.2200000000000002</v>
      </c>
      <c r="G199" s="7" t="s">
        <v>171</v>
      </c>
    </row>
    <row r="200" spans="1:7">
      <c r="A200" s="3"/>
      <c r="B200" s="3" t="s">
        <v>39</v>
      </c>
      <c r="C200" s="13">
        <v>1</v>
      </c>
      <c r="D200" s="12">
        <v>146</v>
      </c>
      <c r="E200" s="3"/>
      <c r="F200" s="12">
        <v>2.2200000000000002</v>
      </c>
    </row>
    <row r="201" spans="1:7">
      <c r="A201" s="14"/>
    </row>
    <row r="202" spans="1:7">
      <c r="A202" s="7" t="s">
        <v>172</v>
      </c>
      <c r="B202" s="10" t="s">
        <v>23</v>
      </c>
      <c r="C202" s="11">
        <v>2</v>
      </c>
      <c r="D202" s="12">
        <v>270</v>
      </c>
      <c r="E202" s="12">
        <v>4.12</v>
      </c>
      <c r="F202" s="12">
        <v>8.25</v>
      </c>
      <c r="G202" s="7" t="s">
        <v>173</v>
      </c>
    </row>
    <row r="203" spans="1:7">
      <c r="A203" s="3"/>
      <c r="B203" s="3" t="s">
        <v>39</v>
      </c>
      <c r="C203" s="13">
        <v>2</v>
      </c>
      <c r="D203" s="12">
        <v>540</v>
      </c>
      <c r="E203" s="3"/>
      <c r="F203" s="12">
        <v>8.25</v>
      </c>
    </row>
    <row r="204" spans="1:7">
      <c r="A204" s="14"/>
    </row>
    <row r="205" spans="1:7">
      <c r="A205" s="7" t="s">
        <v>174</v>
      </c>
      <c r="B205" s="10" t="s">
        <v>23</v>
      </c>
      <c r="C205" s="11">
        <v>1</v>
      </c>
      <c r="D205" s="12">
        <v>216</v>
      </c>
      <c r="E205" s="12">
        <v>2.48</v>
      </c>
      <c r="F205" s="12">
        <v>2.48</v>
      </c>
      <c r="G205" s="7" t="s">
        <v>175</v>
      </c>
    </row>
    <row r="206" spans="1:7">
      <c r="A206" s="3"/>
      <c r="B206" s="3" t="s">
        <v>39</v>
      </c>
      <c r="C206" s="13">
        <v>1</v>
      </c>
      <c r="D206" s="12">
        <v>216</v>
      </c>
      <c r="E206" s="3"/>
      <c r="F206" s="12">
        <v>2.48</v>
      </c>
    </row>
    <row r="207" spans="1:7">
      <c r="A207" s="14"/>
    </row>
    <row r="208" spans="1:7">
      <c r="A208" s="7" t="s">
        <v>176</v>
      </c>
      <c r="B208" s="10" t="s">
        <v>23</v>
      </c>
      <c r="C208" s="11">
        <v>1</v>
      </c>
      <c r="D208" s="12">
        <v>250</v>
      </c>
      <c r="E208" s="12">
        <v>3.14</v>
      </c>
      <c r="F208" s="12">
        <v>3.14</v>
      </c>
      <c r="G208" s="7" t="s">
        <v>177</v>
      </c>
    </row>
    <row r="209" spans="1:7">
      <c r="A209" s="3"/>
      <c r="B209" s="3" t="s">
        <v>39</v>
      </c>
      <c r="C209" s="13">
        <v>1</v>
      </c>
      <c r="D209" s="12">
        <v>250</v>
      </c>
      <c r="E209" s="3"/>
      <c r="F209" s="12">
        <v>3.14</v>
      </c>
    </row>
    <row r="210" spans="1:7">
      <c r="A210" s="14"/>
    </row>
    <row r="211" spans="1:7">
      <c r="A211" s="7" t="s">
        <v>178</v>
      </c>
      <c r="B211" s="10" t="s">
        <v>23</v>
      </c>
      <c r="C211" s="11">
        <v>16</v>
      </c>
      <c r="D211" s="12">
        <v>568</v>
      </c>
      <c r="E211" s="12">
        <v>9.91</v>
      </c>
      <c r="F211" s="12">
        <v>158.53</v>
      </c>
      <c r="G211" s="7" t="s">
        <v>179</v>
      </c>
    </row>
    <row r="212" spans="1:7">
      <c r="A212" s="7" t="s">
        <v>178</v>
      </c>
      <c r="B212" s="10" t="s">
        <v>23</v>
      </c>
      <c r="C212" s="11">
        <v>2</v>
      </c>
      <c r="D212" s="12">
        <v>600</v>
      </c>
      <c r="E212" s="12">
        <v>11.07</v>
      </c>
      <c r="F212" s="12">
        <v>22.15</v>
      </c>
      <c r="G212" s="7" t="s">
        <v>180</v>
      </c>
    </row>
    <row r="213" spans="1:7">
      <c r="A213" s="3"/>
      <c r="B213" s="3" t="s">
        <v>39</v>
      </c>
      <c r="C213" s="13">
        <v>18</v>
      </c>
      <c r="D213" s="12">
        <v>10288</v>
      </c>
      <c r="E213" s="3"/>
      <c r="F213" s="12">
        <v>180.67</v>
      </c>
    </row>
    <row r="214" spans="1:7">
      <c r="A214" s="14"/>
    </row>
    <row r="215" spans="1:7">
      <c r="A215" s="7" t="s">
        <v>181</v>
      </c>
      <c r="B215" s="10" t="s">
        <v>23</v>
      </c>
      <c r="C215" s="11">
        <v>2</v>
      </c>
      <c r="D215" s="12">
        <v>177</v>
      </c>
      <c r="E215" s="12">
        <v>2.9</v>
      </c>
      <c r="F215" s="12">
        <v>5.8</v>
      </c>
      <c r="G215" s="7" t="s">
        <v>182</v>
      </c>
    </row>
    <row r="216" spans="1:7">
      <c r="A216" s="7" t="s">
        <v>181</v>
      </c>
      <c r="B216" s="10" t="s">
        <v>23</v>
      </c>
      <c r="C216" s="11">
        <v>2</v>
      </c>
      <c r="D216" s="12">
        <v>192</v>
      </c>
      <c r="E216" s="12">
        <v>2.98</v>
      </c>
      <c r="F216" s="12">
        <v>5.97</v>
      </c>
      <c r="G216" s="7" t="s">
        <v>183</v>
      </c>
    </row>
    <row r="217" spans="1:7">
      <c r="A217" s="3"/>
      <c r="B217" s="3" t="s">
        <v>39</v>
      </c>
      <c r="C217" s="13">
        <v>4</v>
      </c>
      <c r="D217" s="12">
        <v>738</v>
      </c>
      <c r="E217" s="3"/>
      <c r="F217" s="12">
        <v>11.77</v>
      </c>
    </row>
    <row r="218" spans="1:7">
      <c r="A218" s="14"/>
    </row>
    <row r="219" spans="1:7">
      <c r="A219" s="7" t="s">
        <v>184</v>
      </c>
      <c r="B219" s="10" t="s">
        <v>23</v>
      </c>
      <c r="C219" s="11">
        <v>4</v>
      </c>
      <c r="D219" s="12">
        <v>275</v>
      </c>
      <c r="E219" s="12">
        <v>3.66</v>
      </c>
      <c r="F219" s="12">
        <v>14.65</v>
      </c>
      <c r="G219" s="7" t="s">
        <v>185</v>
      </c>
    </row>
    <row r="220" spans="1:7">
      <c r="A220" s="3"/>
      <c r="B220" s="3" t="s">
        <v>39</v>
      </c>
      <c r="C220" s="13">
        <v>4</v>
      </c>
      <c r="D220" s="12">
        <v>1100</v>
      </c>
      <c r="E220" s="3"/>
      <c r="F220" s="12">
        <v>14.65</v>
      </c>
    </row>
    <row r="221" spans="1:7">
      <c r="A221" s="14"/>
    </row>
    <row r="222" spans="1:7">
      <c r="A222" s="7" t="s">
        <v>186</v>
      </c>
      <c r="B222" s="10" t="s">
        <v>23</v>
      </c>
      <c r="C222" s="11">
        <v>2</v>
      </c>
      <c r="D222" s="12">
        <v>202</v>
      </c>
      <c r="E222" s="12">
        <v>3.12</v>
      </c>
      <c r="F222" s="12">
        <v>6.24</v>
      </c>
      <c r="G222" s="7" t="s">
        <v>187</v>
      </c>
    </row>
    <row r="223" spans="1:7">
      <c r="A223" s="3"/>
      <c r="B223" s="3" t="s">
        <v>39</v>
      </c>
      <c r="C223" s="13">
        <v>2</v>
      </c>
      <c r="D223" s="12">
        <v>404</v>
      </c>
      <c r="E223" s="3"/>
      <c r="F223" s="12">
        <v>6.24</v>
      </c>
    </row>
    <row r="224" spans="1:7">
      <c r="A224" s="14"/>
    </row>
    <row r="225" spans="1:7">
      <c r="A225" s="7" t="s">
        <v>188</v>
      </c>
      <c r="B225" s="10" t="s">
        <v>23</v>
      </c>
      <c r="C225" s="11">
        <v>2</v>
      </c>
      <c r="D225" s="12">
        <v>214</v>
      </c>
      <c r="E225" s="12">
        <v>3.9</v>
      </c>
      <c r="F225" s="12">
        <v>7.8</v>
      </c>
      <c r="G225" s="7" t="s">
        <v>189</v>
      </c>
    </row>
    <row r="226" spans="1:7">
      <c r="A226" s="3"/>
      <c r="B226" s="3" t="s">
        <v>39</v>
      </c>
      <c r="C226" s="13">
        <v>2</v>
      </c>
      <c r="D226" s="12">
        <v>428</v>
      </c>
      <c r="E226" s="3"/>
      <c r="F226" s="12">
        <v>7.8</v>
      </c>
    </row>
    <row r="227" spans="1:7">
      <c r="A227" s="14"/>
    </row>
    <row r="228" spans="1:7">
      <c r="A228" s="7" t="s">
        <v>190</v>
      </c>
      <c r="B228" s="10" t="s">
        <v>23</v>
      </c>
      <c r="C228" s="11">
        <v>4</v>
      </c>
      <c r="D228" s="12">
        <v>267</v>
      </c>
      <c r="E228" s="12">
        <v>4.51</v>
      </c>
      <c r="F228" s="12">
        <v>18.04</v>
      </c>
      <c r="G228" s="7" t="s">
        <v>191</v>
      </c>
    </row>
    <row r="229" spans="1:7">
      <c r="A229" s="3"/>
      <c r="B229" s="3" t="s">
        <v>39</v>
      </c>
      <c r="C229" s="13">
        <v>4</v>
      </c>
      <c r="D229" s="12">
        <v>1068</v>
      </c>
      <c r="E229" s="3"/>
      <c r="F229" s="12">
        <v>18.04</v>
      </c>
    </row>
    <row r="230" spans="1:7">
      <c r="A230" s="14"/>
    </row>
    <row r="231" spans="1:7">
      <c r="A231" s="7" t="s">
        <v>192</v>
      </c>
      <c r="B231" s="10" t="s">
        <v>23</v>
      </c>
      <c r="C231" s="11">
        <v>1</v>
      </c>
      <c r="D231" s="12">
        <v>534</v>
      </c>
      <c r="E231" s="12">
        <v>20.59</v>
      </c>
      <c r="F231" s="12">
        <v>20.59</v>
      </c>
      <c r="G231" s="7" t="s">
        <v>193</v>
      </c>
    </row>
    <row r="232" spans="1:7">
      <c r="A232" s="3"/>
      <c r="B232" s="3" t="s">
        <v>39</v>
      </c>
      <c r="C232" s="13">
        <v>1</v>
      </c>
      <c r="D232" s="12">
        <v>534</v>
      </c>
      <c r="E232" s="3"/>
      <c r="F232" s="12">
        <v>20.59</v>
      </c>
    </row>
    <row r="233" spans="1:7">
      <c r="A233" s="14"/>
    </row>
    <row r="234" spans="1:7">
      <c r="A234" s="7" t="s">
        <v>194</v>
      </c>
      <c r="B234" s="10" t="s">
        <v>23</v>
      </c>
      <c r="C234" s="11">
        <v>3</v>
      </c>
      <c r="D234" s="12">
        <v>50</v>
      </c>
      <c r="E234" s="12">
        <v>0.25</v>
      </c>
      <c r="F234" s="12">
        <v>0.74</v>
      </c>
      <c r="G234" s="7" t="s">
        <v>195</v>
      </c>
    </row>
    <row r="235" spans="1:7">
      <c r="A235" s="3"/>
      <c r="B235" s="3" t="s">
        <v>39</v>
      </c>
      <c r="C235" s="13">
        <v>3</v>
      </c>
      <c r="D235" s="12">
        <v>150</v>
      </c>
      <c r="E235" s="3"/>
      <c r="F235" s="12">
        <v>0.74</v>
      </c>
    </row>
    <row r="236" spans="1:7">
      <c r="A236" s="14"/>
    </row>
    <row r="237" spans="1:7">
      <c r="A237" s="7" t="s">
        <v>196</v>
      </c>
      <c r="B237" s="15" t="s">
        <v>197</v>
      </c>
      <c r="C237" s="11">
        <v>213</v>
      </c>
      <c r="D237" s="12">
        <v>200</v>
      </c>
      <c r="E237" s="12">
        <v>0.74</v>
      </c>
      <c r="F237" s="12">
        <v>156.75</v>
      </c>
      <c r="G237" s="7" t="s">
        <v>198</v>
      </c>
    </row>
    <row r="238" spans="1:7">
      <c r="A238" s="3"/>
      <c r="B238" s="3" t="s">
        <v>39</v>
      </c>
      <c r="C238" s="13">
        <v>213</v>
      </c>
      <c r="D238" s="12">
        <v>42600</v>
      </c>
      <c r="E238" s="3"/>
      <c r="F238" s="12">
        <v>156.75</v>
      </c>
    </row>
    <row r="239" spans="1:7">
      <c r="A239" s="14"/>
    </row>
    <row r="240" spans="1:7">
      <c r="A240" s="7" t="s">
        <v>199</v>
      </c>
      <c r="B240" s="10" t="s">
        <v>200</v>
      </c>
      <c r="C240" s="11">
        <v>3</v>
      </c>
      <c r="D240" s="12">
        <v>40</v>
      </c>
      <c r="E240" s="12">
        <v>0.45</v>
      </c>
      <c r="F240" s="12">
        <v>1.35</v>
      </c>
      <c r="G240" s="7" t="s">
        <v>201</v>
      </c>
    </row>
    <row r="241" spans="1:7">
      <c r="A241" s="7" t="s">
        <v>199</v>
      </c>
      <c r="B241" s="10" t="s">
        <v>200</v>
      </c>
      <c r="C241" s="11">
        <v>3</v>
      </c>
      <c r="D241" s="12">
        <v>50</v>
      </c>
      <c r="E241" s="12">
        <v>0.56000000000000005</v>
      </c>
      <c r="F241" s="12">
        <v>1.68</v>
      </c>
      <c r="G241" s="7" t="s">
        <v>202</v>
      </c>
    </row>
    <row r="242" spans="1:7">
      <c r="A242" s="3"/>
      <c r="B242" s="3" t="s">
        <v>39</v>
      </c>
      <c r="C242" s="13">
        <v>6</v>
      </c>
      <c r="D242" s="12">
        <v>270</v>
      </c>
      <c r="E242" s="3"/>
      <c r="F242" s="12">
        <v>3.03</v>
      </c>
    </row>
    <row r="243" spans="1:7">
      <c r="A243" s="14"/>
    </row>
    <row r="244" spans="1:7">
      <c r="A244" s="7" t="s">
        <v>203</v>
      </c>
      <c r="B244" s="10" t="s">
        <v>200</v>
      </c>
      <c r="C244" s="11">
        <v>1</v>
      </c>
      <c r="D244" s="12">
        <v>1095</v>
      </c>
      <c r="E244" s="12">
        <v>18.52</v>
      </c>
      <c r="F244" s="12">
        <v>18.52</v>
      </c>
      <c r="G244" s="7" t="s">
        <v>204</v>
      </c>
    </row>
    <row r="245" spans="1:7">
      <c r="A245" s="7" t="s">
        <v>203</v>
      </c>
      <c r="B245" s="10" t="s">
        <v>200</v>
      </c>
      <c r="C245" s="11">
        <v>24</v>
      </c>
      <c r="D245" s="12">
        <v>1200</v>
      </c>
      <c r="E245" s="12">
        <v>20.3</v>
      </c>
      <c r="F245" s="12">
        <v>487.12</v>
      </c>
      <c r="G245" s="7" t="s">
        <v>205</v>
      </c>
    </row>
    <row r="246" spans="1:7">
      <c r="A246" s="7" t="s">
        <v>203</v>
      </c>
      <c r="B246" s="10" t="s">
        <v>200</v>
      </c>
      <c r="C246" s="11">
        <v>3</v>
      </c>
      <c r="D246" s="12">
        <v>1790</v>
      </c>
      <c r="E246" s="12">
        <v>30.28</v>
      </c>
      <c r="F246" s="12">
        <v>90.83</v>
      </c>
      <c r="G246" s="7" t="s">
        <v>206</v>
      </c>
    </row>
    <row r="247" spans="1:7">
      <c r="A247" s="7" t="s">
        <v>203</v>
      </c>
      <c r="B247" s="10" t="s">
        <v>200</v>
      </c>
      <c r="C247" s="11">
        <v>3</v>
      </c>
      <c r="D247" s="12">
        <v>2130</v>
      </c>
      <c r="E247" s="12">
        <v>36.03</v>
      </c>
      <c r="F247" s="12">
        <v>108.08</v>
      </c>
      <c r="G247" s="7" t="s">
        <v>207</v>
      </c>
    </row>
    <row r="248" spans="1:7">
      <c r="A248" s="7" t="s">
        <v>203</v>
      </c>
      <c r="B248" s="10" t="s">
        <v>200</v>
      </c>
      <c r="C248" s="11">
        <v>3</v>
      </c>
      <c r="D248" s="12">
        <v>2135</v>
      </c>
      <c r="E248" s="12">
        <v>36.11</v>
      </c>
      <c r="F248" s="12">
        <v>108.33</v>
      </c>
      <c r="G248" s="7" t="s">
        <v>208</v>
      </c>
    </row>
    <row r="249" spans="1:7">
      <c r="A249" s="7" t="s">
        <v>203</v>
      </c>
      <c r="B249" s="10" t="s">
        <v>200</v>
      </c>
      <c r="C249" s="11">
        <v>3</v>
      </c>
      <c r="D249" s="12">
        <v>2200</v>
      </c>
      <c r="E249" s="12">
        <v>37.21</v>
      </c>
      <c r="F249" s="12">
        <v>110.96</v>
      </c>
      <c r="G249" s="7" t="s">
        <v>209</v>
      </c>
    </row>
    <row r="250" spans="1:7">
      <c r="A250" s="7" t="s">
        <v>203</v>
      </c>
      <c r="B250" s="10" t="s">
        <v>200</v>
      </c>
      <c r="C250" s="11">
        <v>1</v>
      </c>
      <c r="D250" s="12">
        <v>2245</v>
      </c>
      <c r="E250" s="12">
        <v>37.97</v>
      </c>
      <c r="F250" s="12">
        <v>37.97</v>
      </c>
      <c r="G250" s="7" t="s">
        <v>210</v>
      </c>
    </row>
    <row r="251" spans="1:7">
      <c r="A251" s="7" t="s">
        <v>203</v>
      </c>
      <c r="B251" s="10" t="s">
        <v>200</v>
      </c>
      <c r="C251" s="11">
        <v>2</v>
      </c>
      <c r="D251" s="12">
        <v>2290</v>
      </c>
      <c r="E251" s="12">
        <v>38.729999999999997</v>
      </c>
      <c r="F251" s="12">
        <v>77.47</v>
      </c>
      <c r="G251" s="7" t="s">
        <v>211</v>
      </c>
    </row>
    <row r="252" spans="1:7">
      <c r="A252" s="7" t="s">
        <v>203</v>
      </c>
      <c r="B252" s="10" t="s">
        <v>200</v>
      </c>
      <c r="C252" s="11">
        <v>1</v>
      </c>
      <c r="D252" s="12">
        <v>2325</v>
      </c>
      <c r="E252" s="12">
        <v>39.33</v>
      </c>
      <c r="F252" s="12">
        <v>39.33</v>
      </c>
      <c r="G252" s="7" t="s">
        <v>212</v>
      </c>
    </row>
    <row r="253" spans="1:7">
      <c r="A253" s="7" t="s">
        <v>203</v>
      </c>
      <c r="B253" s="10" t="s">
        <v>200</v>
      </c>
      <c r="C253" s="11">
        <v>9</v>
      </c>
      <c r="D253" s="12">
        <v>2335</v>
      </c>
      <c r="E253" s="12">
        <v>39.49</v>
      </c>
      <c r="F253" s="12">
        <v>355.45</v>
      </c>
      <c r="G253" s="7" t="s">
        <v>213</v>
      </c>
    </row>
    <row r="254" spans="1:7">
      <c r="A254" s="7" t="s">
        <v>203</v>
      </c>
      <c r="B254" s="10" t="s">
        <v>200</v>
      </c>
      <c r="C254" s="11">
        <v>1</v>
      </c>
      <c r="D254" s="12">
        <v>2340</v>
      </c>
      <c r="E254" s="12">
        <v>39.58</v>
      </c>
      <c r="F254" s="12">
        <v>39.58</v>
      </c>
      <c r="G254" s="7" t="s">
        <v>214</v>
      </c>
    </row>
    <row r="255" spans="1:7">
      <c r="A255" s="7" t="s">
        <v>203</v>
      </c>
      <c r="B255" s="10" t="s">
        <v>200</v>
      </c>
      <c r="C255" s="11">
        <v>1</v>
      </c>
      <c r="D255" s="12">
        <v>2345</v>
      </c>
      <c r="E255" s="12">
        <v>39.659999999999997</v>
      </c>
      <c r="F255" s="12">
        <v>39.659999999999997</v>
      </c>
      <c r="G255" s="7" t="s">
        <v>215</v>
      </c>
    </row>
    <row r="256" spans="1:7">
      <c r="A256" s="7" t="s">
        <v>203</v>
      </c>
      <c r="B256" s="10" t="s">
        <v>200</v>
      </c>
      <c r="C256" s="11">
        <v>13</v>
      </c>
      <c r="D256" s="12">
        <v>2455</v>
      </c>
      <c r="E256" s="12">
        <v>41.52</v>
      </c>
      <c r="F256" s="12">
        <v>539.22</v>
      </c>
      <c r="G256" s="7" t="s">
        <v>216</v>
      </c>
    </row>
    <row r="257" spans="1:7">
      <c r="A257" s="7" t="s">
        <v>203</v>
      </c>
      <c r="B257" s="10" t="s">
        <v>200</v>
      </c>
      <c r="C257" s="11">
        <v>3</v>
      </c>
      <c r="D257" s="12">
        <v>2492</v>
      </c>
      <c r="E257" s="12">
        <v>42.15</v>
      </c>
      <c r="F257" s="12">
        <v>126.44</v>
      </c>
      <c r="G257" s="7" t="s">
        <v>217</v>
      </c>
    </row>
    <row r="258" spans="1:7">
      <c r="A258" s="7" t="s">
        <v>203</v>
      </c>
      <c r="B258" s="10" t="s">
        <v>200</v>
      </c>
      <c r="C258" s="11">
        <v>1</v>
      </c>
      <c r="D258" s="12">
        <v>2650</v>
      </c>
      <c r="E258" s="12">
        <v>44.83</v>
      </c>
      <c r="F258" s="12">
        <v>44.83</v>
      </c>
      <c r="G258" s="7" t="s">
        <v>218</v>
      </c>
    </row>
    <row r="259" spans="1:7">
      <c r="A259" s="7" t="s">
        <v>203</v>
      </c>
      <c r="B259" s="10" t="s">
        <v>200</v>
      </c>
      <c r="C259" s="11">
        <v>1</v>
      </c>
      <c r="D259" s="12">
        <v>2685</v>
      </c>
      <c r="E259" s="12">
        <v>45.41</v>
      </c>
      <c r="F259" s="12">
        <v>45.41</v>
      </c>
      <c r="G259" s="7" t="s">
        <v>219</v>
      </c>
    </row>
    <row r="260" spans="1:7">
      <c r="A260" s="7" t="s">
        <v>203</v>
      </c>
      <c r="B260" s="10" t="s">
        <v>200</v>
      </c>
      <c r="C260" s="11">
        <v>1</v>
      </c>
      <c r="D260" s="12">
        <v>2767</v>
      </c>
      <c r="E260" s="12">
        <v>46.79</v>
      </c>
      <c r="F260" s="12">
        <v>46.79</v>
      </c>
      <c r="G260" s="7" t="s">
        <v>220</v>
      </c>
    </row>
    <row r="261" spans="1:7">
      <c r="A261" s="7" t="s">
        <v>203</v>
      </c>
      <c r="B261" s="10" t="s">
        <v>200</v>
      </c>
      <c r="C261" s="11">
        <v>1</v>
      </c>
      <c r="D261" s="12">
        <v>2935</v>
      </c>
      <c r="E261" s="12">
        <v>49.64</v>
      </c>
      <c r="F261" s="12">
        <v>49.64</v>
      </c>
      <c r="G261" s="7" t="s">
        <v>221</v>
      </c>
    </row>
    <row r="262" spans="1:7">
      <c r="A262" s="7" t="s">
        <v>203</v>
      </c>
      <c r="B262" s="10" t="s">
        <v>200</v>
      </c>
      <c r="C262" s="11">
        <v>3</v>
      </c>
      <c r="D262" s="12">
        <v>3045</v>
      </c>
      <c r="E262" s="12">
        <v>51.5</v>
      </c>
      <c r="F262" s="12">
        <v>154.51</v>
      </c>
      <c r="G262" s="7" t="s">
        <v>222</v>
      </c>
    </row>
    <row r="263" spans="1:7">
      <c r="A263" s="7" t="s">
        <v>203</v>
      </c>
      <c r="B263" s="10" t="s">
        <v>200</v>
      </c>
      <c r="C263" s="11">
        <v>1</v>
      </c>
      <c r="D263" s="12">
        <v>3051</v>
      </c>
      <c r="E263" s="12">
        <v>51.61</v>
      </c>
      <c r="F263" s="12">
        <v>51.61</v>
      </c>
      <c r="G263" s="7" t="s">
        <v>223</v>
      </c>
    </row>
    <row r="264" spans="1:7">
      <c r="A264" s="7" t="s">
        <v>203</v>
      </c>
      <c r="B264" s="10" t="s">
        <v>200</v>
      </c>
      <c r="C264" s="11">
        <v>1</v>
      </c>
      <c r="D264" s="12">
        <v>3075</v>
      </c>
      <c r="E264" s="12">
        <v>51.91</v>
      </c>
      <c r="F264" s="12">
        <v>51.91</v>
      </c>
      <c r="G264" s="7" t="s">
        <v>224</v>
      </c>
    </row>
    <row r="265" spans="1:7">
      <c r="A265" s="7" t="s">
        <v>203</v>
      </c>
      <c r="B265" s="10" t="s">
        <v>200</v>
      </c>
      <c r="C265" s="11">
        <v>4</v>
      </c>
      <c r="D265" s="12">
        <v>3413</v>
      </c>
      <c r="E265" s="12">
        <v>57.73</v>
      </c>
      <c r="F265" s="12">
        <v>230.91</v>
      </c>
      <c r="G265" s="7" t="s">
        <v>225</v>
      </c>
    </row>
    <row r="266" spans="1:7">
      <c r="A266" s="7" t="s">
        <v>203</v>
      </c>
      <c r="B266" s="10" t="s">
        <v>200</v>
      </c>
      <c r="C266" s="11">
        <v>2</v>
      </c>
      <c r="D266" s="12">
        <v>3450</v>
      </c>
      <c r="E266" s="12">
        <v>58.35</v>
      </c>
      <c r="F266" s="12">
        <v>116.71</v>
      </c>
      <c r="G266" s="7" t="s">
        <v>226</v>
      </c>
    </row>
    <row r="267" spans="1:7">
      <c r="A267" s="7" t="s">
        <v>203</v>
      </c>
      <c r="B267" s="10" t="s">
        <v>200</v>
      </c>
      <c r="C267" s="11">
        <v>4</v>
      </c>
      <c r="D267" s="12">
        <v>4420</v>
      </c>
      <c r="E267" s="12">
        <v>74.760000000000005</v>
      </c>
      <c r="F267" s="12">
        <v>299.04000000000002</v>
      </c>
      <c r="G267" s="7" t="s">
        <v>227</v>
      </c>
    </row>
    <row r="268" spans="1:7">
      <c r="A268" s="7" t="s">
        <v>203</v>
      </c>
      <c r="B268" s="10" t="s">
        <v>200</v>
      </c>
      <c r="C268" s="11">
        <v>2</v>
      </c>
      <c r="D268" s="12">
        <v>4434</v>
      </c>
      <c r="E268" s="12">
        <v>75</v>
      </c>
      <c r="F268" s="12">
        <v>150.01</v>
      </c>
      <c r="G268" s="7" t="s">
        <v>228</v>
      </c>
    </row>
    <row r="269" spans="1:7">
      <c r="A269" s="7" t="s">
        <v>203</v>
      </c>
      <c r="B269" s="10" t="s">
        <v>200</v>
      </c>
      <c r="C269" s="11">
        <v>2</v>
      </c>
      <c r="D269" s="12">
        <v>4450</v>
      </c>
      <c r="E269" s="12">
        <v>75.27</v>
      </c>
      <c r="F269" s="12">
        <v>150.53</v>
      </c>
      <c r="G269" s="7" t="s">
        <v>229</v>
      </c>
    </row>
    <row r="270" spans="1:7">
      <c r="A270" s="7" t="s">
        <v>203</v>
      </c>
      <c r="B270" s="10" t="s">
        <v>200</v>
      </c>
      <c r="C270" s="11">
        <v>1</v>
      </c>
      <c r="D270" s="12">
        <v>4455</v>
      </c>
      <c r="E270" s="12">
        <v>75.349999999999994</v>
      </c>
      <c r="F270" s="12">
        <v>75.349999999999994</v>
      </c>
      <c r="G270" s="7" t="s">
        <v>230</v>
      </c>
    </row>
    <row r="271" spans="1:7">
      <c r="A271" s="7" t="s">
        <v>203</v>
      </c>
      <c r="B271" s="10" t="s">
        <v>200</v>
      </c>
      <c r="C271" s="11">
        <v>1</v>
      </c>
      <c r="D271" s="12">
        <v>4470</v>
      </c>
      <c r="E271" s="12">
        <v>75.61</v>
      </c>
      <c r="F271" s="12">
        <v>75.61</v>
      </c>
      <c r="G271" s="7" t="s">
        <v>231</v>
      </c>
    </row>
    <row r="272" spans="1:7">
      <c r="A272" s="7" t="s">
        <v>203</v>
      </c>
      <c r="B272" s="10" t="s">
        <v>200</v>
      </c>
      <c r="C272" s="11">
        <v>17</v>
      </c>
      <c r="D272" s="12">
        <v>4510</v>
      </c>
      <c r="E272" s="12">
        <v>76.28</v>
      </c>
      <c r="F272" s="12">
        <v>1296.79</v>
      </c>
      <c r="G272" s="7" t="s">
        <v>232</v>
      </c>
    </row>
    <row r="273" spans="1:7">
      <c r="A273" s="7" t="s">
        <v>203</v>
      </c>
      <c r="B273" s="10" t="s">
        <v>200</v>
      </c>
      <c r="C273" s="11">
        <v>14</v>
      </c>
      <c r="D273" s="12">
        <v>4517</v>
      </c>
      <c r="E273" s="12">
        <v>76.41</v>
      </c>
      <c r="F273" s="12">
        <v>1069.72</v>
      </c>
      <c r="G273" s="7" t="s">
        <v>233</v>
      </c>
    </row>
    <row r="274" spans="1:7">
      <c r="A274" s="7" t="s">
        <v>203</v>
      </c>
      <c r="B274" s="10" t="s">
        <v>200</v>
      </c>
      <c r="C274" s="11">
        <v>2</v>
      </c>
      <c r="D274" s="12">
        <v>4518</v>
      </c>
      <c r="E274" s="12">
        <v>76.41</v>
      </c>
      <c r="F274" s="12">
        <v>152.82</v>
      </c>
      <c r="G274" s="7" t="s">
        <v>233</v>
      </c>
    </row>
    <row r="275" spans="1:7">
      <c r="A275" s="7" t="s">
        <v>203</v>
      </c>
      <c r="B275" s="10" t="s">
        <v>200</v>
      </c>
      <c r="C275" s="11">
        <v>1</v>
      </c>
      <c r="D275" s="12">
        <v>4521</v>
      </c>
      <c r="E275" s="12">
        <v>76.459999999999994</v>
      </c>
      <c r="F275" s="12">
        <v>76.459999999999994</v>
      </c>
      <c r="G275" s="7" t="s">
        <v>234</v>
      </c>
    </row>
    <row r="276" spans="1:7">
      <c r="A276" s="7" t="s">
        <v>203</v>
      </c>
      <c r="B276" s="10" t="s">
        <v>200</v>
      </c>
      <c r="C276" s="11">
        <v>1</v>
      </c>
      <c r="D276" s="12">
        <v>4538</v>
      </c>
      <c r="E276" s="12">
        <v>76.75</v>
      </c>
      <c r="F276" s="12">
        <v>76.75</v>
      </c>
      <c r="G276" s="7" t="s">
        <v>235</v>
      </c>
    </row>
    <row r="277" spans="1:7">
      <c r="A277" s="7" t="s">
        <v>203</v>
      </c>
      <c r="B277" s="10" t="s">
        <v>200</v>
      </c>
      <c r="C277" s="11">
        <v>7</v>
      </c>
      <c r="D277" s="12">
        <v>4600</v>
      </c>
      <c r="E277" s="12">
        <v>77.8</v>
      </c>
      <c r="F277" s="12">
        <v>544.63</v>
      </c>
      <c r="G277" s="7" t="s">
        <v>236</v>
      </c>
    </row>
    <row r="278" spans="1:7">
      <c r="A278" s="7" t="s">
        <v>203</v>
      </c>
      <c r="B278" s="10" t="s">
        <v>200</v>
      </c>
      <c r="C278" s="11">
        <v>1</v>
      </c>
      <c r="D278" s="12">
        <v>4625</v>
      </c>
      <c r="E278" s="12">
        <v>78.23</v>
      </c>
      <c r="F278" s="12">
        <v>78.23</v>
      </c>
      <c r="G278" s="7" t="s">
        <v>237</v>
      </c>
    </row>
    <row r="279" spans="1:7">
      <c r="A279" s="7" t="s">
        <v>203</v>
      </c>
      <c r="B279" s="10" t="s">
        <v>200</v>
      </c>
      <c r="C279" s="11">
        <v>4</v>
      </c>
      <c r="D279" s="12">
        <v>4730</v>
      </c>
      <c r="E279" s="12">
        <v>80</v>
      </c>
      <c r="F279" s="12">
        <v>320.01</v>
      </c>
      <c r="G279" s="7" t="s">
        <v>238</v>
      </c>
    </row>
    <row r="280" spans="1:7">
      <c r="A280" s="7" t="s">
        <v>203</v>
      </c>
      <c r="B280" s="10" t="s">
        <v>200</v>
      </c>
      <c r="C280" s="11">
        <v>9</v>
      </c>
      <c r="D280" s="12">
        <v>4790</v>
      </c>
      <c r="E280" s="12">
        <v>81.02</v>
      </c>
      <c r="F280" s="12">
        <v>729.16</v>
      </c>
      <c r="G280" s="7" t="s">
        <v>239</v>
      </c>
    </row>
    <row r="281" spans="1:7">
      <c r="A281" s="7" t="s">
        <v>203</v>
      </c>
      <c r="B281" s="10" t="s">
        <v>200</v>
      </c>
      <c r="C281" s="11">
        <v>1</v>
      </c>
      <c r="D281" s="12">
        <v>4960</v>
      </c>
      <c r="E281" s="12">
        <v>83.89</v>
      </c>
      <c r="F281" s="12">
        <v>83.89</v>
      </c>
      <c r="G281" s="7" t="s">
        <v>240</v>
      </c>
    </row>
    <row r="282" spans="1:7">
      <c r="A282" s="3"/>
      <c r="B282" s="3" t="s">
        <v>39</v>
      </c>
      <c r="C282" s="13">
        <v>150</v>
      </c>
      <c r="D282" s="12">
        <v>481942</v>
      </c>
      <c r="E282" s="3"/>
      <c r="F282" s="12">
        <v>8150.26</v>
      </c>
    </row>
    <row r="283" spans="1:7">
      <c r="A283" s="14"/>
    </row>
    <row r="284" spans="1:7">
      <c r="A284" s="7" t="s">
        <v>241</v>
      </c>
      <c r="B284" s="10" t="s">
        <v>200</v>
      </c>
      <c r="C284" s="11">
        <v>8</v>
      </c>
      <c r="D284" s="12">
        <v>9000</v>
      </c>
      <c r="E284" s="12">
        <v>235.61</v>
      </c>
      <c r="F284" s="12">
        <v>1884.89</v>
      </c>
      <c r="G284" s="7" t="s">
        <v>242</v>
      </c>
    </row>
    <row r="285" spans="1:7">
      <c r="A285" s="3"/>
      <c r="B285" s="3" t="s">
        <v>39</v>
      </c>
      <c r="C285" s="13">
        <v>8</v>
      </c>
      <c r="D285" s="12">
        <v>72000</v>
      </c>
      <c r="E285" s="3"/>
      <c r="F285" s="12">
        <v>1884.89</v>
      </c>
    </row>
    <row r="286" spans="1:7">
      <c r="A286" s="14"/>
    </row>
    <row r="287" spans="1:7">
      <c r="A287" s="7" t="s">
        <v>243</v>
      </c>
      <c r="B287" s="10" t="s">
        <v>200</v>
      </c>
      <c r="C287" s="11">
        <v>1</v>
      </c>
      <c r="D287" s="12">
        <v>5050</v>
      </c>
      <c r="E287" s="12">
        <v>162.59</v>
      </c>
      <c r="F287" s="12">
        <v>162.59</v>
      </c>
      <c r="G287" s="7" t="s">
        <v>244</v>
      </c>
    </row>
    <row r="288" spans="1:7">
      <c r="A288" s="3"/>
      <c r="B288" s="3" t="s">
        <v>39</v>
      </c>
      <c r="C288" s="13">
        <v>1</v>
      </c>
      <c r="D288" s="12">
        <v>5050</v>
      </c>
      <c r="E288" s="3"/>
      <c r="F288" s="12">
        <v>162.59</v>
      </c>
    </row>
    <row r="289" spans="1:7">
      <c r="A289" s="14"/>
    </row>
    <row r="290" spans="1:7">
      <c r="A290" s="7" t="s">
        <v>245</v>
      </c>
      <c r="B290" s="10" t="s">
        <v>200</v>
      </c>
      <c r="C290" s="11">
        <v>1</v>
      </c>
      <c r="D290" s="12">
        <v>3075</v>
      </c>
      <c r="E290" s="12">
        <v>66.36</v>
      </c>
      <c r="F290" s="12">
        <v>66.36</v>
      </c>
      <c r="G290" s="7" t="s">
        <v>246</v>
      </c>
    </row>
    <row r="291" spans="1:7">
      <c r="A291" s="3"/>
      <c r="B291" s="3" t="s">
        <v>39</v>
      </c>
      <c r="C291" s="13">
        <v>1</v>
      </c>
      <c r="D291" s="12">
        <v>3075</v>
      </c>
      <c r="E291" s="3"/>
      <c r="F291" s="12">
        <v>66.36</v>
      </c>
    </row>
    <row r="292" spans="1:7">
      <c r="A292" s="14"/>
    </row>
    <row r="293" spans="1:7">
      <c r="A293" s="7" t="s">
        <v>247</v>
      </c>
      <c r="B293" s="10" t="s">
        <v>200</v>
      </c>
      <c r="C293" s="11">
        <v>2</v>
      </c>
      <c r="D293" s="12">
        <v>3677</v>
      </c>
      <c r="E293" s="12">
        <v>123.59</v>
      </c>
      <c r="F293" s="12">
        <v>247.19</v>
      </c>
      <c r="G293" s="7" t="s">
        <v>248</v>
      </c>
    </row>
    <row r="294" spans="1:7">
      <c r="A294" s="7" t="s">
        <v>247</v>
      </c>
      <c r="B294" s="10" t="s">
        <v>200</v>
      </c>
      <c r="C294" s="11">
        <v>2</v>
      </c>
      <c r="D294" s="12">
        <v>3957</v>
      </c>
      <c r="E294" s="12">
        <v>133.05000000000001</v>
      </c>
      <c r="F294" s="12">
        <v>266.11</v>
      </c>
      <c r="G294" s="7" t="s">
        <v>249</v>
      </c>
    </row>
    <row r="295" spans="1:7">
      <c r="A295" s="7" t="s">
        <v>247</v>
      </c>
      <c r="B295" s="10" t="s">
        <v>200</v>
      </c>
      <c r="C295" s="11">
        <v>1</v>
      </c>
      <c r="D295" s="12">
        <v>6369</v>
      </c>
      <c r="E295" s="12">
        <v>215.18</v>
      </c>
      <c r="F295" s="12">
        <v>215.18</v>
      </c>
      <c r="G295" s="7" t="s">
        <v>250</v>
      </c>
    </row>
    <row r="296" spans="1:7">
      <c r="A296" s="7" t="s">
        <v>247</v>
      </c>
      <c r="B296" s="10" t="s">
        <v>200</v>
      </c>
      <c r="C296" s="11">
        <v>8</v>
      </c>
      <c r="D296" s="12">
        <v>7062</v>
      </c>
      <c r="E296" s="12">
        <v>237.95</v>
      </c>
      <c r="F296" s="12">
        <v>1903.63</v>
      </c>
      <c r="G296" s="7" t="s">
        <v>251</v>
      </c>
    </row>
    <row r="297" spans="1:7">
      <c r="A297" s="7" t="s">
        <v>247</v>
      </c>
      <c r="B297" s="10" t="s">
        <v>200</v>
      </c>
      <c r="C297" s="11">
        <v>4</v>
      </c>
      <c r="D297" s="12">
        <v>7142</v>
      </c>
      <c r="E297" s="12">
        <v>240.66</v>
      </c>
      <c r="F297" s="12">
        <v>962.63</v>
      </c>
      <c r="G297" s="7" t="s">
        <v>252</v>
      </c>
    </row>
    <row r="298" spans="1:7">
      <c r="A298" s="3"/>
      <c r="B298" s="3" t="s">
        <v>39</v>
      </c>
      <c r="C298" s="13">
        <v>17</v>
      </c>
      <c r="D298" s="12">
        <v>106701</v>
      </c>
      <c r="E298" s="3"/>
      <c r="F298" s="12">
        <v>3594.73</v>
      </c>
    </row>
    <row r="299" spans="1:7">
      <c r="A299" s="14"/>
    </row>
    <row r="300" spans="1:7">
      <c r="A300" s="7" t="s">
        <v>253</v>
      </c>
      <c r="B300" s="10" t="s">
        <v>200</v>
      </c>
      <c r="C300" s="11">
        <v>2</v>
      </c>
      <c r="D300" s="12">
        <v>6045</v>
      </c>
      <c r="E300" s="12">
        <v>252.15</v>
      </c>
      <c r="F300" s="12">
        <v>504.3</v>
      </c>
      <c r="G300" s="7" t="s">
        <v>254</v>
      </c>
    </row>
    <row r="301" spans="1:7">
      <c r="A301" s="7" t="s">
        <v>253</v>
      </c>
      <c r="B301" s="10" t="s">
        <v>200</v>
      </c>
      <c r="C301" s="11">
        <v>1</v>
      </c>
      <c r="D301" s="12">
        <v>7660</v>
      </c>
      <c r="E301" s="12">
        <v>319.45999999999998</v>
      </c>
      <c r="F301" s="12">
        <v>319.45999999999998</v>
      </c>
      <c r="G301" s="7" t="s">
        <v>255</v>
      </c>
    </row>
    <row r="302" spans="1:7">
      <c r="A302" s="3"/>
      <c r="B302" s="3" t="s">
        <v>39</v>
      </c>
      <c r="C302" s="13">
        <v>3</v>
      </c>
      <c r="D302" s="12">
        <v>19750</v>
      </c>
      <c r="E302" s="3"/>
      <c r="F302" s="12">
        <v>823.76</v>
      </c>
    </row>
    <row r="303" spans="1:7">
      <c r="A303" s="14"/>
    </row>
    <row r="304" spans="1:7">
      <c r="A304" s="7" t="s">
        <v>256</v>
      </c>
      <c r="B304" s="10" t="s">
        <v>200</v>
      </c>
      <c r="C304" s="11">
        <v>2</v>
      </c>
      <c r="D304" s="12">
        <v>3105</v>
      </c>
      <c r="E304" s="12">
        <v>156.02000000000001</v>
      </c>
      <c r="F304" s="12">
        <v>312.05</v>
      </c>
      <c r="G304" s="7" t="s">
        <v>257</v>
      </c>
    </row>
    <row r="305" spans="1:7">
      <c r="A305" s="7" t="s">
        <v>256</v>
      </c>
      <c r="B305" s="10" t="s">
        <v>200</v>
      </c>
      <c r="C305" s="11">
        <v>2</v>
      </c>
      <c r="D305" s="12">
        <v>3115</v>
      </c>
      <c r="E305" s="12">
        <v>156.53</v>
      </c>
      <c r="F305" s="12">
        <v>313.06</v>
      </c>
      <c r="G305" s="7" t="s">
        <v>258</v>
      </c>
    </row>
    <row r="306" spans="1:7">
      <c r="A306" s="7" t="s">
        <v>256</v>
      </c>
      <c r="B306" s="10" t="s">
        <v>200</v>
      </c>
      <c r="C306" s="11">
        <v>14</v>
      </c>
      <c r="D306" s="12">
        <v>5850</v>
      </c>
      <c r="E306" s="12">
        <v>294.45999999999998</v>
      </c>
      <c r="F306" s="12">
        <v>4117.8500000000004</v>
      </c>
      <c r="G306" s="7" t="s">
        <v>259</v>
      </c>
    </row>
    <row r="307" spans="1:7">
      <c r="A307" s="7" t="s">
        <v>256</v>
      </c>
      <c r="B307" s="10" t="s">
        <v>200</v>
      </c>
      <c r="C307" s="11">
        <v>2</v>
      </c>
      <c r="D307" s="12">
        <v>6659</v>
      </c>
      <c r="E307" s="12">
        <v>335.25</v>
      </c>
      <c r="F307" s="12">
        <v>670.5</v>
      </c>
      <c r="G307" s="7" t="s">
        <v>260</v>
      </c>
    </row>
    <row r="308" spans="1:7">
      <c r="A308" s="3"/>
      <c r="B308" s="3" t="s">
        <v>39</v>
      </c>
      <c r="C308" s="13">
        <v>20</v>
      </c>
      <c r="D308" s="12">
        <v>107658</v>
      </c>
      <c r="E308" s="3"/>
      <c r="F308" s="12">
        <v>5413.46</v>
      </c>
    </row>
    <row r="309" spans="1:7">
      <c r="A309" s="14"/>
    </row>
    <row r="310" spans="1:7">
      <c r="A310" s="16" t="s">
        <v>39</v>
      </c>
      <c r="B310" s="16"/>
      <c r="C310" s="16"/>
      <c r="D310" s="16"/>
      <c r="E310" s="16"/>
      <c r="F310" s="12">
        <v>74496.800000000003</v>
      </c>
    </row>
  </sheetData>
  <mergeCells count="3">
    <mergeCell ref="A4:G4"/>
    <mergeCell ref="G2:H2"/>
    <mergeCell ref="G3:H3"/>
  </mergeCells>
  <pageMargins left="0.35" right="0.2" top="0.35" bottom="0.2" header="0.15" footer="0.15"/>
  <pageSetup paperSize="9" orientation="landscape" useFirstPageNumber="1" horizontalDpi="4294967293" r:id="rId1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9a551b414fa73b42ae233b2e7829433a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37761969e24446abad6a5633c5d029f4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932BFC-0E03-4B6D-92A1-3B0C343B093F}"/>
</file>

<file path=customXml/itemProps2.xml><?xml version="1.0" encoding="utf-8"?>
<ds:datastoreItem xmlns:ds="http://schemas.openxmlformats.org/officeDocument/2006/customXml" ds:itemID="{0634AF42-2D5B-4622-B6C8-18D7D17DA517}"/>
</file>

<file path=customXml/itemProps3.xml><?xml version="1.0" encoding="utf-8"?>
<ds:datastoreItem xmlns:ds="http://schemas.openxmlformats.org/officeDocument/2006/customXml" ds:itemID="{453FC348-0454-4227-8498-E7479EDC1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 List </dc:title>
  <cp:lastModifiedBy>Per Erik Haram</cp:lastModifiedBy>
  <cp:lastPrinted>2025-11-05T15:28:28Z</cp:lastPrinted>
  <dcterms:created xsi:type="dcterms:W3CDTF">2025-11-05T14:49:44Z</dcterms:created>
  <dcterms:modified xsi:type="dcterms:W3CDTF">2025-11-05T15:28:32Z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