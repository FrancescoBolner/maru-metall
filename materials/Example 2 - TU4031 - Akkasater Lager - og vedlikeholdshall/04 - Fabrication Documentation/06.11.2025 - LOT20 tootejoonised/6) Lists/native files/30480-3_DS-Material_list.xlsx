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laStructuresModels\30480\30480-3\6) Lists\native files\"/>
    </mc:Choice>
  </mc:AlternateContent>
  <xr:revisionPtr revIDLastSave="0" documentId="8_{6CF8D55E-F114-414E-98B3-700B88CA2BA0}" xr6:coauthVersionLast="47" xr6:coauthVersionMax="47" xr10:uidLastSave="{00000000-0000-0000-0000-000000000000}"/>
  <bookViews>
    <workbookView xWindow="-120" yWindow="-120" windowWidth="29040" windowHeight="17640" xr2:uid="{483F337B-DA86-4490-8757-AE13FDC01A52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 a="1"/>
  <c r="G3" i="2" s="1"/>
  <c r="G2" i="2" a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<sst xmlns="http://schemas.openxmlformats.org/spreadsheetml/2006/main" count="135" uniqueCount="73">
  <si>
    <t> Project Number: </t>
  </si>
  <si>
    <t>30480-3</t>
  </si>
  <si>
    <t> Rev. </t>
  </si>
  <si>
    <t> Total </t>
  </si>
  <si>
    <t> Project </t>
  </si>
  <si>
    <t>Akkasæter Lager- ***  </t>
  </si>
  <si>
    <t> Rev. date </t>
  </si>
  <si>
    <t> EXC </t>
  </si>
  <si>
    <t>EXC 2  </t>
  </si>
  <si>
    <t> Date</t>
  </si>
  <si>
    <t>05.11.2025  </t>
  </si>
  <si>
    <t> Sent by</t>
  </si>
  <si>
    <t>zll  </t>
  </si>
  <si>
    <t> Drafter</t>
  </si>
  <si>
    <t>ZLL  </t>
  </si>
  <si>
    <t>Profile  </t>
  </si>
  <si>
    <t>Material  </t>
  </si>
  <si>
    <t>Quantity  </t>
  </si>
  <si>
    <t>L [mm]  </t>
  </si>
  <si>
    <t>kg/pc  </t>
  </si>
  <si>
    <t>Sum kg  </t>
  </si>
  <si>
    <t>Part pos.  </t>
  </si>
  <si>
    <t>FL5*60</t>
  </si>
  <si>
    <t xml:space="preserve">S355J2 </t>
  </si>
  <si>
    <t>  F79  </t>
  </si>
  <si>
    <t>Total</t>
  </si>
  <si>
    <t>FL5*90</t>
  </si>
  <si>
    <t>  F74  </t>
  </si>
  <si>
    <t>FL5*160</t>
  </si>
  <si>
    <t>  C24  </t>
  </si>
  <si>
    <t>FL6*70</t>
  </si>
  <si>
    <t>  F81  </t>
  </si>
  <si>
    <t>FL10*90</t>
  </si>
  <si>
    <t>  F68  </t>
  </si>
  <si>
    <t>  F72  </t>
  </si>
  <si>
    <t>  F71  </t>
  </si>
  <si>
    <t>  F70  </t>
  </si>
  <si>
    <t>  F80  </t>
  </si>
  <si>
    <t>FL10*100</t>
  </si>
  <si>
    <t>  F73  </t>
  </si>
  <si>
    <t>FL10*110</t>
  </si>
  <si>
    <t>  F77  </t>
  </si>
  <si>
    <t>  F76  </t>
  </si>
  <si>
    <t>FL10*120</t>
  </si>
  <si>
    <t>  F69  </t>
  </si>
  <si>
    <t>  l6  </t>
  </si>
  <si>
    <t>  l7  </t>
  </si>
  <si>
    <t>FL10*200</t>
  </si>
  <si>
    <t>  C23  </t>
  </si>
  <si>
    <t>FL15*100</t>
  </si>
  <si>
    <t>  F82  </t>
  </si>
  <si>
    <t>IPE120</t>
  </si>
  <si>
    <t>  d30  </t>
  </si>
  <si>
    <t>L100*10</t>
  </si>
  <si>
    <t>  D41  </t>
  </si>
  <si>
    <t>L120*10</t>
  </si>
  <si>
    <t>  d28  </t>
  </si>
  <si>
    <t>  d27  </t>
  </si>
  <si>
    <t>  d29  </t>
  </si>
  <si>
    <t>PL5*90</t>
  </si>
  <si>
    <t>  l5  </t>
  </si>
  <si>
    <t>RHS100X100X6</t>
  </si>
  <si>
    <t xml:space="preserve">S355J2H </t>
  </si>
  <si>
    <t>  s50  </t>
  </si>
  <si>
    <t>  d36  </t>
  </si>
  <si>
    <t>  d39  </t>
  </si>
  <si>
    <t>  s48  </t>
  </si>
  <si>
    <t>  s49  </t>
  </si>
  <si>
    <t>  d38  </t>
  </si>
  <si>
    <t>  s53  </t>
  </si>
  <si>
    <t>  d32  </t>
  </si>
  <si>
    <t>Ø168.3X4.5</t>
  </si>
  <si>
    <t>  s44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</si>
</sst>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 * #,##0_ ;_ * \-#,##0_ ;_ * &quot;-&quot;??_ ;_ @_ "/>
    <numFmt numFmtId="169" formatCode="[$-409]mmmm\ d\,\ yyyy;@"/>
  </numFmts>
  <fonts count="24">
    <font>
      <sz val="10"/>
      <color theme="1"/>
      <name val="Bookman Old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8B"/>
      <name val="Bookman Old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8B"/>
      <name val="Arial"/>
      <family val="2"/>
    </font>
    <font>
      <sz val="10"/>
      <color rgb="FFFFFFFF"/>
      <name val="Arial"/>
      <family val="2"/>
    </font>
    <font>
      <b/>
      <sz val="10"/>
      <color rgb="FF00008B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18" fillId="0" borderId="0" xfId="0" applyFont="1">
      <alignment horizontal="left" vertical="center"/>
    </xf>
    <xf numFmtId="0" fontId="18" fillId="33" borderId="0" xfId="0" applyFont="1" applyFill="1">
      <alignment horizontal="left" vertical="center"/>
    </xf>
    <xf numFmtId="0" fontId="19" fillId="33" borderId="10" xfId="0" applyFont="1" applyFill="1" applyBorder="1" applyAlignment="1">
      <alignment horizontal="left" vertical="center" wrapText="1"/>
    </xf>
    <xf numFmtId="0" fontId="20" fillId="33" borderId="10" xfId="0" applyFont="1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168" fontId="20" fillId="33" borderId="11" xfId="0" applyNumberFormat="1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left" vertical="center" wrapText="1"/>
    </xf>
    <xf numFmtId="0" fontId="21" fillId="33" borderId="10" xfId="0" applyFont="1" applyFill="1" applyBorder="1" applyAlignment="1">
      <alignment horizontal="left" vertical="center" wrapText="1"/>
    </xf>
    <xf numFmtId="169" fontId="20" fillId="33" borderId="10" xfId="0" applyNumberFormat="1" applyFont="1" applyFill="1" applyBorder="1" applyAlignment="1">
      <alignment horizontal="left" vertical="center" wrapText="1"/>
    </xf>
    <xf numFmtId="0" fontId="22" fillId="33" borderId="0" xfId="0" applyFont="1" applyFill="1" applyAlignment="1">
      <alignment horizontal="left" vertical="center" wrapText="1"/>
    </xf>
    <xf numFmtId="0" fontId="22" fillId="33" borderId="12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center" vertical="center" wrapText="1"/>
    </xf>
    <xf numFmtId="168" fontId="20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0" xfId="0" applyFont="1" applyFill="1">
      <alignment horizontal="left" vertical="center"/>
    </xf>
    <xf numFmtId="0" fontId="18" fillId="33" borderId="0" xfId="0" applyFont="1" applyFill="1">
      <alignment horizontal="left" vertical="center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9231-938A-4F23-8D78-C8938BF26962}">
  <dimension ref="A1:H70"/>
  <sheetViews>
    <sheetView tabSelected="1" workbookViewId="0">
      <selection activeCell="K37" sqref="K37"/>
    </sheetView>
  </sheetViews>
  <sheetFormatPr baseColWidth="10" defaultRowHeight="12.75"/>
  <cols>
    <col min="1" max="1" width="17" style="1" bestFit="1" customWidth="1"/>
    <col min="2" max="2" width="20.85546875" style="1" bestFit="1" customWidth="1"/>
    <col min="3" max="3" width="10.7109375" style="1" bestFit="1" customWidth="1"/>
    <col min="4" max="4" width="8.42578125" style="1" bestFit="1" customWidth="1"/>
    <col min="5" max="5" width="7.7109375" style="1" bestFit="1" customWidth="1"/>
    <col min="6" max="6" width="9" style="1" bestFit="1" customWidth="1"/>
    <col min="7" max="7" width="10.140625" style="1" bestFit="1" customWidth="1"/>
    <col min="8" max="16384" width="11.42578125" style="1"/>
  </cols>
  <sheetData>
    <row r="1" spans="1:8" ht="14.25" thickTop="1" thickBot="1">
      <c r="A1" s="2" t="s">
        <v>0</v>
      </c>
      <c r="B1" s="3" t="s">
        <v>1</v>
      </c>
      <c r="C1" s="2" t="s">
        <v>2</v>
      </c>
      <c r="D1" s="3">
        <v>0</v>
      </c>
      <c r="E1" s="4" t="s">
        <v>3</v>
      </c>
      <c r="F1" s="5">
        <v>3192.25</v>
      </c>
      <c r="G1" s="6"/>
    </row>
    <row r="2" spans="1:8" ht="13.5" thickTop="1">
      <c r="A2" s="2" t="s">
        <v>4</v>
      </c>
      <c r="B2" s="3" t="s">
        <v>5</v>
      </c>
      <c r="C2" s="2" t="s">
        <v>6</v>
      </c>
      <c r="D2" s="3"/>
      <c r="E2" s="2" t="s">
        <v>7</v>
      </c>
      <c r="F2" s="3" t="s">
        <v>8</v>
      </c>
      <c r="G2" s="10" t="e" cm="1">
        <f t="array" aca="1" ref="G2" ca="1">_xludf.LEFT(#REF!,_xludf.FIND("_",#REF!)-1)</f>
        <v>#NAME?</v>
      </c>
      <c r="H2" s="9"/>
    </row>
    <row r="3" spans="1:8">
      <c r="A3" s="2" t="s">
        <v>9</v>
      </c>
      <c r="B3" s="8" t="s">
        <v>10</v>
      </c>
      <c r="C3" s="2" t="s">
        <v>11</v>
      </c>
      <c r="D3" s="3" t="s">
        <v>12</v>
      </c>
      <c r="E3" s="2" t="s">
        <v>13</v>
      </c>
      <c r="F3" s="3" t="s">
        <v>14</v>
      </c>
      <c r="G3" s="10" t="e" cm="1">
        <f t="array" aca="1" ref="G3" ca="1">_xludf.RIGHT(#REF!,_xludf.LEN(#REF!)-_xludf.FIND("|",_xludf.SUBSTITUTE(#REF!,".","|",_xludf.LEN(#REF!)-_xludf.LEN(_xludf.SUBSTITUTE(#REF!,".","")))))</f>
        <v>#NAME?</v>
      </c>
      <c r="H3" s="9"/>
    </row>
    <row r="4" spans="1:8">
      <c r="A4" s="18"/>
      <c r="B4" s="19"/>
      <c r="C4" s="19"/>
      <c r="D4" s="19"/>
      <c r="E4" s="19"/>
      <c r="F4" s="19"/>
      <c r="G4" s="19"/>
    </row>
    <row r="5" spans="1:8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  <c r="G5" s="11" t="s">
        <v>21</v>
      </c>
    </row>
    <row r="6" spans="1:8">
      <c r="A6" s="7" t="s">
        <v>22</v>
      </c>
      <c r="B6" s="12" t="s">
        <v>23</v>
      </c>
      <c r="C6" s="13">
        <v>7</v>
      </c>
      <c r="D6" s="14">
        <v>120</v>
      </c>
      <c r="E6" s="14">
        <v>0.28000000000000003</v>
      </c>
      <c r="F6" s="14">
        <v>1.98</v>
      </c>
      <c r="G6" s="7" t="s">
        <v>24</v>
      </c>
    </row>
    <row r="7" spans="1:8">
      <c r="A7" s="3"/>
      <c r="B7" s="3" t="s">
        <v>25</v>
      </c>
      <c r="C7" s="15">
        <v>7</v>
      </c>
      <c r="D7" s="14">
        <v>840</v>
      </c>
      <c r="E7" s="3"/>
      <c r="F7" s="14">
        <v>1.98</v>
      </c>
    </row>
    <row r="8" spans="1:8">
      <c r="A8" s="16"/>
    </row>
    <row r="9" spans="1:8">
      <c r="A9" s="7" t="s">
        <v>26</v>
      </c>
      <c r="B9" s="12" t="s">
        <v>23</v>
      </c>
      <c r="C9" s="13">
        <v>4</v>
      </c>
      <c r="D9" s="14">
        <v>90</v>
      </c>
      <c r="E9" s="14">
        <v>0.32</v>
      </c>
      <c r="F9" s="14">
        <v>1.27</v>
      </c>
      <c r="G9" s="7" t="s">
        <v>27</v>
      </c>
    </row>
    <row r="10" spans="1:8">
      <c r="A10" s="3"/>
      <c r="B10" s="3" t="s">
        <v>25</v>
      </c>
      <c r="C10" s="15">
        <v>4</v>
      </c>
      <c r="D10" s="14">
        <v>360</v>
      </c>
      <c r="E10" s="3"/>
      <c r="F10" s="14">
        <v>1.27</v>
      </c>
    </row>
    <row r="11" spans="1:8">
      <c r="A11" s="16"/>
    </row>
    <row r="12" spans="1:8">
      <c r="A12" s="7" t="s">
        <v>28</v>
      </c>
      <c r="B12" s="12" t="s">
        <v>23</v>
      </c>
      <c r="C12" s="13">
        <v>16</v>
      </c>
      <c r="D12" s="14">
        <v>160</v>
      </c>
      <c r="E12" s="14">
        <v>0.77</v>
      </c>
      <c r="F12" s="14">
        <v>12.3</v>
      </c>
      <c r="G12" s="7" t="s">
        <v>29</v>
      </c>
    </row>
    <row r="13" spans="1:8">
      <c r="A13" s="3"/>
      <c r="B13" s="3" t="s">
        <v>25</v>
      </c>
      <c r="C13" s="15">
        <v>16</v>
      </c>
      <c r="D13" s="14">
        <v>2560</v>
      </c>
      <c r="E13" s="3"/>
      <c r="F13" s="14">
        <v>12.3</v>
      </c>
    </row>
    <row r="14" spans="1:8">
      <c r="A14" s="16"/>
    </row>
    <row r="15" spans="1:8">
      <c r="A15" s="7" t="s">
        <v>30</v>
      </c>
      <c r="B15" s="12" t="s">
        <v>23</v>
      </c>
      <c r="C15" s="13">
        <v>4</v>
      </c>
      <c r="D15" s="14">
        <v>150</v>
      </c>
      <c r="E15" s="14">
        <v>0.49</v>
      </c>
      <c r="F15" s="14">
        <v>1.98</v>
      </c>
      <c r="G15" s="7" t="s">
        <v>31</v>
      </c>
    </row>
    <row r="16" spans="1:8">
      <c r="A16" s="3"/>
      <c r="B16" s="3" t="s">
        <v>25</v>
      </c>
      <c r="C16" s="15">
        <v>4</v>
      </c>
      <c r="D16" s="14">
        <v>600</v>
      </c>
      <c r="E16" s="3"/>
      <c r="F16" s="14">
        <v>1.98</v>
      </c>
    </row>
    <row r="17" spans="1:7">
      <c r="A17" s="16"/>
    </row>
    <row r="18" spans="1:7">
      <c r="A18" s="7" t="s">
        <v>32</v>
      </c>
      <c r="B18" s="12" t="s">
        <v>23</v>
      </c>
      <c r="C18" s="13">
        <v>8</v>
      </c>
      <c r="D18" s="14">
        <v>108</v>
      </c>
      <c r="E18" s="14">
        <v>0.76</v>
      </c>
      <c r="F18" s="14">
        <v>6.1</v>
      </c>
      <c r="G18" s="7" t="s">
        <v>33</v>
      </c>
    </row>
    <row r="19" spans="1:7">
      <c r="A19" s="7" t="s">
        <v>32</v>
      </c>
      <c r="B19" s="12" t="s">
        <v>23</v>
      </c>
      <c r="C19" s="13">
        <v>8</v>
      </c>
      <c r="D19" s="14">
        <v>140</v>
      </c>
      <c r="E19" s="14">
        <v>0.99</v>
      </c>
      <c r="F19" s="14">
        <v>7.91</v>
      </c>
      <c r="G19" s="7" t="s">
        <v>34</v>
      </c>
    </row>
    <row r="20" spans="1:7">
      <c r="A20" s="7" t="s">
        <v>32</v>
      </c>
      <c r="B20" s="12" t="s">
        <v>23</v>
      </c>
      <c r="C20" s="13">
        <v>4</v>
      </c>
      <c r="D20" s="14">
        <v>180</v>
      </c>
      <c r="E20" s="14">
        <v>1.27</v>
      </c>
      <c r="F20" s="14">
        <v>5.09</v>
      </c>
      <c r="G20" s="7" t="s">
        <v>35</v>
      </c>
    </row>
    <row r="21" spans="1:7">
      <c r="A21" s="7" t="s">
        <v>32</v>
      </c>
      <c r="B21" s="12" t="s">
        <v>23</v>
      </c>
      <c r="C21" s="13">
        <v>24</v>
      </c>
      <c r="D21" s="14">
        <v>190</v>
      </c>
      <c r="E21" s="14">
        <v>1.34</v>
      </c>
      <c r="F21" s="14">
        <v>32.22</v>
      </c>
      <c r="G21" s="7" t="s">
        <v>36</v>
      </c>
    </row>
    <row r="22" spans="1:7">
      <c r="A22" s="7" t="s">
        <v>32</v>
      </c>
      <c r="B22" s="12" t="s">
        <v>23</v>
      </c>
      <c r="C22" s="13">
        <v>4</v>
      </c>
      <c r="D22" s="14">
        <v>250</v>
      </c>
      <c r="E22" s="14">
        <v>1.77</v>
      </c>
      <c r="F22" s="14">
        <v>7.07</v>
      </c>
      <c r="G22" s="7" t="s">
        <v>37</v>
      </c>
    </row>
    <row r="23" spans="1:7">
      <c r="A23" s="3"/>
      <c r="B23" s="3" t="s">
        <v>25</v>
      </c>
      <c r="C23" s="15">
        <v>48</v>
      </c>
      <c r="D23" s="14">
        <v>8264</v>
      </c>
      <c r="E23" s="3"/>
      <c r="F23" s="14">
        <v>58.39</v>
      </c>
    </row>
    <row r="24" spans="1:7">
      <c r="A24" s="16"/>
    </row>
    <row r="25" spans="1:7">
      <c r="A25" s="7" t="s">
        <v>38</v>
      </c>
      <c r="B25" s="12" t="s">
        <v>23</v>
      </c>
      <c r="C25" s="13">
        <v>8</v>
      </c>
      <c r="D25" s="14">
        <v>124</v>
      </c>
      <c r="E25" s="14">
        <v>0.98</v>
      </c>
      <c r="F25" s="14">
        <v>7.81</v>
      </c>
      <c r="G25" s="7" t="s">
        <v>39</v>
      </c>
    </row>
    <row r="26" spans="1:7">
      <c r="A26" s="3"/>
      <c r="B26" s="3" t="s">
        <v>25</v>
      </c>
      <c r="C26" s="15">
        <v>8</v>
      </c>
      <c r="D26" s="14">
        <v>992</v>
      </c>
      <c r="E26" s="3"/>
      <c r="F26" s="14">
        <v>7.81</v>
      </c>
    </row>
    <row r="27" spans="1:7">
      <c r="A27" s="16"/>
    </row>
    <row r="28" spans="1:7">
      <c r="A28" s="7" t="s">
        <v>40</v>
      </c>
      <c r="B28" s="12" t="s">
        <v>23</v>
      </c>
      <c r="C28" s="13">
        <v>16</v>
      </c>
      <c r="D28" s="14">
        <v>220</v>
      </c>
      <c r="E28" s="14">
        <v>1.9</v>
      </c>
      <c r="F28" s="14">
        <v>30.4</v>
      </c>
      <c r="G28" s="7" t="s">
        <v>41</v>
      </c>
    </row>
    <row r="29" spans="1:7">
      <c r="A29" s="7" t="s">
        <v>40</v>
      </c>
      <c r="B29" s="12" t="s">
        <v>23</v>
      </c>
      <c r="C29" s="13">
        <v>16</v>
      </c>
      <c r="D29" s="14">
        <v>250</v>
      </c>
      <c r="E29" s="14">
        <v>2.16</v>
      </c>
      <c r="F29" s="14">
        <v>34.54</v>
      </c>
      <c r="G29" s="7" t="s">
        <v>42</v>
      </c>
    </row>
    <row r="30" spans="1:7">
      <c r="A30" s="3"/>
      <c r="B30" s="3" t="s">
        <v>25</v>
      </c>
      <c r="C30" s="15">
        <v>32</v>
      </c>
      <c r="D30" s="14">
        <v>7520</v>
      </c>
      <c r="E30" s="3"/>
      <c r="F30" s="14">
        <v>64.94</v>
      </c>
    </row>
    <row r="31" spans="1:7">
      <c r="A31" s="16"/>
    </row>
    <row r="32" spans="1:7">
      <c r="A32" s="7" t="s">
        <v>43</v>
      </c>
      <c r="B32" s="12" t="s">
        <v>23</v>
      </c>
      <c r="C32" s="13">
        <v>16</v>
      </c>
      <c r="D32" s="14">
        <v>210</v>
      </c>
      <c r="E32" s="14">
        <v>1.98</v>
      </c>
      <c r="F32" s="14">
        <v>31.65</v>
      </c>
      <c r="G32" s="7" t="s">
        <v>44</v>
      </c>
    </row>
    <row r="33" spans="1:7">
      <c r="A33" s="7" t="s">
        <v>43</v>
      </c>
      <c r="B33" s="12" t="s">
        <v>23</v>
      </c>
      <c r="C33" s="13">
        <v>14</v>
      </c>
      <c r="D33" s="14">
        <v>285</v>
      </c>
      <c r="E33" s="14">
        <v>2.68</v>
      </c>
      <c r="F33" s="14">
        <v>37.590000000000003</v>
      </c>
      <c r="G33" s="7" t="s">
        <v>45</v>
      </c>
    </row>
    <row r="34" spans="1:7">
      <c r="A34" s="7" t="s">
        <v>43</v>
      </c>
      <c r="B34" s="12" t="s">
        <v>23</v>
      </c>
      <c r="C34" s="13">
        <v>2</v>
      </c>
      <c r="D34" s="14">
        <v>383</v>
      </c>
      <c r="E34" s="14">
        <v>3.61</v>
      </c>
      <c r="F34" s="14">
        <v>7.22</v>
      </c>
      <c r="G34" s="7" t="s">
        <v>46</v>
      </c>
    </row>
    <row r="35" spans="1:7">
      <c r="A35" s="3"/>
      <c r="B35" s="3" t="s">
        <v>25</v>
      </c>
      <c r="C35" s="15">
        <v>32</v>
      </c>
      <c r="D35" s="14">
        <v>8116</v>
      </c>
      <c r="E35" s="3"/>
      <c r="F35" s="14">
        <v>76.45</v>
      </c>
    </row>
    <row r="36" spans="1:7">
      <c r="A36" s="16"/>
    </row>
    <row r="37" spans="1:7">
      <c r="A37" s="7" t="s">
        <v>47</v>
      </c>
      <c r="B37" s="12" t="s">
        <v>23</v>
      </c>
      <c r="C37" s="13">
        <v>16</v>
      </c>
      <c r="D37" s="14">
        <v>300</v>
      </c>
      <c r="E37" s="14">
        <v>3.97</v>
      </c>
      <c r="F37" s="14">
        <v>63.57</v>
      </c>
      <c r="G37" s="7" t="s">
        <v>48</v>
      </c>
    </row>
    <row r="38" spans="1:7">
      <c r="A38" s="3"/>
      <c r="B38" s="3" t="s">
        <v>25</v>
      </c>
      <c r="C38" s="15">
        <v>16</v>
      </c>
      <c r="D38" s="14">
        <v>4800</v>
      </c>
      <c r="E38" s="3"/>
      <c r="F38" s="14">
        <v>63.57</v>
      </c>
    </row>
    <row r="39" spans="1:7">
      <c r="A39" s="16"/>
    </row>
    <row r="40" spans="1:7">
      <c r="A40" s="7" t="s">
        <v>49</v>
      </c>
      <c r="B40" s="12" t="s">
        <v>23</v>
      </c>
      <c r="C40" s="13">
        <v>1</v>
      </c>
      <c r="D40" s="14">
        <v>120</v>
      </c>
      <c r="E40" s="14">
        <v>1.41</v>
      </c>
      <c r="F40" s="14">
        <v>1.41</v>
      </c>
      <c r="G40" s="7" t="s">
        <v>50</v>
      </c>
    </row>
    <row r="41" spans="1:7">
      <c r="A41" s="3"/>
      <c r="B41" s="3" t="s">
        <v>25</v>
      </c>
      <c r="C41" s="15">
        <v>1</v>
      </c>
      <c r="D41" s="14">
        <v>120</v>
      </c>
      <c r="E41" s="3"/>
      <c r="F41" s="14">
        <v>1.41</v>
      </c>
    </row>
    <row r="42" spans="1:7">
      <c r="A42" s="16"/>
    </row>
    <row r="43" spans="1:7">
      <c r="A43" s="7" t="s">
        <v>51</v>
      </c>
      <c r="B43" s="12" t="s">
        <v>23</v>
      </c>
      <c r="C43" s="13">
        <v>4</v>
      </c>
      <c r="D43" s="14">
        <v>4720</v>
      </c>
      <c r="E43" s="14">
        <v>48.91</v>
      </c>
      <c r="F43" s="14">
        <v>195.63</v>
      </c>
      <c r="G43" s="7" t="s">
        <v>52</v>
      </c>
    </row>
    <row r="44" spans="1:7">
      <c r="A44" s="3"/>
      <c r="B44" s="3" t="s">
        <v>25</v>
      </c>
      <c r="C44" s="15">
        <v>4</v>
      </c>
      <c r="D44" s="14">
        <v>18880</v>
      </c>
      <c r="E44" s="3"/>
      <c r="F44" s="14">
        <v>195.63</v>
      </c>
    </row>
    <row r="45" spans="1:7">
      <c r="A45" s="16"/>
    </row>
    <row r="46" spans="1:7">
      <c r="A46" s="7" t="s">
        <v>53</v>
      </c>
      <c r="B46" s="12" t="s">
        <v>23</v>
      </c>
      <c r="C46" s="13">
        <v>7</v>
      </c>
      <c r="D46" s="14">
        <v>120</v>
      </c>
      <c r="E46" s="14">
        <v>1.81</v>
      </c>
      <c r="F46" s="14">
        <v>12.66</v>
      </c>
      <c r="G46" s="7" t="s">
        <v>54</v>
      </c>
    </row>
    <row r="47" spans="1:7">
      <c r="A47" s="3"/>
      <c r="B47" s="3" t="s">
        <v>25</v>
      </c>
      <c r="C47" s="15">
        <v>7</v>
      </c>
      <c r="D47" s="14">
        <v>840</v>
      </c>
      <c r="E47" s="3"/>
      <c r="F47" s="14">
        <v>12.66</v>
      </c>
    </row>
    <row r="48" spans="1:7">
      <c r="A48" s="16"/>
    </row>
    <row r="49" spans="1:7">
      <c r="A49" s="7" t="s">
        <v>55</v>
      </c>
      <c r="B49" s="12" t="s">
        <v>23</v>
      </c>
      <c r="C49" s="13">
        <v>8</v>
      </c>
      <c r="D49" s="14">
        <v>1540</v>
      </c>
      <c r="E49" s="14">
        <v>28.04</v>
      </c>
      <c r="F49" s="14">
        <v>224.36</v>
      </c>
      <c r="G49" s="7" t="s">
        <v>56</v>
      </c>
    </row>
    <row r="50" spans="1:7">
      <c r="A50" s="7" t="s">
        <v>55</v>
      </c>
      <c r="B50" s="12" t="s">
        <v>23</v>
      </c>
      <c r="C50" s="13">
        <v>8</v>
      </c>
      <c r="D50" s="14">
        <v>2847</v>
      </c>
      <c r="E50" s="14">
        <v>51.21</v>
      </c>
      <c r="F50" s="14">
        <v>409.7</v>
      </c>
      <c r="G50" s="7" t="s">
        <v>57</v>
      </c>
    </row>
    <row r="51" spans="1:7">
      <c r="A51" s="7" t="s">
        <v>55</v>
      </c>
      <c r="B51" s="12" t="s">
        <v>23</v>
      </c>
      <c r="C51" s="13">
        <v>4</v>
      </c>
      <c r="D51" s="14">
        <v>3198</v>
      </c>
      <c r="E51" s="14">
        <v>58.24</v>
      </c>
      <c r="F51" s="14">
        <v>232.94</v>
      </c>
      <c r="G51" s="7" t="s">
        <v>58</v>
      </c>
    </row>
    <row r="52" spans="1:7">
      <c r="A52" s="3"/>
      <c r="B52" s="3" t="s">
        <v>25</v>
      </c>
      <c r="C52" s="15">
        <v>20</v>
      </c>
      <c r="D52" s="14">
        <v>47888</v>
      </c>
      <c r="E52" s="3"/>
      <c r="F52" s="14">
        <v>867</v>
      </c>
    </row>
    <row r="53" spans="1:7">
      <c r="A53" s="16"/>
    </row>
    <row r="54" spans="1:7">
      <c r="A54" s="7" t="s">
        <v>59</v>
      </c>
      <c r="B54" s="12" t="s">
        <v>23</v>
      </c>
      <c r="C54" s="13">
        <v>8</v>
      </c>
      <c r="D54" s="14">
        <v>108</v>
      </c>
      <c r="E54" s="14">
        <v>0.3</v>
      </c>
      <c r="F54" s="14">
        <v>2.39</v>
      </c>
      <c r="G54" s="7" t="s">
        <v>60</v>
      </c>
    </row>
    <row r="55" spans="1:7">
      <c r="A55" s="3"/>
      <c r="B55" s="3" t="s">
        <v>25</v>
      </c>
      <c r="C55" s="15">
        <v>8</v>
      </c>
      <c r="D55" s="14">
        <v>864</v>
      </c>
      <c r="E55" s="3"/>
      <c r="F55" s="14">
        <v>2.39</v>
      </c>
    </row>
    <row r="56" spans="1:7">
      <c r="A56" s="16"/>
    </row>
    <row r="57" spans="1:7">
      <c r="A57" s="7" t="s">
        <v>61</v>
      </c>
      <c r="B57" s="12" t="s">
        <v>62</v>
      </c>
      <c r="C57" s="13">
        <v>4</v>
      </c>
      <c r="D57" s="14">
        <v>1101</v>
      </c>
      <c r="E57" s="14">
        <v>18.62</v>
      </c>
      <c r="F57" s="14">
        <v>74.489999999999995</v>
      </c>
      <c r="G57" s="7" t="s">
        <v>63</v>
      </c>
    </row>
    <row r="58" spans="1:7">
      <c r="A58" s="7" t="s">
        <v>61</v>
      </c>
      <c r="B58" s="12" t="s">
        <v>62</v>
      </c>
      <c r="C58" s="13">
        <v>2</v>
      </c>
      <c r="D58" s="14">
        <v>1580</v>
      </c>
      <c r="E58" s="14">
        <v>26.72</v>
      </c>
      <c r="F58" s="14">
        <v>53.45</v>
      </c>
      <c r="G58" s="7" t="s">
        <v>64</v>
      </c>
    </row>
    <row r="59" spans="1:7">
      <c r="A59" s="7" t="s">
        <v>61</v>
      </c>
      <c r="B59" s="12" t="s">
        <v>62</v>
      </c>
      <c r="C59" s="13">
        <v>8</v>
      </c>
      <c r="D59" s="14">
        <v>1800</v>
      </c>
      <c r="E59" s="14">
        <v>30.45</v>
      </c>
      <c r="F59" s="14">
        <v>243.56</v>
      </c>
      <c r="G59" s="7" t="s">
        <v>65</v>
      </c>
    </row>
    <row r="60" spans="1:7">
      <c r="A60" s="7" t="s">
        <v>61</v>
      </c>
      <c r="B60" s="12" t="s">
        <v>62</v>
      </c>
      <c r="C60" s="13">
        <v>8</v>
      </c>
      <c r="D60" s="14">
        <v>2260</v>
      </c>
      <c r="E60" s="14">
        <v>38.229999999999997</v>
      </c>
      <c r="F60" s="14">
        <v>305.8</v>
      </c>
      <c r="G60" s="7" t="s">
        <v>66</v>
      </c>
    </row>
    <row r="61" spans="1:7">
      <c r="A61" s="7" t="s">
        <v>61</v>
      </c>
      <c r="B61" s="12" t="s">
        <v>62</v>
      </c>
      <c r="C61" s="13">
        <v>4</v>
      </c>
      <c r="D61" s="14">
        <v>2261</v>
      </c>
      <c r="E61" s="14">
        <v>38.24</v>
      </c>
      <c r="F61" s="14">
        <v>152.96</v>
      </c>
      <c r="G61" s="7" t="s">
        <v>67</v>
      </c>
    </row>
    <row r="62" spans="1:7">
      <c r="A62" s="7" t="s">
        <v>61</v>
      </c>
      <c r="B62" s="12" t="s">
        <v>62</v>
      </c>
      <c r="C62" s="13">
        <v>4</v>
      </c>
      <c r="D62" s="14">
        <v>2390</v>
      </c>
      <c r="E62" s="14">
        <v>40.42</v>
      </c>
      <c r="F62" s="14">
        <v>161.69999999999999</v>
      </c>
      <c r="G62" s="7" t="s">
        <v>68</v>
      </c>
    </row>
    <row r="63" spans="1:7">
      <c r="A63" s="7" t="s">
        <v>61</v>
      </c>
      <c r="B63" s="12" t="s">
        <v>62</v>
      </c>
      <c r="C63" s="13">
        <v>4</v>
      </c>
      <c r="D63" s="14">
        <v>3275</v>
      </c>
      <c r="E63" s="14">
        <v>55.39</v>
      </c>
      <c r="F63" s="14">
        <v>221.57</v>
      </c>
      <c r="G63" s="7" t="s">
        <v>69</v>
      </c>
    </row>
    <row r="64" spans="1:7">
      <c r="A64" s="7" t="s">
        <v>61</v>
      </c>
      <c r="B64" s="12" t="s">
        <v>62</v>
      </c>
      <c r="C64" s="13">
        <v>4</v>
      </c>
      <c r="D64" s="14">
        <v>4780</v>
      </c>
      <c r="E64" s="14">
        <v>80.849999999999994</v>
      </c>
      <c r="F64" s="14">
        <v>323.39</v>
      </c>
      <c r="G64" s="7" t="s">
        <v>70</v>
      </c>
    </row>
    <row r="65" spans="1:7">
      <c r="A65" s="3"/>
      <c r="B65" s="3" t="s">
        <v>25</v>
      </c>
      <c r="C65" s="15">
        <v>38</v>
      </c>
      <c r="D65" s="14">
        <v>90868</v>
      </c>
      <c r="E65" s="3"/>
      <c r="F65" s="14">
        <v>1536.93</v>
      </c>
    </row>
    <row r="66" spans="1:7">
      <c r="A66" s="16"/>
    </row>
    <row r="67" spans="1:7">
      <c r="A67" s="7" t="s">
        <v>71</v>
      </c>
      <c r="B67" s="12" t="s">
        <v>23</v>
      </c>
      <c r="C67" s="13">
        <v>16</v>
      </c>
      <c r="D67" s="14">
        <v>1000</v>
      </c>
      <c r="E67" s="14">
        <v>17.97</v>
      </c>
      <c r="F67" s="14">
        <v>287.54000000000002</v>
      </c>
      <c r="G67" s="7" t="s">
        <v>72</v>
      </c>
    </row>
    <row r="68" spans="1:7">
      <c r="A68" s="3"/>
      <c r="B68" s="3" t="s">
        <v>25</v>
      </c>
      <c r="C68" s="15">
        <v>16</v>
      </c>
      <c r="D68" s="14">
        <v>16000</v>
      </c>
      <c r="E68" s="3"/>
      <c r="F68" s="14">
        <v>287.54000000000002</v>
      </c>
    </row>
    <row r="69" spans="1:7">
      <c r="A69" s="16"/>
    </row>
    <row r="70" spans="1:7">
      <c r="A70" s="17" t="s">
        <v>25</v>
      </c>
      <c r="B70" s="17"/>
      <c r="C70" s="17"/>
      <c r="D70" s="17"/>
      <c r="E70" s="17"/>
      <c r="F70" s="14">
        <v>3192.25</v>
      </c>
    </row>
  </sheetData>
  <mergeCells count="3">
    <mergeCell ref="A4:G4"/>
    <mergeCell ref="G2:H2"/>
    <mergeCell ref="G3:H3"/>
  </mergeCells>
  <pageMargins left="0.35" right="0.2" top="0.35" bottom="0.2" header="0.15" footer="0.15"/>
  <pageSetup paperSize="9" orientation="landscape" useFirstPageNumber="1" horizontalDpi="4294967293"/>
  <headerFooter>
    <oddHeader>&amp;C&amp;"Times New Roman,Regular"&amp;12&amp;F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E934DC98AF1D488BA0542266292557" ma:contentTypeVersion="3" ma:contentTypeDescription="Loo uus dokument" ma:contentTypeScope="" ma:versionID="9a551b414fa73b42ae233b2e7829433a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37761969e24446abad6a5633c5d029f4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E23FBF-7D2F-4347-B3B9-60DC191A8FAA}"/>
</file>

<file path=customXml/itemProps2.xml><?xml version="1.0" encoding="utf-8"?>
<ds:datastoreItem xmlns:ds="http://schemas.openxmlformats.org/officeDocument/2006/customXml" ds:itemID="{ABD91BC4-FBD0-4593-9448-FD6B2BF0CC72}"/>
</file>

<file path=customXml/itemProps3.xml><?xml version="1.0" encoding="utf-8"?>
<ds:datastoreItem xmlns:ds="http://schemas.openxmlformats.org/officeDocument/2006/customXml" ds:itemID="{AEA15543-B3FB-4398-9565-CC0C488A03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 List </dc:title>
  <cp:lastModifiedBy>Per Erik Haram</cp:lastModifiedBy>
  <dcterms:created xsi:type="dcterms:W3CDTF">2025-11-05T13:19:10Z</dcterms:created>
  <dcterms:modified xsi:type="dcterms:W3CDTF">2025-11-05T13:19:10Z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0x01010079E934DC98AF1D488BA0542266292557</vt:lpwstr>
  </property>
</Properties>
</file>