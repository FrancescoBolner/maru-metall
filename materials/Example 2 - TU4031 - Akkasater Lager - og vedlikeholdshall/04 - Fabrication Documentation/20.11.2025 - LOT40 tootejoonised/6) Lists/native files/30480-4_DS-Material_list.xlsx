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klaStructuresModels\30480\Reports\"/>
    </mc:Choice>
  </mc:AlternateContent>
  <xr:revisionPtr revIDLastSave="0" documentId="13_ncr:9_{E09DF775-129C-475B-B48A-1BA9B4D09683}" xr6:coauthVersionLast="47" xr6:coauthVersionMax="47" xr10:uidLastSave="{00000000-0000-0000-0000-000000000000}"/>
  <bookViews>
    <workbookView xWindow="28680" yWindow="-120" windowWidth="29040" windowHeight="17520" xr2:uid="{5023D3E2-E186-4B8B-BB5D-FE170349AAE8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2" l="1" a="1"/>
  <c r="G3" i="2" s="1"/>
  <c r="G2" i="2" a="1"/>
  <c r="G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<sst xmlns="http://schemas.openxmlformats.org/spreadsheetml/2006/main" count="78" uniqueCount="49">
  <si>
    <t> Project Number: </t>
  </si>
  <si>
    <t>30480-4</t>
  </si>
  <si>
    <t> Rev. </t>
  </si>
  <si>
    <t> Total </t>
  </si>
  <si>
    <t> Project </t>
  </si>
  <si>
    <t>Akkasæter Lager- ***  </t>
  </si>
  <si>
    <t> Rev. date </t>
  </si>
  <si>
    <t> EXC </t>
  </si>
  <si>
    <t>EXC 2  </t>
  </si>
  <si>
    <t> Date</t>
  </si>
  <si>
    <t>19.11.2025  </t>
  </si>
  <si>
    <t> Sent by</t>
  </si>
  <si>
    <t>peh  </t>
  </si>
  <si>
    <t> Drafter</t>
  </si>
  <si>
    <t>ZLL  </t>
  </si>
  <si>
    <t>Profile  </t>
  </si>
  <si>
    <t>Material  </t>
  </si>
  <si>
    <t>Quantity  </t>
  </si>
  <si>
    <t>L [mm]  </t>
  </si>
  <si>
    <t>kg/pc  </t>
  </si>
  <si>
    <t>Sum kg  </t>
  </si>
  <si>
    <t>Part pos.  </t>
  </si>
  <si>
    <t>FL8*50</t>
  </si>
  <si>
    <t xml:space="preserve">S355J2 </t>
  </si>
  <si>
    <t>  A13  </t>
  </si>
  <si>
    <t>Total</t>
  </si>
  <si>
    <t>FL8*110</t>
  </si>
  <si>
    <t>  F119  </t>
  </si>
  <si>
    <t>HEA120</t>
  </si>
  <si>
    <t>  d44  </t>
  </si>
  <si>
    <t>L45*5</t>
  </si>
  <si>
    <t>  d45  </t>
  </si>
  <si>
    <t>  d47  </t>
  </si>
  <si>
    <t>  d48  </t>
  </si>
  <si>
    <t>  d46  </t>
  </si>
  <si>
    <t>L70*7</t>
  </si>
  <si>
    <t>  D60  </t>
  </si>
  <si>
    <t>  d52  </t>
  </si>
  <si>
    <t>  D59  </t>
  </si>
  <si>
    <t>  d50  </t>
  </si>
  <si>
    <t>  d51  </t>
  </si>
  <si>
    <t>  d53  </t>
  </si>
  <si>
    <t>  d54  </t>
  </si>
  <si>
    <t>REBAR8</t>
  </si>
  <si>
    <t>B550B</t>
  </si>
  <si>
    <t>  I4  </t>
  </si>
  <si>
    <t>RHS100X100X6</t>
  </si>
  <si>
    <t xml:space="preserve">S355J2H </t>
  </si>
  <si>
    <t>  W1 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</si>
</sst>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_ * #,##0_ ;_ * \-#,##0_ ;_ * &quot;-&quot;??_ ;_ @_ "/>
    <numFmt numFmtId="169" formatCode="[$-409]mmmm\ d\,\ yyyy;@"/>
  </numFmts>
  <fonts count="24">
    <font>
      <sz val="10"/>
      <color theme="1"/>
      <name val="Bookman Old"/>
      <family val="2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00008B"/>
      <name val="Bookman Old"/>
      <family val="2"/>
    </font>
    <font>
      <b/>
      <sz val="10"/>
      <color rgb="FF000000"/>
      <name val="Arial"/>
      <family val="2"/>
    </font>
    <font>
      <b/>
      <sz val="10"/>
      <color rgb="FFFF0000"/>
      <name val="Arial"/>
      <family val="2"/>
    </font>
    <font>
      <sz val="10"/>
      <color rgb="FF00008B"/>
      <name val="Arial"/>
      <family val="2"/>
    </font>
    <font>
      <sz val="10"/>
      <color rgb="FFFFFFFF"/>
      <name val="Arial"/>
      <family val="2"/>
    </font>
    <font>
      <b/>
      <sz val="10"/>
      <color rgb="FF00008B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>
      <alignment horizontal="left" vertical="center"/>
    </xf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18" fillId="0" borderId="0" xfId="0" applyFont="1">
      <alignment horizontal="left" vertical="center"/>
    </xf>
    <xf numFmtId="0" fontId="18" fillId="33" borderId="0" xfId="0" applyFont="1" applyFill="1">
      <alignment horizontal="left" vertical="center"/>
    </xf>
    <xf numFmtId="0" fontId="19" fillId="33" borderId="10" xfId="0" applyFont="1" applyFill="1" applyBorder="1" applyAlignment="1">
      <alignment horizontal="left" vertical="center" wrapText="1"/>
    </xf>
    <xf numFmtId="0" fontId="20" fillId="33" borderId="10" xfId="0" applyFont="1" applyFill="1" applyBorder="1" applyAlignment="1">
      <alignment horizontal="left" vertical="center" wrapText="1"/>
    </xf>
    <xf numFmtId="0" fontId="19" fillId="33" borderId="11" xfId="0" applyFont="1" applyFill="1" applyBorder="1" applyAlignment="1">
      <alignment horizontal="left" vertical="center" wrapText="1"/>
    </xf>
    <xf numFmtId="168" fontId="20" fillId="33" borderId="11" xfId="0" applyNumberFormat="1" applyFont="1" applyFill="1" applyBorder="1" applyAlignment="1">
      <alignment horizontal="right" vertical="center" wrapText="1"/>
    </xf>
    <xf numFmtId="0" fontId="21" fillId="33" borderId="0" xfId="0" applyFont="1" applyFill="1" applyAlignment="1">
      <alignment horizontal="left" vertical="center" wrapText="1"/>
    </xf>
    <xf numFmtId="0" fontId="21" fillId="33" borderId="10" xfId="0" applyFont="1" applyFill="1" applyBorder="1" applyAlignment="1">
      <alignment horizontal="left" vertical="center" wrapText="1"/>
    </xf>
    <xf numFmtId="169" fontId="20" fillId="33" borderId="10" xfId="0" applyNumberFormat="1" applyFont="1" applyFill="1" applyBorder="1" applyAlignment="1">
      <alignment horizontal="left" vertical="center" wrapText="1"/>
    </xf>
    <xf numFmtId="0" fontId="22" fillId="33" borderId="0" xfId="0" applyFont="1" applyFill="1" applyAlignment="1">
      <alignment horizontal="left" vertical="center" wrapText="1"/>
    </xf>
    <xf numFmtId="0" fontId="20" fillId="33" borderId="13" xfId="0" applyFont="1" applyFill="1" applyBorder="1" applyAlignment="1">
      <alignment horizontal="left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right" vertical="center" wrapText="1"/>
    </xf>
    <xf numFmtId="0" fontId="21" fillId="33" borderId="10" xfId="0" applyFont="1" applyFill="1" applyBorder="1" applyAlignment="1">
      <alignment horizontal="center" vertical="center" wrapText="1"/>
    </xf>
    <xf numFmtId="168" fontId="20" fillId="33" borderId="10" xfId="0" applyNumberFormat="1" applyFont="1" applyFill="1" applyBorder="1" applyAlignment="1">
      <alignment horizontal="right" vertical="center" wrapText="1"/>
    </xf>
    <xf numFmtId="0" fontId="20" fillId="33" borderId="10" xfId="0" applyFont="1" applyFill="1" applyBorder="1" applyAlignment="1">
      <alignment horizontal="right" vertical="center" wrapText="1"/>
    </xf>
    <xf numFmtId="0" fontId="21" fillId="33" borderId="0" xfId="0" applyFont="1" applyFill="1" applyAlignment="1">
      <alignment horizontal="center" vertical="center" wrapText="1"/>
    </xf>
    <xf numFmtId="0" fontId="21" fillId="33" borderId="10" xfId="0" applyFont="1" applyFill="1" applyBorder="1" applyAlignment="1">
      <alignment horizontal="right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21" fillId="33" borderId="0" xfId="0" applyFont="1" applyFill="1">
      <alignment horizontal="left" vertical="center"/>
    </xf>
    <xf numFmtId="0" fontId="18" fillId="33" borderId="0" xfId="0" applyFont="1" applyFill="1">
      <alignment horizontal="left" vertical="center"/>
    </xf>
    <xf numFmtId="0" fontId="22" fillId="33" borderId="12" xfId="0" applyFont="1" applyFill="1" applyBorder="1" applyAlignment="1">
      <alignment horizontal="left" vertical="center" wrapText="1"/>
    </xf>
  </cellXfs>
  <cellStyles count="42">
    <cellStyle name="20 % – uthevingsfarge 1" xfId="19" builtinId="30" customBuiltin="1"/>
    <cellStyle name="20 % – uthevingsfarge 2" xfId="23" builtinId="34" customBuiltin="1"/>
    <cellStyle name="20 % – uthevingsfarge 3" xfId="27" builtinId="38" customBuiltin="1"/>
    <cellStyle name="20 % – uthevingsfarge 4" xfId="31" builtinId="42" customBuiltin="1"/>
    <cellStyle name="20 % – uthevingsfarge 5" xfId="35" builtinId="46" customBuiltin="1"/>
    <cellStyle name="20 % – uthevingsfarge 6" xfId="39" builtinId="50" customBuiltin="1"/>
    <cellStyle name="40 % – uthevingsfarge 1" xfId="20" builtinId="31" customBuiltin="1"/>
    <cellStyle name="40 % – uthevingsfarge 2" xfId="24" builtinId="35" customBuiltin="1"/>
    <cellStyle name="40 % – uthevingsfarge 3" xfId="28" builtinId="39" customBuiltin="1"/>
    <cellStyle name="40 % – uthevingsfarge 4" xfId="32" builtinId="43" customBuiltin="1"/>
    <cellStyle name="40 % – uthevingsfarge 5" xfId="36" builtinId="47" customBuiltin="1"/>
    <cellStyle name="40 % – uthevingsfarge 6" xfId="40" builtinId="51" customBuiltin="1"/>
    <cellStyle name="60 % – uthevingsfarge 1" xfId="21" builtinId="32" customBuiltin="1"/>
    <cellStyle name="60 % – uthevingsfarge 2" xfId="25" builtinId="36" customBuiltin="1"/>
    <cellStyle name="60 % – uthevingsfarge 3" xfId="29" builtinId="40" customBuiltin="1"/>
    <cellStyle name="60 % – uthevingsfarge 4" xfId="33" builtinId="44" customBuiltin="1"/>
    <cellStyle name="60 % – uthevingsfarge 5" xfId="37" builtinId="48" customBuiltin="1"/>
    <cellStyle name="60 % – uthevingsfarge 6" xfId="41" builtinId="52" customBuiltin="1"/>
    <cellStyle name="Beregning" xfId="11" builtinId="22" customBuiltin="1"/>
    <cellStyle name="Dårlig" xfId="7" builtinId="27" customBuiltin="1"/>
    <cellStyle name="Forklarende tekst" xfId="16" builtinId="53" customBuiltin="1"/>
    <cellStyle name="God" xfId="6" builtinId="26" customBuiltin="1"/>
    <cellStyle name="Inndata" xfId="9" builtinId="20" customBuiltin="1"/>
    <cellStyle name="Koblet celle" xfId="12" builtinId="24" customBuiltin="1"/>
    <cellStyle name="Kontrollcelle" xfId="13" builtinId="23" customBuiltin="1"/>
    <cellStyle name="Merknad" xfId="15" builtinId="10" customBuiltin="1"/>
    <cellStyle name="Normal" xfId="0" builtinId="0"/>
    <cellStyle name="Nøytral" xfId="8" builtinId="28" customBuiltin="1"/>
    <cellStyle name="Overskrift 1" xfId="2" builtinId="16" customBuiltin="1"/>
    <cellStyle name="Overskrift 2" xfId="3" builtinId="17" customBuiltin="1"/>
    <cellStyle name="Overskrift 3" xfId="4" builtinId="18" customBuiltin="1"/>
    <cellStyle name="Overskrift 4" xfId="5" builtinId="19" customBuiltin="1"/>
    <cellStyle name="Tittel" xfId="1" builtinId="15" customBuiltin="1"/>
    <cellStyle name="Totalt" xfId="17" builtinId="25" customBuiltin="1"/>
    <cellStyle name="Utdata" xfId="10" builtinId="21" customBuiltin="1"/>
    <cellStyle name="Uthevingsfarge1" xfId="18" builtinId="29" customBuiltin="1"/>
    <cellStyle name="Uthevingsfarge2" xfId="22" builtinId="33" customBuiltin="1"/>
    <cellStyle name="Uthevingsfarge3" xfId="26" builtinId="37" customBuiltin="1"/>
    <cellStyle name="Uthevingsfarge4" xfId="30" builtinId="41" customBuiltin="1"/>
    <cellStyle name="Uthevingsfarge5" xfId="34" builtinId="45" customBuiltin="1"/>
    <cellStyle name="Uthevingsfarge6" xfId="38" builtinId="49" customBuiltin="1"/>
    <cellStyle name="Varsel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264E0-10CB-4576-B72C-42027880F74B}">
  <dimension ref="A1:G38"/>
  <sheetViews>
    <sheetView tabSelected="1" workbookViewId="0">
      <selection activeCell="L16" sqref="L16"/>
    </sheetView>
  </sheetViews>
  <sheetFormatPr baseColWidth="10" defaultRowHeight="12.75"/>
  <cols>
    <col min="1" max="1" width="17" style="1" bestFit="1" customWidth="1"/>
    <col min="2" max="2" width="20.85546875" style="1" bestFit="1" customWidth="1"/>
    <col min="3" max="3" width="10.7109375" style="1" bestFit="1" customWidth="1"/>
    <col min="4" max="4" width="8.7109375" style="1" bestFit="1" customWidth="1"/>
    <col min="5" max="5" width="7.7109375" style="1" bestFit="1" customWidth="1"/>
    <col min="6" max="6" width="9" style="1" bestFit="1" customWidth="1"/>
    <col min="7" max="7" width="10.140625" style="1" bestFit="1" customWidth="1"/>
    <col min="8" max="16384" width="11.42578125" style="1"/>
  </cols>
  <sheetData>
    <row r="1" spans="1:7" ht="14.25" thickTop="1" thickBot="1">
      <c r="A1" s="2" t="s">
        <v>0</v>
      </c>
      <c r="B1" s="3" t="s">
        <v>1</v>
      </c>
      <c r="C1" s="2" t="s">
        <v>2</v>
      </c>
      <c r="D1" s="3">
        <v>0</v>
      </c>
      <c r="E1" s="4" t="s">
        <v>3</v>
      </c>
      <c r="F1" s="5">
        <v>1534.91</v>
      </c>
      <c r="G1" s="6"/>
    </row>
    <row r="2" spans="1:7" ht="13.5" thickTop="1">
      <c r="A2" s="2" t="s">
        <v>4</v>
      </c>
      <c r="B2" s="3" t="s">
        <v>5</v>
      </c>
      <c r="C2" s="2" t="s">
        <v>6</v>
      </c>
      <c r="D2" s="3"/>
      <c r="E2" s="2" t="s">
        <v>7</v>
      </c>
      <c r="F2" s="3" t="s">
        <v>8</v>
      </c>
      <c r="G2" s="21" t="e" cm="1">
        <f t="array" aca="1" ref="G2" ca="1">_xludf.LEFT(A5,_xludf.FIND("_",A5)-1)</f>
        <v>#NAME?</v>
      </c>
    </row>
    <row r="3" spans="1:7">
      <c r="A3" s="2" t="s">
        <v>9</v>
      </c>
      <c r="B3" s="8" t="s">
        <v>10</v>
      </c>
      <c r="C3" s="2" t="s">
        <v>11</v>
      </c>
      <c r="D3" s="3" t="s">
        <v>12</v>
      </c>
      <c r="E3" s="2" t="s">
        <v>13</v>
      </c>
      <c r="F3" s="3" t="s">
        <v>14</v>
      </c>
      <c r="G3" s="21" t="e" cm="1">
        <f t="array" aca="1" ref="G3" ca="1">_xludf.RIGHT(A5,_xludf.LEN(A5)-_xludf.FIND("|",_xludf.SUBSTITUTE(A5,".","|",_xludf.LEN(A5)-_xludf.LEN(_xludf.SUBSTITUTE(A5,".","")))))</f>
        <v>#NAME?</v>
      </c>
    </row>
    <row r="4" spans="1:7">
      <c r="A4" s="10"/>
      <c r="B4" s="10"/>
      <c r="C4" s="10"/>
      <c r="D4" s="10"/>
      <c r="E4" s="10"/>
    </row>
    <row r="5" spans="1:7">
      <c r="A5" s="9"/>
      <c r="B5" s="9"/>
      <c r="C5" s="9"/>
      <c r="D5" s="9"/>
      <c r="E5" s="9"/>
      <c r="F5" s="9"/>
      <c r="G5" s="9"/>
    </row>
    <row r="6" spans="1:7">
      <c r="A6" s="19"/>
      <c r="B6" s="20"/>
      <c r="C6" s="20"/>
      <c r="D6" s="20"/>
      <c r="E6" s="20"/>
      <c r="F6" s="20"/>
      <c r="G6" s="20"/>
    </row>
    <row r="7" spans="1:7">
      <c r="A7" s="11" t="s">
        <v>15</v>
      </c>
      <c r="B7" s="11" t="s">
        <v>16</v>
      </c>
      <c r="C7" s="11" t="s">
        <v>17</v>
      </c>
      <c r="D7" s="11" t="s">
        <v>18</v>
      </c>
      <c r="E7" s="11" t="s">
        <v>19</v>
      </c>
      <c r="F7" s="11" t="s">
        <v>20</v>
      </c>
      <c r="G7" s="11" t="s">
        <v>21</v>
      </c>
    </row>
    <row r="8" spans="1:7">
      <c r="A8" s="7" t="s">
        <v>22</v>
      </c>
      <c r="B8" s="12" t="s">
        <v>23</v>
      </c>
      <c r="C8" s="13">
        <v>8</v>
      </c>
      <c r="D8" s="14">
        <v>98</v>
      </c>
      <c r="E8" s="14">
        <v>0.27</v>
      </c>
      <c r="F8" s="14">
        <v>2.15</v>
      </c>
      <c r="G8" s="7" t="s">
        <v>24</v>
      </c>
    </row>
    <row r="9" spans="1:7">
      <c r="A9" s="3"/>
      <c r="B9" s="3" t="s">
        <v>25</v>
      </c>
      <c r="C9" s="15">
        <v>8</v>
      </c>
      <c r="D9" s="14">
        <v>784</v>
      </c>
      <c r="E9" s="3"/>
      <c r="F9" s="14">
        <v>2.15</v>
      </c>
    </row>
    <row r="10" spans="1:7">
      <c r="A10" s="16"/>
    </row>
    <row r="11" spans="1:7">
      <c r="A11" s="7" t="s">
        <v>26</v>
      </c>
      <c r="B11" s="12" t="s">
        <v>23</v>
      </c>
      <c r="C11" s="13">
        <v>4</v>
      </c>
      <c r="D11" s="14">
        <v>250</v>
      </c>
      <c r="E11" s="14">
        <v>1.73</v>
      </c>
      <c r="F11" s="14">
        <v>6.91</v>
      </c>
      <c r="G11" s="7" t="s">
        <v>27</v>
      </c>
    </row>
    <row r="12" spans="1:7">
      <c r="A12" s="3"/>
      <c r="B12" s="3" t="s">
        <v>25</v>
      </c>
      <c r="C12" s="15">
        <v>4</v>
      </c>
      <c r="D12" s="14">
        <v>1000</v>
      </c>
      <c r="E12" s="3"/>
      <c r="F12" s="14">
        <v>6.91</v>
      </c>
    </row>
    <row r="13" spans="1:7">
      <c r="A13" s="16"/>
    </row>
    <row r="14" spans="1:7">
      <c r="A14" s="7" t="s">
        <v>28</v>
      </c>
      <c r="B14" s="12" t="s">
        <v>23</v>
      </c>
      <c r="C14" s="13">
        <v>2</v>
      </c>
      <c r="D14" s="14">
        <v>2150</v>
      </c>
      <c r="E14" s="14">
        <v>42.77</v>
      </c>
      <c r="F14" s="14">
        <v>85.54</v>
      </c>
      <c r="G14" s="7" t="s">
        <v>29</v>
      </c>
    </row>
    <row r="15" spans="1:7">
      <c r="A15" s="3"/>
      <c r="B15" s="3" t="s">
        <v>25</v>
      </c>
      <c r="C15" s="15">
        <v>2</v>
      </c>
      <c r="D15" s="14">
        <v>4300</v>
      </c>
      <c r="E15" s="3"/>
      <c r="F15" s="14">
        <v>85.54</v>
      </c>
    </row>
    <row r="16" spans="1:7">
      <c r="A16" s="16"/>
    </row>
    <row r="17" spans="1:7">
      <c r="A17" s="7" t="s">
        <v>30</v>
      </c>
      <c r="B17" s="12" t="s">
        <v>23</v>
      </c>
      <c r="C17" s="13">
        <v>4</v>
      </c>
      <c r="D17" s="14">
        <v>1190</v>
      </c>
      <c r="E17" s="14">
        <v>4.0199999999999996</v>
      </c>
      <c r="F17" s="14">
        <v>16.07</v>
      </c>
      <c r="G17" s="7" t="s">
        <v>31</v>
      </c>
    </row>
    <row r="18" spans="1:7">
      <c r="A18" s="7" t="s">
        <v>30</v>
      </c>
      <c r="B18" s="12" t="s">
        <v>23</v>
      </c>
      <c r="C18" s="13">
        <v>4</v>
      </c>
      <c r="D18" s="14">
        <v>1320</v>
      </c>
      <c r="E18" s="14">
        <v>4.46</v>
      </c>
      <c r="F18" s="14">
        <v>17.82</v>
      </c>
      <c r="G18" s="7" t="s">
        <v>32</v>
      </c>
    </row>
    <row r="19" spans="1:7">
      <c r="A19" s="7" t="s">
        <v>30</v>
      </c>
      <c r="B19" s="12" t="s">
        <v>23</v>
      </c>
      <c r="C19" s="13">
        <v>4</v>
      </c>
      <c r="D19" s="14">
        <v>2350</v>
      </c>
      <c r="E19" s="14">
        <v>7.93</v>
      </c>
      <c r="F19" s="14">
        <v>31.73</v>
      </c>
      <c r="G19" s="7" t="s">
        <v>33</v>
      </c>
    </row>
    <row r="20" spans="1:7">
      <c r="A20" s="7" t="s">
        <v>30</v>
      </c>
      <c r="B20" s="12" t="s">
        <v>23</v>
      </c>
      <c r="C20" s="13">
        <v>4</v>
      </c>
      <c r="D20" s="14">
        <v>4250</v>
      </c>
      <c r="E20" s="14">
        <v>14.35</v>
      </c>
      <c r="F20" s="14">
        <v>57.38</v>
      </c>
      <c r="G20" s="7" t="s">
        <v>34</v>
      </c>
    </row>
    <row r="21" spans="1:7">
      <c r="A21" s="3"/>
      <c r="B21" s="3" t="s">
        <v>25</v>
      </c>
      <c r="C21" s="15">
        <v>16</v>
      </c>
      <c r="D21" s="14">
        <v>36440</v>
      </c>
      <c r="E21" s="3"/>
      <c r="F21" s="14">
        <v>123</v>
      </c>
    </row>
    <row r="22" spans="1:7">
      <c r="A22" s="16"/>
    </row>
    <row r="23" spans="1:7">
      <c r="A23" s="7" t="s">
        <v>35</v>
      </c>
      <c r="B23" s="12" t="s">
        <v>23</v>
      </c>
      <c r="C23" s="13">
        <v>12</v>
      </c>
      <c r="D23" s="14">
        <v>120</v>
      </c>
      <c r="E23" s="14">
        <v>0.89</v>
      </c>
      <c r="F23" s="14">
        <v>10.63</v>
      </c>
      <c r="G23" s="7" t="s">
        <v>36</v>
      </c>
    </row>
    <row r="24" spans="1:7">
      <c r="A24" s="7" t="s">
        <v>35</v>
      </c>
      <c r="B24" s="12" t="s">
        <v>23</v>
      </c>
      <c r="C24" s="13">
        <v>6</v>
      </c>
      <c r="D24" s="14">
        <v>540</v>
      </c>
      <c r="E24" s="14">
        <v>3.98</v>
      </c>
      <c r="F24" s="14">
        <v>23.91</v>
      </c>
      <c r="G24" s="7" t="s">
        <v>37</v>
      </c>
    </row>
    <row r="25" spans="1:7">
      <c r="A25" s="7" t="s">
        <v>35</v>
      </c>
      <c r="B25" s="12" t="s">
        <v>23</v>
      </c>
      <c r="C25" s="13">
        <v>16</v>
      </c>
      <c r="D25" s="14">
        <v>640</v>
      </c>
      <c r="E25" s="14">
        <v>4.72</v>
      </c>
      <c r="F25" s="14">
        <v>75.56</v>
      </c>
      <c r="G25" s="7" t="s">
        <v>38</v>
      </c>
    </row>
    <row r="26" spans="1:7">
      <c r="A26" s="7" t="s">
        <v>35</v>
      </c>
      <c r="B26" s="12" t="s">
        <v>23</v>
      </c>
      <c r="C26" s="13">
        <v>4</v>
      </c>
      <c r="D26" s="14">
        <v>1240</v>
      </c>
      <c r="E26" s="14">
        <v>9.15</v>
      </c>
      <c r="F26" s="14">
        <v>36.6</v>
      </c>
      <c r="G26" s="7" t="s">
        <v>39</v>
      </c>
    </row>
    <row r="27" spans="1:7">
      <c r="A27" s="7" t="s">
        <v>35</v>
      </c>
      <c r="B27" s="12" t="s">
        <v>23</v>
      </c>
      <c r="C27" s="13">
        <v>4</v>
      </c>
      <c r="D27" s="14">
        <v>2300</v>
      </c>
      <c r="E27" s="14">
        <v>16.97</v>
      </c>
      <c r="F27" s="14">
        <v>67.89</v>
      </c>
      <c r="G27" s="7" t="s">
        <v>40</v>
      </c>
    </row>
    <row r="28" spans="1:7">
      <c r="A28" s="7" t="s">
        <v>35</v>
      </c>
      <c r="B28" s="12" t="s">
        <v>23</v>
      </c>
      <c r="C28" s="13">
        <v>12</v>
      </c>
      <c r="D28" s="14">
        <v>5950</v>
      </c>
      <c r="E28" s="14">
        <v>43.91</v>
      </c>
      <c r="F28" s="14">
        <v>526.86</v>
      </c>
      <c r="G28" s="7" t="s">
        <v>41</v>
      </c>
    </row>
    <row r="29" spans="1:7">
      <c r="A29" s="7" t="s">
        <v>35</v>
      </c>
      <c r="B29" s="12" t="s">
        <v>23</v>
      </c>
      <c r="C29" s="13">
        <v>12</v>
      </c>
      <c r="D29" s="14">
        <v>6000</v>
      </c>
      <c r="E29" s="14">
        <v>44.27</v>
      </c>
      <c r="F29" s="14">
        <v>531.29</v>
      </c>
      <c r="G29" s="7" t="s">
        <v>42</v>
      </c>
    </row>
    <row r="30" spans="1:7">
      <c r="A30" s="3"/>
      <c r="B30" s="3" t="s">
        <v>25</v>
      </c>
      <c r="C30" s="15">
        <v>66</v>
      </c>
      <c r="D30" s="14">
        <v>172480</v>
      </c>
      <c r="E30" s="3"/>
      <c r="F30" s="14">
        <v>1272.73</v>
      </c>
    </row>
    <row r="31" spans="1:7">
      <c r="A31" s="16"/>
    </row>
    <row r="32" spans="1:7">
      <c r="A32" s="7" t="s">
        <v>43</v>
      </c>
      <c r="B32" s="17" t="s">
        <v>44</v>
      </c>
      <c r="C32" s="13">
        <v>564</v>
      </c>
      <c r="D32" s="14">
        <v>150</v>
      </c>
      <c r="E32" s="14">
        <v>0.05</v>
      </c>
      <c r="F32" s="14">
        <v>30.04</v>
      </c>
      <c r="G32" s="7" t="s">
        <v>45</v>
      </c>
    </row>
    <row r="33" spans="1:7">
      <c r="A33" s="3"/>
      <c r="B33" s="3" t="s">
        <v>25</v>
      </c>
      <c r="C33" s="15">
        <v>564</v>
      </c>
      <c r="D33" s="14">
        <v>84600</v>
      </c>
      <c r="E33" s="3"/>
      <c r="F33" s="14">
        <v>30.04</v>
      </c>
    </row>
    <row r="34" spans="1:7">
      <c r="A34" s="16"/>
    </row>
    <row r="35" spans="1:7">
      <c r="A35" s="7" t="s">
        <v>46</v>
      </c>
      <c r="B35" s="12" t="s">
        <v>47</v>
      </c>
      <c r="C35" s="13">
        <v>4</v>
      </c>
      <c r="D35" s="14">
        <v>215</v>
      </c>
      <c r="E35" s="14">
        <v>3.64</v>
      </c>
      <c r="F35" s="14">
        <v>14.55</v>
      </c>
      <c r="G35" s="7" t="s">
        <v>48</v>
      </c>
    </row>
    <row r="36" spans="1:7">
      <c r="A36" s="3"/>
      <c r="B36" s="3" t="s">
        <v>25</v>
      </c>
      <c r="C36" s="15">
        <v>4</v>
      </c>
      <c r="D36" s="14">
        <v>860</v>
      </c>
      <c r="E36" s="3"/>
      <c r="F36" s="14">
        <v>14.55</v>
      </c>
    </row>
    <row r="37" spans="1:7">
      <c r="A37" s="16"/>
    </row>
    <row r="38" spans="1:7">
      <c r="A38" s="18" t="s">
        <v>25</v>
      </c>
      <c r="B38" s="18"/>
      <c r="C38" s="18"/>
      <c r="D38" s="18"/>
      <c r="E38" s="18"/>
      <c r="F38" s="14">
        <v>1534.91</v>
      </c>
    </row>
  </sheetData>
  <mergeCells count="3">
    <mergeCell ref="A6:G6"/>
    <mergeCell ref="A4:E4"/>
    <mergeCell ref="A5:G5"/>
  </mergeCells>
  <pageMargins left="0.35" right="0.2" top="0.35" bottom="0.2" header="0.15" footer="0.15"/>
  <pageSetup paperSize="9" orientation="landscape" useFirstPageNumber="1" horizontalDpi="4294967293"/>
  <headerFooter>
    <oddHeader>&amp;C&amp;"Times New Roman,Regular"&amp;12&amp;F</oddHeader>
    <oddFooter>&amp;C&amp;"Times New Roman,Regular"&amp;12Page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79E934DC98AF1D488BA0542266292557" ma:contentTypeVersion="3" ma:contentTypeDescription="Loo uus dokument" ma:contentTypeScope="" ma:versionID="f6c1ab1cdfe0f8e5156e42503f8dfa18">
  <xsd:schema xmlns:xsd="http://www.w3.org/2001/XMLSchema" xmlns:xs="http://www.w3.org/2001/XMLSchema" xmlns:p="http://schemas.microsoft.com/office/2006/metadata/properties" xmlns:ns2="c5ba3744-2539-47bf-936c-8cea88022951" targetNamespace="http://schemas.microsoft.com/office/2006/metadata/properties" ma:root="true" ma:fieldsID="b3b6a628f0f7f32584a2139c40d42adf" ns2:_="">
    <xsd:import namespace="c5ba3744-2539-47bf-936c-8cea8802295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ba3744-2539-47bf-936c-8cea88022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isutüüp"/>
        <xsd:element ref="dc:title" minOccurs="0" maxOccurs="1" ma:index="4" ma:displayName="Pealkiri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C78806F-0CF7-48D3-9F61-0DDE54319A6C}"/>
</file>

<file path=customXml/itemProps2.xml><?xml version="1.0" encoding="utf-8"?>
<ds:datastoreItem xmlns:ds="http://schemas.openxmlformats.org/officeDocument/2006/customXml" ds:itemID="{E5242667-0DCF-47F2-9B0C-9DE3E391352F}"/>
</file>

<file path=customXml/itemProps3.xml><?xml version="1.0" encoding="utf-8"?>
<ds:datastoreItem xmlns:ds="http://schemas.openxmlformats.org/officeDocument/2006/customXml" ds:itemID="{60B923BD-8708-4193-AF69-FA4C3BF00A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Material List </dc:title>
  <cp:lastModifiedBy>Per Erik Haram</cp:lastModifiedBy>
  <dcterms:created xsi:type="dcterms:W3CDTF">2025-11-19T15:16:31Z</dcterms:created>
  <dcterms:modified xsi:type="dcterms:W3CDTF">2025-11-19T15:16:35Z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0x01010079E934DC98AF1D488BA0542266292557</vt:lpwstr>
  </property>
</Properties>
</file>