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3" codeName="{00000000-0000-0000-0000-0000000000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maruas.sharepoint.com/sites/MM-Sales/PQDocs/HK11109 - 30480 Akkasæter Lager - og vedlikeholdshall/03. Eelarve/HP11109-1/"/>
    </mc:Choice>
  </mc:AlternateContent>
  <xr:revisionPtr revIDLastSave="1357" documentId="13_ncr:1_{0A57545D-5AD2-4384-A3A8-37825DA2FD02}" xr6:coauthVersionLast="47" xr6:coauthVersionMax="47" xr10:uidLastSave="{8332A0C7-BAC5-4324-A518-31558F00B0B5}"/>
  <bookViews>
    <workbookView xWindow="-109" yWindow="-109" windowWidth="34995" windowHeight="19060" firstSheet="6" activeTab="1" xr2:uid="{B38E7E62-8987-4658-8ACA-AF4BC45E8B37}"/>
  </bookViews>
  <sheets>
    <sheet name="Data" sheetId="15" state="hidden" r:id="rId1"/>
    <sheet name="Koostamine" sheetId="18" r:id="rId2"/>
    <sheet name="Gaasilõikus" sheetId="4" r:id="rId3"/>
    <sheet name="Saagimine" sheetId="5" r:id="rId4"/>
    <sheet name="Materjalid" sheetId="12" state="hidden" r:id="rId5"/>
    <sheet name="Pakkeleht" sheetId="13" state="hidden" r:id="rId6"/>
    <sheet name="Pakkumistabel" sheetId="19" r:id="rId7"/>
    <sheet name="Terasehind" sheetId="28" r:id="rId8"/>
    <sheet name="1+2" sheetId="40" r:id="rId9"/>
    <sheet name="Tuletõkke R90" sheetId="30" state="hidden" r:id="rId10"/>
  </sheets>
  <externalReferences>
    <externalReference r:id="rId11"/>
  </externalReferences>
  <definedNames>
    <definedName name="_xlnm._FilterDatabase" localSheetId="1" hidden="1">Koostamine!$A$6:$BA$212</definedName>
    <definedName name="_xlnm._FilterDatabase" localSheetId="3" hidden="1">Saagimine!$B$6:$Q$35</definedName>
    <definedName name="_xlnm._FilterDatabase" localSheetId="9" hidden="1">'Tuletõkke R90'!$A$2:$Q$151</definedName>
    <definedName name="_xleta.COLUMNS" hidden="1" xlm="1">#NAME?</definedName>
    <definedName name="Aadress">#N/A</definedName>
    <definedName name="ExternalData_1" localSheetId="8" hidden="1">'1+2'!$A$1:$D$2694</definedName>
    <definedName name="firmakulu">Koostamine!$L$2</definedName>
    <definedName name="FRTA">#REF!</definedName>
    <definedName name="GATA">#REF!</definedName>
    <definedName name="GITA">#REF!</definedName>
    <definedName name="KOTA">#REF!</definedName>
    <definedName name="Kuupäev" localSheetId="1">Koostamine!$C$2</definedName>
    <definedName name="Kuupäev">#REF!</definedName>
    <definedName name="null">Koostamine!$AB$2</definedName>
    <definedName name="Number" localSheetId="1">Koostamine!$F$1</definedName>
    <definedName name="Number">#REF!</definedName>
    <definedName name="Objekt" localSheetId="1">#REF!</definedName>
    <definedName name="Objekt">#REF!</definedName>
    <definedName name="pakendus">Koostamine!$AV$5</definedName>
    <definedName name="PATA">#REF!</definedName>
    <definedName name="_xlnm.Print_Area" localSheetId="2">Gaasilõikus!$A:$W</definedName>
    <definedName name="_xlnm.Print_Area" localSheetId="1">Koostamine!$A:$W</definedName>
    <definedName name="_xlnm.Print_Area" localSheetId="4">Materjalid!$A:$H</definedName>
    <definedName name="_xlnm.Print_Area" localSheetId="5">Pakkeleht!$A$1:$G$48</definedName>
    <definedName name="_xlnm.Print_Area" localSheetId="3">Saagimine!$A$1:$T$150</definedName>
    <definedName name="_xlnm.Print_Titles" localSheetId="2">Gaasilõikus!$1:$5</definedName>
    <definedName name="_xlnm.Print_Titles" localSheetId="1">Koostamine!$1:$5</definedName>
    <definedName name="_xlnm.Print_Titles" localSheetId="4">Materjalid!$1:$1</definedName>
    <definedName name="_xlnm.Print_Titles" localSheetId="5">Pakkeleht!$1:$5</definedName>
    <definedName name="_xlnm.Print_Titles" localSheetId="3">Saagimine!$1:$5</definedName>
    <definedName name="PUTA">#REF!</definedName>
    <definedName name="SATA">#REF!</definedName>
    <definedName name="Zink">Koostamine!$AK$2</definedName>
    <definedName name="Zn">Koostamine!#REF!</definedName>
    <definedName name="Tehnoloog" localSheetId="1">Koostamine!#REF!</definedName>
    <definedName name="Tehnoloog">#REF!</definedName>
    <definedName name="Tellija" localSheetId="1">Koostamine!$F$2</definedName>
    <definedName name="Tellija">#REF!</definedName>
    <definedName name="Toode" localSheetId="1">Koostamine!$F$3</definedName>
    <definedName name="Toode">#REF!</definedName>
    <definedName name="TRTA">#REF!</definedName>
    <definedName name="VATA">#REF!</definedName>
    <definedName name="VMTA">#REF!</definedName>
  </definedNames>
  <calcPr calcId="191028"/>
  <pivotCaches>
    <pivotCache cacheId="1418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4" i="18" l="1"/>
  <c r="H18" i="19"/>
  <c r="P18" i="19"/>
  <c r="N18" i="19"/>
  <c r="L11" i="18"/>
  <c r="L16" i="18" s="1"/>
  <c r="L20" i="18" s="1"/>
  <c r="AE82" i="18"/>
  <c r="L183" i="18"/>
  <c r="L205" i="18" s="1"/>
  <c r="L208" i="18" s="1"/>
  <c r="L211" i="18" s="1"/>
  <c r="L186" i="18"/>
  <c r="L194" i="18"/>
  <c r="L214" i="18"/>
  <c r="L217" i="18" s="1"/>
  <c r="L221" i="18"/>
  <c r="L220" i="18"/>
  <c r="AF20" i="18"/>
  <c r="AF30" i="18"/>
  <c r="AF63" i="18"/>
  <c r="AE63" i="18"/>
  <c r="AE67" i="18"/>
  <c r="AF76" i="18"/>
  <c r="AD76" i="18"/>
  <c r="AC76" i="18"/>
  <c r="AE86" i="18"/>
  <c r="AE98" i="18"/>
  <c r="AF119" i="18"/>
  <c r="AF124" i="18"/>
  <c r="AF129" i="18"/>
  <c r="AF152" i="18"/>
  <c r="AF157" i="18"/>
  <c r="AF167" i="18"/>
  <c r="AF172" i="18"/>
  <c r="AF176" i="18"/>
  <c r="AF180" i="18"/>
  <c r="AF163" i="18" s="1"/>
  <c r="AD180" i="18"/>
  <c r="AC180" i="18"/>
  <c r="AF190" i="18"/>
  <c r="AF194" i="18"/>
  <c r="AF198" i="18"/>
  <c r="AF202" i="18"/>
  <c r="AF186" i="18" s="1"/>
  <c r="AE202" i="18"/>
  <c r="AD202" i="18"/>
  <c r="AC202" i="18"/>
  <c r="AF208" i="18"/>
  <c r="AF205" i="18" s="1"/>
  <c r="AF183" i="18" s="1"/>
  <c r="AF217" i="18"/>
  <c r="AF214" i="18" s="1"/>
  <c r="AE217" i="18"/>
  <c r="AE214" i="18" s="1"/>
  <c r="Q17" i="19"/>
  <c r="H17" i="19"/>
  <c r="J17" i="19"/>
  <c r="M4" i="19"/>
  <c r="J131" i="18"/>
  <c r="AL131" i="18" s="1"/>
  <c r="AQ131" i="18"/>
  <c r="AP131" i="18"/>
  <c r="AK131" i="18"/>
  <c r="A131" i="18"/>
  <c r="AP133" i="18"/>
  <c r="A133" i="18"/>
  <c r="AL133" i="18" s="1"/>
  <c r="AP132" i="18"/>
  <c r="A132" i="18"/>
  <c r="AL132" i="18" s="1"/>
  <c r="AQ130" i="18"/>
  <c r="AP130" i="18"/>
  <c r="AL130" i="18"/>
  <c r="AK130" i="18"/>
  <c r="A130" i="18"/>
  <c r="F129" i="18"/>
  <c r="Y26" i="5"/>
  <c r="Y10" i="5"/>
  <c r="AP122" i="18"/>
  <c r="A122" i="18"/>
  <c r="AL122" i="18" s="1"/>
  <c r="AP92" i="18"/>
  <c r="BE11" i="18"/>
  <c r="BD183" i="18"/>
  <c r="K10" i="19"/>
  <c r="F37" i="13"/>
  <c r="D37" i="13"/>
  <c r="H38" i="12"/>
  <c r="G38" i="12"/>
  <c r="F38" i="12"/>
  <c r="H23" i="12"/>
  <c r="G23" i="12"/>
  <c r="F23" i="12"/>
  <c r="H17" i="12"/>
  <c r="G17" i="12"/>
  <c r="F17" i="12"/>
  <c r="A32" i="13"/>
  <c r="H7" i="12"/>
  <c r="G7" i="12"/>
  <c r="F7" i="12"/>
  <c r="A16" i="13"/>
  <c r="H25" i="12"/>
  <c r="G25" i="12"/>
  <c r="F25" i="12"/>
  <c r="A31" i="13"/>
  <c r="A30" i="13"/>
  <c r="H19" i="12"/>
  <c r="G19" i="12"/>
  <c r="F19" i="12"/>
  <c r="A24" i="13"/>
  <c r="A18" i="13"/>
  <c r="H24" i="12"/>
  <c r="G24" i="12"/>
  <c r="F24" i="12"/>
  <c r="A34" i="13"/>
  <c r="A9" i="13"/>
  <c r="A8" i="13"/>
  <c r="A7" i="13"/>
  <c r="A26" i="13"/>
  <c r="H13" i="12"/>
  <c r="G13" i="12"/>
  <c r="F13" i="12"/>
  <c r="A29" i="13"/>
  <c r="H10" i="12"/>
  <c r="G10" i="12"/>
  <c r="F10" i="12"/>
  <c r="A27" i="13"/>
  <c r="H11" i="12"/>
  <c r="G11" i="12"/>
  <c r="F11" i="12"/>
  <c r="A28" i="13"/>
  <c r="H22" i="12"/>
  <c r="G22" i="12"/>
  <c r="F22" i="12"/>
  <c r="A14" i="13"/>
  <c r="H20" i="12"/>
  <c r="G20" i="12"/>
  <c r="F20" i="12"/>
  <c r="A25" i="13"/>
  <c r="H21" i="12"/>
  <c r="G21" i="12"/>
  <c r="F21" i="12"/>
  <c r="A13" i="13"/>
  <c r="H18" i="12"/>
  <c r="G18" i="12"/>
  <c r="F18" i="12"/>
  <c r="A12" i="13"/>
  <c r="H26" i="12"/>
  <c r="G26" i="12"/>
  <c r="F26" i="12"/>
  <c r="A33" i="13"/>
  <c r="H36" i="12"/>
  <c r="G36" i="12"/>
  <c r="F36" i="12"/>
  <c r="A10" i="13"/>
  <c r="H37" i="12"/>
  <c r="G37" i="12"/>
  <c r="F37" i="12"/>
  <c r="H31" i="12"/>
  <c r="G31" i="12"/>
  <c r="F31" i="12"/>
  <c r="A11" i="13"/>
  <c r="H34" i="12"/>
  <c r="G34" i="12"/>
  <c r="F34" i="12"/>
  <c r="H8" i="12"/>
  <c r="G8" i="12"/>
  <c r="F8" i="12"/>
  <c r="H33" i="12"/>
  <c r="G33" i="12"/>
  <c r="F33" i="12"/>
  <c r="H35" i="12"/>
  <c r="G35" i="12"/>
  <c r="F35" i="12"/>
  <c r="A35" i="13"/>
  <c r="A15" i="13"/>
  <c r="H16" i="12"/>
  <c r="G16" i="12"/>
  <c r="F16" i="12"/>
  <c r="A23" i="13"/>
  <c r="H15" i="12"/>
  <c r="G15" i="12"/>
  <c r="F15" i="12"/>
  <c r="A22" i="13"/>
  <c r="H32" i="12"/>
  <c r="G32" i="12"/>
  <c r="F32" i="12"/>
  <c r="H28" i="12"/>
  <c r="G28" i="12"/>
  <c r="F28" i="12"/>
  <c r="A21" i="13"/>
  <c r="H14" i="12"/>
  <c r="G14" i="12"/>
  <c r="F14" i="12"/>
  <c r="A20" i="13"/>
  <c r="H29" i="12"/>
  <c r="G29" i="12"/>
  <c r="F29" i="12"/>
  <c r="H12" i="12"/>
  <c r="G12" i="12"/>
  <c r="F12" i="12"/>
  <c r="A19" i="13"/>
  <c r="H30" i="12"/>
  <c r="G30" i="12"/>
  <c r="F30" i="12"/>
  <c r="H27" i="12"/>
  <c r="G27" i="12"/>
  <c r="F27" i="12"/>
  <c r="H9" i="12"/>
  <c r="G9" i="12"/>
  <c r="F9" i="12"/>
  <c r="A17" i="13"/>
  <c r="A158" i="18"/>
  <c r="AP160" i="18"/>
  <c r="A160" i="18"/>
  <c r="AL160" i="18" s="1"/>
  <c r="AP159" i="18"/>
  <c r="A159" i="18"/>
  <c r="AQ158" i="18"/>
  <c r="AP158" i="18"/>
  <c r="AL158" i="18"/>
  <c r="AK158" i="18"/>
  <c r="J157" i="18"/>
  <c r="F157" i="18"/>
  <c r="A146" i="18"/>
  <c r="AP149" i="18"/>
  <c r="A149" i="18"/>
  <c r="AL149" i="18" s="1"/>
  <c r="AP148" i="18"/>
  <c r="A148" i="18"/>
  <c r="AL148" i="18" s="1"/>
  <c r="AP147" i="18"/>
  <c r="A147" i="18"/>
  <c r="AL147" i="18" s="1"/>
  <c r="AQ146" i="18"/>
  <c r="AP146" i="18"/>
  <c r="AL146" i="18"/>
  <c r="AK146" i="18"/>
  <c r="J145" i="18"/>
  <c r="F145" i="18"/>
  <c r="AP211" i="18"/>
  <c r="A211" i="18"/>
  <c r="AL211" i="18" s="1"/>
  <c r="A203" i="18"/>
  <c r="AQ203" i="18"/>
  <c r="AP203" i="18"/>
  <c r="AL203" i="18"/>
  <c r="AK203" i="18"/>
  <c r="J202" i="18"/>
  <c r="F202" i="18"/>
  <c r="F198" i="18"/>
  <c r="D15" i="19"/>
  <c r="D14" i="19"/>
  <c r="C15" i="19"/>
  <c r="C14" i="19"/>
  <c r="A195" i="18"/>
  <c r="AP200" i="18"/>
  <c r="A200" i="18"/>
  <c r="AL200" i="18" s="1"/>
  <c r="AQ199" i="18"/>
  <c r="AP199" i="18"/>
  <c r="AL199" i="18"/>
  <c r="AK199" i="18"/>
  <c r="A199" i="18"/>
  <c r="J198" i="18"/>
  <c r="AP196" i="18"/>
  <c r="A196" i="18"/>
  <c r="AQ195" i="18"/>
  <c r="AP195" i="18"/>
  <c r="AL195" i="18"/>
  <c r="AK195" i="18"/>
  <c r="J194" i="18"/>
  <c r="F194" i="18"/>
  <c r="AX205" i="18"/>
  <c r="AT205" i="18"/>
  <c r="AS205" i="18"/>
  <c r="A209" i="18"/>
  <c r="AP192" i="18"/>
  <c r="A192" i="18"/>
  <c r="AL192" i="18" s="1"/>
  <c r="AQ191" i="18"/>
  <c r="AP191" i="18"/>
  <c r="AL191" i="18"/>
  <c r="AK191" i="18"/>
  <c r="A191" i="18"/>
  <c r="J190" i="18"/>
  <c r="F190" i="18"/>
  <c r="A219" i="18"/>
  <c r="A218" i="18"/>
  <c r="C13" i="19"/>
  <c r="F16" i="19"/>
  <c r="C16" i="19"/>
  <c r="A220" i="18"/>
  <c r="M313" i="40"/>
  <c r="A103" i="18"/>
  <c r="AL103" i="18" s="1"/>
  <c r="F217" i="18"/>
  <c r="AP222" i="18"/>
  <c r="J217" i="18"/>
  <c r="BE214" i="18"/>
  <c r="AX214" i="18"/>
  <c r="AT214" i="18"/>
  <c r="AS214" i="18"/>
  <c r="AP106" i="18"/>
  <c r="A106" i="18"/>
  <c r="AL106" i="18" s="1"/>
  <c r="AP74" i="18"/>
  <c r="A74" i="18"/>
  <c r="AL74" i="18" s="1"/>
  <c r="A77" i="18"/>
  <c r="AQ77" i="18"/>
  <c r="AP77" i="18"/>
  <c r="J76" i="18"/>
  <c r="A181" i="18"/>
  <c r="AQ181" i="18"/>
  <c r="AP181" i="18"/>
  <c r="AL181" i="18"/>
  <c r="AK181" i="18"/>
  <c r="J180" i="18"/>
  <c r="AP210" i="18"/>
  <c r="A210" i="18"/>
  <c r="AL210" i="18" s="1"/>
  <c r="AQ209" i="18"/>
  <c r="AP209" i="18"/>
  <c r="AL209" i="18"/>
  <c r="AK209" i="18"/>
  <c r="J208" i="18"/>
  <c r="F208" i="18"/>
  <c r="AX186" i="18"/>
  <c r="AT186" i="18"/>
  <c r="AS186" i="18"/>
  <c r="BE183" i="18"/>
  <c r="AX183" i="18"/>
  <c r="AT183" i="18"/>
  <c r="AS183" i="18"/>
  <c r="AP73" i="18"/>
  <c r="A73" i="18"/>
  <c r="AL73" i="18" s="1"/>
  <c r="AP105" i="18"/>
  <c r="A105" i="18"/>
  <c r="AL105" i="18" s="1"/>
  <c r="AP104" i="18"/>
  <c r="A104" i="18"/>
  <c r="AL104" i="18" s="1"/>
  <c r="AP103" i="18"/>
  <c r="AP102" i="18"/>
  <c r="A102" i="18"/>
  <c r="AL102" i="18" s="1"/>
  <c r="AP101" i="18"/>
  <c r="A101" i="18"/>
  <c r="AP100" i="18"/>
  <c r="A100" i="18"/>
  <c r="AL100" i="18" s="1"/>
  <c r="AP99" i="18"/>
  <c r="A99" i="18"/>
  <c r="AL99" i="18" s="1"/>
  <c r="A72" i="18"/>
  <c r="AL72" i="18" s="1"/>
  <c r="AP71" i="18"/>
  <c r="A71" i="18"/>
  <c r="AL71" i="18" s="1"/>
  <c r="AP69" i="18"/>
  <c r="A69" i="18"/>
  <c r="AL69" i="18" s="1"/>
  <c r="C7" i="19"/>
  <c r="AP72" i="18"/>
  <c r="AP70" i="18"/>
  <c r="A70" i="18"/>
  <c r="AL70" i="18" s="1"/>
  <c r="AP68" i="18"/>
  <c r="A68" i="18"/>
  <c r="AL68" i="18" s="1"/>
  <c r="AT81" i="18"/>
  <c r="D12" i="19"/>
  <c r="C12" i="19"/>
  <c r="D11" i="19"/>
  <c r="C11" i="19"/>
  <c r="D10" i="19"/>
  <c r="C10" i="19"/>
  <c r="D9" i="19"/>
  <c r="AP127" i="18"/>
  <c r="A127" i="18"/>
  <c r="AL127" i="18" s="1"/>
  <c r="A125" i="18"/>
  <c r="F124" i="18"/>
  <c r="AP126" i="18"/>
  <c r="A126" i="18"/>
  <c r="AL126" i="18" s="1"/>
  <c r="AQ125" i="18"/>
  <c r="AP125" i="18"/>
  <c r="AL125" i="18"/>
  <c r="AK125" i="18"/>
  <c r="J124" i="18"/>
  <c r="A177" i="18"/>
  <c r="F176" i="18"/>
  <c r="AP174" i="18"/>
  <c r="A174" i="18"/>
  <c r="AL174" i="18" s="1"/>
  <c r="AQ173" i="18"/>
  <c r="AP173" i="18"/>
  <c r="AL173" i="18"/>
  <c r="AK173" i="18"/>
  <c r="A173" i="18"/>
  <c r="J172" i="18"/>
  <c r="F172" i="18"/>
  <c r="R257" i="40"/>
  <c r="N264" i="40"/>
  <c r="M263" i="40"/>
  <c r="N263" i="40"/>
  <c r="Q256" i="40"/>
  <c r="R256" i="40"/>
  <c r="P255" i="40"/>
  <c r="A168" i="18"/>
  <c r="F167" i="18"/>
  <c r="AP142" i="18"/>
  <c r="A142" i="18"/>
  <c r="AL142" i="18" s="1"/>
  <c r="A140" i="18"/>
  <c r="A153" i="18"/>
  <c r="A115" i="18"/>
  <c r="F119" i="18"/>
  <c r="AP117" i="18"/>
  <c r="A117" i="18"/>
  <c r="AL117" i="18" s="1"/>
  <c r="AQ116" i="18"/>
  <c r="AP116" i="18"/>
  <c r="AK116" i="18"/>
  <c r="J116" i="18"/>
  <c r="AL116" i="18" s="1"/>
  <c r="AQ115" i="18"/>
  <c r="AP115" i="18"/>
  <c r="AL115" i="18"/>
  <c r="AK115" i="18"/>
  <c r="F114" i="18"/>
  <c r="A120" i="18"/>
  <c r="AP121" i="18"/>
  <c r="A121" i="18"/>
  <c r="AL121" i="18" s="1"/>
  <c r="AQ120" i="18"/>
  <c r="AP120" i="18"/>
  <c r="AL120" i="18"/>
  <c r="AK120" i="18"/>
  <c r="J119" i="18"/>
  <c r="F108" i="18"/>
  <c r="AP51" i="18"/>
  <c r="A51" i="18"/>
  <c r="AL51" i="18" s="1"/>
  <c r="J110" i="18"/>
  <c r="A110" i="18" s="1"/>
  <c r="A109" i="18"/>
  <c r="AP112" i="18"/>
  <c r="A112" i="18"/>
  <c r="AL112" i="18" s="1"/>
  <c r="AP111" i="18"/>
  <c r="A111" i="18"/>
  <c r="AL111" i="18" s="1"/>
  <c r="AQ110" i="18"/>
  <c r="AP110" i="18"/>
  <c r="AK110" i="18"/>
  <c r="AQ109" i="18"/>
  <c r="AP109" i="18"/>
  <c r="AL109" i="18"/>
  <c r="AK109" i="18"/>
  <c r="AX95" i="18"/>
  <c r="AT95" i="18"/>
  <c r="AS95" i="18"/>
  <c r="J90" i="18"/>
  <c r="AP65" i="18"/>
  <c r="A65" i="18"/>
  <c r="AL65" i="18" s="1"/>
  <c r="AP64" i="18"/>
  <c r="A64" i="18"/>
  <c r="AL64" i="18" s="1"/>
  <c r="AP60" i="18"/>
  <c r="A60" i="18"/>
  <c r="AL60" i="18" s="1"/>
  <c r="AP59" i="18"/>
  <c r="A59" i="18"/>
  <c r="A55" i="18"/>
  <c r="AP58" i="18"/>
  <c r="A58" i="18"/>
  <c r="AL58" i="18" s="1"/>
  <c r="AP57" i="18"/>
  <c r="A57" i="18"/>
  <c r="AL57" i="18" s="1"/>
  <c r="AP56" i="18"/>
  <c r="A56" i="18"/>
  <c r="AL56" i="18" s="1"/>
  <c r="AQ55" i="18"/>
  <c r="AP55" i="18"/>
  <c r="AL55" i="18"/>
  <c r="AK55" i="18"/>
  <c r="J54" i="18"/>
  <c r="F54" i="18"/>
  <c r="AP52" i="18"/>
  <c r="A52" i="18"/>
  <c r="AL52" i="18" s="1"/>
  <c r="A47" i="18"/>
  <c r="AP50" i="18"/>
  <c r="A50" i="18"/>
  <c r="AL50" i="18" s="1"/>
  <c r="AP49" i="18"/>
  <c r="A49" i="18"/>
  <c r="AL49" i="18" s="1"/>
  <c r="AP48" i="18"/>
  <c r="A48" i="18"/>
  <c r="AQ47" i="18"/>
  <c r="AP47" i="18"/>
  <c r="AL47" i="18"/>
  <c r="AK47" i="18"/>
  <c r="J46" i="18"/>
  <c r="F46" i="18"/>
  <c r="AP33" i="18"/>
  <c r="A33" i="18"/>
  <c r="AL33" i="18" s="1"/>
  <c r="AP44" i="18"/>
  <c r="A44" i="18"/>
  <c r="AL44" i="18" s="1"/>
  <c r="AP43" i="18"/>
  <c r="A43" i="18"/>
  <c r="AL43" i="18" s="1"/>
  <c r="AP42" i="18"/>
  <c r="A42" i="18"/>
  <c r="AL42" i="18" s="1"/>
  <c r="AP41" i="18"/>
  <c r="A41" i="18"/>
  <c r="AL41" i="18" s="1"/>
  <c r="AP39" i="18"/>
  <c r="A39" i="18"/>
  <c r="AL39" i="18" s="1"/>
  <c r="AP40" i="18"/>
  <c r="A40" i="18"/>
  <c r="AL40" i="18" s="1"/>
  <c r="AP38" i="18"/>
  <c r="A38" i="18"/>
  <c r="AL38" i="18" s="1"/>
  <c r="AQ37" i="18"/>
  <c r="AP37" i="18"/>
  <c r="AL37" i="18"/>
  <c r="AK37" i="18"/>
  <c r="A37" i="18"/>
  <c r="J36" i="18"/>
  <c r="F36" i="18"/>
  <c r="A31" i="18"/>
  <c r="AP34" i="18"/>
  <c r="A34" i="18"/>
  <c r="AL34" i="18" s="1"/>
  <c r="AP32" i="18"/>
  <c r="A32" i="18"/>
  <c r="AQ31" i="18"/>
  <c r="AP31" i="18"/>
  <c r="AL31" i="18"/>
  <c r="AK31" i="18"/>
  <c r="J30" i="18"/>
  <c r="F30" i="18"/>
  <c r="T298" i="40"/>
  <c r="P298" i="40"/>
  <c r="O297" i="40"/>
  <c r="P297" i="40"/>
  <c r="S297" i="40"/>
  <c r="T297" i="40"/>
  <c r="A26" i="18"/>
  <c r="AP28" i="18"/>
  <c r="AP27" i="18"/>
  <c r="A27" i="18"/>
  <c r="AL27" i="18" s="1"/>
  <c r="AQ26" i="18"/>
  <c r="AP26" i="18"/>
  <c r="AL26" i="18"/>
  <c r="AK26" i="18"/>
  <c r="J25" i="18"/>
  <c r="F25" i="18"/>
  <c r="A21" i="18"/>
  <c r="L336" i="40"/>
  <c r="O313" i="40"/>
  <c r="L313" i="40"/>
  <c r="L309" i="40"/>
  <c r="N29" i="40"/>
  <c r="M45" i="40"/>
  <c r="M42" i="40"/>
  <c r="L278" i="40"/>
  <c r="L138" i="40"/>
  <c r="L39" i="40"/>
  <c r="L139" i="40"/>
  <c r="L36" i="40"/>
  <c r="L305" i="40"/>
  <c r="L288" i="40"/>
  <c r="L293" i="40"/>
  <c r="L300" i="40"/>
  <c r="L363" i="40"/>
  <c r="L21" i="18" l="1"/>
  <c r="L23" i="18"/>
  <c r="L22" i="18"/>
  <c r="L190" i="18"/>
  <c r="L198" i="18"/>
  <c r="L202" i="18"/>
  <c r="L203" i="18" s="1"/>
  <c r="L30" i="18"/>
  <c r="L46" i="18"/>
  <c r="L54" i="18"/>
  <c r="L63" i="18"/>
  <c r="L25" i="18"/>
  <c r="L195" i="18"/>
  <c r="L196" i="18"/>
  <c r="L76" i="18"/>
  <c r="L77" i="18" s="1"/>
  <c r="L210" i="18"/>
  <c r="L209" i="18"/>
  <c r="L67" i="18"/>
  <c r="L218" i="18"/>
  <c r="L222" i="18"/>
  <c r="L219" i="18"/>
  <c r="L36" i="18"/>
  <c r="L82" i="18"/>
  <c r="L86" i="18" s="1"/>
  <c r="L136" i="18"/>
  <c r="L163" i="18"/>
  <c r="L95" i="18"/>
  <c r="M221" i="18"/>
  <c r="M220" i="18"/>
  <c r="AI219" i="18"/>
  <c r="AC222" i="18"/>
  <c r="AC217" i="18" s="1"/>
  <c r="B218" i="18"/>
  <c r="AR218" i="18" s="1"/>
  <c r="AT218" i="18" s="1"/>
  <c r="A92" i="18"/>
  <c r="AL159" i="18"/>
  <c r="AL196" i="18"/>
  <c r="A222" i="18"/>
  <c r="AL101" i="18"/>
  <c r="A116" i="18"/>
  <c r="AL110" i="18"/>
  <c r="AL59" i="18"/>
  <c r="AL48" i="18"/>
  <c r="AL32" i="18"/>
  <c r="A28" i="18"/>
  <c r="AC214" i="18" l="1"/>
  <c r="L65" i="18"/>
  <c r="L64" i="18"/>
  <c r="L60" i="18"/>
  <c r="L59" i="18"/>
  <c r="L58" i="18"/>
  <c r="L55" i="18"/>
  <c r="L57" i="18"/>
  <c r="L56" i="18"/>
  <c r="L52" i="18"/>
  <c r="L50" i="18"/>
  <c r="L49" i="18"/>
  <c r="L48" i="18"/>
  <c r="L47" i="18"/>
  <c r="L51" i="18"/>
  <c r="L32" i="18"/>
  <c r="L33" i="18"/>
  <c r="L34" i="18"/>
  <c r="L31" i="18"/>
  <c r="L114" i="18"/>
  <c r="L124" i="18"/>
  <c r="L129" i="18"/>
  <c r="L108" i="18"/>
  <c r="L98" i="18"/>
  <c r="L119" i="18"/>
  <c r="L176" i="18"/>
  <c r="L172" i="18"/>
  <c r="L180" i="18"/>
  <c r="L181" i="18" s="1"/>
  <c r="L167" i="18"/>
  <c r="L73" i="18"/>
  <c r="L72" i="18"/>
  <c r="L71" i="18"/>
  <c r="L68" i="18"/>
  <c r="L70" i="18"/>
  <c r="L69" i="18"/>
  <c r="L74" i="18"/>
  <c r="L42" i="18"/>
  <c r="L40" i="18"/>
  <c r="L39" i="18"/>
  <c r="L38" i="18"/>
  <c r="L43" i="18"/>
  <c r="L41" i="18"/>
  <c r="L37" i="18"/>
  <c r="L44" i="18"/>
  <c r="L145" i="18"/>
  <c r="L157" i="18"/>
  <c r="L139" i="18"/>
  <c r="L152" i="18"/>
  <c r="L200" i="18"/>
  <c r="L199" i="18"/>
  <c r="L92" i="18"/>
  <c r="L91" i="18"/>
  <c r="L90" i="18"/>
  <c r="L87" i="18"/>
  <c r="L88" i="18"/>
  <c r="L93" i="18"/>
  <c r="L89" i="18"/>
  <c r="L28" i="18"/>
  <c r="L27" i="18"/>
  <c r="L26" i="18"/>
  <c r="L191" i="18"/>
  <c r="L192" i="18"/>
  <c r="AJ181" i="18"/>
  <c r="AJ180" i="18" s="1"/>
  <c r="M203" i="18"/>
  <c r="M202" i="18" s="1"/>
  <c r="AJ209" i="18"/>
  <c r="AJ208" i="18" s="1"/>
  <c r="B77" i="18"/>
  <c r="B76" i="18" s="1"/>
  <c r="AL92" i="18"/>
  <c r="AG222" i="18"/>
  <c r="AG217" i="18" s="1"/>
  <c r="AG214" i="18" s="1"/>
  <c r="AR220" i="18"/>
  <c r="AR221" i="18"/>
  <c r="B220" i="18"/>
  <c r="M219" i="18"/>
  <c r="B219" i="18"/>
  <c r="AR219" i="18" s="1"/>
  <c r="AT219" i="18" s="1"/>
  <c r="AD222" i="18"/>
  <c r="AD217" i="18" s="1"/>
  <c r="AD214" i="18" s="1"/>
  <c r="AJ222" i="18"/>
  <c r="AJ217" i="18" s="1"/>
  <c r="M222" i="18"/>
  <c r="AL222" i="18"/>
  <c r="AI222" i="18" s="1"/>
  <c r="AI217" i="18" s="1"/>
  <c r="AI214" i="18" s="1"/>
  <c r="B222" i="18"/>
  <c r="B221" i="18"/>
  <c r="AI221" i="18"/>
  <c r="M218" i="18"/>
  <c r="AI218" i="18"/>
  <c r="AL28" i="18"/>
  <c r="AK208" i="18" l="1"/>
  <c r="AJ205" i="18"/>
  <c r="L121" i="18"/>
  <c r="L122" i="18"/>
  <c r="L120" i="18"/>
  <c r="AH217" i="18"/>
  <c r="AL217" i="18" s="1"/>
  <c r="AN217" i="18" s="1"/>
  <c r="AO217" i="18" s="1"/>
  <c r="L153" i="18"/>
  <c r="B153" i="18" s="1"/>
  <c r="L155" i="18"/>
  <c r="L154" i="18"/>
  <c r="L99" i="18"/>
  <c r="L105" i="18"/>
  <c r="L104" i="18"/>
  <c r="L103" i="18"/>
  <c r="AG103" i="18" s="1"/>
  <c r="L100" i="18"/>
  <c r="L106" i="18"/>
  <c r="L102" i="18"/>
  <c r="L101" i="18"/>
  <c r="AD101" i="18" s="1"/>
  <c r="AH214" i="18"/>
  <c r="AK180" i="18"/>
  <c r="L143" i="18"/>
  <c r="L140" i="18"/>
  <c r="L142" i="18"/>
  <c r="L141" i="18"/>
  <c r="L109" i="18"/>
  <c r="L110" i="18"/>
  <c r="L111" i="18"/>
  <c r="L112" i="18"/>
  <c r="AJ112" i="18" s="1"/>
  <c r="B217" i="18"/>
  <c r="L160" i="18"/>
  <c r="AJ160" i="18" s="1"/>
  <c r="L159" i="18"/>
  <c r="L158" i="18"/>
  <c r="L133" i="18"/>
  <c r="L131" i="18"/>
  <c r="L130" i="18"/>
  <c r="L132" i="18"/>
  <c r="L117" i="18"/>
  <c r="L116" i="18"/>
  <c r="L115" i="18"/>
  <c r="L149" i="18"/>
  <c r="L147" i="18"/>
  <c r="L146" i="18"/>
  <c r="L148" i="18"/>
  <c r="L169" i="18"/>
  <c r="L168" i="18"/>
  <c r="L127" i="18"/>
  <c r="AC127" i="18" s="1"/>
  <c r="L126" i="18"/>
  <c r="L125" i="18"/>
  <c r="M217" i="18"/>
  <c r="M214" i="18" s="1"/>
  <c r="AJ214" i="18"/>
  <c r="AK217" i="18"/>
  <c r="L173" i="18"/>
  <c r="L174" i="18"/>
  <c r="L178" i="18"/>
  <c r="L177" i="18"/>
  <c r="AF100" i="18"/>
  <c r="AJ131" i="18"/>
  <c r="AJ125" i="18"/>
  <c r="AJ142" i="18"/>
  <c r="AE199" i="18"/>
  <c r="AE198" i="18" s="1"/>
  <c r="AJ195" i="18"/>
  <c r="AJ194" i="18" s="1"/>
  <c r="AK194" i="18" s="1"/>
  <c r="AG192" i="18"/>
  <c r="AE191" i="18"/>
  <c r="AE190" i="18" s="1"/>
  <c r="AF55" i="18"/>
  <c r="AF54" i="18" s="1"/>
  <c r="AG69" i="18"/>
  <c r="AC32" i="18"/>
  <c r="AI31" i="18"/>
  <c r="AJ52" i="18"/>
  <c r="M51" i="18"/>
  <c r="AC104" i="18"/>
  <c r="AI40" i="18"/>
  <c r="M126" i="18"/>
  <c r="M120" i="18"/>
  <c r="AJ73" i="18"/>
  <c r="AJ64" i="18"/>
  <c r="B26" i="18"/>
  <c r="AR26" i="18" s="1"/>
  <c r="M102" i="18"/>
  <c r="M21" i="18"/>
  <c r="M50" i="18"/>
  <c r="AF37" i="18"/>
  <c r="M110" i="18"/>
  <c r="AJ109" i="18"/>
  <c r="AG131" i="18"/>
  <c r="AG28" i="18"/>
  <c r="AC43" i="18"/>
  <c r="AJ42" i="18"/>
  <c r="B38" i="18"/>
  <c r="AR38" i="18" s="1"/>
  <c r="AC44" i="18"/>
  <c r="B106" i="18"/>
  <c r="AJ65" i="18"/>
  <c r="M116" i="18"/>
  <c r="M47" i="18"/>
  <c r="AG48" i="18"/>
  <c r="B196" i="18"/>
  <c r="AC57" i="18"/>
  <c r="AI59" i="18"/>
  <c r="M74" i="18"/>
  <c r="AI72" i="18"/>
  <c r="B99" i="18"/>
  <c r="AG70" i="18"/>
  <c r="AC58" i="18"/>
  <c r="M92" i="18"/>
  <c r="AJ92" i="18"/>
  <c r="AG68" i="18"/>
  <c r="AG39" i="18"/>
  <c r="AJ34" i="18"/>
  <c r="AG49" i="18"/>
  <c r="B33" i="18"/>
  <c r="AR33" i="18" s="1"/>
  <c r="AD71" i="18"/>
  <c r="M27" i="18"/>
  <c r="AJ41" i="18"/>
  <c r="AD56" i="18"/>
  <c r="M60" i="18"/>
  <c r="AD200" i="18"/>
  <c r="AD198" i="18" s="1"/>
  <c r="M209" i="18"/>
  <c r="B211" i="18"/>
  <c r="B208" i="18" s="1"/>
  <c r="AC211" i="18"/>
  <c r="M211" i="18"/>
  <c r="AG211" i="18"/>
  <c r="AD211" i="18"/>
  <c r="AI211" i="18"/>
  <c r="AG203" i="18"/>
  <c r="AG202" i="18" s="1"/>
  <c r="AI203" i="18"/>
  <c r="AI202" i="18" s="1"/>
  <c r="AJ203" i="18"/>
  <c r="AJ202" i="18" s="1"/>
  <c r="B203" i="18"/>
  <c r="B202" i="18" s="1"/>
  <c r="B209" i="18"/>
  <c r="AR209" i="18" s="1"/>
  <c r="AJ77" i="18"/>
  <c r="AJ76" i="18" s="1"/>
  <c r="AI77" i="18"/>
  <c r="AI76" i="18" s="1"/>
  <c r="AE77" i="18"/>
  <c r="AE76" i="18" s="1"/>
  <c r="M77" i="18"/>
  <c r="M76" i="18" s="1"/>
  <c r="AG77" i="18"/>
  <c r="AG76" i="18" s="1"/>
  <c r="AR222" i="18"/>
  <c r="AR217" i="18" s="1"/>
  <c r="AG181" i="18"/>
  <c r="AG180" i="18" s="1"/>
  <c r="AE181" i="18"/>
  <c r="AE180" i="18" s="1"/>
  <c r="AI181" i="18"/>
  <c r="AI180" i="18" s="1"/>
  <c r="B181" i="18"/>
  <c r="B180" i="18" s="1"/>
  <c r="M181" i="18"/>
  <c r="M180" i="18" s="1"/>
  <c r="AR77" i="18"/>
  <c r="AR76" i="18" s="1"/>
  <c r="AE209" i="18"/>
  <c r="AE208" i="18" s="1"/>
  <c r="AE205" i="18" s="1"/>
  <c r="AI209" i="18"/>
  <c r="AG209" i="18"/>
  <c r="AG210" i="18"/>
  <c r="AD210" i="18"/>
  <c r="AC210" i="18"/>
  <c r="M210" i="18"/>
  <c r="B210" i="18"/>
  <c r="AI210" i="18"/>
  <c r="AC208" i="18" l="1"/>
  <c r="AJ108" i="18"/>
  <c r="AK108" i="18" s="1"/>
  <c r="AP76" i="18"/>
  <c r="AH202" i="18"/>
  <c r="B214" i="18"/>
  <c r="AM217" i="18"/>
  <c r="M54" i="18"/>
  <c r="AK214" i="18"/>
  <c r="B205" i="18"/>
  <c r="AH76" i="18"/>
  <c r="AL76" i="18" s="1"/>
  <c r="AI208" i="18"/>
  <c r="AI205" i="18" s="1"/>
  <c r="AJ63" i="18"/>
  <c r="AK63" i="18" s="1"/>
  <c r="AD208" i="18"/>
  <c r="AD205" i="18" s="1"/>
  <c r="AG190" i="18"/>
  <c r="AC205" i="18"/>
  <c r="AK76" i="18"/>
  <c r="AK202" i="18"/>
  <c r="AG208" i="18"/>
  <c r="AG205" i="18" s="1"/>
  <c r="AL214" i="18"/>
  <c r="AN214" i="18" s="1"/>
  <c r="AO214" i="18" s="1"/>
  <c r="AH180" i="18"/>
  <c r="AL180" i="18" s="1"/>
  <c r="AN180" i="18" s="1"/>
  <c r="AO180" i="18" s="1"/>
  <c r="M208" i="18"/>
  <c r="M205" i="18" s="1"/>
  <c r="AK205" i="18"/>
  <c r="AR214" i="18"/>
  <c r="AP217" i="18"/>
  <c r="B131" i="18"/>
  <c r="AR131" i="18" s="1"/>
  <c r="AE131" i="18"/>
  <c r="M131" i="18"/>
  <c r="B213" i="18"/>
  <c r="AU214" i="18" s="1"/>
  <c r="AI131" i="18"/>
  <c r="AG132" i="18"/>
  <c r="AI132" i="18"/>
  <c r="AD132" i="18"/>
  <c r="AC132" i="18"/>
  <c r="M132" i="18"/>
  <c r="B132" i="18"/>
  <c r="AR132" i="18" s="1"/>
  <c r="M130" i="18"/>
  <c r="B130" i="18"/>
  <c r="AR130" i="18" s="1"/>
  <c r="AE130" i="18"/>
  <c r="AG130" i="18"/>
  <c r="AI130" i="18"/>
  <c r="AJ130" i="18"/>
  <c r="M133" i="18"/>
  <c r="AJ133" i="18"/>
  <c r="AC133" i="18"/>
  <c r="AD133" i="18"/>
  <c r="AG133" i="18"/>
  <c r="AI133" i="18"/>
  <c r="B133" i="18"/>
  <c r="B129" i="18" s="1"/>
  <c r="AJ122" i="18"/>
  <c r="B122" i="18"/>
  <c r="M122" i="18"/>
  <c r="AI122" i="18"/>
  <c r="AD122" i="18"/>
  <c r="AC122" i="18"/>
  <c r="AG122" i="18"/>
  <c r="AC196" i="18"/>
  <c r="AC194" i="18" s="1"/>
  <c r="AI196" i="18"/>
  <c r="AI194" i="18" s="1"/>
  <c r="M195" i="18"/>
  <c r="AI106" i="18"/>
  <c r="AR99" i="18"/>
  <c r="M199" i="18"/>
  <c r="AI103" i="18"/>
  <c r="M72" i="18"/>
  <c r="B103" i="18"/>
  <c r="AR103" i="18" s="1"/>
  <c r="M158" i="18"/>
  <c r="B158" i="18"/>
  <c r="AR158" i="18" s="1"/>
  <c r="M159" i="18"/>
  <c r="AG159" i="18"/>
  <c r="AC159" i="18"/>
  <c r="AD159" i="18"/>
  <c r="B159" i="18"/>
  <c r="AR159" i="18" s="1"/>
  <c r="AI159" i="18"/>
  <c r="AG160" i="18"/>
  <c r="AD160" i="18"/>
  <c r="AC160" i="18"/>
  <c r="AC157" i="18" s="1"/>
  <c r="M160" i="18"/>
  <c r="M157" i="18" s="1"/>
  <c r="AI160" i="18"/>
  <c r="B160" i="18"/>
  <c r="AG158" i="18"/>
  <c r="AE158" i="18"/>
  <c r="AE157" i="18" s="1"/>
  <c r="AJ158" i="18"/>
  <c r="AJ157" i="18" s="1"/>
  <c r="AI158" i="18"/>
  <c r="AC200" i="18"/>
  <c r="AC198" i="18" s="1"/>
  <c r="M196" i="18"/>
  <c r="M194" i="18" s="1"/>
  <c r="AG199" i="18"/>
  <c r="AG200" i="18"/>
  <c r="M200" i="18"/>
  <c r="M198" i="18" s="1"/>
  <c r="M186" i="18" s="1"/>
  <c r="AI200" i="18"/>
  <c r="M146" i="18"/>
  <c r="B146" i="18"/>
  <c r="AR146" i="18" s="1"/>
  <c r="AG146" i="18"/>
  <c r="AF146" i="18"/>
  <c r="AF145" i="18" s="1"/>
  <c r="AE146" i="18"/>
  <c r="AE145" i="18" s="1"/>
  <c r="AJ146" i="18"/>
  <c r="AI146" i="18"/>
  <c r="B147" i="18"/>
  <c r="AR147" i="18" s="1"/>
  <c r="AG147" i="18"/>
  <c r="AD147" i="18"/>
  <c r="M147" i="18"/>
  <c r="AC147" i="18"/>
  <c r="AI147" i="18"/>
  <c r="AG148" i="18"/>
  <c r="AD148" i="18"/>
  <c r="AC148" i="18"/>
  <c r="M148" i="18"/>
  <c r="AJ148" i="18"/>
  <c r="B148" i="18"/>
  <c r="AR148" i="18" s="1"/>
  <c r="AI148" i="18"/>
  <c r="B149" i="18"/>
  <c r="AG149" i="18"/>
  <c r="M149" i="18"/>
  <c r="M145" i="18" s="1"/>
  <c r="AD149" i="18"/>
  <c r="AC149" i="18"/>
  <c r="AI149" i="18"/>
  <c r="AJ72" i="18"/>
  <c r="AC103" i="18"/>
  <c r="AG72" i="18"/>
  <c r="AC106" i="18"/>
  <c r="B191" i="18"/>
  <c r="AR191" i="18" s="1"/>
  <c r="M191" i="18"/>
  <c r="B200" i="18"/>
  <c r="B198" i="18" s="1"/>
  <c r="AG191" i="18"/>
  <c r="AC192" i="18"/>
  <c r="AC190" i="18" s="1"/>
  <c r="AJ191" i="18"/>
  <c r="AJ190" i="18" s="1"/>
  <c r="AK190" i="18" s="1"/>
  <c r="AI191" i="18"/>
  <c r="B199" i="18"/>
  <c r="AR199" i="18" s="1"/>
  <c r="AJ199" i="18"/>
  <c r="AJ198" i="18" s="1"/>
  <c r="AK198" i="18" s="1"/>
  <c r="AI199" i="18"/>
  <c r="AR203" i="18"/>
  <c r="AR202" i="18" s="1"/>
  <c r="AR211" i="18"/>
  <c r="AD73" i="18"/>
  <c r="AG196" i="18"/>
  <c r="AG194" i="18" s="1"/>
  <c r="M68" i="18"/>
  <c r="AI192" i="18"/>
  <c r="AD196" i="18"/>
  <c r="AD194" i="18" s="1"/>
  <c r="AD186" i="18" s="1"/>
  <c r="M192" i="18"/>
  <c r="M190" i="18" s="1"/>
  <c r="AD192" i="18"/>
  <c r="AD190" i="18" s="1"/>
  <c r="AI195" i="18"/>
  <c r="AE195" i="18"/>
  <c r="AE194" i="18" s="1"/>
  <c r="AE186" i="18" s="1"/>
  <c r="AE183" i="18" s="1"/>
  <c r="B192" i="18"/>
  <c r="B195" i="18"/>
  <c r="AR195" i="18" s="1"/>
  <c r="AG195" i="18"/>
  <c r="AD72" i="18"/>
  <c r="M106" i="18"/>
  <c r="AG73" i="18"/>
  <c r="A202" i="18"/>
  <c r="AI101" i="18"/>
  <c r="M103" i="18"/>
  <c r="AD103" i="18"/>
  <c r="AJ106" i="18"/>
  <c r="M70" i="18"/>
  <c r="AG106" i="18"/>
  <c r="M73" i="18"/>
  <c r="M67" i="18" s="1"/>
  <c r="B70" i="18"/>
  <c r="AR70" i="18" s="1"/>
  <c r="AG99" i="18"/>
  <c r="AI99" i="18"/>
  <c r="AJ99" i="18"/>
  <c r="AD99" i="18"/>
  <c r="AD106" i="18"/>
  <c r="M71" i="18"/>
  <c r="AF71" i="18"/>
  <c r="AI71" i="18"/>
  <c r="AD104" i="18"/>
  <c r="B71" i="18"/>
  <c r="AR71" i="18" s="1"/>
  <c r="B104" i="18"/>
  <c r="AR104" i="18" s="1"/>
  <c r="AR196" i="18"/>
  <c r="AI73" i="18"/>
  <c r="M99" i="18"/>
  <c r="AC73" i="18"/>
  <c r="AC70" i="18"/>
  <c r="AI102" i="18"/>
  <c r="B73" i="18"/>
  <c r="AR73" i="18" s="1"/>
  <c r="AJ103" i="18"/>
  <c r="AJ104" i="18"/>
  <c r="AC102" i="18"/>
  <c r="AD102" i="18"/>
  <c r="AD70" i="18"/>
  <c r="B102" i="18"/>
  <c r="AR102" i="18" s="1"/>
  <c r="AC99" i="18"/>
  <c r="AF99" i="18"/>
  <c r="AC71" i="18"/>
  <c r="B74" i="18"/>
  <c r="AC74" i="18"/>
  <c r="AJ74" i="18"/>
  <c r="AG71" i="18"/>
  <c r="M69" i="18"/>
  <c r="AI74" i="18"/>
  <c r="AD68" i="18"/>
  <c r="AJ68" i="18"/>
  <c r="AC101" i="18"/>
  <c r="AG104" i="18"/>
  <c r="B101" i="18"/>
  <c r="AR101" i="18" s="1"/>
  <c r="B72" i="18"/>
  <c r="AR72" i="18" s="1"/>
  <c r="M104" i="18"/>
  <c r="AI68" i="18"/>
  <c r="M101" i="18"/>
  <c r="AC72" i="18"/>
  <c r="AG101" i="18"/>
  <c r="AC68" i="18"/>
  <c r="AF68" i="18"/>
  <c r="B68" i="18"/>
  <c r="AR68" i="18" s="1"/>
  <c r="AG74" i="18"/>
  <c r="AD74" i="18"/>
  <c r="A217" i="18"/>
  <c r="AR106" i="18"/>
  <c r="AR181" i="18"/>
  <c r="AR180" i="18" s="1"/>
  <c r="AD100" i="18"/>
  <c r="AI69" i="18"/>
  <c r="A76" i="18"/>
  <c r="AJ100" i="18"/>
  <c r="AJ69" i="18"/>
  <c r="AC100" i="18"/>
  <c r="AC69" i="18"/>
  <c r="AG100" i="18"/>
  <c r="AD69" i="18"/>
  <c r="B69" i="18"/>
  <c r="AR69" i="18" s="1"/>
  <c r="M100" i="18"/>
  <c r="AI100" i="18"/>
  <c r="B100" i="18"/>
  <c r="AR100" i="18" s="1"/>
  <c r="AF69" i="18"/>
  <c r="AF101" i="18"/>
  <c r="AI70" i="18"/>
  <c r="AF70" i="18"/>
  <c r="AF102" i="18"/>
  <c r="AG102" i="18"/>
  <c r="A180" i="18"/>
  <c r="B187" i="18"/>
  <c r="AR210" i="18"/>
  <c r="AD126" i="18"/>
  <c r="B126" i="18"/>
  <c r="AR126" i="18" s="1"/>
  <c r="AI126" i="18"/>
  <c r="M105" i="18"/>
  <c r="AC105" i="18"/>
  <c r="AJ105" i="18"/>
  <c r="AG105" i="18"/>
  <c r="AD105" i="18"/>
  <c r="AI105" i="18"/>
  <c r="B105" i="18"/>
  <c r="B98" i="18" s="1"/>
  <c r="AI104" i="18"/>
  <c r="AG126" i="18"/>
  <c r="B109" i="18"/>
  <c r="AR109" i="18" s="1"/>
  <c r="AC126" i="18"/>
  <c r="AC124" i="18" s="1"/>
  <c r="M125" i="18"/>
  <c r="B125" i="18"/>
  <c r="AR125" i="18" s="1"/>
  <c r="B120" i="18"/>
  <c r="AR120" i="18" s="1"/>
  <c r="M127" i="18"/>
  <c r="AD127" i="18"/>
  <c r="AD124" i="18" s="1"/>
  <c r="AG125" i="18"/>
  <c r="AJ127" i="18"/>
  <c r="AJ124" i="18" s="1"/>
  <c r="AK124" i="18" s="1"/>
  <c r="AG127" i="18"/>
  <c r="AI127" i="18"/>
  <c r="B127" i="18"/>
  <c r="B124" i="18" s="1"/>
  <c r="AI125" i="18"/>
  <c r="AE125" i="18"/>
  <c r="AE124" i="18" s="1"/>
  <c r="B177" i="18"/>
  <c r="M177" i="18"/>
  <c r="AG173" i="18"/>
  <c r="AE173" i="18"/>
  <c r="AE172" i="18" s="1"/>
  <c r="M173" i="18"/>
  <c r="AJ173" i="18"/>
  <c r="AJ172" i="18" s="1"/>
  <c r="AK172" i="18" s="1"/>
  <c r="AI173" i="18"/>
  <c r="B173" i="18"/>
  <c r="AR173" i="18" s="1"/>
  <c r="B174" i="18"/>
  <c r="B172" i="18" s="1"/>
  <c r="AG174" i="18"/>
  <c r="AD174" i="18"/>
  <c r="AD172" i="18" s="1"/>
  <c r="AC174" i="18"/>
  <c r="AC172" i="18" s="1"/>
  <c r="M174" i="18"/>
  <c r="M172" i="18" s="1"/>
  <c r="AI174" i="18"/>
  <c r="B168" i="18"/>
  <c r="M168" i="18"/>
  <c r="M140" i="18"/>
  <c r="B140" i="18"/>
  <c r="M153" i="18"/>
  <c r="M142" i="18"/>
  <c r="AC142" i="18"/>
  <c r="AG142" i="18"/>
  <c r="AD142" i="18"/>
  <c r="AI142" i="18"/>
  <c r="B142" i="18"/>
  <c r="AR142" i="18" s="1"/>
  <c r="AC51" i="18"/>
  <c r="AF115" i="18"/>
  <c r="B115" i="18"/>
  <c r="AR115" i="18" s="1"/>
  <c r="M115" i="18"/>
  <c r="B43" i="18"/>
  <c r="AR43" i="18" s="1"/>
  <c r="AJ40" i="18"/>
  <c r="B116" i="18"/>
  <c r="AR116" i="18" s="1"/>
  <c r="AF116" i="18"/>
  <c r="AF114" i="18" s="1"/>
  <c r="AG116" i="18"/>
  <c r="AE116" i="18"/>
  <c r="AE114" i="18" s="1"/>
  <c r="AI116" i="18"/>
  <c r="M117" i="18"/>
  <c r="M114" i="18" s="1"/>
  <c r="AJ117" i="18"/>
  <c r="AJ114" i="18" s="1"/>
  <c r="AK114" i="18" s="1"/>
  <c r="AG117" i="18"/>
  <c r="AD117" i="18"/>
  <c r="AD114" i="18" s="1"/>
  <c r="AC117" i="18"/>
  <c r="AC114" i="18" s="1"/>
  <c r="AI117" i="18"/>
  <c r="B117" i="18"/>
  <c r="B114" i="18" s="1"/>
  <c r="AI115" i="18"/>
  <c r="AG115" i="18"/>
  <c r="AE115" i="18"/>
  <c r="M121" i="18"/>
  <c r="AJ121" i="18"/>
  <c r="AG121" i="18"/>
  <c r="AD121" i="18"/>
  <c r="AC121" i="18"/>
  <c r="AI121" i="18"/>
  <c r="B121" i="18"/>
  <c r="AG120" i="18"/>
  <c r="AE120" i="18"/>
  <c r="AE119" i="18" s="1"/>
  <c r="AI120" i="18"/>
  <c r="M52" i="18"/>
  <c r="M46" i="18" s="1"/>
  <c r="AJ51" i="18"/>
  <c r="AI51" i="18"/>
  <c r="AD51" i="18"/>
  <c r="B51" i="18"/>
  <c r="AR51" i="18" s="1"/>
  <c r="AG51" i="18"/>
  <c r="M109" i="18"/>
  <c r="AG58" i="18"/>
  <c r="AG59" i="18"/>
  <c r="AI48" i="18"/>
  <c r="AG111" i="18"/>
  <c r="AD111" i="18"/>
  <c r="AC111" i="18"/>
  <c r="M111" i="18"/>
  <c r="AI111" i="18"/>
  <c r="B111" i="18"/>
  <c r="AE110" i="18"/>
  <c r="AE108" i="18" s="1"/>
  <c r="AG110" i="18"/>
  <c r="AF110" i="18"/>
  <c r="AF108" i="18" s="1"/>
  <c r="B110" i="18"/>
  <c r="AR110" i="18" s="1"/>
  <c r="AI110" i="18"/>
  <c r="AF109" i="18"/>
  <c r="AG109" i="18"/>
  <c r="AE109" i="18"/>
  <c r="AI109" i="18"/>
  <c r="AG112" i="18"/>
  <c r="AD112" i="18"/>
  <c r="AD108" i="18" s="1"/>
  <c r="AC112" i="18"/>
  <c r="M112" i="18"/>
  <c r="M108" i="18" s="1"/>
  <c r="B112" i="18"/>
  <c r="B108" i="18" s="1"/>
  <c r="AI112" i="18"/>
  <c r="AI44" i="18"/>
  <c r="AF44" i="18"/>
  <c r="AF36" i="18" s="1"/>
  <c r="AI43" i="18"/>
  <c r="AE55" i="18"/>
  <c r="AE54" i="18" s="1"/>
  <c r="M59" i="18"/>
  <c r="AC39" i="18"/>
  <c r="AC59" i="18"/>
  <c r="AC41" i="18"/>
  <c r="M58" i="18"/>
  <c r="AJ50" i="18"/>
  <c r="AC50" i="18"/>
  <c r="AG52" i="18"/>
  <c r="B58" i="18"/>
  <c r="AR58" i="18" s="1"/>
  <c r="AG57" i="18"/>
  <c r="AI57" i="18"/>
  <c r="B57" i="18"/>
  <c r="AR57" i="18" s="1"/>
  <c r="AF47" i="18"/>
  <c r="AF46" i="18" s="1"/>
  <c r="M33" i="18"/>
  <c r="AG33" i="18"/>
  <c r="M57" i="18"/>
  <c r="AD49" i="18"/>
  <c r="AG41" i="18"/>
  <c r="AG55" i="18"/>
  <c r="B50" i="18"/>
  <c r="AR50" i="18" s="1"/>
  <c r="AD57" i="18"/>
  <c r="AI55" i="18"/>
  <c r="B55" i="18"/>
  <c r="AR55" i="18" s="1"/>
  <c r="AJ55" i="18"/>
  <c r="M55" i="18"/>
  <c r="B39" i="18"/>
  <c r="AR39" i="18" s="1"/>
  <c r="AC52" i="18"/>
  <c r="AD58" i="18"/>
  <c r="AJ59" i="18"/>
  <c r="AJ58" i="18"/>
  <c r="AD59" i="18"/>
  <c r="B52" i="18"/>
  <c r="AI39" i="18"/>
  <c r="AD39" i="18"/>
  <c r="M42" i="18"/>
  <c r="M39" i="18"/>
  <c r="AI52" i="18"/>
  <c r="AI58" i="18"/>
  <c r="AD52" i="18"/>
  <c r="AD46" i="18" s="1"/>
  <c r="B59" i="18"/>
  <c r="AR59" i="18" s="1"/>
  <c r="M38" i="18"/>
  <c r="AI56" i="18"/>
  <c r="AG56" i="18"/>
  <c r="AD64" i="18"/>
  <c r="AC64" i="18"/>
  <c r="M64" i="18"/>
  <c r="B64" i="18"/>
  <c r="AR64" i="18" s="1"/>
  <c r="AG64" i="18"/>
  <c r="AI64" i="18"/>
  <c r="B56" i="18"/>
  <c r="AR56" i="18" s="1"/>
  <c r="M56" i="18"/>
  <c r="B65" i="18"/>
  <c r="AG65" i="18"/>
  <c r="AD65" i="18"/>
  <c r="AD63" i="18" s="1"/>
  <c r="AC65" i="18"/>
  <c r="M65" i="18"/>
  <c r="AI65" i="18"/>
  <c r="AI63" i="18" s="1"/>
  <c r="AC56" i="18"/>
  <c r="AI50" i="18"/>
  <c r="B60" i="18"/>
  <c r="AI60" i="18"/>
  <c r="AG60" i="18"/>
  <c r="AG54" i="18" s="1"/>
  <c r="AC60" i="18"/>
  <c r="AD60" i="18"/>
  <c r="AD54" i="18" s="1"/>
  <c r="AJ60" i="18"/>
  <c r="M44" i="18"/>
  <c r="AC49" i="18"/>
  <c r="B47" i="18"/>
  <c r="AR47" i="18" s="1"/>
  <c r="AG34" i="18"/>
  <c r="M34" i="18"/>
  <c r="AD44" i="18"/>
  <c r="AJ47" i="18"/>
  <c r="AG44" i="18"/>
  <c r="AE47" i="18"/>
  <c r="AE46" i="18" s="1"/>
  <c r="AI47" i="18"/>
  <c r="AJ44" i="18"/>
  <c r="AI49" i="18"/>
  <c r="AG47" i="18"/>
  <c r="AG31" i="18"/>
  <c r="AJ31" i="18"/>
  <c r="AJ30" i="18" s="1"/>
  <c r="AK30" i="18" s="1"/>
  <c r="B49" i="18"/>
  <c r="AR49" i="18" s="1"/>
  <c r="B44" i="18"/>
  <c r="M49" i="18"/>
  <c r="M48" i="18"/>
  <c r="AD50" i="18"/>
  <c r="AC48" i="18"/>
  <c r="AD42" i="18"/>
  <c r="AG50" i="18"/>
  <c r="AD48" i="18"/>
  <c r="B48" i="18"/>
  <c r="AR48" i="18" s="1"/>
  <c r="B41" i="18"/>
  <c r="AR41" i="18" s="1"/>
  <c r="AC38" i="18"/>
  <c r="M41" i="18"/>
  <c r="AD38" i="18"/>
  <c r="AD41" i="18"/>
  <c r="AI41" i="18"/>
  <c r="AG42" i="18"/>
  <c r="AI42" i="18"/>
  <c r="AG43" i="18"/>
  <c r="AD43" i="18"/>
  <c r="AC42" i="18"/>
  <c r="AJ43" i="18"/>
  <c r="M43" i="18"/>
  <c r="B42" i="18"/>
  <c r="AR42" i="18" s="1"/>
  <c r="AD33" i="18"/>
  <c r="AC33" i="18"/>
  <c r="AI33" i="18"/>
  <c r="M37" i="18"/>
  <c r="AE37" i="18"/>
  <c r="AE36" i="18" s="1"/>
  <c r="AI37" i="18"/>
  <c r="B40" i="18"/>
  <c r="AR40" i="18" s="1"/>
  <c r="AD40" i="18"/>
  <c r="AJ28" i="18"/>
  <c r="AD32" i="18"/>
  <c r="AC28" i="18"/>
  <c r="AC25" i="18" s="1"/>
  <c r="AC40" i="18"/>
  <c r="AG32" i="18"/>
  <c r="B34" i="18"/>
  <c r="B30" i="18" s="1"/>
  <c r="AG38" i="18"/>
  <c r="AI32" i="18"/>
  <c r="AI34" i="18"/>
  <c r="AE31" i="18"/>
  <c r="AE30" i="18" s="1"/>
  <c r="AG40" i="18"/>
  <c r="B37" i="18"/>
  <c r="AR37" i="18" s="1"/>
  <c r="B32" i="18"/>
  <c r="AR32" i="18" s="1"/>
  <c r="M31" i="18"/>
  <c r="M40" i="18"/>
  <c r="AJ37" i="18"/>
  <c r="M26" i="18"/>
  <c r="M32" i="18"/>
  <c r="AC34" i="18"/>
  <c r="AC30" i="18" s="1"/>
  <c r="B31" i="18"/>
  <c r="AR31" i="18" s="1"/>
  <c r="AI38" i="18"/>
  <c r="AG37" i="18"/>
  <c r="AD34" i="18"/>
  <c r="B28" i="18"/>
  <c r="AI28" i="18"/>
  <c r="M28" i="18"/>
  <c r="M25" i="18" s="1"/>
  <c r="AI26" i="18"/>
  <c r="AJ26" i="18"/>
  <c r="AD28" i="18"/>
  <c r="AI27" i="18"/>
  <c r="AG27" i="18"/>
  <c r="AG25" i="18" s="1"/>
  <c r="AD27" i="18"/>
  <c r="AC27" i="18"/>
  <c r="B27" i="18"/>
  <c r="AR27" i="18" s="1"/>
  <c r="AG26" i="18"/>
  <c r="AF26" i="18"/>
  <c r="AF25" i="18" s="1"/>
  <c r="AE26" i="18"/>
  <c r="AE25" i="18" s="1"/>
  <c r="AG21" i="18"/>
  <c r="B21" i="18"/>
  <c r="AM180" i="18" l="1"/>
  <c r="AI114" i="18"/>
  <c r="AC36" i="18"/>
  <c r="AJ46" i="18"/>
  <c r="AK46" i="18" s="1"/>
  <c r="AI172" i="18"/>
  <c r="AC63" i="18"/>
  <c r="AC145" i="18"/>
  <c r="AI129" i="18"/>
  <c r="AH124" i="18"/>
  <c r="AK157" i="18"/>
  <c r="AH36" i="18"/>
  <c r="M30" i="18"/>
  <c r="AC67" i="18"/>
  <c r="AG119" i="18"/>
  <c r="AP214" i="18"/>
  <c r="M183" i="18"/>
  <c r="AJ186" i="18"/>
  <c r="AD183" i="18"/>
  <c r="AN76" i="18"/>
  <c r="AO76" i="18" s="1"/>
  <c r="AM76" i="18"/>
  <c r="AD25" i="18"/>
  <c r="AG30" i="18"/>
  <c r="AI54" i="18"/>
  <c r="AG63" i="18"/>
  <c r="AI46" i="18"/>
  <c r="AI36" i="18"/>
  <c r="M124" i="18"/>
  <c r="AP180" i="18"/>
  <c r="B67" i="18"/>
  <c r="AR194" i="18"/>
  <c r="AJ98" i="18"/>
  <c r="AK98" i="18" s="1"/>
  <c r="AI190" i="18"/>
  <c r="AC98" i="18"/>
  <c r="AG145" i="18"/>
  <c r="AH145" i="18" s="1"/>
  <c r="AG198" i="18"/>
  <c r="AG186" i="18" s="1"/>
  <c r="B157" i="18"/>
  <c r="AC119" i="18"/>
  <c r="AG129" i="18"/>
  <c r="AH114" i="18"/>
  <c r="AL114" i="18" s="1"/>
  <c r="AN114" i="18" s="1"/>
  <c r="AO114" i="18" s="1"/>
  <c r="AJ36" i="18"/>
  <c r="AK36" i="18" s="1"/>
  <c r="B54" i="18"/>
  <c r="B63" i="18"/>
  <c r="AI108" i="18"/>
  <c r="AG114" i="18"/>
  <c r="B145" i="18"/>
  <c r="AI157" i="18"/>
  <c r="AD119" i="18"/>
  <c r="AD129" i="18"/>
  <c r="AH25" i="18"/>
  <c r="AC46" i="18"/>
  <c r="AH46" i="18" s="1"/>
  <c r="B190" i="18"/>
  <c r="AI119" i="18"/>
  <c r="AC129" i="18"/>
  <c r="AM214" i="18"/>
  <c r="B36" i="18"/>
  <c r="M36" i="18"/>
  <c r="AD67" i="18"/>
  <c r="AI67" i="18"/>
  <c r="AH190" i="18"/>
  <c r="AH198" i="18"/>
  <c r="AC186" i="18"/>
  <c r="AH186" i="18" s="1"/>
  <c r="AH157" i="18"/>
  <c r="AI98" i="18"/>
  <c r="M119" i="18"/>
  <c r="AJ129" i="18"/>
  <c r="AH208" i="18"/>
  <c r="AL208" i="18" s="1"/>
  <c r="AI124" i="18"/>
  <c r="AI25" i="18"/>
  <c r="AI30" i="18"/>
  <c r="AJ25" i="18"/>
  <c r="AK25" i="18" s="1"/>
  <c r="AG36" i="18"/>
  <c r="AJ54" i="18"/>
  <c r="AK54" i="18" s="1"/>
  <c r="AC108" i="18"/>
  <c r="AH172" i="18"/>
  <c r="AL172" i="18" s="1"/>
  <c r="AN172" i="18" s="1"/>
  <c r="AO172" i="18" s="1"/>
  <c r="AG124" i="18"/>
  <c r="AG67" i="18"/>
  <c r="AR208" i="18"/>
  <c r="AI145" i="18"/>
  <c r="AJ145" i="18"/>
  <c r="AK145" i="18" s="1"/>
  <c r="AD157" i="18"/>
  <c r="B119" i="18"/>
  <c r="M129" i="18"/>
  <c r="AE129" i="18"/>
  <c r="AE95" i="18" s="1"/>
  <c r="AG183" i="18"/>
  <c r="AC183" i="18"/>
  <c r="AH205" i="18"/>
  <c r="AL205" i="18" s="1"/>
  <c r="AN205" i="18" s="1"/>
  <c r="AO205" i="18" s="1"/>
  <c r="AD98" i="18"/>
  <c r="B25" i="18"/>
  <c r="M63" i="18"/>
  <c r="B46" i="18"/>
  <c r="AG46" i="18"/>
  <c r="AF67" i="18"/>
  <c r="AF16" i="18" s="1"/>
  <c r="AP202" i="18"/>
  <c r="AG157" i="18"/>
  <c r="AJ119" i="18"/>
  <c r="AK119" i="18" s="1"/>
  <c r="AD30" i="18"/>
  <c r="AH30" i="18" s="1"/>
  <c r="AL30" i="18" s="1"/>
  <c r="AD36" i="18"/>
  <c r="AC54" i="18"/>
  <c r="AH54" i="18" s="1"/>
  <c r="AH63" i="18"/>
  <c r="AL63" i="18" s="1"/>
  <c r="AN63" i="18" s="1"/>
  <c r="AO63" i="18" s="1"/>
  <c r="AG108" i="18"/>
  <c r="AG172" i="18"/>
  <c r="AF98" i="18"/>
  <c r="AF95" i="18" s="1"/>
  <c r="AJ67" i="18"/>
  <c r="AG98" i="18"/>
  <c r="M98" i="18"/>
  <c r="AD145" i="18"/>
  <c r="AI198" i="18"/>
  <c r="AH194" i="18"/>
  <c r="AL194" i="18" s="1"/>
  <c r="AN194" i="18" s="1"/>
  <c r="B95" i="18"/>
  <c r="B194" i="18"/>
  <c r="AM194" i="18" s="1"/>
  <c r="AL202" i="18"/>
  <c r="AR133" i="18"/>
  <c r="AR129" i="18" s="1"/>
  <c r="AR122" i="18"/>
  <c r="BC214" i="18"/>
  <c r="B206" i="18"/>
  <c r="AR160" i="18"/>
  <c r="AR157" i="18" s="1"/>
  <c r="AR149" i="18"/>
  <c r="AR145" i="18" s="1"/>
  <c r="AP145" i="18" s="1"/>
  <c r="AR200" i="18"/>
  <c r="AR198" i="18" s="1"/>
  <c r="AP198" i="18" s="1"/>
  <c r="AR192" i="18"/>
  <c r="AR190" i="18" s="1"/>
  <c r="AR74" i="18"/>
  <c r="AR67" i="18" s="1"/>
  <c r="A208" i="18"/>
  <c r="AR105" i="18"/>
  <c r="AR98" i="18" s="1"/>
  <c r="AP98" i="18" s="1"/>
  <c r="AR127" i="18"/>
  <c r="AR124" i="18" s="1"/>
  <c r="AP124" i="18" s="1"/>
  <c r="AR174" i="18"/>
  <c r="AR172" i="18" s="1"/>
  <c r="AP172" i="18" s="1"/>
  <c r="AR117" i="18"/>
  <c r="AR114" i="18" s="1"/>
  <c r="AP114" i="18" s="1"/>
  <c r="AR121" i="18"/>
  <c r="AR112" i="18"/>
  <c r="B96" i="18"/>
  <c r="AR111" i="18"/>
  <c r="AR52" i="18"/>
  <c r="AR46" i="18" s="1"/>
  <c r="AP46" i="18" s="1"/>
  <c r="AR65" i="18"/>
  <c r="AR63" i="18" s="1"/>
  <c r="AP63" i="18" s="1"/>
  <c r="AR60" i="18"/>
  <c r="AR54" i="18" s="1"/>
  <c r="AP54" i="18" s="1"/>
  <c r="AR44" i="18"/>
  <c r="AR36" i="18" s="1"/>
  <c r="AP36" i="18" s="1"/>
  <c r="AR34" i="18"/>
  <c r="AR30" i="18" s="1"/>
  <c r="AP30" i="18" s="1"/>
  <c r="AR28" i="18"/>
  <c r="AR25" i="18" s="1"/>
  <c r="AP25" i="18" s="1"/>
  <c r="AI95" i="18" l="1"/>
  <c r="AL145" i="18"/>
  <c r="AN145" i="18" s="1"/>
  <c r="AO145" i="18" s="1"/>
  <c r="AL124" i="18"/>
  <c r="AN124" i="18" s="1"/>
  <c r="AO124" i="18" s="1"/>
  <c r="AN30" i="18"/>
  <c r="AO30" i="18" s="1"/>
  <c r="AM30" i="18"/>
  <c r="AK67" i="18"/>
  <c r="AH98" i="18"/>
  <c r="AL98" i="18" s="1"/>
  <c r="AP157" i="18"/>
  <c r="AM124" i="18"/>
  <c r="AM205" i="18"/>
  <c r="AO194" i="18"/>
  <c r="AH67" i="18"/>
  <c r="AL67" i="18" s="1"/>
  <c r="AN67" i="18" s="1"/>
  <c r="AO67" i="18" s="1"/>
  <c r="AH183" i="18"/>
  <c r="AR119" i="18"/>
  <c r="AP119" i="18" s="1"/>
  <c r="AM114" i="18"/>
  <c r="AL46" i="18"/>
  <c r="AN46" i="18" s="1"/>
  <c r="AO46" i="18" s="1"/>
  <c r="AG95" i="18"/>
  <c r="AP67" i="18"/>
  <c r="AP129" i="18"/>
  <c r="AL54" i="18"/>
  <c r="AN54" i="18" s="1"/>
  <c r="AO54" i="18" s="1"/>
  <c r="AM25" i="18"/>
  <c r="AN208" i="18"/>
  <c r="AO208" i="18" s="1"/>
  <c r="AM208" i="18"/>
  <c r="AL190" i="18"/>
  <c r="AN190" i="18" s="1"/>
  <c r="AO190" i="18" s="1"/>
  <c r="AM63" i="18"/>
  <c r="B186" i="18"/>
  <c r="M95" i="18"/>
  <c r="AP194" i="18"/>
  <c r="AI186" i="18"/>
  <c r="AI183" i="18" s="1"/>
  <c r="AH108" i="18"/>
  <c r="AL108" i="18" s="1"/>
  <c r="AM172" i="18"/>
  <c r="AL198" i="18"/>
  <c r="AC95" i="18"/>
  <c r="AH129" i="18"/>
  <c r="AL25" i="18"/>
  <c r="AN25" i="18" s="1"/>
  <c r="AO25" i="18" s="1"/>
  <c r="AH119" i="18"/>
  <c r="AL119" i="18" s="1"/>
  <c r="AN119" i="18" s="1"/>
  <c r="AO119" i="18" s="1"/>
  <c r="AR108" i="18"/>
  <c r="AP108" i="18" s="1"/>
  <c r="AP190" i="18"/>
  <c r="AN202" i="18"/>
  <c r="AO202" i="18" s="1"/>
  <c r="AM202" i="18"/>
  <c r="AR186" i="18"/>
  <c r="AK129" i="18"/>
  <c r="AJ95" i="18"/>
  <c r="AK95" i="18" s="1"/>
  <c r="AD95" i="18"/>
  <c r="AP208" i="18"/>
  <c r="AR205" i="18"/>
  <c r="AL157" i="18"/>
  <c r="AN157" i="18" s="1"/>
  <c r="AO157" i="18" s="1"/>
  <c r="AM145" i="18"/>
  <c r="AK186" i="18"/>
  <c r="AJ183" i="18"/>
  <c r="AL36" i="18"/>
  <c r="AN36" i="18" s="1"/>
  <c r="AO36" i="18" s="1"/>
  <c r="A129" i="18"/>
  <c r="BC95" i="18"/>
  <c r="BC205" i="18"/>
  <c r="F15" i="19"/>
  <c r="L15" i="19" s="1"/>
  <c r="A157" i="18"/>
  <c r="A145" i="18"/>
  <c r="A205" i="18"/>
  <c r="A190" i="18"/>
  <c r="C206" i="18"/>
  <c r="AU205" i="18"/>
  <c r="A198" i="18"/>
  <c r="A194" i="18"/>
  <c r="AV205" i="18"/>
  <c r="AV214" i="18"/>
  <c r="A214" i="18"/>
  <c r="A98" i="18"/>
  <c r="A67" i="18"/>
  <c r="A124" i="18"/>
  <c r="A172" i="18"/>
  <c r="A114" i="18"/>
  <c r="A119" i="18"/>
  <c r="A108" i="18"/>
  <c r="A54" i="18"/>
  <c r="A46" i="18"/>
  <c r="A30" i="18"/>
  <c r="A36" i="18"/>
  <c r="A25" i="18"/>
  <c r="AM54" i="18" l="1"/>
  <c r="B183" i="18"/>
  <c r="AN108" i="18"/>
  <c r="AO108" i="18" s="1"/>
  <c r="AM108" i="18"/>
  <c r="AM67" i="18"/>
  <c r="AM119" i="18"/>
  <c r="AM157" i="18"/>
  <c r="AN198" i="18"/>
  <c r="AO198" i="18" s="1"/>
  <c r="AM198" i="18"/>
  <c r="AM36" i="18"/>
  <c r="AK183" i="18"/>
  <c r="F14" i="19"/>
  <c r="L14" i="19" s="1"/>
  <c r="AP186" i="18"/>
  <c r="AR183" i="18"/>
  <c r="AP205" i="18"/>
  <c r="AL129" i="18"/>
  <c r="AL186" i="18"/>
  <c r="AN186" i="18" s="1"/>
  <c r="AO186" i="18" s="1"/>
  <c r="AM190" i="18"/>
  <c r="AL183" i="18"/>
  <c r="AN183" i="18" s="1"/>
  <c r="AR95" i="18"/>
  <c r="AP95" i="18" s="1"/>
  <c r="AM46" i="18"/>
  <c r="AN98" i="18"/>
  <c r="AO98" i="18" s="1"/>
  <c r="AM98" i="18"/>
  <c r="AH95" i="18"/>
  <c r="AL95" i="18" s="1"/>
  <c r="BC186" i="18"/>
  <c r="BC183" i="18" s="1"/>
  <c r="BD95" i="18"/>
  <c r="BD11" i="18" s="1"/>
  <c r="BD7" i="18" s="1"/>
  <c r="F10" i="19"/>
  <c r="L10" i="19" s="1"/>
  <c r="AP178" i="18"/>
  <c r="AQ177" i="18"/>
  <c r="AP177" i="18"/>
  <c r="AL177" i="18"/>
  <c r="AK177" i="18"/>
  <c r="J176" i="18"/>
  <c r="AP169" i="18"/>
  <c r="A169" i="18"/>
  <c r="AL169" i="18" s="1"/>
  <c r="AQ168" i="18"/>
  <c r="AP168" i="18"/>
  <c r="AL168" i="18"/>
  <c r="AK168" i="18"/>
  <c r="J167" i="18"/>
  <c r="AX163" i="18"/>
  <c r="AT163" i="18"/>
  <c r="AS163" i="18"/>
  <c r="AP143" i="18"/>
  <c r="N14" i="19" l="1"/>
  <c r="AN129" i="18"/>
  <c r="AO129" i="18" s="1"/>
  <c r="AM129" i="18"/>
  <c r="AM186" i="18"/>
  <c r="AP183" i="18"/>
  <c r="AN95" i="18"/>
  <c r="AO95" i="18" s="1"/>
  <c r="AM95" i="18"/>
  <c r="AM183" i="18"/>
  <c r="AO183" i="18"/>
  <c r="AW205" i="18"/>
  <c r="AY205" i="18" s="1"/>
  <c r="AZ205" i="18" s="1"/>
  <c r="I15" i="19" s="1"/>
  <c r="H15" i="19" s="1"/>
  <c r="A178" i="18"/>
  <c r="AW214" i="18" l="1"/>
  <c r="AL178" i="18"/>
  <c r="A93" i="18"/>
  <c r="AL93" i="18" s="1"/>
  <c r="K91" i="18"/>
  <c r="J91" i="18"/>
  <c r="H91" i="18"/>
  <c r="AL87" i="18"/>
  <c r="AY214" i="18" l="1"/>
  <c r="AZ214" i="18" s="1"/>
  <c r="AE168" i="18"/>
  <c r="AE167" i="18" s="1"/>
  <c r="AG143" i="18"/>
  <c r="AG169" i="18"/>
  <c r="AC92" i="18" l="1"/>
  <c r="AG92" i="18"/>
  <c r="AD92" i="18"/>
  <c r="B92" i="18"/>
  <c r="AR92" i="18" s="1"/>
  <c r="AI92" i="18"/>
  <c r="AY215" i="18"/>
  <c r="I16" i="19" s="1"/>
  <c r="H16" i="19" s="1"/>
  <c r="AC169" i="18"/>
  <c r="AC167" i="18" s="1"/>
  <c r="AI168" i="18"/>
  <c r="AG168" i="18"/>
  <c r="AG167" i="18" s="1"/>
  <c r="AR168" i="18"/>
  <c r="AJ168" i="18"/>
  <c r="AJ167" i="18" s="1"/>
  <c r="AK167" i="18" s="1"/>
  <c r="AI169" i="18"/>
  <c r="AD169" i="18"/>
  <c r="AD167" i="18" s="1"/>
  <c r="B169" i="18"/>
  <c r="B167" i="18" s="1"/>
  <c r="M169" i="18"/>
  <c r="M167" i="18" s="1"/>
  <c r="AJ177" i="18"/>
  <c r="AJ176" i="18" s="1"/>
  <c r="AI177" i="18"/>
  <c r="AR177" i="18"/>
  <c r="AG177" i="18"/>
  <c r="AE177" i="18"/>
  <c r="AE176" i="18" s="1"/>
  <c r="AE163" i="18" s="1"/>
  <c r="AG178" i="18"/>
  <c r="AG176" i="18" s="1"/>
  <c r="M178" i="18"/>
  <c r="M176" i="18" s="1"/>
  <c r="M163" i="18" s="1"/>
  <c r="AD178" i="18"/>
  <c r="AD176" i="18" s="1"/>
  <c r="AD163" i="18" s="1"/>
  <c r="B178" i="18"/>
  <c r="B176" i="18" s="1"/>
  <c r="AC178" i="18"/>
  <c r="AC176" i="18" s="1"/>
  <c r="AI178" i="18"/>
  <c r="B163" i="18" l="1"/>
  <c r="AI167" i="18"/>
  <c r="AG163" i="18"/>
  <c r="AI176" i="18"/>
  <c r="AH176" i="18"/>
  <c r="AC163" i="18"/>
  <c r="AK176" i="18"/>
  <c r="AJ163" i="18"/>
  <c r="AH167" i="18"/>
  <c r="F12" i="19"/>
  <c r="B164" i="18"/>
  <c r="AR178" i="18"/>
  <c r="AR176" i="18" s="1"/>
  <c r="AR169" i="18"/>
  <c r="AR167" i="18" s="1"/>
  <c r="AP167" i="18" s="1"/>
  <c r="AJ91" i="18"/>
  <c r="AJ93" i="18"/>
  <c r="M93" i="18"/>
  <c r="AG93" i="18"/>
  <c r="AF93" i="18"/>
  <c r="AF86" i="18" s="1"/>
  <c r="AF82" i="18" s="1"/>
  <c r="AI93" i="18"/>
  <c r="C9" i="19"/>
  <c r="AP91" i="18"/>
  <c r="A91" i="18"/>
  <c r="AL91" i="18" s="1"/>
  <c r="AP90" i="18"/>
  <c r="H90" i="18"/>
  <c r="AP89" i="18"/>
  <c r="J89" i="18"/>
  <c r="M81" i="18" s="1"/>
  <c r="AU81" i="18" s="1"/>
  <c r="J88" i="18"/>
  <c r="AP87" i="18"/>
  <c r="A87" i="18"/>
  <c r="AX82" i="18"/>
  <c r="AT82" i="18"/>
  <c r="AS82" i="18"/>
  <c r="D8" i="19"/>
  <c r="C8" i="19"/>
  <c r="AL167" i="18" l="1"/>
  <c r="AK163" i="18"/>
  <c r="AH163" i="18"/>
  <c r="AL176" i="18"/>
  <c r="AP176" i="18"/>
  <c r="AR163" i="18"/>
  <c r="AI163" i="18"/>
  <c r="BC163" i="18"/>
  <c r="A167" i="18"/>
  <c r="A176" i="18"/>
  <c r="B93" i="18"/>
  <c r="AD93" i="18"/>
  <c r="A89" i="18"/>
  <c r="AL89" i="18"/>
  <c r="A88" i="18"/>
  <c r="AL88" i="18"/>
  <c r="A90" i="18"/>
  <c r="AL90" i="18" s="1"/>
  <c r="J23" i="18"/>
  <c r="AL163" i="18" l="1"/>
  <c r="AN163" i="18" s="1"/>
  <c r="AO163" i="18" s="1"/>
  <c r="AM163" i="18"/>
  <c r="AP163" i="18"/>
  <c r="AN167" i="18"/>
  <c r="AO167" i="18" s="1"/>
  <c r="AM167" i="18"/>
  <c r="AN176" i="18"/>
  <c r="AO176" i="18" s="1"/>
  <c r="AM176" i="18"/>
  <c r="C164" i="18"/>
  <c r="AC88" i="18"/>
  <c r="BC4" i="18"/>
  <c r="AI88" i="18" l="1"/>
  <c r="AG88" i="18"/>
  <c r="AD88" i="18"/>
  <c r="B88" i="18"/>
  <c r="M88" i="18"/>
  <c r="AD87" i="18"/>
  <c r="AC87" i="18"/>
  <c r="M87" i="18"/>
  <c r="AJ87" i="18"/>
  <c r="AI87" i="18"/>
  <c r="AG87" i="18"/>
  <c r="B87" i="18"/>
  <c r="AG91" i="18"/>
  <c r="AG86" i="18" s="1"/>
  <c r="AG82" i="18" s="1"/>
  <c r="AD91" i="18"/>
  <c r="AC91" i="18"/>
  <c r="M91" i="18"/>
  <c r="M86" i="18" s="1"/>
  <c r="M82" i="18" s="1"/>
  <c r="AI91" i="18"/>
  <c r="B91" i="18"/>
  <c r="AI89" i="18"/>
  <c r="AG89" i="18"/>
  <c r="AD89" i="18"/>
  <c r="M89" i="18"/>
  <c r="AC89" i="18"/>
  <c r="B89" i="18"/>
  <c r="AR89" i="18" s="1"/>
  <c r="M90" i="18"/>
  <c r="AG90" i="18"/>
  <c r="AC90" i="18"/>
  <c r="AJ90" i="18"/>
  <c r="AJ86" i="18" s="1"/>
  <c r="AD90" i="18"/>
  <c r="AI90" i="18"/>
  <c r="B90" i="18"/>
  <c r="AR90" i="18" s="1"/>
  <c r="AJ23" i="18"/>
  <c r="AD86" i="18" l="1"/>
  <c r="AD82" i="18" s="1"/>
  <c r="AJ82" i="18"/>
  <c r="AK82" i="18" s="1"/>
  <c r="AK86" i="18"/>
  <c r="AC86" i="18"/>
  <c r="B86" i="18"/>
  <c r="AI86" i="18"/>
  <c r="AI82" i="18" s="1"/>
  <c r="B84" i="18"/>
  <c r="AR91" i="18"/>
  <c r="AR87" i="18"/>
  <c r="B83" i="18"/>
  <c r="B82" i="18" l="1"/>
  <c r="AC82" i="18"/>
  <c r="AH82" i="18" s="1"/>
  <c r="AL82" i="18" s="1"/>
  <c r="AN82" i="18" s="1"/>
  <c r="AO82" i="18" s="1"/>
  <c r="AH86" i="18"/>
  <c r="AL86" i="18" s="1"/>
  <c r="AN86" i="18" s="1"/>
  <c r="AO86" i="18" s="1"/>
  <c r="A63" i="18"/>
  <c r="A86" i="18"/>
  <c r="A85" i="18" s="1"/>
  <c r="AM82" i="18" l="1"/>
  <c r="AM86" i="18"/>
  <c r="BC82" i="18"/>
  <c r="F9" i="19"/>
  <c r="C83" i="18"/>
  <c r="L9" i="19" l="1"/>
  <c r="AP155" i="18"/>
  <c r="AP154" i="18"/>
  <c r="AQ153" i="18"/>
  <c r="AP153" i="18"/>
  <c r="AL153" i="18"/>
  <c r="AK153" i="18"/>
  <c r="J152" i="18"/>
  <c r="F152" i="18"/>
  <c r="AX136" i="18"/>
  <c r="AT136" i="18"/>
  <c r="AS136" i="18"/>
  <c r="AP141" i="18"/>
  <c r="AQ140" i="18"/>
  <c r="AP140" i="18"/>
  <c r="AL140" i="18"/>
  <c r="AK140" i="18"/>
  <c r="J139" i="18"/>
  <c r="F139" i="18"/>
  <c r="A154" i="18" l="1"/>
  <c r="AL154" i="18" s="1"/>
  <c r="A155" i="18"/>
  <c r="A141" i="18"/>
  <c r="AL141" i="18" s="1"/>
  <c r="AU95" i="18" l="1"/>
  <c r="M143" i="18"/>
  <c r="A143" i="18"/>
  <c r="AD143" i="18"/>
  <c r="AC143" i="18"/>
  <c r="AL155" i="18"/>
  <c r="A95" i="18" l="1"/>
  <c r="AV95" i="18"/>
  <c r="C96" i="18"/>
  <c r="B143" i="18"/>
  <c r="AL143" i="18"/>
  <c r="AI143" i="18" s="1"/>
  <c r="AU82" i="18"/>
  <c r="A82" i="18"/>
  <c r="AV82" i="18"/>
  <c r="AD141" i="18"/>
  <c r="AD139" i="18" s="1"/>
  <c r="AG140" i="18"/>
  <c r="AP23" i="18"/>
  <c r="A23" i="18"/>
  <c r="AL23" i="18" s="1"/>
  <c r="A22" i="18"/>
  <c r="AQ21" i="18"/>
  <c r="AP21" i="18"/>
  <c r="AL21" i="18"/>
  <c r="AK21" i="18"/>
  <c r="J20" i="18"/>
  <c r="F20" i="18"/>
  <c r="AW82" i="18" l="1"/>
  <c r="AJ21" i="18"/>
  <c r="AJ20" i="18" s="1"/>
  <c r="AR143" i="18"/>
  <c r="AE140" i="18"/>
  <c r="AE139" i="18" s="1"/>
  <c r="AF140" i="18"/>
  <c r="AF139" i="18" s="1"/>
  <c r="AF136" i="18" s="1"/>
  <c r="AF11" i="18" s="1"/>
  <c r="AF7" i="18" s="1"/>
  <c r="AI140" i="18"/>
  <c r="AJ140" i="18"/>
  <c r="AJ139" i="18" s="1"/>
  <c r="AK139" i="18" s="1"/>
  <c r="AC141" i="18"/>
  <c r="AC139" i="18" s="1"/>
  <c r="B141" i="18"/>
  <c r="B139" i="18" s="1"/>
  <c r="M141" i="18"/>
  <c r="M139" i="18" s="1"/>
  <c r="AG141" i="18"/>
  <c r="AG139" i="18" s="1"/>
  <c r="AI141" i="18"/>
  <c r="AI139" i="18" s="1"/>
  <c r="AR153" i="18"/>
  <c r="AG154" i="18"/>
  <c r="B154" i="18"/>
  <c r="AR154" i="18" s="1"/>
  <c r="M154" i="18"/>
  <c r="AC154" i="18"/>
  <c r="AD154" i="18"/>
  <c r="AI154" i="18"/>
  <c r="AG153" i="18"/>
  <c r="AE153" i="18"/>
  <c r="AE152" i="18" s="1"/>
  <c r="AE136" i="18" s="1"/>
  <c r="AI153" i="18"/>
  <c r="AJ153" i="18"/>
  <c r="AC155" i="18"/>
  <c r="AG155" i="18"/>
  <c r="M155" i="18"/>
  <c r="M152" i="18" s="1"/>
  <c r="M136" i="18" s="1"/>
  <c r="AD155" i="18"/>
  <c r="AD152" i="18" s="1"/>
  <c r="AD136" i="18" s="1"/>
  <c r="AJ155" i="18"/>
  <c r="AJ152" i="18" s="1"/>
  <c r="B155" i="18"/>
  <c r="B152" i="18" s="1"/>
  <c r="AI155" i="18"/>
  <c r="AL22" i="18"/>
  <c r="AI152" i="18" l="1"/>
  <c r="AC152" i="18"/>
  <c r="B136" i="18"/>
  <c r="AK152" i="18"/>
  <c r="AJ136" i="18"/>
  <c r="AI136" i="18"/>
  <c r="AR139" i="18"/>
  <c r="AP139" i="18" s="1"/>
  <c r="AK20" i="18"/>
  <c r="AJ16" i="18"/>
  <c r="AK16" i="18" s="1"/>
  <c r="AG152" i="18"/>
  <c r="AG136" i="18" s="1"/>
  <c r="AH139" i="18"/>
  <c r="AL139" i="18" s="1"/>
  <c r="AN139" i="18" s="1"/>
  <c r="AO139" i="18" s="1"/>
  <c r="AH152" i="18"/>
  <c r="AL152" i="18" s="1"/>
  <c r="AN152" i="18" s="1"/>
  <c r="AO152" i="18" s="1"/>
  <c r="AC136" i="18"/>
  <c r="AW95" i="18"/>
  <c r="AY95" i="18" s="1"/>
  <c r="AZ95" i="18" s="1"/>
  <c r="I10" i="19" s="1"/>
  <c r="H10" i="19" s="1"/>
  <c r="B137" i="18"/>
  <c r="AR141" i="18"/>
  <c r="AR140" i="18"/>
  <c r="AR155" i="18"/>
  <c r="AR152" i="18" s="1"/>
  <c r="AK136" i="18" l="1"/>
  <c r="AJ11" i="18"/>
  <c r="AP152" i="18"/>
  <c r="AR136" i="18"/>
  <c r="AM152" i="18"/>
  <c r="AH136" i="18"/>
  <c r="AL136" i="18" s="1"/>
  <c r="AN136" i="18" s="1"/>
  <c r="AO136" i="18" s="1"/>
  <c r="AM139" i="18"/>
  <c r="F11" i="19"/>
  <c r="BC136" i="18"/>
  <c r="AU163" i="18"/>
  <c r="A163" i="18"/>
  <c r="A139" i="18"/>
  <c r="A152" i="18"/>
  <c r="AR21" i="18"/>
  <c r="AE21" i="18"/>
  <c r="AE20" i="18" s="1"/>
  <c r="AE16" i="18" s="1"/>
  <c r="AE11" i="18" s="1"/>
  <c r="AE7" i="18" s="1"/>
  <c r="AI21" i="18"/>
  <c r="AG22" i="18"/>
  <c r="AD22" i="18"/>
  <c r="AC22" i="18"/>
  <c r="M22" i="18"/>
  <c r="B22" i="18"/>
  <c r="M23" i="18"/>
  <c r="M20" i="18" s="1"/>
  <c r="M16" i="18" s="1"/>
  <c r="M11" i="18" s="1"/>
  <c r="M7" i="18" s="1"/>
  <c r="AC23" i="18"/>
  <c r="AG23" i="18"/>
  <c r="AD23" i="18"/>
  <c r="B23" i="18"/>
  <c r="B20" i="18" s="1"/>
  <c r="AI23" i="18"/>
  <c r="AI22" i="18"/>
  <c r="AI20" i="18" l="1"/>
  <c r="AI16" i="18" s="1"/>
  <c r="AI11" i="18" s="1"/>
  <c r="AI7" i="18" s="1"/>
  <c r="AM136" i="18"/>
  <c r="B16" i="18"/>
  <c r="AG20" i="18"/>
  <c r="AG16" i="18" s="1"/>
  <c r="AG11" i="18" s="1"/>
  <c r="AG7" i="18" s="1"/>
  <c r="AP136" i="18"/>
  <c r="AK11" i="18"/>
  <c r="AJ7" i="18"/>
  <c r="AK7" i="18" s="1"/>
  <c r="AD20" i="18"/>
  <c r="AD16" i="18" s="1"/>
  <c r="AD11" i="18" s="1"/>
  <c r="AD7" i="18" s="1"/>
  <c r="AC20" i="18"/>
  <c r="AV186" i="18"/>
  <c r="A186" i="18"/>
  <c r="C187" i="18"/>
  <c r="C137" i="18"/>
  <c r="AV163" i="18"/>
  <c r="AU136" i="18"/>
  <c r="AR23" i="18"/>
  <c r="B11" i="18" l="1"/>
  <c r="AH20" i="18"/>
  <c r="AL20" i="18" s="1"/>
  <c r="AC16" i="18"/>
  <c r="AV183" i="18"/>
  <c r="A183" i="18"/>
  <c r="AU186" i="18"/>
  <c r="A136" i="18"/>
  <c r="AV136" i="18"/>
  <c r="A20" i="18"/>
  <c r="AH16" i="18" l="1"/>
  <c r="AL16" i="18" s="1"/>
  <c r="AC11" i="18"/>
  <c r="B7" i="18"/>
  <c r="AN20" i="18"/>
  <c r="AO20" i="18" s="1"/>
  <c r="AM20" i="18"/>
  <c r="BC16" i="18"/>
  <c r="BC11" i="18" s="1"/>
  <c r="BC7" i="18" s="1"/>
  <c r="AU183" i="18"/>
  <c r="F8" i="19"/>
  <c r="F6" i="19" s="1"/>
  <c r="AW163" i="18"/>
  <c r="AY163" i="18" s="1"/>
  <c r="AZ163" i="18" s="1"/>
  <c r="I12" i="19" s="1"/>
  <c r="H12" i="19" s="1"/>
  <c r="AW136" i="18"/>
  <c r="AY136" i="18" s="1"/>
  <c r="AZ136" i="18" s="1"/>
  <c r="I11" i="19" s="1"/>
  <c r="H11" i="19" s="1"/>
  <c r="AH11" i="18" l="1"/>
  <c r="AL11" i="18" s="1"/>
  <c r="AC7" i="18"/>
  <c r="AH7" i="18" s="1"/>
  <c r="AL7" i="18" s="1"/>
  <c r="AN7" i="18" s="1"/>
  <c r="AO7" i="18" s="1"/>
  <c r="AN16" i="18"/>
  <c r="AO16" i="18" s="1"/>
  <c r="AM16" i="18"/>
  <c r="N7" i="19"/>
  <c r="N4" i="19" s="1"/>
  <c r="B54" i="28"/>
  <c r="AP88" i="18" s="1"/>
  <c r="AR88" i="18" s="1"/>
  <c r="B55" i="28"/>
  <c r="B56" i="28"/>
  <c r="B57" i="28"/>
  <c r="AX16" i="18"/>
  <c r="AT16" i="18"/>
  <c r="AS16" i="18"/>
  <c r="C3" i="19"/>
  <c r="C2" i="19"/>
  <c r="C1" i="19"/>
  <c r="AN11" i="18" l="1"/>
  <c r="AO11" i="18" s="1"/>
  <c r="AM11" i="18"/>
  <c r="AM7" i="18"/>
  <c r="A7" i="18"/>
  <c r="AW186" i="18"/>
  <c r="AW183" i="18"/>
  <c r="AP22" i="18"/>
  <c r="AR22" i="18" s="1"/>
  <c r="AR20" i="18" s="1"/>
  <c r="AP93" i="18"/>
  <c r="AR93" i="18" s="1"/>
  <c r="AR86" i="18" s="1"/>
  <c r="AK3" i="18"/>
  <c r="AR82" i="18" l="1"/>
  <c r="AP86" i="18"/>
  <c r="AP20" i="18"/>
  <c r="AR16" i="18"/>
  <c r="AP16" i="18" s="1"/>
  <c r="AY186" i="18"/>
  <c r="AZ186" i="18" s="1"/>
  <c r="I14" i="19" s="1"/>
  <c r="B12" i="18"/>
  <c r="B17" i="18"/>
  <c r="AP82" i="18" l="1"/>
  <c r="AR11" i="18"/>
  <c r="AY183" i="18"/>
  <c r="AY82" i="18"/>
  <c r="AZ82" i="18" s="1"/>
  <c r="I9" i="19" s="1"/>
  <c r="H9" i="19" s="1"/>
  <c r="AP11" i="18" l="1"/>
  <c r="AR7" i="18"/>
  <c r="AP7" i="18" s="1"/>
  <c r="AZ183" i="18"/>
  <c r="AS11" i="18"/>
  <c r="BF8" i="18" l="1"/>
  <c r="BE4" i="18"/>
  <c r="BF7" i="18" l="1"/>
  <c r="AX11" i="18" l="1"/>
  <c r="AT11" i="18" l="1"/>
  <c r="C17" i="18" l="1"/>
  <c r="AU16" i="18"/>
  <c r="AV16" i="18" l="1"/>
  <c r="A16" i="18"/>
  <c r="AU11" i="18"/>
  <c r="AU7" i="18" s="1"/>
  <c r="H14" i="19" l="1"/>
  <c r="C12" i="18"/>
  <c r="B5" i="18" s="1"/>
  <c r="B8" i="18" l="1"/>
  <c r="AV11" i="18" l="1"/>
  <c r="AV7" i="18" s="1"/>
  <c r="C8" i="18" l="1"/>
  <c r="BG7" i="18" l="1"/>
  <c r="H19" i="19" l="1"/>
  <c r="S152" i="30" l="1"/>
  <c r="P152" i="30"/>
  <c r="R152" i="30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0" i="30"/>
  <c r="R51" i="30"/>
  <c r="R52" i="30"/>
  <c r="R53" i="30"/>
  <c r="R54" i="30"/>
  <c r="R55" i="30"/>
  <c r="R56" i="30"/>
  <c r="R57" i="30"/>
  <c r="R58" i="30"/>
  <c r="R59" i="30"/>
  <c r="R60" i="30"/>
  <c r="R61" i="30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R139" i="30"/>
  <c r="R140" i="30"/>
  <c r="R141" i="30"/>
  <c r="R142" i="30"/>
  <c r="R143" i="30"/>
  <c r="R144" i="30"/>
  <c r="R145" i="30"/>
  <c r="R146" i="30"/>
  <c r="R147" i="30"/>
  <c r="R148" i="30"/>
  <c r="R149" i="30"/>
  <c r="R150" i="30"/>
  <c r="R151" i="30"/>
  <c r="R3" i="30"/>
  <c r="P150" i="30"/>
  <c r="P149" i="30"/>
  <c r="P148" i="30"/>
  <c r="P147" i="30"/>
  <c r="P146" i="30"/>
  <c r="P145" i="30"/>
  <c r="P144" i="30"/>
  <c r="P143" i="30"/>
  <c r="P142" i="30"/>
  <c r="P141" i="30"/>
  <c r="P140" i="30"/>
  <c r="P139" i="30"/>
  <c r="P138" i="30"/>
  <c r="P137" i="30"/>
  <c r="P136" i="30"/>
  <c r="P135" i="30"/>
  <c r="P134" i="30"/>
  <c r="P133" i="30"/>
  <c r="P132" i="30"/>
  <c r="P131" i="30"/>
  <c r="P130" i="30"/>
  <c r="P129" i="30"/>
  <c r="P128" i="30"/>
  <c r="P127" i="30"/>
  <c r="P126" i="30"/>
  <c r="P125" i="30"/>
  <c r="P124" i="30"/>
  <c r="P123" i="30"/>
  <c r="P122" i="30"/>
  <c r="P121" i="30"/>
  <c r="P120" i="30"/>
  <c r="P119" i="30"/>
  <c r="P118" i="30"/>
  <c r="P117" i="30"/>
  <c r="P116" i="30"/>
  <c r="P115" i="30"/>
  <c r="P114" i="30"/>
  <c r="P113" i="30"/>
  <c r="P112" i="30"/>
  <c r="P111" i="30"/>
  <c r="P110" i="30"/>
  <c r="P109" i="30"/>
  <c r="P108" i="30"/>
  <c r="P107" i="30"/>
  <c r="P106" i="30"/>
  <c r="P105" i="30"/>
  <c r="P104" i="30"/>
  <c r="P103" i="30"/>
  <c r="P102" i="30"/>
  <c r="P101" i="30"/>
  <c r="P100" i="30"/>
  <c r="P99" i="30"/>
  <c r="P98" i="30"/>
  <c r="P97" i="30"/>
  <c r="P96" i="30"/>
  <c r="P95" i="30"/>
  <c r="P94" i="30"/>
  <c r="P93" i="30"/>
  <c r="P92" i="30"/>
  <c r="P91" i="30"/>
  <c r="P90" i="30"/>
  <c r="P89" i="30"/>
  <c r="P88" i="30"/>
  <c r="P87" i="30"/>
  <c r="P86" i="30"/>
  <c r="P85" i="30"/>
  <c r="P84" i="30"/>
  <c r="P83" i="30"/>
  <c r="P82" i="30"/>
  <c r="P81" i="30"/>
  <c r="P80" i="30"/>
  <c r="P79" i="30"/>
  <c r="P78" i="30"/>
  <c r="P77" i="30"/>
  <c r="P76" i="30"/>
  <c r="P75" i="30"/>
  <c r="P74" i="30"/>
  <c r="P73" i="30"/>
  <c r="P72" i="30"/>
  <c r="P71" i="30"/>
  <c r="P70" i="30"/>
  <c r="P69" i="30"/>
  <c r="P68" i="30"/>
  <c r="P67" i="30"/>
  <c r="P66" i="30"/>
  <c r="P65" i="30"/>
  <c r="P64" i="30"/>
  <c r="P63" i="30"/>
  <c r="P62" i="30"/>
  <c r="P61" i="30"/>
  <c r="P60" i="30"/>
  <c r="P59" i="30"/>
  <c r="P58" i="30"/>
  <c r="P57" i="30"/>
  <c r="P56" i="30"/>
  <c r="P55" i="30"/>
  <c r="P54" i="30"/>
  <c r="P53" i="30"/>
  <c r="P52" i="30"/>
  <c r="P51" i="30"/>
  <c r="P50" i="30"/>
  <c r="P49" i="30"/>
  <c r="P48" i="30"/>
  <c r="P47" i="30"/>
  <c r="P46" i="30"/>
  <c r="P45" i="30"/>
  <c r="P44" i="30"/>
  <c r="P43" i="30"/>
  <c r="P42" i="30"/>
  <c r="P41" i="30"/>
  <c r="P40" i="30"/>
  <c r="P39" i="30"/>
  <c r="P38" i="30"/>
  <c r="P37" i="30"/>
  <c r="P36" i="30"/>
  <c r="P35" i="30"/>
  <c r="P34" i="30"/>
  <c r="P33" i="30"/>
  <c r="P32" i="30"/>
  <c r="P31" i="30"/>
  <c r="P30" i="30"/>
  <c r="P29" i="30"/>
  <c r="P28" i="30"/>
  <c r="P27" i="30"/>
  <c r="P26" i="30"/>
  <c r="P25" i="30"/>
  <c r="P24" i="30"/>
  <c r="P23" i="30"/>
  <c r="P22" i="30"/>
  <c r="P21" i="30"/>
  <c r="P20" i="30"/>
  <c r="P19" i="30"/>
  <c r="P18" i="30"/>
  <c r="P17" i="30"/>
  <c r="P16" i="30"/>
  <c r="P15" i="30"/>
  <c r="P14" i="30"/>
  <c r="P13" i="30"/>
  <c r="P12" i="30"/>
  <c r="P11" i="30"/>
  <c r="P10" i="30"/>
  <c r="P9" i="30"/>
  <c r="P8" i="30"/>
  <c r="P7" i="30"/>
  <c r="P6" i="30"/>
  <c r="P5" i="30"/>
  <c r="P4" i="30"/>
  <c r="P3" i="30"/>
  <c r="G3" i="5" l="1"/>
  <c r="D3" i="5"/>
  <c r="G2" i="5"/>
  <c r="C2" i="5"/>
  <c r="G1" i="5"/>
  <c r="G3" i="4"/>
  <c r="D3" i="4"/>
  <c r="G2" i="4"/>
  <c r="C2" i="4"/>
  <c r="G1" i="4"/>
  <c r="A11" i="18" l="1"/>
  <c r="AW16" i="18" l="1"/>
  <c r="AY16" i="18" s="1"/>
  <c r="AZ16" i="18" s="1"/>
  <c r="I8" i="19" l="1"/>
  <c r="H8" i="19" s="1"/>
  <c r="H6" i="19" s="1"/>
  <c r="H20" i="19" s="1"/>
  <c r="AL8" i="18"/>
  <c r="J6" i="19" l="1"/>
  <c r="AW11" i="18"/>
  <c r="AW7" i="18" s="1"/>
  <c r="AY11" i="18" l="1"/>
  <c r="AY7" i="18" s="1"/>
  <c r="BH7" i="18" l="1"/>
  <c r="AZ7" i="18"/>
  <c r="AZ11" i="18"/>
  <c r="H23" i="19" l="1"/>
  <c r="H24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tc={36229238-CA13-4B76-B895-191CE44F252A}</author>
    <author>tc={0A055715-2C96-4155-9C2C-609A63D85200}</author>
    <author>tc={9A16F476-92A4-4617-9179-A324CD2F5B41}</author>
    <author>tc={A66F8036-8EE0-45C3-992A-3B5FBD164B25}</author>
    <author>tc={36398D14-1C0B-4FEF-86DC-E1AEEA65C65C}</author>
    <author>tc={C26BD28E-03CF-446C-ADED-4DC937817AB4}</author>
    <author>tc={AA12C11F-AAC7-442B-949C-2544555FFFA2}</author>
    <author>tc={95A5653E-7EA2-4177-BF09-B2FA7B529EF4}</author>
    <author>tc={4937F846-21DE-438C-81B1-8465F393EC6E}</author>
    <author>tc={D2740D35-542A-459E-B3D3-5EC1BF304913}</author>
    <author>tc={8ED05DBB-5EEE-4099-85BC-7A2C7FF840D7}</author>
    <author>tc={DBB99EBD-6697-4195-9691-B71F5046E9B0}</author>
    <author>tc={0597CF70-4250-49EB-99A5-EEC44AC64D93}</author>
    <author>tc={144E746E-6DCF-4558-9F23-AEE92DB484F8}</author>
    <author>tc={045689F8-6DEA-4373-ACD6-6F5CC8556817}</author>
    <author>tc={2CE799AB-C736-402F-A399-F3ED23B5796D}</author>
    <author>tc={AA859E16-0F95-48E2-A704-27544A17A5D6}</author>
    <author>tc={FAE41244-6DB4-4769-B033-714CF8E583B7}</author>
    <author>tc={ADD39CF1-B9CF-411A-8E83-14D6A411DA2F}</author>
    <author>tc={15FF5B94-B267-4EFD-A9F5-FC7ED31F0DAC}</author>
    <author>tc={32082B57-5A0A-413B-85CD-AABEEF621437}</author>
    <author>tc={3A163FEA-32A7-4A6B-8458-39674AB7FEE4}</author>
    <author>tc={6BF8B1DB-BCD2-4166-AFCC-584B96023B5F}</author>
    <author>tc={9687BBAB-9A3A-41CE-B2BE-9475906B7170}</author>
    <author>tc={8DC83E05-8C3B-41AE-BB4D-0A77FBA43F29}</author>
    <author>tc={9636C55A-F35B-4555-81A0-C3D8B89AA760}</author>
    <author>tc={17B6B3EA-257D-4C53-9C8E-3649E395345A}</author>
    <author>tc={6036A650-E7A5-4305-A1A8-71CE07D8E054}</author>
    <author>tc={41D0BF93-9F26-456F-AA5B-E37C7BC25BE2}</author>
    <author>tc={6D7FA58D-6088-4B32-8118-60D793AE4002}</author>
    <author>tc={C2DA2B45-6CAB-41F1-AD88-19D91753F8A9}</author>
    <author>tc={4A0B075A-83A4-4FB1-9E2D-F96019787155}</author>
    <author>tc={DBF6EFA6-E3FF-4783-9285-66A97391E608}</author>
    <author>tc={EDEACD2D-2C0C-4344-BA7D-5BC1EF3840D6}</author>
    <author>tc={8C18C5E5-7C79-479B-8C9D-EEEF9F6F6F82}</author>
    <author>tc={04CDACE3-CDCA-4399-BAF7-CEB56875C3FA}</author>
    <author>tc={1F309A30-4815-48E4-800C-9119131FC4E7}</author>
    <author>tc={80D4AA91-505E-426A-9A3A-E5CC61629524}</author>
    <author>tc={E16FF802-F545-499B-B3E6-95C774C2A30B}</author>
    <author>tc={7A985759-1CED-4D52-AADE-C99362248005}</author>
    <author>tc={E50B6BAB-B5E9-424B-AD68-5BCE4421F0ED}</author>
    <author>tc={B0BD743E-A79A-4D7E-9A7B-DFA5D5291535}</author>
    <author>tc={91B941D7-FFCA-4748-B9E7-2A18D245F031}</author>
    <author>tc={4684F200-F250-43FB-8C2A-3131D53A646F}</author>
    <author>tc={06732494-9790-4738-8541-DCE3C0A94FB4}</author>
    <author>tc={84A74EA1-BEB0-4534-9766-68BE2EE0A26A}</author>
    <author>tc={0D9ACC19-AC8D-437E-A64E-32B342B3573F}</author>
    <author>tc={7B16F472-4CD6-43C3-933D-A1B1D85425F9}</author>
    <author>tc={9224DE49-727B-4B1D-9498-EC709DFF9868}</author>
    <author>tc={7FCF0B73-C5B6-42AF-BEC4-A78DC5451BE6}</author>
    <author>tc={7C4097A0-7AA8-4FC8-A9F1-58F2637BA1DB}</author>
    <author>tc={21F1EC1B-EEF1-42D9-A3C0-7F8C239AC2B6}</author>
    <author>tc={02854156-A745-4227-975B-E7FE4F421197}</author>
    <author>tc={A3FB4677-B905-4B41-9831-E4070A3F91D2}</author>
    <author>tc={33A08092-C585-444B-929F-DFBC69356EBB}</author>
    <author>tc={CDBBFC38-7AA4-46DF-B670-F4BA4483011A}</author>
    <author>oksana</author>
    <author>tc={3D97D5F1-D63F-43A0-841F-4CF6765EFE6C}</author>
    <author>tc={A38AFD7C-6B5B-4615-BFBB-049CCAAC5EC4}</author>
    <author>tc={B8CDF50E-CBC7-41CA-9A5B-6516DFB241BE}</author>
    <author>tc={E00F5AD1-BFAB-4CC6-8735-4224735072AE}</author>
    <author>tc={D26CB185-7432-4534-B094-09A93C4EA92F}</author>
    <author>tc={2452B9DA-F36F-45C1-A509-EDDEE60B6768}</author>
    <author>tc={932A8C41-7A52-469B-BBF8-0D0440EF6378}</author>
    <author>tc={426F19BA-FDD2-43DE-899B-92DD18E4C688}</author>
    <author>tc={3CE35DC2-E317-40C2-A110-4CD2AD08CBD3}</author>
    <author>tc={72E8EAF3-64E6-492C-B4F2-35A458F72EF1}</author>
    <author>tc={416CC078-7713-4F23-9F9A-AC3CADEA513D}</author>
    <author>tc={1BD92D68-297D-4E76-A2BE-422055978F68}</author>
    <author>tc={88D147EF-E10A-4821-B60B-A71D92557E55}</author>
    <author>tc={82AFD874-3E7C-4AB9-B409-E1A38CCFDB6A}</author>
    <author>tc={29C7BCA3-0EBE-4FE6-A98C-BF151D42F9DF}</author>
    <author>tc={78D012F8-FC04-4A53-BB10-492D94714268}</author>
    <author>tc={D9978870-E405-42AE-81EC-6F27735CE7AE}</author>
    <author>tc={4DC90E0B-3FC2-4529-8398-42718C044CB1}</author>
    <author>tc={A47583E5-1BB6-4386-98C8-35360D0F0FDC}</author>
    <author>tc={8EF44855-F82A-4CD2-B35A-7C403FDC02C0}</author>
    <author>tc={6476C678-7778-4551-9DF1-0151D936A582}</author>
    <author>tc={88806B5A-F572-45A1-817B-A1E5C1152D37}</author>
    <author>tc={FEF85BE6-33FC-49DE-9FB8-3E7B95BDFC8A}</author>
    <author>tc={2AB7BADB-0C85-4084-8CC8-A56C03EE4DBC}</author>
    <author>tc={AA3E9A08-062B-4996-B9CF-DA4178ED4AFD}</author>
    <author>tc={4D7BFFA2-8AD5-413B-8A18-F4BF8098908B}</author>
    <author>tc={A4A9599B-B0CD-4944-8AE9-2DDD50F17989}</author>
    <author>tc={FBDF1C5B-52F2-4684-9122-197CC433AD3F}</author>
    <author>tc={C4938384-0762-4682-A247-074CB555CB89}</author>
    <author>tc={59FAE23F-1E02-4DDC-AEBF-1D50207E0435}</author>
    <author>tc={A1D0C791-4D1B-42CC-9A6B-3FD1E650B820}</author>
    <author>tc={DB0D9562-C424-4169-A77A-C76B401F470E}</author>
    <author>tc={0FEC6AB8-0460-43F4-B162-14EACEC46575}</author>
    <author>tc={57B18D2A-DC30-482B-AF06-B6C79CFC7FC3}</author>
    <author>tc={579A5E83-E2B8-4BE9-B689-1CAB5809FF53}</author>
    <author>tc={67F3CE56-BE31-4F70-A4A8-8950C4C7BB64}</author>
    <author>tc={51612964-E675-4251-A4C9-EC824898763A}</author>
    <author>tc={A0249CED-E585-4D30-B35B-0428EDD5BE11}</author>
    <author>tc={44813BA1-DE87-4B69-8D76-C1CEF217561C}</author>
    <author>tc={89880EE8-ADFE-4B6B-B89D-04A99BFC7541}</author>
    <author>tc={BAF7E403-24A4-4B87-A55E-0102EE72B804}</author>
    <author>tc={594D05FA-DE65-483F-B370-F5A210AB098D}</author>
    <author>tc={AEBCBFBA-1A64-4B5C-9487-E05B524BFA04}</author>
    <author>tc={F4B0672B-A03D-4126-B97F-43ABAF91F0BD}</author>
    <author>tc={F4B69410-9783-48FE-AC6D-68B7E78D124A}</author>
    <author>tc={87D992AD-4BDD-4796-B9C5-2F7449BAC2B6}</author>
    <author>tc={85B6C5FD-F5AF-41C6-9581-444BCBCE63B2}</author>
    <author>tc={DBE38F4F-C3B4-46A0-AD74-DCDEE5467C05}</author>
    <author>tc={C7B1E236-5F3E-4739-807E-48A5A8DE9D99}</author>
    <author>tc={45B7B5E9-48E1-49FD-96C0-61CAA0C163D0}</author>
    <author>tc={AB064B74-186B-4DD5-8A78-ACC46C6510DD}</author>
    <author>tc={9001F3E6-1E10-4C92-8D8F-47E9F4C81D72}</author>
    <author>tc={16EC947D-24FA-4131-9335-299D8BAC01A9}</author>
    <author>tc={F2A4C981-8AFD-455C-A201-9CA64976F530}</author>
    <author>tc={3255A867-793A-4378-B51D-18208906BF82}</author>
    <author>tc={E59F2377-F2FC-4170-8826-01DD351D99CE}</author>
    <author>tc={80311D9C-0F8E-4304-BC85-4661327618C6}</author>
    <author>tc={2626F9FB-0D0B-4477-AF78-FD74A0B1689B}</author>
    <author>tc={474B967A-0F61-407B-B7BE-B0E5ABDE6C82}</author>
    <author>tc={4C2A6A84-5615-4D27-8BF0-6817EB7FE248}</author>
    <author>tc={212821E0-3D7B-4FBA-96EF-48F780269856}</author>
    <author>tc={2370D503-1CA5-4B92-91EE-CA8D0BFE552E}</author>
    <author>tc={6A954133-0042-4AF1-A8E0-F07F4CB7CA05}</author>
    <author>tc={8E2854D8-5925-44FB-A9A7-BB2FD1D1810C}</author>
    <author>tc={2AB0F499-BD81-4603-AFAE-F016FA39C86D}</author>
    <author>tc={62A09D8B-7266-4356-AA96-33D3D83DB3F0}</author>
    <author>tc={DD9241BF-3E2B-4F35-8A18-0CD3290B17BF}</author>
    <author>tc={33D28E2A-B997-487E-B16A-133B1C98028E}</author>
  </authors>
  <commentList>
    <comment ref="AU2" authorId="0" shapeId="0" xr:uid="{36229238-CA13-4B76-B895-191CE44F252A}">
      <text>
        <t>[Threaded comment]
Your version of Excel allows you to read this threaded comment; however, any edits to it will get removed if the file is opened in a newer version of Excel. Learn more: https://go.microsoft.com/fwlink/?linkid=870924
Comment:
    Muudata koos. Erandis ainult muuta!!!</t>
      </text>
    </comment>
    <comment ref="AR3" authorId="1" shapeId="0" xr:uid="{0A055715-2C96-4155-9C2C-609A63D85200}">
      <text>
        <t>[Threaded comment]
Your version of Excel allows you to read this threaded comment; however, any edits to it will get removed if the file is opened in a newer version of Excel. Learn more: https://go.microsoft.com/fwlink/?linkid=870924
Comment:
    Materjalide osakaal projektis.</t>
      </text>
    </comment>
    <comment ref="AF6" authorId="2" shapeId="0" xr:uid="{9A16F476-92A4-4617-9179-A324CD2F5B41}">
      <text>
        <t>[Threaded comment]
Your version of Excel allows you to read this threaded comment; however, any edits to it will get removed if the file is opened in a newer version of Excel. Learn more: https://go.microsoft.com/fwlink/?linkid=870924
Comment:
    Faasimine-20 min/jm;
välalõike, käsipl-5 min/jm.</t>
      </text>
    </comment>
    <comment ref="AH6" authorId="3" shapeId="0" xr:uid="{A66F8036-8EE0-45C3-992A-3B5FBD164B25}">
      <text>
        <t>[Threaded comment]
Your version of Excel allows you to read this threaded comment; however, any edits to it will get removed if the file is opened in a newer version of Excel. Learn more: https://go.microsoft.com/fwlink/?linkid=870924
Comment:
    Ettevalmistus</t>
      </text>
    </comment>
    <comment ref="AK6" authorId="4" shapeId="0" xr:uid="{36398D14-1C0B-4FEF-86DC-E1AEEA65C65C}">
      <text>
        <t>[Threaded comment]
Your version of Excel allows you to read this threaded comment; however, any edits to it will get removed if the file is opened in a newer version of Excel. Learn more: https://go.microsoft.com/fwlink/?linkid=870924
Comment:
    Keevitus - makroses - 10 min/jm</t>
      </text>
    </comment>
    <comment ref="BA6" authorId="5" shapeId="0" xr:uid="{C26BD28E-03CF-446C-ADED-4DC937817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Preparation grade P3</t>
      </text>
    </comment>
    <comment ref="Y7" authorId="6" shapeId="0" xr:uid="{AA12C11F-AAC7-442B-949C-2544555FFFA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Alamkoostu kontroll???</t>
      </text>
    </comment>
    <comment ref="AS11" authorId="7" shapeId="0" xr:uid="{95A5653E-7EA2-4177-BF09-B2FA7B529EF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S16" authorId="8" shapeId="0" xr:uid="{4937F846-21DE-438C-81B1-8465F393EC6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21" authorId="9" shapeId="0" xr:uid="{D2740D35-542A-459E-B3D3-5EC1BF304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22" authorId="10" shapeId="0" xr:uid="{8ED05DBB-5EEE-4099-85BC-7A2C7FF840D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23" authorId="11" shapeId="0" xr:uid="{DBB99EBD-6697-4195-9691-B71F5046E9B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6" authorId="12" shapeId="0" xr:uid="{0597CF70-4250-49EB-99A5-EEC44AC64D9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27" authorId="13" shapeId="0" xr:uid="{144E746E-6DCF-4558-9F23-AEE92DB484F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28" authorId="14" shapeId="0" xr:uid="{045689F8-6DEA-4373-ACD6-6F5CC855681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1" authorId="15" shapeId="0" xr:uid="{2CE799AB-C736-402F-A399-F3ED23B5796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32" authorId="16" shapeId="0" xr:uid="{AA859E16-0F95-48E2-A704-27544A17A5D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33" authorId="17" shapeId="0" xr:uid="{FAE41244-6DB4-4769-B033-714CF8E583B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34" authorId="18" shapeId="0" xr:uid="{ADD39CF1-B9CF-411A-8E83-14D6A411DA2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7" authorId="19" shapeId="0" xr:uid="{15FF5B94-B267-4EFD-A9F5-FC7ED31F0DA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38" authorId="20" shapeId="0" xr:uid="{32082B57-5A0A-413B-85CD-AABEEF62143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39" authorId="21" shapeId="0" xr:uid="{3A163FEA-32A7-4A6B-8458-39674AB7FEE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0" authorId="22" shapeId="0" xr:uid="{6BF8B1DB-BCD2-4166-AFCC-584B96023B5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1" authorId="23" shapeId="0" xr:uid="{9687BBAB-9A3A-41CE-B2BE-9475906B717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2" authorId="24" shapeId="0" xr:uid="{8DC83E05-8C3B-41AE-BB4D-0A77FBA43F2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" authorId="25" shapeId="0" xr:uid="{9636C55A-F35B-4555-81A0-C3D8B89AA76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4" authorId="26" shapeId="0" xr:uid="{17B6B3EA-257D-4C53-9C8E-3649E395345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7" authorId="27" shapeId="0" xr:uid="{6036A650-E7A5-4305-A1A8-71CE07D8E05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48" authorId="28" shapeId="0" xr:uid="{41D0BF93-9F26-456F-AA5B-E37C7BC25BE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9" authorId="29" shapeId="0" xr:uid="{6D7FA58D-6088-4B32-8118-60D793AE400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50" authorId="30" shapeId="0" xr:uid="{C2DA2B45-6CAB-41F1-AD88-19D91753F8A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51" authorId="31" shapeId="0" xr:uid="{4A0B075A-83A4-4FB1-9E2D-F9601978715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52" authorId="32" shapeId="0" xr:uid="{DBF6EFA6-E3FF-4783-9285-66A97391E60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55" authorId="33" shapeId="0" xr:uid="{EDEACD2D-2C0C-4344-BA7D-5BC1EF3840D6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56" authorId="34" shapeId="0" xr:uid="{8C18C5E5-7C79-479B-8C9D-EEEF9F6F6F8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57" authorId="35" shapeId="0" xr:uid="{04CDACE3-CDCA-4399-BAF7-CEB56875C3F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58" authorId="36" shapeId="0" xr:uid="{1F309A30-4815-48E4-800C-9119131FC4E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59" authorId="37" shapeId="0" xr:uid="{80D4AA91-505E-426A-9A3A-E5CC6162952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60" authorId="38" shapeId="0" xr:uid="{E16FF802-F545-499B-B3E6-95C774C2A30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64" authorId="39" shapeId="0" xr:uid="{7A985759-1CED-4D52-AADE-C9936224800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65" authorId="40" shapeId="0" xr:uid="{E50B6BAB-B5E9-424B-AD68-5BCE4421F0E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68" authorId="41" shapeId="0" xr:uid="{B0BD743E-A79A-4D7E-9A7B-DFA5D529153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69" authorId="42" shapeId="0" xr:uid="{91B941D7-FFCA-4748-B9E7-2A18D245F03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70" authorId="43" shapeId="0" xr:uid="{4684F200-F250-43FB-8C2A-3131D53A646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71" authorId="44" shapeId="0" xr:uid="{06732494-9790-4738-8541-DCE3C0A94FB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72" authorId="45" shapeId="0" xr:uid="{84A74EA1-BEB0-4534-9766-68BE2EE0A26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73" authorId="46" shapeId="0" xr:uid="{0D9ACC19-AC8D-437E-A64E-32B342B3573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74" authorId="47" shapeId="0" xr:uid="{7B16F472-4CD6-43C3-933D-A1B1D85425F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77" authorId="48" shapeId="0" xr:uid="{9224DE49-727B-4B1D-9498-EC709DFF9868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S82" authorId="49" shapeId="0" xr:uid="{7FCF0B73-C5B6-42AF-BEC4-A78DC5451B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G87" authorId="50" shapeId="0" xr:uid="{7C4097A0-7AA8-4FC8-A9F1-58F2637BA1D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88" authorId="51" shapeId="0" xr:uid="{21F1EC1B-EEF1-42D9-A3C0-7F8C239AC2B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89" authorId="52" shapeId="0" xr:uid="{02854156-A745-4227-975B-E7FE4F42119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90" authorId="53" shapeId="0" xr:uid="{A3FB4677-B905-4B41-9831-E4070A3F91D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91" authorId="54" shapeId="0" xr:uid="{33A08092-C585-444B-929F-DFBC69356EB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92" authorId="55" shapeId="0" xr:uid="{CDBBFC38-7AA4-46DF-B670-F4BA4483011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93" authorId="56" shapeId="0" xr:uid="{89500659-6E00-49D3-A685-1EA67E38CA91}">
      <text>
        <r>
          <rPr>
            <b/>
            <sz val="9"/>
            <color indexed="81"/>
            <rFont val="Tahoma"/>
            <family val="2"/>
          </rPr>
          <t>oksana:</t>
        </r>
        <r>
          <rPr>
            <sz val="9"/>
            <color indexed="81"/>
            <rFont val="Tahoma"/>
            <family val="2"/>
          </rPr>
          <t xml:space="preserve">
keerme M30</t>
        </r>
      </text>
    </comment>
    <comment ref="AS95" authorId="57" shapeId="0" xr:uid="{3D97D5F1-D63F-43A0-841F-4CF6765EFE6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G99" authorId="58" shapeId="0" xr:uid="{A38AFD7C-6B5B-4615-BFBB-049CCAAC5EC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0" authorId="59" shapeId="0" xr:uid="{B8CDF50E-CBC7-41CA-9A5B-6516DFB241B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1" authorId="60" shapeId="0" xr:uid="{E00F5AD1-BFAB-4CC6-8735-4224735072A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2" authorId="61" shapeId="0" xr:uid="{D26CB185-7432-4534-B094-09A93C4EA92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3" authorId="62" shapeId="0" xr:uid="{2452B9DA-F36F-45C1-A509-EDDEE60B676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4" authorId="63" shapeId="0" xr:uid="{932A8C41-7A52-469B-BBF8-0D0440EF637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5" authorId="64" shapeId="0" xr:uid="{426F19BA-FDD2-43DE-899B-92DD18E4C68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6" authorId="65" shapeId="0" xr:uid="{3CE35DC2-E317-40C2-A110-4CD2AD08CBD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09" authorId="66" shapeId="0" xr:uid="{72E8EAF3-64E6-492C-B4F2-35A458F72EF1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10" authorId="67" shapeId="0" xr:uid="{416CC078-7713-4F23-9F9A-AC3CADEA513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11" authorId="68" shapeId="0" xr:uid="{1BD92D68-297D-4E76-A2BE-422055978F6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12" authorId="69" shapeId="0" xr:uid="{88D147EF-E10A-4821-B60B-A71D92557E5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15" authorId="70" shapeId="0" xr:uid="{82AFD874-3E7C-4AB9-B409-E1A38CCFDB6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16" authorId="71" shapeId="0" xr:uid="{29C7BCA3-0EBE-4FE6-A98C-BF151D42F9DF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17" authorId="72" shapeId="0" xr:uid="{78D012F8-FC04-4A53-BB10-492D9471426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20" authorId="73" shapeId="0" xr:uid="{D9978870-E405-42AE-81EC-6F27735CE7A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21" authorId="74" shapeId="0" xr:uid="{4DC90E0B-3FC2-4529-8398-42718C044CB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22" authorId="75" shapeId="0" xr:uid="{A47583E5-1BB6-4386-98C8-35360D0F0FD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25" authorId="76" shapeId="0" xr:uid="{8EF44855-F82A-4CD2-B35A-7C403FDC02C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26" authorId="77" shapeId="0" xr:uid="{6476C678-7778-4551-9DF1-0151D936A58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27" authorId="78" shapeId="0" xr:uid="{88806B5A-F572-45A1-817B-A1E5C1152D3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30" authorId="79" shapeId="0" xr:uid="{FEF85BE6-33FC-49DE-9FB8-3E7B95BDFC8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31" authorId="80" shapeId="0" xr:uid="{2AB7BADB-0C85-4084-8CC8-A56C03EE4DB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32" authorId="81" shapeId="0" xr:uid="{AA3E9A08-062B-4996-B9CF-DA4178ED4AF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33" authorId="82" shapeId="0" xr:uid="{4D7BFFA2-8AD5-413B-8A18-F4BF8098908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S136" authorId="83" shapeId="0" xr:uid="{A4A9599B-B0CD-4944-8AE9-2DDD50F179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140" authorId="84" shapeId="0" xr:uid="{FBDF1C5B-52F2-4684-9122-197CC433AD3F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41" authorId="85" shapeId="0" xr:uid="{C4938384-0762-4682-A247-074CB555CB8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42" authorId="86" shapeId="0" xr:uid="{59FAE23F-1E02-4DDC-AEBF-1D50207E043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43" authorId="87" shapeId="0" xr:uid="{A1D0C791-4D1B-42CC-9A6B-3FD1E650B82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46" authorId="88" shapeId="0" xr:uid="{DB0D9562-C424-4169-A77A-C76B401F47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47" authorId="89" shapeId="0" xr:uid="{0FEC6AB8-0460-43F4-B162-14EACEC4657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48" authorId="90" shapeId="0" xr:uid="{57B18D2A-DC30-482B-AF06-B6C79CFC7FC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49" authorId="91" shapeId="0" xr:uid="{579A5E83-E2B8-4BE9-B689-1CAB5809FF5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53" authorId="92" shapeId="0" xr:uid="{67F3CE56-BE31-4F70-A4A8-8950C4C7BB6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54" authorId="93" shapeId="0" xr:uid="{51612964-E675-4251-A4C9-EC824898763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55" authorId="94" shapeId="0" xr:uid="{A0249CED-E585-4D30-B35B-0428EDD5BE1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58" authorId="95" shapeId="0" xr:uid="{44813BA1-DE87-4B69-8D76-C1CEF217561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59" authorId="96" shapeId="0" xr:uid="{89880EE8-ADFE-4B6B-B89D-04A99BFC754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60" authorId="97" shapeId="0" xr:uid="{BAF7E403-24A4-4B87-A55E-0102EE72B80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S163" authorId="98" shapeId="0" xr:uid="{594D05FA-DE65-483F-B370-F5A210AB098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168" authorId="99" shapeId="0" xr:uid="{AEBCBFBA-1A64-4B5C-9487-E05B524BFA0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69" authorId="100" shapeId="0" xr:uid="{F4B0672B-A03D-4126-B97F-43ABAF91F0B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73" authorId="101" shapeId="0" xr:uid="{F4B69410-9783-48FE-AC6D-68B7E78D124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74" authorId="102" shapeId="0" xr:uid="{87D992AD-4BDD-4796-B9C5-2F7449BAC2B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77" authorId="103" shapeId="0" xr:uid="{85B6C5FD-F5AF-41C6-9581-444BCBCE63B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78" authorId="104" shapeId="0" xr:uid="{DBE38F4F-C3B4-46A0-AD74-DCDEE5467C0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81" authorId="105" shapeId="0" xr:uid="{C7B1E236-5F3E-4739-807E-48A5A8DE9D99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S183" authorId="106" shapeId="0" xr:uid="{45B7B5E9-48E1-49FD-96C0-61CAA0C163D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S186" authorId="107" shapeId="0" xr:uid="{AB064B74-186B-4DD5-8A78-ACC46C6510D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191" authorId="108" shapeId="0" xr:uid="{9001F3E6-1E10-4C92-8D8F-47E9F4C81D7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92" authorId="109" shapeId="0" xr:uid="{16EC947D-24FA-4131-9335-299D8BAC01A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95" authorId="110" shapeId="0" xr:uid="{F2A4C981-8AFD-455C-A201-9CA64976F53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196" authorId="111" shapeId="0" xr:uid="{3255A867-793A-4378-B51D-18208906BF8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99" authorId="112" shapeId="0" xr:uid="{E59F2377-F2FC-4170-8826-01DD351D99C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200" authorId="113" shapeId="0" xr:uid="{80311D9C-0F8E-4304-BC85-4661327618C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03" authorId="114" shapeId="0" xr:uid="{2626F9FB-0D0B-4477-AF78-FD74A0B1689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S205" authorId="115" shapeId="0" xr:uid="{474B967A-0F61-407B-B7BE-B0E5ABDE6C8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209" authorId="116" shapeId="0" xr:uid="{4C2A6A84-5615-4D27-8BF0-6817EB7FE248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210" authorId="117" shapeId="0" xr:uid="{212821E0-3D7B-4FBA-96EF-48F78026985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211" authorId="118" shapeId="0" xr:uid="{2370D503-1CA5-4B92-91EE-CA8D0BFE552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S214" authorId="119" shapeId="0" xr:uid="{6A954133-0042-4AF1-A8E0-F07F4CB7CA0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218" authorId="120" shapeId="0" xr:uid="{8E2854D8-5925-44FB-A9A7-BB2FD1D1810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19" authorId="121" shapeId="0" xr:uid="{2AB0F499-BD81-4603-AFAE-F016FA39C86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220" authorId="122" shapeId="0" xr:uid="{62A09D8B-7266-4356-AA96-33D3D83DB3F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221" authorId="123" shapeId="0" xr:uid="{DD9241BF-3E2B-4F35-8A18-0CD3290B17B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222" authorId="124" shapeId="0" xr:uid="{33D28E2A-B997-487E-B16A-133B1C98028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0" background="1">
    <dbPr connection="DRIVER={MySQL ODBC 3.51 Driver};User=terasro;Pwd=raud;SERVER=server.maru.ee;charset=cp1257;DATABASE=teras;PORT=3306;Option=3"/>
  </connection>
  <connection id="2" xr16:uid="{00000000-0015-0000-FFFF-FFFF01000000}" name="Connection1" type="1" refreshedVersion="0" background="1">
    <dbPr connection="DRIVER={MySQL ODBC 3.51 Driver};User=terasro;Pwd=raud;SERVER=server.maru.ee;charset=cp1257;DATABASE=teras;PORT=3306;Option=3"/>
  </connection>
  <connection id="3" xr16:uid="{9FA3F2AB-4AF3-458B-9A88-CA04426FD897}" name="Connection2" type="1" refreshedVersion="0" background="1">
    <dbPr connection="DRIVER={MySQL ODBC 3.51 Driver};User=terasro;Pwd=raud;SERVER=server.maru.ee;charset=cp1257;DATABASE=teras;PORT=3306;Option=3"/>
  </connection>
  <connection id="4" xr16:uid="{1906AE54-3F9E-48D4-918A-9691F1D7C2A4}" keepAlive="1" name="Query - Default_09_23_2025" description="Connection to the 'Default_09_23_2025' query in the workbook." type="5" refreshedVersion="0" background="1" saveData="1">
    <dbPr connection="Provider=Microsoft.Mashup.OleDb.1;Data Source=$Workbook$;Location=Default_09_23_2025;Extended Properties=&quot;&quot;" command="SELECT * FROM [Default_09_23_2025]"/>
  </connection>
  <connection id="5" xr16:uid="{109E759B-4ED4-4E55-ACF4-8958B67988FB}" keepAlive="1" name="Query - Default_09_23_2025(1)" description="Connection to the 'Default_09_23_2025(1)' query in the workbook." type="5" refreshedVersion="8" background="1" saveData="1">
    <dbPr connection="Provider=Microsoft.Mashup.OleDb.1;Data Source=$Workbook$;Location=Default_09_23_2025(1);Extended Properties=&quot;&quot;" command="SELECT * FROM [Default_09_23_2025(1)]"/>
  </connection>
  <connection id="6" xr16:uid="{B2EED0DA-5EA5-43B8-9A22-2D6F406D4C95}" keepAlive="1" name="Query - Default_09_24_2025" description="Connection to the 'Default_09_24_2025' query in the workbook." type="5" refreshedVersion="0" background="1" saveData="1">
    <dbPr connection="Provider=Microsoft.Mashup.OleDb.1;Data Source=$Workbook$;Location=Default_09_24_2025;Extended Properties=&quot;&quot;" command="SELECT * FROM [Default_09_24_2025]"/>
  </connection>
  <connection id="7" xr16:uid="{30810529-D4CF-44B0-9F56-F630240E473F}" keepAlive="1" name="Query - Default_09_24_2025(1)" description="Connection to the 'Default_09_24_2025(1)' query in the workbook." type="5" refreshedVersion="8" background="1" saveData="1">
    <dbPr connection="Provider=Microsoft.Mashup.OleDb.1;Data Source=$Workbook$;Location=Default_09_24_2025(1);Extended Properties=&quot;&quot;" command="SELECT * FROM [Default_09_24_2025(1)]"/>
  </connection>
  <connection id="8" xr16:uid="{AED569E2-787E-4BA5-870E-5C29FA7BD31B}" keepAlive="1" name="Query - Default_10_23_2025" description="Connection to the 'Default_10_23_2025' query in the workbook." type="5" refreshedVersion="0" background="1">
    <dbPr connection="Provider=Microsoft.Mashup.OleDb.1;Data Source=$Workbook$;Location=Default_10_23_2025;Extended Properties=&quot;&quot;" command="SELECT * FROM [Default_10_23_2025]"/>
  </connection>
  <connection id="9" xr16:uid="{F26B470B-CAC8-433B-886C-16DFCCA81619}" keepAlive="1" name="Query - Default_10_23_2025(1)" description="Connection to the 'Default_10_23_2025(1)' query in the workbook." type="5" refreshedVersion="8" background="1" saveData="1">
    <dbPr connection="Provider=Microsoft.Mashup.OleDb.1;Data Source=$Workbook$;Location=Default_10_23_2025(1);Extended Properties=&quot;&quot;" command="SELECT * FROM [Default_10_23_2025(1)]"/>
  </connection>
</connections>
</file>

<file path=xl/sharedStrings.xml><?xml version="1.0" encoding="utf-8"?>
<sst xmlns="http://schemas.openxmlformats.org/spreadsheetml/2006/main" count="8285" uniqueCount="718">
  <si>
    <t>profiil</t>
  </si>
  <si>
    <t>kgm</t>
  </si>
  <si>
    <t>m2m</t>
  </si>
  <si>
    <t>h</t>
  </si>
  <si>
    <t>id</t>
  </si>
  <si>
    <t>std</t>
  </si>
  <si>
    <t>CFRHS120x120x10</t>
  </si>
  <si>
    <t>022-056</t>
  </si>
  <si>
    <t>EN 10219</t>
  </si>
  <si>
    <t>Hinnaküsimine:</t>
  </si>
  <si>
    <t>HK11109-01</t>
  </si>
  <si>
    <t>MUUTA käsitsi</t>
  </si>
  <si>
    <t>muudetud 02.08.2023</t>
  </si>
  <si>
    <t>Pinnakate</t>
  </si>
  <si>
    <t>non</t>
  </si>
  <si>
    <t>C1</t>
  </si>
  <si>
    <t>C2M</t>
  </si>
  <si>
    <t>C2H</t>
  </si>
  <si>
    <t>C3M</t>
  </si>
  <si>
    <t>C3H</t>
  </si>
  <si>
    <t>C4M</t>
  </si>
  <si>
    <t xml:space="preserve">C4H </t>
  </si>
  <si>
    <t>C5M</t>
  </si>
  <si>
    <t>HDG</t>
  </si>
  <si>
    <t>P3 alates C4H !!!</t>
  </si>
  <si>
    <t>Lisanduv kasumkoeffid</t>
  </si>
  <si>
    <t>Materjali kasum</t>
  </si>
  <si>
    <t>Tootmise kasum</t>
  </si>
  <si>
    <t>ERI kasum</t>
  </si>
  <si>
    <t>R</t>
  </si>
  <si>
    <t>Transpordikoeff</t>
  </si>
  <si>
    <t>1500 km Oslost</t>
  </si>
  <si>
    <t>Klient:</t>
  </si>
  <si>
    <t xml:space="preserve">DS Nor AS </t>
  </si>
  <si>
    <t>Vajalikult täida</t>
  </si>
  <si>
    <t>Aadress:</t>
  </si>
  <si>
    <t xml:space="preserve">Akkasæter, Målselv kommune, Norra </t>
  </si>
  <si>
    <t>Valem</t>
  </si>
  <si>
    <t>hind EI sisalda ZN(R) primerit !!!</t>
  </si>
  <si>
    <t>Transport - Liivaprits, €/m2</t>
  </si>
  <si>
    <t xml:space="preserve">Connection design, connection strength calculations, workshop and installation drawings </t>
  </si>
  <si>
    <t>Tähtaeg:</t>
  </si>
  <si>
    <t>28.10.2025</t>
  </si>
  <si>
    <t>Põkkimine</t>
  </si>
  <si>
    <t>min/jm</t>
  </si>
  <si>
    <t>€/kg</t>
  </si>
  <si>
    <t>töötasu 46 eur/tund</t>
  </si>
  <si>
    <t>10/20.</t>
  </si>
  <si>
    <t>tk</t>
  </si>
  <si>
    <t>EUR</t>
  </si>
  <si>
    <t>1. Tüki kaal [kg]</t>
  </si>
  <si>
    <t>2. Kaal kokku [kg]</t>
  </si>
  <si>
    <t>3. Plaatide %</t>
  </si>
  <si>
    <t>4. Detaili järjekorra nr.</t>
  </si>
  <si>
    <t>5.</t>
  </si>
  <si>
    <t>6. Profiil</t>
  </si>
  <si>
    <t>7. Terase mark</t>
  </si>
  <si>
    <t>8. Laius [mm]</t>
  </si>
  <si>
    <t>9.</t>
  </si>
  <si>
    <t>10. Pikkus [mm]</t>
  </si>
  <si>
    <t>11. Kogus 1-le koostule [tk]</t>
  </si>
  <si>
    <t>12. Kogus kokku  [tk]</t>
  </si>
  <si>
    <t>13. Värvitav pind [m²]</t>
  </si>
  <si>
    <t>16. Saagimise "leht"</t>
  </si>
  <si>
    <t>17.  Avad [tk]</t>
  </si>
  <si>
    <t>25.  Koostu nr.</t>
  </si>
  <si>
    <t>29. Gaasilõikus [h]</t>
  </si>
  <si>
    <t>30. Puhastamine [h]</t>
  </si>
  <si>
    <t>31. Saagimine [h]</t>
  </si>
  <si>
    <t>32. Faasimine / väljalõiked [h]</t>
  </si>
  <si>
    <t>33. Puurimine / painutamine / valtsimine [h]</t>
  </si>
  <si>
    <t>34. EV KOKKU [h]</t>
  </si>
  <si>
    <t>35. Koostamine KOKKU [h]</t>
  </si>
  <si>
    <t>36. Keevitamine [jm]</t>
  </si>
  <si>
    <t>37. KV KOKKU [h]</t>
  </si>
  <si>
    <t>38. Metallitöö kokku [h]</t>
  </si>
  <si>
    <t>39. Tootlikkus [kg/h]</t>
  </si>
  <si>
    <t>40. Tootmine kokku [€]</t>
  </si>
  <si>
    <t>41. Tootmise omahind [€/kg]</t>
  </si>
  <si>
    <t xml:space="preserve">42. Materjali omahind [€/kg]  </t>
  </si>
  <si>
    <t>43. Materilai kulunormi koeff</t>
  </si>
  <si>
    <t>44. Material kulunormiga, ilma kasumita [€]</t>
  </si>
  <si>
    <t>45. Materiali kasumi koefitsient</t>
  </si>
  <si>
    <t>46. Pinnakate [€/m2 või €/kg]</t>
  </si>
  <si>
    <t>47. Pinnaviimistlus KOKKU (ZN või/ja värv)[€]</t>
  </si>
  <si>
    <t>48. Pakendus [€/kg]</t>
  </si>
  <si>
    <t>49. Tootmine + pinnavärv omahind KOKKU [€]</t>
  </si>
  <si>
    <t>50. Tootmise kasumi koefitsient</t>
  </si>
  <si>
    <t>Müügihind KOKKU [€]</t>
  </si>
  <si>
    <t>MÜÜGIHIND [€/kg]</t>
  </si>
  <si>
    <t>P3</t>
  </si>
  <si>
    <t>R60</t>
  </si>
  <si>
    <t>Tavavedu</t>
  </si>
  <si>
    <t>Erivedu - 15 m pikkus</t>
  </si>
  <si>
    <t>Erivedu - pikk</t>
  </si>
  <si>
    <t>Transpordi müügihind</t>
  </si>
  <si>
    <t xml:space="preserve">Workshop and installation drawings </t>
  </si>
  <si>
    <t>HPKOKKU</t>
  </si>
  <si>
    <t>Plaatide maht KOKKU</t>
  </si>
  <si>
    <t>Eur/kg</t>
  </si>
  <si>
    <t>1</t>
  </si>
  <si>
    <t>Phase 1 + 2</t>
  </si>
  <si>
    <t>*</t>
  </si>
  <si>
    <t>Columns</t>
  </si>
  <si>
    <t>x</t>
  </si>
  <si>
    <t>post 1+2</t>
  </si>
  <si>
    <t>CFRHS100x100x6</t>
  </si>
  <si>
    <t>S355J2H</t>
  </si>
  <si>
    <t>ots</t>
  </si>
  <si>
    <t>2</t>
  </si>
  <si>
    <t>Leht 10</t>
  </si>
  <si>
    <t>S355J2</t>
  </si>
  <si>
    <t>Fi</t>
  </si>
  <si>
    <t>tala</t>
  </si>
  <si>
    <t>3</t>
  </si>
  <si>
    <t>Leht 20</t>
  </si>
  <si>
    <t>CFRHS150x100x6</t>
  </si>
  <si>
    <t>Leht 15</t>
  </si>
  <si>
    <t>CFRHS150x150x8</t>
  </si>
  <si>
    <t>4</t>
  </si>
  <si>
    <t>wq</t>
  </si>
  <si>
    <t>5</t>
  </si>
  <si>
    <t>6</t>
  </si>
  <si>
    <t>Leht 12</t>
  </si>
  <si>
    <t>tugi</t>
  </si>
  <si>
    <t>7</t>
  </si>
  <si>
    <t>8</t>
  </si>
  <si>
    <t>Leht 30</t>
  </si>
  <si>
    <t>CFRHS180x180x10</t>
  </si>
  <si>
    <t>CFRHS180x180x8</t>
  </si>
  <si>
    <t>Parapett</t>
  </si>
  <si>
    <t>Leht 25</t>
  </si>
  <si>
    <t>Leht 8</t>
  </si>
  <si>
    <t>Vinkel</t>
  </si>
  <si>
    <t>L60x40x6</t>
  </si>
  <si>
    <t>WQ beams (incuded plates)</t>
  </si>
  <si>
    <t>primer, lower flange painted C2M</t>
  </si>
  <si>
    <t>WQ215X5-35X250-20X540</t>
  </si>
  <si>
    <t>Leht 5</t>
  </si>
  <si>
    <t>Leht 35</t>
  </si>
  <si>
    <t>siseribi</t>
  </si>
  <si>
    <t>rebar plates</t>
  </si>
  <si>
    <t>liftining</t>
  </si>
  <si>
    <t>Leht 40</t>
  </si>
  <si>
    <t>Beams</t>
  </si>
  <si>
    <t>Leht 6</t>
  </si>
  <si>
    <t>ribi</t>
  </si>
  <si>
    <t>tala 1+2</t>
  </si>
  <si>
    <t>HEB360</t>
  </si>
  <si>
    <t>IPE400</t>
  </si>
  <si>
    <t>IPE240</t>
  </si>
  <si>
    <t>IPE600</t>
  </si>
  <si>
    <t>Bracings</t>
  </si>
  <si>
    <t>side 1+2</t>
  </si>
  <si>
    <t>CFRHS120x120x8</t>
  </si>
  <si>
    <t>shimplate</t>
  </si>
  <si>
    <t>CFRHS150x150x6</t>
  </si>
  <si>
    <t>Window- and door frames (ifc yellow elements)</t>
  </si>
  <si>
    <t>aken 1+2</t>
  </si>
  <si>
    <t>L100x10</t>
  </si>
  <si>
    <t>Phase 3</t>
  </si>
  <si>
    <t>Outside entrance steel</t>
  </si>
  <si>
    <t>IPE120</t>
  </si>
  <si>
    <t>L120x11</t>
  </si>
  <si>
    <t xml:space="preserve">Indoor bollard (tubes) </t>
  </si>
  <si>
    <t>CFCHS168.3x4.5</t>
  </si>
  <si>
    <t>Bracings D30 with turnbuckles</t>
  </si>
  <si>
    <t>D30</t>
  </si>
  <si>
    <t>Keermestamine</t>
  </si>
  <si>
    <t>kinnitus</t>
  </si>
  <si>
    <t>PD45*7.5</t>
  </si>
  <si>
    <t xml:space="preserve">                                         XXX</t>
  </si>
  <si>
    <t>Materjalide lõikeleht - marsruutkaart  NR.</t>
  </si>
  <si>
    <t>Gaasilõikus</t>
  </si>
  <si>
    <t/>
  </si>
  <si>
    <t>Tellija:</t>
  </si>
  <si>
    <t>TA</t>
  </si>
  <si>
    <t>Tehnoloog:</t>
  </si>
  <si>
    <t>Objekt/toode:</t>
  </si>
  <si>
    <t>Kaal</t>
  </si>
  <si>
    <t>Joonis</t>
  </si>
  <si>
    <t>Pos. nr.</t>
  </si>
  <si>
    <t>Det.joonis</t>
  </si>
  <si>
    <t>Nimetus/Materjal</t>
  </si>
  <si>
    <t>Mark</t>
  </si>
  <si>
    <t>Mõõt</t>
  </si>
  <si>
    <t>Kogus</t>
  </si>
  <si>
    <t>GA</t>
  </si>
  <si>
    <t>GI</t>
  </si>
  <si>
    <t>SA</t>
  </si>
  <si>
    <t>PU</t>
  </si>
  <si>
    <t>PA</t>
  </si>
  <si>
    <t>TR</t>
  </si>
  <si>
    <t>FR</t>
  </si>
  <si>
    <t>VA</t>
  </si>
  <si>
    <t>KO</t>
  </si>
  <si>
    <t>VM</t>
  </si>
  <si>
    <t>Ühe</t>
  </si>
  <si>
    <t>Kokku</t>
  </si>
  <si>
    <t>Laius</t>
  </si>
  <si>
    <t>Pikkus</t>
  </si>
  <si>
    <t>ligtining</t>
  </si>
  <si>
    <t>Nimetus</t>
  </si>
  <si>
    <t>Kaal, kg</t>
  </si>
  <si>
    <t>Kogus, tk</t>
  </si>
  <si>
    <t>Pindala, m2</t>
  </si>
  <si>
    <t xml:space="preserve">                                         xxx</t>
  </si>
  <si>
    <t>Saagimine</t>
  </si>
  <si>
    <t>CFCHS42.4x3.2</t>
  </si>
  <si>
    <t xml:space="preserve">                                       x</t>
  </si>
  <si>
    <t>HK7080-1</t>
  </si>
  <si>
    <t>Materjalide kokkuvõte</t>
  </si>
  <si>
    <t>Kulunornm</t>
  </si>
  <si>
    <t>Kood</t>
  </si>
  <si>
    <t>Kogus kg</t>
  </si>
  <si>
    <t>Kogus jm</t>
  </si>
  <si>
    <t>Kogus kulunormiga</t>
  </si>
  <si>
    <t>Kogus tk./12m</t>
  </si>
  <si>
    <t>Hind,€/kg</t>
  </si>
  <si>
    <t>kg</t>
  </si>
  <si>
    <t>jm</t>
  </si>
  <si>
    <t>Hk7330</t>
  </si>
  <si>
    <t>Pakkeleht</t>
  </si>
  <si>
    <t>Veera Andronenko</t>
  </si>
  <si>
    <t>Norra</t>
  </si>
  <si>
    <t>Nr</t>
  </si>
  <si>
    <t>Pos</t>
  </si>
  <si>
    <t>Tükikaal</t>
  </si>
  <si>
    <t>Kaal kokku</t>
  </si>
  <si>
    <t>Gabariit</t>
  </si>
  <si>
    <t>Põhiprofiil</t>
  </si>
  <si>
    <t>Viimistlus</t>
  </si>
  <si>
    <t>Märkused</t>
  </si>
  <si>
    <t>Aknaraamid  CFRHS100x100x6</t>
  </si>
  <si>
    <t>160 x 1615</t>
  </si>
  <si>
    <t>160 x 4520</t>
  </si>
  <si>
    <t>Aknaraamid  CFRHS150x100x6</t>
  </si>
  <si>
    <t>160 x 3160</t>
  </si>
  <si>
    <t>1780 x 7480</t>
  </si>
  <si>
    <t>1795 x 5760</t>
  </si>
  <si>
    <t>Katusetalad HEB360</t>
  </si>
  <si>
    <t>160 x 14890</t>
  </si>
  <si>
    <t>Katusetalad IPE400</t>
  </si>
  <si>
    <t>160 x 14825</t>
  </si>
  <si>
    <t>Katusetalad IPE600</t>
  </si>
  <si>
    <t>160 x 7530</t>
  </si>
  <si>
    <t>160 x 0</t>
  </si>
  <si>
    <t>Post CFCHS168.3x4.5</t>
  </si>
  <si>
    <t>160 x 1000</t>
  </si>
  <si>
    <t>Post CFRHS100x100x6</t>
  </si>
  <si>
    <t>160 x 2527</t>
  </si>
  <si>
    <t>160 x 2260</t>
  </si>
  <si>
    <t>Post CFRHS150x100x6</t>
  </si>
  <si>
    <t>160 x 3075</t>
  </si>
  <si>
    <t>Post CFRHS150x150x8</t>
  </si>
  <si>
    <t>160 x 4495</t>
  </si>
  <si>
    <t>160 x 7045</t>
  </si>
  <si>
    <t>Post CFRHS180x180x10</t>
  </si>
  <si>
    <t>160 x 5415</t>
  </si>
  <si>
    <t>Post CFRHS180x180x8</t>
  </si>
  <si>
    <t>160 x 6600</t>
  </si>
  <si>
    <t>Post IPE120</t>
  </si>
  <si>
    <t>160 x 4700</t>
  </si>
  <si>
    <t>Seinatala IPE240</t>
  </si>
  <si>
    <t>160 x 4775</t>
  </si>
  <si>
    <t>Side CFRHS100x100x6</t>
  </si>
  <si>
    <t>160 x 4310</t>
  </si>
  <si>
    <t>Side CFRHS120x120x10</t>
  </si>
  <si>
    <t>160 x 5050</t>
  </si>
  <si>
    <t>Side CFRHS120x120x8</t>
  </si>
  <si>
    <t>160 x 9160</t>
  </si>
  <si>
    <t>Side CFRHS150x150x6</t>
  </si>
  <si>
    <t>160 x 4400</t>
  </si>
  <si>
    <t>Tala CFRHS100x100x6</t>
  </si>
  <si>
    <t>160 x 2605</t>
  </si>
  <si>
    <t>Tala L120x11</t>
  </si>
  <si>
    <t>160 x 2480</t>
  </si>
  <si>
    <t>Tõmbid D30</t>
  </si>
  <si>
    <t>160 x 5490</t>
  </si>
  <si>
    <t>160 x 1470</t>
  </si>
  <si>
    <t>160 x 145</t>
  </si>
  <si>
    <t>KOKKU:</t>
  </si>
  <si>
    <t>Pakkumine:</t>
  </si>
  <si>
    <t>Tarnekoht:</t>
  </si>
  <si>
    <t xml:space="preserve">Tähtaeg: </t>
  </si>
  <si>
    <t>No.</t>
  </si>
  <si>
    <t>Name</t>
  </si>
  <si>
    <t>Surface</t>
  </si>
  <si>
    <t>Drawing nr.</t>
  </si>
  <si>
    <t>Amount</t>
  </si>
  <si>
    <t>Unit</t>
  </si>
  <si>
    <t>Price, €</t>
  </si>
  <si>
    <t>Unit price</t>
  </si>
  <si>
    <t>1+2</t>
  </si>
  <si>
    <t>1.</t>
  </si>
  <si>
    <t>Manufacturing</t>
  </si>
  <si>
    <t>DSNor</t>
  </si>
  <si>
    <t>MM</t>
  </si>
  <si>
    <t>1.1</t>
  </si>
  <si>
    <t>1.2</t>
  </si>
  <si>
    <t>1.4</t>
  </si>
  <si>
    <t>1.5</t>
  </si>
  <si>
    <t>1.6</t>
  </si>
  <si>
    <t>1.7</t>
  </si>
  <si>
    <t>1.8</t>
  </si>
  <si>
    <t>ilma plaadita</t>
  </si>
  <si>
    <t>2.</t>
  </si>
  <si>
    <t>pcs</t>
  </si>
  <si>
    <t>3.</t>
  </si>
  <si>
    <t>Hilti anchor HUS4-HF</t>
  </si>
  <si>
    <t>eur/pakk</t>
  </si>
  <si>
    <t>tk/pakis</t>
  </si>
  <si>
    <t>pakki</t>
  </si>
  <si>
    <t>4.</t>
  </si>
  <si>
    <t>Fasteners for steel-to-steel connections</t>
  </si>
  <si>
    <t>set</t>
  </si>
  <si>
    <t>EUR/kg</t>
  </si>
  <si>
    <r>
      <t xml:space="preserve">Transport:
</t>
    </r>
    <r>
      <rPr>
        <sz val="12"/>
        <color rgb="FF3F3F3F"/>
        <rFont val="Times New Roman"/>
        <family val="1"/>
      </rPr>
      <t>- 5 pcs standard truck 2,4x2x6x13,5 m;
- 4 pcs long truck 2,4x2x6x15m.</t>
    </r>
  </si>
  <si>
    <t>TOTAL:</t>
  </si>
  <si>
    <t>Keskmine pakkumise hind:</t>
  </si>
  <si>
    <t>Hind €/kg</t>
  </si>
  <si>
    <t>Kulunormid</t>
  </si>
  <si>
    <t>Profiil</t>
  </si>
  <si>
    <t>Mass, kg</t>
  </si>
  <si>
    <t>Hind/eur/kg</t>
  </si>
  <si>
    <t>Elme</t>
  </si>
  <si>
    <t>CFCHS127x6</t>
  </si>
  <si>
    <t>relss, 50x30</t>
  </si>
  <si>
    <t>Hind</t>
  </si>
  <si>
    <t>CFCHS139.7x6.3</t>
  </si>
  <si>
    <t>0.83 6.0mm</t>
  </si>
  <si>
    <t>CFRHS100x100x4</t>
  </si>
  <si>
    <t>relss, 60x40</t>
  </si>
  <si>
    <t>CFRHS180x120x8</t>
  </si>
  <si>
    <t>33 tn</t>
  </si>
  <si>
    <t> 1.03</t>
  </si>
  <si>
    <t>CFCHS219.1x12.5</t>
  </si>
  <si>
    <t>CFRHS100x100x5</t>
  </si>
  <si>
    <t>CFCHS60.3x3</t>
  </si>
  <si>
    <t>1,5 tn</t>
  </si>
  <si>
    <t> 0.78</t>
  </si>
  <si>
    <t>CFCHS355.6x8</t>
  </si>
  <si>
    <t>CFRHS120x120x6</t>
  </si>
  <si>
    <t>CFRHS180x180x12.5</t>
  </si>
  <si>
    <t>8,5 tn</t>
  </si>
  <si>
    <t> 0.82</t>
  </si>
  <si>
    <t>CFCHS406.4x8</t>
  </si>
  <si>
    <t>CFRHS200x200x10</t>
  </si>
  <si>
    <t>0,5 tn</t>
  </si>
  <si>
    <t> 0.8</t>
  </si>
  <si>
    <t>CFCHS457x10</t>
  </si>
  <si>
    <t>CFRHS120x80x6</t>
  </si>
  <si>
    <t>CFRHS70x70x3</t>
  </si>
  <si>
    <t> 0.74</t>
  </si>
  <si>
    <t>CFCHS76.1x3</t>
  </si>
  <si>
    <t>CFRHS140x140x5</t>
  </si>
  <si>
    <t>CFRHS120x120x4</t>
  </si>
  <si>
    <t>HEA120</t>
  </si>
  <si>
    <t>4 tn</t>
  </si>
  <si>
    <t> 0.855</t>
  </si>
  <si>
    <t>CFCHS88.9x5</t>
  </si>
  <si>
    <t>CFRHS150x100x4</t>
  </si>
  <si>
    <t>CFRHS120x120x5</t>
  </si>
  <si>
    <t>HEA200</t>
  </si>
  <si>
    <t>1 tn</t>
  </si>
  <si>
    <t> 0.865</t>
  </si>
  <si>
    <t>CFRHS150x100x8</t>
  </si>
  <si>
    <t>HEA260</t>
  </si>
  <si>
    <t>11 tn</t>
  </si>
  <si>
    <t> 0.875</t>
  </si>
  <si>
    <t>CFRHS100x50x5</t>
  </si>
  <si>
    <t>CFRHS150x150x5</t>
  </si>
  <si>
    <t>CFRHS120x80x4</t>
  </si>
  <si>
    <t>HEB260</t>
  </si>
  <si>
    <t>2,5 tn</t>
  </si>
  <si>
    <t> 0.87</t>
  </si>
  <si>
    <t>HEB280</t>
  </si>
  <si>
    <t>17,5 tn</t>
  </si>
  <si>
    <t>CFRHS200x100x4</t>
  </si>
  <si>
    <t>CFRHS140x140x6</t>
  </si>
  <si>
    <t>HEB300</t>
  </si>
  <si>
    <t>25 tn</t>
  </si>
  <si>
    <t>CFRHS200x100x6</t>
  </si>
  <si>
    <t>CFRHS150x100x5</t>
  </si>
  <si>
    <t>HEB320</t>
  </si>
  <si>
    <t>15 tn</t>
  </si>
  <si>
    <t>CFRHS200x200x6</t>
  </si>
  <si>
    <t>CFRHS200x100x8</t>
  </si>
  <si>
    <t>HEM260</t>
  </si>
  <si>
    <t>5,5 tn</t>
  </si>
  <si>
    <t> 1.1</t>
  </si>
  <si>
    <t>CFRHS200x200x8</t>
  </si>
  <si>
    <t>HEM300</t>
  </si>
  <si>
    <t>25,5 tn</t>
  </si>
  <si>
    <t> 1.12</t>
  </si>
  <si>
    <t>CFRHS200x80x6</t>
  </si>
  <si>
    <t>CFRHS160x160x10</t>
  </si>
  <si>
    <t>Leht 5-40</t>
  </si>
  <si>
    <t>ca 60 tn</t>
  </si>
  <si>
    <t>CFRHS220x120x8</t>
  </si>
  <si>
    <t>CFRHS160x160x8</t>
  </si>
  <si>
    <t>CFRHS250x150x10</t>
  </si>
  <si>
    <t>CFRHS250x250x8</t>
  </si>
  <si>
    <t>CFRHS160x80x6</t>
  </si>
  <si>
    <t>CFRHS300x200x8</t>
  </si>
  <si>
    <t>CFRHS80x80x4</t>
  </si>
  <si>
    <t>CFRHS400x200x10</t>
  </si>
  <si>
    <t>CFRHS200x120x6</t>
  </si>
  <si>
    <t>CFRHS70x70x5</t>
  </si>
  <si>
    <t>CFRHS50x50x4</t>
  </si>
  <si>
    <t>HIND</t>
  </si>
  <si>
    <t>HEA160</t>
  </si>
  <si>
    <t>CFRHS60x60x4</t>
  </si>
  <si>
    <t>1.025</t>
  </si>
  <si>
    <t>CFRHS80x80x5</t>
  </si>
  <si>
    <t>CFRHS70x70x4</t>
  </si>
  <si>
    <t>CFCHS219.1x6</t>
  </si>
  <si>
    <t>0.865</t>
  </si>
  <si>
    <t>HEA400</t>
  </si>
  <si>
    <t>CFRHS90x90x4</t>
  </si>
  <si>
    <t>CFCHS219.1x8</t>
  </si>
  <si>
    <t>0.875</t>
  </si>
  <si>
    <t>HEA600</t>
  </si>
  <si>
    <t>HEA180</t>
  </si>
  <si>
    <t>CFCHS273x8</t>
  </si>
  <si>
    <t>HEB200</t>
  </si>
  <si>
    <t>CFCHS323.9x8</t>
  </si>
  <si>
    <t>0.925</t>
  </si>
  <si>
    <t>HEB240</t>
  </si>
  <si>
    <t>IPE450</t>
  </si>
  <si>
    <t>CFRHS80x80x6</t>
  </si>
  <si>
    <t>0.85</t>
  </si>
  <si>
    <t>HEB400</t>
  </si>
  <si>
    <t>UNP200</t>
  </si>
  <si>
    <t>IPE300</t>
  </si>
  <si>
    <r>
      <t xml:space="preserve">CFRHS150x150x10 </t>
    </r>
    <r>
      <rPr>
        <sz val="11"/>
        <color rgb="FFFF0000"/>
        <rFont val="Calibri"/>
        <family val="2"/>
      </rPr>
      <t>S420MH</t>
    </r>
  </si>
  <si>
    <t>UPE160</t>
  </si>
  <si>
    <r>
      <t xml:space="preserve">CFRHS150x150x8 </t>
    </r>
    <r>
      <rPr>
        <sz val="11"/>
        <color rgb="FFFF0000"/>
        <rFont val="Calibri"/>
        <family val="2"/>
      </rPr>
      <t>S420MH</t>
    </r>
  </si>
  <si>
    <t>UPE400</t>
  </si>
  <si>
    <r>
      <t xml:space="preserve">CFRHS160x160x10 </t>
    </r>
    <r>
      <rPr>
        <sz val="11"/>
        <color rgb="FFFF0000"/>
        <rFont val="Calibri"/>
        <family val="2"/>
      </rPr>
      <t>S420MH</t>
    </r>
  </si>
  <si>
    <t>PL 5-40</t>
  </si>
  <si>
    <t>150 tn</t>
  </si>
  <si>
    <r>
      <t xml:space="preserve">CFRHS160x160x12.5 </t>
    </r>
    <r>
      <rPr>
        <sz val="11"/>
        <color rgb="FFFF0000"/>
        <rFont val="Calibri"/>
        <family val="2"/>
      </rPr>
      <t>S420MH</t>
    </r>
  </si>
  <si>
    <t>HEA240</t>
  </si>
  <si>
    <t>LEHT 5-40</t>
  </si>
  <si>
    <t>ca 10 tn</t>
  </si>
  <si>
    <t>HEA280</t>
  </si>
  <si>
    <t>HEA300</t>
  </si>
  <si>
    <t>HEA450</t>
  </si>
  <si>
    <t>L100x8</t>
  </si>
  <si>
    <t>L130x12</t>
  </si>
  <si>
    <t>T120</t>
  </si>
  <si>
    <t>leht 4</t>
  </si>
  <si>
    <t>leht 5</t>
  </si>
  <si>
    <t>leht 6</t>
  </si>
  <si>
    <t>leht 8</t>
  </si>
  <si>
    <t>leht 10</t>
  </si>
  <si>
    <t>leht 12</t>
  </si>
  <si>
    <t>leht 15</t>
  </si>
  <si>
    <t>Leht 16</t>
  </si>
  <si>
    <t>Leht 22</t>
  </si>
  <si>
    <t>leht 45</t>
  </si>
  <si>
    <t>Leht 50</t>
  </si>
  <si>
    <t>Product Name</t>
  </si>
  <si>
    <t>Product Description</t>
  </si>
  <si>
    <t>Length (mm)</t>
  </si>
  <si>
    <t>Weight (t)</t>
  </si>
  <si>
    <t>(Vind-X-Plade)</t>
  </si>
  <si>
    <t>FL15*120</t>
  </si>
  <si>
    <t>Row Labels</t>
  </si>
  <si>
    <t>Count of Length (mm)2</t>
  </si>
  <si>
    <t>Sum of Length (mm)</t>
  </si>
  <si>
    <t>Sum of Weight (t)</t>
  </si>
  <si>
    <t>FL15*100</t>
  </si>
  <si>
    <t>FL15*180</t>
  </si>
  <si>
    <t>Afstivning</t>
  </si>
  <si>
    <t>FL10*80</t>
  </si>
  <si>
    <t>FL15*140</t>
  </si>
  <si>
    <t>FL15*200</t>
  </si>
  <si>
    <t>FL25*300</t>
  </si>
  <si>
    <t>FL6*50</t>
  </si>
  <si>
    <t>Bardunstrammere</t>
  </si>
  <si>
    <t>EI PAKU ???</t>
  </si>
  <si>
    <t>Benkile</t>
  </si>
  <si>
    <t>Keevispost</t>
  </si>
  <si>
    <t>PL8*1697</t>
  </si>
  <si>
    <t>Drager</t>
  </si>
  <si>
    <t>L100*10</t>
  </si>
  <si>
    <t>uksed</t>
  </si>
  <si>
    <t>L60*40*6</t>
  </si>
  <si>
    <t>keevis post</t>
  </si>
  <si>
    <t>Færdigvare</t>
  </si>
  <si>
    <t>Fladstål</t>
  </si>
  <si>
    <t>FL10*100</t>
  </si>
  <si>
    <t>FL10*120</t>
  </si>
  <si>
    <t>FL10*130</t>
  </si>
  <si>
    <t>FL10*135</t>
  </si>
  <si>
    <t>FL10*140</t>
  </si>
  <si>
    <t>FL10*150</t>
  </si>
  <si>
    <t>FL10*165</t>
  </si>
  <si>
    <t>FL10*200</t>
  </si>
  <si>
    <t>FL10*70</t>
  </si>
  <si>
    <t>FL10*90</t>
  </si>
  <si>
    <t>FL12*120</t>
  </si>
  <si>
    <t>FL12*180</t>
  </si>
  <si>
    <t>FL12*90</t>
  </si>
  <si>
    <t>FL15*125</t>
  </si>
  <si>
    <t>FL15*146</t>
  </si>
  <si>
    <t>FL15*160</t>
  </si>
  <si>
    <t>FL15*165</t>
  </si>
  <si>
    <t>FL15*213</t>
  </si>
  <si>
    <t>FL15*265</t>
  </si>
  <si>
    <t>FL15*300</t>
  </si>
  <si>
    <t>FL20*250</t>
  </si>
  <si>
    <t>FL25*250</t>
  </si>
  <si>
    <t>FL30*120</t>
  </si>
  <si>
    <t>FL30*150</t>
  </si>
  <si>
    <t>FL5*90</t>
  </si>
  <si>
    <t>Flange</t>
  </si>
  <si>
    <t>HSQ</t>
  </si>
  <si>
    <t>FL20*540</t>
  </si>
  <si>
    <t>FL35*250</t>
  </si>
  <si>
    <t>FL5*215</t>
  </si>
  <si>
    <t>Løsdele</t>
  </si>
  <si>
    <t>FL12*160</t>
  </si>
  <si>
    <t>PL15*170</t>
  </si>
  <si>
    <t>Opstik</t>
  </si>
  <si>
    <t>L120*11</t>
  </si>
  <si>
    <t>PL10*120</t>
  </si>
  <si>
    <t>PL10*140</t>
  </si>
  <si>
    <t>PL10*80</t>
  </si>
  <si>
    <t>PL15/Ø26(BV20)</t>
  </si>
  <si>
    <t>PL15*140</t>
  </si>
  <si>
    <t>Plade</t>
  </si>
  <si>
    <t>FL15*153</t>
  </si>
  <si>
    <t>FL15*169</t>
  </si>
  <si>
    <t>FL15*184</t>
  </si>
  <si>
    <t>FL15*199</t>
  </si>
  <si>
    <t>FL15*207</t>
  </si>
  <si>
    <t>FL15*214</t>
  </si>
  <si>
    <t>FL15*219</t>
  </si>
  <si>
    <t>FL15*229</t>
  </si>
  <si>
    <t>FL15*236</t>
  </si>
  <si>
    <t>PL10*100</t>
  </si>
  <si>
    <t>PL10*65</t>
  </si>
  <si>
    <t>PL10*72</t>
  </si>
  <si>
    <t>PL10*75</t>
  </si>
  <si>
    <t>PL10*81</t>
  </si>
  <si>
    <t>PL12*275</t>
  </si>
  <si>
    <t>PL15*178</t>
  </si>
  <si>
    <t>PL15*183</t>
  </si>
  <si>
    <t>PL15*200</t>
  </si>
  <si>
    <t>PL15*240</t>
  </si>
  <si>
    <t>PL5*215</t>
  </si>
  <si>
    <t>Portomfatning</t>
  </si>
  <si>
    <t>RHS100X100X6</t>
  </si>
  <si>
    <t>RHS150X100X6</t>
  </si>
  <si>
    <t>RHS150X150X8</t>
  </si>
  <si>
    <t>Rigle</t>
  </si>
  <si>
    <t>Søjle</t>
  </si>
  <si>
    <t>RHS180X180X10</t>
  </si>
  <si>
    <t>RHS180X180X8</t>
  </si>
  <si>
    <t>Tagkile</t>
  </si>
  <si>
    <t>PL6*1698</t>
  </si>
  <si>
    <t>Vind-X</t>
  </si>
  <si>
    <t>RHS120X120X10</t>
  </si>
  <si>
    <t>RHS120X120X8</t>
  </si>
  <si>
    <t>RHS150X150X6</t>
  </si>
  <si>
    <t>Vind-X-Plade</t>
  </si>
  <si>
    <t>FL15*88</t>
  </si>
  <si>
    <t>FL5*47</t>
  </si>
  <si>
    <t>FL5*48</t>
  </si>
  <si>
    <t>PL15*80</t>
  </si>
  <si>
    <t>Grand Total</t>
  </si>
  <si>
    <t>STEEL PART LIST CRIT_R90</t>
  </si>
  <si>
    <t>Positsioon</t>
  </si>
  <si>
    <t>Nimi</t>
  </si>
  <si>
    <t>Ristlõige</t>
  </si>
  <si>
    <t>Materjal</t>
  </si>
  <si>
    <t>L [mm]</t>
  </si>
  <si>
    <t>B [mm]</t>
  </si>
  <si>
    <t>H [mm]</t>
  </si>
  <si>
    <t>m (n) [kg]</t>
  </si>
  <si>
    <t>m-sum (n) [kg]</t>
  </si>
  <si>
    <t>m (b) [kg]</t>
  </si>
  <si>
    <t>m-sum (b) [kg]</t>
  </si>
  <si>
    <t>Värvitav ala [m2]</t>
  </si>
  <si>
    <t>Kriitiline temp</t>
  </si>
  <si>
    <t>M2</t>
  </si>
  <si>
    <t>R €/m2</t>
  </si>
  <si>
    <t>Kokku R, €</t>
  </si>
  <si>
    <t>koeff</t>
  </si>
  <si>
    <t>S355J2G3</t>
  </si>
  <si>
    <t>PL10*145.51</t>
  </si>
  <si>
    <t>PL10*145.53</t>
  </si>
  <si>
    <t>PL10*145.54</t>
  </si>
  <si>
    <t>PL10*145.67</t>
  </si>
  <si>
    <t>sBR-PL/1</t>
  </si>
  <si>
    <t>PL15*160</t>
  </si>
  <si>
    <t>sBR-PL/2</t>
  </si>
  <si>
    <t>PL10*160</t>
  </si>
  <si>
    <t>sBR-PL/3</t>
  </si>
  <si>
    <t>sBR-PL/4</t>
  </si>
  <si>
    <t>sBR-PL/5</t>
  </si>
  <si>
    <t>sBR-PL/6</t>
  </si>
  <si>
    <t>sBR-PL/7</t>
  </si>
  <si>
    <t>sBR-PL/19</t>
  </si>
  <si>
    <t>sBR-PL/20</t>
  </si>
  <si>
    <t>sBR-PL/21</t>
  </si>
  <si>
    <t>sBR-PL/22</t>
  </si>
  <si>
    <t>sBR-PL/25</t>
  </si>
  <si>
    <t>sBR-PL/1001</t>
  </si>
  <si>
    <t>sBR-PL/1002</t>
  </si>
  <si>
    <t>sBR-PL/1003</t>
  </si>
  <si>
    <t>PL5*194</t>
  </si>
  <si>
    <t>sBR-PL/1010</t>
  </si>
  <si>
    <t>sBR-PL/1026</t>
  </si>
  <si>
    <t>PL10*136.8</t>
  </si>
  <si>
    <t>PL10*136.81</t>
  </si>
  <si>
    <t>PL10*137.38</t>
  </si>
  <si>
    <t>PL10*137.48</t>
  </si>
  <si>
    <t>PL10*137.58</t>
  </si>
  <si>
    <t>PL10*137.94</t>
  </si>
  <si>
    <t>PL10*138.01</t>
  </si>
  <si>
    <t>PL10*138.32</t>
  </si>
  <si>
    <t>sBR-PL/1027</t>
  </si>
  <si>
    <t>PL10*138.59</t>
  </si>
  <si>
    <t>sBR-PR/1</t>
  </si>
  <si>
    <t>CFRHS200X100X8</t>
  </si>
  <si>
    <t>sBR-PR/2</t>
  </si>
  <si>
    <t>CFRHS100X100X5</t>
  </si>
  <si>
    <t>sBR-PR/3</t>
  </si>
  <si>
    <t>sBR-PR/4</t>
  </si>
  <si>
    <t>sBR-PR/8</t>
  </si>
  <si>
    <t>CFRHS100X100X4</t>
  </si>
  <si>
    <t>S355JR</t>
  </si>
  <si>
    <t>sBR-PR/16</t>
  </si>
  <si>
    <t>sBR-PR/18</t>
  </si>
  <si>
    <t>sBR-PR/19</t>
  </si>
  <si>
    <t>sBR-PR/28</t>
  </si>
  <si>
    <t>sBR-PR/33</t>
  </si>
  <si>
    <t>sBR-PR/42</t>
  </si>
  <si>
    <t>sBR-PR/43</t>
  </si>
  <si>
    <t>sBR-PR/48</t>
  </si>
  <si>
    <t>sF-PL/1001</t>
  </si>
  <si>
    <t>L120*8</t>
  </si>
  <si>
    <t>sF-PR/7</t>
  </si>
  <si>
    <t>sF-PR/9</t>
  </si>
  <si>
    <t>sF-PR/10</t>
  </si>
  <si>
    <t>sT-P/1001</t>
  </si>
  <si>
    <t>PL15*270</t>
  </si>
  <si>
    <t>sT-PL/1</t>
  </si>
  <si>
    <t>PL10*70</t>
  </si>
  <si>
    <t>sT-PL/2</t>
  </si>
  <si>
    <t>sT-PL/3</t>
  </si>
  <si>
    <t>sT-PL/4</t>
  </si>
  <si>
    <t>PL20*300</t>
  </si>
  <si>
    <t>sT-PL/5</t>
  </si>
  <si>
    <t>PL20*135</t>
  </si>
  <si>
    <t>sT-PL/17</t>
  </si>
  <si>
    <t>PL5*50</t>
  </si>
  <si>
    <t>sT-PL/1001</t>
  </si>
  <si>
    <t>PL5*144</t>
  </si>
  <si>
    <t>sT-PL/1002</t>
  </si>
  <si>
    <t>sT-PL/1003</t>
  </si>
  <si>
    <t>PL5*114</t>
  </si>
  <si>
    <t>sT-PL/1004</t>
  </si>
  <si>
    <t>PL5*45</t>
  </si>
  <si>
    <t>sT-PL/1005</t>
  </si>
  <si>
    <t>PL20*160</t>
  </si>
  <si>
    <t>sT-PL/1007</t>
  </si>
  <si>
    <t>sT-PL/1010</t>
  </si>
  <si>
    <t>sT-PL/1011</t>
  </si>
  <si>
    <t>PL5*150</t>
  </si>
  <si>
    <t>sT-PL/1014</t>
  </si>
  <si>
    <t>sT-PL/1017</t>
  </si>
  <si>
    <t>sT-PL/1028</t>
  </si>
  <si>
    <t>sT-PL/1030</t>
  </si>
  <si>
    <t>sT-PL/1031</t>
  </si>
  <si>
    <t>sT-PR/1</t>
  </si>
  <si>
    <t>CFRHS200X200X8</t>
  </si>
  <si>
    <t>sT-PR/3</t>
  </si>
  <si>
    <t>CFRHS80X80X4</t>
  </si>
  <si>
    <t>sT-PR/4</t>
  </si>
  <si>
    <t>sT-PR/5</t>
  </si>
  <si>
    <t>CFRHS150X150X5</t>
  </si>
  <si>
    <t>sT-PR/8</t>
  </si>
  <si>
    <t>CFRHS50X50X4</t>
  </si>
  <si>
    <t>sT-PR/9</t>
  </si>
  <si>
    <t>CFRHS120X120X5</t>
  </si>
  <si>
    <t>sT-PR/10</t>
  </si>
  <si>
    <t>CFRHS100X100X8</t>
  </si>
  <si>
    <t>sT-PR/11</t>
  </si>
  <si>
    <t>sT-PR/12</t>
  </si>
  <si>
    <t>CFRHS150X100X6</t>
  </si>
  <si>
    <t>sT-PR/13</t>
  </si>
  <si>
    <t>sT-PR/14</t>
  </si>
  <si>
    <t>sT-PR/16</t>
  </si>
  <si>
    <t>CFRHS70X70X4</t>
  </si>
  <si>
    <t>sT-PR/17</t>
  </si>
  <si>
    <t>sT-PR/18</t>
  </si>
  <si>
    <t>sT-PR/20</t>
  </si>
  <si>
    <t>sT-PR/26</t>
  </si>
  <si>
    <t>sT-PR/27</t>
  </si>
  <si>
    <t>sT-PR/36</t>
  </si>
  <si>
    <t>D12</t>
  </si>
  <si>
    <t>sT-PR/112</t>
  </si>
  <si>
    <t>sT-PR/113</t>
  </si>
  <si>
    <t>sT-PR/114</t>
  </si>
  <si>
    <t>sT-PR/115</t>
  </si>
  <si>
    <t>sT-PR/164</t>
  </si>
  <si>
    <t>sT-PR/211</t>
  </si>
  <si>
    <t>CFRHS120X120X8</t>
  </si>
  <si>
    <t>sT-PR/212</t>
  </si>
  <si>
    <t>sT-PR/214</t>
  </si>
  <si>
    <t>sT-PR/216</t>
  </si>
  <si>
    <t>sT-PR/219</t>
  </si>
  <si>
    <t>€/m2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</si>
</sst>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€&quot;_-;\-* #,##0.00\ &quot;€&quot;_-;_-* &quot;-&quot;??\ &quot;€&quot;_-;_-@_-"/>
    <numFmt numFmtId="164" formatCode="d\-mmm"/>
    <numFmt numFmtId="165" formatCode="d\-mmm\-yy"/>
    <numFmt numFmtId="166" formatCode="0.0"/>
    <numFmt numFmtId="167" formatCode="0.000"/>
    <numFmt numFmtId="168" formatCode="0.0000"/>
    <numFmt numFmtId="169" formatCode="#,##0\ &quot;€&quot;"/>
    <numFmt numFmtId="170" formatCode="#,##0.00\ &quot;€&quot;"/>
    <numFmt numFmtId="171" formatCode="0.0%"/>
    <numFmt numFmtId="172" formatCode="#,##0.0"/>
  </numFmts>
  <fonts count="59">
    <font>
      <sz val="11"/>
      <color theme="1"/>
      <name val="Calibri"/>
      <family val="2"/>
      <charset val="186"/>
      <scheme val="minor"/>
    </font>
    <font>
      <sz val="12"/>
      <name val="Times New Roman"/>
      <family val="1"/>
      <charset val="186"/>
    </font>
    <font>
      <sz val="12"/>
      <name val="Calibri"/>
      <family val="2"/>
      <charset val="186"/>
    </font>
    <font>
      <b/>
      <sz val="12"/>
      <name val="Calibri"/>
      <family val="2"/>
      <charset val="186"/>
    </font>
    <font>
      <sz val="12"/>
      <name val="Calibri"/>
      <family val="2"/>
      <charset val="186"/>
    </font>
    <font>
      <b/>
      <sz val="14"/>
      <name val="Calibri"/>
      <family val="2"/>
      <charset val="186"/>
    </font>
    <font>
      <sz val="10"/>
      <name val="Calibri"/>
      <family val="2"/>
      <charset val="186"/>
    </font>
    <font>
      <b/>
      <sz val="12"/>
      <color indexed="9"/>
      <name val="Calibri"/>
      <family val="2"/>
      <charset val="186"/>
    </font>
    <font>
      <sz val="12"/>
      <color indexed="9"/>
      <name val="Calibri"/>
      <family val="2"/>
      <charset val="186"/>
    </font>
    <font>
      <sz val="14"/>
      <name val="Calibri"/>
      <family val="2"/>
      <charset val="186"/>
    </font>
    <font>
      <sz val="8"/>
      <name val="Calibri"/>
      <family val="2"/>
      <charset val="186"/>
    </font>
    <font>
      <b/>
      <sz val="11"/>
      <color theme="1"/>
      <name val="Calibri"/>
      <family val="2"/>
      <charset val="186"/>
      <scheme val="minor"/>
    </font>
    <font>
      <b/>
      <sz val="12"/>
      <name val="Times New Roman"/>
      <family val="1"/>
      <charset val="186"/>
    </font>
    <font>
      <b/>
      <sz val="10"/>
      <name val="Times New Roman"/>
      <family val="1"/>
    </font>
    <font>
      <sz val="10"/>
      <name val="Arial"/>
      <family val="2"/>
      <charset val="186"/>
    </font>
    <font>
      <sz val="1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2"/>
      <color theme="1"/>
      <name val="Times New Roman"/>
      <family val="1"/>
      <charset val="186"/>
    </font>
    <font>
      <sz val="12"/>
      <color theme="1"/>
      <name val="Times New Roman"/>
      <family val="1"/>
      <charset val="186"/>
    </font>
    <font>
      <b/>
      <sz val="11"/>
      <color theme="0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2"/>
      <color rgb="FF3F3F3F"/>
      <name val="Times New Roman"/>
      <family val="1"/>
      <charset val="186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2"/>
      <color rgb="FF3F3F3F"/>
      <name val="Times New Roman"/>
      <family val="1"/>
    </font>
    <font>
      <b/>
      <sz val="11"/>
      <name val="Times New Roman"/>
      <family val="1"/>
    </font>
    <font>
      <b/>
      <sz val="12"/>
      <color rgb="FF3F3F3F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rgb="FFFF0000"/>
      <name val="Times New Roman"/>
      <family val="1"/>
    </font>
    <font>
      <sz val="11"/>
      <color rgb="FFFF0000"/>
      <name val="Times New Roman"/>
      <family val="1"/>
    </font>
    <font>
      <sz val="1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name val="Times New Roman"/>
      <family val="1"/>
    </font>
    <font>
      <sz val="12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 Narrow"/>
      <family val="2"/>
      <charset val="186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  <charset val="186"/>
      <scheme val="minor"/>
    </font>
    <font>
      <b/>
      <sz val="12"/>
      <name val="Calibri"/>
      <family val="2"/>
      <charset val="186"/>
      <scheme val="minor"/>
    </font>
    <font>
      <sz val="12"/>
      <color rgb="FFFF0000"/>
      <name val="Calibri"/>
      <family val="2"/>
      <charset val="186"/>
      <scheme val="minor"/>
    </font>
    <font>
      <sz val="12"/>
      <name val="Calibri"/>
      <family val="2"/>
      <charset val="186"/>
      <scheme val="minor"/>
    </font>
    <font>
      <sz val="12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186"/>
      <scheme val="minor"/>
    </font>
    <font>
      <b/>
      <sz val="12"/>
      <color theme="1"/>
      <name val="Calibri"/>
      <family val="2"/>
    </font>
    <font>
      <sz val="11"/>
      <color rgb="FFC00000"/>
      <name val="Calibri"/>
      <family val="2"/>
      <charset val="186"/>
      <scheme val="minor"/>
    </font>
    <font>
      <sz val="12"/>
      <name val="Calibri"/>
      <family val="2"/>
      <scheme val="minor"/>
    </font>
    <font>
      <sz val="10"/>
      <color rgb="FF000000"/>
      <name val="Arial Narrow"/>
      <family val="2"/>
      <charset val="204"/>
    </font>
    <font>
      <sz val="10"/>
      <color rgb="FF000000"/>
      <name val="ArialNarrow-Bold"/>
      <charset val="204"/>
    </font>
    <font>
      <sz val="1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05BEFF"/>
        <bgColor indexed="64"/>
      </patternFill>
    </fill>
    <fill>
      <patternFill patternType="solid">
        <fgColor rgb="FFFFCD2F"/>
        <bgColor indexed="64"/>
      </patternFill>
    </fill>
    <fill>
      <patternFill patternType="solid">
        <fgColor rgb="FFFFD757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rgb="FFEEB5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8">
    <xf numFmtId="0" fontId="0" fillId="0" borderId="0"/>
    <xf numFmtId="0" fontId="1" fillId="0" borderId="0"/>
    <xf numFmtId="0" fontId="14" fillId="0" borderId="0"/>
    <xf numFmtId="44" fontId="14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2" fillId="9" borderId="21" applyNumberFormat="0" applyAlignment="0" applyProtection="0"/>
    <xf numFmtId="0" fontId="23" fillId="10" borderId="22" applyNumberFormat="0" applyAlignment="0" applyProtection="0"/>
    <xf numFmtId="0" fontId="36" fillId="0" borderId="0"/>
  </cellStyleXfs>
  <cellXfs count="493">
    <xf numFmtId="0" fontId="0" fillId="0" borderId="0" xfId="0"/>
    <xf numFmtId="1" fontId="6" fillId="0" borderId="1" xfId="1" applyNumberFormat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1" fontId="4" fillId="0" borderId="0" xfId="1" applyNumberFormat="1" applyFont="1" applyAlignment="1" applyProtection="1">
      <alignment horizontal="center"/>
      <protection locked="0"/>
    </xf>
    <xf numFmtId="49" fontId="4" fillId="0" borderId="0" xfId="1" applyNumberFormat="1" applyFont="1" applyAlignment="1" applyProtection="1">
      <alignment horizontal="right"/>
      <protection locked="0"/>
    </xf>
    <xf numFmtId="0" fontId="4" fillId="0" borderId="0" xfId="1" applyFont="1" applyProtection="1">
      <protection locked="0"/>
    </xf>
    <xf numFmtId="1" fontId="4" fillId="0" borderId="0" xfId="1" applyNumberFormat="1" applyFont="1" applyAlignment="1" applyProtection="1">
      <alignment horizontal="right"/>
      <protection locked="0"/>
    </xf>
    <xf numFmtId="0" fontId="4" fillId="0" borderId="0" xfId="1" applyFont="1"/>
    <xf numFmtId="0" fontId="4" fillId="0" borderId="0" xfId="1" applyFont="1" applyAlignment="1" applyProtection="1">
      <alignment horizontal="right"/>
      <protection locked="0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right" vertical="center"/>
    </xf>
    <xf numFmtId="0" fontId="5" fillId="0" borderId="0" xfId="1" applyFont="1" applyAlignment="1">
      <alignment horizontal="center" vertical="center"/>
    </xf>
    <xf numFmtId="0" fontId="4" fillId="0" borderId="0" xfId="1" applyFont="1" applyAlignment="1" applyProtection="1">
      <alignment horizontal="center"/>
      <protection locked="0"/>
    </xf>
    <xf numFmtId="0" fontId="4" fillId="0" borderId="0" xfId="1" applyFont="1" applyAlignment="1" applyProtection="1">
      <alignment horizontal="left"/>
      <protection locked="0"/>
    </xf>
    <xf numFmtId="2" fontId="4" fillId="0" borderId="0" xfId="1" applyNumberFormat="1" applyFon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left"/>
    </xf>
    <xf numFmtId="0" fontId="6" fillId="0" borderId="1" xfId="1" applyFont="1" applyBorder="1" applyAlignment="1">
      <alignment horizontal="right" vertical="top"/>
    </xf>
    <xf numFmtId="0" fontId="11" fillId="0" borderId="0" xfId="0" applyFont="1"/>
    <xf numFmtId="2" fontId="0" fillId="0" borderId="0" xfId="0" applyNumberFormat="1"/>
    <xf numFmtId="1" fontId="0" fillId="0" borderId="0" xfId="0" applyNumberFormat="1"/>
    <xf numFmtId="49" fontId="0" fillId="0" borderId="0" xfId="0" applyNumberFormat="1"/>
    <xf numFmtId="166" fontId="0" fillId="0" borderId="0" xfId="0" applyNumberFormat="1"/>
    <xf numFmtId="167" fontId="0" fillId="0" borderId="0" xfId="0" applyNumberFormat="1"/>
    <xf numFmtId="1" fontId="7" fillId="0" borderId="0" xfId="1" applyNumberFormat="1" applyFont="1" applyAlignment="1" applyProtection="1">
      <alignment horizontal="center" wrapText="1"/>
      <protection locked="0"/>
    </xf>
    <xf numFmtId="0" fontId="2" fillId="0" borderId="0" xfId="1" applyFont="1"/>
    <xf numFmtId="0" fontId="0" fillId="0" borderId="1" xfId="0" applyBorder="1"/>
    <xf numFmtId="2" fontId="6" fillId="0" borderId="9" xfId="1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5" fillId="0" borderId="0" xfId="2" applyFont="1"/>
    <xf numFmtId="0" fontId="2" fillId="4" borderId="0" xfId="1" applyFont="1" applyFill="1"/>
    <xf numFmtId="0" fontId="0" fillId="0" borderId="12" xfId="0" applyBorder="1"/>
    <xf numFmtId="0" fontId="16" fillId="0" borderId="0" xfId="0" applyFont="1"/>
    <xf numFmtId="0" fontId="17" fillId="0" borderId="0" xfId="2" applyFont="1"/>
    <xf numFmtId="0" fontId="15" fillId="0" borderId="0" xfId="2" applyFont="1" applyAlignment="1">
      <alignment horizontal="center"/>
    </xf>
    <xf numFmtId="0" fontId="17" fillId="0" borderId="0" xfId="0" applyFont="1"/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right"/>
    </xf>
    <xf numFmtId="0" fontId="1" fillId="0" borderId="0" xfId="2" applyFont="1"/>
    <xf numFmtId="1" fontId="17" fillId="0" borderId="0" xfId="2" applyNumberFormat="1" applyFont="1"/>
    <xf numFmtId="0" fontId="20" fillId="0" borderId="0" xfId="0" applyFont="1"/>
    <xf numFmtId="0" fontId="22" fillId="9" borderId="21" xfId="5"/>
    <xf numFmtId="0" fontId="22" fillId="9" borderId="23" xfId="5" applyBorder="1"/>
    <xf numFmtId="166" fontId="16" fillId="0" borderId="0" xfId="0" applyNumberFormat="1" applyFont="1"/>
    <xf numFmtId="167" fontId="15" fillId="0" borderId="0" xfId="2" applyNumberFormat="1" applyFont="1"/>
    <xf numFmtId="0" fontId="19" fillId="0" borderId="0" xfId="2" applyFont="1" applyAlignment="1">
      <alignment horizontal="center" wrapText="1"/>
    </xf>
    <xf numFmtId="0" fontId="0" fillId="0" borderId="27" xfId="0" applyBorder="1" applyAlignment="1">
      <alignment horizontal="left" vertical="center" wrapText="1"/>
    </xf>
    <xf numFmtId="0" fontId="0" fillId="0" borderId="28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2" fontId="11" fillId="0" borderId="0" xfId="0" applyNumberFormat="1" applyFont="1" applyAlignment="1">
      <alignment horizontal="right"/>
    </xf>
    <xf numFmtId="0" fontId="27" fillId="0" borderId="0" xfId="0" applyFont="1"/>
    <xf numFmtId="0" fontId="28" fillId="0" borderId="0" xfId="0" applyFont="1" applyAlignment="1" applyProtection="1">
      <alignment horizontal="center"/>
      <protection locked="0"/>
    </xf>
    <xf numFmtId="0" fontId="29" fillId="0" borderId="1" xfId="6" applyFont="1" applyFill="1" applyBorder="1" applyAlignment="1">
      <alignment vertical="center" wrapText="1"/>
    </xf>
    <xf numFmtId="0" fontId="24" fillId="0" borderId="1" xfId="6" applyFont="1" applyFill="1" applyBorder="1" applyAlignment="1">
      <alignment horizontal="center" vertical="top" wrapText="1"/>
    </xf>
    <xf numFmtId="3" fontId="29" fillId="0" borderId="1" xfId="6" applyNumberFormat="1" applyFont="1" applyFill="1" applyBorder="1" applyAlignment="1">
      <alignment horizontal="right" vertical="center"/>
    </xf>
    <xf numFmtId="0" fontId="29" fillId="0" borderId="1" xfId="6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2" fillId="9" borderId="21" xfId="5" applyAlignment="1">
      <alignment horizontal="center"/>
    </xf>
    <xf numFmtId="3" fontId="20" fillId="0" borderId="0" xfId="0" applyNumberFormat="1" applyFont="1" applyAlignment="1">
      <alignment horizontal="right" vertical="center"/>
    </xf>
    <xf numFmtId="2" fontId="29" fillId="0" borderId="1" xfId="6" applyNumberFormat="1" applyFont="1" applyFill="1" applyBorder="1" applyAlignment="1">
      <alignment horizontal="right" vertical="center" wrapText="1"/>
    </xf>
    <xf numFmtId="0" fontId="29" fillId="0" borderId="1" xfId="6" applyFont="1" applyFill="1" applyBorder="1" applyAlignment="1">
      <alignment horizontal="center" vertical="center" wrapText="1"/>
    </xf>
    <xf numFmtId="0" fontId="29" fillId="0" borderId="1" xfId="6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/>
    </xf>
    <xf numFmtId="0" fontId="32" fillId="0" borderId="0" xfId="0" applyFont="1" applyAlignment="1">
      <alignment horizontal="right" vertical="center"/>
    </xf>
    <xf numFmtId="0" fontId="32" fillId="3" borderId="0" xfId="0" applyFont="1" applyFill="1" applyAlignment="1">
      <alignment horizontal="center" vertical="center" textRotation="90" wrapText="1"/>
    </xf>
    <xf numFmtId="1" fontId="32" fillId="0" borderId="0" xfId="0" applyNumberFormat="1" applyFont="1"/>
    <xf numFmtId="167" fontId="32" fillId="0" borderId="0" xfId="0" applyNumberFormat="1" applyFont="1" applyAlignment="1">
      <alignment horizontal="center"/>
    </xf>
    <xf numFmtId="0" fontId="32" fillId="0" borderId="0" xfId="0" applyFont="1"/>
    <xf numFmtId="0" fontId="32" fillId="7" borderId="0" xfId="0" applyFont="1" applyFill="1" applyAlignment="1">
      <alignment horizontal="center"/>
    </xf>
    <xf numFmtId="0" fontId="32" fillId="3" borderId="0" xfId="0" applyFont="1" applyFill="1" applyAlignment="1">
      <alignment horizontal="center"/>
    </xf>
    <xf numFmtId="167" fontId="32" fillId="0" borderId="0" xfId="0" applyNumberFormat="1" applyFont="1"/>
    <xf numFmtId="3" fontId="32" fillId="3" borderId="0" xfId="0" applyNumberFormat="1" applyFont="1" applyFill="1" applyAlignment="1">
      <alignment horizontal="center"/>
    </xf>
    <xf numFmtId="0" fontId="32" fillId="21" borderId="0" xfId="0" applyFont="1" applyFill="1" applyAlignment="1">
      <alignment horizontal="center"/>
    </xf>
    <xf numFmtId="166" fontId="32" fillId="0" borderId="0" xfId="0" applyNumberFormat="1" applyFont="1" applyAlignment="1">
      <alignment horizontal="center"/>
    </xf>
    <xf numFmtId="2" fontId="32" fillId="0" borderId="0" xfId="0" applyNumberFormat="1" applyFont="1" applyAlignment="1">
      <alignment horizontal="center"/>
    </xf>
    <xf numFmtId="166" fontId="32" fillId="0" borderId="0" xfId="0" applyNumberFormat="1" applyFont="1"/>
    <xf numFmtId="2" fontId="32" fillId="4" borderId="0" xfId="0" applyNumberFormat="1" applyFont="1" applyFill="1" applyAlignment="1">
      <alignment horizontal="center"/>
    </xf>
    <xf numFmtId="0" fontId="32" fillId="2" borderId="0" xfId="0" applyFont="1" applyFill="1" applyAlignment="1">
      <alignment horizontal="center"/>
    </xf>
    <xf numFmtId="2" fontId="32" fillId="0" borderId="0" xfId="0" applyNumberFormat="1" applyFont="1"/>
    <xf numFmtId="1" fontId="32" fillId="0" borderId="0" xfId="0" applyNumberFormat="1" applyFont="1" applyAlignment="1">
      <alignment horizontal="center"/>
    </xf>
    <xf numFmtId="166" fontId="32" fillId="2" borderId="14" xfId="0" applyNumberFormat="1" applyFont="1" applyFill="1" applyBorder="1"/>
    <xf numFmtId="3" fontId="32" fillId="2" borderId="14" xfId="0" applyNumberFormat="1" applyFont="1" applyFill="1" applyBorder="1"/>
    <xf numFmtId="0" fontId="32" fillId="8" borderId="0" xfId="0" applyFont="1" applyFill="1" applyAlignment="1">
      <alignment horizontal="center"/>
    </xf>
    <xf numFmtId="166" fontId="32" fillId="23" borderId="0" xfId="0" applyNumberFormat="1" applyFont="1" applyFill="1" applyAlignment="1">
      <alignment horizontal="center"/>
    </xf>
    <xf numFmtId="1" fontId="30" fillId="0" borderId="0" xfId="1" applyNumberFormat="1" applyFont="1" applyAlignment="1" applyProtection="1">
      <alignment horizontal="center" wrapText="1"/>
      <protection locked="0"/>
    </xf>
    <xf numFmtId="0" fontId="33" fillId="0" borderId="0" xfId="1" applyFont="1" applyAlignment="1">
      <alignment horizontal="center"/>
    </xf>
    <xf numFmtId="49" fontId="33" fillId="0" borderId="0" xfId="1" applyNumberFormat="1" applyFont="1" applyProtection="1">
      <protection locked="0"/>
    </xf>
    <xf numFmtId="0" fontId="30" fillId="0" borderId="0" xfId="1" applyFont="1" applyAlignment="1">
      <alignment horizontal="right" vertical="center"/>
    </xf>
    <xf numFmtId="0" fontId="30" fillId="0" borderId="0" xfId="1" applyFont="1" applyAlignment="1">
      <alignment horizontal="center" vertical="center"/>
    </xf>
    <xf numFmtId="0" fontId="30" fillId="0" borderId="0" xfId="1" applyFont="1" applyAlignment="1" applyProtection="1">
      <alignment horizontal="left" vertical="center"/>
      <protection locked="0"/>
    </xf>
    <xf numFmtId="0" fontId="33" fillId="0" borderId="0" xfId="1" applyFont="1"/>
    <xf numFmtId="0" fontId="32" fillId="13" borderId="1" xfId="0" applyFont="1" applyFill="1" applyBorder="1" applyAlignment="1">
      <alignment horizontal="center"/>
    </xf>
    <xf numFmtId="0" fontId="33" fillId="3" borderId="15" xfId="1" applyFont="1" applyFill="1" applyBorder="1" applyAlignment="1">
      <alignment wrapText="1"/>
    </xf>
    <xf numFmtId="0" fontId="33" fillId="15" borderId="17" xfId="1" applyFont="1" applyFill="1" applyBorder="1" applyAlignment="1">
      <alignment wrapText="1"/>
    </xf>
    <xf numFmtId="0" fontId="33" fillId="16" borderId="2" xfId="1" applyFont="1" applyFill="1" applyBorder="1" applyAlignment="1">
      <alignment wrapText="1"/>
    </xf>
    <xf numFmtId="0" fontId="33" fillId="17" borderId="2" xfId="1" applyFont="1" applyFill="1" applyBorder="1" applyAlignment="1">
      <alignment horizontal="center" wrapText="1"/>
    </xf>
    <xf numFmtId="0" fontId="30" fillId="0" borderId="0" xfId="0" applyFont="1" applyAlignment="1">
      <alignment horizontal="center"/>
    </xf>
    <xf numFmtId="165" fontId="33" fillId="0" borderId="0" xfId="1" applyNumberFormat="1" applyFont="1" applyAlignment="1">
      <alignment horizontal="center" vertical="top"/>
    </xf>
    <xf numFmtId="0" fontId="33" fillId="0" borderId="0" xfId="1" applyFont="1" applyProtection="1">
      <protection locked="0"/>
    </xf>
    <xf numFmtId="0" fontId="28" fillId="13" borderId="1" xfId="0" applyFont="1" applyFill="1" applyBorder="1" applyAlignment="1">
      <alignment horizontal="center"/>
    </xf>
    <xf numFmtId="2" fontId="30" fillId="15" borderId="34" xfId="0" applyNumberFormat="1" applyFont="1" applyFill="1" applyBorder="1"/>
    <xf numFmtId="167" fontId="34" fillId="16" borderId="0" xfId="0" applyNumberFormat="1" applyFont="1" applyFill="1"/>
    <xf numFmtId="167" fontId="30" fillId="17" borderId="0" xfId="0" applyNumberFormat="1" applyFont="1" applyFill="1"/>
    <xf numFmtId="49" fontId="33" fillId="0" borderId="0" xfId="1" applyNumberFormat="1" applyFont="1" applyAlignment="1">
      <alignment horizontal="right" vertical="top"/>
    </xf>
    <xf numFmtId="0" fontId="33" fillId="0" borderId="0" xfId="1" applyFont="1" applyAlignment="1">
      <alignment horizontal="right"/>
    </xf>
    <xf numFmtId="169" fontId="33" fillId="0" borderId="0" xfId="1" applyNumberFormat="1" applyFont="1"/>
    <xf numFmtId="1" fontId="33" fillId="0" borderId="0" xfId="1" applyNumberFormat="1" applyFont="1" applyAlignment="1">
      <alignment horizontal="center" vertical="center" wrapText="1"/>
    </xf>
    <xf numFmtId="49" fontId="33" fillId="0" borderId="0" xfId="1" applyNumberFormat="1" applyFont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33" fillId="0" borderId="1" xfId="1" applyFont="1" applyBorder="1" applyAlignment="1">
      <alignment horizontal="center" textRotation="90"/>
    </xf>
    <xf numFmtId="0" fontId="33" fillId="0" borderId="1" xfId="1" applyFont="1" applyBorder="1" applyAlignment="1">
      <alignment horizontal="center" textRotation="90" wrapText="1"/>
    </xf>
    <xf numFmtId="170" fontId="33" fillId="0" borderId="1" xfId="1" applyNumberFormat="1" applyFont="1" applyBorder="1" applyAlignment="1">
      <alignment horizontal="center" textRotation="90"/>
    </xf>
    <xf numFmtId="0" fontId="33" fillId="20" borderId="1" xfId="1" applyFont="1" applyFill="1" applyBorder="1" applyAlignment="1">
      <alignment horizontal="center" textRotation="90" wrapText="1"/>
    </xf>
    <xf numFmtId="0" fontId="33" fillId="20" borderId="1" xfId="1" applyFont="1" applyFill="1" applyBorder="1" applyAlignment="1">
      <alignment horizontal="center" textRotation="90"/>
    </xf>
    <xf numFmtId="0" fontId="33" fillId="4" borderId="1" xfId="1" applyFont="1" applyFill="1" applyBorder="1" applyAlignment="1">
      <alignment horizontal="center" textRotation="90" wrapText="1"/>
    </xf>
    <xf numFmtId="0" fontId="35" fillId="0" borderId="1" xfId="1" applyFont="1" applyBorder="1" applyAlignment="1">
      <alignment horizontal="center" textRotation="90" wrapText="1"/>
    </xf>
    <xf numFmtId="2" fontId="28" fillId="4" borderId="1" xfId="0" applyNumberFormat="1" applyFont="1" applyFill="1" applyBorder="1" applyAlignment="1">
      <alignment horizontal="center" textRotation="90" wrapText="1"/>
    </xf>
    <xf numFmtId="0" fontId="33" fillId="7" borderId="6" xfId="0" applyFont="1" applyFill="1" applyBorder="1" applyAlignment="1">
      <alignment horizontal="center" vertical="center" textRotation="90"/>
    </xf>
    <xf numFmtId="0" fontId="33" fillId="5" borderId="0" xfId="1" applyFont="1" applyFill="1" applyAlignment="1">
      <alignment vertical="center" textRotation="90"/>
    </xf>
    <xf numFmtId="0" fontId="33" fillId="5" borderId="0" xfId="1" applyFont="1" applyFill="1" applyAlignment="1">
      <alignment textRotation="90"/>
    </xf>
    <xf numFmtId="0" fontId="33" fillId="0" borderId="0" xfId="1" applyFont="1" applyAlignment="1">
      <alignment vertical="top"/>
    </xf>
    <xf numFmtId="0" fontId="30" fillId="0" borderId="0" xfId="0" applyFont="1" applyAlignment="1">
      <alignment horizontal="center" vertical="center" wrapText="1"/>
    </xf>
    <xf numFmtId="166" fontId="28" fillId="20" borderId="0" xfId="0" applyNumberFormat="1" applyFont="1" applyFill="1" applyAlignment="1">
      <alignment horizontal="center" vertical="center"/>
    </xf>
    <xf numFmtId="3" fontId="30" fillId="15" borderId="0" xfId="0" applyNumberFormat="1" applyFont="1" applyFill="1" applyAlignment="1" applyProtection="1">
      <alignment horizontal="center"/>
      <protection locked="0"/>
    </xf>
    <xf numFmtId="0" fontId="33" fillId="0" borderId="0" xfId="0" applyFont="1"/>
    <xf numFmtId="1" fontId="33" fillId="0" borderId="0" xfId="0" applyNumberFormat="1" applyFont="1" applyAlignment="1">
      <alignment horizontal="center" vertical="center" wrapText="1"/>
    </xf>
    <xf numFmtId="49" fontId="33" fillId="0" borderId="0" xfId="0" applyNumberFormat="1" applyFont="1" applyAlignment="1">
      <alignment horizontal="center" vertical="center" wrapText="1"/>
    </xf>
    <xf numFmtId="49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0" fontId="30" fillId="21" borderId="0" xfId="0" applyFont="1" applyFill="1" applyAlignment="1">
      <alignment horizontal="center" vertical="center" wrapText="1"/>
    </xf>
    <xf numFmtId="166" fontId="33" fillId="0" borderId="0" xfId="0" applyNumberFormat="1" applyFont="1" applyAlignment="1">
      <alignment horizontal="center" vertical="center" wrapText="1"/>
    </xf>
    <xf numFmtId="168" fontId="33" fillId="0" borderId="0" xfId="0" applyNumberFormat="1" applyFont="1" applyAlignment="1">
      <alignment horizontal="center" vertical="center" wrapText="1"/>
    </xf>
    <xf numFmtId="166" fontId="30" fillId="0" borderId="0" xfId="0" applyNumberFormat="1" applyFont="1" applyAlignment="1" applyProtection="1">
      <alignment horizontal="center"/>
      <protection locked="0"/>
    </xf>
    <xf numFmtId="49" fontId="30" fillId="0" borderId="0" xfId="0" applyNumberFormat="1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center"/>
      <protection locked="0"/>
    </xf>
    <xf numFmtId="1" fontId="30" fillId="0" borderId="0" xfId="0" applyNumberFormat="1" applyFont="1" applyAlignment="1" applyProtection="1">
      <alignment horizontal="center"/>
      <protection locked="0"/>
    </xf>
    <xf numFmtId="0" fontId="30" fillId="21" borderId="0" xfId="0" applyFont="1" applyFill="1" applyAlignment="1" applyProtection="1">
      <alignment horizontal="center"/>
      <protection locked="0"/>
    </xf>
    <xf numFmtId="2" fontId="33" fillId="0" borderId="0" xfId="1" applyNumberFormat="1" applyFont="1"/>
    <xf numFmtId="166" fontId="30" fillId="3" borderId="0" xfId="0" applyNumberFormat="1" applyFont="1" applyFill="1" applyAlignment="1" applyProtection="1">
      <alignment horizontal="center"/>
      <protection locked="0"/>
    </xf>
    <xf numFmtId="49" fontId="30" fillId="3" borderId="0" xfId="0" applyNumberFormat="1" applyFont="1" applyFill="1" applyAlignment="1" applyProtection="1">
      <alignment horizontal="center"/>
      <protection locked="0"/>
    </xf>
    <xf numFmtId="0" fontId="30" fillId="3" borderId="0" xfId="0" applyFont="1" applyFill="1" applyAlignment="1" applyProtection="1">
      <alignment horizontal="center" wrapText="1"/>
      <protection locked="0"/>
    </xf>
    <xf numFmtId="1" fontId="30" fillId="3" borderId="0" xfId="0" applyNumberFormat="1" applyFont="1" applyFill="1" applyAlignment="1" applyProtection="1">
      <alignment horizontal="center"/>
      <protection locked="0"/>
    </xf>
    <xf numFmtId="0" fontId="30" fillId="3" borderId="0" xfId="0" applyFont="1" applyFill="1" applyAlignment="1" applyProtection="1">
      <alignment horizontal="center"/>
      <protection locked="0"/>
    </xf>
    <xf numFmtId="166" fontId="32" fillId="3" borderId="0" xfId="0" applyNumberFormat="1" applyFont="1" applyFill="1" applyAlignment="1">
      <alignment horizontal="center"/>
    </xf>
    <xf numFmtId="2" fontId="28" fillId="6" borderId="0" xfId="0" applyNumberFormat="1" applyFont="1" applyFill="1" applyAlignment="1">
      <alignment horizontal="center"/>
    </xf>
    <xf numFmtId="4" fontId="32" fillId="22" borderId="14" xfId="0" applyNumberFormat="1" applyFont="1" applyFill="1" applyBorder="1"/>
    <xf numFmtId="2" fontId="33" fillId="15" borderId="35" xfId="0" applyNumberFormat="1" applyFont="1" applyFill="1" applyBorder="1"/>
    <xf numFmtId="4" fontId="30" fillId="15" borderId="0" xfId="0" applyNumberFormat="1" applyFont="1" applyFill="1" applyAlignment="1" applyProtection="1">
      <alignment horizontal="center"/>
      <protection locked="0"/>
    </xf>
    <xf numFmtId="2" fontId="30" fillId="0" borderId="0" xfId="0" applyNumberFormat="1" applyFont="1" applyAlignment="1" applyProtection="1">
      <alignment horizontal="center"/>
      <protection locked="0"/>
    </xf>
    <xf numFmtId="2" fontId="30" fillId="0" borderId="0" xfId="0" applyNumberFormat="1" applyFont="1" applyAlignment="1">
      <alignment horizontal="center"/>
    </xf>
    <xf numFmtId="0" fontId="28" fillId="23" borderId="0" xfId="0" applyFont="1" applyFill="1" applyAlignment="1">
      <alignment horizontal="center" wrapText="1"/>
    </xf>
    <xf numFmtId="166" fontId="30" fillId="4" borderId="0" xfId="0" applyNumberFormat="1" applyFont="1" applyFill="1" applyAlignment="1" applyProtection="1">
      <alignment horizontal="center"/>
      <protection locked="0"/>
    </xf>
    <xf numFmtId="1" fontId="30" fillId="23" borderId="0" xfId="0" applyNumberFormat="1" applyFont="1" applyFill="1" applyAlignment="1" applyProtection="1">
      <alignment horizontal="center"/>
      <protection locked="0"/>
    </xf>
    <xf numFmtId="0" fontId="33" fillId="23" borderId="0" xfId="0" applyFont="1" applyFill="1" applyAlignment="1" applyProtection="1">
      <alignment horizontal="center"/>
      <protection locked="0"/>
    </xf>
    <xf numFmtId="166" fontId="30" fillId="0" borderId="0" xfId="0" applyNumberFormat="1" applyFont="1" applyAlignment="1">
      <alignment horizontal="center"/>
    </xf>
    <xf numFmtId="166" fontId="30" fillId="19" borderId="0" xfId="0" applyNumberFormat="1" applyFont="1" applyFill="1" applyAlignment="1">
      <alignment horizontal="center"/>
    </xf>
    <xf numFmtId="166" fontId="33" fillId="0" borderId="0" xfId="0" applyNumberFormat="1" applyFont="1" applyAlignment="1">
      <alignment horizontal="center"/>
    </xf>
    <xf numFmtId="49" fontId="33" fillId="0" borderId="0" xfId="0" applyNumberFormat="1" applyFont="1" applyAlignment="1" applyProtection="1">
      <alignment horizontal="center"/>
      <protection locked="0"/>
    </xf>
    <xf numFmtId="0" fontId="28" fillId="0" borderId="0" xfId="0" applyFont="1" applyAlignment="1">
      <alignment horizontal="center" wrapText="1"/>
    </xf>
    <xf numFmtId="0" fontId="30" fillId="23" borderId="0" xfId="0" applyFont="1" applyFill="1" applyAlignment="1" applyProtection="1">
      <alignment horizontal="center"/>
      <protection locked="0"/>
    </xf>
    <xf numFmtId="1" fontId="33" fillId="0" borderId="0" xfId="1" applyNumberFormat="1" applyFont="1" applyAlignment="1" applyProtection="1">
      <alignment horizontal="center"/>
      <protection locked="0"/>
    </xf>
    <xf numFmtId="49" fontId="33" fillId="0" borderId="0" xfId="1" applyNumberFormat="1" applyFont="1" applyAlignment="1" applyProtection="1">
      <alignment horizontal="right"/>
      <protection locked="0"/>
    </xf>
    <xf numFmtId="1" fontId="33" fillId="0" borderId="0" xfId="1" applyNumberFormat="1" applyFont="1" applyAlignment="1" applyProtection="1">
      <alignment horizontal="right"/>
      <protection locked="0"/>
    </xf>
    <xf numFmtId="0" fontId="33" fillId="21" borderId="0" xfId="1" applyFont="1" applyFill="1" applyProtection="1">
      <protection locked="0"/>
    </xf>
    <xf numFmtId="2" fontId="34" fillId="0" borderId="0" xfId="0" applyNumberFormat="1" applyFont="1"/>
    <xf numFmtId="0" fontId="34" fillId="0" borderId="1" xfId="1" applyFont="1" applyBorder="1" applyAlignment="1">
      <alignment horizontal="center" textRotation="90" wrapText="1"/>
    </xf>
    <xf numFmtId="166" fontId="30" fillId="11" borderId="0" xfId="0" applyNumberFormat="1" applyFont="1" applyFill="1" applyAlignment="1" applyProtection="1">
      <alignment horizontal="center"/>
      <protection locked="0"/>
    </xf>
    <xf numFmtId="49" fontId="30" fillId="11" borderId="0" xfId="0" applyNumberFormat="1" applyFont="1" applyFill="1" applyAlignment="1" applyProtection="1">
      <alignment horizontal="center"/>
      <protection locked="0"/>
    </xf>
    <xf numFmtId="0" fontId="30" fillId="11" borderId="0" xfId="0" applyFont="1" applyFill="1" applyAlignment="1" applyProtection="1">
      <alignment horizontal="center" wrapText="1"/>
      <protection locked="0"/>
    </xf>
    <xf numFmtId="1" fontId="30" fillId="11" borderId="0" xfId="0" applyNumberFormat="1" applyFont="1" applyFill="1" applyAlignment="1" applyProtection="1">
      <alignment horizontal="center"/>
      <protection locked="0"/>
    </xf>
    <xf numFmtId="0" fontId="30" fillId="11" borderId="0" xfId="0" applyFont="1" applyFill="1" applyAlignment="1" applyProtection="1">
      <alignment horizontal="center"/>
      <protection locked="0"/>
    </xf>
    <xf numFmtId="9" fontId="32" fillId="11" borderId="0" xfId="4" applyFont="1" applyFill="1" applyAlignment="1">
      <alignment horizontal="center"/>
    </xf>
    <xf numFmtId="171" fontId="32" fillId="11" borderId="0" xfId="4" applyNumberFormat="1" applyFont="1" applyFill="1" applyAlignment="1">
      <alignment horizontal="center"/>
    </xf>
    <xf numFmtId="166" fontId="30" fillId="7" borderId="0" xfId="0" applyNumberFormat="1" applyFont="1" applyFill="1" applyAlignment="1" applyProtection="1">
      <alignment horizontal="center"/>
      <protection locked="0"/>
    </xf>
    <xf numFmtId="49" fontId="30" fillId="7" borderId="0" xfId="0" applyNumberFormat="1" applyFont="1" applyFill="1" applyAlignment="1" applyProtection="1">
      <alignment horizontal="center"/>
      <protection locked="0"/>
    </xf>
    <xf numFmtId="0" fontId="30" fillId="7" borderId="0" xfId="0" applyFont="1" applyFill="1" applyAlignment="1" applyProtection="1">
      <alignment horizontal="center" wrapText="1"/>
      <protection locked="0"/>
    </xf>
    <xf numFmtId="1" fontId="30" fillId="7" borderId="0" xfId="0" applyNumberFormat="1" applyFont="1" applyFill="1" applyAlignment="1" applyProtection="1">
      <alignment horizontal="center"/>
      <protection locked="0"/>
    </xf>
    <xf numFmtId="0" fontId="30" fillId="7" borderId="0" xfId="0" applyFont="1" applyFill="1" applyAlignment="1" applyProtection="1">
      <alignment horizontal="center"/>
      <protection locked="0"/>
    </xf>
    <xf numFmtId="166" fontId="32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center"/>
    </xf>
    <xf numFmtId="166" fontId="33" fillId="0" borderId="0" xfId="1" applyNumberFormat="1" applyFont="1" applyProtection="1">
      <protection locked="0"/>
    </xf>
    <xf numFmtId="49" fontId="33" fillId="0" borderId="0" xfId="1" applyNumberFormat="1" applyFont="1" applyAlignment="1" applyProtection="1">
      <alignment horizontal="left"/>
      <protection locked="0"/>
    </xf>
    <xf numFmtId="9" fontId="33" fillId="0" borderId="0" xfId="4" applyFont="1" applyAlignment="1" applyProtection="1">
      <alignment horizontal="center"/>
      <protection locked="0"/>
    </xf>
    <xf numFmtId="0" fontId="30" fillId="0" borderId="1" xfId="1" applyFont="1" applyBorder="1" applyAlignment="1">
      <alignment horizontal="center" textRotation="90"/>
    </xf>
    <xf numFmtId="0" fontId="30" fillId="0" borderId="1" xfId="1" applyFont="1" applyBorder="1" applyAlignment="1">
      <alignment horizontal="center" textRotation="90" wrapText="1"/>
    </xf>
    <xf numFmtId="0" fontId="32" fillId="8" borderId="1" xfId="0" applyFont="1" applyFill="1" applyBorder="1" applyAlignment="1">
      <alignment horizontal="center"/>
    </xf>
    <xf numFmtId="166" fontId="32" fillId="25" borderId="14" xfId="0" applyNumberFormat="1" applyFont="1" applyFill="1" applyBorder="1" applyAlignment="1">
      <alignment horizontal="center"/>
    </xf>
    <xf numFmtId="2" fontId="28" fillId="6" borderId="35" xfId="0" applyNumberFormat="1" applyFont="1" applyFill="1" applyBorder="1" applyAlignment="1">
      <alignment horizontal="center"/>
    </xf>
    <xf numFmtId="2" fontId="28" fillId="7" borderId="35" xfId="0" applyNumberFormat="1" applyFont="1" applyFill="1" applyBorder="1" applyAlignment="1">
      <alignment horizontal="center"/>
    </xf>
    <xf numFmtId="166" fontId="28" fillId="4" borderId="0" xfId="0" applyNumberFormat="1" applyFont="1" applyFill="1" applyAlignment="1">
      <alignment horizontal="center"/>
    </xf>
    <xf numFmtId="0" fontId="32" fillId="0" borderId="1" xfId="0" applyFont="1" applyBorder="1" applyAlignment="1">
      <alignment horizontal="center"/>
    </xf>
    <xf numFmtId="166" fontId="28" fillId="0" borderId="1" xfId="0" applyNumberFormat="1" applyFont="1" applyBorder="1" applyAlignment="1">
      <alignment horizontal="center"/>
    </xf>
    <xf numFmtId="9" fontId="28" fillId="0" borderId="0" xfId="4" applyFont="1" applyFill="1" applyAlignment="1">
      <alignment horizontal="center"/>
    </xf>
    <xf numFmtId="166" fontId="32" fillId="26" borderId="0" xfId="0" applyNumberFormat="1" applyFont="1" applyFill="1" applyAlignment="1">
      <alignment horizontal="center"/>
    </xf>
    <xf numFmtId="166" fontId="30" fillId="26" borderId="0" xfId="0" applyNumberFormat="1" applyFont="1" applyFill="1" applyAlignment="1" applyProtection="1">
      <alignment horizontal="center"/>
      <protection locked="0"/>
    </xf>
    <xf numFmtId="0" fontId="33" fillId="0" borderId="0" xfId="0" applyFont="1" applyAlignment="1" applyProtection="1">
      <alignment horizontal="center"/>
      <protection locked="0"/>
    </xf>
    <xf numFmtId="2" fontId="28" fillId="0" borderId="0" xfId="0" applyNumberFormat="1" applyFont="1" applyAlignment="1">
      <alignment horizontal="center"/>
    </xf>
    <xf numFmtId="0" fontId="32" fillId="27" borderId="1" xfId="0" applyFont="1" applyFill="1" applyBorder="1" applyAlignment="1">
      <alignment horizontal="center"/>
    </xf>
    <xf numFmtId="0" fontId="32" fillId="23" borderId="1" xfId="0" applyFont="1" applyFill="1" applyBorder="1" applyAlignment="1">
      <alignment horizontal="center"/>
    </xf>
    <xf numFmtId="0" fontId="32" fillId="28" borderId="1" xfId="0" applyFont="1" applyFill="1" applyBorder="1" applyAlignment="1">
      <alignment horizontal="center"/>
    </xf>
    <xf numFmtId="0" fontId="32" fillId="29" borderId="1" xfId="0" applyFont="1" applyFill="1" applyBorder="1" applyAlignment="1">
      <alignment horizontal="center"/>
    </xf>
    <xf numFmtId="166" fontId="28" fillId="27" borderId="1" xfId="0" applyNumberFormat="1" applyFont="1" applyFill="1" applyBorder="1" applyAlignment="1">
      <alignment horizontal="center"/>
    </xf>
    <xf numFmtId="166" fontId="28" fillId="23" borderId="1" xfId="0" applyNumberFormat="1" applyFont="1" applyFill="1" applyBorder="1" applyAlignment="1">
      <alignment horizontal="center"/>
    </xf>
    <xf numFmtId="166" fontId="28" fillId="28" borderId="1" xfId="0" applyNumberFormat="1" applyFont="1" applyFill="1" applyBorder="1" applyAlignment="1">
      <alignment horizontal="center"/>
    </xf>
    <xf numFmtId="2" fontId="28" fillId="29" borderId="1" xfId="0" applyNumberFormat="1" applyFont="1" applyFill="1" applyBorder="1" applyAlignment="1">
      <alignment horizontal="center"/>
    </xf>
    <xf numFmtId="0" fontId="33" fillId="8" borderId="0" xfId="0" applyFont="1" applyFill="1" applyAlignment="1">
      <alignment horizontal="center" vertical="center" textRotation="90"/>
    </xf>
    <xf numFmtId="0" fontId="33" fillId="0" borderId="5" xfId="1" applyFont="1" applyBorder="1"/>
    <xf numFmtId="169" fontId="33" fillId="0" borderId="5" xfId="1" applyNumberFormat="1" applyFont="1" applyBorder="1"/>
    <xf numFmtId="1" fontId="32" fillId="0" borderId="5" xfId="0" applyNumberFormat="1" applyFont="1" applyBorder="1"/>
    <xf numFmtId="0" fontId="32" fillId="7" borderId="5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 vertical="center" textRotation="90"/>
    </xf>
    <xf numFmtId="2" fontId="32" fillId="4" borderId="5" xfId="0" applyNumberFormat="1" applyFont="1" applyFill="1" applyBorder="1" applyAlignment="1">
      <alignment horizontal="center"/>
    </xf>
    <xf numFmtId="167" fontId="32" fillId="0" borderId="5" xfId="0" applyNumberFormat="1" applyFont="1" applyBorder="1"/>
    <xf numFmtId="2" fontId="30" fillId="0" borderId="5" xfId="0" applyNumberFormat="1" applyFont="1" applyBorder="1" applyAlignment="1" applyProtection="1">
      <alignment horizontal="center"/>
      <protection locked="0"/>
    </xf>
    <xf numFmtId="0" fontId="33" fillId="0" borderId="5" xfId="0" applyFont="1" applyBorder="1"/>
    <xf numFmtId="2" fontId="28" fillId="4" borderId="12" xfId="0" applyNumberFormat="1" applyFont="1" applyFill="1" applyBorder="1" applyAlignment="1">
      <alignment horizontal="center" textRotation="90" wrapText="1"/>
    </xf>
    <xf numFmtId="0" fontId="33" fillId="14" borderId="7" xfId="1" applyFont="1" applyFill="1" applyBorder="1" applyAlignment="1">
      <alignment wrapText="1"/>
    </xf>
    <xf numFmtId="167" fontId="30" fillId="14" borderId="5" xfId="0" applyNumberFormat="1" applyFont="1" applyFill="1" applyBorder="1"/>
    <xf numFmtId="0" fontId="32" fillId="0" borderId="5" xfId="0" applyFont="1" applyBorder="1"/>
    <xf numFmtId="0" fontId="33" fillId="8" borderId="10" xfId="0" applyFont="1" applyFill="1" applyBorder="1" applyAlignment="1">
      <alignment horizontal="center" vertical="center" textRotation="90"/>
    </xf>
    <xf numFmtId="166" fontId="32" fillId="0" borderId="5" xfId="0" applyNumberFormat="1" applyFont="1" applyBorder="1"/>
    <xf numFmtId="3" fontId="33" fillId="6" borderId="0" xfId="0" applyNumberFormat="1" applyFont="1" applyFill="1" applyAlignment="1">
      <alignment horizontal="center" vertical="center" wrapText="1"/>
    </xf>
    <xf numFmtId="3" fontId="30" fillId="6" borderId="0" xfId="0" applyNumberFormat="1" applyFont="1" applyFill="1" applyAlignment="1">
      <alignment horizontal="center" vertical="center" wrapText="1"/>
    </xf>
    <xf numFmtId="3" fontId="33" fillId="6" borderId="0" xfId="0" applyNumberFormat="1" applyFont="1" applyFill="1" applyAlignment="1">
      <alignment horizontal="center" vertical="center"/>
    </xf>
    <xf numFmtId="3" fontId="30" fillId="0" borderId="0" xfId="0" applyNumberFormat="1" applyFont="1" applyAlignment="1">
      <alignment horizontal="center" vertical="center" wrapText="1"/>
    </xf>
    <xf numFmtId="3" fontId="30" fillId="6" borderId="0" xfId="0" applyNumberFormat="1" applyFont="1" applyFill="1" applyAlignment="1">
      <alignment horizontal="center"/>
    </xf>
    <xf numFmtId="3" fontId="32" fillId="6" borderId="0" xfId="0" applyNumberFormat="1" applyFont="1" applyFill="1" applyAlignment="1">
      <alignment horizontal="center"/>
    </xf>
    <xf numFmtId="3" fontId="32" fillId="0" borderId="0" xfId="0" applyNumberFormat="1" applyFont="1" applyAlignment="1">
      <alignment horizontal="center"/>
    </xf>
    <xf numFmtId="3" fontId="28" fillId="20" borderId="0" xfId="0" applyNumberFormat="1" applyFont="1" applyFill="1" applyAlignment="1">
      <alignment horizontal="center" vertical="center"/>
    </xf>
    <xf numFmtId="3" fontId="30" fillId="4" borderId="0" xfId="0" applyNumberFormat="1" applyFont="1" applyFill="1" applyAlignment="1">
      <alignment horizontal="center" vertical="center" wrapText="1"/>
    </xf>
    <xf numFmtId="4" fontId="30" fillId="6" borderId="0" xfId="0" applyNumberFormat="1" applyFont="1" applyFill="1" applyAlignment="1">
      <alignment horizontal="center" vertical="center" wrapText="1"/>
    </xf>
    <xf numFmtId="171" fontId="33" fillId="0" borderId="0" xfId="4" applyNumberFormat="1" applyFont="1" applyAlignment="1" applyProtection="1">
      <alignment horizontal="center"/>
      <protection locked="0"/>
    </xf>
    <xf numFmtId="49" fontId="30" fillId="4" borderId="0" xfId="1" applyNumberFormat="1" applyFont="1" applyFill="1" applyProtection="1">
      <protection locked="0"/>
    </xf>
    <xf numFmtId="4" fontId="33" fillId="0" borderId="0" xfId="1" applyNumberFormat="1" applyFont="1"/>
    <xf numFmtId="0" fontId="37" fillId="0" borderId="35" xfId="0" applyFont="1" applyBorder="1" applyAlignment="1">
      <alignment vertical="center"/>
    </xf>
    <xf numFmtId="0" fontId="38" fillId="0" borderId="37" xfId="0" applyFont="1" applyBorder="1" applyAlignment="1">
      <alignment vertical="center"/>
    </xf>
    <xf numFmtId="14" fontId="22" fillId="9" borderId="21" xfId="5" applyNumberFormat="1" applyAlignment="1">
      <alignment horizontal="center"/>
    </xf>
    <xf numFmtId="49" fontId="30" fillId="0" borderId="0" xfId="1" applyNumberFormat="1" applyFont="1" applyProtection="1">
      <protection locked="0"/>
    </xf>
    <xf numFmtId="166" fontId="30" fillId="12" borderId="0" xfId="0" applyNumberFormat="1" applyFont="1" applyFill="1" applyAlignment="1" applyProtection="1">
      <alignment horizontal="center"/>
      <protection locked="0"/>
    </xf>
    <xf numFmtId="49" fontId="33" fillId="12" borderId="0" xfId="0" applyNumberFormat="1" applyFont="1" applyFill="1" applyAlignment="1" applyProtection="1">
      <alignment horizontal="center"/>
      <protection locked="0"/>
    </xf>
    <xf numFmtId="49" fontId="30" fillId="12" borderId="0" xfId="0" applyNumberFormat="1" applyFont="1" applyFill="1" applyAlignment="1" applyProtection="1">
      <alignment horizontal="center"/>
      <protection locked="0"/>
    </xf>
    <xf numFmtId="0" fontId="28" fillId="12" borderId="0" xfId="0" applyFont="1" applyFill="1" applyAlignment="1">
      <alignment horizontal="center" wrapText="1"/>
    </xf>
    <xf numFmtId="1" fontId="30" fillId="12" borderId="0" xfId="0" applyNumberFormat="1" applyFont="1" applyFill="1" applyAlignment="1" applyProtection="1">
      <alignment horizontal="center"/>
      <protection locked="0"/>
    </xf>
    <xf numFmtId="0" fontId="30" fillId="12" borderId="0" xfId="0" applyFont="1" applyFill="1" applyAlignment="1" applyProtection="1">
      <alignment horizontal="center"/>
      <protection locked="0"/>
    </xf>
    <xf numFmtId="2" fontId="30" fillId="12" borderId="0" xfId="0" applyNumberFormat="1" applyFont="1" applyFill="1" applyAlignment="1" applyProtection="1">
      <alignment horizontal="center"/>
      <protection locked="0"/>
    </xf>
    <xf numFmtId="0" fontId="34" fillId="0" borderId="0" xfId="0" applyFont="1" applyAlignment="1" applyProtection="1">
      <alignment horizontal="center"/>
      <protection locked="0"/>
    </xf>
    <xf numFmtId="16" fontId="21" fillId="0" borderId="1" xfId="0" quotePrefix="1" applyNumberFormat="1" applyFont="1" applyBorder="1" applyAlignment="1">
      <alignment horizontal="left" vertical="center" wrapText="1" indent="1"/>
    </xf>
    <xf numFmtId="167" fontId="33" fillId="0" borderId="0" xfId="1" applyNumberFormat="1" applyFont="1" applyAlignment="1">
      <alignment horizontal="center" vertical="center" wrapText="1"/>
    </xf>
    <xf numFmtId="0" fontId="40" fillId="0" borderId="35" xfId="0" applyFont="1" applyBorder="1" applyAlignment="1">
      <alignment vertical="center"/>
    </xf>
    <xf numFmtId="0" fontId="40" fillId="0" borderId="34" xfId="0" applyFont="1" applyBorder="1" applyAlignment="1">
      <alignment vertical="center"/>
    </xf>
    <xf numFmtId="0" fontId="40" fillId="0" borderId="34" xfId="0" applyFont="1" applyBorder="1" applyAlignment="1">
      <alignment vertical="center" wrapText="1"/>
    </xf>
    <xf numFmtId="3" fontId="38" fillId="0" borderId="20" xfId="0" applyNumberFormat="1" applyFont="1" applyBorder="1" applyAlignment="1">
      <alignment horizontal="right" vertical="center"/>
    </xf>
    <xf numFmtId="0" fontId="38" fillId="0" borderId="20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38" fillId="0" borderId="20" xfId="0" applyFont="1" applyBorder="1" applyAlignment="1">
      <alignment horizontal="right" vertical="center"/>
    </xf>
    <xf numFmtId="0" fontId="38" fillId="0" borderId="20" xfId="0" applyFont="1" applyBorder="1" applyAlignment="1">
      <alignment vertical="center"/>
    </xf>
    <xf numFmtId="0" fontId="17" fillId="0" borderId="1" xfId="0" applyFont="1" applyBorder="1"/>
    <xf numFmtId="2" fontId="39" fillId="0" borderId="0" xfId="0" applyNumberFormat="1" applyFont="1" applyAlignment="1" applyProtection="1">
      <alignment horizontal="center"/>
      <protection locked="0"/>
    </xf>
    <xf numFmtId="166" fontId="30" fillId="0" borderId="0" xfId="0" applyNumberFormat="1" applyFont="1" applyAlignment="1">
      <alignment horizontal="center" vertical="center" wrapText="1"/>
    </xf>
    <xf numFmtId="172" fontId="30" fillId="6" borderId="0" xfId="0" applyNumberFormat="1" applyFont="1" applyFill="1" applyAlignment="1">
      <alignment horizontal="center" vertical="center" wrapText="1"/>
    </xf>
    <xf numFmtId="2" fontId="30" fillId="4" borderId="0" xfId="0" applyNumberFormat="1" applyFont="1" applyFill="1" applyAlignment="1">
      <alignment horizontal="center"/>
    </xf>
    <xf numFmtId="166" fontId="30" fillId="24" borderId="0" xfId="0" applyNumberFormat="1" applyFont="1" applyFill="1" applyAlignment="1">
      <alignment horizontal="center"/>
    </xf>
    <xf numFmtId="167" fontId="15" fillId="0" borderId="0" xfId="2" applyNumberFormat="1" applyFont="1" applyAlignment="1">
      <alignment vertical="center"/>
    </xf>
    <xf numFmtId="0" fontId="32" fillId="0" borderId="0" xfId="0" applyFont="1" applyAlignment="1">
      <alignment horizontal="left"/>
    </xf>
    <xf numFmtId="2" fontId="45" fillId="0" borderId="0" xfId="4" applyNumberFormat="1" applyFont="1" applyAlignment="1">
      <alignment horizontal="right" vertical="center" wrapText="1"/>
    </xf>
    <xf numFmtId="0" fontId="46" fillId="4" borderId="0" xfId="2" applyFont="1" applyFill="1" applyAlignment="1">
      <alignment horizontal="right"/>
    </xf>
    <xf numFmtId="0" fontId="47" fillId="4" borderId="0" xfId="0" applyFont="1" applyFill="1"/>
    <xf numFmtId="0" fontId="47" fillId="0" borderId="0" xfId="1" applyFont="1" applyAlignment="1" applyProtection="1">
      <alignment horizontal="center" vertical="center"/>
      <protection locked="0"/>
    </xf>
    <xf numFmtId="0" fontId="47" fillId="0" borderId="0" xfId="0" applyFont="1"/>
    <xf numFmtId="167" fontId="47" fillId="0" borderId="0" xfId="1" applyNumberFormat="1" applyFont="1" applyAlignment="1" applyProtection="1">
      <alignment horizontal="center" vertical="center"/>
      <protection locked="0"/>
    </xf>
    <xf numFmtId="0" fontId="48" fillId="0" borderId="0" xfId="2" applyFont="1" applyAlignment="1">
      <alignment horizontal="center" wrapText="1"/>
    </xf>
    <xf numFmtId="0" fontId="49" fillId="0" borderId="0" xfId="2" applyFont="1"/>
    <xf numFmtId="0" fontId="50" fillId="0" borderId="0" xfId="2" applyFont="1"/>
    <xf numFmtId="0" fontId="47" fillId="0" borderId="0" xfId="2" applyFont="1"/>
    <xf numFmtId="167" fontId="50" fillId="0" borderId="0" xfId="2" applyNumberFormat="1" applyFont="1"/>
    <xf numFmtId="0" fontId="47" fillId="0" borderId="0" xfId="0" applyFont="1" applyAlignment="1">
      <alignment horizontal="right"/>
    </xf>
    <xf numFmtId="0" fontId="51" fillId="0" borderId="0" xfId="0" applyFont="1"/>
    <xf numFmtId="49" fontId="46" fillId="0" borderId="0" xfId="0" applyNumberFormat="1" applyFont="1"/>
    <xf numFmtId="0" fontId="52" fillId="0" borderId="0" xfId="0" applyFont="1" applyAlignment="1">
      <alignment horizontal="center" vertical="top"/>
    </xf>
    <xf numFmtId="166" fontId="48" fillId="0" borderId="0" xfId="2" applyNumberFormat="1" applyFont="1"/>
    <xf numFmtId="0" fontId="50" fillId="0" borderId="0" xfId="2" applyFont="1" applyAlignment="1">
      <alignment horizontal="left"/>
    </xf>
    <xf numFmtId="3" fontId="51" fillId="0" borderId="0" xfId="0" applyNumberFormat="1" applyFont="1"/>
    <xf numFmtId="3" fontId="50" fillId="0" borderId="0" xfId="2" applyNumberFormat="1" applyFont="1"/>
    <xf numFmtId="0" fontId="51" fillId="0" borderId="0" xfId="0" applyFont="1" applyAlignment="1">
      <alignment horizontal="center"/>
    </xf>
    <xf numFmtId="0" fontId="49" fillId="0" borderId="0" xfId="0" applyFont="1"/>
    <xf numFmtId="0" fontId="47" fillId="4" borderId="15" xfId="0" applyFont="1" applyFill="1" applyBorder="1" applyAlignment="1">
      <alignment horizontal="left" vertical="top"/>
    </xf>
    <xf numFmtId="0" fontId="47" fillId="4" borderId="16" xfId="0" applyFont="1" applyFill="1" applyBorder="1"/>
    <xf numFmtId="0" fontId="47" fillId="4" borderId="16" xfId="0" applyFont="1" applyFill="1" applyBorder="1" applyAlignment="1">
      <alignment vertical="center"/>
    </xf>
    <xf numFmtId="0" fontId="47" fillId="4" borderId="16" xfId="0" applyFont="1" applyFill="1" applyBorder="1" applyAlignment="1">
      <alignment horizontal="center" vertical="center"/>
    </xf>
    <xf numFmtId="167" fontId="47" fillId="4" borderId="16" xfId="2" applyNumberFormat="1" applyFont="1" applyFill="1" applyBorder="1"/>
    <xf numFmtId="0" fontId="47" fillId="4" borderId="17" xfId="2" applyFont="1" applyFill="1" applyBorder="1"/>
    <xf numFmtId="0" fontId="47" fillId="4" borderId="18" xfId="0" applyFont="1" applyFill="1" applyBorder="1" applyAlignment="1">
      <alignment horizontal="center" vertical="top"/>
    </xf>
    <xf numFmtId="0" fontId="47" fillId="4" borderId="19" xfId="0" applyFont="1" applyFill="1" applyBorder="1"/>
    <xf numFmtId="0" fontId="47" fillId="4" borderId="19" xfId="0" applyFont="1" applyFill="1" applyBorder="1" applyAlignment="1">
      <alignment vertical="center"/>
    </xf>
    <xf numFmtId="0" fontId="47" fillId="4" borderId="19" xfId="0" applyFont="1" applyFill="1" applyBorder="1" applyAlignment="1">
      <alignment horizontal="center" vertical="center"/>
    </xf>
    <xf numFmtId="3" fontId="47" fillId="4" borderId="19" xfId="0" applyNumberFormat="1" applyFont="1" applyFill="1" applyBorder="1"/>
    <xf numFmtId="0" fontId="47" fillId="4" borderId="20" xfId="2" applyFont="1" applyFill="1" applyBorder="1"/>
    <xf numFmtId="0" fontId="47" fillId="0" borderId="0" xfId="0" applyFont="1" applyAlignment="1">
      <alignment horizontal="center" vertical="top"/>
    </xf>
    <xf numFmtId="0" fontId="47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3" fontId="47" fillId="0" borderId="0" xfId="0" applyNumberFormat="1" applyFont="1"/>
    <xf numFmtId="0" fontId="48" fillId="0" borderId="0" xfId="2" applyFont="1"/>
    <xf numFmtId="0" fontId="37" fillId="0" borderId="34" xfId="0" applyFont="1" applyBorder="1" applyAlignment="1">
      <alignment vertical="center"/>
    </xf>
    <xf numFmtId="0" fontId="37" fillId="0" borderId="34" xfId="0" applyFont="1" applyBorder="1" applyAlignment="1">
      <alignment vertical="center" wrapText="1"/>
    </xf>
    <xf numFmtId="0" fontId="38" fillId="0" borderId="20" xfId="0" applyFont="1" applyBorder="1" applyAlignment="1">
      <alignment horizontal="right" vertical="center" wrapText="1"/>
    </xf>
    <xf numFmtId="0" fontId="41" fillId="0" borderId="20" xfId="0" applyFont="1" applyBorder="1" applyAlignment="1">
      <alignment horizontal="right" vertical="center" wrapText="1"/>
    </xf>
    <xf numFmtId="0" fontId="53" fillId="0" borderId="34" xfId="0" applyFont="1" applyBorder="1" applyAlignment="1">
      <alignment vertical="center"/>
    </xf>
    <xf numFmtId="0" fontId="41" fillId="0" borderId="20" xfId="0" applyFont="1" applyBorder="1" applyAlignment="1">
      <alignment vertical="center"/>
    </xf>
    <xf numFmtId="0" fontId="41" fillId="0" borderId="34" xfId="0" applyFont="1" applyBorder="1" applyAlignment="1">
      <alignment horizontal="center" vertical="center"/>
    </xf>
    <xf numFmtId="0" fontId="41" fillId="0" borderId="20" xfId="0" applyFont="1" applyBorder="1" applyAlignment="1">
      <alignment horizontal="right" vertical="center"/>
    </xf>
    <xf numFmtId="0" fontId="41" fillId="0" borderId="20" xfId="0" applyFont="1" applyBorder="1" applyAlignment="1">
      <alignment horizontal="center" vertical="center"/>
    </xf>
    <xf numFmtId="3" fontId="41" fillId="0" borderId="20" xfId="0" applyNumberFormat="1" applyFont="1" applyBorder="1" applyAlignment="1">
      <alignment horizontal="right" vertical="center"/>
    </xf>
    <xf numFmtId="49" fontId="17" fillId="0" borderId="0" xfId="0" applyNumberFormat="1" applyFont="1"/>
    <xf numFmtId="1" fontId="17" fillId="0" borderId="0" xfId="0" applyNumberFormat="1" applyFont="1"/>
    <xf numFmtId="2" fontId="17" fillId="0" borderId="0" xfId="0" applyNumberFormat="1" applyFont="1"/>
    <xf numFmtId="2" fontId="30" fillId="3" borderId="33" xfId="1" applyNumberFormat="1" applyFont="1" applyFill="1" applyBorder="1"/>
    <xf numFmtId="0" fontId="24" fillId="11" borderId="1" xfId="6" applyFont="1" applyFill="1" applyBorder="1" applyAlignment="1">
      <alignment horizontal="left" vertical="center" wrapText="1"/>
    </xf>
    <xf numFmtId="0" fontId="24" fillId="11" borderId="1" xfId="6" applyFont="1" applyFill="1" applyBorder="1" applyAlignment="1">
      <alignment vertical="center" wrapText="1"/>
    </xf>
    <xf numFmtId="0" fontId="24" fillId="11" borderId="1" xfId="6" applyFont="1" applyFill="1" applyBorder="1" applyAlignment="1">
      <alignment horizontal="center" vertical="center" wrapText="1"/>
    </xf>
    <xf numFmtId="0" fontId="24" fillId="11" borderId="1" xfId="6" applyFont="1" applyFill="1" applyBorder="1" applyAlignment="1">
      <alignment horizontal="center" vertical="top" wrapText="1"/>
    </xf>
    <xf numFmtId="3" fontId="24" fillId="11" borderId="1" xfId="6" applyNumberFormat="1" applyFont="1" applyFill="1" applyBorder="1" applyAlignment="1">
      <alignment horizontal="right" vertical="center"/>
    </xf>
    <xf numFmtId="0" fontId="24" fillId="11" borderId="1" xfId="6" applyFont="1" applyFill="1" applyBorder="1" applyAlignment="1">
      <alignment horizontal="center" vertical="center"/>
    </xf>
    <xf numFmtId="2" fontId="24" fillId="11" borderId="1" xfId="6" applyNumberFormat="1" applyFont="1" applyFill="1" applyBorder="1" applyAlignment="1">
      <alignment horizontal="right" vertical="center" wrapText="1"/>
    </xf>
    <xf numFmtId="0" fontId="24" fillId="11" borderId="1" xfId="6" quotePrefix="1" applyFont="1" applyFill="1" applyBorder="1" applyAlignment="1">
      <alignment horizontal="left" vertical="center" wrapText="1"/>
    </xf>
    <xf numFmtId="0" fontId="37" fillId="0" borderId="34" xfId="0" applyFont="1" applyBorder="1" applyAlignment="1">
      <alignment horizontal="center" vertical="center"/>
    </xf>
    <xf numFmtId="4" fontId="41" fillId="0" borderId="20" xfId="0" applyNumberFormat="1" applyFont="1" applyBorder="1" applyAlignment="1">
      <alignment horizontal="center" vertical="center"/>
    </xf>
    <xf numFmtId="0" fontId="0" fillId="31" borderId="38" xfId="0" applyFill="1" applyBorder="1"/>
    <xf numFmtId="0" fontId="0" fillId="32" borderId="38" xfId="0" applyFill="1" applyBorder="1"/>
    <xf numFmtId="0" fontId="0" fillId="31" borderId="39" xfId="0" applyFill="1" applyBorder="1"/>
    <xf numFmtId="0" fontId="0" fillId="32" borderId="39" xfId="0" applyFill="1" applyBorder="1"/>
    <xf numFmtId="0" fontId="0" fillId="31" borderId="40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31" borderId="41" xfId="0" applyFill="1" applyBorder="1"/>
    <xf numFmtId="0" fontId="17" fillId="0" borderId="0" xfId="0" applyFont="1" applyAlignment="1">
      <alignment horizontal="left" indent="1"/>
    </xf>
    <xf numFmtId="0" fontId="17" fillId="0" borderId="0" xfId="0" applyFont="1" applyAlignment="1">
      <alignment horizontal="left" indent="2"/>
    </xf>
    <xf numFmtId="0" fontId="17" fillId="0" borderId="0" xfId="0" applyFont="1" applyAlignment="1">
      <alignment horizontal="left"/>
    </xf>
    <xf numFmtId="0" fontId="15" fillId="0" borderId="0" xfId="0" applyFont="1"/>
    <xf numFmtId="0" fontId="17" fillId="24" borderId="0" xfId="0" applyFont="1" applyFill="1" applyAlignment="1">
      <alignment horizontal="left"/>
    </xf>
    <xf numFmtId="0" fontId="17" fillId="24" borderId="0" xfId="0" applyFont="1" applyFill="1" applyAlignment="1">
      <alignment horizontal="left" indent="1"/>
    </xf>
    <xf numFmtId="0" fontId="17" fillId="24" borderId="0" xfId="0" applyFont="1" applyFill="1" applyAlignment="1">
      <alignment horizontal="left" indent="2"/>
    </xf>
    <xf numFmtId="0" fontId="0" fillId="24" borderId="0" xfId="0" applyFill="1" applyAlignment="1">
      <alignment horizontal="left" indent="1"/>
    </xf>
    <xf numFmtId="0" fontId="0" fillId="24" borderId="0" xfId="0" applyFill="1" applyAlignment="1">
      <alignment horizontal="left" indent="2"/>
    </xf>
    <xf numFmtId="0" fontId="0" fillId="24" borderId="0" xfId="0" applyFill="1" applyAlignment="1">
      <alignment horizontal="left"/>
    </xf>
    <xf numFmtId="0" fontId="54" fillId="0" borderId="0" xfId="0" applyFont="1" applyAlignment="1">
      <alignment horizontal="left" indent="1"/>
    </xf>
    <xf numFmtId="0" fontId="54" fillId="0" borderId="0" xfId="0" applyFont="1"/>
    <xf numFmtId="0" fontId="54" fillId="0" borderId="0" xfId="0" applyFont="1" applyAlignment="1">
      <alignment horizontal="left" indent="2"/>
    </xf>
    <xf numFmtId="0" fontId="24" fillId="0" borderId="1" xfId="6" applyFont="1" applyFill="1" applyBorder="1" applyAlignment="1">
      <alignment horizontal="left" vertical="center" wrapText="1"/>
    </xf>
    <xf numFmtId="0" fontId="24" fillId="0" borderId="1" xfId="6" applyFont="1" applyFill="1" applyBorder="1" applyAlignment="1">
      <alignment vertical="center" wrapText="1"/>
    </xf>
    <xf numFmtId="0" fontId="24" fillId="0" borderId="1" xfId="6" applyFont="1" applyFill="1" applyBorder="1" applyAlignment="1">
      <alignment horizontal="center" vertical="center" wrapText="1"/>
    </xf>
    <xf numFmtId="3" fontId="24" fillId="0" borderId="1" xfId="6" applyNumberFormat="1" applyFont="1" applyFill="1" applyBorder="1" applyAlignment="1">
      <alignment horizontal="right" vertical="center"/>
    </xf>
    <xf numFmtId="0" fontId="24" fillId="0" borderId="1" xfId="6" applyFont="1" applyFill="1" applyBorder="1" applyAlignment="1">
      <alignment horizontal="center" vertical="center"/>
    </xf>
    <xf numFmtId="2" fontId="24" fillId="0" borderId="1" xfId="6" applyNumberFormat="1" applyFont="1" applyFill="1" applyBorder="1" applyAlignment="1">
      <alignment horizontal="right" vertical="center" wrapText="1"/>
    </xf>
    <xf numFmtId="0" fontId="54" fillId="0" borderId="0" xfId="0" applyFont="1" applyAlignment="1">
      <alignment horizontal="left"/>
    </xf>
    <xf numFmtId="2" fontId="34" fillId="4" borderId="0" xfId="0" applyNumberFormat="1" applyFont="1" applyFill="1"/>
    <xf numFmtId="0" fontId="31" fillId="0" borderId="1" xfId="6" applyFont="1" applyFill="1" applyBorder="1" applyAlignment="1">
      <alignment horizontal="left" vertical="center" wrapText="1"/>
    </xf>
    <xf numFmtId="166" fontId="17" fillId="0" borderId="0" xfId="0" applyNumberFormat="1" applyFont="1"/>
    <xf numFmtId="1" fontId="55" fillId="0" borderId="0" xfId="2" applyNumberFormat="1" applyFont="1" applyAlignment="1">
      <alignment horizontal="center"/>
    </xf>
    <xf numFmtId="0" fontId="55" fillId="0" borderId="0" xfId="2" applyFont="1" applyAlignment="1">
      <alignment horizontal="center"/>
    </xf>
    <xf numFmtId="3" fontId="55" fillId="0" borderId="0" xfId="2" applyNumberFormat="1" applyFont="1" applyAlignment="1">
      <alignment horizontal="center"/>
    </xf>
    <xf numFmtId="0" fontId="24" fillId="11" borderId="1" xfId="6" applyFont="1" applyFill="1" applyBorder="1" applyAlignment="1">
      <alignment horizontal="left" vertical="top" wrapText="1"/>
    </xf>
    <xf numFmtId="0" fontId="24" fillId="11" borderId="1" xfId="6" applyFont="1" applyFill="1" applyBorder="1" applyAlignment="1">
      <alignment vertical="top" wrapText="1"/>
    </xf>
    <xf numFmtId="3" fontId="24" fillId="11" borderId="1" xfId="6" applyNumberFormat="1" applyFont="1" applyFill="1" applyBorder="1" applyAlignment="1">
      <alignment horizontal="right" vertical="top"/>
    </xf>
    <xf numFmtId="0" fontId="24" fillId="11" borderId="1" xfId="6" applyFont="1" applyFill="1" applyBorder="1" applyAlignment="1">
      <alignment horizontal="center" vertical="top"/>
    </xf>
    <xf numFmtId="2" fontId="24" fillId="11" borderId="1" xfId="6" applyNumberFormat="1" applyFont="1" applyFill="1" applyBorder="1" applyAlignment="1">
      <alignment horizontal="right" vertical="top" wrapText="1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 wrapText="1"/>
    </xf>
    <xf numFmtId="0" fontId="2" fillId="0" borderId="0" xfId="1" applyFont="1" applyProtection="1">
      <protection locked="0"/>
    </xf>
    <xf numFmtId="0" fontId="2" fillId="0" borderId="1" xfId="1" applyFont="1" applyBorder="1" applyAlignment="1">
      <alignment horizontal="right" vertical="top"/>
    </xf>
    <xf numFmtId="1" fontId="2" fillId="0" borderId="0" xfId="1" applyNumberFormat="1" applyFont="1" applyAlignment="1" applyProtection="1">
      <alignment horizontal="center"/>
      <protection locked="0"/>
    </xf>
    <xf numFmtId="49" fontId="2" fillId="0" borderId="0" xfId="1" applyNumberFormat="1" applyFont="1" applyAlignment="1" applyProtection="1">
      <alignment horizontal="right"/>
      <protection locked="0"/>
    </xf>
    <xf numFmtId="0" fontId="2" fillId="0" borderId="0" xfId="1" applyFont="1" applyAlignment="1" applyProtection="1">
      <alignment horizontal="right"/>
      <protection locked="0"/>
    </xf>
    <xf numFmtId="1" fontId="2" fillId="0" borderId="0" xfId="1" applyNumberFormat="1" applyFont="1" applyAlignment="1" applyProtection="1">
      <alignment horizontal="right"/>
      <protection locked="0"/>
    </xf>
    <xf numFmtId="0" fontId="2" fillId="0" borderId="0" xfId="1" applyFont="1" applyAlignment="1">
      <alignment horizontal="right" vertical="center"/>
    </xf>
    <xf numFmtId="0" fontId="2" fillId="0" borderId="0" xfId="1" applyFont="1" applyAlignment="1" applyProtection="1">
      <alignment horizontal="center"/>
      <protection locked="0"/>
    </xf>
    <xf numFmtId="0" fontId="2" fillId="0" borderId="0" xfId="1" applyFont="1" applyAlignment="1">
      <alignment horizontal="center"/>
    </xf>
    <xf numFmtId="0" fontId="2" fillId="0" borderId="0" xfId="1" applyFont="1" applyAlignment="1" applyProtection="1">
      <alignment horizontal="left"/>
      <protection locked="0"/>
    </xf>
    <xf numFmtId="0" fontId="2" fillId="0" borderId="0" xfId="1" applyFont="1" applyAlignment="1">
      <alignment horizontal="left"/>
    </xf>
    <xf numFmtId="49" fontId="2" fillId="0" borderId="1" xfId="1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right" vertical="center"/>
    </xf>
    <xf numFmtId="1" fontId="47" fillId="0" borderId="0" xfId="2" applyNumberFormat="1" applyFont="1"/>
    <xf numFmtId="2" fontId="56" fillId="0" borderId="0" xfId="4" applyNumberFormat="1" applyFont="1" applyAlignment="1">
      <alignment horizontal="right" vertical="center" wrapText="1"/>
    </xf>
    <xf numFmtId="0" fontId="57" fillId="30" borderId="0" xfId="0" applyFont="1" applyFill="1" applyAlignment="1">
      <alignment horizontal="right" vertical="center" wrapText="1"/>
    </xf>
    <xf numFmtId="0" fontId="58" fillId="0" borderId="0" xfId="2" applyFont="1"/>
    <xf numFmtId="0" fontId="24" fillId="11" borderId="9" xfId="6" quotePrefix="1" applyFont="1" applyFill="1" applyBorder="1" applyAlignment="1">
      <alignment horizontal="left" vertical="center" wrapText="1"/>
    </xf>
    <xf numFmtId="0" fontId="24" fillId="11" borderId="9" xfId="6" applyFont="1" applyFill="1" applyBorder="1" applyAlignment="1">
      <alignment vertical="center" wrapText="1"/>
    </xf>
    <xf numFmtId="0" fontId="24" fillId="11" borderId="9" xfId="6" applyFont="1" applyFill="1" applyBorder="1" applyAlignment="1">
      <alignment horizontal="center" vertical="center" wrapText="1"/>
    </xf>
    <xf numFmtId="0" fontId="24" fillId="11" borderId="9" xfId="6" applyFont="1" applyFill="1" applyBorder="1" applyAlignment="1">
      <alignment horizontal="center" vertical="top" wrapText="1"/>
    </xf>
    <xf numFmtId="3" fontId="24" fillId="11" borderId="9" xfId="6" applyNumberFormat="1" applyFont="1" applyFill="1" applyBorder="1" applyAlignment="1">
      <alignment horizontal="right" vertical="center"/>
    </xf>
    <xf numFmtId="0" fontId="24" fillId="11" borderId="9" xfId="6" applyFont="1" applyFill="1" applyBorder="1" applyAlignment="1">
      <alignment horizontal="center" vertical="center"/>
    </xf>
    <xf numFmtId="2" fontId="24" fillId="11" borderId="9" xfId="6" applyNumberFormat="1" applyFont="1" applyFill="1" applyBorder="1" applyAlignment="1">
      <alignment horizontal="right" vertical="center" wrapText="1"/>
    </xf>
    <xf numFmtId="0" fontId="20" fillId="0" borderId="12" xfId="0" applyFont="1" applyBorder="1" applyAlignment="1">
      <alignment horizontal="center" vertical="center" wrapText="1"/>
    </xf>
    <xf numFmtId="0" fontId="20" fillId="0" borderId="14" xfId="0" applyFont="1" applyBorder="1"/>
    <xf numFmtId="3" fontId="12" fillId="0" borderId="14" xfId="0" applyNumberFormat="1" applyFont="1" applyBorder="1" applyAlignment="1">
      <alignment horizontal="right" vertical="center"/>
    </xf>
    <xf numFmtId="0" fontId="1" fillId="0" borderId="13" xfId="2" applyFont="1" applyBorder="1"/>
    <xf numFmtId="167" fontId="11" fillId="23" borderId="0" xfId="0" applyNumberFormat="1" applyFont="1" applyFill="1" applyAlignment="1">
      <alignment horizontal="right" vertical="top"/>
    </xf>
    <xf numFmtId="0" fontId="24" fillId="11" borderId="9" xfId="6" applyFont="1" applyFill="1" applyBorder="1" applyAlignment="1">
      <alignment vertical="top" wrapText="1"/>
    </xf>
    <xf numFmtId="3" fontId="24" fillId="11" borderId="9" xfId="6" applyNumberFormat="1" applyFont="1" applyFill="1" applyBorder="1" applyAlignment="1">
      <alignment horizontal="right" vertical="top"/>
    </xf>
    <xf numFmtId="0" fontId="24" fillId="11" borderId="9" xfId="6" applyFont="1" applyFill="1" applyBorder="1" applyAlignment="1">
      <alignment horizontal="center" vertical="top"/>
    </xf>
    <xf numFmtId="2" fontId="24" fillId="11" borderId="9" xfId="6" applyNumberFormat="1" applyFont="1" applyFill="1" applyBorder="1" applyAlignment="1">
      <alignment horizontal="right" vertical="top" wrapText="1"/>
    </xf>
    <xf numFmtId="2" fontId="50" fillId="0" borderId="0" xfId="2" applyNumberFormat="1" applyFont="1"/>
    <xf numFmtId="10" fontId="15" fillId="0" borderId="0" xfId="4" applyNumberFormat="1" applyFont="1" applyAlignment="1">
      <alignment horizontal="center"/>
    </xf>
    <xf numFmtId="0" fontId="30" fillId="18" borderId="36" xfId="0" applyFont="1" applyFill="1" applyBorder="1" applyAlignment="1">
      <alignment horizontal="center" textRotation="90" wrapText="1"/>
    </xf>
    <xf numFmtId="0" fontId="34" fillId="24" borderId="14" xfId="1" applyFont="1" applyFill="1" applyBorder="1" applyAlignment="1">
      <alignment horizontal="center"/>
    </xf>
    <xf numFmtId="0" fontId="13" fillId="24" borderId="0" xfId="0" applyFont="1" applyFill="1" applyAlignment="1">
      <alignment horizontal="center" vertical="center" textRotation="90" wrapText="1"/>
    </xf>
    <xf numFmtId="0" fontId="13" fillId="24" borderId="6" xfId="0" applyFont="1" applyFill="1" applyBorder="1" applyAlignment="1">
      <alignment horizontal="center" vertical="center" textRotation="90" wrapText="1"/>
    </xf>
    <xf numFmtId="0" fontId="28" fillId="3" borderId="5" xfId="0" applyFont="1" applyFill="1" applyBorder="1" applyAlignment="1">
      <alignment horizontal="center" wrapText="1"/>
    </xf>
    <xf numFmtId="49" fontId="30" fillId="12" borderId="33" xfId="1" applyNumberFormat="1" applyFont="1" applyFill="1" applyBorder="1" applyAlignment="1" applyProtection="1">
      <alignment horizontal="center"/>
      <protection locked="0"/>
    </xf>
    <xf numFmtId="49" fontId="30" fillId="12" borderId="34" xfId="1" applyNumberFormat="1" applyFont="1" applyFill="1" applyBorder="1" applyAlignment="1" applyProtection="1">
      <alignment horizontal="center"/>
      <protection locked="0"/>
    </xf>
    <xf numFmtId="49" fontId="30" fillId="23" borderId="33" xfId="1" applyNumberFormat="1" applyFont="1" applyFill="1" applyBorder="1" applyAlignment="1" applyProtection="1">
      <alignment horizontal="center"/>
      <protection locked="0"/>
    </xf>
    <xf numFmtId="49" fontId="30" fillId="23" borderId="34" xfId="1" applyNumberFormat="1" applyFont="1" applyFill="1" applyBorder="1" applyAlignment="1" applyProtection="1">
      <alignment horizontal="center"/>
      <protection locked="0"/>
    </xf>
    <xf numFmtId="49" fontId="30" fillId="19" borderId="33" xfId="1" applyNumberFormat="1" applyFont="1" applyFill="1" applyBorder="1" applyAlignment="1" applyProtection="1">
      <alignment horizontal="center"/>
      <protection locked="0"/>
    </xf>
    <xf numFmtId="49" fontId="30" fillId="19" borderId="34" xfId="1" applyNumberFormat="1" applyFont="1" applyFill="1" applyBorder="1" applyAlignment="1" applyProtection="1">
      <alignment horizontal="center"/>
      <protection locked="0"/>
    </xf>
    <xf numFmtId="0" fontId="28" fillId="8" borderId="33" xfId="0" applyFont="1" applyFill="1" applyBorder="1" applyAlignment="1">
      <alignment horizontal="center"/>
    </xf>
    <xf numFmtId="0" fontId="28" fillId="8" borderId="34" xfId="0" applyFont="1" applyFill="1" applyBorder="1" applyAlignment="1">
      <alignment horizontal="center"/>
    </xf>
    <xf numFmtId="0" fontId="13" fillId="27" borderId="6" xfId="0" applyFont="1" applyFill="1" applyBorder="1" applyAlignment="1">
      <alignment horizontal="center" vertical="center" textRotation="90" wrapText="1"/>
    </xf>
    <xf numFmtId="0" fontId="6" fillId="0" borderId="1" xfId="1" applyFont="1" applyBorder="1" applyAlignment="1">
      <alignment horizontal="center" vertical="center" wrapText="1"/>
    </xf>
    <xf numFmtId="49" fontId="6" fillId="0" borderId="3" xfId="1" applyNumberFormat="1" applyFont="1" applyBorder="1" applyAlignment="1">
      <alignment horizontal="center" vertical="center" wrapText="1"/>
    </xf>
    <xf numFmtId="49" fontId="6" fillId="0" borderId="4" xfId="1" applyNumberFormat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0" fontId="2" fillId="0" borderId="8" xfId="1" applyFont="1" applyBorder="1" applyAlignment="1">
      <alignment horizontal="center" vertical="center" wrapText="1"/>
    </xf>
    <xf numFmtId="164" fontId="2" fillId="0" borderId="9" xfId="1" applyNumberFormat="1" applyFont="1" applyBorder="1" applyAlignment="1" applyProtection="1">
      <alignment horizontal="center" vertical="center" textRotation="90"/>
      <protection locked="0"/>
    </xf>
    <xf numFmtId="164" fontId="2" fillId="0" borderId="10" xfId="1" applyNumberFormat="1" applyFont="1" applyBorder="1" applyAlignment="1" applyProtection="1">
      <alignment horizontal="center" vertical="center" textRotation="90"/>
      <protection locked="0"/>
    </xf>
    <xf numFmtId="164" fontId="2" fillId="0" borderId="11" xfId="1" applyNumberFormat="1" applyFont="1" applyBorder="1" applyAlignment="1" applyProtection="1">
      <alignment horizontal="center" vertical="center" textRotation="90"/>
      <protection locked="0"/>
    </xf>
    <xf numFmtId="0" fontId="3" fillId="0" borderId="1" xfId="1" applyFont="1" applyBorder="1" applyAlignment="1" applyProtection="1">
      <alignment horizontal="left" vertical="top"/>
      <protection locked="0"/>
    </xf>
    <xf numFmtId="0" fontId="2" fillId="0" borderId="1" xfId="1" applyFont="1" applyBorder="1" applyAlignment="1" applyProtection="1">
      <alignment horizontal="left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1" fontId="6" fillId="0" borderId="1" xfId="1" applyNumberFormat="1" applyFont="1" applyBorder="1" applyAlignment="1">
      <alignment horizontal="center" vertical="center" wrapText="1"/>
    </xf>
    <xf numFmtId="49" fontId="6" fillId="0" borderId="9" xfId="1" applyNumberFormat="1" applyFont="1" applyBorder="1" applyAlignment="1">
      <alignment horizontal="center" vertical="center" wrapText="1"/>
    </xf>
    <xf numFmtId="49" fontId="6" fillId="0" borderId="11" xfId="1" applyNumberFormat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1" fontId="7" fillId="0" borderId="3" xfId="1" applyNumberFormat="1" applyFont="1" applyBorder="1" applyAlignment="1" applyProtection="1">
      <alignment horizontal="center" wrapText="1"/>
      <protection locked="0"/>
    </xf>
    <xf numFmtId="0" fontId="8" fillId="0" borderId="4" xfId="1" applyFont="1" applyBorder="1" applyAlignment="1">
      <alignment horizontal="center"/>
    </xf>
    <xf numFmtId="0" fontId="8" fillId="0" borderId="5" xfId="1" applyFont="1" applyBorder="1" applyAlignment="1">
      <alignment horizontal="center"/>
    </xf>
    <xf numFmtId="0" fontId="8" fillId="0" borderId="6" xfId="1" applyFont="1" applyBorder="1" applyAlignment="1">
      <alignment horizontal="center"/>
    </xf>
    <xf numFmtId="0" fontId="8" fillId="0" borderId="7" xfId="1" applyFont="1" applyBorder="1" applyAlignment="1">
      <alignment horizontal="center"/>
    </xf>
    <xf numFmtId="0" fontId="8" fillId="0" borderId="8" xfId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 wrapText="1"/>
    </xf>
    <xf numFmtId="165" fontId="2" fillId="0" borderId="1" xfId="1" applyNumberFormat="1" applyFont="1" applyBorder="1" applyAlignment="1">
      <alignment horizontal="center" vertical="top"/>
    </xf>
    <xf numFmtId="0" fontId="2" fillId="0" borderId="1" xfId="1" applyFont="1" applyBorder="1" applyAlignment="1" applyProtection="1">
      <alignment horizontal="left"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 applyProtection="1">
      <alignment horizontal="center" vertical="top"/>
      <protection locked="0"/>
    </xf>
    <xf numFmtId="164" fontId="2" fillId="0" borderId="3" xfId="1" applyNumberFormat="1" applyFont="1" applyBorder="1" applyAlignment="1" applyProtection="1">
      <alignment horizontal="center" vertical="center" textRotation="90"/>
      <protection locked="0"/>
    </xf>
    <xf numFmtId="164" fontId="2" fillId="0" borderId="5" xfId="1" applyNumberFormat="1" applyFont="1" applyBorder="1" applyAlignment="1" applyProtection="1">
      <alignment horizontal="center" vertical="center" textRotation="90"/>
      <protection locked="0"/>
    </xf>
    <xf numFmtId="164" fontId="2" fillId="0" borderId="7" xfId="1" applyNumberFormat="1" applyFont="1" applyBorder="1" applyAlignment="1" applyProtection="1">
      <alignment horizontal="center" vertical="center" textRotation="90"/>
      <protection locked="0"/>
    </xf>
    <xf numFmtId="164" fontId="2" fillId="0" borderId="0" xfId="1" applyNumberFormat="1" applyFont="1" applyAlignment="1" applyProtection="1">
      <alignment horizontal="center" vertical="center" textRotation="90"/>
      <protection locked="0"/>
    </xf>
    <xf numFmtId="0" fontId="6" fillId="0" borderId="12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2" fillId="0" borderId="0" xfId="1" applyFont="1" applyAlignment="1" applyProtection="1">
      <alignment horizontal="center" textRotation="90"/>
      <protection locked="0"/>
    </xf>
    <xf numFmtId="1" fontId="5" fillId="0" borderId="0" xfId="1" applyNumberFormat="1" applyFont="1" applyAlignment="1">
      <alignment horizontal="center" vertical="center"/>
    </xf>
    <xf numFmtId="1" fontId="6" fillId="0" borderId="1" xfId="1" applyNumberFormat="1" applyFont="1" applyBorder="1" applyAlignment="1">
      <alignment horizontal="center" vertical="center"/>
    </xf>
    <xf numFmtId="1" fontId="6" fillId="0" borderId="9" xfId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2" fontId="6" fillId="0" borderId="1" xfId="1" applyNumberFormat="1" applyFont="1" applyBorder="1" applyAlignment="1">
      <alignment horizontal="center" vertical="center"/>
    </xf>
    <xf numFmtId="2" fontId="2" fillId="0" borderId="9" xfId="1" applyNumberFormat="1" applyFont="1" applyBorder="1" applyAlignment="1">
      <alignment horizontal="center" vertical="center"/>
    </xf>
    <xf numFmtId="2" fontId="6" fillId="4" borderId="12" xfId="1" applyNumberFormat="1" applyFont="1" applyFill="1" applyBorder="1" applyAlignment="1">
      <alignment horizontal="center" vertical="center"/>
    </xf>
    <xf numFmtId="2" fontId="6" fillId="4" borderId="13" xfId="1" applyNumberFormat="1" applyFont="1" applyFill="1" applyBorder="1" applyAlignment="1">
      <alignment horizontal="center" vertical="center"/>
    </xf>
    <xf numFmtId="0" fontId="2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left" vertical="center"/>
      <protection locked="0"/>
    </xf>
    <xf numFmtId="0" fontId="2" fillId="0" borderId="0" xfId="1" applyFont="1" applyAlignment="1">
      <alignment horizontal="left" vertical="center"/>
    </xf>
    <xf numFmtId="0" fontId="5" fillId="0" borderId="0" xfId="1" applyFont="1" applyAlignment="1">
      <alignment horizontal="right" vertical="center"/>
    </xf>
    <xf numFmtId="0" fontId="2" fillId="0" borderId="0" xfId="1" applyFont="1" applyAlignment="1">
      <alignment vertical="center"/>
    </xf>
    <xf numFmtId="0" fontId="5" fillId="0" borderId="0" xfId="1" applyFont="1" applyAlignment="1" applyProtection="1">
      <alignment horizontal="center" vertical="center"/>
      <protection locked="0"/>
    </xf>
    <xf numFmtId="0" fontId="9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top"/>
    </xf>
    <xf numFmtId="0" fontId="2" fillId="0" borderId="0" xfId="1" applyFont="1" applyAlignment="1">
      <alignment horizontal="right" vertical="top"/>
    </xf>
    <xf numFmtId="0" fontId="48" fillId="0" borderId="0" xfId="2" applyFont="1" applyAlignment="1">
      <alignment horizontal="center" wrapText="1"/>
    </xf>
    <xf numFmtId="0" fontId="50" fillId="0" borderId="2" xfId="2" applyFont="1" applyBorder="1" applyAlignment="1">
      <alignment horizontal="center"/>
    </xf>
    <xf numFmtId="0" fontId="25" fillId="0" borderId="24" xfId="0" applyFont="1" applyBorder="1" applyAlignment="1">
      <alignment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</cellXfs>
  <cellStyles count="8">
    <cellStyle name="Check Cell" xfId="5" builtinId="23"/>
    <cellStyle name="Euro" xfId="3" xr:uid="{00000000-0005-0000-0000-000000000000}"/>
    <cellStyle name="Normal" xfId="0" builtinId="0"/>
    <cellStyle name="Normal 2" xfId="1" xr:uid="{00000000-0005-0000-0000-000002000000}"/>
    <cellStyle name="Normal 3" xfId="2" xr:uid="{00000000-0005-0000-0000-000003000000}"/>
    <cellStyle name="Normal 8" xfId="7" xr:uid="{A71FFAF7-743D-4555-BA7C-BED6495F2406}"/>
    <cellStyle name="Output" xfId="6" builtinId="21"/>
    <cellStyle name="Percent" xfId="4" builtinId="5"/>
  </cellStyles>
  <dxfs count="135">
    <dxf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86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FFFCC"/>
      <color rgb="FFEEB500"/>
      <color rgb="FFFFC819"/>
      <color rgb="FFFFCD2F"/>
      <color rgb="FFFFE389"/>
      <color rgb="FFE698B9"/>
      <color rgb="FFEEB8CF"/>
      <color rgb="FFFFD757"/>
      <color rgb="FFE9C2C1"/>
      <color rgb="FFFFE7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34506</xdr:rowOff>
        </xdr:from>
        <xdr:to>
          <xdr:col>1</xdr:col>
          <xdr:colOff>17253</xdr:colOff>
          <xdr:row>0</xdr:row>
          <xdr:rowOff>267419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Tehnoloogia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422694</xdr:rowOff>
        </xdr:from>
        <xdr:to>
          <xdr:col>1</xdr:col>
          <xdr:colOff>17253</xdr:colOff>
          <xdr:row>1</xdr:row>
          <xdr:rowOff>155275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0</xdr:rowOff>
        </xdr:from>
        <xdr:to>
          <xdr:col>1</xdr:col>
          <xdr:colOff>17253</xdr:colOff>
          <xdr:row>2</xdr:row>
          <xdr:rowOff>232913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110167</xdr:colOff>
      <xdr:row>15</xdr:row>
      <xdr:rowOff>231386</xdr:rowOff>
    </xdr:from>
    <xdr:to>
      <xdr:col>2</xdr:col>
      <xdr:colOff>2490719</xdr:colOff>
      <xdr:row>15</xdr:row>
      <xdr:rowOff>845029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03296B-9B80-1B9F-4197-84218FD2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842" y="3871733"/>
          <a:ext cx="2380552" cy="6136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erver-tallinn\MM_yld\Turundus\-%20ABIMATERJALID%20EELARVESTAMISEL\Normeerimise%20alused\8.%20Abifailid\abifail%20-%2001.2025.xlsx" TargetMode="External"/><Relationship Id="rId1" Type="http://schemas.openxmlformats.org/officeDocument/2006/relationships/externalLinkPath" Target="file:///\\server-tallinn\MM_yld\Turundus\-%20ABIMATERJALID%20EELARVESTAMISEL\Normeerimise%20alused\8.%20Abifailid\abifail%20-%2001.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smalõikus"/>
      <sheetName val="Koostamine"/>
      <sheetName val="Transport"/>
      <sheetName val="Avade tegemiseks lisaaeg"/>
      <sheetName val="Värvisüsteem"/>
    </sheetNames>
    <sheetDataSet>
      <sheetData sheetId="0">
        <row r="7">
          <cell r="A7" t="str">
            <v>Leht 1</v>
          </cell>
          <cell r="B7">
            <v>4500</v>
          </cell>
          <cell r="C7">
            <v>6</v>
          </cell>
          <cell r="D7">
            <v>0.85</v>
          </cell>
          <cell r="E7">
            <v>0.38</v>
          </cell>
        </row>
        <row r="8">
          <cell r="A8" t="str">
            <v>Leht 1,25</v>
          </cell>
          <cell r="B8">
            <v>4350</v>
          </cell>
          <cell r="C8">
            <v>6</v>
          </cell>
          <cell r="D8">
            <v>0.88</v>
          </cell>
          <cell r="E8">
            <v>0.38</v>
          </cell>
        </row>
        <row r="9">
          <cell r="A9" t="str">
            <v>Leht 2</v>
          </cell>
          <cell r="B9">
            <v>4200</v>
          </cell>
          <cell r="C9">
            <v>6</v>
          </cell>
          <cell r="D9">
            <v>0.91</v>
          </cell>
          <cell r="E9">
            <v>0.38</v>
          </cell>
        </row>
        <row r="10">
          <cell r="A10" t="str">
            <v>Leht 3</v>
          </cell>
          <cell r="B10">
            <v>4000</v>
          </cell>
          <cell r="C10">
            <v>7</v>
          </cell>
          <cell r="D10">
            <v>0.96</v>
          </cell>
          <cell r="E10">
            <v>0.45</v>
          </cell>
        </row>
        <row r="11">
          <cell r="A11" t="str">
            <v>Leht 4</v>
          </cell>
          <cell r="B11">
            <v>3800</v>
          </cell>
          <cell r="C11">
            <v>8</v>
          </cell>
          <cell r="D11">
            <v>1.01</v>
          </cell>
          <cell r="E11">
            <v>0.51</v>
          </cell>
        </row>
        <row r="12">
          <cell r="A12" t="str">
            <v>Leht 5</v>
          </cell>
          <cell r="B12">
            <v>3600</v>
          </cell>
          <cell r="C12">
            <v>8</v>
          </cell>
          <cell r="D12">
            <v>1.06</v>
          </cell>
          <cell r="E12">
            <v>0.51</v>
          </cell>
        </row>
        <row r="13">
          <cell r="A13" t="str">
            <v>Leht 6</v>
          </cell>
          <cell r="B13">
            <v>3500</v>
          </cell>
          <cell r="C13">
            <v>8</v>
          </cell>
          <cell r="D13">
            <v>1.1000000000000001</v>
          </cell>
          <cell r="E13">
            <v>0.51</v>
          </cell>
        </row>
        <row r="14">
          <cell r="A14" t="str">
            <v>Leht 8</v>
          </cell>
          <cell r="B14">
            <v>3000</v>
          </cell>
          <cell r="C14">
            <v>8</v>
          </cell>
          <cell r="D14">
            <v>1.28</v>
          </cell>
          <cell r="E14">
            <v>0.51</v>
          </cell>
        </row>
        <row r="15">
          <cell r="A15" t="str">
            <v>Leht 10</v>
          </cell>
          <cell r="B15">
            <v>2500</v>
          </cell>
          <cell r="C15">
            <v>8</v>
          </cell>
          <cell r="D15">
            <v>1.53</v>
          </cell>
          <cell r="E15">
            <v>0.51</v>
          </cell>
        </row>
        <row r="16">
          <cell r="A16" t="str">
            <v>Leht 12</v>
          </cell>
          <cell r="B16">
            <v>2000</v>
          </cell>
          <cell r="C16">
            <v>8.5</v>
          </cell>
          <cell r="D16">
            <v>1.92</v>
          </cell>
          <cell r="E16">
            <v>0.54</v>
          </cell>
        </row>
        <row r="17">
          <cell r="A17" t="str">
            <v>Leht 15</v>
          </cell>
          <cell r="B17">
            <v>1800</v>
          </cell>
          <cell r="C17">
            <v>9</v>
          </cell>
          <cell r="D17">
            <v>2.13</v>
          </cell>
          <cell r="E17">
            <v>0.57999999999999996</v>
          </cell>
        </row>
        <row r="18">
          <cell r="A18" t="str">
            <v>Leht 16</v>
          </cell>
          <cell r="B18">
            <v>1750</v>
          </cell>
          <cell r="C18">
            <v>10</v>
          </cell>
          <cell r="D18">
            <v>2.19</v>
          </cell>
          <cell r="E18">
            <v>0.64</v>
          </cell>
        </row>
        <row r="19">
          <cell r="A19" t="str">
            <v>Leht 18</v>
          </cell>
          <cell r="B19">
            <v>1700</v>
          </cell>
          <cell r="C19">
            <v>11</v>
          </cell>
          <cell r="D19">
            <v>2.25</v>
          </cell>
          <cell r="E19">
            <v>0.7</v>
          </cell>
        </row>
        <row r="20">
          <cell r="A20" t="str">
            <v>Leht 20</v>
          </cell>
          <cell r="B20">
            <v>1600</v>
          </cell>
          <cell r="C20">
            <v>12</v>
          </cell>
          <cell r="D20">
            <v>2.4</v>
          </cell>
          <cell r="E20">
            <v>0.77</v>
          </cell>
        </row>
        <row r="21">
          <cell r="A21" t="str">
            <v>Leht 22</v>
          </cell>
          <cell r="B21">
            <v>1550</v>
          </cell>
          <cell r="C21">
            <v>15</v>
          </cell>
          <cell r="D21">
            <v>2.4700000000000002</v>
          </cell>
          <cell r="E21">
            <v>0.96</v>
          </cell>
        </row>
        <row r="22">
          <cell r="A22" t="str">
            <v>Leht 24</v>
          </cell>
          <cell r="B22">
            <v>1470</v>
          </cell>
          <cell r="C22">
            <v>16</v>
          </cell>
          <cell r="D22">
            <v>2.61</v>
          </cell>
          <cell r="E22">
            <v>1.02</v>
          </cell>
        </row>
        <row r="23">
          <cell r="A23" t="str">
            <v>Leht 25</v>
          </cell>
          <cell r="B23">
            <v>1400</v>
          </cell>
          <cell r="C23">
            <v>18</v>
          </cell>
          <cell r="D23">
            <v>2.74</v>
          </cell>
          <cell r="E23">
            <v>1.1499999999999999</v>
          </cell>
        </row>
        <row r="24">
          <cell r="A24" t="str">
            <v>Leht 30</v>
          </cell>
          <cell r="B24">
            <v>1200</v>
          </cell>
          <cell r="C24">
            <v>20</v>
          </cell>
          <cell r="D24">
            <v>3.19</v>
          </cell>
          <cell r="E24">
            <v>1.28</v>
          </cell>
        </row>
        <row r="25">
          <cell r="A25" t="str">
            <v>Leht 32</v>
          </cell>
          <cell r="B25">
            <v>1050</v>
          </cell>
          <cell r="C25">
            <v>20</v>
          </cell>
          <cell r="D25">
            <v>3.65</v>
          </cell>
          <cell r="E25">
            <v>1.28</v>
          </cell>
        </row>
        <row r="26">
          <cell r="A26" t="str">
            <v>Leht 35</v>
          </cell>
          <cell r="B26">
            <v>900</v>
          </cell>
          <cell r="C26">
            <v>20</v>
          </cell>
          <cell r="D26">
            <v>4.26</v>
          </cell>
          <cell r="E26">
            <v>1.28</v>
          </cell>
        </row>
        <row r="27">
          <cell r="A27" t="str">
            <v>Leht 40</v>
          </cell>
          <cell r="B27">
            <v>800</v>
          </cell>
          <cell r="C27">
            <v>20</v>
          </cell>
          <cell r="D27">
            <v>4.79</v>
          </cell>
          <cell r="E27">
            <v>1.28</v>
          </cell>
        </row>
        <row r="28">
          <cell r="A28" t="str">
            <v>Leht 45</v>
          </cell>
          <cell r="B28">
            <v>700</v>
          </cell>
          <cell r="C28">
            <v>20</v>
          </cell>
          <cell r="D28">
            <v>5.48</v>
          </cell>
          <cell r="E28">
            <v>1.28</v>
          </cell>
        </row>
        <row r="29">
          <cell r="A29" t="str">
            <v>Leht 50</v>
          </cell>
          <cell r="B29">
            <v>600</v>
          </cell>
          <cell r="C29">
            <v>10</v>
          </cell>
          <cell r="D29">
            <v>6.39</v>
          </cell>
          <cell r="E29">
            <v>0.64</v>
          </cell>
        </row>
        <row r="30">
          <cell r="A30" t="str">
            <v>Leht 55</v>
          </cell>
          <cell r="B30">
            <v>500</v>
          </cell>
          <cell r="C30">
            <v>10</v>
          </cell>
          <cell r="D30">
            <v>7.67</v>
          </cell>
          <cell r="E30">
            <v>0.64</v>
          </cell>
        </row>
        <row r="31">
          <cell r="A31" t="str">
            <v>Leht 60</v>
          </cell>
          <cell r="B31">
            <v>400</v>
          </cell>
          <cell r="C31">
            <v>10</v>
          </cell>
          <cell r="D31">
            <v>9.58</v>
          </cell>
          <cell r="E31">
            <v>0.64</v>
          </cell>
        </row>
      </sheetData>
      <sheetData sheetId="1">
        <row r="12">
          <cell r="A12" t="str">
            <v>Section Reference</v>
          </cell>
          <cell r="B12" t="str">
            <v>Tüüp</v>
          </cell>
          <cell r="C12" t="str">
            <v>Keevituse läbimite arv</v>
          </cell>
          <cell r="D12" t="str">
            <v>pindala, m2/jm</v>
          </cell>
          <cell r="E12" t="str">
            <v>kaal, kg/m</v>
          </cell>
          <cell r="F12" t="str">
            <v>kuni 1,5 m</v>
          </cell>
          <cell r="G12" t="str">
            <v>1,5-3 m</v>
          </cell>
          <cell r="H12" t="str">
            <v>3-6 m</v>
          </cell>
          <cell r="I12" t="str">
            <v>6-10 m</v>
          </cell>
          <cell r="J12" t="str">
            <v>10-13 m</v>
          </cell>
          <cell r="K12" t="str">
            <v>13-….m</v>
          </cell>
        </row>
        <row r="13">
          <cell r="A13" t="str">
            <v>CFCHS26.9x2.6</v>
          </cell>
          <cell r="B13">
            <v>1</v>
          </cell>
          <cell r="C13">
            <v>1</v>
          </cell>
          <cell r="D13">
            <v>8.5000000000000006E-2</v>
          </cell>
          <cell r="E13">
            <v>1.56</v>
          </cell>
          <cell r="F13">
            <v>2</v>
          </cell>
          <cell r="G13">
            <v>5</v>
          </cell>
          <cell r="H13">
            <v>10</v>
          </cell>
          <cell r="I13">
            <v>20</v>
          </cell>
          <cell r="J13">
            <v>30</v>
          </cell>
          <cell r="K13">
            <v>60</v>
          </cell>
        </row>
        <row r="14">
          <cell r="A14" t="str">
            <v>CFCHS26.9x3.2</v>
          </cell>
          <cell r="B14">
            <v>1</v>
          </cell>
          <cell r="C14">
            <v>1</v>
          </cell>
          <cell r="D14">
            <v>8.5000000000000006E-2</v>
          </cell>
          <cell r="E14">
            <v>1.87</v>
          </cell>
          <cell r="F14">
            <v>2</v>
          </cell>
          <cell r="G14">
            <v>5</v>
          </cell>
          <cell r="H14">
            <v>10</v>
          </cell>
          <cell r="I14">
            <v>20</v>
          </cell>
          <cell r="J14">
            <v>30</v>
          </cell>
          <cell r="K14">
            <v>60</v>
          </cell>
        </row>
        <row r="15">
          <cell r="A15" t="str">
            <v>CFCHS30x2.5</v>
          </cell>
          <cell r="B15">
            <v>1</v>
          </cell>
          <cell r="C15">
            <v>1</v>
          </cell>
          <cell r="D15">
            <v>8.5000000000000006E-2</v>
          </cell>
          <cell r="E15">
            <v>1.7</v>
          </cell>
          <cell r="F15">
            <v>2</v>
          </cell>
          <cell r="G15">
            <v>5</v>
          </cell>
          <cell r="H15">
            <v>10</v>
          </cell>
          <cell r="I15">
            <v>20</v>
          </cell>
          <cell r="J15">
            <v>30</v>
          </cell>
          <cell r="K15">
            <v>60</v>
          </cell>
        </row>
        <row r="16">
          <cell r="A16" t="str">
            <v>CFCHS33.7x2.6</v>
          </cell>
          <cell r="B16">
            <v>1</v>
          </cell>
          <cell r="C16">
            <v>1</v>
          </cell>
          <cell r="D16"/>
          <cell r="E16">
            <v>1.99</v>
          </cell>
          <cell r="F16">
            <v>2</v>
          </cell>
          <cell r="G16">
            <v>5</v>
          </cell>
          <cell r="H16">
            <v>10</v>
          </cell>
          <cell r="I16">
            <v>20</v>
          </cell>
          <cell r="J16">
            <v>30</v>
          </cell>
          <cell r="K16">
            <v>60</v>
          </cell>
        </row>
        <row r="17">
          <cell r="A17" t="str">
            <v>CFCHS33.7x3</v>
          </cell>
          <cell r="B17">
            <v>1</v>
          </cell>
          <cell r="C17">
            <v>1</v>
          </cell>
          <cell r="D17"/>
          <cell r="E17">
            <v>2.27</v>
          </cell>
          <cell r="F17">
            <v>2</v>
          </cell>
          <cell r="G17">
            <v>5</v>
          </cell>
          <cell r="H17">
            <v>10</v>
          </cell>
          <cell r="I17">
            <v>20</v>
          </cell>
          <cell r="J17">
            <v>30</v>
          </cell>
          <cell r="K17">
            <v>60</v>
          </cell>
        </row>
        <row r="18">
          <cell r="A18" t="str">
            <v>CFCHS33.7x3.2</v>
          </cell>
          <cell r="B18">
            <v>1</v>
          </cell>
          <cell r="C18">
            <v>1</v>
          </cell>
          <cell r="D18"/>
          <cell r="E18">
            <v>2.27</v>
          </cell>
          <cell r="F18">
            <v>2</v>
          </cell>
          <cell r="G18">
            <v>5</v>
          </cell>
          <cell r="H18">
            <v>10</v>
          </cell>
          <cell r="I18">
            <v>20</v>
          </cell>
          <cell r="J18">
            <v>30</v>
          </cell>
          <cell r="K18">
            <v>60</v>
          </cell>
        </row>
        <row r="19">
          <cell r="A19" t="str">
            <v>CFCHS42.4x2.6</v>
          </cell>
          <cell r="B19">
            <v>1</v>
          </cell>
          <cell r="C19">
            <v>1</v>
          </cell>
          <cell r="D19"/>
          <cell r="E19">
            <v>2.5499999999999998</v>
          </cell>
          <cell r="F19">
            <v>2</v>
          </cell>
          <cell r="G19">
            <v>5</v>
          </cell>
          <cell r="H19">
            <v>10</v>
          </cell>
          <cell r="I19">
            <v>20</v>
          </cell>
          <cell r="J19">
            <v>30</v>
          </cell>
          <cell r="K19">
            <v>60</v>
          </cell>
        </row>
        <row r="20">
          <cell r="A20" t="str">
            <v>CFCHS42.4x3</v>
          </cell>
          <cell r="B20">
            <v>1</v>
          </cell>
          <cell r="C20">
            <v>1</v>
          </cell>
          <cell r="D20">
            <v>0.13300000000000001</v>
          </cell>
          <cell r="E20">
            <v>2.91</v>
          </cell>
          <cell r="F20">
            <v>2</v>
          </cell>
          <cell r="G20">
            <v>5</v>
          </cell>
          <cell r="H20">
            <v>10</v>
          </cell>
          <cell r="I20">
            <v>20</v>
          </cell>
          <cell r="J20">
            <v>30</v>
          </cell>
          <cell r="K20">
            <v>60</v>
          </cell>
        </row>
        <row r="21">
          <cell r="A21" t="str">
            <v>CFCHS42.4x3.2</v>
          </cell>
          <cell r="B21">
            <v>1</v>
          </cell>
          <cell r="C21">
            <v>1</v>
          </cell>
          <cell r="D21"/>
          <cell r="E21">
            <v>2.59</v>
          </cell>
          <cell r="F21">
            <v>2</v>
          </cell>
          <cell r="G21">
            <v>5</v>
          </cell>
          <cell r="H21">
            <v>10</v>
          </cell>
          <cell r="I21">
            <v>20</v>
          </cell>
          <cell r="J21">
            <v>30</v>
          </cell>
          <cell r="K21">
            <v>60</v>
          </cell>
        </row>
        <row r="22">
          <cell r="A22" t="str">
            <v>CFCHS48.3x2.6</v>
          </cell>
          <cell r="B22">
            <v>1</v>
          </cell>
          <cell r="C22">
            <v>1</v>
          </cell>
          <cell r="D22"/>
          <cell r="E22">
            <v>2.97</v>
          </cell>
          <cell r="F22">
            <v>2</v>
          </cell>
          <cell r="G22">
            <v>5</v>
          </cell>
          <cell r="H22">
            <v>10</v>
          </cell>
          <cell r="I22">
            <v>20</v>
          </cell>
          <cell r="J22">
            <v>30</v>
          </cell>
          <cell r="K22">
            <v>60</v>
          </cell>
        </row>
        <row r="23">
          <cell r="A23" t="str">
            <v>CFCHS48.3x3</v>
          </cell>
          <cell r="B23">
            <v>1</v>
          </cell>
          <cell r="C23">
            <v>1</v>
          </cell>
          <cell r="D23"/>
          <cell r="E23">
            <v>3.35</v>
          </cell>
          <cell r="F23">
            <v>2</v>
          </cell>
          <cell r="G23">
            <v>5</v>
          </cell>
          <cell r="H23">
            <v>10</v>
          </cell>
          <cell r="I23">
            <v>20</v>
          </cell>
          <cell r="J23">
            <v>30</v>
          </cell>
          <cell r="K23">
            <v>60</v>
          </cell>
        </row>
        <row r="24">
          <cell r="A24" t="str">
            <v>CFCHS48.3x3.2</v>
          </cell>
          <cell r="B24">
            <v>1</v>
          </cell>
          <cell r="C24">
            <v>1</v>
          </cell>
          <cell r="D24"/>
          <cell r="E24">
            <v>3.56</v>
          </cell>
          <cell r="F24">
            <v>2</v>
          </cell>
          <cell r="G24">
            <v>5</v>
          </cell>
          <cell r="H24">
            <v>10</v>
          </cell>
          <cell r="I24">
            <v>20</v>
          </cell>
          <cell r="J24">
            <v>30</v>
          </cell>
          <cell r="K24">
            <v>60</v>
          </cell>
        </row>
        <row r="25">
          <cell r="A25" t="str">
            <v>CFCHS48.3x4</v>
          </cell>
          <cell r="B25">
            <v>1</v>
          </cell>
          <cell r="C25">
            <v>1</v>
          </cell>
          <cell r="D25"/>
          <cell r="E25">
            <v>4.37</v>
          </cell>
          <cell r="F25">
            <v>2</v>
          </cell>
          <cell r="G25">
            <v>5</v>
          </cell>
          <cell r="H25">
            <v>10</v>
          </cell>
          <cell r="I25">
            <v>20</v>
          </cell>
          <cell r="J25">
            <v>30</v>
          </cell>
          <cell r="K25">
            <v>60</v>
          </cell>
        </row>
        <row r="26">
          <cell r="A26" t="str">
            <v>CFCHS60.3x2.9</v>
          </cell>
          <cell r="B26">
            <v>1</v>
          </cell>
          <cell r="C26">
            <v>1</v>
          </cell>
          <cell r="D26">
            <v>0.189</v>
          </cell>
          <cell r="E26">
            <v>4.1100000000000003</v>
          </cell>
          <cell r="F26">
            <v>2</v>
          </cell>
          <cell r="G26">
            <v>5</v>
          </cell>
          <cell r="H26">
            <v>10</v>
          </cell>
          <cell r="I26">
            <v>20</v>
          </cell>
          <cell r="J26">
            <v>30</v>
          </cell>
          <cell r="K26">
            <v>60</v>
          </cell>
        </row>
        <row r="27">
          <cell r="A27" t="str">
            <v>CFCHS60.3x3</v>
          </cell>
          <cell r="B27">
            <v>1</v>
          </cell>
          <cell r="C27">
            <v>1</v>
          </cell>
          <cell r="D27"/>
          <cell r="E27">
            <v>4.24</v>
          </cell>
          <cell r="F27">
            <v>2</v>
          </cell>
          <cell r="G27">
            <v>5</v>
          </cell>
          <cell r="H27">
            <v>10</v>
          </cell>
          <cell r="I27">
            <v>20</v>
          </cell>
          <cell r="J27">
            <v>30</v>
          </cell>
          <cell r="K27">
            <v>60</v>
          </cell>
        </row>
        <row r="28">
          <cell r="A28" t="str">
            <v>CFCHS60.3x3.2</v>
          </cell>
          <cell r="B28">
            <v>1</v>
          </cell>
          <cell r="C28">
            <v>1</v>
          </cell>
          <cell r="D28"/>
          <cell r="E28">
            <v>4.51</v>
          </cell>
          <cell r="F28">
            <v>2</v>
          </cell>
          <cell r="G28">
            <v>5</v>
          </cell>
          <cell r="H28">
            <v>10</v>
          </cell>
          <cell r="I28">
            <v>20</v>
          </cell>
          <cell r="J28">
            <v>30</v>
          </cell>
          <cell r="K28">
            <v>60</v>
          </cell>
        </row>
        <row r="29">
          <cell r="A29" t="str">
            <v>CFCHS60.3x4</v>
          </cell>
          <cell r="B29">
            <v>1</v>
          </cell>
          <cell r="C29">
            <v>1</v>
          </cell>
          <cell r="D29"/>
          <cell r="E29">
            <v>5.55</v>
          </cell>
          <cell r="F29">
            <v>2</v>
          </cell>
          <cell r="G29">
            <v>5</v>
          </cell>
          <cell r="H29">
            <v>10</v>
          </cell>
          <cell r="I29">
            <v>20</v>
          </cell>
          <cell r="J29">
            <v>30</v>
          </cell>
          <cell r="K29">
            <v>60</v>
          </cell>
        </row>
        <row r="30">
          <cell r="A30" t="str">
            <v>CFCHS76.1x3</v>
          </cell>
          <cell r="B30">
            <v>1</v>
          </cell>
          <cell r="C30">
            <v>1</v>
          </cell>
          <cell r="D30"/>
          <cell r="E30">
            <v>5.41</v>
          </cell>
          <cell r="F30">
            <v>2</v>
          </cell>
          <cell r="G30">
            <v>5</v>
          </cell>
          <cell r="H30">
            <v>10</v>
          </cell>
          <cell r="I30">
            <v>20</v>
          </cell>
          <cell r="J30">
            <v>30</v>
          </cell>
          <cell r="K30">
            <v>60</v>
          </cell>
        </row>
        <row r="31">
          <cell r="A31" t="str">
            <v>CFCHS76.1x3.2</v>
          </cell>
          <cell r="B31">
            <v>1</v>
          </cell>
          <cell r="C31">
            <v>1</v>
          </cell>
          <cell r="D31"/>
          <cell r="E31">
            <v>5.75</v>
          </cell>
          <cell r="F31">
            <v>2</v>
          </cell>
          <cell r="G31">
            <v>5</v>
          </cell>
          <cell r="H31">
            <v>10</v>
          </cell>
          <cell r="I31">
            <v>20</v>
          </cell>
          <cell r="J31">
            <v>30</v>
          </cell>
          <cell r="K31">
            <v>60</v>
          </cell>
        </row>
        <row r="32">
          <cell r="A32" t="str">
            <v>CFCHS76.1x4</v>
          </cell>
          <cell r="B32">
            <v>1</v>
          </cell>
          <cell r="C32">
            <v>1</v>
          </cell>
          <cell r="D32"/>
          <cell r="E32">
            <v>7.11</v>
          </cell>
          <cell r="F32">
            <v>2</v>
          </cell>
          <cell r="G32">
            <v>5</v>
          </cell>
          <cell r="H32">
            <v>10</v>
          </cell>
          <cell r="I32">
            <v>20</v>
          </cell>
          <cell r="J32">
            <v>30</v>
          </cell>
          <cell r="K32">
            <v>60</v>
          </cell>
        </row>
        <row r="33">
          <cell r="A33" t="str">
            <v>CFCHS76.1x5</v>
          </cell>
          <cell r="B33">
            <v>1</v>
          </cell>
          <cell r="C33">
            <v>1</v>
          </cell>
          <cell r="D33">
            <v>0.23899999999999999</v>
          </cell>
          <cell r="E33">
            <v>8.8000000000000007</v>
          </cell>
          <cell r="F33">
            <v>2</v>
          </cell>
          <cell r="G33">
            <v>5</v>
          </cell>
          <cell r="H33">
            <v>10</v>
          </cell>
          <cell r="I33">
            <v>20</v>
          </cell>
          <cell r="J33">
            <v>30</v>
          </cell>
          <cell r="K33">
            <v>60</v>
          </cell>
        </row>
        <row r="34">
          <cell r="A34" t="str">
            <v>CFCHS88.9x3</v>
          </cell>
          <cell r="B34">
            <v>1</v>
          </cell>
          <cell r="C34">
            <v>1</v>
          </cell>
          <cell r="D34"/>
          <cell r="E34">
            <v>6.36</v>
          </cell>
          <cell r="F34">
            <v>2</v>
          </cell>
          <cell r="G34">
            <v>5</v>
          </cell>
          <cell r="H34">
            <v>10</v>
          </cell>
          <cell r="I34">
            <v>20</v>
          </cell>
          <cell r="J34">
            <v>30</v>
          </cell>
          <cell r="K34">
            <v>60</v>
          </cell>
        </row>
        <row r="35">
          <cell r="A35" t="str">
            <v>CFCHS88.9x3.2</v>
          </cell>
          <cell r="B35">
            <v>1</v>
          </cell>
          <cell r="C35">
            <v>1</v>
          </cell>
          <cell r="D35"/>
          <cell r="E35">
            <v>7.37</v>
          </cell>
          <cell r="F35">
            <v>2</v>
          </cell>
          <cell r="G35">
            <v>5</v>
          </cell>
          <cell r="H35">
            <v>10</v>
          </cell>
          <cell r="I35">
            <v>20</v>
          </cell>
          <cell r="J35">
            <v>30</v>
          </cell>
          <cell r="K35">
            <v>60</v>
          </cell>
        </row>
        <row r="36">
          <cell r="A36" t="str">
            <v>CFCHS88.9x3.6</v>
          </cell>
          <cell r="B36">
            <v>1</v>
          </cell>
          <cell r="C36">
            <v>1</v>
          </cell>
          <cell r="D36">
            <v>0.27900000000000003</v>
          </cell>
          <cell r="E36">
            <v>7.6</v>
          </cell>
          <cell r="F36">
            <v>2</v>
          </cell>
          <cell r="G36">
            <v>5</v>
          </cell>
          <cell r="H36">
            <v>10</v>
          </cell>
          <cell r="I36">
            <v>20</v>
          </cell>
          <cell r="J36">
            <v>30</v>
          </cell>
          <cell r="K36">
            <v>60</v>
          </cell>
        </row>
        <row r="37">
          <cell r="A37" t="str">
            <v>CFCHS88.9x4</v>
          </cell>
          <cell r="B37">
            <v>1</v>
          </cell>
          <cell r="C37">
            <v>1</v>
          </cell>
          <cell r="D37"/>
          <cell r="E37">
            <v>8.3800000000000008</v>
          </cell>
          <cell r="F37">
            <v>2</v>
          </cell>
          <cell r="G37">
            <v>5</v>
          </cell>
          <cell r="H37">
            <v>10</v>
          </cell>
          <cell r="I37">
            <v>20</v>
          </cell>
          <cell r="J37">
            <v>30</v>
          </cell>
          <cell r="K37">
            <v>60</v>
          </cell>
        </row>
        <row r="38">
          <cell r="A38" t="str">
            <v>CFCHS88.9x5</v>
          </cell>
          <cell r="B38">
            <v>1</v>
          </cell>
          <cell r="C38">
            <v>1</v>
          </cell>
          <cell r="D38"/>
          <cell r="E38">
            <v>10.3</v>
          </cell>
          <cell r="F38">
            <v>2</v>
          </cell>
          <cell r="G38">
            <v>5</v>
          </cell>
          <cell r="H38">
            <v>10</v>
          </cell>
          <cell r="I38">
            <v>20</v>
          </cell>
          <cell r="J38">
            <v>30</v>
          </cell>
          <cell r="K38">
            <v>60</v>
          </cell>
        </row>
        <row r="39">
          <cell r="A39" t="str">
            <v>CFCHS88.9x6.3</v>
          </cell>
          <cell r="B39">
            <v>1</v>
          </cell>
          <cell r="C39">
            <v>1</v>
          </cell>
          <cell r="D39"/>
          <cell r="E39">
            <v>12.8</v>
          </cell>
          <cell r="F39">
            <v>2</v>
          </cell>
          <cell r="G39">
            <v>5</v>
          </cell>
          <cell r="H39">
            <v>10</v>
          </cell>
          <cell r="I39">
            <v>20</v>
          </cell>
          <cell r="J39">
            <v>30</v>
          </cell>
          <cell r="K39">
            <v>60</v>
          </cell>
        </row>
        <row r="40">
          <cell r="A40" t="str">
            <v>CFCHS101.6x3.2</v>
          </cell>
          <cell r="B40">
            <v>1</v>
          </cell>
          <cell r="C40">
            <v>1</v>
          </cell>
          <cell r="D40">
            <v>0.31900000000000001</v>
          </cell>
          <cell r="E40">
            <v>7.29</v>
          </cell>
          <cell r="F40">
            <v>2</v>
          </cell>
          <cell r="G40">
            <v>5</v>
          </cell>
          <cell r="H40">
            <v>10</v>
          </cell>
          <cell r="I40">
            <v>20</v>
          </cell>
          <cell r="J40">
            <v>30</v>
          </cell>
          <cell r="K40">
            <v>60</v>
          </cell>
        </row>
        <row r="41">
          <cell r="A41" t="str">
            <v>CFCHS101.6x3.6</v>
          </cell>
          <cell r="B41">
            <v>1</v>
          </cell>
          <cell r="C41">
            <v>1</v>
          </cell>
          <cell r="D41"/>
          <cell r="E41">
            <v>8.6999999999999993</v>
          </cell>
          <cell r="F41">
            <v>2</v>
          </cell>
          <cell r="G41">
            <v>5</v>
          </cell>
          <cell r="H41">
            <v>10</v>
          </cell>
          <cell r="I41">
            <v>20</v>
          </cell>
          <cell r="J41">
            <v>30</v>
          </cell>
          <cell r="K41">
            <v>60</v>
          </cell>
        </row>
        <row r="42">
          <cell r="A42" t="str">
            <v>CFCHS101.6x4</v>
          </cell>
          <cell r="B42">
            <v>1</v>
          </cell>
          <cell r="C42">
            <v>1</v>
          </cell>
          <cell r="D42"/>
          <cell r="E42">
            <v>9.6300000000000008</v>
          </cell>
          <cell r="F42">
            <v>2</v>
          </cell>
          <cell r="G42">
            <v>5</v>
          </cell>
          <cell r="H42">
            <v>10</v>
          </cell>
          <cell r="I42">
            <v>20</v>
          </cell>
          <cell r="J42">
            <v>30</v>
          </cell>
          <cell r="K42">
            <v>60</v>
          </cell>
        </row>
        <row r="43">
          <cell r="A43" t="str">
            <v>CFCHS101.6x5</v>
          </cell>
          <cell r="B43">
            <v>1</v>
          </cell>
          <cell r="C43">
            <v>1</v>
          </cell>
          <cell r="D43"/>
          <cell r="E43">
            <v>11.9</v>
          </cell>
          <cell r="F43">
            <v>2</v>
          </cell>
          <cell r="G43">
            <v>5</v>
          </cell>
          <cell r="H43">
            <v>10</v>
          </cell>
          <cell r="I43">
            <v>20</v>
          </cell>
          <cell r="J43">
            <v>30</v>
          </cell>
          <cell r="K43">
            <v>60</v>
          </cell>
        </row>
        <row r="44">
          <cell r="A44" t="str">
            <v>CFCHS108x5</v>
          </cell>
          <cell r="B44">
            <v>1</v>
          </cell>
          <cell r="C44">
            <v>1</v>
          </cell>
          <cell r="D44">
            <v>0.33900000000000002</v>
          </cell>
          <cell r="E44">
            <v>12.7</v>
          </cell>
          <cell r="F44">
            <v>2</v>
          </cell>
          <cell r="G44">
            <v>5</v>
          </cell>
          <cell r="H44">
            <v>10</v>
          </cell>
          <cell r="I44">
            <v>20</v>
          </cell>
          <cell r="J44">
            <v>30</v>
          </cell>
          <cell r="K44">
            <v>60</v>
          </cell>
        </row>
        <row r="45">
          <cell r="A45" t="str">
            <v>CFCHS108x6.3</v>
          </cell>
          <cell r="B45">
            <v>1</v>
          </cell>
          <cell r="C45">
            <v>1</v>
          </cell>
          <cell r="D45">
            <v>0.33900000000000002</v>
          </cell>
          <cell r="E45">
            <v>15.8</v>
          </cell>
          <cell r="F45">
            <v>2</v>
          </cell>
          <cell r="G45">
            <v>5</v>
          </cell>
          <cell r="H45">
            <v>10</v>
          </cell>
          <cell r="I45">
            <v>20</v>
          </cell>
          <cell r="J45">
            <v>30</v>
          </cell>
          <cell r="K45">
            <v>60</v>
          </cell>
        </row>
        <row r="46">
          <cell r="A46" t="str">
            <v>CFCHS114.3x3</v>
          </cell>
          <cell r="B46">
            <v>1</v>
          </cell>
          <cell r="C46">
            <v>1</v>
          </cell>
          <cell r="D46"/>
          <cell r="E46">
            <v>8.23</v>
          </cell>
          <cell r="F46">
            <v>2</v>
          </cell>
          <cell r="G46">
            <v>5</v>
          </cell>
          <cell r="H46">
            <v>10</v>
          </cell>
          <cell r="I46">
            <v>20</v>
          </cell>
          <cell r="J46">
            <v>30</v>
          </cell>
          <cell r="K46">
            <v>60</v>
          </cell>
        </row>
        <row r="47">
          <cell r="A47" t="str">
            <v>CFCHS114.3x3.2</v>
          </cell>
          <cell r="B47">
            <v>1</v>
          </cell>
          <cell r="C47">
            <v>1</v>
          </cell>
          <cell r="D47">
            <v>0.35899999999999999</v>
          </cell>
          <cell r="E47">
            <v>8.8000000000000007</v>
          </cell>
          <cell r="F47">
            <v>2</v>
          </cell>
          <cell r="G47">
            <v>5</v>
          </cell>
          <cell r="H47">
            <v>10</v>
          </cell>
          <cell r="I47">
            <v>20</v>
          </cell>
          <cell r="J47">
            <v>30</v>
          </cell>
          <cell r="K47">
            <v>60</v>
          </cell>
        </row>
        <row r="48">
          <cell r="A48" t="str">
            <v>CFCHS114.3x3.5</v>
          </cell>
          <cell r="B48">
            <v>1</v>
          </cell>
          <cell r="C48">
            <v>1</v>
          </cell>
          <cell r="D48"/>
          <cell r="E48">
            <v>9.56</v>
          </cell>
          <cell r="F48">
            <v>2</v>
          </cell>
          <cell r="G48">
            <v>5</v>
          </cell>
          <cell r="H48">
            <v>10</v>
          </cell>
          <cell r="I48">
            <v>20</v>
          </cell>
          <cell r="J48">
            <v>30</v>
          </cell>
          <cell r="K48">
            <v>60</v>
          </cell>
        </row>
        <row r="49">
          <cell r="A49" t="str">
            <v>CFCHS114.3x3.6</v>
          </cell>
          <cell r="B49">
            <v>1</v>
          </cell>
          <cell r="C49">
            <v>1</v>
          </cell>
          <cell r="D49"/>
          <cell r="E49">
            <v>9.83</v>
          </cell>
          <cell r="F49">
            <v>2</v>
          </cell>
          <cell r="G49">
            <v>5</v>
          </cell>
          <cell r="H49">
            <v>10</v>
          </cell>
          <cell r="I49">
            <v>20</v>
          </cell>
          <cell r="J49">
            <v>30</v>
          </cell>
          <cell r="K49">
            <v>60</v>
          </cell>
        </row>
        <row r="50">
          <cell r="A50" t="str">
            <v>CFCHS114.3x4</v>
          </cell>
          <cell r="B50">
            <v>1</v>
          </cell>
          <cell r="C50">
            <v>1</v>
          </cell>
          <cell r="D50">
            <v>0.35899999999999999</v>
          </cell>
          <cell r="E50">
            <v>10.9</v>
          </cell>
          <cell r="F50">
            <v>2</v>
          </cell>
          <cell r="G50">
            <v>5</v>
          </cell>
          <cell r="H50">
            <v>10</v>
          </cell>
          <cell r="I50">
            <v>20</v>
          </cell>
          <cell r="J50">
            <v>30</v>
          </cell>
          <cell r="K50">
            <v>60</v>
          </cell>
        </row>
        <row r="51">
          <cell r="A51" t="str">
            <v>CFCHS114.3x5</v>
          </cell>
          <cell r="B51">
            <v>1</v>
          </cell>
          <cell r="C51">
            <v>1</v>
          </cell>
          <cell r="D51"/>
          <cell r="E51">
            <v>13.5</v>
          </cell>
          <cell r="F51">
            <v>2</v>
          </cell>
          <cell r="G51">
            <v>5</v>
          </cell>
          <cell r="H51">
            <v>10</v>
          </cell>
          <cell r="I51">
            <v>20</v>
          </cell>
          <cell r="J51">
            <v>30</v>
          </cell>
          <cell r="K51">
            <v>60</v>
          </cell>
        </row>
        <row r="52">
          <cell r="A52" t="str">
            <v>CFCHS114.3x6</v>
          </cell>
          <cell r="B52">
            <v>1</v>
          </cell>
          <cell r="C52">
            <v>1</v>
          </cell>
          <cell r="D52"/>
          <cell r="E52">
            <v>16</v>
          </cell>
          <cell r="F52">
            <v>2</v>
          </cell>
          <cell r="G52">
            <v>5</v>
          </cell>
          <cell r="H52">
            <v>10</v>
          </cell>
          <cell r="I52">
            <v>20</v>
          </cell>
          <cell r="J52">
            <v>30</v>
          </cell>
          <cell r="K52">
            <v>60</v>
          </cell>
        </row>
        <row r="53">
          <cell r="A53" t="str">
            <v>CFCHS114.3x6.3</v>
          </cell>
          <cell r="B53">
            <v>1</v>
          </cell>
          <cell r="C53">
            <v>1</v>
          </cell>
          <cell r="D53"/>
          <cell r="E53">
            <v>16.8</v>
          </cell>
          <cell r="F53">
            <v>2</v>
          </cell>
          <cell r="G53">
            <v>5</v>
          </cell>
          <cell r="H53">
            <v>10</v>
          </cell>
          <cell r="I53">
            <v>20</v>
          </cell>
          <cell r="J53">
            <v>30</v>
          </cell>
          <cell r="K53">
            <v>60</v>
          </cell>
        </row>
        <row r="54">
          <cell r="A54" t="str">
            <v>CFCHS127x5</v>
          </cell>
          <cell r="B54">
            <v>1</v>
          </cell>
          <cell r="C54">
            <v>1</v>
          </cell>
          <cell r="D54">
            <v>0.39900000000000002</v>
          </cell>
          <cell r="E54">
            <v>15.1</v>
          </cell>
          <cell r="F54">
            <v>2</v>
          </cell>
          <cell r="G54">
            <v>5</v>
          </cell>
          <cell r="H54">
            <v>10</v>
          </cell>
          <cell r="I54">
            <v>20</v>
          </cell>
          <cell r="J54">
            <v>30</v>
          </cell>
          <cell r="K54">
            <v>60</v>
          </cell>
        </row>
        <row r="55">
          <cell r="A55" t="str">
            <v>CFCHS127x6</v>
          </cell>
          <cell r="B55">
            <v>1</v>
          </cell>
          <cell r="C55">
            <v>1</v>
          </cell>
          <cell r="D55">
            <v>0.39900000000000002</v>
          </cell>
          <cell r="E55">
            <v>17.899999999999999</v>
          </cell>
          <cell r="F55">
            <v>2</v>
          </cell>
          <cell r="G55">
            <v>5</v>
          </cell>
          <cell r="H55">
            <v>10</v>
          </cell>
          <cell r="I55">
            <v>20</v>
          </cell>
          <cell r="J55">
            <v>30</v>
          </cell>
          <cell r="K55">
            <v>60</v>
          </cell>
        </row>
        <row r="56">
          <cell r="A56" t="str">
            <v>CFCHS133x5</v>
          </cell>
          <cell r="B56">
            <v>1</v>
          </cell>
          <cell r="C56">
            <v>1</v>
          </cell>
          <cell r="D56">
            <v>0.42</v>
          </cell>
          <cell r="E56">
            <v>15.8</v>
          </cell>
          <cell r="F56">
            <v>2</v>
          </cell>
          <cell r="G56">
            <v>5</v>
          </cell>
          <cell r="H56">
            <v>10</v>
          </cell>
          <cell r="I56">
            <v>20</v>
          </cell>
          <cell r="J56">
            <v>30</v>
          </cell>
          <cell r="K56">
            <v>60</v>
          </cell>
        </row>
        <row r="57">
          <cell r="A57" t="str">
            <v>CFCHS133x6</v>
          </cell>
          <cell r="B57">
            <v>1</v>
          </cell>
          <cell r="C57">
            <v>1</v>
          </cell>
          <cell r="D57">
            <v>0.41799999999999998</v>
          </cell>
          <cell r="E57">
            <v>18.8</v>
          </cell>
          <cell r="F57">
            <v>2</v>
          </cell>
          <cell r="G57">
            <v>5</v>
          </cell>
          <cell r="H57">
            <v>10</v>
          </cell>
          <cell r="I57">
            <v>20</v>
          </cell>
          <cell r="J57">
            <v>30</v>
          </cell>
          <cell r="K57">
            <v>60</v>
          </cell>
        </row>
        <row r="58">
          <cell r="A58" t="str">
            <v>CFCHS139.7x3</v>
          </cell>
          <cell r="B58">
            <v>1</v>
          </cell>
          <cell r="C58">
            <v>1</v>
          </cell>
          <cell r="D58"/>
          <cell r="E58">
            <v>10.1</v>
          </cell>
          <cell r="F58">
            <v>2</v>
          </cell>
          <cell r="G58">
            <v>5</v>
          </cell>
          <cell r="H58">
            <v>10</v>
          </cell>
          <cell r="I58">
            <v>20</v>
          </cell>
          <cell r="J58">
            <v>30</v>
          </cell>
          <cell r="K58">
            <v>60</v>
          </cell>
        </row>
        <row r="59">
          <cell r="A59" t="str">
            <v>CFCHS139.7x4</v>
          </cell>
          <cell r="B59">
            <v>1</v>
          </cell>
          <cell r="C59">
            <v>1</v>
          </cell>
          <cell r="D59"/>
          <cell r="E59">
            <v>13.4</v>
          </cell>
          <cell r="F59">
            <v>2</v>
          </cell>
          <cell r="G59">
            <v>5</v>
          </cell>
          <cell r="H59">
            <v>10</v>
          </cell>
          <cell r="I59">
            <v>20</v>
          </cell>
          <cell r="J59">
            <v>30</v>
          </cell>
          <cell r="K59">
            <v>60</v>
          </cell>
        </row>
        <row r="60">
          <cell r="A60" t="str">
            <v>CFCHS139.7x5</v>
          </cell>
          <cell r="B60">
            <v>1</v>
          </cell>
          <cell r="C60">
            <v>1</v>
          </cell>
          <cell r="D60"/>
          <cell r="E60">
            <v>16.600000000000001</v>
          </cell>
          <cell r="F60">
            <v>2</v>
          </cell>
          <cell r="G60">
            <v>5</v>
          </cell>
          <cell r="H60">
            <v>10</v>
          </cell>
          <cell r="I60">
            <v>20</v>
          </cell>
          <cell r="J60">
            <v>30</v>
          </cell>
          <cell r="K60">
            <v>60</v>
          </cell>
        </row>
        <row r="61">
          <cell r="A61" t="str">
            <v>CFCHS139.7x6</v>
          </cell>
          <cell r="B61">
            <v>1</v>
          </cell>
          <cell r="C61">
            <v>1</v>
          </cell>
          <cell r="D61">
            <v>0.439</v>
          </cell>
          <cell r="E61">
            <v>19.8</v>
          </cell>
          <cell r="F61">
            <v>2</v>
          </cell>
          <cell r="G61">
            <v>5</v>
          </cell>
          <cell r="H61">
            <v>10</v>
          </cell>
          <cell r="I61">
            <v>20</v>
          </cell>
          <cell r="J61">
            <v>30</v>
          </cell>
          <cell r="K61">
            <v>60</v>
          </cell>
        </row>
        <row r="62">
          <cell r="A62" t="str">
            <v>CFCHS139.7x6.3</v>
          </cell>
          <cell r="B62">
            <v>2</v>
          </cell>
          <cell r="C62">
            <v>1</v>
          </cell>
          <cell r="D62"/>
          <cell r="E62">
            <v>20.7</v>
          </cell>
          <cell r="F62">
            <v>5</v>
          </cell>
          <cell r="G62">
            <v>10</v>
          </cell>
          <cell r="H62">
            <v>20</v>
          </cell>
          <cell r="I62">
            <v>30</v>
          </cell>
          <cell r="J62">
            <v>60</v>
          </cell>
          <cell r="K62">
            <v>90</v>
          </cell>
        </row>
        <row r="63">
          <cell r="A63" t="str">
            <v>CFCHS139.7x8</v>
          </cell>
          <cell r="B63">
            <v>2</v>
          </cell>
          <cell r="C63">
            <v>3</v>
          </cell>
          <cell r="D63"/>
          <cell r="E63">
            <v>26</v>
          </cell>
          <cell r="F63">
            <v>5</v>
          </cell>
          <cell r="G63">
            <v>10</v>
          </cell>
          <cell r="H63">
            <v>20</v>
          </cell>
          <cell r="I63">
            <v>30</v>
          </cell>
          <cell r="J63">
            <v>60</v>
          </cell>
          <cell r="K63">
            <v>90</v>
          </cell>
        </row>
        <row r="64">
          <cell r="A64" t="str">
            <v>CFCHS139.7x10</v>
          </cell>
          <cell r="B64">
            <v>2</v>
          </cell>
          <cell r="C64">
            <v>6</v>
          </cell>
          <cell r="D64"/>
          <cell r="E64">
            <v>32</v>
          </cell>
          <cell r="F64">
            <v>5</v>
          </cell>
          <cell r="G64">
            <v>10</v>
          </cell>
          <cell r="H64">
            <v>20</v>
          </cell>
          <cell r="I64">
            <v>30</v>
          </cell>
          <cell r="J64">
            <v>60</v>
          </cell>
          <cell r="K64">
            <v>90</v>
          </cell>
        </row>
        <row r="65">
          <cell r="A65" t="str">
            <v>CFCHS159x4</v>
          </cell>
          <cell r="B65">
            <v>1</v>
          </cell>
          <cell r="C65">
            <v>1</v>
          </cell>
          <cell r="D65">
            <v>0.5</v>
          </cell>
          <cell r="E65">
            <v>15.3</v>
          </cell>
          <cell r="F65">
            <v>2</v>
          </cell>
          <cell r="G65">
            <v>5</v>
          </cell>
          <cell r="H65">
            <v>10</v>
          </cell>
          <cell r="I65">
            <v>20</v>
          </cell>
          <cell r="J65">
            <v>30</v>
          </cell>
          <cell r="K65">
            <v>60</v>
          </cell>
        </row>
        <row r="66">
          <cell r="A66" t="str">
            <v>CFCHS159x6</v>
          </cell>
          <cell r="B66">
            <v>2</v>
          </cell>
          <cell r="C66">
            <v>2</v>
          </cell>
          <cell r="D66">
            <v>0.5</v>
          </cell>
          <cell r="E66">
            <v>23.6</v>
          </cell>
          <cell r="F66">
            <v>5</v>
          </cell>
          <cell r="G66">
            <v>10</v>
          </cell>
          <cell r="H66">
            <v>20</v>
          </cell>
          <cell r="I66">
            <v>30</v>
          </cell>
          <cell r="J66">
            <v>60</v>
          </cell>
          <cell r="K66">
            <v>90</v>
          </cell>
        </row>
        <row r="67">
          <cell r="A67" t="str">
            <v>CFCHS168.3x4</v>
          </cell>
          <cell r="B67">
            <v>1</v>
          </cell>
          <cell r="C67">
            <v>1</v>
          </cell>
          <cell r="D67"/>
          <cell r="E67">
            <v>16.2</v>
          </cell>
          <cell r="F67">
            <v>2</v>
          </cell>
          <cell r="G67">
            <v>5</v>
          </cell>
          <cell r="H67">
            <v>10</v>
          </cell>
          <cell r="I67">
            <v>20</v>
          </cell>
          <cell r="J67">
            <v>30</v>
          </cell>
          <cell r="K67">
            <v>60</v>
          </cell>
        </row>
        <row r="68">
          <cell r="A68" t="str">
            <v>CFCHS168.3x4.5</v>
          </cell>
          <cell r="B68">
            <v>1</v>
          </cell>
          <cell r="C68">
            <v>1</v>
          </cell>
          <cell r="D68"/>
          <cell r="E68">
            <v>18.2</v>
          </cell>
          <cell r="F68">
            <v>2</v>
          </cell>
          <cell r="G68">
            <v>5</v>
          </cell>
          <cell r="H68">
            <v>10</v>
          </cell>
          <cell r="I68">
            <v>20</v>
          </cell>
          <cell r="J68">
            <v>30</v>
          </cell>
          <cell r="K68">
            <v>60</v>
          </cell>
        </row>
        <row r="69">
          <cell r="A69" t="str">
            <v>CFCHS168.3x5</v>
          </cell>
          <cell r="B69">
            <v>2</v>
          </cell>
          <cell r="C69">
            <v>2</v>
          </cell>
          <cell r="D69"/>
          <cell r="E69">
            <v>20.100000000000001</v>
          </cell>
          <cell r="F69">
            <v>5</v>
          </cell>
          <cell r="G69">
            <v>10</v>
          </cell>
          <cell r="H69">
            <v>20</v>
          </cell>
          <cell r="I69">
            <v>30</v>
          </cell>
          <cell r="J69">
            <v>60</v>
          </cell>
          <cell r="K69">
            <v>90</v>
          </cell>
        </row>
        <row r="70">
          <cell r="A70" t="str">
            <v>CFCHS168.3x6</v>
          </cell>
          <cell r="B70">
            <v>2</v>
          </cell>
          <cell r="C70">
            <v>2</v>
          </cell>
          <cell r="D70"/>
          <cell r="E70">
            <v>24</v>
          </cell>
          <cell r="F70">
            <v>5</v>
          </cell>
          <cell r="G70">
            <v>10</v>
          </cell>
          <cell r="H70">
            <v>20</v>
          </cell>
          <cell r="I70">
            <v>30</v>
          </cell>
          <cell r="J70">
            <v>60</v>
          </cell>
          <cell r="K70">
            <v>90</v>
          </cell>
        </row>
        <row r="71">
          <cell r="A71" t="str">
            <v>CFCHS168.3x6.3</v>
          </cell>
          <cell r="B71">
            <v>2</v>
          </cell>
          <cell r="C71">
            <v>2</v>
          </cell>
          <cell r="D71"/>
          <cell r="E71">
            <v>25.2</v>
          </cell>
          <cell r="F71">
            <v>5</v>
          </cell>
          <cell r="G71">
            <v>10</v>
          </cell>
          <cell r="H71">
            <v>20</v>
          </cell>
          <cell r="I71">
            <v>30</v>
          </cell>
          <cell r="J71">
            <v>60</v>
          </cell>
          <cell r="K71">
            <v>90</v>
          </cell>
        </row>
        <row r="72">
          <cell r="A72" t="str">
            <v>CFCHS168.3x8</v>
          </cell>
          <cell r="B72">
            <v>2</v>
          </cell>
          <cell r="C72">
            <v>3</v>
          </cell>
          <cell r="D72"/>
          <cell r="E72">
            <v>31.6</v>
          </cell>
          <cell r="F72">
            <v>5</v>
          </cell>
          <cell r="G72">
            <v>10</v>
          </cell>
          <cell r="H72">
            <v>20</v>
          </cell>
          <cell r="I72">
            <v>30</v>
          </cell>
          <cell r="J72">
            <v>60</v>
          </cell>
          <cell r="K72">
            <v>90</v>
          </cell>
        </row>
        <row r="73">
          <cell r="A73" t="str">
            <v>CFCHS168.3x10</v>
          </cell>
          <cell r="B73">
            <v>2</v>
          </cell>
          <cell r="C73">
            <v>6</v>
          </cell>
          <cell r="D73"/>
          <cell r="E73">
            <v>39</v>
          </cell>
          <cell r="F73">
            <v>5</v>
          </cell>
          <cell r="G73">
            <v>10</v>
          </cell>
          <cell r="H73">
            <v>20</v>
          </cell>
          <cell r="I73">
            <v>30</v>
          </cell>
          <cell r="J73">
            <v>60</v>
          </cell>
          <cell r="K73">
            <v>90</v>
          </cell>
        </row>
        <row r="74">
          <cell r="A74" t="str">
            <v>CFCHS168.3x12.5</v>
          </cell>
          <cell r="B74">
            <v>2</v>
          </cell>
          <cell r="C74">
            <v>6</v>
          </cell>
          <cell r="D74"/>
          <cell r="E74">
            <v>48</v>
          </cell>
          <cell r="F74">
            <v>5</v>
          </cell>
          <cell r="G74">
            <v>10</v>
          </cell>
          <cell r="H74">
            <v>20</v>
          </cell>
          <cell r="I74">
            <v>30</v>
          </cell>
          <cell r="J74">
            <v>60</v>
          </cell>
          <cell r="K74">
            <v>90</v>
          </cell>
        </row>
        <row r="75">
          <cell r="A75" t="str">
            <v>CFCHS193.7x4</v>
          </cell>
          <cell r="B75">
            <v>1</v>
          </cell>
          <cell r="C75">
            <v>1</v>
          </cell>
          <cell r="D75"/>
          <cell r="E75">
            <v>18.7</v>
          </cell>
          <cell r="F75">
            <v>2</v>
          </cell>
          <cell r="G75">
            <v>5</v>
          </cell>
          <cell r="H75">
            <v>10</v>
          </cell>
          <cell r="I75">
            <v>20</v>
          </cell>
          <cell r="J75">
            <v>30</v>
          </cell>
          <cell r="K75">
            <v>60</v>
          </cell>
        </row>
        <row r="76">
          <cell r="A76" t="str">
            <v>CFCHS193.7x4.5</v>
          </cell>
          <cell r="B76">
            <v>2</v>
          </cell>
          <cell r="C76">
            <v>1</v>
          </cell>
          <cell r="D76"/>
          <cell r="E76">
            <v>21</v>
          </cell>
          <cell r="F76">
            <v>5</v>
          </cell>
          <cell r="G76">
            <v>10</v>
          </cell>
          <cell r="H76">
            <v>20</v>
          </cell>
          <cell r="I76">
            <v>30</v>
          </cell>
          <cell r="J76">
            <v>60</v>
          </cell>
          <cell r="K76">
            <v>90</v>
          </cell>
        </row>
        <row r="77">
          <cell r="A77" t="str">
            <v>CFCHS193.7x5</v>
          </cell>
          <cell r="B77">
            <v>2</v>
          </cell>
          <cell r="C77">
            <v>2</v>
          </cell>
          <cell r="D77"/>
          <cell r="E77">
            <v>23.3</v>
          </cell>
          <cell r="F77">
            <v>5</v>
          </cell>
          <cell r="G77">
            <v>10</v>
          </cell>
          <cell r="H77">
            <v>20</v>
          </cell>
          <cell r="I77">
            <v>30</v>
          </cell>
          <cell r="J77">
            <v>60</v>
          </cell>
          <cell r="K77">
            <v>90</v>
          </cell>
        </row>
        <row r="78">
          <cell r="A78" t="str">
            <v>CFCHS193.7x6</v>
          </cell>
          <cell r="B78">
            <v>2</v>
          </cell>
          <cell r="C78">
            <v>2</v>
          </cell>
          <cell r="D78"/>
          <cell r="E78">
            <v>27.8</v>
          </cell>
          <cell r="F78">
            <v>5</v>
          </cell>
          <cell r="G78">
            <v>10</v>
          </cell>
          <cell r="H78">
            <v>20</v>
          </cell>
          <cell r="I78">
            <v>30</v>
          </cell>
          <cell r="J78">
            <v>60</v>
          </cell>
          <cell r="K78">
            <v>90</v>
          </cell>
        </row>
        <row r="79">
          <cell r="A79" t="str">
            <v>CFCHS193.7x6.3</v>
          </cell>
          <cell r="B79">
            <v>2</v>
          </cell>
          <cell r="C79">
            <v>2</v>
          </cell>
          <cell r="D79"/>
          <cell r="E79">
            <v>29.1</v>
          </cell>
          <cell r="F79">
            <v>5</v>
          </cell>
          <cell r="G79">
            <v>10</v>
          </cell>
          <cell r="H79">
            <v>20</v>
          </cell>
          <cell r="I79">
            <v>30</v>
          </cell>
          <cell r="J79">
            <v>60</v>
          </cell>
          <cell r="K79">
            <v>90</v>
          </cell>
        </row>
        <row r="80">
          <cell r="A80" t="str">
            <v>CFCHS193.7x8</v>
          </cell>
          <cell r="B80">
            <v>2</v>
          </cell>
          <cell r="C80">
            <v>3</v>
          </cell>
          <cell r="D80"/>
          <cell r="E80">
            <v>36.6</v>
          </cell>
          <cell r="F80">
            <v>5</v>
          </cell>
          <cell r="G80">
            <v>10</v>
          </cell>
          <cell r="H80">
            <v>20</v>
          </cell>
          <cell r="I80">
            <v>30</v>
          </cell>
          <cell r="J80">
            <v>60</v>
          </cell>
          <cell r="K80">
            <v>90</v>
          </cell>
        </row>
        <row r="81">
          <cell r="A81" t="str">
            <v>CFCHS193.7x10</v>
          </cell>
          <cell r="B81">
            <v>2</v>
          </cell>
          <cell r="C81">
            <v>6</v>
          </cell>
          <cell r="D81"/>
          <cell r="E81">
            <v>45.3</v>
          </cell>
          <cell r="F81">
            <v>5</v>
          </cell>
          <cell r="G81">
            <v>10</v>
          </cell>
          <cell r="H81">
            <v>20</v>
          </cell>
          <cell r="I81">
            <v>30</v>
          </cell>
          <cell r="J81">
            <v>60</v>
          </cell>
          <cell r="K81">
            <v>90</v>
          </cell>
        </row>
        <row r="82">
          <cell r="A82" t="str">
            <v>CFCHS193.7x12.5</v>
          </cell>
          <cell r="B82">
            <v>2</v>
          </cell>
          <cell r="C82">
            <v>6</v>
          </cell>
          <cell r="D82"/>
          <cell r="E82">
            <v>55.9</v>
          </cell>
          <cell r="F82">
            <v>5</v>
          </cell>
          <cell r="G82">
            <v>10</v>
          </cell>
          <cell r="H82">
            <v>20</v>
          </cell>
          <cell r="I82">
            <v>30</v>
          </cell>
          <cell r="J82">
            <v>60</v>
          </cell>
          <cell r="K82">
            <v>90</v>
          </cell>
        </row>
        <row r="83">
          <cell r="A83" t="str">
            <v>CFCHS219.1x4.5</v>
          </cell>
          <cell r="B83">
            <v>2</v>
          </cell>
          <cell r="C83">
            <v>1</v>
          </cell>
          <cell r="D83"/>
          <cell r="E83">
            <v>23.8</v>
          </cell>
          <cell r="F83">
            <v>5</v>
          </cell>
          <cell r="G83">
            <v>10</v>
          </cell>
          <cell r="H83">
            <v>20</v>
          </cell>
          <cell r="I83">
            <v>30</v>
          </cell>
          <cell r="J83">
            <v>60</v>
          </cell>
          <cell r="K83">
            <v>90</v>
          </cell>
        </row>
        <row r="84">
          <cell r="A84" t="str">
            <v>CFCHS219.1x5</v>
          </cell>
          <cell r="B84">
            <v>2</v>
          </cell>
          <cell r="C84">
            <v>2</v>
          </cell>
          <cell r="D84"/>
          <cell r="E84">
            <v>26.4</v>
          </cell>
          <cell r="F84">
            <v>5</v>
          </cell>
          <cell r="G84">
            <v>10</v>
          </cell>
          <cell r="H84">
            <v>20</v>
          </cell>
          <cell r="I84">
            <v>30</v>
          </cell>
          <cell r="J84">
            <v>60</v>
          </cell>
          <cell r="K84">
            <v>90</v>
          </cell>
        </row>
        <row r="85">
          <cell r="A85" t="str">
            <v>CFCHS219.1x6</v>
          </cell>
          <cell r="B85">
            <v>2</v>
          </cell>
          <cell r="C85">
            <v>2</v>
          </cell>
          <cell r="D85"/>
          <cell r="E85">
            <v>31.5</v>
          </cell>
          <cell r="F85">
            <v>5</v>
          </cell>
          <cell r="G85">
            <v>10</v>
          </cell>
          <cell r="H85">
            <v>20</v>
          </cell>
          <cell r="I85">
            <v>30</v>
          </cell>
          <cell r="J85">
            <v>60</v>
          </cell>
          <cell r="K85">
            <v>90</v>
          </cell>
        </row>
        <row r="86">
          <cell r="A86" t="str">
            <v>CFCHS219.1x6.3</v>
          </cell>
          <cell r="B86">
            <v>2</v>
          </cell>
          <cell r="C86">
            <v>2</v>
          </cell>
          <cell r="D86"/>
          <cell r="E86">
            <v>33.1</v>
          </cell>
          <cell r="F86">
            <v>5</v>
          </cell>
          <cell r="G86">
            <v>10</v>
          </cell>
          <cell r="H86">
            <v>20</v>
          </cell>
          <cell r="I86">
            <v>30</v>
          </cell>
          <cell r="J86">
            <v>60</v>
          </cell>
          <cell r="K86">
            <v>90</v>
          </cell>
        </row>
        <row r="87">
          <cell r="A87" t="str">
            <v>CFCHS219.1x8</v>
          </cell>
          <cell r="B87">
            <v>2</v>
          </cell>
          <cell r="C87">
            <v>3</v>
          </cell>
          <cell r="D87"/>
          <cell r="E87">
            <v>41.6</v>
          </cell>
          <cell r="F87">
            <v>5</v>
          </cell>
          <cell r="G87">
            <v>10</v>
          </cell>
          <cell r="H87">
            <v>20</v>
          </cell>
          <cell r="I87">
            <v>30</v>
          </cell>
          <cell r="J87">
            <v>60</v>
          </cell>
          <cell r="K87">
            <v>90</v>
          </cell>
        </row>
        <row r="88">
          <cell r="A88" t="str">
            <v>CFCHS219.1x10</v>
          </cell>
          <cell r="B88">
            <v>2</v>
          </cell>
          <cell r="C88">
            <v>6</v>
          </cell>
          <cell r="D88"/>
          <cell r="E88">
            <v>51.6</v>
          </cell>
          <cell r="F88">
            <v>5</v>
          </cell>
          <cell r="G88">
            <v>10</v>
          </cell>
          <cell r="H88">
            <v>20</v>
          </cell>
          <cell r="I88">
            <v>30</v>
          </cell>
          <cell r="J88">
            <v>60</v>
          </cell>
          <cell r="K88">
            <v>90</v>
          </cell>
        </row>
        <row r="89">
          <cell r="A89" t="str">
            <v>CFCHS219.1x12</v>
          </cell>
          <cell r="B89">
            <v>2</v>
          </cell>
          <cell r="C89">
            <v>6</v>
          </cell>
          <cell r="D89"/>
          <cell r="E89">
            <v>61.3</v>
          </cell>
          <cell r="F89">
            <v>5</v>
          </cell>
          <cell r="G89">
            <v>10</v>
          </cell>
          <cell r="H89">
            <v>20</v>
          </cell>
          <cell r="I89">
            <v>30</v>
          </cell>
          <cell r="J89">
            <v>60</v>
          </cell>
          <cell r="K89">
            <v>90</v>
          </cell>
        </row>
        <row r="90">
          <cell r="A90" t="str">
            <v>CFCHS219.1x12.5</v>
          </cell>
          <cell r="B90">
            <v>2</v>
          </cell>
          <cell r="C90">
            <v>6</v>
          </cell>
          <cell r="D90"/>
          <cell r="E90">
            <v>63.7</v>
          </cell>
          <cell r="F90">
            <v>5</v>
          </cell>
          <cell r="G90">
            <v>10</v>
          </cell>
          <cell r="H90">
            <v>20</v>
          </cell>
          <cell r="I90">
            <v>30</v>
          </cell>
          <cell r="J90">
            <v>60</v>
          </cell>
          <cell r="K90">
            <v>90</v>
          </cell>
        </row>
        <row r="91">
          <cell r="A91" t="str">
            <v>CFCHS219.1x16</v>
          </cell>
          <cell r="B91">
            <v>2</v>
          </cell>
          <cell r="C91">
            <v>10</v>
          </cell>
          <cell r="D91"/>
          <cell r="E91">
            <v>80.099999999999994</v>
          </cell>
          <cell r="F91">
            <v>5</v>
          </cell>
          <cell r="G91">
            <v>10</v>
          </cell>
          <cell r="H91">
            <v>20</v>
          </cell>
          <cell r="I91">
            <v>30</v>
          </cell>
          <cell r="J91">
            <v>60</v>
          </cell>
          <cell r="K91">
            <v>90</v>
          </cell>
        </row>
        <row r="92">
          <cell r="A92" t="str">
            <v>CFCHS244.5x5</v>
          </cell>
          <cell r="B92">
            <v>2</v>
          </cell>
          <cell r="C92">
            <v>2</v>
          </cell>
          <cell r="D92"/>
          <cell r="E92">
            <v>29.5</v>
          </cell>
          <cell r="F92">
            <v>5</v>
          </cell>
          <cell r="G92">
            <v>10</v>
          </cell>
          <cell r="H92">
            <v>20</v>
          </cell>
          <cell r="I92">
            <v>30</v>
          </cell>
          <cell r="J92">
            <v>60</v>
          </cell>
          <cell r="K92">
            <v>90</v>
          </cell>
        </row>
        <row r="93">
          <cell r="A93" t="str">
            <v>CFCHS244.5x6</v>
          </cell>
          <cell r="B93">
            <v>2</v>
          </cell>
          <cell r="C93">
            <v>2</v>
          </cell>
          <cell r="D93"/>
          <cell r="E93">
            <v>35.299999999999997</v>
          </cell>
          <cell r="F93">
            <v>5</v>
          </cell>
          <cell r="G93">
            <v>10</v>
          </cell>
          <cell r="H93">
            <v>20</v>
          </cell>
          <cell r="I93">
            <v>30</v>
          </cell>
          <cell r="J93">
            <v>60</v>
          </cell>
          <cell r="K93">
            <v>90</v>
          </cell>
        </row>
        <row r="94">
          <cell r="A94" t="str">
            <v>CFCHS244.5x6.3</v>
          </cell>
          <cell r="B94">
            <v>2</v>
          </cell>
          <cell r="C94">
            <v>2</v>
          </cell>
          <cell r="D94"/>
          <cell r="E94">
            <v>37</v>
          </cell>
          <cell r="F94">
            <v>5</v>
          </cell>
          <cell r="G94">
            <v>10</v>
          </cell>
          <cell r="H94">
            <v>20</v>
          </cell>
          <cell r="I94">
            <v>30</v>
          </cell>
          <cell r="J94">
            <v>60</v>
          </cell>
          <cell r="K94">
            <v>90</v>
          </cell>
        </row>
        <row r="95">
          <cell r="A95" t="str">
            <v>CFCHS244.5x8</v>
          </cell>
          <cell r="B95">
            <v>2</v>
          </cell>
          <cell r="C95">
            <v>3</v>
          </cell>
          <cell r="D95"/>
          <cell r="E95">
            <v>46.7</v>
          </cell>
          <cell r="F95">
            <v>5</v>
          </cell>
          <cell r="G95">
            <v>10</v>
          </cell>
          <cell r="H95">
            <v>20</v>
          </cell>
          <cell r="I95">
            <v>30</v>
          </cell>
          <cell r="J95">
            <v>60</v>
          </cell>
          <cell r="K95">
            <v>90</v>
          </cell>
        </row>
        <row r="96">
          <cell r="A96" t="str">
            <v>CFCHS244.5x10</v>
          </cell>
          <cell r="B96">
            <v>2</v>
          </cell>
          <cell r="C96">
            <v>6</v>
          </cell>
          <cell r="D96"/>
          <cell r="E96">
            <v>57.8</v>
          </cell>
          <cell r="F96">
            <v>5</v>
          </cell>
          <cell r="G96">
            <v>10</v>
          </cell>
          <cell r="H96">
            <v>20</v>
          </cell>
          <cell r="I96">
            <v>30</v>
          </cell>
          <cell r="J96">
            <v>60</v>
          </cell>
          <cell r="K96">
            <v>90</v>
          </cell>
        </row>
        <row r="97">
          <cell r="A97" t="str">
            <v>CFCHS244.5x12</v>
          </cell>
          <cell r="B97">
            <v>2</v>
          </cell>
          <cell r="C97">
            <v>6</v>
          </cell>
          <cell r="D97"/>
          <cell r="E97">
            <v>68.8</v>
          </cell>
          <cell r="F97">
            <v>5</v>
          </cell>
          <cell r="G97">
            <v>10</v>
          </cell>
          <cell r="H97">
            <v>20</v>
          </cell>
          <cell r="I97">
            <v>30</v>
          </cell>
          <cell r="J97">
            <v>60</v>
          </cell>
          <cell r="K97">
            <v>90</v>
          </cell>
        </row>
        <row r="98">
          <cell r="A98" t="str">
            <v>CFCHS244.5x12.5</v>
          </cell>
          <cell r="B98">
            <v>2</v>
          </cell>
          <cell r="C98">
            <v>6</v>
          </cell>
          <cell r="D98"/>
          <cell r="E98">
            <v>71.5</v>
          </cell>
          <cell r="F98">
            <v>5</v>
          </cell>
          <cell r="G98">
            <v>10</v>
          </cell>
          <cell r="H98">
            <v>20</v>
          </cell>
          <cell r="I98">
            <v>30</v>
          </cell>
          <cell r="J98">
            <v>60</v>
          </cell>
          <cell r="K98">
            <v>90</v>
          </cell>
        </row>
        <row r="99">
          <cell r="A99" t="str">
            <v>CFCHS244.5x16</v>
          </cell>
          <cell r="B99">
            <v>2</v>
          </cell>
          <cell r="C99">
            <v>10</v>
          </cell>
          <cell r="D99"/>
          <cell r="E99">
            <v>90.2</v>
          </cell>
          <cell r="F99">
            <v>5</v>
          </cell>
          <cell r="G99">
            <v>10</v>
          </cell>
          <cell r="H99">
            <v>20</v>
          </cell>
          <cell r="I99">
            <v>30</v>
          </cell>
          <cell r="J99">
            <v>60</v>
          </cell>
          <cell r="K99">
            <v>90</v>
          </cell>
        </row>
        <row r="100">
          <cell r="A100" t="str">
            <v>CFCHS273x4</v>
          </cell>
          <cell r="B100">
            <v>3</v>
          </cell>
          <cell r="C100">
            <v>1</v>
          </cell>
          <cell r="D100"/>
          <cell r="E100">
            <v>26.5</v>
          </cell>
          <cell r="F100">
            <v>10</v>
          </cell>
          <cell r="G100">
            <v>20</v>
          </cell>
          <cell r="H100">
            <v>30</v>
          </cell>
          <cell r="I100">
            <v>40</v>
          </cell>
          <cell r="J100">
            <v>90</v>
          </cell>
          <cell r="K100">
            <v>120</v>
          </cell>
        </row>
        <row r="101">
          <cell r="A101" t="str">
            <v>CFCHS273x4.5</v>
          </cell>
          <cell r="B101">
            <v>3</v>
          </cell>
          <cell r="C101">
            <v>1</v>
          </cell>
          <cell r="D101"/>
          <cell r="E101">
            <v>29.8</v>
          </cell>
          <cell r="F101">
            <v>10</v>
          </cell>
          <cell r="G101">
            <v>20</v>
          </cell>
          <cell r="H101">
            <v>30</v>
          </cell>
          <cell r="I101">
            <v>40</v>
          </cell>
          <cell r="J101">
            <v>90</v>
          </cell>
          <cell r="K101">
            <v>120</v>
          </cell>
        </row>
        <row r="102">
          <cell r="A102" t="str">
            <v>CFCHS273x5</v>
          </cell>
          <cell r="B102">
            <v>3</v>
          </cell>
          <cell r="C102">
            <v>2</v>
          </cell>
          <cell r="D102"/>
          <cell r="E102">
            <v>33</v>
          </cell>
          <cell r="F102">
            <v>10</v>
          </cell>
          <cell r="G102">
            <v>20</v>
          </cell>
          <cell r="H102">
            <v>30</v>
          </cell>
          <cell r="I102">
            <v>40</v>
          </cell>
          <cell r="J102">
            <v>90</v>
          </cell>
          <cell r="K102">
            <v>120</v>
          </cell>
        </row>
        <row r="103">
          <cell r="A103" t="str">
            <v>CFCHS273x6</v>
          </cell>
          <cell r="B103">
            <v>3</v>
          </cell>
          <cell r="C103">
            <v>2</v>
          </cell>
          <cell r="D103">
            <v>0.85799999999999998</v>
          </cell>
          <cell r="E103">
            <v>39.5</v>
          </cell>
          <cell r="F103">
            <v>10</v>
          </cell>
          <cell r="G103">
            <v>20</v>
          </cell>
          <cell r="H103">
            <v>30</v>
          </cell>
          <cell r="I103">
            <v>40</v>
          </cell>
          <cell r="J103">
            <v>90</v>
          </cell>
          <cell r="K103">
            <v>120</v>
          </cell>
        </row>
        <row r="104">
          <cell r="A104" t="str">
            <v>CFCHS273x6.3</v>
          </cell>
          <cell r="B104">
            <v>3</v>
          </cell>
          <cell r="C104">
            <v>2</v>
          </cell>
          <cell r="D104"/>
          <cell r="E104">
            <v>41.4</v>
          </cell>
          <cell r="F104">
            <v>10</v>
          </cell>
          <cell r="G104">
            <v>20</v>
          </cell>
          <cell r="H104">
            <v>30</v>
          </cell>
          <cell r="I104">
            <v>40</v>
          </cell>
          <cell r="J104">
            <v>90</v>
          </cell>
          <cell r="K104">
            <v>120</v>
          </cell>
        </row>
        <row r="105">
          <cell r="A105" t="str">
            <v>CFCHS273x8</v>
          </cell>
          <cell r="B105">
            <v>3</v>
          </cell>
          <cell r="C105">
            <v>3</v>
          </cell>
          <cell r="D105"/>
          <cell r="E105">
            <v>52.3</v>
          </cell>
          <cell r="F105">
            <v>10</v>
          </cell>
          <cell r="G105">
            <v>20</v>
          </cell>
          <cell r="H105">
            <v>30</v>
          </cell>
          <cell r="I105">
            <v>40</v>
          </cell>
          <cell r="J105">
            <v>90</v>
          </cell>
          <cell r="K105">
            <v>120</v>
          </cell>
        </row>
        <row r="106">
          <cell r="A106" t="str">
            <v>CFCHS273x10</v>
          </cell>
          <cell r="B106">
            <v>3</v>
          </cell>
          <cell r="C106">
            <v>6</v>
          </cell>
          <cell r="D106"/>
          <cell r="E106">
            <v>64.900000000000006</v>
          </cell>
          <cell r="F106">
            <v>10</v>
          </cell>
          <cell r="G106">
            <v>20</v>
          </cell>
          <cell r="H106">
            <v>30</v>
          </cell>
          <cell r="I106">
            <v>40</v>
          </cell>
          <cell r="J106">
            <v>90</v>
          </cell>
          <cell r="K106">
            <v>120</v>
          </cell>
        </row>
        <row r="107">
          <cell r="A107" t="str">
            <v>CFCHS273x12</v>
          </cell>
          <cell r="B107">
            <v>3</v>
          </cell>
          <cell r="C107">
            <v>6</v>
          </cell>
          <cell r="D107"/>
          <cell r="E107">
            <v>77.2</v>
          </cell>
          <cell r="F107">
            <v>10</v>
          </cell>
          <cell r="G107">
            <v>20</v>
          </cell>
          <cell r="H107">
            <v>30</v>
          </cell>
          <cell r="I107">
            <v>40</v>
          </cell>
          <cell r="J107">
            <v>90</v>
          </cell>
          <cell r="K107">
            <v>120</v>
          </cell>
        </row>
        <row r="108">
          <cell r="A108" t="str">
            <v>CFCHS273x12.5</v>
          </cell>
          <cell r="B108">
            <v>3</v>
          </cell>
          <cell r="C108">
            <v>6</v>
          </cell>
          <cell r="D108"/>
          <cell r="E108">
            <v>80.3</v>
          </cell>
          <cell r="F108">
            <v>10</v>
          </cell>
          <cell r="G108">
            <v>20</v>
          </cell>
          <cell r="H108">
            <v>30</v>
          </cell>
          <cell r="I108">
            <v>40</v>
          </cell>
          <cell r="J108">
            <v>90</v>
          </cell>
          <cell r="K108">
            <v>120</v>
          </cell>
        </row>
        <row r="109">
          <cell r="A109" t="str">
            <v>CFCHS273x16</v>
          </cell>
          <cell r="B109">
            <v>3</v>
          </cell>
          <cell r="C109">
            <v>10</v>
          </cell>
          <cell r="D109"/>
          <cell r="E109">
            <v>101</v>
          </cell>
          <cell r="F109">
            <v>10</v>
          </cell>
          <cell r="G109">
            <v>20</v>
          </cell>
          <cell r="H109">
            <v>30</v>
          </cell>
          <cell r="I109">
            <v>40</v>
          </cell>
          <cell r="J109">
            <v>90</v>
          </cell>
          <cell r="K109">
            <v>120</v>
          </cell>
        </row>
        <row r="110">
          <cell r="A110" t="str">
            <v>CFCHS323.9x5</v>
          </cell>
          <cell r="B110">
            <v>3</v>
          </cell>
          <cell r="C110">
            <v>2</v>
          </cell>
          <cell r="D110"/>
          <cell r="E110">
            <v>39.299999999999997</v>
          </cell>
          <cell r="F110">
            <v>10</v>
          </cell>
          <cell r="G110">
            <v>20</v>
          </cell>
          <cell r="H110">
            <v>30</v>
          </cell>
          <cell r="I110">
            <v>40</v>
          </cell>
          <cell r="J110">
            <v>90</v>
          </cell>
          <cell r="K110">
            <v>120</v>
          </cell>
        </row>
        <row r="111">
          <cell r="A111" t="str">
            <v>CFCHS323.9x6</v>
          </cell>
          <cell r="B111">
            <v>3</v>
          </cell>
          <cell r="C111">
            <v>2</v>
          </cell>
          <cell r="D111"/>
          <cell r="E111">
            <v>47</v>
          </cell>
          <cell r="F111">
            <v>10</v>
          </cell>
          <cell r="G111">
            <v>20</v>
          </cell>
          <cell r="H111">
            <v>30</v>
          </cell>
          <cell r="I111">
            <v>40</v>
          </cell>
          <cell r="J111">
            <v>90</v>
          </cell>
          <cell r="K111">
            <v>120</v>
          </cell>
        </row>
        <row r="112">
          <cell r="A112" t="str">
            <v>CFCHS323.9x6.3</v>
          </cell>
          <cell r="B112">
            <v>3</v>
          </cell>
          <cell r="C112">
            <v>2</v>
          </cell>
          <cell r="D112"/>
          <cell r="E112">
            <v>49.3</v>
          </cell>
          <cell r="F112">
            <v>10</v>
          </cell>
          <cell r="G112">
            <v>20</v>
          </cell>
          <cell r="H112">
            <v>30</v>
          </cell>
          <cell r="I112">
            <v>40</v>
          </cell>
          <cell r="J112">
            <v>90</v>
          </cell>
          <cell r="K112">
            <v>120</v>
          </cell>
        </row>
        <row r="113">
          <cell r="A113" t="str">
            <v>CFCHS323.9x8</v>
          </cell>
          <cell r="B113">
            <v>3</v>
          </cell>
          <cell r="C113">
            <v>3</v>
          </cell>
          <cell r="D113"/>
          <cell r="E113">
            <v>62.3</v>
          </cell>
          <cell r="F113">
            <v>10</v>
          </cell>
          <cell r="G113">
            <v>20</v>
          </cell>
          <cell r="H113">
            <v>30</v>
          </cell>
          <cell r="I113">
            <v>40</v>
          </cell>
          <cell r="J113">
            <v>90</v>
          </cell>
          <cell r="K113">
            <v>120</v>
          </cell>
        </row>
        <row r="114">
          <cell r="A114" t="str">
            <v>CFCHS323.9x10</v>
          </cell>
          <cell r="B114">
            <v>3</v>
          </cell>
          <cell r="C114">
            <v>6</v>
          </cell>
          <cell r="D114"/>
          <cell r="E114">
            <v>77.400000000000006</v>
          </cell>
          <cell r="F114">
            <v>10</v>
          </cell>
          <cell r="G114">
            <v>20</v>
          </cell>
          <cell r="H114">
            <v>30</v>
          </cell>
          <cell r="I114">
            <v>40</v>
          </cell>
          <cell r="J114">
            <v>90</v>
          </cell>
          <cell r="K114">
            <v>120</v>
          </cell>
        </row>
        <row r="115">
          <cell r="A115" t="str">
            <v>CFCHS323.9x12</v>
          </cell>
          <cell r="B115">
            <v>3</v>
          </cell>
          <cell r="C115">
            <v>6</v>
          </cell>
          <cell r="D115"/>
          <cell r="E115">
            <v>92.3</v>
          </cell>
          <cell r="F115">
            <v>10</v>
          </cell>
          <cell r="G115">
            <v>20</v>
          </cell>
          <cell r="H115">
            <v>30</v>
          </cell>
          <cell r="I115">
            <v>40</v>
          </cell>
          <cell r="J115">
            <v>90</v>
          </cell>
          <cell r="K115">
            <v>120</v>
          </cell>
        </row>
        <row r="116">
          <cell r="A116" t="str">
            <v>CFCHS323.9x12.5</v>
          </cell>
          <cell r="B116">
            <v>3</v>
          </cell>
          <cell r="C116">
            <v>6</v>
          </cell>
          <cell r="D116"/>
          <cell r="E116">
            <v>96</v>
          </cell>
          <cell r="F116">
            <v>10</v>
          </cell>
          <cell r="G116">
            <v>20</v>
          </cell>
          <cell r="H116">
            <v>30</v>
          </cell>
          <cell r="I116">
            <v>40</v>
          </cell>
          <cell r="J116">
            <v>90</v>
          </cell>
          <cell r="K116">
            <v>120</v>
          </cell>
        </row>
        <row r="117">
          <cell r="A117" t="str">
            <v>CFCHS323.9x16</v>
          </cell>
          <cell r="B117">
            <v>3</v>
          </cell>
          <cell r="C117">
            <v>10</v>
          </cell>
          <cell r="D117"/>
          <cell r="E117">
            <v>121</v>
          </cell>
          <cell r="F117">
            <v>10</v>
          </cell>
          <cell r="G117">
            <v>20</v>
          </cell>
          <cell r="H117">
            <v>30</v>
          </cell>
          <cell r="I117">
            <v>40</v>
          </cell>
          <cell r="J117">
            <v>90</v>
          </cell>
          <cell r="K117">
            <v>120</v>
          </cell>
        </row>
        <row r="118">
          <cell r="A118" t="str">
            <v>CFCHS355.6x5</v>
          </cell>
          <cell r="B118">
            <v>3</v>
          </cell>
          <cell r="C118">
            <v>2</v>
          </cell>
          <cell r="D118"/>
          <cell r="E118">
            <v>43.2</v>
          </cell>
          <cell r="F118">
            <v>10</v>
          </cell>
          <cell r="G118">
            <v>20</v>
          </cell>
          <cell r="H118">
            <v>30</v>
          </cell>
          <cell r="I118">
            <v>40</v>
          </cell>
          <cell r="J118">
            <v>90</v>
          </cell>
          <cell r="K118">
            <v>120</v>
          </cell>
        </row>
        <row r="119">
          <cell r="A119" t="str">
            <v>CFCHS355.6x6</v>
          </cell>
          <cell r="B119">
            <v>3</v>
          </cell>
          <cell r="C119">
            <v>2</v>
          </cell>
          <cell r="D119"/>
          <cell r="E119">
            <v>51.7</v>
          </cell>
          <cell r="F119">
            <v>10</v>
          </cell>
          <cell r="G119">
            <v>20</v>
          </cell>
          <cell r="H119">
            <v>30</v>
          </cell>
          <cell r="I119">
            <v>40</v>
          </cell>
          <cell r="J119">
            <v>90</v>
          </cell>
          <cell r="K119">
            <v>120</v>
          </cell>
        </row>
        <row r="120">
          <cell r="A120" t="str">
            <v>CFCHS355.6x6.3</v>
          </cell>
          <cell r="B120">
            <v>3</v>
          </cell>
          <cell r="C120">
            <v>2</v>
          </cell>
          <cell r="D120"/>
          <cell r="E120">
            <v>54.3</v>
          </cell>
          <cell r="F120">
            <v>10</v>
          </cell>
          <cell r="G120">
            <v>20</v>
          </cell>
          <cell r="H120">
            <v>30</v>
          </cell>
          <cell r="I120">
            <v>40</v>
          </cell>
          <cell r="J120">
            <v>90</v>
          </cell>
          <cell r="K120">
            <v>120</v>
          </cell>
        </row>
        <row r="121">
          <cell r="A121" t="str">
            <v>CFCHS355.6x8</v>
          </cell>
          <cell r="B121">
            <v>3</v>
          </cell>
          <cell r="C121">
            <v>3</v>
          </cell>
          <cell r="D121"/>
          <cell r="E121">
            <v>68.599999999999994</v>
          </cell>
          <cell r="F121">
            <v>10</v>
          </cell>
          <cell r="G121">
            <v>20</v>
          </cell>
          <cell r="H121">
            <v>30</v>
          </cell>
          <cell r="I121">
            <v>40</v>
          </cell>
          <cell r="J121">
            <v>90</v>
          </cell>
          <cell r="K121">
            <v>120</v>
          </cell>
        </row>
        <row r="122">
          <cell r="A122" t="str">
            <v>CFCHS355.6x10</v>
          </cell>
          <cell r="B122">
            <v>3</v>
          </cell>
          <cell r="C122">
            <v>6</v>
          </cell>
          <cell r="D122"/>
          <cell r="E122">
            <v>85.2</v>
          </cell>
          <cell r="F122">
            <v>10</v>
          </cell>
          <cell r="G122">
            <v>20</v>
          </cell>
          <cell r="H122">
            <v>30</v>
          </cell>
          <cell r="I122">
            <v>40</v>
          </cell>
          <cell r="J122">
            <v>90</v>
          </cell>
          <cell r="K122">
            <v>120</v>
          </cell>
        </row>
        <row r="123">
          <cell r="A123" t="str">
            <v>CFCHS355.6x12</v>
          </cell>
          <cell r="B123">
            <v>3</v>
          </cell>
          <cell r="C123">
            <v>6</v>
          </cell>
          <cell r="D123"/>
          <cell r="E123">
            <v>102</v>
          </cell>
          <cell r="F123">
            <v>10</v>
          </cell>
          <cell r="G123">
            <v>20</v>
          </cell>
          <cell r="H123">
            <v>30</v>
          </cell>
          <cell r="I123">
            <v>40</v>
          </cell>
          <cell r="J123">
            <v>90</v>
          </cell>
          <cell r="K123">
            <v>120</v>
          </cell>
        </row>
        <row r="124">
          <cell r="A124" t="str">
            <v>CFCHS355.6x12.5</v>
          </cell>
          <cell r="B124">
            <v>3</v>
          </cell>
          <cell r="C124">
            <v>6</v>
          </cell>
          <cell r="D124"/>
          <cell r="E124">
            <v>106</v>
          </cell>
          <cell r="F124">
            <v>10</v>
          </cell>
          <cell r="G124">
            <v>20</v>
          </cell>
          <cell r="H124">
            <v>30</v>
          </cell>
          <cell r="I124">
            <v>40</v>
          </cell>
          <cell r="J124">
            <v>90</v>
          </cell>
          <cell r="K124">
            <v>120</v>
          </cell>
        </row>
        <row r="125">
          <cell r="A125" t="str">
            <v>CFCHS355.6x16</v>
          </cell>
          <cell r="B125">
            <v>3</v>
          </cell>
          <cell r="C125">
            <v>10</v>
          </cell>
          <cell r="D125"/>
          <cell r="E125">
            <v>134</v>
          </cell>
          <cell r="F125">
            <v>10</v>
          </cell>
          <cell r="G125">
            <v>20</v>
          </cell>
          <cell r="H125">
            <v>30</v>
          </cell>
          <cell r="I125">
            <v>40</v>
          </cell>
          <cell r="J125">
            <v>90</v>
          </cell>
          <cell r="K125">
            <v>120</v>
          </cell>
        </row>
        <row r="126">
          <cell r="A126" t="str">
            <v>CFCHS406.4x6</v>
          </cell>
          <cell r="B126">
            <v>3</v>
          </cell>
          <cell r="C126">
            <v>2</v>
          </cell>
          <cell r="D126"/>
          <cell r="E126">
            <v>59.2</v>
          </cell>
          <cell r="F126">
            <v>10</v>
          </cell>
          <cell r="G126">
            <v>20</v>
          </cell>
          <cell r="H126">
            <v>30</v>
          </cell>
          <cell r="I126">
            <v>40</v>
          </cell>
          <cell r="J126">
            <v>90</v>
          </cell>
          <cell r="K126">
            <v>120</v>
          </cell>
        </row>
        <row r="127">
          <cell r="A127" t="str">
            <v>CFCHS406.4x6.3</v>
          </cell>
          <cell r="B127">
            <v>3</v>
          </cell>
          <cell r="C127">
            <v>2</v>
          </cell>
          <cell r="D127">
            <v>1.2769999999999999</v>
          </cell>
          <cell r="E127">
            <v>62.2</v>
          </cell>
          <cell r="F127">
            <v>10</v>
          </cell>
          <cell r="G127">
            <v>20</v>
          </cell>
          <cell r="H127">
            <v>30</v>
          </cell>
          <cell r="I127">
            <v>40</v>
          </cell>
          <cell r="J127">
            <v>90</v>
          </cell>
          <cell r="K127">
            <v>120</v>
          </cell>
        </row>
        <row r="128">
          <cell r="A128" t="str">
            <v>CFCHS406.4x8</v>
          </cell>
          <cell r="B128">
            <v>3</v>
          </cell>
          <cell r="C128">
            <v>3</v>
          </cell>
          <cell r="D128"/>
          <cell r="E128">
            <v>78.599999999999994</v>
          </cell>
          <cell r="F128">
            <v>10</v>
          </cell>
          <cell r="G128">
            <v>20</v>
          </cell>
          <cell r="H128">
            <v>30</v>
          </cell>
          <cell r="I128">
            <v>40</v>
          </cell>
          <cell r="J128">
            <v>90</v>
          </cell>
          <cell r="K128">
            <v>120</v>
          </cell>
        </row>
        <row r="129">
          <cell r="A129" t="str">
            <v>CFCHS406.4x10</v>
          </cell>
          <cell r="B129">
            <v>3</v>
          </cell>
          <cell r="C129">
            <v>6</v>
          </cell>
          <cell r="D129"/>
          <cell r="E129">
            <v>97.8</v>
          </cell>
          <cell r="F129">
            <v>10</v>
          </cell>
          <cell r="G129">
            <v>20</v>
          </cell>
          <cell r="H129">
            <v>30</v>
          </cell>
          <cell r="I129">
            <v>40</v>
          </cell>
          <cell r="J129">
            <v>90</v>
          </cell>
          <cell r="K129">
            <v>120</v>
          </cell>
        </row>
        <row r="130">
          <cell r="A130" t="str">
            <v>CFCHS406.4x12</v>
          </cell>
          <cell r="B130">
            <v>3</v>
          </cell>
          <cell r="C130">
            <v>6</v>
          </cell>
          <cell r="D130"/>
          <cell r="E130">
            <v>117</v>
          </cell>
          <cell r="F130">
            <v>10</v>
          </cell>
          <cell r="G130">
            <v>20</v>
          </cell>
          <cell r="H130">
            <v>30</v>
          </cell>
          <cell r="I130">
            <v>40</v>
          </cell>
          <cell r="J130">
            <v>90</v>
          </cell>
          <cell r="K130">
            <v>120</v>
          </cell>
        </row>
        <row r="131">
          <cell r="A131" t="str">
            <v>CFCHS406.4x12.5</v>
          </cell>
          <cell r="B131">
            <v>3</v>
          </cell>
          <cell r="C131">
            <v>6</v>
          </cell>
          <cell r="D131"/>
          <cell r="E131">
            <v>121</v>
          </cell>
          <cell r="F131">
            <v>10</v>
          </cell>
          <cell r="G131">
            <v>20</v>
          </cell>
          <cell r="H131">
            <v>30</v>
          </cell>
          <cell r="I131">
            <v>40</v>
          </cell>
          <cell r="J131">
            <v>90</v>
          </cell>
          <cell r="K131">
            <v>120</v>
          </cell>
        </row>
        <row r="132">
          <cell r="A132" t="str">
            <v>CFCHS406.4x16</v>
          </cell>
          <cell r="B132">
            <v>3</v>
          </cell>
          <cell r="C132">
            <v>10</v>
          </cell>
          <cell r="D132"/>
          <cell r="E132">
            <v>154</v>
          </cell>
          <cell r="F132">
            <v>10</v>
          </cell>
          <cell r="G132">
            <v>20</v>
          </cell>
          <cell r="H132">
            <v>30</v>
          </cell>
          <cell r="I132">
            <v>40</v>
          </cell>
          <cell r="J132">
            <v>90</v>
          </cell>
          <cell r="K132">
            <v>120</v>
          </cell>
        </row>
        <row r="133">
          <cell r="A133" t="str">
            <v>CFCHS457x6</v>
          </cell>
          <cell r="B133">
            <v>3</v>
          </cell>
          <cell r="C133">
            <v>2</v>
          </cell>
          <cell r="D133"/>
          <cell r="E133">
            <v>66.7</v>
          </cell>
          <cell r="F133">
            <v>10</v>
          </cell>
          <cell r="G133">
            <v>20</v>
          </cell>
          <cell r="H133">
            <v>30</v>
          </cell>
          <cell r="I133">
            <v>40</v>
          </cell>
          <cell r="J133">
            <v>90</v>
          </cell>
          <cell r="K133">
            <v>120</v>
          </cell>
        </row>
        <row r="134">
          <cell r="A134" t="str">
            <v>CFCHS457x6.3</v>
          </cell>
          <cell r="B134">
            <v>3</v>
          </cell>
          <cell r="C134">
            <v>2</v>
          </cell>
          <cell r="D134"/>
          <cell r="E134">
            <v>70</v>
          </cell>
          <cell r="F134">
            <v>10</v>
          </cell>
          <cell r="G134">
            <v>20</v>
          </cell>
          <cell r="H134">
            <v>30</v>
          </cell>
          <cell r="I134">
            <v>40</v>
          </cell>
          <cell r="J134">
            <v>90</v>
          </cell>
          <cell r="K134">
            <v>120</v>
          </cell>
        </row>
        <row r="135">
          <cell r="A135" t="str">
            <v>CFCHS457x8</v>
          </cell>
          <cell r="B135">
            <v>3</v>
          </cell>
          <cell r="C135">
            <v>3</v>
          </cell>
          <cell r="D135"/>
          <cell r="E135">
            <v>88.6</v>
          </cell>
          <cell r="F135">
            <v>10</v>
          </cell>
          <cell r="G135">
            <v>20</v>
          </cell>
          <cell r="H135">
            <v>30</v>
          </cell>
          <cell r="I135">
            <v>40</v>
          </cell>
          <cell r="J135">
            <v>90</v>
          </cell>
          <cell r="K135">
            <v>120</v>
          </cell>
        </row>
        <row r="136">
          <cell r="A136" t="str">
            <v>CFCHS457x10</v>
          </cell>
          <cell r="B136">
            <v>3</v>
          </cell>
          <cell r="C136">
            <v>6</v>
          </cell>
          <cell r="D136"/>
          <cell r="E136">
            <v>110</v>
          </cell>
          <cell r="F136">
            <v>10</v>
          </cell>
          <cell r="G136">
            <v>20</v>
          </cell>
          <cell r="H136">
            <v>30</v>
          </cell>
          <cell r="I136">
            <v>40</v>
          </cell>
          <cell r="J136">
            <v>90</v>
          </cell>
          <cell r="K136">
            <v>120</v>
          </cell>
        </row>
        <row r="137">
          <cell r="A137" t="str">
            <v>CFCHS457x12</v>
          </cell>
          <cell r="B137">
            <v>3</v>
          </cell>
          <cell r="C137">
            <v>6</v>
          </cell>
          <cell r="D137"/>
          <cell r="E137">
            <v>132</v>
          </cell>
          <cell r="F137">
            <v>10</v>
          </cell>
          <cell r="G137">
            <v>20</v>
          </cell>
          <cell r="H137">
            <v>30</v>
          </cell>
          <cell r="I137">
            <v>40</v>
          </cell>
          <cell r="J137">
            <v>90</v>
          </cell>
          <cell r="K137">
            <v>120</v>
          </cell>
        </row>
        <row r="138">
          <cell r="A138" t="str">
            <v>CFCHS457x12.5</v>
          </cell>
          <cell r="B138">
            <v>3</v>
          </cell>
          <cell r="C138">
            <v>6</v>
          </cell>
          <cell r="D138"/>
          <cell r="E138">
            <v>137</v>
          </cell>
          <cell r="F138">
            <v>10</v>
          </cell>
          <cell r="G138">
            <v>20</v>
          </cell>
          <cell r="H138">
            <v>30</v>
          </cell>
          <cell r="I138">
            <v>40</v>
          </cell>
          <cell r="J138">
            <v>90</v>
          </cell>
          <cell r="K138">
            <v>120</v>
          </cell>
        </row>
        <row r="139">
          <cell r="A139" t="str">
            <v>CFCHS457x25</v>
          </cell>
          <cell r="B139">
            <v>3</v>
          </cell>
          <cell r="C139">
            <v>15</v>
          </cell>
          <cell r="D139">
            <v>1.4359999999999999</v>
          </cell>
          <cell r="E139">
            <v>266.3</v>
          </cell>
          <cell r="F139">
            <v>10</v>
          </cell>
          <cell r="G139">
            <v>20</v>
          </cell>
          <cell r="H139">
            <v>30</v>
          </cell>
          <cell r="I139">
            <v>40</v>
          </cell>
          <cell r="J139">
            <v>90</v>
          </cell>
          <cell r="K139">
            <v>120</v>
          </cell>
        </row>
        <row r="140">
          <cell r="A140" t="str">
            <v>CFCHS457x16</v>
          </cell>
          <cell r="B140">
            <v>3</v>
          </cell>
          <cell r="C140">
            <v>10</v>
          </cell>
          <cell r="D140"/>
          <cell r="E140">
            <v>174</v>
          </cell>
          <cell r="F140">
            <v>10</v>
          </cell>
          <cell r="G140">
            <v>20</v>
          </cell>
          <cell r="H140">
            <v>30</v>
          </cell>
          <cell r="I140">
            <v>40</v>
          </cell>
          <cell r="J140">
            <v>90</v>
          </cell>
          <cell r="K140">
            <v>120</v>
          </cell>
        </row>
        <row r="141">
          <cell r="A141" t="str">
            <v>CFCHS508x6</v>
          </cell>
          <cell r="B141">
            <v>3</v>
          </cell>
          <cell r="C141">
            <v>2</v>
          </cell>
          <cell r="D141"/>
          <cell r="E141">
            <v>74.3</v>
          </cell>
          <cell r="F141">
            <v>10</v>
          </cell>
          <cell r="G141">
            <v>20</v>
          </cell>
          <cell r="H141">
            <v>30</v>
          </cell>
          <cell r="I141">
            <v>40</v>
          </cell>
          <cell r="J141">
            <v>90</v>
          </cell>
          <cell r="K141">
            <v>120</v>
          </cell>
        </row>
        <row r="142">
          <cell r="A142" t="str">
            <v>CFCHS508x6.3</v>
          </cell>
          <cell r="B142">
            <v>3</v>
          </cell>
          <cell r="C142">
            <v>2</v>
          </cell>
          <cell r="D142"/>
          <cell r="E142">
            <v>77.900000000000006</v>
          </cell>
          <cell r="F142">
            <v>10</v>
          </cell>
          <cell r="G142">
            <v>20</v>
          </cell>
          <cell r="H142">
            <v>30</v>
          </cell>
          <cell r="I142">
            <v>40</v>
          </cell>
          <cell r="J142">
            <v>90</v>
          </cell>
          <cell r="K142">
            <v>120</v>
          </cell>
        </row>
        <row r="143">
          <cell r="A143" t="str">
            <v>CFCHS508x8</v>
          </cell>
          <cell r="B143">
            <v>3</v>
          </cell>
          <cell r="C143">
            <v>3</v>
          </cell>
          <cell r="D143"/>
          <cell r="E143">
            <v>98.6</v>
          </cell>
          <cell r="F143">
            <v>10</v>
          </cell>
          <cell r="G143">
            <v>20</v>
          </cell>
          <cell r="H143">
            <v>30</v>
          </cell>
          <cell r="I143">
            <v>40</v>
          </cell>
          <cell r="J143">
            <v>90</v>
          </cell>
          <cell r="K143">
            <v>120</v>
          </cell>
        </row>
        <row r="144">
          <cell r="A144" t="str">
            <v>CFCHS508x10</v>
          </cell>
          <cell r="B144">
            <v>3</v>
          </cell>
          <cell r="C144">
            <v>6</v>
          </cell>
          <cell r="D144"/>
          <cell r="E144">
            <v>123</v>
          </cell>
          <cell r="F144">
            <v>10</v>
          </cell>
          <cell r="G144">
            <v>20</v>
          </cell>
          <cell r="H144">
            <v>30</v>
          </cell>
          <cell r="I144">
            <v>40</v>
          </cell>
          <cell r="J144">
            <v>90</v>
          </cell>
          <cell r="K144">
            <v>120</v>
          </cell>
        </row>
        <row r="145">
          <cell r="A145" t="str">
            <v>CFCHS508x12</v>
          </cell>
          <cell r="B145">
            <v>3</v>
          </cell>
          <cell r="C145">
            <v>6</v>
          </cell>
          <cell r="D145"/>
          <cell r="E145">
            <v>147</v>
          </cell>
          <cell r="F145">
            <v>10</v>
          </cell>
          <cell r="G145">
            <v>20</v>
          </cell>
          <cell r="H145">
            <v>30</v>
          </cell>
          <cell r="I145">
            <v>40</v>
          </cell>
          <cell r="J145">
            <v>90</v>
          </cell>
          <cell r="K145">
            <v>120</v>
          </cell>
        </row>
        <row r="146">
          <cell r="A146" t="str">
            <v>CFCHS508x12.5</v>
          </cell>
          <cell r="B146">
            <v>3</v>
          </cell>
          <cell r="C146">
            <v>6</v>
          </cell>
          <cell r="D146"/>
          <cell r="E146">
            <v>153</v>
          </cell>
          <cell r="F146">
            <v>10</v>
          </cell>
          <cell r="G146">
            <v>20</v>
          </cell>
          <cell r="H146">
            <v>30</v>
          </cell>
          <cell r="I146">
            <v>40</v>
          </cell>
          <cell r="J146">
            <v>90</v>
          </cell>
          <cell r="K146">
            <v>120</v>
          </cell>
        </row>
        <row r="147">
          <cell r="A147" t="str">
            <v>CFCHS508x16</v>
          </cell>
          <cell r="B147">
            <v>3</v>
          </cell>
          <cell r="C147">
            <v>10</v>
          </cell>
          <cell r="D147"/>
          <cell r="E147">
            <v>194</v>
          </cell>
          <cell r="F147">
            <v>10</v>
          </cell>
          <cell r="G147">
            <v>20</v>
          </cell>
          <cell r="H147">
            <v>30</v>
          </cell>
          <cell r="I147">
            <v>40</v>
          </cell>
          <cell r="J147">
            <v>90</v>
          </cell>
          <cell r="K147">
            <v>120</v>
          </cell>
        </row>
        <row r="148">
          <cell r="A148" t="str">
            <v>CFCHS559x8</v>
          </cell>
          <cell r="B148">
            <v>3</v>
          </cell>
          <cell r="C148">
            <v>3</v>
          </cell>
          <cell r="D148">
            <v>1.756</v>
          </cell>
          <cell r="E148">
            <v>109</v>
          </cell>
          <cell r="F148">
            <v>10</v>
          </cell>
          <cell r="G148">
            <v>20</v>
          </cell>
          <cell r="H148">
            <v>30</v>
          </cell>
          <cell r="I148">
            <v>40</v>
          </cell>
          <cell r="J148">
            <v>90</v>
          </cell>
          <cell r="K148">
            <v>120</v>
          </cell>
        </row>
        <row r="149">
          <cell r="A149" t="str">
            <v>CFCHS610x12.5</v>
          </cell>
          <cell r="B149">
            <v>3</v>
          </cell>
          <cell r="C149">
            <v>6</v>
          </cell>
          <cell r="D149"/>
          <cell r="E149">
            <v>184</v>
          </cell>
          <cell r="F149">
            <v>10</v>
          </cell>
          <cell r="G149">
            <v>20</v>
          </cell>
          <cell r="H149">
            <v>30</v>
          </cell>
          <cell r="I149">
            <v>40</v>
          </cell>
          <cell r="J149">
            <v>90</v>
          </cell>
          <cell r="K149">
            <v>120</v>
          </cell>
        </row>
        <row r="150">
          <cell r="A150" t="str">
            <v>CFCHS610x16</v>
          </cell>
          <cell r="B150">
            <v>3</v>
          </cell>
          <cell r="C150">
            <v>10</v>
          </cell>
          <cell r="D150"/>
          <cell r="E150">
            <v>194</v>
          </cell>
          <cell r="F150">
            <v>10</v>
          </cell>
          <cell r="G150">
            <v>20</v>
          </cell>
          <cell r="H150">
            <v>30</v>
          </cell>
          <cell r="I150">
            <v>40</v>
          </cell>
          <cell r="J150">
            <v>90</v>
          </cell>
          <cell r="K150">
            <v>120</v>
          </cell>
        </row>
        <row r="151">
          <cell r="A151" t="str">
            <v>CFRHS50x30x2.5</v>
          </cell>
          <cell r="B151">
            <v>1</v>
          </cell>
          <cell r="C151">
            <v>1</v>
          </cell>
          <cell r="D151">
            <v>0.154</v>
          </cell>
          <cell r="E151">
            <v>2.8</v>
          </cell>
          <cell r="F151">
            <v>2</v>
          </cell>
          <cell r="G151">
            <v>5</v>
          </cell>
          <cell r="H151">
            <v>10</v>
          </cell>
          <cell r="I151">
            <v>20</v>
          </cell>
          <cell r="J151">
            <v>30</v>
          </cell>
          <cell r="K151">
            <v>60</v>
          </cell>
        </row>
        <row r="152">
          <cell r="A152" t="str">
            <v>CFRHS50x30x3</v>
          </cell>
          <cell r="B152">
            <v>1</v>
          </cell>
          <cell r="C152">
            <v>1</v>
          </cell>
          <cell r="D152">
            <v>0.154</v>
          </cell>
          <cell r="E152">
            <v>3.3</v>
          </cell>
          <cell r="F152">
            <v>2</v>
          </cell>
          <cell r="G152">
            <v>5</v>
          </cell>
          <cell r="H152">
            <v>10</v>
          </cell>
          <cell r="I152">
            <v>20</v>
          </cell>
          <cell r="J152">
            <v>30</v>
          </cell>
          <cell r="K152">
            <v>60</v>
          </cell>
        </row>
        <row r="153">
          <cell r="A153" t="str">
            <v>CFRHS50x30x4</v>
          </cell>
          <cell r="B153">
            <v>1</v>
          </cell>
          <cell r="C153">
            <v>1</v>
          </cell>
          <cell r="D153">
            <v>0.154</v>
          </cell>
          <cell r="E153">
            <v>4.2</v>
          </cell>
          <cell r="F153">
            <v>2</v>
          </cell>
          <cell r="G153">
            <v>5</v>
          </cell>
          <cell r="H153">
            <v>10</v>
          </cell>
          <cell r="I153">
            <v>20</v>
          </cell>
          <cell r="J153">
            <v>30</v>
          </cell>
          <cell r="K153">
            <v>60</v>
          </cell>
        </row>
        <row r="154">
          <cell r="A154" t="str">
            <v>CFRHS60x40x2.5</v>
          </cell>
          <cell r="B154">
            <v>1</v>
          </cell>
          <cell r="C154">
            <v>1</v>
          </cell>
          <cell r="D154">
            <v>0.19</v>
          </cell>
          <cell r="E154">
            <v>3.6</v>
          </cell>
          <cell r="F154">
            <v>2</v>
          </cell>
          <cell r="G154">
            <v>5</v>
          </cell>
          <cell r="H154">
            <v>10</v>
          </cell>
          <cell r="I154">
            <v>20</v>
          </cell>
          <cell r="J154">
            <v>30</v>
          </cell>
          <cell r="K154">
            <v>60</v>
          </cell>
        </row>
        <row r="155">
          <cell r="A155" t="str">
            <v>CFRHS60x40x3</v>
          </cell>
          <cell r="B155">
            <v>1</v>
          </cell>
          <cell r="C155">
            <v>1</v>
          </cell>
          <cell r="D155">
            <v>0.19</v>
          </cell>
          <cell r="E155">
            <v>4.3</v>
          </cell>
          <cell r="F155">
            <v>2</v>
          </cell>
          <cell r="G155">
            <v>5</v>
          </cell>
          <cell r="H155">
            <v>10</v>
          </cell>
          <cell r="I155">
            <v>20</v>
          </cell>
          <cell r="J155">
            <v>30</v>
          </cell>
          <cell r="K155">
            <v>60</v>
          </cell>
        </row>
        <row r="156">
          <cell r="A156" t="str">
            <v>CFRHS60x40x4</v>
          </cell>
          <cell r="B156">
            <v>1</v>
          </cell>
          <cell r="C156">
            <v>1</v>
          </cell>
          <cell r="D156">
            <v>0.19</v>
          </cell>
          <cell r="E156">
            <v>5.5</v>
          </cell>
          <cell r="F156">
            <v>2</v>
          </cell>
          <cell r="G156">
            <v>5</v>
          </cell>
          <cell r="H156">
            <v>10</v>
          </cell>
          <cell r="I156">
            <v>20</v>
          </cell>
          <cell r="J156">
            <v>30</v>
          </cell>
          <cell r="K156">
            <v>60</v>
          </cell>
        </row>
        <row r="157">
          <cell r="A157" t="str">
            <v>CFRHS60x40x5</v>
          </cell>
          <cell r="B157">
            <v>1</v>
          </cell>
          <cell r="C157">
            <v>1</v>
          </cell>
          <cell r="D157">
            <v>0.19</v>
          </cell>
          <cell r="E157">
            <v>6.6</v>
          </cell>
          <cell r="F157">
            <v>2</v>
          </cell>
          <cell r="G157">
            <v>5</v>
          </cell>
          <cell r="H157">
            <v>10</v>
          </cell>
          <cell r="I157">
            <v>20</v>
          </cell>
          <cell r="J157">
            <v>30</v>
          </cell>
          <cell r="K157">
            <v>60</v>
          </cell>
        </row>
        <row r="158">
          <cell r="A158" t="str">
            <v>CFRHS70x40x3</v>
          </cell>
          <cell r="B158">
            <v>1</v>
          </cell>
          <cell r="C158">
            <v>1</v>
          </cell>
          <cell r="D158">
            <v>0.22</v>
          </cell>
          <cell r="E158">
            <v>4.7</v>
          </cell>
          <cell r="F158">
            <v>2</v>
          </cell>
          <cell r="G158">
            <v>5</v>
          </cell>
          <cell r="H158">
            <v>10</v>
          </cell>
          <cell r="I158">
            <v>20</v>
          </cell>
          <cell r="J158">
            <v>30</v>
          </cell>
          <cell r="K158">
            <v>60</v>
          </cell>
        </row>
        <row r="159">
          <cell r="A159" t="str">
            <v>CFRHS70x40x4</v>
          </cell>
          <cell r="B159">
            <v>1</v>
          </cell>
          <cell r="C159">
            <v>1</v>
          </cell>
          <cell r="D159">
            <v>0.22</v>
          </cell>
          <cell r="E159">
            <v>6.1</v>
          </cell>
          <cell r="F159">
            <v>2</v>
          </cell>
          <cell r="G159">
            <v>5</v>
          </cell>
          <cell r="H159">
            <v>10</v>
          </cell>
          <cell r="I159">
            <v>20</v>
          </cell>
          <cell r="J159">
            <v>30</v>
          </cell>
          <cell r="K159">
            <v>60</v>
          </cell>
        </row>
        <row r="160">
          <cell r="A160" t="str">
            <v>CFRHS70x40x5</v>
          </cell>
          <cell r="B160">
            <v>1</v>
          </cell>
          <cell r="C160">
            <v>1</v>
          </cell>
          <cell r="D160">
            <v>0.22</v>
          </cell>
          <cell r="E160">
            <v>7.3</v>
          </cell>
          <cell r="F160">
            <v>2</v>
          </cell>
          <cell r="G160">
            <v>5</v>
          </cell>
          <cell r="H160">
            <v>10</v>
          </cell>
          <cell r="I160">
            <v>20</v>
          </cell>
          <cell r="J160">
            <v>30</v>
          </cell>
          <cell r="K160">
            <v>60</v>
          </cell>
        </row>
        <row r="161">
          <cell r="A161" t="str">
            <v>CFRHS70x50x3</v>
          </cell>
          <cell r="B161">
            <v>1</v>
          </cell>
          <cell r="C161">
            <v>1</v>
          </cell>
          <cell r="D161">
            <v>0.22</v>
          </cell>
          <cell r="E161">
            <v>5.2</v>
          </cell>
          <cell r="F161">
            <v>2</v>
          </cell>
          <cell r="G161">
            <v>5</v>
          </cell>
          <cell r="H161">
            <v>10</v>
          </cell>
          <cell r="I161">
            <v>20</v>
          </cell>
          <cell r="J161">
            <v>30</v>
          </cell>
          <cell r="K161">
            <v>60</v>
          </cell>
        </row>
        <row r="162">
          <cell r="A162" t="str">
            <v>CFRHS70x50x4</v>
          </cell>
          <cell r="B162">
            <v>1</v>
          </cell>
          <cell r="C162">
            <v>1</v>
          </cell>
          <cell r="D162">
            <v>0.22</v>
          </cell>
          <cell r="E162">
            <v>6.7</v>
          </cell>
          <cell r="F162">
            <v>2</v>
          </cell>
          <cell r="G162">
            <v>5</v>
          </cell>
          <cell r="H162">
            <v>10</v>
          </cell>
          <cell r="I162">
            <v>20</v>
          </cell>
          <cell r="J162">
            <v>30</v>
          </cell>
          <cell r="K162">
            <v>60</v>
          </cell>
        </row>
        <row r="163">
          <cell r="A163" t="str">
            <v>CFRHS70x50x5</v>
          </cell>
          <cell r="B163">
            <v>1</v>
          </cell>
          <cell r="C163">
            <v>1</v>
          </cell>
          <cell r="D163">
            <v>0.22</v>
          </cell>
          <cell r="E163">
            <v>8.1</v>
          </cell>
          <cell r="F163">
            <v>2</v>
          </cell>
          <cell r="G163">
            <v>5</v>
          </cell>
          <cell r="H163">
            <v>10</v>
          </cell>
          <cell r="I163">
            <v>20</v>
          </cell>
          <cell r="J163">
            <v>30</v>
          </cell>
          <cell r="K163">
            <v>60</v>
          </cell>
        </row>
        <row r="164">
          <cell r="A164" t="str">
            <v>CFRHS80x40x3</v>
          </cell>
          <cell r="B164">
            <v>1</v>
          </cell>
          <cell r="C164">
            <v>1</v>
          </cell>
          <cell r="D164">
            <v>0.23</v>
          </cell>
          <cell r="E164">
            <v>5.2</v>
          </cell>
          <cell r="F164">
            <v>2</v>
          </cell>
          <cell r="G164">
            <v>5</v>
          </cell>
          <cell r="H164">
            <v>10</v>
          </cell>
          <cell r="I164">
            <v>20</v>
          </cell>
          <cell r="J164">
            <v>30</v>
          </cell>
          <cell r="K164">
            <v>60</v>
          </cell>
        </row>
        <row r="165">
          <cell r="A165" t="str">
            <v>CFRHS80x40x4</v>
          </cell>
          <cell r="B165">
            <v>1</v>
          </cell>
          <cell r="C165">
            <v>1</v>
          </cell>
          <cell r="D165">
            <v>0.23</v>
          </cell>
          <cell r="E165">
            <v>6.7</v>
          </cell>
          <cell r="F165">
            <v>2</v>
          </cell>
          <cell r="G165">
            <v>5</v>
          </cell>
          <cell r="H165">
            <v>10</v>
          </cell>
          <cell r="I165">
            <v>20</v>
          </cell>
          <cell r="J165">
            <v>30</v>
          </cell>
          <cell r="K165">
            <v>60</v>
          </cell>
        </row>
        <row r="166">
          <cell r="A166" t="str">
            <v>CFRHS80x40x5</v>
          </cell>
          <cell r="B166">
            <v>1</v>
          </cell>
          <cell r="C166">
            <v>1</v>
          </cell>
          <cell r="D166">
            <v>0.23</v>
          </cell>
          <cell r="E166">
            <v>8.1</v>
          </cell>
          <cell r="F166">
            <v>2</v>
          </cell>
          <cell r="G166">
            <v>5</v>
          </cell>
          <cell r="H166">
            <v>10</v>
          </cell>
          <cell r="I166">
            <v>20</v>
          </cell>
          <cell r="J166">
            <v>30</v>
          </cell>
          <cell r="K166">
            <v>60</v>
          </cell>
        </row>
        <row r="167">
          <cell r="A167" t="str">
            <v>CFRHS80x50x3</v>
          </cell>
          <cell r="B167">
            <v>1</v>
          </cell>
          <cell r="C167">
            <v>1</v>
          </cell>
          <cell r="D167">
            <v>0.26</v>
          </cell>
          <cell r="E167">
            <v>5.7</v>
          </cell>
          <cell r="F167">
            <v>2</v>
          </cell>
          <cell r="G167">
            <v>5</v>
          </cell>
          <cell r="H167">
            <v>10</v>
          </cell>
          <cell r="I167">
            <v>20</v>
          </cell>
          <cell r="J167">
            <v>30</v>
          </cell>
          <cell r="K167">
            <v>60</v>
          </cell>
        </row>
        <row r="168">
          <cell r="A168" t="str">
            <v>CFRHS80x50x4</v>
          </cell>
          <cell r="B168">
            <v>1</v>
          </cell>
          <cell r="C168">
            <v>1</v>
          </cell>
          <cell r="D168">
            <v>0.26</v>
          </cell>
          <cell r="E168">
            <v>7.3</v>
          </cell>
          <cell r="F168">
            <v>2</v>
          </cell>
          <cell r="G168">
            <v>5</v>
          </cell>
          <cell r="H168">
            <v>10</v>
          </cell>
          <cell r="I168">
            <v>20</v>
          </cell>
          <cell r="J168">
            <v>30</v>
          </cell>
          <cell r="K168">
            <v>60</v>
          </cell>
        </row>
        <row r="169">
          <cell r="A169" t="str">
            <v>CFRHS80x50x5</v>
          </cell>
          <cell r="B169">
            <v>1</v>
          </cell>
          <cell r="C169">
            <v>1</v>
          </cell>
          <cell r="D169">
            <v>0.26</v>
          </cell>
          <cell r="E169">
            <v>8.9</v>
          </cell>
          <cell r="F169">
            <v>2</v>
          </cell>
          <cell r="G169">
            <v>5</v>
          </cell>
          <cell r="H169">
            <v>10</v>
          </cell>
          <cell r="I169">
            <v>20</v>
          </cell>
          <cell r="J169">
            <v>30</v>
          </cell>
          <cell r="K169">
            <v>60</v>
          </cell>
        </row>
        <row r="170">
          <cell r="A170" t="str">
            <v>CFRHS80x60x3</v>
          </cell>
          <cell r="B170">
            <v>1</v>
          </cell>
          <cell r="C170">
            <v>1</v>
          </cell>
          <cell r="D170">
            <v>0.28000000000000003</v>
          </cell>
          <cell r="E170">
            <v>6.1</v>
          </cell>
          <cell r="F170">
            <v>2</v>
          </cell>
          <cell r="G170">
            <v>5</v>
          </cell>
          <cell r="H170">
            <v>10</v>
          </cell>
          <cell r="I170">
            <v>20</v>
          </cell>
          <cell r="J170">
            <v>30</v>
          </cell>
          <cell r="K170">
            <v>60</v>
          </cell>
        </row>
        <row r="171">
          <cell r="A171" t="str">
            <v>CFRHS80x60x3.5</v>
          </cell>
          <cell r="B171">
            <v>1</v>
          </cell>
          <cell r="C171">
            <v>1</v>
          </cell>
          <cell r="D171">
            <v>0.28000000000000003</v>
          </cell>
          <cell r="E171">
            <v>7.1</v>
          </cell>
          <cell r="F171">
            <v>2</v>
          </cell>
          <cell r="G171">
            <v>5</v>
          </cell>
          <cell r="H171">
            <v>10</v>
          </cell>
          <cell r="I171">
            <v>20</v>
          </cell>
          <cell r="J171">
            <v>30</v>
          </cell>
          <cell r="K171">
            <v>60</v>
          </cell>
        </row>
        <row r="172">
          <cell r="A172" t="str">
            <v>CFRHS80x60x4</v>
          </cell>
          <cell r="B172">
            <v>1</v>
          </cell>
          <cell r="C172">
            <v>1</v>
          </cell>
          <cell r="D172">
            <v>0.28000000000000003</v>
          </cell>
          <cell r="E172">
            <v>8</v>
          </cell>
          <cell r="F172">
            <v>2</v>
          </cell>
          <cell r="G172">
            <v>5</v>
          </cell>
          <cell r="H172">
            <v>10</v>
          </cell>
          <cell r="I172">
            <v>20</v>
          </cell>
          <cell r="J172">
            <v>30</v>
          </cell>
          <cell r="K172">
            <v>60</v>
          </cell>
        </row>
        <row r="173">
          <cell r="A173" t="str">
            <v>CFRHS80x60x5</v>
          </cell>
          <cell r="B173">
            <v>1</v>
          </cell>
          <cell r="C173">
            <v>1</v>
          </cell>
          <cell r="D173">
            <v>0.28000000000000003</v>
          </cell>
          <cell r="E173">
            <v>9.6999999999999993</v>
          </cell>
          <cell r="F173">
            <v>2</v>
          </cell>
          <cell r="G173">
            <v>5</v>
          </cell>
          <cell r="H173">
            <v>10</v>
          </cell>
          <cell r="I173">
            <v>20</v>
          </cell>
          <cell r="J173">
            <v>30</v>
          </cell>
          <cell r="K173">
            <v>60</v>
          </cell>
        </row>
        <row r="174">
          <cell r="A174" t="str">
            <v>CFRHS90x50x3</v>
          </cell>
          <cell r="B174">
            <v>1</v>
          </cell>
          <cell r="C174">
            <v>1</v>
          </cell>
          <cell r="D174">
            <v>0.27</v>
          </cell>
          <cell r="E174">
            <v>6.1</v>
          </cell>
          <cell r="F174">
            <v>2</v>
          </cell>
          <cell r="G174">
            <v>5</v>
          </cell>
          <cell r="H174">
            <v>10</v>
          </cell>
          <cell r="I174">
            <v>20</v>
          </cell>
          <cell r="J174">
            <v>30</v>
          </cell>
          <cell r="K174">
            <v>60</v>
          </cell>
        </row>
        <row r="175">
          <cell r="A175" t="str">
            <v>CFRHS90x50x4</v>
          </cell>
          <cell r="B175">
            <v>1</v>
          </cell>
          <cell r="C175">
            <v>1</v>
          </cell>
          <cell r="D175">
            <v>0.27</v>
          </cell>
          <cell r="E175">
            <v>8</v>
          </cell>
          <cell r="F175">
            <v>2</v>
          </cell>
          <cell r="G175">
            <v>5</v>
          </cell>
          <cell r="H175">
            <v>10</v>
          </cell>
          <cell r="I175">
            <v>20</v>
          </cell>
          <cell r="J175">
            <v>30</v>
          </cell>
          <cell r="K175">
            <v>60</v>
          </cell>
        </row>
        <row r="176">
          <cell r="A176" t="str">
            <v>CFRHS90x50x5</v>
          </cell>
          <cell r="B176">
            <v>1</v>
          </cell>
          <cell r="C176">
            <v>1</v>
          </cell>
          <cell r="D176">
            <v>0.27</v>
          </cell>
          <cell r="E176">
            <v>9.6999999999999993</v>
          </cell>
          <cell r="F176">
            <v>2</v>
          </cell>
          <cell r="G176">
            <v>5</v>
          </cell>
          <cell r="H176">
            <v>10</v>
          </cell>
          <cell r="I176">
            <v>20</v>
          </cell>
          <cell r="J176">
            <v>30</v>
          </cell>
          <cell r="K176">
            <v>60</v>
          </cell>
        </row>
        <row r="177">
          <cell r="A177" t="str">
            <v>CFRHS100x40x3</v>
          </cell>
          <cell r="B177">
            <v>1</v>
          </cell>
          <cell r="C177">
            <v>1</v>
          </cell>
          <cell r="D177">
            <v>0.28000000000000003</v>
          </cell>
          <cell r="E177">
            <v>6.1</v>
          </cell>
          <cell r="F177">
            <v>2</v>
          </cell>
          <cell r="G177">
            <v>5</v>
          </cell>
          <cell r="H177">
            <v>10</v>
          </cell>
          <cell r="I177">
            <v>20</v>
          </cell>
          <cell r="J177">
            <v>30</v>
          </cell>
          <cell r="K177">
            <v>60</v>
          </cell>
        </row>
        <row r="178">
          <cell r="A178" t="str">
            <v>CFRHS100x40x4</v>
          </cell>
          <cell r="B178">
            <v>1</v>
          </cell>
          <cell r="C178">
            <v>1</v>
          </cell>
          <cell r="D178">
            <v>0.28000000000000003</v>
          </cell>
          <cell r="E178">
            <v>8</v>
          </cell>
          <cell r="F178">
            <v>2</v>
          </cell>
          <cell r="G178">
            <v>5</v>
          </cell>
          <cell r="H178">
            <v>10</v>
          </cell>
          <cell r="I178">
            <v>20</v>
          </cell>
          <cell r="J178">
            <v>30</v>
          </cell>
          <cell r="K178">
            <v>60</v>
          </cell>
        </row>
        <row r="179">
          <cell r="A179" t="str">
            <v>CFRHS100x40x5</v>
          </cell>
          <cell r="B179">
            <v>1</v>
          </cell>
          <cell r="C179">
            <v>1</v>
          </cell>
          <cell r="D179">
            <v>0.28000000000000003</v>
          </cell>
          <cell r="E179">
            <v>9.6999999999999993</v>
          </cell>
          <cell r="F179">
            <v>2</v>
          </cell>
          <cell r="G179">
            <v>5</v>
          </cell>
          <cell r="H179">
            <v>10</v>
          </cell>
          <cell r="I179">
            <v>20</v>
          </cell>
          <cell r="J179">
            <v>30</v>
          </cell>
          <cell r="K179">
            <v>60</v>
          </cell>
        </row>
        <row r="180">
          <cell r="A180" t="str">
            <v>CFRHS100x50x3</v>
          </cell>
          <cell r="B180">
            <v>1</v>
          </cell>
          <cell r="C180">
            <v>1</v>
          </cell>
          <cell r="D180">
            <v>0.3</v>
          </cell>
          <cell r="E180">
            <v>6.6</v>
          </cell>
          <cell r="F180">
            <v>2</v>
          </cell>
          <cell r="G180">
            <v>5</v>
          </cell>
          <cell r="H180">
            <v>10</v>
          </cell>
          <cell r="I180">
            <v>20</v>
          </cell>
          <cell r="J180">
            <v>30</v>
          </cell>
          <cell r="K180">
            <v>60</v>
          </cell>
        </row>
        <row r="181">
          <cell r="A181" t="str">
            <v>CFRHS100x50x4</v>
          </cell>
          <cell r="B181">
            <v>1</v>
          </cell>
          <cell r="C181">
            <v>1</v>
          </cell>
          <cell r="D181">
            <v>0.3</v>
          </cell>
          <cell r="E181">
            <v>8.6</v>
          </cell>
          <cell r="F181">
            <v>2</v>
          </cell>
          <cell r="G181">
            <v>5</v>
          </cell>
          <cell r="H181">
            <v>10</v>
          </cell>
          <cell r="I181">
            <v>20</v>
          </cell>
          <cell r="J181">
            <v>30</v>
          </cell>
          <cell r="K181">
            <v>60</v>
          </cell>
        </row>
        <row r="182">
          <cell r="A182" t="str">
            <v>CFRHS100x50x5</v>
          </cell>
          <cell r="B182">
            <v>1</v>
          </cell>
          <cell r="C182">
            <v>1</v>
          </cell>
          <cell r="D182">
            <v>0.3</v>
          </cell>
          <cell r="E182">
            <v>10.5</v>
          </cell>
          <cell r="F182">
            <v>2</v>
          </cell>
          <cell r="G182">
            <v>5</v>
          </cell>
          <cell r="H182">
            <v>10</v>
          </cell>
          <cell r="I182">
            <v>20</v>
          </cell>
          <cell r="J182">
            <v>30</v>
          </cell>
          <cell r="K182">
            <v>60</v>
          </cell>
        </row>
        <row r="183">
          <cell r="A183" t="str">
            <v>CFRHS100x50x6</v>
          </cell>
          <cell r="B183">
            <v>1</v>
          </cell>
          <cell r="C183">
            <v>1</v>
          </cell>
          <cell r="D183">
            <v>0.3</v>
          </cell>
          <cell r="E183">
            <v>12.3</v>
          </cell>
          <cell r="F183">
            <v>2</v>
          </cell>
          <cell r="G183">
            <v>5</v>
          </cell>
          <cell r="H183">
            <v>10</v>
          </cell>
          <cell r="I183">
            <v>20</v>
          </cell>
          <cell r="J183">
            <v>30</v>
          </cell>
          <cell r="K183">
            <v>60</v>
          </cell>
        </row>
        <row r="184">
          <cell r="A184" t="str">
            <v>CFRHS100x60x3</v>
          </cell>
          <cell r="B184">
            <v>1</v>
          </cell>
          <cell r="C184">
            <v>1</v>
          </cell>
          <cell r="D184">
            <v>0.31</v>
          </cell>
          <cell r="E184">
            <v>7.1</v>
          </cell>
          <cell r="F184">
            <v>2</v>
          </cell>
          <cell r="G184">
            <v>5</v>
          </cell>
          <cell r="H184">
            <v>10</v>
          </cell>
          <cell r="I184">
            <v>20</v>
          </cell>
          <cell r="J184">
            <v>30</v>
          </cell>
          <cell r="K184">
            <v>60</v>
          </cell>
        </row>
        <row r="185">
          <cell r="A185" t="str">
            <v>CFRHS100x60x3.5</v>
          </cell>
          <cell r="B185">
            <v>1</v>
          </cell>
          <cell r="C185">
            <v>1</v>
          </cell>
          <cell r="D185">
            <v>0.31</v>
          </cell>
          <cell r="E185">
            <v>8.1999999999999993</v>
          </cell>
          <cell r="F185">
            <v>2</v>
          </cell>
          <cell r="G185">
            <v>5</v>
          </cell>
          <cell r="H185">
            <v>10</v>
          </cell>
          <cell r="I185">
            <v>20</v>
          </cell>
          <cell r="J185">
            <v>30</v>
          </cell>
          <cell r="K185">
            <v>60</v>
          </cell>
        </row>
        <row r="186">
          <cell r="A186" t="str">
            <v>CFRHS100x60x4</v>
          </cell>
          <cell r="B186">
            <v>1</v>
          </cell>
          <cell r="C186">
            <v>1</v>
          </cell>
          <cell r="D186">
            <v>0.31</v>
          </cell>
          <cell r="E186">
            <v>9.1999999999999993</v>
          </cell>
          <cell r="F186">
            <v>2</v>
          </cell>
          <cell r="G186">
            <v>5</v>
          </cell>
          <cell r="H186">
            <v>10</v>
          </cell>
          <cell r="I186">
            <v>20</v>
          </cell>
          <cell r="J186">
            <v>30</v>
          </cell>
          <cell r="K186">
            <v>60</v>
          </cell>
        </row>
        <row r="187">
          <cell r="A187" t="str">
            <v>CFRHS100x60x5</v>
          </cell>
          <cell r="B187">
            <v>1</v>
          </cell>
          <cell r="C187">
            <v>1</v>
          </cell>
          <cell r="D187">
            <v>0.31</v>
          </cell>
          <cell r="E187">
            <v>11.3</v>
          </cell>
          <cell r="F187">
            <v>2</v>
          </cell>
          <cell r="G187">
            <v>5</v>
          </cell>
          <cell r="H187">
            <v>10</v>
          </cell>
          <cell r="I187">
            <v>20</v>
          </cell>
          <cell r="J187">
            <v>30</v>
          </cell>
          <cell r="K187">
            <v>60</v>
          </cell>
        </row>
        <row r="188">
          <cell r="A188" t="str">
            <v>CFRHS100x60x6</v>
          </cell>
          <cell r="B188">
            <v>1</v>
          </cell>
          <cell r="C188">
            <v>1</v>
          </cell>
          <cell r="D188">
            <v>0.31</v>
          </cell>
          <cell r="E188">
            <v>13.2</v>
          </cell>
          <cell r="F188">
            <v>2</v>
          </cell>
          <cell r="G188">
            <v>5</v>
          </cell>
          <cell r="H188">
            <v>10</v>
          </cell>
          <cell r="I188">
            <v>20</v>
          </cell>
          <cell r="J188">
            <v>30</v>
          </cell>
          <cell r="K188">
            <v>60</v>
          </cell>
        </row>
        <row r="189">
          <cell r="A189" t="str">
            <v>CFRHS100x80x3</v>
          </cell>
          <cell r="B189">
            <v>1</v>
          </cell>
          <cell r="C189">
            <v>1</v>
          </cell>
          <cell r="D189">
            <v>0.36</v>
          </cell>
          <cell r="E189">
            <v>8</v>
          </cell>
          <cell r="F189">
            <v>2</v>
          </cell>
          <cell r="G189">
            <v>5</v>
          </cell>
          <cell r="H189">
            <v>10</v>
          </cell>
          <cell r="I189">
            <v>20</v>
          </cell>
          <cell r="J189">
            <v>30</v>
          </cell>
          <cell r="K189">
            <v>60</v>
          </cell>
        </row>
        <row r="190">
          <cell r="A190" t="str">
            <v>CFRHS100x80x4</v>
          </cell>
          <cell r="B190">
            <v>1</v>
          </cell>
          <cell r="C190">
            <v>1</v>
          </cell>
          <cell r="D190">
            <v>0.36</v>
          </cell>
          <cell r="E190">
            <v>10.5</v>
          </cell>
          <cell r="F190">
            <v>2</v>
          </cell>
          <cell r="G190">
            <v>5</v>
          </cell>
          <cell r="H190">
            <v>10</v>
          </cell>
          <cell r="I190">
            <v>20</v>
          </cell>
          <cell r="J190">
            <v>30</v>
          </cell>
          <cell r="K190">
            <v>60</v>
          </cell>
        </row>
        <row r="191">
          <cell r="A191" t="str">
            <v>CFRHS100x80x5</v>
          </cell>
          <cell r="B191">
            <v>1</v>
          </cell>
          <cell r="C191">
            <v>1</v>
          </cell>
          <cell r="D191">
            <v>0.36</v>
          </cell>
          <cell r="E191">
            <v>12.8</v>
          </cell>
          <cell r="F191">
            <v>2</v>
          </cell>
          <cell r="G191">
            <v>5</v>
          </cell>
          <cell r="H191">
            <v>10</v>
          </cell>
          <cell r="I191">
            <v>20</v>
          </cell>
          <cell r="J191">
            <v>30</v>
          </cell>
          <cell r="K191">
            <v>60</v>
          </cell>
        </row>
        <row r="192">
          <cell r="A192" t="str">
            <v>CFRHS100x80x6</v>
          </cell>
          <cell r="B192">
            <v>1</v>
          </cell>
          <cell r="C192">
            <v>1</v>
          </cell>
          <cell r="D192">
            <v>0.36</v>
          </cell>
          <cell r="E192">
            <v>15.1</v>
          </cell>
          <cell r="F192">
            <v>2</v>
          </cell>
          <cell r="G192">
            <v>5</v>
          </cell>
          <cell r="H192">
            <v>10</v>
          </cell>
          <cell r="I192">
            <v>20</v>
          </cell>
          <cell r="J192">
            <v>30</v>
          </cell>
          <cell r="K192">
            <v>60</v>
          </cell>
        </row>
        <row r="193">
          <cell r="A193" t="str">
            <v>CFRHS120x50x3</v>
          </cell>
          <cell r="B193">
            <v>1</v>
          </cell>
          <cell r="C193">
            <v>1</v>
          </cell>
          <cell r="D193">
            <v>0.34</v>
          </cell>
          <cell r="E193">
            <v>7.72</v>
          </cell>
          <cell r="F193">
            <v>2</v>
          </cell>
          <cell r="G193">
            <v>5</v>
          </cell>
          <cell r="H193">
            <v>10</v>
          </cell>
          <cell r="I193">
            <v>20</v>
          </cell>
          <cell r="J193">
            <v>30</v>
          </cell>
          <cell r="K193">
            <v>60</v>
          </cell>
        </row>
        <row r="194">
          <cell r="A194" t="str">
            <v>CFRHS120x50x4</v>
          </cell>
          <cell r="B194">
            <v>1</v>
          </cell>
          <cell r="C194">
            <v>1</v>
          </cell>
          <cell r="D194">
            <v>0.34</v>
          </cell>
          <cell r="E194">
            <v>10.199999999999999</v>
          </cell>
          <cell r="F194">
            <v>2</v>
          </cell>
          <cell r="G194">
            <v>5</v>
          </cell>
          <cell r="H194">
            <v>10</v>
          </cell>
          <cell r="I194">
            <v>20</v>
          </cell>
          <cell r="J194">
            <v>30</v>
          </cell>
          <cell r="K194">
            <v>60</v>
          </cell>
        </row>
        <row r="195">
          <cell r="A195" t="str">
            <v>CFRHS120x50x5</v>
          </cell>
          <cell r="B195">
            <v>1</v>
          </cell>
          <cell r="C195">
            <v>1</v>
          </cell>
          <cell r="D195">
            <v>0.34</v>
          </cell>
          <cell r="E195">
            <v>12.6</v>
          </cell>
          <cell r="F195">
            <v>2</v>
          </cell>
          <cell r="G195">
            <v>5</v>
          </cell>
          <cell r="H195">
            <v>10</v>
          </cell>
          <cell r="I195">
            <v>20</v>
          </cell>
          <cell r="J195">
            <v>30</v>
          </cell>
          <cell r="K195">
            <v>60</v>
          </cell>
        </row>
        <row r="196">
          <cell r="A196" t="str">
            <v>CFRHS120x60x3</v>
          </cell>
          <cell r="B196">
            <v>1</v>
          </cell>
          <cell r="C196">
            <v>2</v>
          </cell>
          <cell r="D196">
            <v>0.35</v>
          </cell>
          <cell r="E196">
            <v>8</v>
          </cell>
          <cell r="F196">
            <v>2</v>
          </cell>
          <cell r="G196">
            <v>5</v>
          </cell>
          <cell r="H196">
            <v>10</v>
          </cell>
          <cell r="I196">
            <v>20</v>
          </cell>
          <cell r="J196">
            <v>30</v>
          </cell>
          <cell r="K196">
            <v>60</v>
          </cell>
        </row>
        <row r="197">
          <cell r="A197" t="str">
            <v>CFRHS120x60x3.5</v>
          </cell>
          <cell r="B197">
            <v>1</v>
          </cell>
          <cell r="C197">
            <v>2</v>
          </cell>
          <cell r="D197">
            <v>0.35</v>
          </cell>
          <cell r="E197">
            <v>9.3000000000000007</v>
          </cell>
          <cell r="F197">
            <v>2</v>
          </cell>
          <cell r="G197">
            <v>5</v>
          </cell>
          <cell r="H197">
            <v>10</v>
          </cell>
          <cell r="I197">
            <v>20</v>
          </cell>
          <cell r="J197">
            <v>30</v>
          </cell>
          <cell r="K197">
            <v>60</v>
          </cell>
        </row>
        <row r="198">
          <cell r="A198" t="str">
            <v>CFRHS120x60x4</v>
          </cell>
          <cell r="B198">
            <v>1</v>
          </cell>
          <cell r="C198">
            <v>2</v>
          </cell>
          <cell r="D198">
            <v>0.35</v>
          </cell>
          <cell r="E198">
            <v>10.5</v>
          </cell>
          <cell r="F198">
            <v>2</v>
          </cell>
          <cell r="G198">
            <v>5</v>
          </cell>
          <cell r="H198">
            <v>10</v>
          </cell>
          <cell r="I198">
            <v>20</v>
          </cell>
          <cell r="J198">
            <v>30</v>
          </cell>
          <cell r="K198">
            <v>60</v>
          </cell>
        </row>
        <row r="199">
          <cell r="A199" t="str">
            <v>CFRHS120x60x5</v>
          </cell>
          <cell r="B199">
            <v>1</v>
          </cell>
          <cell r="C199">
            <v>2</v>
          </cell>
          <cell r="D199">
            <v>0.35</v>
          </cell>
          <cell r="E199">
            <v>12.8</v>
          </cell>
          <cell r="F199">
            <v>2</v>
          </cell>
          <cell r="G199">
            <v>5</v>
          </cell>
          <cell r="H199">
            <v>10</v>
          </cell>
          <cell r="I199">
            <v>20</v>
          </cell>
          <cell r="J199">
            <v>30</v>
          </cell>
          <cell r="K199">
            <v>60</v>
          </cell>
        </row>
        <row r="200">
          <cell r="A200" t="str">
            <v>CFRHS120x60x6</v>
          </cell>
          <cell r="B200">
            <v>1</v>
          </cell>
          <cell r="C200">
            <v>2</v>
          </cell>
          <cell r="D200">
            <v>0.35</v>
          </cell>
          <cell r="E200">
            <v>15.1</v>
          </cell>
          <cell r="F200">
            <v>2</v>
          </cell>
          <cell r="G200">
            <v>5</v>
          </cell>
          <cell r="H200">
            <v>10</v>
          </cell>
          <cell r="I200">
            <v>20</v>
          </cell>
          <cell r="J200">
            <v>30</v>
          </cell>
          <cell r="K200">
            <v>60</v>
          </cell>
        </row>
        <row r="201">
          <cell r="A201" t="str">
            <v>CFRHS120x80x3</v>
          </cell>
          <cell r="B201">
            <v>1</v>
          </cell>
          <cell r="C201">
            <v>1</v>
          </cell>
          <cell r="D201">
            <v>0.39</v>
          </cell>
          <cell r="E201">
            <v>9</v>
          </cell>
          <cell r="F201">
            <v>2</v>
          </cell>
          <cell r="G201">
            <v>5</v>
          </cell>
          <cell r="H201">
            <v>10</v>
          </cell>
          <cell r="I201">
            <v>20</v>
          </cell>
          <cell r="J201">
            <v>30</v>
          </cell>
          <cell r="K201">
            <v>60</v>
          </cell>
        </row>
        <row r="202">
          <cell r="A202" t="str">
            <v>CFRHS120x80x4</v>
          </cell>
          <cell r="B202">
            <v>1</v>
          </cell>
          <cell r="C202">
            <v>1</v>
          </cell>
          <cell r="D202">
            <v>0.39</v>
          </cell>
          <cell r="E202">
            <v>11.7</v>
          </cell>
          <cell r="F202">
            <v>2</v>
          </cell>
          <cell r="G202">
            <v>5</v>
          </cell>
          <cell r="H202">
            <v>10</v>
          </cell>
          <cell r="I202">
            <v>20</v>
          </cell>
          <cell r="J202">
            <v>30</v>
          </cell>
          <cell r="K202">
            <v>60</v>
          </cell>
        </row>
        <row r="203">
          <cell r="A203" t="str">
            <v>CFRHS120x80x5</v>
          </cell>
          <cell r="B203">
            <v>1</v>
          </cell>
          <cell r="C203">
            <v>1</v>
          </cell>
          <cell r="D203">
            <v>0.39</v>
          </cell>
          <cell r="E203">
            <v>14.4</v>
          </cell>
          <cell r="F203">
            <v>2</v>
          </cell>
          <cell r="G203">
            <v>5</v>
          </cell>
          <cell r="H203">
            <v>10</v>
          </cell>
          <cell r="I203">
            <v>20</v>
          </cell>
          <cell r="J203">
            <v>30</v>
          </cell>
          <cell r="K203">
            <v>60</v>
          </cell>
        </row>
        <row r="204">
          <cell r="A204" t="str">
            <v>CFRHS120x80x6</v>
          </cell>
          <cell r="B204">
            <v>1</v>
          </cell>
          <cell r="C204">
            <v>2</v>
          </cell>
          <cell r="D204">
            <v>0.39</v>
          </cell>
          <cell r="E204">
            <v>17</v>
          </cell>
          <cell r="F204">
            <v>2</v>
          </cell>
          <cell r="G204">
            <v>5</v>
          </cell>
          <cell r="H204">
            <v>10</v>
          </cell>
          <cell r="I204">
            <v>20</v>
          </cell>
          <cell r="J204">
            <v>30</v>
          </cell>
          <cell r="K204">
            <v>60</v>
          </cell>
        </row>
        <row r="205">
          <cell r="A205" t="str">
            <v>CFRHS120x80x8</v>
          </cell>
          <cell r="B205">
            <v>2</v>
          </cell>
          <cell r="C205">
            <v>3</v>
          </cell>
          <cell r="D205">
            <v>0.39</v>
          </cell>
          <cell r="E205">
            <v>21.4</v>
          </cell>
          <cell r="F205">
            <v>5</v>
          </cell>
          <cell r="G205">
            <v>10</v>
          </cell>
          <cell r="H205">
            <v>20</v>
          </cell>
          <cell r="I205">
            <v>30</v>
          </cell>
          <cell r="J205">
            <v>60</v>
          </cell>
          <cell r="K205">
            <v>90</v>
          </cell>
        </row>
        <row r="206">
          <cell r="A206" t="str">
            <v>CFRHS120x80x10</v>
          </cell>
          <cell r="B206">
            <v>2</v>
          </cell>
          <cell r="C206">
            <v>6</v>
          </cell>
          <cell r="D206">
            <v>0.39</v>
          </cell>
          <cell r="E206">
            <v>27.6</v>
          </cell>
          <cell r="F206">
            <v>5</v>
          </cell>
          <cell r="G206">
            <v>10</v>
          </cell>
          <cell r="H206">
            <v>20</v>
          </cell>
          <cell r="I206">
            <v>30</v>
          </cell>
          <cell r="J206">
            <v>60</v>
          </cell>
          <cell r="K206">
            <v>90</v>
          </cell>
        </row>
        <row r="207">
          <cell r="A207" t="str">
            <v>CFRHS120x100x4</v>
          </cell>
          <cell r="B207">
            <v>1</v>
          </cell>
          <cell r="C207">
            <v>1</v>
          </cell>
          <cell r="D207">
            <v>0.42599999999999999</v>
          </cell>
          <cell r="E207">
            <v>13</v>
          </cell>
          <cell r="F207">
            <v>2</v>
          </cell>
          <cell r="G207">
            <v>5</v>
          </cell>
          <cell r="H207">
            <v>10</v>
          </cell>
          <cell r="I207">
            <v>20</v>
          </cell>
          <cell r="J207">
            <v>30</v>
          </cell>
          <cell r="K207">
            <v>60</v>
          </cell>
        </row>
        <row r="208">
          <cell r="A208" t="str">
            <v>CFRHS120x100x5</v>
          </cell>
          <cell r="B208">
            <v>1</v>
          </cell>
          <cell r="C208">
            <v>1</v>
          </cell>
          <cell r="D208">
            <v>0.42299999999999999</v>
          </cell>
          <cell r="E208">
            <v>16</v>
          </cell>
          <cell r="F208">
            <v>2</v>
          </cell>
          <cell r="G208">
            <v>5</v>
          </cell>
          <cell r="H208">
            <v>10</v>
          </cell>
          <cell r="I208">
            <v>20</v>
          </cell>
          <cell r="J208">
            <v>30</v>
          </cell>
          <cell r="K208">
            <v>60</v>
          </cell>
        </row>
        <row r="209">
          <cell r="A209" t="str">
            <v>CFRHS120x100x6</v>
          </cell>
          <cell r="B209">
            <v>1</v>
          </cell>
          <cell r="C209">
            <v>2</v>
          </cell>
          <cell r="D209">
            <v>0.42299999999999999</v>
          </cell>
          <cell r="E209">
            <v>18.899999999999999</v>
          </cell>
          <cell r="F209">
            <v>2</v>
          </cell>
          <cell r="G209">
            <v>5</v>
          </cell>
          <cell r="H209">
            <v>10</v>
          </cell>
          <cell r="I209">
            <v>20</v>
          </cell>
          <cell r="J209">
            <v>30</v>
          </cell>
          <cell r="K209">
            <v>60</v>
          </cell>
        </row>
        <row r="210">
          <cell r="A210" t="str">
            <v>CFRHS140x60x5</v>
          </cell>
          <cell r="B210">
            <v>1</v>
          </cell>
          <cell r="C210">
            <v>1</v>
          </cell>
          <cell r="D210">
            <v>0.37</v>
          </cell>
          <cell r="E210">
            <v>15.1</v>
          </cell>
          <cell r="F210">
            <v>2</v>
          </cell>
          <cell r="G210">
            <v>5</v>
          </cell>
          <cell r="H210">
            <v>10</v>
          </cell>
          <cell r="I210">
            <v>20</v>
          </cell>
          <cell r="J210">
            <v>30</v>
          </cell>
          <cell r="K210">
            <v>60</v>
          </cell>
        </row>
        <row r="211">
          <cell r="A211" t="str">
            <v>CFRHS140x80x3</v>
          </cell>
          <cell r="B211">
            <v>1</v>
          </cell>
          <cell r="C211">
            <v>1</v>
          </cell>
          <cell r="D211">
            <v>0.43</v>
          </cell>
          <cell r="E211">
            <v>9.9</v>
          </cell>
          <cell r="F211">
            <v>2</v>
          </cell>
          <cell r="G211">
            <v>5</v>
          </cell>
          <cell r="H211">
            <v>10</v>
          </cell>
          <cell r="I211">
            <v>20</v>
          </cell>
          <cell r="J211">
            <v>30</v>
          </cell>
          <cell r="K211">
            <v>60</v>
          </cell>
        </row>
        <row r="212">
          <cell r="A212" t="str">
            <v>CFRHS140x80x4</v>
          </cell>
          <cell r="B212">
            <v>1</v>
          </cell>
          <cell r="C212">
            <v>1</v>
          </cell>
          <cell r="D212">
            <v>0.43</v>
          </cell>
          <cell r="E212">
            <v>13</v>
          </cell>
          <cell r="F212">
            <v>2</v>
          </cell>
          <cell r="G212">
            <v>5</v>
          </cell>
          <cell r="H212">
            <v>10</v>
          </cell>
          <cell r="I212">
            <v>20</v>
          </cell>
          <cell r="J212">
            <v>30</v>
          </cell>
          <cell r="K212">
            <v>60</v>
          </cell>
        </row>
        <row r="213">
          <cell r="A213" t="str">
            <v>CFRHS140x80x5</v>
          </cell>
          <cell r="B213">
            <v>1</v>
          </cell>
          <cell r="C213">
            <v>1</v>
          </cell>
          <cell r="D213">
            <v>0.43</v>
          </cell>
          <cell r="E213">
            <v>16</v>
          </cell>
          <cell r="F213">
            <v>2</v>
          </cell>
          <cell r="G213">
            <v>5</v>
          </cell>
          <cell r="H213">
            <v>10</v>
          </cell>
          <cell r="I213">
            <v>20</v>
          </cell>
          <cell r="J213">
            <v>30</v>
          </cell>
          <cell r="K213">
            <v>60</v>
          </cell>
        </row>
        <row r="214">
          <cell r="A214" t="str">
            <v>CFRHS140x80x6</v>
          </cell>
          <cell r="B214">
            <v>1</v>
          </cell>
          <cell r="C214">
            <v>2</v>
          </cell>
          <cell r="D214">
            <v>0.43</v>
          </cell>
          <cell r="E214">
            <v>18.899999999999999</v>
          </cell>
          <cell r="F214">
            <v>2</v>
          </cell>
          <cell r="G214">
            <v>5</v>
          </cell>
          <cell r="H214">
            <v>10</v>
          </cell>
          <cell r="I214">
            <v>20</v>
          </cell>
          <cell r="J214">
            <v>30</v>
          </cell>
          <cell r="K214">
            <v>60</v>
          </cell>
        </row>
        <row r="215">
          <cell r="A215" t="str">
            <v>CFRHS140x80x8</v>
          </cell>
          <cell r="B215">
            <v>2</v>
          </cell>
          <cell r="C215">
            <v>3</v>
          </cell>
          <cell r="D215">
            <v>0.43</v>
          </cell>
          <cell r="E215">
            <v>23.9</v>
          </cell>
          <cell r="F215">
            <v>5</v>
          </cell>
          <cell r="G215">
            <v>10</v>
          </cell>
          <cell r="H215">
            <v>20</v>
          </cell>
          <cell r="I215">
            <v>30</v>
          </cell>
          <cell r="J215">
            <v>60</v>
          </cell>
          <cell r="K215">
            <v>90</v>
          </cell>
        </row>
        <row r="216">
          <cell r="A216" t="str">
            <v>CFRHS140x80x10</v>
          </cell>
          <cell r="B216">
            <v>2</v>
          </cell>
          <cell r="C216">
            <v>6</v>
          </cell>
          <cell r="D216">
            <v>0.43</v>
          </cell>
          <cell r="E216">
            <v>28.7</v>
          </cell>
          <cell r="F216">
            <v>5</v>
          </cell>
          <cell r="G216">
            <v>10</v>
          </cell>
          <cell r="H216">
            <v>20</v>
          </cell>
          <cell r="I216">
            <v>30</v>
          </cell>
          <cell r="J216">
            <v>60</v>
          </cell>
          <cell r="K216">
            <v>90</v>
          </cell>
        </row>
        <row r="217">
          <cell r="A217" t="str">
            <v>CFRHS150x50x5</v>
          </cell>
          <cell r="B217">
            <v>1</v>
          </cell>
          <cell r="C217">
            <v>1</v>
          </cell>
          <cell r="D217">
            <v>0.38</v>
          </cell>
          <cell r="E217">
            <v>14.4</v>
          </cell>
          <cell r="F217">
            <v>2</v>
          </cell>
          <cell r="G217">
            <v>5</v>
          </cell>
          <cell r="H217">
            <v>10</v>
          </cell>
          <cell r="I217">
            <v>20</v>
          </cell>
          <cell r="J217">
            <v>30</v>
          </cell>
          <cell r="K217">
            <v>60</v>
          </cell>
        </row>
        <row r="218">
          <cell r="A218" t="str">
            <v>CFRHS150x100x3</v>
          </cell>
          <cell r="B218">
            <v>1</v>
          </cell>
          <cell r="C218">
            <v>1</v>
          </cell>
          <cell r="D218">
            <v>0.49</v>
          </cell>
          <cell r="E218">
            <v>11.3</v>
          </cell>
          <cell r="F218">
            <v>2</v>
          </cell>
          <cell r="G218">
            <v>5</v>
          </cell>
          <cell r="H218">
            <v>10</v>
          </cell>
          <cell r="I218">
            <v>20</v>
          </cell>
          <cell r="J218">
            <v>30</v>
          </cell>
          <cell r="K218">
            <v>60</v>
          </cell>
        </row>
        <row r="219">
          <cell r="A219" t="str">
            <v>CFRHS150x100x4</v>
          </cell>
          <cell r="B219">
            <v>1</v>
          </cell>
          <cell r="C219">
            <v>1</v>
          </cell>
          <cell r="D219">
            <v>0.49</v>
          </cell>
          <cell r="E219">
            <v>14.9</v>
          </cell>
          <cell r="F219">
            <v>2</v>
          </cell>
          <cell r="G219">
            <v>5</v>
          </cell>
          <cell r="H219">
            <v>10</v>
          </cell>
          <cell r="I219">
            <v>20</v>
          </cell>
          <cell r="J219">
            <v>30</v>
          </cell>
          <cell r="K219">
            <v>60</v>
          </cell>
        </row>
        <row r="220">
          <cell r="A220" t="str">
            <v>CFRHS150x100x5</v>
          </cell>
          <cell r="B220">
            <v>1</v>
          </cell>
          <cell r="C220">
            <v>1</v>
          </cell>
          <cell r="D220">
            <v>0.49</v>
          </cell>
          <cell r="E220">
            <v>18.3</v>
          </cell>
          <cell r="F220">
            <v>2</v>
          </cell>
          <cell r="G220">
            <v>5</v>
          </cell>
          <cell r="H220">
            <v>10</v>
          </cell>
          <cell r="I220">
            <v>20</v>
          </cell>
          <cell r="J220">
            <v>30</v>
          </cell>
          <cell r="K220">
            <v>60</v>
          </cell>
        </row>
        <row r="221">
          <cell r="A221" t="str">
            <v>CFRHS150x100x6</v>
          </cell>
          <cell r="B221">
            <v>2</v>
          </cell>
          <cell r="C221">
            <v>2</v>
          </cell>
          <cell r="D221">
            <v>0.49</v>
          </cell>
          <cell r="E221">
            <v>21.7</v>
          </cell>
          <cell r="F221">
            <v>5</v>
          </cell>
          <cell r="G221">
            <v>10</v>
          </cell>
          <cell r="H221">
            <v>20</v>
          </cell>
          <cell r="I221">
            <v>30</v>
          </cell>
          <cell r="J221">
            <v>60</v>
          </cell>
          <cell r="K221">
            <v>90</v>
          </cell>
        </row>
        <row r="222">
          <cell r="A222" t="str">
            <v>CFRHS150x100x8</v>
          </cell>
          <cell r="B222">
            <v>2</v>
          </cell>
          <cell r="C222">
            <v>3</v>
          </cell>
          <cell r="D222">
            <v>0.49</v>
          </cell>
          <cell r="E222">
            <v>27.7</v>
          </cell>
          <cell r="F222">
            <v>5</v>
          </cell>
          <cell r="G222">
            <v>10</v>
          </cell>
          <cell r="H222">
            <v>20</v>
          </cell>
          <cell r="I222">
            <v>30</v>
          </cell>
          <cell r="J222">
            <v>60</v>
          </cell>
          <cell r="K222">
            <v>90</v>
          </cell>
        </row>
        <row r="223">
          <cell r="A223" t="str">
            <v>CFRHS150x100x10</v>
          </cell>
          <cell r="B223">
            <v>2</v>
          </cell>
          <cell r="C223">
            <v>6</v>
          </cell>
          <cell r="D223">
            <v>0.49</v>
          </cell>
          <cell r="E223">
            <v>33.4</v>
          </cell>
          <cell r="F223">
            <v>5</v>
          </cell>
          <cell r="G223">
            <v>10</v>
          </cell>
          <cell r="H223">
            <v>20</v>
          </cell>
          <cell r="I223">
            <v>30</v>
          </cell>
          <cell r="J223">
            <v>60</v>
          </cell>
          <cell r="K223">
            <v>90</v>
          </cell>
        </row>
        <row r="224">
          <cell r="A224" t="str">
            <v>CFRHS160x80x3</v>
          </cell>
          <cell r="B224">
            <v>1</v>
          </cell>
          <cell r="C224">
            <v>1</v>
          </cell>
          <cell r="D224">
            <v>0.47</v>
          </cell>
          <cell r="E224">
            <v>10.8</v>
          </cell>
          <cell r="F224">
            <v>2</v>
          </cell>
          <cell r="G224">
            <v>5</v>
          </cell>
          <cell r="H224">
            <v>10</v>
          </cell>
          <cell r="I224">
            <v>20</v>
          </cell>
          <cell r="J224">
            <v>30</v>
          </cell>
          <cell r="K224">
            <v>60</v>
          </cell>
        </row>
        <row r="225">
          <cell r="A225" t="str">
            <v>CFRHS160x80x4</v>
          </cell>
          <cell r="B225">
            <v>1</v>
          </cell>
          <cell r="C225">
            <v>1</v>
          </cell>
          <cell r="D225">
            <v>0.47</v>
          </cell>
          <cell r="E225">
            <v>14.2</v>
          </cell>
          <cell r="F225">
            <v>2</v>
          </cell>
          <cell r="G225">
            <v>5</v>
          </cell>
          <cell r="H225">
            <v>10</v>
          </cell>
          <cell r="I225">
            <v>20</v>
          </cell>
          <cell r="J225">
            <v>30</v>
          </cell>
          <cell r="K225">
            <v>60</v>
          </cell>
        </row>
        <row r="226">
          <cell r="A226" t="str">
            <v>CFRHS160x80x5</v>
          </cell>
          <cell r="B226">
            <v>1</v>
          </cell>
          <cell r="C226">
            <v>2</v>
          </cell>
          <cell r="D226">
            <v>0.47</v>
          </cell>
          <cell r="E226">
            <v>17.5</v>
          </cell>
          <cell r="F226">
            <v>2</v>
          </cell>
          <cell r="G226">
            <v>5</v>
          </cell>
          <cell r="H226">
            <v>10</v>
          </cell>
          <cell r="I226">
            <v>20</v>
          </cell>
          <cell r="J226">
            <v>30</v>
          </cell>
          <cell r="K226">
            <v>60</v>
          </cell>
        </row>
        <row r="227">
          <cell r="A227" t="str">
            <v>CFRHS160x80x6</v>
          </cell>
          <cell r="B227">
            <v>2</v>
          </cell>
          <cell r="C227">
            <v>2</v>
          </cell>
          <cell r="D227">
            <v>0.47</v>
          </cell>
          <cell r="E227">
            <v>20.7</v>
          </cell>
          <cell r="F227">
            <v>5</v>
          </cell>
          <cell r="G227">
            <v>10</v>
          </cell>
          <cell r="H227">
            <v>20</v>
          </cell>
          <cell r="I227">
            <v>30</v>
          </cell>
          <cell r="J227">
            <v>60</v>
          </cell>
          <cell r="K227">
            <v>90</v>
          </cell>
        </row>
        <row r="228">
          <cell r="A228" t="str">
            <v>CFRHS160x80x8</v>
          </cell>
          <cell r="B228">
            <v>2</v>
          </cell>
          <cell r="C228">
            <v>3</v>
          </cell>
          <cell r="D228">
            <v>0.47</v>
          </cell>
          <cell r="E228">
            <v>26.4</v>
          </cell>
          <cell r="F228">
            <v>5</v>
          </cell>
          <cell r="G228">
            <v>10</v>
          </cell>
          <cell r="H228">
            <v>20</v>
          </cell>
          <cell r="I228">
            <v>30</v>
          </cell>
          <cell r="J228">
            <v>60</v>
          </cell>
          <cell r="K228">
            <v>90</v>
          </cell>
        </row>
        <row r="229">
          <cell r="A229" t="str">
            <v>CFRHS160x80x10</v>
          </cell>
          <cell r="B229">
            <v>2</v>
          </cell>
          <cell r="C229">
            <v>6</v>
          </cell>
          <cell r="D229">
            <v>0.47</v>
          </cell>
          <cell r="E229">
            <v>31.8</v>
          </cell>
          <cell r="F229">
            <v>5</v>
          </cell>
          <cell r="G229">
            <v>10</v>
          </cell>
          <cell r="H229">
            <v>20</v>
          </cell>
          <cell r="I229">
            <v>30</v>
          </cell>
          <cell r="J229">
            <v>60</v>
          </cell>
          <cell r="K229">
            <v>90</v>
          </cell>
        </row>
        <row r="230">
          <cell r="A230" t="str">
            <v>CFRHS160x90x6</v>
          </cell>
          <cell r="B230">
            <v>2</v>
          </cell>
          <cell r="C230">
            <v>2</v>
          </cell>
          <cell r="D230">
            <v>0.48</v>
          </cell>
          <cell r="E230">
            <v>21.7</v>
          </cell>
          <cell r="F230">
            <v>5</v>
          </cell>
          <cell r="G230">
            <v>10</v>
          </cell>
          <cell r="H230">
            <v>20</v>
          </cell>
          <cell r="I230">
            <v>30</v>
          </cell>
          <cell r="J230">
            <v>60</v>
          </cell>
          <cell r="K230">
            <v>90</v>
          </cell>
        </row>
        <row r="231">
          <cell r="A231" t="str">
            <v>CFRHS180x80x3</v>
          </cell>
          <cell r="B231">
            <v>1</v>
          </cell>
          <cell r="C231">
            <v>1</v>
          </cell>
          <cell r="D231">
            <v>0.52</v>
          </cell>
          <cell r="E231">
            <v>11.8</v>
          </cell>
          <cell r="F231">
            <v>2</v>
          </cell>
          <cell r="G231">
            <v>5</v>
          </cell>
          <cell r="H231">
            <v>10</v>
          </cell>
          <cell r="I231">
            <v>20</v>
          </cell>
          <cell r="J231">
            <v>30</v>
          </cell>
          <cell r="K231">
            <v>60</v>
          </cell>
        </row>
        <row r="232">
          <cell r="A232" t="str">
            <v>CFRHS180x80x4</v>
          </cell>
          <cell r="B232">
            <v>1</v>
          </cell>
          <cell r="C232">
            <v>1</v>
          </cell>
          <cell r="D232">
            <v>0.52</v>
          </cell>
          <cell r="E232">
            <v>15.5</v>
          </cell>
          <cell r="F232">
            <v>2</v>
          </cell>
          <cell r="G232">
            <v>5</v>
          </cell>
          <cell r="H232">
            <v>10</v>
          </cell>
          <cell r="I232">
            <v>20</v>
          </cell>
          <cell r="J232">
            <v>30</v>
          </cell>
          <cell r="K232">
            <v>60</v>
          </cell>
        </row>
        <row r="233">
          <cell r="A233" t="str">
            <v>CFRHS180x80x5</v>
          </cell>
          <cell r="B233">
            <v>1</v>
          </cell>
          <cell r="C233">
            <v>2</v>
          </cell>
          <cell r="D233">
            <v>0.52</v>
          </cell>
          <cell r="E233">
            <v>19.100000000000001</v>
          </cell>
          <cell r="F233">
            <v>2</v>
          </cell>
          <cell r="G233">
            <v>5</v>
          </cell>
          <cell r="H233">
            <v>10</v>
          </cell>
          <cell r="I233">
            <v>20</v>
          </cell>
          <cell r="J233">
            <v>30</v>
          </cell>
          <cell r="K233">
            <v>60</v>
          </cell>
        </row>
        <row r="234">
          <cell r="A234" t="str">
            <v>CFRHS180x80x6</v>
          </cell>
          <cell r="B234">
            <v>2</v>
          </cell>
          <cell r="C234">
            <v>2</v>
          </cell>
          <cell r="D234">
            <v>0.52</v>
          </cell>
          <cell r="E234">
            <v>22.6</v>
          </cell>
          <cell r="F234">
            <v>5</v>
          </cell>
          <cell r="G234">
            <v>10</v>
          </cell>
          <cell r="H234">
            <v>20</v>
          </cell>
          <cell r="I234">
            <v>30</v>
          </cell>
          <cell r="J234">
            <v>60</v>
          </cell>
          <cell r="K234">
            <v>90</v>
          </cell>
        </row>
        <row r="235">
          <cell r="A235" t="str">
            <v>CFRHS180x80x8</v>
          </cell>
          <cell r="B235">
            <v>2</v>
          </cell>
          <cell r="C235">
            <v>3</v>
          </cell>
          <cell r="D235">
            <v>0.52</v>
          </cell>
          <cell r="E235">
            <v>28.9</v>
          </cell>
          <cell r="F235">
            <v>5</v>
          </cell>
          <cell r="G235">
            <v>10</v>
          </cell>
          <cell r="H235">
            <v>20</v>
          </cell>
          <cell r="I235">
            <v>30</v>
          </cell>
          <cell r="J235">
            <v>60</v>
          </cell>
          <cell r="K235">
            <v>90</v>
          </cell>
        </row>
        <row r="236">
          <cell r="A236" t="str">
            <v>CFRHS180x80x10</v>
          </cell>
          <cell r="B236">
            <v>2</v>
          </cell>
          <cell r="C236">
            <v>6</v>
          </cell>
          <cell r="D236">
            <v>0.52</v>
          </cell>
          <cell r="E236">
            <v>35</v>
          </cell>
          <cell r="F236">
            <v>5</v>
          </cell>
          <cell r="G236">
            <v>10</v>
          </cell>
          <cell r="H236">
            <v>20</v>
          </cell>
          <cell r="I236">
            <v>30</v>
          </cell>
          <cell r="J236">
            <v>60</v>
          </cell>
          <cell r="K236">
            <v>90</v>
          </cell>
        </row>
        <row r="237">
          <cell r="A237" t="str">
            <v>CFRHS180x100x4</v>
          </cell>
          <cell r="B237">
            <v>1</v>
          </cell>
          <cell r="C237">
            <v>1</v>
          </cell>
          <cell r="D237">
            <v>0.55000000000000004</v>
          </cell>
          <cell r="E237">
            <v>16.8</v>
          </cell>
          <cell r="F237">
            <v>2</v>
          </cell>
          <cell r="G237">
            <v>5</v>
          </cell>
          <cell r="H237">
            <v>10</v>
          </cell>
          <cell r="I237">
            <v>20</v>
          </cell>
          <cell r="J237">
            <v>30</v>
          </cell>
          <cell r="K237">
            <v>60</v>
          </cell>
        </row>
        <row r="238">
          <cell r="A238" t="str">
            <v>CFRHS180x100x5</v>
          </cell>
          <cell r="B238">
            <v>2</v>
          </cell>
          <cell r="C238">
            <v>2</v>
          </cell>
          <cell r="D238">
            <v>0.55000000000000004</v>
          </cell>
          <cell r="E238">
            <v>20.7</v>
          </cell>
          <cell r="F238">
            <v>5</v>
          </cell>
          <cell r="G238">
            <v>10</v>
          </cell>
          <cell r="H238">
            <v>20</v>
          </cell>
          <cell r="I238">
            <v>30</v>
          </cell>
          <cell r="J238">
            <v>60</v>
          </cell>
          <cell r="K238">
            <v>90</v>
          </cell>
        </row>
        <row r="239">
          <cell r="A239" t="str">
            <v>CFRHS180x100x6</v>
          </cell>
          <cell r="B239">
            <v>2</v>
          </cell>
          <cell r="C239">
            <v>2</v>
          </cell>
          <cell r="D239">
            <v>0.55000000000000004</v>
          </cell>
          <cell r="E239">
            <v>24.5</v>
          </cell>
          <cell r="F239">
            <v>5</v>
          </cell>
          <cell r="G239">
            <v>10</v>
          </cell>
          <cell r="H239">
            <v>20</v>
          </cell>
          <cell r="I239">
            <v>30</v>
          </cell>
          <cell r="J239">
            <v>60</v>
          </cell>
          <cell r="K239">
            <v>90</v>
          </cell>
        </row>
        <row r="240">
          <cell r="A240" t="str">
            <v>CFRHS180x100x8</v>
          </cell>
          <cell r="B240">
            <v>2</v>
          </cell>
          <cell r="C240">
            <v>3</v>
          </cell>
          <cell r="D240">
            <v>0.55000000000000004</v>
          </cell>
          <cell r="E240">
            <v>31.4</v>
          </cell>
          <cell r="F240">
            <v>5</v>
          </cell>
          <cell r="G240">
            <v>10</v>
          </cell>
          <cell r="H240">
            <v>20</v>
          </cell>
          <cell r="I240">
            <v>30</v>
          </cell>
          <cell r="J240">
            <v>60</v>
          </cell>
          <cell r="K240">
            <v>90</v>
          </cell>
        </row>
        <row r="241">
          <cell r="A241" t="str">
            <v>CFRHS180x100x10</v>
          </cell>
          <cell r="B241">
            <v>2</v>
          </cell>
          <cell r="C241">
            <v>6</v>
          </cell>
          <cell r="D241">
            <v>0.55000000000000004</v>
          </cell>
          <cell r="E241">
            <v>38.1</v>
          </cell>
          <cell r="F241">
            <v>5</v>
          </cell>
          <cell r="G241">
            <v>10</v>
          </cell>
          <cell r="H241">
            <v>20</v>
          </cell>
          <cell r="I241">
            <v>30</v>
          </cell>
          <cell r="J241">
            <v>60</v>
          </cell>
          <cell r="K241">
            <v>90</v>
          </cell>
        </row>
        <row r="242">
          <cell r="A242" t="str">
            <v>CFRHS180x120x5</v>
          </cell>
          <cell r="B242">
            <v>2</v>
          </cell>
          <cell r="C242">
            <v>2</v>
          </cell>
          <cell r="D242">
            <v>0.57999999999999996</v>
          </cell>
          <cell r="E242">
            <v>22.3</v>
          </cell>
          <cell r="F242">
            <v>5</v>
          </cell>
          <cell r="G242">
            <v>10</v>
          </cell>
          <cell r="H242">
            <v>20</v>
          </cell>
          <cell r="I242">
            <v>30</v>
          </cell>
          <cell r="J242">
            <v>60</v>
          </cell>
          <cell r="K242">
            <v>90</v>
          </cell>
        </row>
        <row r="243">
          <cell r="A243" t="str">
            <v>CFRHS180x120x6</v>
          </cell>
          <cell r="B243">
            <v>2</v>
          </cell>
          <cell r="C243">
            <v>2</v>
          </cell>
          <cell r="D243">
            <v>0.57999999999999996</v>
          </cell>
          <cell r="E243">
            <v>26.4</v>
          </cell>
          <cell r="F243">
            <v>5</v>
          </cell>
          <cell r="G243">
            <v>10</v>
          </cell>
          <cell r="H243">
            <v>20</v>
          </cell>
          <cell r="I243">
            <v>30</v>
          </cell>
          <cell r="J243">
            <v>60</v>
          </cell>
          <cell r="K243">
            <v>90</v>
          </cell>
        </row>
        <row r="244">
          <cell r="A244" t="str">
            <v>CFRHS180x120x8</v>
          </cell>
          <cell r="B244">
            <v>2</v>
          </cell>
          <cell r="C244">
            <v>2</v>
          </cell>
          <cell r="D244">
            <v>0.57999999999999996</v>
          </cell>
          <cell r="E244">
            <v>26.4</v>
          </cell>
          <cell r="F244">
            <v>5</v>
          </cell>
          <cell r="G244">
            <v>10</v>
          </cell>
          <cell r="H244">
            <v>20</v>
          </cell>
          <cell r="I244">
            <v>30</v>
          </cell>
          <cell r="J244">
            <v>60</v>
          </cell>
          <cell r="K244">
            <v>90</v>
          </cell>
        </row>
        <row r="245">
          <cell r="A245" t="str">
            <v>CFRHS180x120x10</v>
          </cell>
          <cell r="B245">
            <v>2</v>
          </cell>
          <cell r="C245">
            <v>6</v>
          </cell>
          <cell r="D245">
            <v>0.55700000000000005</v>
          </cell>
          <cell r="E245">
            <v>41.3</v>
          </cell>
          <cell r="F245">
            <v>5</v>
          </cell>
          <cell r="G245">
            <v>10</v>
          </cell>
          <cell r="H245">
            <v>20</v>
          </cell>
          <cell r="I245">
            <v>30</v>
          </cell>
          <cell r="J245">
            <v>60</v>
          </cell>
          <cell r="K245">
            <v>90</v>
          </cell>
        </row>
        <row r="246">
          <cell r="A246" t="str">
            <v>CFRHS200x80x6</v>
          </cell>
          <cell r="B246">
            <v>2</v>
          </cell>
          <cell r="C246">
            <v>1</v>
          </cell>
          <cell r="D246">
            <v>0.54</v>
          </cell>
          <cell r="E246">
            <v>24.5</v>
          </cell>
          <cell r="F246">
            <v>5</v>
          </cell>
          <cell r="G246">
            <v>10</v>
          </cell>
          <cell r="H246">
            <v>20</v>
          </cell>
          <cell r="I246">
            <v>30</v>
          </cell>
          <cell r="J246">
            <v>60</v>
          </cell>
          <cell r="K246">
            <v>90</v>
          </cell>
        </row>
        <row r="247">
          <cell r="A247" t="str">
            <v>CFRHS200x80x10</v>
          </cell>
          <cell r="B247">
            <v>2</v>
          </cell>
          <cell r="C247">
            <v>6</v>
          </cell>
          <cell r="D247">
            <v>0.51700000000000002</v>
          </cell>
          <cell r="E247">
            <v>38.1</v>
          </cell>
          <cell r="F247">
            <v>5</v>
          </cell>
          <cell r="G247">
            <v>10</v>
          </cell>
          <cell r="H247">
            <v>20</v>
          </cell>
          <cell r="I247">
            <v>30</v>
          </cell>
          <cell r="J247">
            <v>60</v>
          </cell>
          <cell r="K247">
            <v>90</v>
          </cell>
        </row>
        <row r="248">
          <cell r="A248" t="str">
            <v>CFRHS200x100x4</v>
          </cell>
          <cell r="B248">
            <v>1</v>
          </cell>
          <cell r="C248">
            <v>1</v>
          </cell>
          <cell r="D248">
            <v>0.57999999999999996</v>
          </cell>
          <cell r="E248">
            <v>18</v>
          </cell>
          <cell r="F248">
            <v>2</v>
          </cell>
          <cell r="G248">
            <v>5</v>
          </cell>
          <cell r="H248">
            <v>10</v>
          </cell>
          <cell r="I248">
            <v>20</v>
          </cell>
          <cell r="J248">
            <v>30</v>
          </cell>
          <cell r="K248">
            <v>60</v>
          </cell>
        </row>
        <row r="249">
          <cell r="A249" t="str">
            <v>CFRHS200x100x5</v>
          </cell>
          <cell r="B249">
            <v>2</v>
          </cell>
          <cell r="C249">
            <v>2</v>
          </cell>
          <cell r="D249">
            <v>0.57999999999999996</v>
          </cell>
          <cell r="E249">
            <v>22.3</v>
          </cell>
          <cell r="F249">
            <v>5</v>
          </cell>
          <cell r="G249">
            <v>10</v>
          </cell>
          <cell r="H249">
            <v>20</v>
          </cell>
          <cell r="I249">
            <v>30</v>
          </cell>
          <cell r="J249">
            <v>60</v>
          </cell>
          <cell r="K249">
            <v>90</v>
          </cell>
        </row>
        <row r="250">
          <cell r="A250" t="str">
            <v>CFRHS200x100x6</v>
          </cell>
          <cell r="B250">
            <v>2</v>
          </cell>
          <cell r="C250">
            <v>2</v>
          </cell>
          <cell r="D250">
            <v>0.57999999999999996</v>
          </cell>
          <cell r="E250">
            <v>26.4</v>
          </cell>
          <cell r="F250">
            <v>5</v>
          </cell>
          <cell r="G250">
            <v>10</v>
          </cell>
          <cell r="H250">
            <v>20</v>
          </cell>
          <cell r="I250">
            <v>30</v>
          </cell>
          <cell r="J250">
            <v>60</v>
          </cell>
          <cell r="K250">
            <v>90</v>
          </cell>
        </row>
        <row r="251">
          <cell r="A251" t="str">
            <v>CFRHS200x100x8</v>
          </cell>
          <cell r="B251">
            <v>2</v>
          </cell>
          <cell r="C251">
            <v>3</v>
          </cell>
          <cell r="D251">
            <v>0.57999999999999996</v>
          </cell>
          <cell r="E251">
            <v>33.9</v>
          </cell>
          <cell r="F251">
            <v>5</v>
          </cell>
          <cell r="G251">
            <v>10</v>
          </cell>
          <cell r="H251">
            <v>20</v>
          </cell>
          <cell r="I251">
            <v>30</v>
          </cell>
          <cell r="J251">
            <v>60</v>
          </cell>
          <cell r="K251">
            <v>90</v>
          </cell>
        </row>
        <row r="252">
          <cell r="A252" t="str">
            <v>CFRHS200x100x10</v>
          </cell>
          <cell r="B252">
            <v>2</v>
          </cell>
          <cell r="C252">
            <v>6</v>
          </cell>
          <cell r="D252">
            <v>0.57999999999999996</v>
          </cell>
          <cell r="E252">
            <v>41.3</v>
          </cell>
          <cell r="F252">
            <v>5</v>
          </cell>
          <cell r="G252">
            <v>10</v>
          </cell>
          <cell r="H252">
            <v>20</v>
          </cell>
          <cell r="I252">
            <v>30</v>
          </cell>
          <cell r="J252">
            <v>60</v>
          </cell>
          <cell r="K252">
            <v>90</v>
          </cell>
        </row>
        <row r="253">
          <cell r="A253" t="str">
            <v>CFRHS200x100x12.5</v>
          </cell>
          <cell r="B253">
            <v>2</v>
          </cell>
          <cell r="C253">
            <v>6</v>
          </cell>
          <cell r="D253">
            <v>0.53600000000000003</v>
          </cell>
          <cell r="E253">
            <v>48.7</v>
          </cell>
          <cell r="F253">
            <v>5</v>
          </cell>
          <cell r="G253">
            <v>10</v>
          </cell>
          <cell r="H253">
            <v>20</v>
          </cell>
          <cell r="I253">
            <v>30</v>
          </cell>
          <cell r="J253">
            <v>60</v>
          </cell>
          <cell r="K253">
            <v>90</v>
          </cell>
        </row>
        <row r="254">
          <cell r="A254" t="str">
            <v>CFRHS200x120x4</v>
          </cell>
          <cell r="B254">
            <v>1</v>
          </cell>
          <cell r="C254">
            <v>1</v>
          </cell>
          <cell r="D254">
            <v>0.62</v>
          </cell>
          <cell r="E254">
            <v>19.3</v>
          </cell>
          <cell r="F254">
            <v>2</v>
          </cell>
          <cell r="G254">
            <v>5</v>
          </cell>
          <cell r="H254">
            <v>10</v>
          </cell>
          <cell r="I254">
            <v>20</v>
          </cell>
          <cell r="J254">
            <v>30</v>
          </cell>
          <cell r="K254">
            <v>60</v>
          </cell>
        </row>
        <row r="255">
          <cell r="A255" t="str">
            <v>CFRHS200x120x5</v>
          </cell>
          <cell r="B255">
            <v>2</v>
          </cell>
          <cell r="C255">
            <v>2</v>
          </cell>
          <cell r="D255">
            <v>0.62</v>
          </cell>
          <cell r="E255">
            <v>23.8</v>
          </cell>
          <cell r="F255">
            <v>5</v>
          </cell>
          <cell r="G255">
            <v>10</v>
          </cell>
          <cell r="H255">
            <v>20</v>
          </cell>
          <cell r="I255">
            <v>30</v>
          </cell>
          <cell r="J255">
            <v>60</v>
          </cell>
          <cell r="K255">
            <v>90</v>
          </cell>
        </row>
        <row r="256">
          <cell r="A256" t="str">
            <v>CFRHS200x120x6</v>
          </cell>
          <cell r="B256">
            <v>2</v>
          </cell>
          <cell r="C256">
            <v>2</v>
          </cell>
          <cell r="D256">
            <v>0.62</v>
          </cell>
          <cell r="E256">
            <v>28.3</v>
          </cell>
          <cell r="F256">
            <v>5</v>
          </cell>
          <cell r="G256">
            <v>10</v>
          </cell>
          <cell r="H256">
            <v>20</v>
          </cell>
          <cell r="I256">
            <v>30</v>
          </cell>
          <cell r="J256">
            <v>60</v>
          </cell>
          <cell r="K256">
            <v>90</v>
          </cell>
        </row>
        <row r="257">
          <cell r="A257" t="str">
            <v>CFRHS200x120x8</v>
          </cell>
          <cell r="B257">
            <v>2</v>
          </cell>
          <cell r="C257">
            <v>3</v>
          </cell>
          <cell r="D257">
            <v>0.62</v>
          </cell>
          <cell r="E257">
            <v>36.5</v>
          </cell>
          <cell r="F257">
            <v>5</v>
          </cell>
          <cell r="G257">
            <v>10</v>
          </cell>
          <cell r="H257">
            <v>20</v>
          </cell>
          <cell r="I257">
            <v>30</v>
          </cell>
          <cell r="J257">
            <v>60</v>
          </cell>
          <cell r="K257">
            <v>90</v>
          </cell>
        </row>
        <row r="258">
          <cell r="A258" t="str">
            <v>CFRHS200x120x10</v>
          </cell>
          <cell r="B258">
            <v>2</v>
          </cell>
          <cell r="C258">
            <v>6</v>
          </cell>
          <cell r="D258">
            <v>0.62</v>
          </cell>
          <cell r="E258">
            <v>44.4</v>
          </cell>
          <cell r="F258">
            <v>5</v>
          </cell>
          <cell r="G258">
            <v>10</v>
          </cell>
          <cell r="H258">
            <v>20</v>
          </cell>
          <cell r="I258">
            <v>30</v>
          </cell>
          <cell r="J258">
            <v>60</v>
          </cell>
          <cell r="K258">
            <v>90</v>
          </cell>
        </row>
        <row r="259">
          <cell r="A259" t="str">
            <v>CFRHS200x120x12.5</v>
          </cell>
          <cell r="B259">
            <v>3</v>
          </cell>
          <cell r="C259">
            <v>6</v>
          </cell>
          <cell r="D259">
            <v>0.67</v>
          </cell>
          <cell r="E259">
            <v>52.6</v>
          </cell>
          <cell r="F259">
            <v>10</v>
          </cell>
          <cell r="G259">
            <v>20</v>
          </cell>
          <cell r="H259">
            <v>30</v>
          </cell>
          <cell r="I259">
            <v>40</v>
          </cell>
          <cell r="J259">
            <v>90</v>
          </cell>
          <cell r="K259">
            <v>120</v>
          </cell>
        </row>
        <row r="260">
          <cell r="A260" t="str">
            <v>CFRHS200x150x4</v>
          </cell>
          <cell r="B260">
            <v>2</v>
          </cell>
          <cell r="C260">
            <v>1</v>
          </cell>
          <cell r="D260">
            <v>0.67</v>
          </cell>
          <cell r="E260">
            <v>21.2</v>
          </cell>
          <cell r="F260">
            <v>5</v>
          </cell>
          <cell r="G260">
            <v>10</v>
          </cell>
          <cell r="H260">
            <v>20</v>
          </cell>
          <cell r="I260">
            <v>30</v>
          </cell>
          <cell r="J260">
            <v>60</v>
          </cell>
          <cell r="K260">
            <v>90</v>
          </cell>
        </row>
        <row r="261">
          <cell r="A261" t="str">
            <v>CFRHS200x150x5</v>
          </cell>
          <cell r="B261">
            <v>2</v>
          </cell>
          <cell r="C261">
            <v>2</v>
          </cell>
          <cell r="D261">
            <v>0.67</v>
          </cell>
          <cell r="E261">
            <v>26.2</v>
          </cell>
          <cell r="F261">
            <v>5</v>
          </cell>
          <cell r="G261">
            <v>10</v>
          </cell>
          <cell r="H261">
            <v>20</v>
          </cell>
          <cell r="I261">
            <v>30</v>
          </cell>
          <cell r="J261">
            <v>60</v>
          </cell>
          <cell r="K261">
            <v>90</v>
          </cell>
        </row>
        <row r="262">
          <cell r="A262" t="str">
            <v>CFRHS200x150x6</v>
          </cell>
          <cell r="B262">
            <v>2</v>
          </cell>
          <cell r="C262">
            <v>2</v>
          </cell>
          <cell r="D262">
            <v>0.67</v>
          </cell>
          <cell r="E262">
            <v>31.1</v>
          </cell>
          <cell r="F262">
            <v>5</v>
          </cell>
          <cell r="G262">
            <v>10</v>
          </cell>
          <cell r="H262">
            <v>20</v>
          </cell>
          <cell r="I262">
            <v>30</v>
          </cell>
          <cell r="J262">
            <v>60</v>
          </cell>
          <cell r="K262">
            <v>90</v>
          </cell>
        </row>
        <row r="263">
          <cell r="A263" t="str">
            <v>CFRHS200x150x8</v>
          </cell>
          <cell r="B263">
            <v>3</v>
          </cell>
          <cell r="C263">
            <v>3</v>
          </cell>
          <cell r="D263">
            <v>0.67</v>
          </cell>
          <cell r="E263">
            <v>40.200000000000003</v>
          </cell>
          <cell r="F263">
            <v>10</v>
          </cell>
          <cell r="G263">
            <v>20</v>
          </cell>
          <cell r="H263">
            <v>30</v>
          </cell>
          <cell r="I263">
            <v>40</v>
          </cell>
          <cell r="J263">
            <v>90</v>
          </cell>
          <cell r="K263">
            <v>120</v>
          </cell>
        </row>
        <row r="264">
          <cell r="A264" t="str">
            <v>CFRHS200x150x10</v>
          </cell>
          <cell r="B264">
            <v>3</v>
          </cell>
          <cell r="C264">
            <v>6</v>
          </cell>
          <cell r="D264">
            <v>0.67</v>
          </cell>
          <cell r="E264">
            <v>49.1</v>
          </cell>
          <cell r="F264">
            <v>10</v>
          </cell>
          <cell r="G264">
            <v>20</v>
          </cell>
          <cell r="H264">
            <v>30</v>
          </cell>
          <cell r="I264">
            <v>40</v>
          </cell>
          <cell r="J264">
            <v>90</v>
          </cell>
          <cell r="K264">
            <v>120</v>
          </cell>
        </row>
        <row r="265">
          <cell r="A265" t="str">
            <v>CFRHS200x150x12.5</v>
          </cell>
          <cell r="B265">
            <v>3</v>
          </cell>
          <cell r="C265">
            <v>6</v>
          </cell>
          <cell r="D265">
            <v>0.67</v>
          </cell>
          <cell r="E265">
            <v>72.7</v>
          </cell>
          <cell r="F265">
            <v>10</v>
          </cell>
          <cell r="G265">
            <v>20</v>
          </cell>
          <cell r="H265">
            <v>30</v>
          </cell>
          <cell r="I265">
            <v>40</v>
          </cell>
          <cell r="J265">
            <v>90</v>
          </cell>
          <cell r="K265">
            <v>120</v>
          </cell>
        </row>
        <row r="266">
          <cell r="A266" t="str">
            <v>CFRHS220x120x5</v>
          </cell>
          <cell r="B266">
            <v>2</v>
          </cell>
          <cell r="C266">
            <v>2</v>
          </cell>
          <cell r="D266">
            <v>0.65900000000000003</v>
          </cell>
          <cell r="E266">
            <v>25.4</v>
          </cell>
          <cell r="F266">
            <v>5</v>
          </cell>
          <cell r="G266">
            <v>10</v>
          </cell>
          <cell r="H266">
            <v>20</v>
          </cell>
          <cell r="I266">
            <v>30</v>
          </cell>
          <cell r="J266">
            <v>60</v>
          </cell>
          <cell r="K266">
            <v>90</v>
          </cell>
        </row>
        <row r="267">
          <cell r="A267" t="str">
            <v>CFRHS220x120x6</v>
          </cell>
          <cell r="B267">
            <v>2</v>
          </cell>
          <cell r="C267">
            <v>2</v>
          </cell>
          <cell r="D267">
            <v>0.65900000000000003</v>
          </cell>
          <cell r="E267">
            <v>30.2</v>
          </cell>
          <cell r="F267">
            <v>5</v>
          </cell>
          <cell r="G267">
            <v>10</v>
          </cell>
          <cell r="H267">
            <v>20</v>
          </cell>
          <cell r="I267">
            <v>30</v>
          </cell>
          <cell r="J267">
            <v>60</v>
          </cell>
          <cell r="K267">
            <v>90</v>
          </cell>
        </row>
        <row r="268">
          <cell r="A268" t="str">
            <v>CFRHS220x120x8</v>
          </cell>
          <cell r="B268">
            <v>2</v>
          </cell>
          <cell r="C268">
            <v>2</v>
          </cell>
          <cell r="D268">
            <v>0.64600000000000002</v>
          </cell>
          <cell r="E268">
            <v>39</v>
          </cell>
          <cell r="F268">
            <v>5</v>
          </cell>
          <cell r="G268">
            <v>10</v>
          </cell>
          <cell r="H268">
            <v>20</v>
          </cell>
          <cell r="I268">
            <v>30</v>
          </cell>
          <cell r="J268">
            <v>60</v>
          </cell>
          <cell r="K268">
            <v>90</v>
          </cell>
        </row>
        <row r="269">
          <cell r="A269" t="str">
            <v>CFRHS250x100x5</v>
          </cell>
          <cell r="B269">
            <v>2</v>
          </cell>
          <cell r="C269">
            <v>2</v>
          </cell>
          <cell r="D269">
            <v>0.68300000000000005</v>
          </cell>
          <cell r="E269">
            <v>31.1</v>
          </cell>
          <cell r="F269">
            <v>5</v>
          </cell>
          <cell r="G269">
            <v>10</v>
          </cell>
          <cell r="H269">
            <v>20</v>
          </cell>
          <cell r="I269">
            <v>30</v>
          </cell>
          <cell r="J269">
            <v>60</v>
          </cell>
          <cell r="K269">
            <v>90</v>
          </cell>
        </row>
        <row r="270">
          <cell r="A270" t="str">
            <v>CFRHS250x100x6</v>
          </cell>
          <cell r="B270">
            <v>2</v>
          </cell>
          <cell r="C270">
            <v>2</v>
          </cell>
          <cell r="D270">
            <v>0.68300000000000005</v>
          </cell>
          <cell r="E270">
            <v>26.8</v>
          </cell>
          <cell r="F270">
            <v>5</v>
          </cell>
          <cell r="G270">
            <v>10</v>
          </cell>
          <cell r="H270">
            <v>20</v>
          </cell>
          <cell r="I270">
            <v>30</v>
          </cell>
          <cell r="J270">
            <v>60</v>
          </cell>
          <cell r="K270">
            <v>90</v>
          </cell>
        </row>
        <row r="271">
          <cell r="A271" t="str">
            <v>CFRHS250x100x8</v>
          </cell>
          <cell r="B271">
            <v>2</v>
          </cell>
          <cell r="C271">
            <v>3</v>
          </cell>
          <cell r="D271">
            <v>0.66</v>
          </cell>
          <cell r="E271">
            <v>40.229999999999997</v>
          </cell>
          <cell r="F271">
            <v>5</v>
          </cell>
          <cell r="G271">
            <v>10</v>
          </cell>
          <cell r="H271">
            <v>20</v>
          </cell>
          <cell r="I271">
            <v>30</v>
          </cell>
          <cell r="J271">
            <v>60</v>
          </cell>
          <cell r="K271">
            <v>90</v>
          </cell>
        </row>
        <row r="272">
          <cell r="A272" t="str">
            <v>CFRHS250x150x5</v>
          </cell>
          <cell r="B272">
            <v>2</v>
          </cell>
          <cell r="C272">
            <v>2</v>
          </cell>
          <cell r="D272">
            <v>0.77</v>
          </cell>
          <cell r="E272">
            <v>30.1</v>
          </cell>
          <cell r="F272">
            <v>5</v>
          </cell>
          <cell r="G272">
            <v>10</v>
          </cell>
          <cell r="H272">
            <v>20</v>
          </cell>
          <cell r="I272">
            <v>30</v>
          </cell>
          <cell r="J272">
            <v>60</v>
          </cell>
          <cell r="K272">
            <v>90</v>
          </cell>
        </row>
        <row r="273">
          <cell r="A273" t="str">
            <v>CFRHS250x150x6</v>
          </cell>
          <cell r="B273">
            <v>2</v>
          </cell>
          <cell r="C273">
            <v>2</v>
          </cell>
          <cell r="D273">
            <v>0.77</v>
          </cell>
          <cell r="E273">
            <v>35.799999999999997</v>
          </cell>
          <cell r="F273">
            <v>5</v>
          </cell>
          <cell r="G273">
            <v>10</v>
          </cell>
          <cell r="H273">
            <v>20</v>
          </cell>
          <cell r="I273">
            <v>30</v>
          </cell>
          <cell r="J273">
            <v>60</v>
          </cell>
          <cell r="K273">
            <v>90</v>
          </cell>
        </row>
        <row r="274">
          <cell r="A274" t="str">
            <v>CFRHS250x150x6.3</v>
          </cell>
          <cell r="B274">
            <v>2</v>
          </cell>
          <cell r="C274">
            <v>2</v>
          </cell>
          <cell r="D274">
            <v>0.77</v>
          </cell>
          <cell r="E274">
            <v>37.200000000000003</v>
          </cell>
          <cell r="F274">
            <v>5</v>
          </cell>
          <cell r="G274">
            <v>10</v>
          </cell>
          <cell r="H274">
            <v>20</v>
          </cell>
          <cell r="I274">
            <v>30</v>
          </cell>
          <cell r="J274">
            <v>60</v>
          </cell>
          <cell r="K274">
            <v>90</v>
          </cell>
        </row>
        <row r="275">
          <cell r="A275" t="str">
            <v>CFRHS250x150x8</v>
          </cell>
          <cell r="B275">
            <v>3</v>
          </cell>
          <cell r="C275">
            <v>3</v>
          </cell>
          <cell r="D275">
            <v>0.77</v>
          </cell>
          <cell r="E275">
            <v>46.5</v>
          </cell>
          <cell r="F275">
            <v>10</v>
          </cell>
          <cell r="G275">
            <v>20</v>
          </cell>
          <cell r="H275">
            <v>30</v>
          </cell>
          <cell r="I275">
            <v>40</v>
          </cell>
          <cell r="J275">
            <v>90</v>
          </cell>
          <cell r="K275">
            <v>120</v>
          </cell>
        </row>
        <row r="276">
          <cell r="A276" t="str">
            <v>CFRHS250x150x10</v>
          </cell>
          <cell r="B276">
            <v>3</v>
          </cell>
          <cell r="C276">
            <v>6</v>
          </cell>
          <cell r="D276">
            <v>0.77</v>
          </cell>
          <cell r="E276">
            <v>57</v>
          </cell>
          <cell r="F276">
            <v>10</v>
          </cell>
          <cell r="G276">
            <v>20</v>
          </cell>
          <cell r="H276">
            <v>30</v>
          </cell>
          <cell r="I276">
            <v>40</v>
          </cell>
          <cell r="J276">
            <v>90</v>
          </cell>
          <cell r="K276">
            <v>120</v>
          </cell>
        </row>
        <row r="277">
          <cell r="A277" t="str">
            <v>CFRHS250x150x12</v>
          </cell>
          <cell r="B277">
            <v>3</v>
          </cell>
          <cell r="C277">
            <v>6</v>
          </cell>
          <cell r="D277">
            <v>0.77</v>
          </cell>
          <cell r="E277">
            <v>66</v>
          </cell>
          <cell r="F277">
            <v>10</v>
          </cell>
          <cell r="G277">
            <v>20</v>
          </cell>
          <cell r="H277">
            <v>30</v>
          </cell>
          <cell r="I277">
            <v>40</v>
          </cell>
          <cell r="J277">
            <v>90</v>
          </cell>
          <cell r="K277">
            <v>120</v>
          </cell>
        </row>
        <row r="278">
          <cell r="A278" t="str">
            <v>CFRHS250x150x12.5</v>
          </cell>
          <cell r="B278">
            <v>3</v>
          </cell>
          <cell r="C278">
            <v>6</v>
          </cell>
          <cell r="D278">
            <v>0.77</v>
          </cell>
          <cell r="E278">
            <v>68.3</v>
          </cell>
          <cell r="F278">
            <v>10</v>
          </cell>
          <cell r="G278">
            <v>20</v>
          </cell>
          <cell r="H278">
            <v>30</v>
          </cell>
          <cell r="I278">
            <v>40</v>
          </cell>
          <cell r="J278">
            <v>90</v>
          </cell>
          <cell r="K278">
            <v>120</v>
          </cell>
        </row>
        <row r="279">
          <cell r="A279" t="str">
            <v>CFRHS250x150x16</v>
          </cell>
          <cell r="B279">
            <v>3</v>
          </cell>
          <cell r="C279">
            <v>10</v>
          </cell>
          <cell r="D279">
            <v>0.96</v>
          </cell>
          <cell r="E279">
            <v>115.4</v>
          </cell>
          <cell r="F279">
            <v>10</v>
          </cell>
          <cell r="G279">
            <v>20</v>
          </cell>
          <cell r="H279">
            <v>30</v>
          </cell>
          <cell r="I279">
            <v>40</v>
          </cell>
          <cell r="J279">
            <v>90</v>
          </cell>
          <cell r="K279">
            <v>120</v>
          </cell>
        </row>
        <row r="280">
          <cell r="A280" t="str">
            <v>CFRHS260x180x6</v>
          </cell>
          <cell r="B280">
            <v>3</v>
          </cell>
          <cell r="C280">
            <v>2</v>
          </cell>
          <cell r="D280">
            <v>0.86</v>
          </cell>
          <cell r="E280">
            <v>39.6</v>
          </cell>
          <cell r="F280">
            <v>10</v>
          </cell>
          <cell r="G280">
            <v>20</v>
          </cell>
          <cell r="H280">
            <v>30</v>
          </cell>
          <cell r="I280">
            <v>40</v>
          </cell>
          <cell r="J280">
            <v>90</v>
          </cell>
          <cell r="K280">
            <v>120</v>
          </cell>
        </row>
        <row r="281">
          <cell r="A281" t="str">
            <v>CFRHS300x100x5</v>
          </cell>
          <cell r="B281">
            <v>3</v>
          </cell>
          <cell r="C281">
            <v>1</v>
          </cell>
          <cell r="D281">
            <v>0.78</v>
          </cell>
          <cell r="E281">
            <v>30.1</v>
          </cell>
          <cell r="F281">
            <v>10</v>
          </cell>
          <cell r="G281">
            <v>20</v>
          </cell>
          <cell r="H281">
            <v>30</v>
          </cell>
          <cell r="I281">
            <v>40</v>
          </cell>
          <cell r="J281">
            <v>90</v>
          </cell>
          <cell r="K281">
            <v>120</v>
          </cell>
        </row>
        <row r="282">
          <cell r="A282" t="str">
            <v>CFRHS300x100x6</v>
          </cell>
          <cell r="B282">
            <v>3</v>
          </cell>
          <cell r="C282">
            <v>2</v>
          </cell>
          <cell r="D282">
            <v>0.78</v>
          </cell>
          <cell r="E282">
            <v>35.799999999999997</v>
          </cell>
          <cell r="F282">
            <v>10</v>
          </cell>
          <cell r="G282">
            <v>20</v>
          </cell>
          <cell r="H282">
            <v>30</v>
          </cell>
          <cell r="I282">
            <v>40</v>
          </cell>
          <cell r="J282">
            <v>90</v>
          </cell>
          <cell r="K282">
            <v>120</v>
          </cell>
        </row>
        <row r="283">
          <cell r="A283" t="str">
            <v>CFRHS300x100x8</v>
          </cell>
          <cell r="B283">
            <v>3</v>
          </cell>
          <cell r="C283">
            <v>3</v>
          </cell>
          <cell r="D283">
            <v>0.78</v>
          </cell>
          <cell r="E283">
            <v>46.5</v>
          </cell>
          <cell r="F283">
            <v>10</v>
          </cell>
          <cell r="G283">
            <v>20</v>
          </cell>
          <cell r="H283">
            <v>30</v>
          </cell>
          <cell r="I283">
            <v>40</v>
          </cell>
          <cell r="J283">
            <v>90</v>
          </cell>
          <cell r="K283">
            <v>120</v>
          </cell>
        </row>
        <row r="284">
          <cell r="A284" t="str">
            <v>CFRHS300x100x10</v>
          </cell>
          <cell r="B284">
            <v>3</v>
          </cell>
          <cell r="C284">
            <v>6</v>
          </cell>
          <cell r="D284">
            <v>0.78</v>
          </cell>
          <cell r="E284">
            <v>57</v>
          </cell>
          <cell r="F284">
            <v>10</v>
          </cell>
          <cell r="G284">
            <v>20</v>
          </cell>
          <cell r="H284">
            <v>30</v>
          </cell>
          <cell r="I284">
            <v>40</v>
          </cell>
          <cell r="J284">
            <v>90</v>
          </cell>
          <cell r="K284">
            <v>120</v>
          </cell>
        </row>
        <row r="285">
          <cell r="A285" t="str">
            <v>CFRHS300x150x6</v>
          </cell>
          <cell r="B285">
            <v>2</v>
          </cell>
          <cell r="C285">
            <v>2</v>
          </cell>
          <cell r="D285">
            <v>0.879</v>
          </cell>
          <cell r="E285">
            <v>40.5</v>
          </cell>
          <cell r="F285">
            <v>5</v>
          </cell>
          <cell r="G285">
            <v>10</v>
          </cell>
          <cell r="H285">
            <v>20</v>
          </cell>
          <cell r="I285">
            <v>30</v>
          </cell>
          <cell r="J285">
            <v>60</v>
          </cell>
          <cell r="K285">
            <v>90</v>
          </cell>
        </row>
        <row r="286">
          <cell r="A286" t="str">
            <v>CFRHS300x150x8</v>
          </cell>
          <cell r="B286">
            <v>3</v>
          </cell>
          <cell r="C286">
            <v>3</v>
          </cell>
          <cell r="D286">
            <v>0.879</v>
          </cell>
          <cell r="E286">
            <v>52.8</v>
          </cell>
          <cell r="F286">
            <v>10</v>
          </cell>
          <cell r="G286">
            <v>20</v>
          </cell>
          <cell r="H286">
            <v>30</v>
          </cell>
          <cell r="I286">
            <v>40</v>
          </cell>
          <cell r="J286">
            <v>90</v>
          </cell>
          <cell r="K286">
            <v>120</v>
          </cell>
        </row>
        <row r="287">
          <cell r="A287" t="str">
            <v>CFRHS300x150x10</v>
          </cell>
          <cell r="B287">
            <v>3</v>
          </cell>
          <cell r="C287">
            <v>6</v>
          </cell>
          <cell r="D287">
            <v>0.875</v>
          </cell>
          <cell r="E287">
            <v>64.8</v>
          </cell>
          <cell r="F287">
            <v>10</v>
          </cell>
          <cell r="G287">
            <v>20</v>
          </cell>
          <cell r="H287">
            <v>30</v>
          </cell>
          <cell r="I287">
            <v>40</v>
          </cell>
          <cell r="J287">
            <v>90</v>
          </cell>
          <cell r="K287">
            <v>120</v>
          </cell>
        </row>
        <row r="288">
          <cell r="A288" t="str">
            <v>CFRHS300x200x5</v>
          </cell>
          <cell r="B288">
            <v>3</v>
          </cell>
          <cell r="C288">
            <v>1</v>
          </cell>
          <cell r="D288">
            <v>0.98</v>
          </cell>
          <cell r="E288">
            <v>38.200000000000003</v>
          </cell>
          <cell r="F288">
            <v>10</v>
          </cell>
          <cell r="G288">
            <v>20</v>
          </cell>
          <cell r="H288">
            <v>30</v>
          </cell>
          <cell r="I288">
            <v>40</v>
          </cell>
          <cell r="J288">
            <v>90</v>
          </cell>
          <cell r="K288">
            <v>120</v>
          </cell>
        </row>
        <row r="289">
          <cell r="A289" t="str">
            <v>CFRHS300x200x6</v>
          </cell>
          <cell r="B289">
            <v>3</v>
          </cell>
          <cell r="C289">
            <v>2</v>
          </cell>
          <cell r="D289">
            <v>0.98</v>
          </cell>
          <cell r="E289">
            <v>45.2</v>
          </cell>
          <cell r="F289">
            <v>10</v>
          </cell>
          <cell r="G289">
            <v>20</v>
          </cell>
          <cell r="H289">
            <v>30</v>
          </cell>
          <cell r="I289">
            <v>40</v>
          </cell>
          <cell r="J289">
            <v>90</v>
          </cell>
          <cell r="K289">
            <v>120</v>
          </cell>
        </row>
        <row r="290">
          <cell r="A290" t="str">
            <v>CFRHS300x200x6.3</v>
          </cell>
          <cell r="B290">
            <v>3</v>
          </cell>
          <cell r="C290">
            <v>2</v>
          </cell>
          <cell r="D290">
            <v>0.98</v>
          </cell>
          <cell r="E290">
            <v>47.1</v>
          </cell>
          <cell r="F290">
            <v>10</v>
          </cell>
          <cell r="G290">
            <v>20</v>
          </cell>
          <cell r="H290">
            <v>30</v>
          </cell>
          <cell r="I290">
            <v>40</v>
          </cell>
          <cell r="J290">
            <v>90</v>
          </cell>
          <cell r="K290">
            <v>120</v>
          </cell>
        </row>
        <row r="291">
          <cell r="A291" t="str">
            <v>CFRHS300x200x8</v>
          </cell>
          <cell r="B291">
            <v>3</v>
          </cell>
          <cell r="C291">
            <v>3</v>
          </cell>
          <cell r="D291">
            <v>0.98</v>
          </cell>
          <cell r="E291">
            <v>59.1</v>
          </cell>
          <cell r="F291">
            <v>10</v>
          </cell>
          <cell r="G291">
            <v>20</v>
          </cell>
          <cell r="H291">
            <v>30</v>
          </cell>
          <cell r="I291">
            <v>40</v>
          </cell>
          <cell r="J291">
            <v>90</v>
          </cell>
          <cell r="K291">
            <v>120</v>
          </cell>
        </row>
        <row r="292">
          <cell r="A292" t="str">
            <v>CFRHS300x200x10</v>
          </cell>
          <cell r="B292">
            <v>3</v>
          </cell>
          <cell r="C292">
            <v>6</v>
          </cell>
          <cell r="D292">
            <v>0.98</v>
          </cell>
          <cell r="E292">
            <v>72.7</v>
          </cell>
          <cell r="F292">
            <v>10</v>
          </cell>
          <cell r="G292">
            <v>20</v>
          </cell>
          <cell r="H292">
            <v>30</v>
          </cell>
          <cell r="I292">
            <v>40</v>
          </cell>
          <cell r="J292">
            <v>90</v>
          </cell>
          <cell r="K292">
            <v>120</v>
          </cell>
        </row>
        <row r="293">
          <cell r="A293" t="str">
            <v>CFRHS300x200x12</v>
          </cell>
          <cell r="B293">
            <v>3</v>
          </cell>
          <cell r="C293">
            <v>6</v>
          </cell>
          <cell r="D293">
            <v>0.98</v>
          </cell>
          <cell r="E293">
            <v>84.8</v>
          </cell>
          <cell r="F293">
            <v>10</v>
          </cell>
          <cell r="G293">
            <v>20</v>
          </cell>
          <cell r="H293">
            <v>30</v>
          </cell>
          <cell r="I293">
            <v>40</v>
          </cell>
          <cell r="J293">
            <v>90</v>
          </cell>
          <cell r="K293">
            <v>120</v>
          </cell>
        </row>
        <row r="294">
          <cell r="A294" t="str">
            <v>CFRHS300x200x12.5</v>
          </cell>
          <cell r="B294">
            <v>3</v>
          </cell>
          <cell r="C294">
            <v>6</v>
          </cell>
          <cell r="D294">
            <v>0.98</v>
          </cell>
          <cell r="E294">
            <v>88</v>
          </cell>
          <cell r="F294">
            <v>10</v>
          </cell>
          <cell r="G294">
            <v>20</v>
          </cell>
          <cell r="H294">
            <v>30</v>
          </cell>
          <cell r="I294">
            <v>40</v>
          </cell>
          <cell r="J294">
            <v>90</v>
          </cell>
          <cell r="K294">
            <v>120</v>
          </cell>
        </row>
        <row r="295">
          <cell r="A295" t="str">
            <v>CFRHS400x200x6</v>
          </cell>
          <cell r="B295">
            <v>3</v>
          </cell>
          <cell r="C295">
            <v>2</v>
          </cell>
          <cell r="D295">
            <v>1.17</v>
          </cell>
          <cell r="E295">
            <v>54.7</v>
          </cell>
          <cell r="F295">
            <v>10</v>
          </cell>
          <cell r="G295">
            <v>20</v>
          </cell>
          <cell r="H295">
            <v>30</v>
          </cell>
          <cell r="I295">
            <v>40</v>
          </cell>
          <cell r="J295">
            <v>90</v>
          </cell>
          <cell r="K295">
            <v>120</v>
          </cell>
        </row>
        <row r="296">
          <cell r="A296" t="str">
            <v>CFRHS400x200x6.3</v>
          </cell>
          <cell r="B296">
            <v>3</v>
          </cell>
          <cell r="C296">
            <v>2</v>
          </cell>
          <cell r="D296">
            <v>1.17</v>
          </cell>
          <cell r="E296">
            <v>57</v>
          </cell>
          <cell r="F296">
            <v>10</v>
          </cell>
          <cell r="G296">
            <v>20</v>
          </cell>
          <cell r="H296">
            <v>30</v>
          </cell>
          <cell r="I296">
            <v>40</v>
          </cell>
          <cell r="J296">
            <v>90</v>
          </cell>
          <cell r="K296">
            <v>120</v>
          </cell>
        </row>
        <row r="297">
          <cell r="A297" t="str">
            <v>CFRHS400x200x8</v>
          </cell>
          <cell r="B297">
            <v>3</v>
          </cell>
          <cell r="C297">
            <v>3</v>
          </cell>
          <cell r="D297">
            <v>1.17</v>
          </cell>
          <cell r="E297">
            <v>71.599999999999994</v>
          </cell>
          <cell r="F297">
            <v>10</v>
          </cell>
          <cell r="G297">
            <v>20</v>
          </cell>
          <cell r="H297">
            <v>30</v>
          </cell>
          <cell r="I297">
            <v>40</v>
          </cell>
          <cell r="J297">
            <v>90</v>
          </cell>
          <cell r="K297">
            <v>120</v>
          </cell>
        </row>
        <row r="298">
          <cell r="A298" t="str">
            <v>CFRHS400x200x10</v>
          </cell>
          <cell r="B298">
            <v>3</v>
          </cell>
          <cell r="C298">
            <v>6</v>
          </cell>
          <cell r="D298">
            <v>1.17</v>
          </cell>
          <cell r="E298">
            <v>88.4</v>
          </cell>
          <cell r="F298">
            <v>10</v>
          </cell>
          <cell r="G298">
            <v>20</v>
          </cell>
          <cell r="H298">
            <v>30</v>
          </cell>
          <cell r="I298">
            <v>40</v>
          </cell>
          <cell r="J298">
            <v>90</v>
          </cell>
          <cell r="K298">
            <v>120</v>
          </cell>
        </row>
        <row r="299">
          <cell r="A299" t="str">
            <v>CFRHS400x200x12</v>
          </cell>
          <cell r="B299">
            <v>3</v>
          </cell>
          <cell r="C299">
            <v>6</v>
          </cell>
          <cell r="D299">
            <v>1.17</v>
          </cell>
          <cell r="E299">
            <v>104</v>
          </cell>
          <cell r="F299">
            <v>10</v>
          </cell>
          <cell r="G299">
            <v>20</v>
          </cell>
          <cell r="H299">
            <v>30</v>
          </cell>
          <cell r="I299">
            <v>40</v>
          </cell>
          <cell r="J299">
            <v>90</v>
          </cell>
          <cell r="K299">
            <v>120</v>
          </cell>
        </row>
        <row r="300">
          <cell r="A300" t="str">
            <v>CFRHS400x200x12.5</v>
          </cell>
          <cell r="B300">
            <v>3</v>
          </cell>
          <cell r="C300">
            <v>6</v>
          </cell>
          <cell r="D300">
            <v>1.17</v>
          </cell>
          <cell r="E300">
            <v>108</v>
          </cell>
          <cell r="F300">
            <v>10</v>
          </cell>
          <cell r="G300">
            <v>20</v>
          </cell>
          <cell r="H300">
            <v>30</v>
          </cell>
          <cell r="I300">
            <v>40</v>
          </cell>
          <cell r="J300">
            <v>90</v>
          </cell>
          <cell r="K300">
            <v>120</v>
          </cell>
        </row>
        <row r="301">
          <cell r="A301" t="str">
            <v>CFRHS450x250x6</v>
          </cell>
          <cell r="B301">
            <v>3</v>
          </cell>
          <cell r="C301">
            <v>2</v>
          </cell>
          <cell r="D301">
            <v>1.38</v>
          </cell>
          <cell r="E301">
            <v>64.099999999999994</v>
          </cell>
          <cell r="F301">
            <v>10</v>
          </cell>
          <cell r="G301">
            <v>20</v>
          </cell>
          <cell r="H301">
            <v>30</v>
          </cell>
          <cell r="I301">
            <v>40</v>
          </cell>
          <cell r="J301">
            <v>90</v>
          </cell>
          <cell r="K301">
            <v>120</v>
          </cell>
        </row>
        <row r="302">
          <cell r="A302" t="str">
            <v>CFRHS450x250x6.3</v>
          </cell>
          <cell r="B302">
            <v>3</v>
          </cell>
          <cell r="C302">
            <v>2</v>
          </cell>
          <cell r="D302">
            <v>1.38</v>
          </cell>
          <cell r="E302">
            <v>66.900000000000006</v>
          </cell>
          <cell r="F302">
            <v>10</v>
          </cell>
          <cell r="G302">
            <v>20</v>
          </cell>
          <cell r="H302">
            <v>30</v>
          </cell>
          <cell r="I302">
            <v>40</v>
          </cell>
          <cell r="J302">
            <v>90</v>
          </cell>
          <cell r="K302">
            <v>120</v>
          </cell>
        </row>
        <row r="303">
          <cell r="A303" t="str">
            <v>CFRHS450x250x8</v>
          </cell>
          <cell r="B303">
            <v>3</v>
          </cell>
          <cell r="C303">
            <v>3</v>
          </cell>
          <cell r="D303">
            <v>1.38</v>
          </cell>
          <cell r="E303">
            <v>84.2</v>
          </cell>
          <cell r="F303">
            <v>10</v>
          </cell>
          <cell r="G303">
            <v>20</v>
          </cell>
          <cell r="H303">
            <v>30</v>
          </cell>
          <cell r="I303">
            <v>40</v>
          </cell>
          <cell r="J303">
            <v>90</v>
          </cell>
          <cell r="K303">
            <v>120</v>
          </cell>
        </row>
        <row r="304">
          <cell r="A304" t="str">
            <v>CFRHS450x250x10</v>
          </cell>
          <cell r="B304">
            <v>3</v>
          </cell>
          <cell r="C304">
            <v>6</v>
          </cell>
          <cell r="D304">
            <v>1.38</v>
          </cell>
          <cell r="E304">
            <v>104</v>
          </cell>
          <cell r="F304">
            <v>10</v>
          </cell>
          <cell r="G304">
            <v>20</v>
          </cell>
          <cell r="H304">
            <v>30</v>
          </cell>
          <cell r="I304">
            <v>40</v>
          </cell>
          <cell r="J304">
            <v>90</v>
          </cell>
          <cell r="K304">
            <v>120</v>
          </cell>
        </row>
        <row r="305">
          <cell r="A305" t="str">
            <v>CFRHS450x250x12</v>
          </cell>
          <cell r="B305">
            <v>3</v>
          </cell>
          <cell r="C305">
            <v>6</v>
          </cell>
          <cell r="D305">
            <v>1.38</v>
          </cell>
          <cell r="E305">
            <v>123</v>
          </cell>
          <cell r="F305">
            <v>10</v>
          </cell>
          <cell r="G305">
            <v>20</v>
          </cell>
          <cell r="H305">
            <v>30</v>
          </cell>
          <cell r="I305">
            <v>40</v>
          </cell>
          <cell r="J305">
            <v>90</v>
          </cell>
          <cell r="K305">
            <v>120</v>
          </cell>
        </row>
        <row r="306">
          <cell r="A306" t="str">
            <v>CFRHS450x250x12.5</v>
          </cell>
          <cell r="B306">
            <v>3</v>
          </cell>
          <cell r="C306">
            <v>6</v>
          </cell>
          <cell r="D306">
            <v>1.38</v>
          </cell>
          <cell r="E306">
            <v>127</v>
          </cell>
          <cell r="F306">
            <v>10</v>
          </cell>
          <cell r="G306">
            <v>20</v>
          </cell>
          <cell r="H306">
            <v>30</v>
          </cell>
          <cell r="I306">
            <v>40</v>
          </cell>
          <cell r="J306">
            <v>90</v>
          </cell>
          <cell r="K306">
            <v>120</v>
          </cell>
        </row>
        <row r="307">
          <cell r="A307" t="str">
            <v xml:space="preserve">CFRHS500x200x10 </v>
          </cell>
          <cell r="B307">
            <v>3</v>
          </cell>
          <cell r="C307">
            <v>6</v>
          </cell>
          <cell r="D307">
            <v>1.37</v>
          </cell>
          <cell r="E307">
            <v>106</v>
          </cell>
          <cell r="F307">
            <v>10</v>
          </cell>
          <cell r="G307">
            <v>20</v>
          </cell>
          <cell r="H307">
            <v>30</v>
          </cell>
          <cell r="I307">
            <v>40</v>
          </cell>
          <cell r="J307">
            <v>90</v>
          </cell>
          <cell r="K307">
            <v>120</v>
          </cell>
        </row>
        <row r="308">
          <cell r="A308" t="str">
            <v>CFRHS500x300x6</v>
          </cell>
          <cell r="B308">
            <v>3</v>
          </cell>
          <cell r="C308">
            <v>2</v>
          </cell>
          <cell r="D308">
            <v>1.57</v>
          </cell>
          <cell r="E308">
            <v>73.5</v>
          </cell>
          <cell r="F308">
            <v>10</v>
          </cell>
          <cell r="G308">
            <v>20</v>
          </cell>
          <cell r="H308">
            <v>30</v>
          </cell>
          <cell r="I308">
            <v>40</v>
          </cell>
          <cell r="J308">
            <v>90</v>
          </cell>
          <cell r="K308">
            <v>120</v>
          </cell>
        </row>
        <row r="309">
          <cell r="A309" t="str">
            <v>CFRHS500x300x6.3</v>
          </cell>
          <cell r="B309">
            <v>3</v>
          </cell>
          <cell r="C309">
            <v>2</v>
          </cell>
          <cell r="D309">
            <v>1.57</v>
          </cell>
          <cell r="E309">
            <v>76.8</v>
          </cell>
          <cell r="F309">
            <v>10</v>
          </cell>
          <cell r="G309">
            <v>20</v>
          </cell>
          <cell r="H309">
            <v>30</v>
          </cell>
          <cell r="I309">
            <v>40</v>
          </cell>
          <cell r="J309">
            <v>90</v>
          </cell>
          <cell r="K309">
            <v>120</v>
          </cell>
        </row>
        <row r="310">
          <cell r="A310" t="str">
            <v>CFRHS500x300x8</v>
          </cell>
          <cell r="B310">
            <v>3</v>
          </cell>
          <cell r="C310">
            <v>3</v>
          </cell>
          <cell r="D310">
            <v>1.57</v>
          </cell>
          <cell r="E310">
            <v>96.7</v>
          </cell>
          <cell r="F310">
            <v>10</v>
          </cell>
          <cell r="G310">
            <v>20</v>
          </cell>
          <cell r="H310">
            <v>30</v>
          </cell>
          <cell r="I310">
            <v>40</v>
          </cell>
          <cell r="J310">
            <v>90</v>
          </cell>
          <cell r="K310">
            <v>120</v>
          </cell>
        </row>
        <row r="311">
          <cell r="A311" t="str">
            <v>CFRHS500x300x10</v>
          </cell>
          <cell r="B311">
            <v>3</v>
          </cell>
          <cell r="C311">
            <v>6</v>
          </cell>
          <cell r="D311">
            <v>1.57</v>
          </cell>
          <cell r="E311">
            <v>120</v>
          </cell>
          <cell r="F311">
            <v>10</v>
          </cell>
          <cell r="G311">
            <v>20</v>
          </cell>
          <cell r="H311">
            <v>30</v>
          </cell>
          <cell r="I311">
            <v>40</v>
          </cell>
          <cell r="J311">
            <v>90</v>
          </cell>
          <cell r="K311">
            <v>120</v>
          </cell>
        </row>
        <row r="312">
          <cell r="A312" t="str">
            <v>CFRHS500x300x12</v>
          </cell>
          <cell r="B312">
            <v>3</v>
          </cell>
          <cell r="C312">
            <v>6</v>
          </cell>
          <cell r="D312">
            <v>1.57</v>
          </cell>
          <cell r="E312">
            <v>141</v>
          </cell>
          <cell r="F312">
            <v>10</v>
          </cell>
          <cell r="G312">
            <v>20</v>
          </cell>
          <cell r="H312">
            <v>30</v>
          </cell>
          <cell r="I312">
            <v>40</v>
          </cell>
          <cell r="J312">
            <v>90</v>
          </cell>
          <cell r="K312">
            <v>120</v>
          </cell>
        </row>
        <row r="313">
          <cell r="A313" t="str">
            <v>CFRHS500x300x12.5</v>
          </cell>
          <cell r="B313">
            <v>3</v>
          </cell>
          <cell r="C313">
            <v>6</v>
          </cell>
          <cell r="D313">
            <v>1.57</v>
          </cell>
          <cell r="E313">
            <v>147</v>
          </cell>
          <cell r="F313">
            <v>10</v>
          </cell>
          <cell r="G313">
            <v>20</v>
          </cell>
          <cell r="H313">
            <v>30</v>
          </cell>
          <cell r="I313">
            <v>40</v>
          </cell>
          <cell r="J313">
            <v>90</v>
          </cell>
          <cell r="K313">
            <v>120</v>
          </cell>
        </row>
        <row r="314">
          <cell r="A314" t="str">
            <v>CFRHS25x25x2</v>
          </cell>
          <cell r="B314">
            <v>1</v>
          </cell>
          <cell r="C314">
            <v>1</v>
          </cell>
          <cell r="D314">
            <v>9.3100000000000002E-2</v>
          </cell>
          <cell r="E314">
            <v>1.36</v>
          </cell>
          <cell r="F314">
            <v>2</v>
          </cell>
          <cell r="G314">
            <v>5</v>
          </cell>
          <cell r="H314">
            <v>10</v>
          </cell>
          <cell r="I314">
            <v>20</v>
          </cell>
          <cell r="J314">
            <v>30</v>
          </cell>
          <cell r="K314">
            <v>60</v>
          </cell>
        </row>
        <row r="315">
          <cell r="A315" t="str">
            <v>CFRHS25x25x2.5</v>
          </cell>
          <cell r="B315">
            <v>1</v>
          </cell>
          <cell r="C315">
            <v>1</v>
          </cell>
          <cell r="D315">
            <v>9.1399999999999995E-2</v>
          </cell>
          <cell r="E315">
            <v>1.63</v>
          </cell>
          <cell r="F315">
            <v>2</v>
          </cell>
          <cell r="G315">
            <v>5</v>
          </cell>
          <cell r="H315">
            <v>10</v>
          </cell>
          <cell r="I315">
            <v>20</v>
          </cell>
          <cell r="J315">
            <v>30</v>
          </cell>
          <cell r="K315">
            <v>60</v>
          </cell>
        </row>
        <row r="316">
          <cell r="A316" t="str">
            <v>CFRHS25x25x3</v>
          </cell>
          <cell r="B316">
            <v>1</v>
          </cell>
          <cell r="C316">
            <v>1</v>
          </cell>
          <cell r="D316">
            <v>8.8999999999999996E-2</v>
          </cell>
          <cell r="E316">
            <v>1.89</v>
          </cell>
          <cell r="F316">
            <v>2</v>
          </cell>
          <cell r="G316">
            <v>5</v>
          </cell>
          <cell r="H316">
            <v>10</v>
          </cell>
          <cell r="I316">
            <v>20</v>
          </cell>
          <cell r="J316">
            <v>30</v>
          </cell>
          <cell r="K316">
            <v>60</v>
          </cell>
        </row>
        <row r="317">
          <cell r="A317" t="str">
            <v>CFRHS25x25x4</v>
          </cell>
          <cell r="B317">
            <v>1</v>
          </cell>
          <cell r="C317">
            <v>1</v>
          </cell>
          <cell r="D317">
            <v>8.8999999999999996E-2</v>
          </cell>
          <cell r="E317">
            <v>2.25</v>
          </cell>
          <cell r="F317">
            <v>2</v>
          </cell>
          <cell r="G317">
            <v>5</v>
          </cell>
          <cell r="H317">
            <v>10</v>
          </cell>
          <cell r="I317">
            <v>20</v>
          </cell>
          <cell r="J317">
            <v>30</v>
          </cell>
          <cell r="K317">
            <v>60</v>
          </cell>
        </row>
        <row r="318">
          <cell r="A318" t="str">
            <v>CFRHS30x30x2</v>
          </cell>
          <cell r="B318">
            <v>1</v>
          </cell>
          <cell r="C318">
            <v>1</v>
          </cell>
          <cell r="D318">
            <v>0.113</v>
          </cell>
          <cell r="E318">
            <v>1.7</v>
          </cell>
          <cell r="F318">
            <v>2</v>
          </cell>
          <cell r="G318">
            <v>5</v>
          </cell>
          <cell r="H318">
            <v>10</v>
          </cell>
          <cell r="I318">
            <v>20</v>
          </cell>
          <cell r="J318">
            <v>30</v>
          </cell>
          <cell r="K318">
            <v>60</v>
          </cell>
        </row>
        <row r="319">
          <cell r="A319" t="str">
            <v>CFRHS30x30x2.5</v>
          </cell>
          <cell r="B319">
            <v>1</v>
          </cell>
          <cell r="C319">
            <v>1</v>
          </cell>
          <cell r="D319">
            <v>0.111</v>
          </cell>
          <cell r="E319">
            <v>2.0299999999999998</v>
          </cell>
          <cell r="F319">
            <v>2</v>
          </cell>
          <cell r="G319">
            <v>5</v>
          </cell>
          <cell r="H319">
            <v>10</v>
          </cell>
          <cell r="I319">
            <v>20</v>
          </cell>
          <cell r="J319">
            <v>30</v>
          </cell>
          <cell r="K319">
            <v>60</v>
          </cell>
        </row>
        <row r="320">
          <cell r="A320" t="str">
            <v>CFRHS30x30x3</v>
          </cell>
          <cell r="B320">
            <v>1</v>
          </cell>
          <cell r="C320">
            <v>1</v>
          </cell>
          <cell r="D320">
            <v>0.11</v>
          </cell>
          <cell r="E320">
            <v>2.34</v>
          </cell>
          <cell r="F320">
            <v>2</v>
          </cell>
          <cell r="G320">
            <v>5</v>
          </cell>
          <cell r="H320">
            <v>10</v>
          </cell>
          <cell r="I320">
            <v>20</v>
          </cell>
          <cell r="J320">
            <v>30</v>
          </cell>
          <cell r="K320">
            <v>60</v>
          </cell>
        </row>
        <row r="321">
          <cell r="A321" t="str">
            <v>CFRHS40x40x2</v>
          </cell>
          <cell r="B321">
            <v>1</v>
          </cell>
          <cell r="C321">
            <v>1</v>
          </cell>
          <cell r="D321">
            <v>0.153</v>
          </cell>
          <cell r="E321">
            <v>2.3199999999999998</v>
          </cell>
          <cell r="F321">
            <v>2</v>
          </cell>
          <cell r="G321">
            <v>5</v>
          </cell>
          <cell r="H321">
            <v>10</v>
          </cell>
          <cell r="I321">
            <v>20</v>
          </cell>
          <cell r="J321">
            <v>30</v>
          </cell>
          <cell r="K321">
            <v>60</v>
          </cell>
        </row>
        <row r="322">
          <cell r="A322" t="str">
            <v>CFRHS40x40x2.5</v>
          </cell>
          <cell r="B322">
            <v>1</v>
          </cell>
          <cell r="C322">
            <v>1</v>
          </cell>
          <cell r="D322">
            <v>0.151</v>
          </cell>
          <cell r="E322">
            <v>2.83</v>
          </cell>
          <cell r="F322">
            <v>2</v>
          </cell>
          <cell r="G322">
            <v>5</v>
          </cell>
          <cell r="H322">
            <v>10</v>
          </cell>
          <cell r="I322">
            <v>20</v>
          </cell>
          <cell r="J322">
            <v>30</v>
          </cell>
          <cell r="K322">
            <v>60</v>
          </cell>
        </row>
        <row r="323">
          <cell r="A323" t="str">
            <v>CFRHS40x40x3</v>
          </cell>
          <cell r="B323">
            <v>1</v>
          </cell>
          <cell r="C323">
            <v>1</v>
          </cell>
          <cell r="D323">
            <v>0.15</v>
          </cell>
          <cell r="E323">
            <v>3.3</v>
          </cell>
          <cell r="F323">
            <v>2</v>
          </cell>
          <cell r="G323">
            <v>5</v>
          </cell>
          <cell r="H323">
            <v>10</v>
          </cell>
          <cell r="I323">
            <v>20</v>
          </cell>
          <cell r="J323">
            <v>30</v>
          </cell>
          <cell r="K323">
            <v>60</v>
          </cell>
        </row>
        <row r="324">
          <cell r="A324" t="str">
            <v>CFRHS40x40x4</v>
          </cell>
          <cell r="B324">
            <v>1</v>
          </cell>
          <cell r="C324">
            <v>1</v>
          </cell>
          <cell r="D324">
            <v>0.14599999999999999</v>
          </cell>
          <cell r="E324">
            <v>3.75</v>
          </cell>
          <cell r="F324">
            <v>2</v>
          </cell>
          <cell r="G324">
            <v>5</v>
          </cell>
          <cell r="H324">
            <v>10</v>
          </cell>
          <cell r="I324">
            <v>20</v>
          </cell>
          <cell r="J324">
            <v>30</v>
          </cell>
          <cell r="K324">
            <v>60</v>
          </cell>
        </row>
        <row r="325">
          <cell r="A325" t="str">
            <v>CFRHS40x40x5</v>
          </cell>
          <cell r="B325">
            <v>1</v>
          </cell>
          <cell r="C325">
            <v>1</v>
          </cell>
          <cell r="D325">
            <v>0.14599999999999999</v>
          </cell>
          <cell r="E325">
            <v>4.91</v>
          </cell>
          <cell r="F325">
            <v>2</v>
          </cell>
          <cell r="G325">
            <v>5</v>
          </cell>
          <cell r="H325">
            <v>10</v>
          </cell>
          <cell r="I325">
            <v>20</v>
          </cell>
          <cell r="J325">
            <v>30</v>
          </cell>
          <cell r="K325">
            <v>60</v>
          </cell>
        </row>
        <row r="326">
          <cell r="A326" t="str">
            <v>CFRHS50x50x2</v>
          </cell>
          <cell r="B326">
            <v>1</v>
          </cell>
          <cell r="C326">
            <v>1</v>
          </cell>
          <cell r="D326">
            <v>0.193</v>
          </cell>
          <cell r="E326">
            <v>2.96</v>
          </cell>
          <cell r="F326">
            <v>2</v>
          </cell>
          <cell r="G326">
            <v>5</v>
          </cell>
          <cell r="H326">
            <v>10</v>
          </cell>
          <cell r="I326">
            <v>20</v>
          </cell>
          <cell r="J326">
            <v>30</v>
          </cell>
          <cell r="K326">
            <v>60</v>
          </cell>
        </row>
        <row r="327">
          <cell r="A327" t="str">
            <v>CFRHS50x50x3</v>
          </cell>
          <cell r="B327">
            <v>1</v>
          </cell>
          <cell r="C327">
            <v>1</v>
          </cell>
          <cell r="D327">
            <v>0.19</v>
          </cell>
          <cell r="E327">
            <v>4.26</v>
          </cell>
          <cell r="F327">
            <v>2</v>
          </cell>
          <cell r="G327">
            <v>5</v>
          </cell>
          <cell r="H327">
            <v>10</v>
          </cell>
          <cell r="I327">
            <v>20</v>
          </cell>
          <cell r="J327">
            <v>30</v>
          </cell>
          <cell r="K327">
            <v>60</v>
          </cell>
        </row>
        <row r="328">
          <cell r="A328" t="str">
            <v>CFRHS50x50x4</v>
          </cell>
          <cell r="B328">
            <v>1</v>
          </cell>
          <cell r="C328">
            <v>1</v>
          </cell>
          <cell r="D328">
            <v>0.186</v>
          </cell>
          <cell r="E328">
            <v>5.45</v>
          </cell>
          <cell r="F328">
            <v>2</v>
          </cell>
          <cell r="G328">
            <v>5</v>
          </cell>
          <cell r="H328">
            <v>10</v>
          </cell>
          <cell r="I328">
            <v>20</v>
          </cell>
          <cell r="J328">
            <v>30</v>
          </cell>
          <cell r="K328">
            <v>60</v>
          </cell>
        </row>
        <row r="329">
          <cell r="A329" t="str">
            <v>CFRHS50x50x5</v>
          </cell>
          <cell r="B329">
            <v>1</v>
          </cell>
          <cell r="C329">
            <v>1</v>
          </cell>
          <cell r="D329">
            <v>0.17899999999999999</v>
          </cell>
          <cell r="E329">
            <v>6.51</v>
          </cell>
          <cell r="F329">
            <v>2</v>
          </cell>
          <cell r="G329">
            <v>5</v>
          </cell>
          <cell r="H329">
            <v>10</v>
          </cell>
          <cell r="I329">
            <v>20</v>
          </cell>
          <cell r="J329">
            <v>30</v>
          </cell>
          <cell r="K329">
            <v>60</v>
          </cell>
        </row>
        <row r="330">
          <cell r="A330" t="str">
            <v>CFRHS60x60x2</v>
          </cell>
          <cell r="B330">
            <v>1</v>
          </cell>
          <cell r="C330">
            <v>1</v>
          </cell>
          <cell r="D330">
            <v>0.23300000000000001</v>
          </cell>
          <cell r="E330">
            <v>3.56</v>
          </cell>
          <cell r="F330">
            <v>2</v>
          </cell>
          <cell r="G330">
            <v>5</v>
          </cell>
          <cell r="H330">
            <v>10</v>
          </cell>
          <cell r="I330">
            <v>20</v>
          </cell>
          <cell r="J330">
            <v>30</v>
          </cell>
          <cell r="K330">
            <v>60</v>
          </cell>
        </row>
        <row r="331">
          <cell r="A331" t="str">
            <v>CFRHS60x60x3</v>
          </cell>
          <cell r="B331">
            <v>1</v>
          </cell>
          <cell r="C331">
            <v>1</v>
          </cell>
          <cell r="D331">
            <v>0.23</v>
          </cell>
          <cell r="E331">
            <v>5.22</v>
          </cell>
          <cell r="F331">
            <v>2</v>
          </cell>
          <cell r="G331">
            <v>5</v>
          </cell>
          <cell r="H331">
            <v>10</v>
          </cell>
          <cell r="I331">
            <v>20</v>
          </cell>
          <cell r="J331">
            <v>30</v>
          </cell>
          <cell r="K331">
            <v>60</v>
          </cell>
        </row>
        <row r="332">
          <cell r="A332" t="str">
            <v>CFRHS60x60x4</v>
          </cell>
          <cell r="B332">
            <v>1</v>
          </cell>
          <cell r="C332">
            <v>1</v>
          </cell>
          <cell r="D332">
            <v>0.22600000000000001</v>
          </cell>
          <cell r="E332">
            <v>6.73</v>
          </cell>
          <cell r="F332">
            <v>2</v>
          </cell>
          <cell r="G332">
            <v>5</v>
          </cell>
          <cell r="H332">
            <v>10</v>
          </cell>
          <cell r="I332">
            <v>20</v>
          </cell>
          <cell r="J332">
            <v>30</v>
          </cell>
          <cell r="K332">
            <v>60</v>
          </cell>
        </row>
        <row r="333">
          <cell r="A333" t="str">
            <v>CFRHS60x60x5</v>
          </cell>
          <cell r="B333">
            <v>1</v>
          </cell>
          <cell r="C333">
            <v>1</v>
          </cell>
          <cell r="D333">
            <v>0.219</v>
          </cell>
          <cell r="E333">
            <v>8.11</v>
          </cell>
          <cell r="F333">
            <v>2</v>
          </cell>
          <cell r="G333">
            <v>5</v>
          </cell>
          <cell r="H333">
            <v>10</v>
          </cell>
          <cell r="I333">
            <v>20</v>
          </cell>
          <cell r="J333">
            <v>30</v>
          </cell>
          <cell r="K333">
            <v>60</v>
          </cell>
        </row>
        <row r="334">
          <cell r="A334" t="str">
            <v>CFRHS60x60x6</v>
          </cell>
          <cell r="B334">
            <v>1</v>
          </cell>
          <cell r="C334">
            <v>1</v>
          </cell>
          <cell r="D334">
            <v>0.219</v>
          </cell>
          <cell r="E334">
            <v>9.3800000000000008</v>
          </cell>
          <cell r="F334">
            <v>2</v>
          </cell>
          <cell r="G334">
            <v>5</v>
          </cell>
          <cell r="H334">
            <v>10</v>
          </cell>
          <cell r="I334">
            <v>20</v>
          </cell>
          <cell r="J334">
            <v>30</v>
          </cell>
          <cell r="K334">
            <v>60</v>
          </cell>
        </row>
        <row r="335">
          <cell r="A335" t="str">
            <v>CFRHS70x70x2.5</v>
          </cell>
          <cell r="B335">
            <v>1</v>
          </cell>
          <cell r="C335">
            <v>1</v>
          </cell>
          <cell r="D335">
            <v>0.27100000000000002</v>
          </cell>
          <cell r="E335">
            <v>4.24</v>
          </cell>
          <cell r="F335">
            <v>2</v>
          </cell>
          <cell r="G335">
            <v>5</v>
          </cell>
          <cell r="H335">
            <v>10</v>
          </cell>
          <cell r="I335">
            <v>20</v>
          </cell>
          <cell r="J335">
            <v>30</v>
          </cell>
          <cell r="K335">
            <v>60</v>
          </cell>
        </row>
        <row r="336">
          <cell r="A336" t="str">
            <v>CFRHS70x70x3</v>
          </cell>
          <cell r="B336">
            <v>1</v>
          </cell>
          <cell r="C336">
            <v>1</v>
          </cell>
          <cell r="D336">
            <v>0.27</v>
          </cell>
          <cell r="E336">
            <v>6.18</v>
          </cell>
          <cell r="F336">
            <v>2</v>
          </cell>
          <cell r="G336">
            <v>5</v>
          </cell>
          <cell r="H336">
            <v>10</v>
          </cell>
          <cell r="I336">
            <v>20</v>
          </cell>
          <cell r="J336">
            <v>30</v>
          </cell>
          <cell r="K336">
            <v>60</v>
          </cell>
        </row>
        <row r="337">
          <cell r="A337" t="str">
            <v>CFRHS70x70x4</v>
          </cell>
          <cell r="B337">
            <v>1</v>
          </cell>
          <cell r="C337">
            <v>1</v>
          </cell>
          <cell r="D337">
            <v>0.26600000000000001</v>
          </cell>
          <cell r="E337">
            <v>8.01</v>
          </cell>
          <cell r="F337">
            <v>2</v>
          </cell>
          <cell r="G337">
            <v>5</v>
          </cell>
          <cell r="H337">
            <v>10</v>
          </cell>
          <cell r="I337">
            <v>20</v>
          </cell>
          <cell r="J337">
            <v>30</v>
          </cell>
          <cell r="K337">
            <v>60</v>
          </cell>
        </row>
        <row r="338">
          <cell r="A338" t="str">
            <v>CFRHS70x70x5</v>
          </cell>
          <cell r="B338">
            <v>1</v>
          </cell>
          <cell r="C338">
            <v>1</v>
          </cell>
          <cell r="D338">
            <v>0.25900000000000001</v>
          </cell>
          <cell r="E338">
            <v>9.7100000000000009</v>
          </cell>
          <cell r="F338">
            <v>2</v>
          </cell>
          <cell r="G338">
            <v>5</v>
          </cell>
          <cell r="H338">
            <v>10</v>
          </cell>
          <cell r="I338">
            <v>20</v>
          </cell>
          <cell r="J338">
            <v>30</v>
          </cell>
          <cell r="K338">
            <v>60</v>
          </cell>
        </row>
        <row r="339">
          <cell r="A339" t="str">
            <v>CFRHS70x70x6</v>
          </cell>
          <cell r="B339">
            <v>1</v>
          </cell>
          <cell r="C339">
            <v>1</v>
          </cell>
          <cell r="D339">
            <v>0.25900000000000001</v>
          </cell>
          <cell r="E339">
            <v>11.3</v>
          </cell>
          <cell r="F339">
            <v>2</v>
          </cell>
          <cell r="G339">
            <v>5</v>
          </cell>
          <cell r="H339">
            <v>10</v>
          </cell>
          <cell r="I339">
            <v>20</v>
          </cell>
          <cell r="J339">
            <v>30</v>
          </cell>
          <cell r="K339">
            <v>60</v>
          </cell>
        </row>
        <row r="340">
          <cell r="A340" t="str">
            <v>CFRHS80x80x3</v>
          </cell>
          <cell r="B340">
            <v>1</v>
          </cell>
          <cell r="C340">
            <v>1</v>
          </cell>
          <cell r="D340">
            <v>0.31</v>
          </cell>
          <cell r="E340">
            <v>7.14</v>
          </cell>
          <cell r="F340">
            <v>2</v>
          </cell>
          <cell r="G340">
            <v>5</v>
          </cell>
          <cell r="H340">
            <v>10</v>
          </cell>
          <cell r="I340">
            <v>20</v>
          </cell>
          <cell r="J340">
            <v>30</v>
          </cell>
          <cell r="K340">
            <v>60</v>
          </cell>
        </row>
        <row r="341">
          <cell r="A341" t="str">
            <v>CFRHS80x80x4</v>
          </cell>
          <cell r="B341">
            <v>1</v>
          </cell>
          <cell r="C341">
            <v>1</v>
          </cell>
          <cell r="D341">
            <v>0.30599999999999999</v>
          </cell>
          <cell r="E341">
            <v>9.2899999999999991</v>
          </cell>
          <cell r="F341">
            <v>2</v>
          </cell>
          <cell r="G341">
            <v>5</v>
          </cell>
          <cell r="H341">
            <v>10</v>
          </cell>
          <cell r="I341">
            <v>20</v>
          </cell>
          <cell r="J341">
            <v>30</v>
          </cell>
          <cell r="K341">
            <v>60</v>
          </cell>
        </row>
        <row r="342">
          <cell r="A342" t="str">
            <v>CFRHS80x80x5</v>
          </cell>
          <cell r="B342">
            <v>1</v>
          </cell>
          <cell r="C342">
            <v>1</v>
          </cell>
          <cell r="D342">
            <v>0.29899999999999999</v>
          </cell>
          <cell r="E342">
            <v>11.3</v>
          </cell>
          <cell r="F342">
            <v>2</v>
          </cell>
          <cell r="G342">
            <v>5</v>
          </cell>
          <cell r="H342">
            <v>10</v>
          </cell>
          <cell r="I342">
            <v>20</v>
          </cell>
          <cell r="J342">
            <v>30</v>
          </cell>
          <cell r="K342">
            <v>60</v>
          </cell>
        </row>
        <row r="343">
          <cell r="A343" t="str">
            <v>CFRHS80x80x6</v>
          </cell>
          <cell r="B343">
            <v>1</v>
          </cell>
          <cell r="C343">
            <v>1</v>
          </cell>
          <cell r="D343">
            <v>0.29899999999999999</v>
          </cell>
          <cell r="E343">
            <v>13.2</v>
          </cell>
          <cell r="F343">
            <v>2</v>
          </cell>
          <cell r="G343">
            <v>5</v>
          </cell>
          <cell r="H343">
            <v>10</v>
          </cell>
          <cell r="I343">
            <v>20</v>
          </cell>
          <cell r="J343">
            <v>30</v>
          </cell>
          <cell r="K343">
            <v>60</v>
          </cell>
        </row>
        <row r="344">
          <cell r="A344" t="str">
            <v>CFRHS80x80x8</v>
          </cell>
          <cell r="B344">
            <v>1</v>
          </cell>
          <cell r="C344">
            <v>2</v>
          </cell>
          <cell r="D344">
            <v>0.29899999999999999</v>
          </cell>
          <cell r="E344">
            <v>17.600000000000001</v>
          </cell>
          <cell r="F344">
            <v>2</v>
          </cell>
          <cell r="G344">
            <v>5</v>
          </cell>
          <cell r="H344">
            <v>10</v>
          </cell>
          <cell r="I344">
            <v>20</v>
          </cell>
          <cell r="J344">
            <v>30</v>
          </cell>
          <cell r="K344">
            <v>60</v>
          </cell>
        </row>
        <row r="345">
          <cell r="A345" t="str">
            <v>CFRHS90x90x3</v>
          </cell>
          <cell r="B345">
            <v>1</v>
          </cell>
          <cell r="C345">
            <v>1</v>
          </cell>
          <cell r="D345">
            <v>0.35</v>
          </cell>
          <cell r="E345">
            <v>8.1</v>
          </cell>
          <cell r="F345">
            <v>2</v>
          </cell>
          <cell r="G345">
            <v>5</v>
          </cell>
          <cell r="H345">
            <v>10</v>
          </cell>
          <cell r="I345">
            <v>20</v>
          </cell>
          <cell r="J345">
            <v>30</v>
          </cell>
          <cell r="K345">
            <v>60</v>
          </cell>
        </row>
        <row r="346">
          <cell r="A346" t="str">
            <v>CFRHS90x90x4</v>
          </cell>
          <cell r="B346">
            <v>1</v>
          </cell>
          <cell r="C346">
            <v>1</v>
          </cell>
          <cell r="D346">
            <v>0.34599999999999997</v>
          </cell>
          <cell r="E346">
            <v>10.6</v>
          </cell>
          <cell r="F346">
            <v>2</v>
          </cell>
          <cell r="G346">
            <v>5</v>
          </cell>
          <cell r="H346">
            <v>10</v>
          </cell>
          <cell r="I346">
            <v>20</v>
          </cell>
          <cell r="J346">
            <v>30</v>
          </cell>
          <cell r="K346">
            <v>60</v>
          </cell>
        </row>
        <row r="347">
          <cell r="A347" t="str">
            <v>CFRHS90x90x5</v>
          </cell>
          <cell r="B347">
            <v>1</v>
          </cell>
          <cell r="C347">
            <v>1</v>
          </cell>
          <cell r="D347">
            <v>0.33900000000000002</v>
          </cell>
          <cell r="E347">
            <v>12.9</v>
          </cell>
          <cell r="F347">
            <v>2</v>
          </cell>
          <cell r="G347">
            <v>5</v>
          </cell>
          <cell r="H347">
            <v>10</v>
          </cell>
          <cell r="I347">
            <v>20</v>
          </cell>
          <cell r="J347">
            <v>30</v>
          </cell>
          <cell r="K347">
            <v>60</v>
          </cell>
        </row>
        <row r="348">
          <cell r="A348" t="str">
            <v>CFRHS90x90x6</v>
          </cell>
          <cell r="B348">
            <v>1</v>
          </cell>
          <cell r="C348">
            <v>1</v>
          </cell>
          <cell r="D348">
            <v>0.33900000000000002</v>
          </cell>
          <cell r="E348">
            <v>15.1</v>
          </cell>
          <cell r="F348">
            <v>2</v>
          </cell>
          <cell r="G348">
            <v>5</v>
          </cell>
          <cell r="H348">
            <v>10</v>
          </cell>
          <cell r="I348">
            <v>20</v>
          </cell>
          <cell r="J348">
            <v>30</v>
          </cell>
          <cell r="K348">
            <v>60</v>
          </cell>
        </row>
        <row r="349">
          <cell r="A349" t="str">
            <v>CFRHS100x100x3</v>
          </cell>
          <cell r="B349">
            <v>1</v>
          </cell>
          <cell r="C349">
            <v>1</v>
          </cell>
          <cell r="D349">
            <v>0.39</v>
          </cell>
          <cell r="E349">
            <v>9.06</v>
          </cell>
          <cell r="F349">
            <v>2</v>
          </cell>
          <cell r="G349">
            <v>5</v>
          </cell>
          <cell r="H349">
            <v>10</v>
          </cell>
          <cell r="I349">
            <v>20</v>
          </cell>
          <cell r="J349">
            <v>30</v>
          </cell>
          <cell r="K349">
            <v>60</v>
          </cell>
        </row>
        <row r="350">
          <cell r="A350" t="str">
            <v>CFRHS100x100x4</v>
          </cell>
          <cell r="B350">
            <v>1</v>
          </cell>
          <cell r="C350">
            <v>1</v>
          </cell>
          <cell r="D350">
            <v>0.38600000000000001</v>
          </cell>
          <cell r="E350">
            <v>11.6</v>
          </cell>
          <cell r="F350">
            <v>2</v>
          </cell>
          <cell r="G350">
            <v>5</v>
          </cell>
          <cell r="H350">
            <v>10</v>
          </cell>
          <cell r="I350">
            <v>20</v>
          </cell>
          <cell r="J350">
            <v>30</v>
          </cell>
          <cell r="K350">
            <v>60</v>
          </cell>
        </row>
        <row r="351">
          <cell r="A351" t="str">
            <v>CFRHS100x100x5</v>
          </cell>
          <cell r="B351">
            <v>1</v>
          </cell>
          <cell r="C351">
            <v>1</v>
          </cell>
          <cell r="D351">
            <v>0.379</v>
          </cell>
          <cell r="E351">
            <v>14.2</v>
          </cell>
          <cell r="F351">
            <v>2</v>
          </cell>
          <cell r="G351">
            <v>5</v>
          </cell>
          <cell r="H351">
            <v>10</v>
          </cell>
          <cell r="I351">
            <v>20</v>
          </cell>
          <cell r="J351">
            <v>30</v>
          </cell>
          <cell r="K351">
            <v>60</v>
          </cell>
        </row>
        <row r="352">
          <cell r="A352" t="str">
            <v>CFRHS100x100x6</v>
          </cell>
          <cell r="B352">
            <v>1</v>
          </cell>
          <cell r="C352">
            <v>1</v>
          </cell>
          <cell r="D352">
            <v>0.379</v>
          </cell>
          <cell r="E352">
            <v>16.7</v>
          </cell>
          <cell r="F352">
            <v>2</v>
          </cell>
          <cell r="G352">
            <v>5</v>
          </cell>
          <cell r="H352">
            <v>10</v>
          </cell>
          <cell r="I352">
            <v>20</v>
          </cell>
          <cell r="J352">
            <v>30</v>
          </cell>
          <cell r="K352">
            <v>60</v>
          </cell>
        </row>
        <row r="353">
          <cell r="A353" t="str">
            <v>CFRHS100x100x8</v>
          </cell>
          <cell r="B353">
            <v>2</v>
          </cell>
          <cell r="C353">
            <v>3</v>
          </cell>
          <cell r="D353">
            <v>0.36599999999999999</v>
          </cell>
          <cell r="E353">
            <v>21.8</v>
          </cell>
          <cell r="F353">
            <v>5</v>
          </cell>
          <cell r="G353">
            <v>10</v>
          </cell>
          <cell r="H353">
            <v>20</v>
          </cell>
          <cell r="I353">
            <v>30</v>
          </cell>
          <cell r="J353">
            <v>60</v>
          </cell>
          <cell r="K353">
            <v>90</v>
          </cell>
        </row>
        <row r="354">
          <cell r="A354" t="str">
            <v>CFRHS100x100x10</v>
          </cell>
          <cell r="B354">
            <v>2</v>
          </cell>
          <cell r="C354">
            <v>6</v>
          </cell>
          <cell r="D354">
            <v>0.35699999999999998</v>
          </cell>
          <cell r="E354">
            <v>26.1</v>
          </cell>
          <cell r="F354">
            <v>5</v>
          </cell>
          <cell r="G354">
            <v>10</v>
          </cell>
          <cell r="H354">
            <v>20</v>
          </cell>
          <cell r="I354">
            <v>30</v>
          </cell>
          <cell r="J354">
            <v>60</v>
          </cell>
          <cell r="K354">
            <v>90</v>
          </cell>
        </row>
        <row r="355">
          <cell r="A355" t="str">
            <v>CFRHS110x110x4</v>
          </cell>
          <cell r="B355">
            <v>1</v>
          </cell>
          <cell r="C355">
            <v>1</v>
          </cell>
          <cell r="D355">
            <v>0.43</v>
          </cell>
          <cell r="E355">
            <v>13.1</v>
          </cell>
          <cell r="F355">
            <v>2</v>
          </cell>
          <cell r="G355">
            <v>5</v>
          </cell>
          <cell r="H355">
            <v>10</v>
          </cell>
          <cell r="I355">
            <v>20</v>
          </cell>
          <cell r="J355">
            <v>30</v>
          </cell>
          <cell r="K355">
            <v>60</v>
          </cell>
        </row>
        <row r="356">
          <cell r="A356" t="str">
            <v>CFRHS110x110x5</v>
          </cell>
          <cell r="B356">
            <v>1</v>
          </cell>
          <cell r="C356">
            <v>1</v>
          </cell>
          <cell r="D356">
            <v>0.43</v>
          </cell>
          <cell r="E356">
            <v>16.100000000000001</v>
          </cell>
          <cell r="F356">
            <v>2</v>
          </cell>
          <cell r="G356">
            <v>5</v>
          </cell>
          <cell r="H356">
            <v>10</v>
          </cell>
          <cell r="I356">
            <v>20</v>
          </cell>
          <cell r="J356">
            <v>30</v>
          </cell>
          <cell r="K356">
            <v>60</v>
          </cell>
        </row>
        <row r="357">
          <cell r="A357" t="str">
            <v>CFRHS110x110x6</v>
          </cell>
          <cell r="B357">
            <v>1</v>
          </cell>
          <cell r="C357">
            <v>2</v>
          </cell>
          <cell r="D357">
            <v>0.43</v>
          </cell>
          <cell r="E357">
            <v>19</v>
          </cell>
          <cell r="F357">
            <v>2</v>
          </cell>
          <cell r="G357">
            <v>5</v>
          </cell>
          <cell r="H357">
            <v>10</v>
          </cell>
          <cell r="I357">
            <v>20</v>
          </cell>
          <cell r="J357">
            <v>30</v>
          </cell>
          <cell r="K357">
            <v>60</v>
          </cell>
        </row>
        <row r="358">
          <cell r="A358" t="str">
            <v>CFRHS120x120x3</v>
          </cell>
          <cell r="B358">
            <v>1</v>
          </cell>
          <cell r="C358">
            <v>1</v>
          </cell>
          <cell r="D358">
            <v>0.47</v>
          </cell>
          <cell r="E358">
            <v>11</v>
          </cell>
          <cell r="F358">
            <v>2</v>
          </cell>
          <cell r="G358">
            <v>5</v>
          </cell>
          <cell r="H358">
            <v>10</v>
          </cell>
          <cell r="I358">
            <v>20</v>
          </cell>
          <cell r="J358">
            <v>30</v>
          </cell>
          <cell r="K358">
            <v>60</v>
          </cell>
        </row>
        <row r="359">
          <cell r="A359" t="str">
            <v>CFRHS120x120x4</v>
          </cell>
          <cell r="B359">
            <v>1</v>
          </cell>
          <cell r="C359">
            <v>1</v>
          </cell>
          <cell r="D359">
            <v>0.46600000000000003</v>
          </cell>
          <cell r="E359">
            <v>14.4</v>
          </cell>
          <cell r="F359">
            <v>2</v>
          </cell>
          <cell r="G359">
            <v>5</v>
          </cell>
          <cell r="H359">
            <v>10</v>
          </cell>
          <cell r="I359">
            <v>20</v>
          </cell>
          <cell r="J359">
            <v>30</v>
          </cell>
          <cell r="K359">
            <v>60</v>
          </cell>
        </row>
        <row r="360">
          <cell r="A360" t="str">
            <v>CFRHS120x120x5</v>
          </cell>
          <cell r="B360">
            <v>1</v>
          </cell>
          <cell r="C360">
            <v>1</v>
          </cell>
          <cell r="D360">
            <v>0.45900000000000002</v>
          </cell>
          <cell r="E360">
            <v>17.7</v>
          </cell>
          <cell r="F360">
            <v>2</v>
          </cell>
          <cell r="G360">
            <v>5</v>
          </cell>
          <cell r="H360">
            <v>10</v>
          </cell>
          <cell r="I360">
            <v>20</v>
          </cell>
          <cell r="J360">
            <v>30</v>
          </cell>
          <cell r="K360">
            <v>60</v>
          </cell>
        </row>
        <row r="361">
          <cell r="A361" t="str">
            <v>CFRHS120x120x6</v>
          </cell>
          <cell r="B361">
            <v>2</v>
          </cell>
          <cell r="C361">
            <v>2</v>
          </cell>
          <cell r="D361">
            <v>0.45900000000000002</v>
          </cell>
          <cell r="E361">
            <v>20.9</v>
          </cell>
          <cell r="F361">
            <v>5</v>
          </cell>
          <cell r="G361">
            <v>10</v>
          </cell>
          <cell r="H361">
            <v>20</v>
          </cell>
          <cell r="I361">
            <v>30</v>
          </cell>
          <cell r="J361">
            <v>60</v>
          </cell>
          <cell r="K361">
            <v>90</v>
          </cell>
        </row>
        <row r="362">
          <cell r="A362" t="str">
            <v>CFRHS120x120x8</v>
          </cell>
          <cell r="B362">
            <v>2</v>
          </cell>
          <cell r="C362">
            <v>3</v>
          </cell>
          <cell r="D362">
            <v>0.44600000000000001</v>
          </cell>
          <cell r="E362">
            <v>26.9</v>
          </cell>
          <cell r="F362">
            <v>5</v>
          </cell>
          <cell r="G362">
            <v>10</v>
          </cell>
          <cell r="H362">
            <v>20</v>
          </cell>
          <cell r="I362">
            <v>30</v>
          </cell>
          <cell r="J362">
            <v>60</v>
          </cell>
          <cell r="K362">
            <v>90</v>
          </cell>
        </row>
        <row r="363">
          <cell r="A363" t="str">
            <v>CFRHS120x120x10</v>
          </cell>
          <cell r="B363">
            <v>2</v>
          </cell>
          <cell r="C363">
            <v>6</v>
          </cell>
          <cell r="D363">
            <v>0.437</v>
          </cell>
          <cell r="E363">
            <v>32.5</v>
          </cell>
          <cell r="F363">
            <v>5</v>
          </cell>
          <cell r="G363">
            <v>10</v>
          </cell>
          <cell r="H363">
            <v>20</v>
          </cell>
          <cell r="I363">
            <v>30</v>
          </cell>
          <cell r="J363">
            <v>60</v>
          </cell>
          <cell r="K363">
            <v>90</v>
          </cell>
        </row>
        <row r="364">
          <cell r="A364" t="str">
            <v>CFRHS120x120x12.5</v>
          </cell>
          <cell r="B364">
            <v>2</v>
          </cell>
          <cell r="C364">
            <v>6</v>
          </cell>
          <cell r="D364">
            <v>0.41599999999999998</v>
          </cell>
          <cell r="E364">
            <v>38.700000000000003</v>
          </cell>
          <cell r="F364">
            <v>5</v>
          </cell>
          <cell r="G364">
            <v>10</v>
          </cell>
          <cell r="H364">
            <v>20</v>
          </cell>
          <cell r="I364">
            <v>30</v>
          </cell>
          <cell r="J364">
            <v>60</v>
          </cell>
          <cell r="K364">
            <v>90</v>
          </cell>
        </row>
        <row r="365">
          <cell r="A365" t="str">
            <v>CFRHS140x140x4</v>
          </cell>
          <cell r="B365">
            <v>1</v>
          </cell>
          <cell r="C365">
            <v>1</v>
          </cell>
          <cell r="D365">
            <v>0.54600000000000004</v>
          </cell>
          <cell r="E365">
            <v>17</v>
          </cell>
          <cell r="F365">
            <v>2</v>
          </cell>
          <cell r="G365">
            <v>5</v>
          </cell>
          <cell r="H365">
            <v>10</v>
          </cell>
          <cell r="I365">
            <v>20</v>
          </cell>
          <cell r="J365">
            <v>30</v>
          </cell>
          <cell r="K365">
            <v>60</v>
          </cell>
        </row>
        <row r="366">
          <cell r="A366" t="str">
            <v>CFRHS140x140x5</v>
          </cell>
          <cell r="B366">
            <v>2</v>
          </cell>
          <cell r="C366">
            <v>1</v>
          </cell>
          <cell r="D366">
            <v>0.53900000000000003</v>
          </cell>
          <cell r="E366">
            <v>20.9</v>
          </cell>
          <cell r="F366">
            <v>5</v>
          </cell>
          <cell r="G366">
            <v>10</v>
          </cell>
          <cell r="H366">
            <v>20</v>
          </cell>
          <cell r="I366">
            <v>30</v>
          </cell>
          <cell r="J366">
            <v>60</v>
          </cell>
          <cell r="K366">
            <v>90</v>
          </cell>
        </row>
        <row r="367">
          <cell r="A367" t="str">
            <v>CFRHS140x140x5.6</v>
          </cell>
          <cell r="B367">
            <v>2</v>
          </cell>
          <cell r="C367">
            <v>1</v>
          </cell>
          <cell r="D367">
            <v>0.54100000000000004</v>
          </cell>
          <cell r="E367">
            <v>23</v>
          </cell>
          <cell r="F367">
            <v>5</v>
          </cell>
          <cell r="G367">
            <v>10</v>
          </cell>
          <cell r="H367">
            <v>20</v>
          </cell>
          <cell r="I367">
            <v>30</v>
          </cell>
          <cell r="J367">
            <v>60</v>
          </cell>
          <cell r="K367">
            <v>90</v>
          </cell>
        </row>
        <row r="368">
          <cell r="A368" t="str">
            <v>CFRHS140x140x6</v>
          </cell>
          <cell r="B368">
            <v>2</v>
          </cell>
          <cell r="C368">
            <v>2</v>
          </cell>
          <cell r="D368">
            <v>0.53900000000000003</v>
          </cell>
          <cell r="E368">
            <v>24.7</v>
          </cell>
          <cell r="F368">
            <v>5</v>
          </cell>
          <cell r="G368">
            <v>10</v>
          </cell>
          <cell r="H368">
            <v>20</v>
          </cell>
          <cell r="I368">
            <v>30</v>
          </cell>
          <cell r="J368">
            <v>60</v>
          </cell>
          <cell r="K368">
            <v>90</v>
          </cell>
        </row>
        <row r="369">
          <cell r="A369" t="str">
            <v>CFRHS140x140x8</v>
          </cell>
          <cell r="B369">
            <v>2</v>
          </cell>
          <cell r="C369">
            <v>3</v>
          </cell>
          <cell r="D369">
            <v>0.52600000000000002</v>
          </cell>
          <cell r="E369">
            <v>32</v>
          </cell>
          <cell r="F369">
            <v>5</v>
          </cell>
          <cell r="G369">
            <v>10</v>
          </cell>
          <cell r="H369">
            <v>20</v>
          </cell>
          <cell r="I369">
            <v>30</v>
          </cell>
          <cell r="J369">
            <v>60</v>
          </cell>
          <cell r="K369">
            <v>90</v>
          </cell>
        </row>
        <row r="370">
          <cell r="A370" t="str">
            <v>CFRHS140x140x10</v>
          </cell>
          <cell r="B370">
            <v>2</v>
          </cell>
          <cell r="C370">
            <v>6</v>
          </cell>
          <cell r="D370">
            <v>0.51700000000000002</v>
          </cell>
          <cell r="E370">
            <v>38.9</v>
          </cell>
          <cell r="F370">
            <v>5</v>
          </cell>
          <cell r="G370">
            <v>10</v>
          </cell>
          <cell r="H370">
            <v>20</v>
          </cell>
          <cell r="I370">
            <v>30</v>
          </cell>
          <cell r="J370">
            <v>60</v>
          </cell>
          <cell r="K370">
            <v>90</v>
          </cell>
        </row>
        <row r="371">
          <cell r="A371" t="str">
            <v>CFRHS150x150x4</v>
          </cell>
          <cell r="B371">
            <v>1</v>
          </cell>
          <cell r="C371">
            <v>1</v>
          </cell>
          <cell r="D371">
            <v>0.58599999999999997</v>
          </cell>
          <cell r="E371">
            <v>18.2</v>
          </cell>
          <cell r="F371">
            <v>2</v>
          </cell>
          <cell r="G371">
            <v>5</v>
          </cell>
          <cell r="H371">
            <v>10</v>
          </cell>
          <cell r="I371">
            <v>20</v>
          </cell>
          <cell r="J371">
            <v>30</v>
          </cell>
          <cell r="K371">
            <v>60</v>
          </cell>
        </row>
        <row r="372">
          <cell r="A372" t="str">
            <v>CFRHS150x150x5</v>
          </cell>
          <cell r="B372">
            <v>2</v>
          </cell>
          <cell r="C372">
            <v>1</v>
          </cell>
          <cell r="D372">
            <v>0.57899999999999996</v>
          </cell>
          <cell r="E372">
            <v>22.5</v>
          </cell>
          <cell r="F372">
            <v>5</v>
          </cell>
          <cell r="G372">
            <v>10</v>
          </cell>
          <cell r="H372">
            <v>20</v>
          </cell>
          <cell r="I372">
            <v>30</v>
          </cell>
          <cell r="J372">
            <v>60</v>
          </cell>
          <cell r="K372">
            <v>90</v>
          </cell>
        </row>
        <row r="373">
          <cell r="A373" t="str">
            <v>CFRHS150x150x6</v>
          </cell>
          <cell r="B373">
            <v>2</v>
          </cell>
          <cell r="C373">
            <v>2</v>
          </cell>
          <cell r="D373">
            <v>0.57899999999999996</v>
          </cell>
          <cell r="E373">
            <v>26.7</v>
          </cell>
          <cell r="F373">
            <v>5</v>
          </cell>
          <cell r="G373">
            <v>10</v>
          </cell>
          <cell r="H373">
            <v>20</v>
          </cell>
          <cell r="I373">
            <v>30</v>
          </cell>
          <cell r="J373">
            <v>60</v>
          </cell>
          <cell r="K373">
            <v>90</v>
          </cell>
        </row>
        <row r="374">
          <cell r="A374" t="str">
            <v>CFRHS150x150x8</v>
          </cell>
          <cell r="B374">
            <v>2</v>
          </cell>
          <cell r="C374">
            <v>3</v>
          </cell>
          <cell r="D374">
            <v>0.56599999999999995</v>
          </cell>
          <cell r="E374">
            <v>34.6</v>
          </cell>
          <cell r="F374">
            <v>5</v>
          </cell>
          <cell r="G374">
            <v>10</v>
          </cell>
          <cell r="H374">
            <v>20</v>
          </cell>
          <cell r="I374">
            <v>30</v>
          </cell>
          <cell r="J374">
            <v>60</v>
          </cell>
          <cell r="K374">
            <v>90</v>
          </cell>
        </row>
        <row r="375">
          <cell r="A375" t="str">
            <v>CFRHS150x150x10</v>
          </cell>
          <cell r="B375">
            <v>2</v>
          </cell>
          <cell r="C375">
            <v>6</v>
          </cell>
          <cell r="D375">
            <v>0.55700000000000005</v>
          </cell>
          <cell r="E375">
            <v>42.1</v>
          </cell>
          <cell r="F375">
            <v>5</v>
          </cell>
          <cell r="G375">
            <v>10</v>
          </cell>
          <cell r="H375">
            <v>20</v>
          </cell>
          <cell r="I375">
            <v>30</v>
          </cell>
          <cell r="J375">
            <v>60</v>
          </cell>
          <cell r="K375">
            <v>90</v>
          </cell>
        </row>
        <row r="376">
          <cell r="A376" t="str">
            <v>CFRHS150x150x12.5</v>
          </cell>
          <cell r="B376">
            <v>2</v>
          </cell>
          <cell r="C376">
            <v>6</v>
          </cell>
          <cell r="D376">
            <v>0.53600000000000003</v>
          </cell>
          <cell r="E376">
            <v>47</v>
          </cell>
          <cell r="F376">
            <v>5</v>
          </cell>
          <cell r="G376">
            <v>10</v>
          </cell>
          <cell r="H376">
            <v>20</v>
          </cell>
          <cell r="I376">
            <v>30</v>
          </cell>
          <cell r="J376">
            <v>60</v>
          </cell>
          <cell r="K376">
            <v>90</v>
          </cell>
        </row>
        <row r="377">
          <cell r="A377" t="str">
            <v>CFRHS150x150x16</v>
          </cell>
          <cell r="B377">
            <v>2</v>
          </cell>
          <cell r="C377">
            <v>10</v>
          </cell>
          <cell r="D377">
            <v>0.51800000000000002</v>
          </cell>
          <cell r="E377">
            <v>48</v>
          </cell>
          <cell r="F377">
            <v>5</v>
          </cell>
          <cell r="G377">
            <v>10</v>
          </cell>
          <cell r="H377">
            <v>20</v>
          </cell>
          <cell r="I377">
            <v>30</v>
          </cell>
          <cell r="J377">
            <v>60</v>
          </cell>
          <cell r="K377">
            <v>90</v>
          </cell>
        </row>
        <row r="378">
          <cell r="A378" t="str">
            <v>CFRHS160x160x4</v>
          </cell>
          <cell r="B378">
            <v>1</v>
          </cell>
          <cell r="C378">
            <v>1</v>
          </cell>
          <cell r="D378">
            <v>0.626</v>
          </cell>
          <cell r="E378">
            <v>19.3</v>
          </cell>
          <cell r="F378">
            <v>2</v>
          </cell>
          <cell r="G378">
            <v>5</v>
          </cell>
          <cell r="H378">
            <v>10</v>
          </cell>
          <cell r="I378">
            <v>20</v>
          </cell>
          <cell r="J378">
            <v>30</v>
          </cell>
          <cell r="K378">
            <v>60</v>
          </cell>
        </row>
        <row r="379">
          <cell r="A379" t="str">
            <v>CFRHS160x160x5</v>
          </cell>
          <cell r="B379">
            <v>2</v>
          </cell>
          <cell r="C379">
            <v>2</v>
          </cell>
          <cell r="D379">
            <v>0.623</v>
          </cell>
          <cell r="E379">
            <v>24.1</v>
          </cell>
          <cell r="F379">
            <v>5</v>
          </cell>
          <cell r="G379">
            <v>10</v>
          </cell>
          <cell r="H379">
            <v>20</v>
          </cell>
          <cell r="I379">
            <v>30</v>
          </cell>
          <cell r="J379">
            <v>60</v>
          </cell>
          <cell r="K379">
            <v>90</v>
          </cell>
        </row>
        <row r="380">
          <cell r="A380" t="str">
            <v>CFRHS160x160x6</v>
          </cell>
          <cell r="B380">
            <v>2</v>
          </cell>
          <cell r="C380">
            <v>2</v>
          </cell>
          <cell r="D380">
            <v>0.61899999999999999</v>
          </cell>
          <cell r="E380">
            <v>28.6</v>
          </cell>
          <cell r="F380">
            <v>5</v>
          </cell>
          <cell r="G380">
            <v>10</v>
          </cell>
          <cell r="H380">
            <v>20</v>
          </cell>
          <cell r="I380">
            <v>30</v>
          </cell>
          <cell r="J380">
            <v>60</v>
          </cell>
          <cell r="K380">
            <v>90</v>
          </cell>
        </row>
        <row r="381">
          <cell r="A381" t="str">
            <v>CFRHS160x160x6.3</v>
          </cell>
          <cell r="B381">
            <v>2</v>
          </cell>
          <cell r="C381">
            <v>2</v>
          </cell>
          <cell r="D381">
            <v>0.61299999999999999</v>
          </cell>
          <cell r="E381">
            <v>29.9</v>
          </cell>
          <cell r="F381">
            <v>5</v>
          </cell>
          <cell r="G381">
            <v>10</v>
          </cell>
          <cell r="H381">
            <v>20</v>
          </cell>
          <cell r="I381">
            <v>30</v>
          </cell>
          <cell r="J381">
            <v>60</v>
          </cell>
          <cell r="K381">
            <v>90</v>
          </cell>
        </row>
        <row r="382">
          <cell r="A382" t="str">
            <v>CFRHS160x160x8</v>
          </cell>
          <cell r="B382">
            <v>2</v>
          </cell>
          <cell r="C382">
            <v>3</v>
          </cell>
          <cell r="D382">
            <v>0.60599999999999998</v>
          </cell>
          <cell r="E382">
            <v>37.200000000000003</v>
          </cell>
          <cell r="F382">
            <v>5</v>
          </cell>
          <cell r="G382">
            <v>10</v>
          </cell>
          <cell r="H382">
            <v>20</v>
          </cell>
          <cell r="I382">
            <v>30</v>
          </cell>
          <cell r="J382">
            <v>60</v>
          </cell>
          <cell r="K382">
            <v>90</v>
          </cell>
        </row>
        <row r="383">
          <cell r="A383" t="str">
            <v>CFRHS160x160x10</v>
          </cell>
          <cell r="B383">
            <v>2</v>
          </cell>
          <cell r="C383">
            <v>6</v>
          </cell>
          <cell r="D383">
            <v>0.59699999999999998</v>
          </cell>
          <cell r="E383">
            <v>45.3</v>
          </cell>
          <cell r="F383">
            <v>5</v>
          </cell>
          <cell r="G383">
            <v>10</v>
          </cell>
          <cell r="H383">
            <v>20</v>
          </cell>
          <cell r="I383">
            <v>30</v>
          </cell>
          <cell r="J383">
            <v>60</v>
          </cell>
          <cell r="K383">
            <v>90</v>
          </cell>
        </row>
        <row r="384">
          <cell r="A384" t="str">
            <v>CFRHS160x160x12</v>
          </cell>
          <cell r="B384">
            <v>2</v>
          </cell>
          <cell r="C384">
            <v>6</v>
          </cell>
          <cell r="D384">
            <v>0.57799999999999996</v>
          </cell>
          <cell r="E384">
            <v>54.7</v>
          </cell>
          <cell r="F384">
            <v>5</v>
          </cell>
          <cell r="G384">
            <v>10</v>
          </cell>
          <cell r="H384">
            <v>20</v>
          </cell>
          <cell r="I384">
            <v>30</v>
          </cell>
          <cell r="J384">
            <v>60</v>
          </cell>
          <cell r="K384">
            <v>90</v>
          </cell>
        </row>
        <row r="385">
          <cell r="A385" t="str">
            <v>CFRHS160x160x12.5</v>
          </cell>
          <cell r="B385">
            <v>2</v>
          </cell>
          <cell r="C385">
            <v>6</v>
          </cell>
          <cell r="D385">
            <v>0.57799999999999996</v>
          </cell>
          <cell r="E385">
            <v>54.7</v>
          </cell>
          <cell r="F385">
            <v>5</v>
          </cell>
          <cell r="G385">
            <v>10</v>
          </cell>
          <cell r="H385">
            <v>20</v>
          </cell>
          <cell r="I385">
            <v>30</v>
          </cell>
          <cell r="J385">
            <v>60</v>
          </cell>
          <cell r="K385">
            <v>90</v>
          </cell>
        </row>
        <row r="386">
          <cell r="A386" t="str">
            <v>CFRHS160x160x16</v>
          </cell>
          <cell r="B386">
            <v>2</v>
          </cell>
          <cell r="C386">
            <v>10</v>
          </cell>
          <cell r="D386">
            <v>0.57799999999999996</v>
          </cell>
          <cell r="E386">
            <v>52.6</v>
          </cell>
          <cell r="F386">
            <v>5</v>
          </cell>
          <cell r="G386">
            <v>10</v>
          </cell>
          <cell r="H386">
            <v>20</v>
          </cell>
          <cell r="I386">
            <v>30</v>
          </cell>
          <cell r="J386">
            <v>60</v>
          </cell>
          <cell r="K386">
            <v>90</v>
          </cell>
        </row>
        <row r="387">
          <cell r="A387" t="str">
            <v>CFRHS180x180x5</v>
          </cell>
          <cell r="B387">
            <v>2</v>
          </cell>
          <cell r="C387">
            <v>2</v>
          </cell>
          <cell r="D387">
            <v>0.69899999999999995</v>
          </cell>
          <cell r="E387">
            <v>27.3</v>
          </cell>
          <cell r="F387">
            <v>5</v>
          </cell>
          <cell r="G387">
            <v>10</v>
          </cell>
          <cell r="H387">
            <v>20</v>
          </cell>
          <cell r="I387">
            <v>30</v>
          </cell>
          <cell r="J387">
            <v>60</v>
          </cell>
          <cell r="K387">
            <v>90</v>
          </cell>
        </row>
        <row r="388">
          <cell r="A388" t="str">
            <v>CFRHS180x180x6</v>
          </cell>
          <cell r="B388">
            <v>2</v>
          </cell>
          <cell r="C388">
            <v>2</v>
          </cell>
          <cell r="D388">
            <v>0.69899999999999995</v>
          </cell>
          <cell r="E388">
            <v>32.4</v>
          </cell>
          <cell r="F388">
            <v>5</v>
          </cell>
          <cell r="G388">
            <v>10</v>
          </cell>
          <cell r="H388">
            <v>20</v>
          </cell>
          <cell r="I388">
            <v>30</v>
          </cell>
          <cell r="J388">
            <v>60</v>
          </cell>
          <cell r="K388">
            <v>90</v>
          </cell>
        </row>
        <row r="389">
          <cell r="A389" t="str">
            <v>CFRHS180x180x6.3</v>
          </cell>
          <cell r="B389">
            <v>2</v>
          </cell>
          <cell r="C389">
            <v>2</v>
          </cell>
          <cell r="D389">
            <v>0.69299999999999995</v>
          </cell>
          <cell r="E389">
            <v>33.9</v>
          </cell>
          <cell r="F389">
            <v>5</v>
          </cell>
          <cell r="G389">
            <v>10</v>
          </cell>
          <cell r="H389">
            <v>20</v>
          </cell>
          <cell r="I389">
            <v>30</v>
          </cell>
          <cell r="J389">
            <v>60</v>
          </cell>
          <cell r="K389">
            <v>90</v>
          </cell>
        </row>
        <row r="390">
          <cell r="A390" t="str">
            <v>CFRHS180x180x8</v>
          </cell>
          <cell r="B390">
            <v>2</v>
          </cell>
          <cell r="C390">
            <v>3</v>
          </cell>
          <cell r="D390">
            <v>0.68600000000000005</v>
          </cell>
          <cell r="E390">
            <v>42.3</v>
          </cell>
          <cell r="F390">
            <v>5</v>
          </cell>
          <cell r="G390">
            <v>10</v>
          </cell>
          <cell r="H390">
            <v>20</v>
          </cell>
          <cell r="I390">
            <v>30</v>
          </cell>
          <cell r="J390">
            <v>60</v>
          </cell>
          <cell r="K390">
            <v>90</v>
          </cell>
        </row>
        <row r="391">
          <cell r="A391" t="str">
            <v>CFRHS180x180x10</v>
          </cell>
          <cell r="B391">
            <v>2</v>
          </cell>
          <cell r="C391">
            <v>6</v>
          </cell>
          <cell r="D391">
            <v>0.67700000000000005</v>
          </cell>
          <cell r="E391">
            <v>51.7</v>
          </cell>
          <cell r="F391">
            <v>5</v>
          </cell>
          <cell r="G391">
            <v>10</v>
          </cell>
          <cell r="H391">
            <v>20</v>
          </cell>
          <cell r="I391">
            <v>30</v>
          </cell>
          <cell r="J391">
            <v>60</v>
          </cell>
          <cell r="K391">
            <v>90</v>
          </cell>
        </row>
        <row r="392">
          <cell r="A392" t="str">
            <v>CFRHS180x180x12.5</v>
          </cell>
          <cell r="B392">
            <v>2</v>
          </cell>
          <cell r="C392">
            <v>6</v>
          </cell>
          <cell r="D392">
            <v>0.66600000000000004</v>
          </cell>
          <cell r="E392">
            <v>62.7</v>
          </cell>
          <cell r="F392">
            <v>5</v>
          </cell>
          <cell r="G392">
            <v>10</v>
          </cell>
          <cell r="H392">
            <v>20</v>
          </cell>
          <cell r="I392">
            <v>30</v>
          </cell>
          <cell r="J392">
            <v>60</v>
          </cell>
          <cell r="K392">
            <v>90</v>
          </cell>
        </row>
        <row r="393">
          <cell r="A393" t="str">
            <v>CFRHS200x200x5</v>
          </cell>
          <cell r="B393">
            <v>2</v>
          </cell>
          <cell r="C393">
            <v>2</v>
          </cell>
          <cell r="D393">
            <v>0.77900000000000003</v>
          </cell>
          <cell r="E393">
            <v>30.5</v>
          </cell>
          <cell r="F393">
            <v>5</v>
          </cell>
          <cell r="G393">
            <v>10</v>
          </cell>
          <cell r="H393">
            <v>20</v>
          </cell>
          <cell r="I393">
            <v>30</v>
          </cell>
          <cell r="J393">
            <v>60</v>
          </cell>
          <cell r="K393">
            <v>90</v>
          </cell>
        </row>
        <row r="394">
          <cell r="A394" t="str">
            <v>CFRHS200x200x6</v>
          </cell>
          <cell r="B394">
            <v>2</v>
          </cell>
          <cell r="C394">
            <v>2</v>
          </cell>
          <cell r="D394">
            <v>0.77900000000000003</v>
          </cell>
          <cell r="E394">
            <v>36.299999999999997</v>
          </cell>
          <cell r="F394">
            <v>5</v>
          </cell>
          <cell r="G394">
            <v>10</v>
          </cell>
          <cell r="H394">
            <v>20</v>
          </cell>
          <cell r="I394">
            <v>30</v>
          </cell>
          <cell r="J394">
            <v>60</v>
          </cell>
          <cell r="K394">
            <v>90</v>
          </cell>
        </row>
        <row r="395">
          <cell r="A395" t="str">
            <v>CFRHS200x200x6.3</v>
          </cell>
          <cell r="B395">
            <v>2</v>
          </cell>
          <cell r="C395">
            <v>2</v>
          </cell>
          <cell r="D395">
            <v>0.77300000000000002</v>
          </cell>
          <cell r="E395">
            <v>38</v>
          </cell>
          <cell r="F395">
            <v>5</v>
          </cell>
          <cell r="G395">
            <v>10</v>
          </cell>
          <cell r="H395">
            <v>20</v>
          </cell>
          <cell r="I395">
            <v>30</v>
          </cell>
          <cell r="J395">
            <v>60</v>
          </cell>
          <cell r="K395">
            <v>90</v>
          </cell>
        </row>
        <row r="396">
          <cell r="A396" t="str">
            <v>CFRHS200x200x8</v>
          </cell>
          <cell r="B396">
            <v>2</v>
          </cell>
          <cell r="C396">
            <v>3</v>
          </cell>
          <cell r="D396">
            <v>0.76600000000000001</v>
          </cell>
          <cell r="E396">
            <v>47.4</v>
          </cell>
          <cell r="F396">
            <v>5</v>
          </cell>
          <cell r="G396">
            <v>10</v>
          </cell>
          <cell r="H396">
            <v>20</v>
          </cell>
          <cell r="I396">
            <v>30</v>
          </cell>
          <cell r="J396">
            <v>60</v>
          </cell>
          <cell r="K396">
            <v>90</v>
          </cell>
        </row>
        <row r="397">
          <cell r="A397" t="str">
            <v>CFRHS200x200x10</v>
          </cell>
          <cell r="B397">
            <v>2</v>
          </cell>
          <cell r="C397">
            <v>6</v>
          </cell>
          <cell r="D397">
            <v>0.75700000000000001</v>
          </cell>
          <cell r="E397">
            <v>58.1</v>
          </cell>
          <cell r="F397">
            <v>5</v>
          </cell>
          <cell r="G397">
            <v>10</v>
          </cell>
          <cell r="H397">
            <v>20</v>
          </cell>
          <cell r="I397">
            <v>30</v>
          </cell>
          <cell r="J397">
            <v>60</v>
          </cell>
          <cell r="K397">
            <v>90</v>
          </cell>
        </row>
        <row r="398">
          <cell r="A398" t="str">
            <v>CFRHS200x200x12.5</v>
          </cell>
          <cell r="B398">
            <v>2</v>
          </cell>
          <cell r="C398">
            <v>6</v>
          </cell>
          <cell r="D398">
            <v>0.746</v>
          </cell>
          <cell r="E398">
            <v>70.7</v>
          </cell>
          <cell r="F398">
            <v>5</v>
          </cell>
          <cell r="G398">
            <v>10</v>
          </cell>
          <cell r="H398">
            <v>20</v>
          </cell>
          <cell r="I398">
            <v>30</v>
          </cell>
          <cell r="J398">
            <v>60</v>
          </cell>
          <cell r="K398">
            <v>90</v>
          </cell>
        </row>
        <row r="399">
          <cell r="A399" t="str">
            <v>CFRHS220x220x6</v>
          </cell>
          <cell r="B399">
            <v>2</v>
          </cell>
          <cell r="C399">
            <v>2</v>
          </cell>
          <cell r="D399">
            <v>0.86</v>
          </cell>
          <cell r="E399">
            <v>39.6</v>
          </cell>
          <cell r="F399">
            <v>5</v>
          </cell>
          <cell r="G399">
            <v>10</v>
          </cell>
          <cell r="H399">
            <v>20</v>
          </cell>
          <cell r="I399">
            <v>30</v>
          </cell>
          <cell r="J399">
            <v>60</v>
          </cell>
          <cell r="K399">
            <v>90</v>
          </cell>
        </row>
        <row r="400">
          <cell r="A400" t="str">
            <v>CFRHS220x220x8</v>
          </cell>
          <cell r="B400">
            <v>2</v>
          </cell>
          <cell r="C400">
            <v>3</v>
          </cell>
          <cell r="D400">
            <v>0.84599999999999997</v>
          </cell>
          <cell r="E400">
            <v>51.5</v>
          </cell>
          <cell r="F400">
            <v>5</v>
          </cell>
          <cell r="G400">
            <v>10</v>
          </cell>
          <cell r="H400">
            <v>20</v>
          </cell>
          <cell r="I400">
            <v>30</v>
          </cell>
          <cell r="J400">
            <v>60</v>
          </cell>
          <cell r="K400">
            <v>90</v>
          </cell>
        </row>
        <row r="401">
          <cell r="A401" t="str">
            <v>CFRHS220x220x10</v>
          </cell>
          <cell r="B401">
            <v>2</v>
          </cell>
          <cell r="C401">
            <v>6</v>
          </cell>
          <cell r="D401">
            <v>0.83699999999999997</v>
          </cell>
          <cell r="E401">
            <v>63.2</v>
          </cell>
          <cell r="F401">
            <v>5</v>
          </cell>
          <cell r="G401">
            <v>10</v>
          </cell>
          <cell r="H401">
            <v>20</v>
          </cell>
          <cell r="I401">
            <v>30</v>
          </cell>
          <cell r="J401">
            <v>60</v>
          </cell>
          <cell r="K401">
            <v>90</v>
          </cell>
        </row>
        <row r="402">
          <cell r="A402" t="str">
            <v>CFRHS220x220x12.5</v>
          </cell>
          <cell r="B402">
            <v>2</v>
          </cell>
          <cell r="C402">
            <v>6</v>
          </cell>
          <cell r="D402">
            <v>0.82</v>
          </cell>
          <cell r="E402">
            <v>76.2</v>
          </cell>
          <cell r="F402">
            <v>5</v>
          </cell>
          <cell r="G402">
            <v>10</v>
          </cell>
          <cell r="H402">
            <v>20</v>
          </cell>
          <cell r="I402">
            <v>30</v>
          </cell>
          <cell r="J402">
            <v>60</v>
          </cell>
          <cell r="K402">
            <v>90</v>
          </cell>
        </row>
        <row r="403">
          <cell r="A403" t="str">
            <v>CFRHS250x250x6</v>
          </cell>
          <cell r="B403">
            <v>3</v>
          </cell>
          <cell r="C403">
            <v>2</v>
          </cell>
          <cell r="D403">
            <v>0.97899999999999998</v>
          </cell>
          <cell r="E403">
            <v>45.9</v>
          </cell>
          <cell r="F403">
            <v>10</v>
          </cell>
          <cell r="G403">
            <v>20</v>
          </cell>
          <cell r="H403">
            <v>30</v>
          </cell>
          <cell r="I403">
            <v>40</v>
          </cell>
          <cell r="J403">
            <v>90</v>
          </cell>
          <cell r="K403">
            <v>120</v>
          </cell>
        </row>
        <row r="404">
          <cell r="A404" t="str">
            <v>CFRHS250x250x6.3</v>
          </cell>
          <cell r="B404">
            <v>3</v>
          </cell>
          <cell r="C404">
            <v>2</v>
          </cell>
          <cell r="D404">
            <v>0.93600000000000005</v>
          </cell>
          <cell r="E404">
            <v>48</v>
          </cell>
          <cell r="F404">
            <v>10</v>
          </cell>
          <cell r="G404">
            <v>20</v>
          </cell>
          <cell r="H404">
            <v>30</v>
          </cell>
          <cell r="I404">
            <v>40</v>
          </cell>
          <cell r="J404">
            <v>90</v>
          </cell>
          <cell r="K404">
            <v>120</v>
          </cell>
        </row>
        <row r="405">
          <cell r="A405" t="str">
            <v>CFRHS250x250x8</v>
          </cell>
          <cell r="B405">
            <v>3</v>
          </cell>
          <cell r="C405">
            <v>3</v>
          </cell>
          <cell r="D405">
            <v>0.96599999999999997</v>
          </cell>
          <cell r="E405">
            <v>60.2</v>
          </cell>
          <cell r="F405">
            <v>10</v>
          </cell>
          <cell r="G405">
            <v>20</v>
          </cell>
          <cell r="H405">
            <v>30</v>
          </cell>
          <cell r="I405">
            <v>40</v>
          </cell>
          <cell r="J405">
            <v>90</v>
          </cell>
          <cell r="K405">
            <v>120</v>
          </cell>
        </row>
        <row r="406">
          <cell r="A406" t="str">
            <v>CFRHS250x250x10</v>
          </cell>
          <cell r="B406">
            <v>3</v>
          </cell>
          <cell r="C406">
            <v>6</v>
          </cell>
          <cell r="D406">
            <v>0.95699999999999996</v>
          </cell>
          <cell r="E406">
            <v>72.7</v>
          </cell>
          <cell r="F406">
            <v>10</v>
          </cell>
          <cell r="G406">
            <v>20</v>
          </cell>
          <cell r="H406">
            <v>30</v>
          </cell>
          <cell r="I406">
            <v>40</v>
          </cell>
          <cell r="J406">
            <v>90</v>
          </cell>
          <cell r="K406">
            <v>120</v>
          </cell>
        </row>
        <row r="407">
          <cell r="A407" t="str">
            <v>CFRHS250x250x12.5</v>
          </cell>
          <cell r="B407">
            <v>3</v>
          </cell>
          <cell r="C407">
            <v>6</v>
          </cell>
          <cell r="D407">
            <v>0.94599999999999995</v>
          </cell>
          <cell r="E407">
            <v>90.7</v>
          </cell>
          <cell r="F407">
            <v>10</v>
          </cell>
          <cell r="G407">
            <v>20</v>
          </cell>
          <cell r="H407">
            <v>30</v>
          </cell>
          <cell r="I407">
            <v>40</v>
          </cell>
          <cell r="J407">
            <v>90</v>
          </cell>
          <cell r="K407">
            <v>120</v>
          </cell>
        </row>
        <row r="408">
          <cell r="A408" t="str">
            <v>CFRHS250x250x16</v>
          </cell>
          <cell r="B408">
            <v>3</v>
          </cell>
          <cell r="C408">
            <v>8</v>
          </cell>
          <cell r="D408">
            <v>0.94599999999999995</v>
          </cell>
          <cell r="E408">
            <v>90.7</v>
          </cell>
          <cell r="F408">
            <v>10</v>
          </cell>
          <cell r="G408">
            <v>20</v>
          </cell>
          <cell r="H408">
            <v>30</v>
          </cell>
          <cell r="I408">
            <v>40</v>
          </cell>
          <cell r="J408">
            <v>90</v>
          </cell>
          <cell r="K408">
            <v>120</v>
          </cell>
        </row>
        <row r="409">
          <cell r="A409" t="str">
            <v>CFRHS260x260x8</v>
          </cell>
          <cell r="B409">
            <v>3</v>
          </cell>
          <cell r="C409">
            <v>6</v>
          </cell>
          <cell r="D409">
            <v>1.006</v>
          </cell>
          <cell r="E409">
            <v>61.6</v>
          </cell>
          <cell r="F409">
            <v>10</v>
          </cell>
          <cell r="G409">
            <v>20</v>
          </cell>
          <cell r="H409">
            <v>30</v>
          </cell>
          <cell r="I409">
            <v>40</v>
          </cell>
          <cell r="J409">
            <v>90</v>
          </cell>
          <cell r="K409">
            <v>120</v>
          </cell>
        </row>
        <row r="410">
          <cell r="A410" t="str">
            <v>CFRHS260x260x10</v>
          </cell>
          <cell r="B410">
            <v>3</v>
          </cell>
          <cell r="C410">
            <v>6</v>
          </cell>
          <cell r="D410">
            <v>0.997</v>
          </cell>
          <cell r="E410">
            <v>75.8</v>
          </cell>
          <cell r="F410">
            <v>10</v>
          </cell>
          <cell r="G410">
            <v>20</v>
          </cell>
          <cell r="H410">
            <v>30</v>
          </cell>
          <cell r="I410">
            <v>40</v>
          </cell>
          <cell r="J410">
            <v>90</v>
          </cell>
          <cell r="K410">
            <v>120</v>
          </cell>
        </row>
        <row r="411">
          <cell r="A411" t="str">
            <v>CFRHS260x260x12.5</v>
          </cell>
          <cell r="B411">
            <v>3</v>
          </cell>
          <cell r="C411">
            <v>6</v>
          </cell>
          <cell r="D411">
            <v>1.01</v>
          </cell>
          <cell r="E411">
            <v>95.8</v>
          </cell>
          <cell r="F411">
            <v>10</v>
          </cell>
          <cell r="G411">
            <v>20</v>
          </cell>
          <cell r="H411">
            <v>30</v>
          </cell>
          <cell r="I411">
            <v>40</v>
          </cell>
          <cell r="J411">
            <v>90</v>
          </cell>
          <cell r="K411">
            <v>120</v>
          </cell>
        </row>
        <row r="412">
          <cell r="A412" t="str">
            <v>CFRHS300x300x6</v>
          </cell>
          <cell r="B412">
            <v>3</v>
          </cell>
          <cell r="C412">
            <v>2</v>
          </cell>
          <cell r="D412">
            <v>1.18</v>
          </cell>
          <cell r="E412">
            <v>55.5</v>
          </cell>
          <cell r="F412">
            <v>10</v>
          </cell>
          <cell r="G412">
            <v>20</v>
          </cell>
          <cell r="H412">
            <v>30</v>
          </cell>
          <cell r="I412">
            <v>40</v>
          </cell>
          <cell r="J412">
            <v>90</v>
          </cell>
          <cell r="K412">
            <v>120</v>
          </cell>
        </row>
        <row r="413">
          <cell r="A413" t="str">
            <v>CFRHS300x300x6.3</v>
          </cell>
          <cell r="B413">
            <v>3</v>
          </cell>
          <cell r="C413">
            <v>2</v>
          </cell>
          <cell r="D413">
            <v>1.18</v>
          </cell>
          <cell r="E413">
            <v>58.1</v>
          </cell>
          <cell r="F413">
            <v>10</v>
          </cell>
          <cell r="G413">
            <v>20</v>
          </cell>
          <cell r="H413">
            <v>30</v>
          </cell>
          <cell r="I413">
            <v>40</v>
          </cell>
          <cell r="J413">
            <v>90</v>
          </cell>
          <cell r="K413">
            <v>120</v>
          </cell>
        </row>
        <row r="414">
          <cell r="A414" t="str">
            <v>CFRHS300x300x8</v>
          </cell>
          <cell r="B414">
            <v>3</v>
          </cell>
          <cell r="C414">
            <v>3</v>
          </cell>
          <cell r="D414">
            <v>1.1659999999999999</v>
          </cell>
          <cell r="E414">
            <v>73</v>
          </cell>
          <cell r="F414">
            <v>10</v>
          </cell>
          <cell r="G414">
            <v>20</v>
          </cell>
          <cell r="H414">
            <v>30</v>
          </cell>
          <cell r="I414">
            <v>40</v>
          </cell>
          <cell r="J414">
            <v>90</v>
          </cell>
          <cell r="K414">
            <v>120</v>
          </cell>
        </row>
        <row r="415">
          <cell r="A415" t="str">
            <v>CFRHS300x300x10</v>
          </cell>
          <cell r="B415">
            <v>3</v>
          </cell>
          <cell r="C415">
            <v>6</v>
          </cell>
          <cell r="D415">
            <v>1.157</v>
          </cell>
          <cell r="E415">
            <v>90.1</v>
          </cell>
          <cell r="F415">
            <v>10</v>
          </cell>
          <cell r="G415">
            <v>20</v>
          </cell>
          <cell r="H415">
            <v>30</v>
          </cell>
          <cell r="I415">
            <v>40</v>
          </cell>
          <cell r="J415">
            <v>90</v>
          </cell>
          <cell r="K415">
            <v>120</v>
          </cell>
        </row>
        <row r="416">
          <cell r="A416" t="str">
            <v>CFRHS300x300x12.5</v>
          </cell>
          <cell r="B416">
            <v>3</v>
          </cell>
          <cell r="C416">
            <v>6</v>
          </cell>
          <cell r="D416">
            <v>1.1459999999999999</v>
          </cell>
          <cell r="E416">
            <v>110.7</v>
          </cell>
          <cell r="F416">
            <v>10</v>
          </cell>
          <cell r="G416">
            <v>20</v>
          </cell>
          <cell r="H416">
            <v>30</v>
          </cell>
          <cell r="I416">
            <v>40</v>
          </cell>
          <cell r="J416">
            <v>90</v>
          </cell>
          <cell r="K416">
            <v>120</v>
          </cell>
        </row>
        <row r="417">
          <cell r="A417" t="str">
            <v>CFRHS300x300x16</v>
          </cell>
          <cell r="B417">
            <v>3</v>
          </cell>
          <cell r="C417">
            <v>10</v>
          </cell>
          <cell r="D417">
            <v>1.1200000000000001</v>
          </cell>
          <cell r="E417">
            <v>134.19999999999999</v>
          </cell>
          <cell r="F417">
            <v>10</v>
          </cell>
          <cell r="G417">
            <v>20</v>
          </cell>
          <cell r="H417">
            <v>30</v>
          </cell>
          <cell r="I417">
            <v>40</v>
          </cell>
          <cell r="J417">
            <v>90</v>
          </cell>
          <cell r="K417">
            <v>120</v>
          </cell>
        </row>
        <row r="418">
          <cell r="A418" t="str">
            <v>CFRHS350x350x6</v>
          </cell>
          <cell r="B418">
            <v>3</v>
          </cell>
          <cell r="C418">
            <v>2</v>
          </cell>
          <cell r="D418">
            <v>1.38</v>
          </cell>
          <cell r="E418">
            <v>65.099999999999994</v>
          </cell>
          <cell r="F418">
            <v>10</v>
          </cell>
          <cell r="G418">
            <v>20</v>
          </cell>
          <cell r="H418">
            <v>30</v>
          </cell>
          <cell r="I418">
            <v>40</v>
          </cell>
          <cell r="J418">
            <v>90</v>
          </cell>
          <cell r="K418">
            <v>120</v>
          </cell>
        </row>
        <row r="419">
          <cell r="A419" t="str">
            <v>CFRHS350x350x6.3</v>
          </cell>
          <cell r="B419">
            <v>3</v>
          </cell>
          <cell r="C419">
            <v>2</v>
          </cell>
          <cell r="D419">
            <v>1.373</v>
          </cell>
          <cell r="E419">
            <v>68.2</v>
          </cell>
          <cell r="F419">
            <v>10</v>
          </cell>
          <cell r="G419">
            <v>20</v>
          </cell>
          <cell r="H419">
            <v>30</v>
          </cell>
          <cell r="I419">
            <v>40</v>
          </cell>
          <cell r="J419">
            <v>90</v>
          </cell>
          <cell r="K419">
            <v>120</v>
          </cell>
        </row>
        <row r="420">
          <cell r="A420" t="str">
            <v>CFRHS350x350x8</v>
          </cell>
          <cell r="B420">
            <v>3</v>
          </cell>
          <cell r="C420">
            <v>3</v>
          </cell>
          <cell r="D420">
            <v>1.3660000000000001</v>
          </cell>
          <cell r="E420">
            <v>85.8</v>
          </cell>
          <cell r="F420">
            <v>10</v>
          </cell>
          <cell r="G420">
            <v>20</v>
          </cell>
          <cell r="H420">
            <v>30</v>
          </cell>
          <cell r="I420">
            <v>40</v>
          </cell>
          <cell r="J420">
            <v>90</v>
          </cell>
          <cell r="K420">
            <v>120</v>
          </cell>
        </row>
        <row r="421">
          <cell r="A421" t="str">
            <v>CFRHS350x350x10</v>
          </cell>
          <cell r="B421">
            <v>3</v>
          </cell>
          <cell r="C421">
            <v>6</v>
          </cell>
          <cell r="D421">
            <v>1.357</v>
          </cell>
          <cell r="E421">
            <v>106.1</v>
          </cell>
          <cell r="F421">
            <v>10</v>
          </cell>
          <cell r="G421">
            <v>20</v>
          </cell>
          <cell r="H421">
            <v>30</v>
          </cell>
          <cell r="I421">
            <v>40</v>
          </cell>
          <cell r="J421">
            <v>90</v>
          </cell>
          <cell r="K421">
            <v>120</v>
          </cell>
        </row>
        <row r="422">
          <cell r="A422" t="str">
            <v>CFRHS350x350x12.5</v>
          </cell>
          <cell r="B422">
            <v>3</v>
          </cell>
          <cell r="C422">
            <v>6</v>
          </cell>
          <cell r="D422">
            <v>1.3460000000000001</v>
          </cell>
          <cell r="E422">
            <v>130.69999999999999</v>
          </cell>
          <cell r="F422">
            <v>10</v>
          </cell>
          <cell r="G422">
            <v>20</v>
          </cell>
          <cell r="H422">
            <v>30</v>
          </cell>
          <cell r="I422">
            <v>40</v>
          </cell>
          <cell r="J422">
            <v>90</v>
          </cell>
          <cell r="K422">
            <v>120</v>
          </cell>
        </row>
        <row r="423">
          <cell r="A423" t="str">
            <v>CFRHS400x400x6</v>
          </cell>
          <cell r="B423">
            <v>3</v>
          </cell>
          <cell r="C423">
            <v>2</v>
          </cell>
          <cell r="D423">
            <v>1.58</v>
          </cell>
          <cell r="E423">
            <v>70</v>
          </cell>
          <cell r="F423">
            <v>10</v>
          </cell>
          <cell r="G423">
            <v>20</v>
          </cell>
          <cell r="H423">
            <v>30</v>
          </cell>
          <cell r="I423">
            <v>40</v>
          </cell>
          <cell r="J423">
            <v>90</v>
          </cell>
          <cell r="K423">
            <v>120</v>
          </cell>
        </row>
        <row r="424">
          <cell r="A424" t="str">
            <v>CFRHS400x400x6.3</v>
          </cell>
          <cell r="B424">
            <v>3</v>
          </cell>
          <cell r="C424">
            <v>2</v>
          </cell>
          <cell r="D424">
            <v>1.58</v>
          </cell>
          <cell r="E424">
            <v>77.599999999999994</v>
          </cell>
          <cell r="F424">
            <v>10</v>
          </cell>
          <cell r="G424">
            <v>20</v>
          </cell>
          <cell r="H424">
            <v>30</v>
          </cell>
          <cell r="I424">
            <v>40</v>
          </cell>
          <cell r="J424">
            <v>90</v>
          </cell>
          <cell r="K424">
            <v>120</v>
          </cell>
        </row>
        <row r="425">
          <cell r="A425" t="str">
            <v>CFRHS400x400x8</v>
          </cell>
          <cell r="B425">
            <v>3</v>
          </cell>
          <cell r="C425">
            <v>3</v>
          </cell>
          <cell r="D425">
            <v>1.56</v>
          </cell>
          <cell r="E425">
            <v>98.6</v>
          </cell>
          <cell r="F425">
            <v>10</v>
          </cell>
          <cell r="G425">
            <v>20</v>
          </cell>
          <cell r="H425">
            <v>30</v>
          </cell>
          <cell r="I425">
            <v>40</v>
          </cell>
          <cell r="J425">
            <v>90</v>
          </cell>
          <cell r="K425">
            <v>120</v>
          </cell>
        </row>
        <row r="426">
          <cell r="A426" t="str">
            <v>CFRHS400x400x10</v>
          </cell>
          <cell r="B426">
            <v>3</v>
          </cell>
          <cell r="C426">
            <v>6</v>
          </cell>
          <cell r="D426">
            <v>1.56</v>
          </cell>
          <cell r="E426">
            <v>122.1</v>
          </cell>
          <cell r="F426">
            <v>10</v>
          </cell>
          <cell r="G426">
            <v>20</v>
          </cell>
          <cell r="H426">
            <v>30</v>
          </cell>
          <cell r="I426">
            <v>40</v>
          </cell>
          <cell r="J426">
            <v>90</v>
          </cell>
          <cell r="K426">
            <v>120</v>
          </cell>
        </row>
        <row r="427">
          <cell r="A427" t="str">
            <v>CFRHS400x400x12</v>
          </cell>
          <cell r="B427">
            <v>3</v>
          </cell>
          <cell r="C427">
            <v>6</v>
          </cell>
          <cell r="D427">
            <v>1.55</v>
          </cell>
          <cell r="E427">
            <v>150.69999999999999</v>
          </cell>
          <cell r="F427">
            <v>10</v>
          </cell>
          <cell r="G427">
            <v>20</v>
          </cell>
          <cell r="H427">
            <v>30</v>
          </cell>
          <cell r="I427">
            <v>40</v>
          </cell>
          <cell r="J427">
            <v>90</v>
          </cell>
          <cell r="K427">
            <v>120</v>
          </cell>
        </row>
        <row r="428">
          <cell r="A428" t="str">
            <v>CFRHS400x400x12.5</v>
          </cell>
          <cell r="B428">
            <v>3</v>
          </cell>
          <cell r="C428">
            <v>6</v>
          </cell>
          <cell r="D428">
            <v>1.57</v>
          </cell>
          <cell r="E428">
            <v>150.69999999999999</v>
          </cell>
          <cell r="F428">
            <v>10</v>
          </cell>
          <cell r="G428">
            <v>20</v>
          </cell>
          <cell r="H428">
            <v>30</v>
          </cell>
          <cell r="I428">
            <v>40</v>
          </cell>
          <cell r="J428">
            <v>90</v>
          </cell>
          <cell r="K428">
            <v>120</v>
          </cell>
        </row>
        <row r="429">
          <cell r="A429" t="str">
            <v>HD260x54.1</v>
          </cell>
          <cell r="B429">
            <v>3</v>
          </cell>
          <cell r="C429"/>
          <cell r="D429"/>
          <cell r="E429">
            <v>54.1</v>
          </cell>
          <cell r="F429">
            <v>10</v>
          </cell>
          <cell r="G429">
            <v>20</v>
          </cell>
          <cell r="H429">
            <v>30</v>
          </cell>
          <cell r="I429">
            <v>40</v>
          </cell>
          <cell r="J429">
            <v>90</v>
          </cell>
          <cell r="K429">
            <v>120</v>
          </cell>
        </row>
        <row r="430">
          <cell r="A430" t="str">
            <v>HD260x68.2</v>
          </cell>
          <cell r="B430">
            <v>3</v>
          </cell>
          <cell r="C430"/>
          <cell r="D430"/>
          <cell r="E430">
            <v>68.2</v>
          </cell>
          <cell r="F430">
            <v>10</v>
          </cell>
          <cell r="G430">
            <v>20</v>
          </cell>
          <cell r="H430">
            <v>30</v>
          </cell>
          <cell r="I430">
            <v>40</v>
          </cell>
          <cell r="J430">
            <v>90</v>
          </cell>
          <cell r="K430">
            <v>120</v>
          </cell>
        </row>
        <row r="431">
          <cell r="A431" t="str">
            <v>HD260x93</v>
          </cell>
          <cell r="B431">
            <v>3</v>
          </cell>
          <cell r="C431"/>
          <cell r="D431"/>
          <cell r="E431">
            <v>93</v>
          </cell>
          <cell r="F431">
            <v>10</v>
          </cell>
          <cell r="G431">
            <v>20</v>
          </cell>
          <cell r="H431">
            <v>30</v>
          </cell>
          <cell r="I431">
            <v>40</v>
          </cell>
          <cell r="J431">
            <v>90</v>
          </cell>
          <cell r="K431">
            <v>120</v>
          </cell>
        </row>
        <row r="432">
          <cell r="A432" t="str">
            <v>HD260x114</v>
          </cell>
          <cell r="B432">
            <v>3</v>
          </cell>
          <cell r="C432"/>
          <cell r="D432"/>
          <cell r="E432">
            <v>114</v>
          </cell>
          <cell r="F432">
            <v>10</v>
          </cell>
          <cell r="G432">
            <v>20</v>
          </cell>
          <cell r="H432">
            <v>30</v>
          </cell>
          <cell r="I432">
            <v>40</v>
          </cell>
          <cell r="J432">
            <v>90</v>
          </cell>
          <cell r="K432">
            <v>120</v>
          </cell>
        </row>
        <row r="433">
          <cell r="A433" t="str">
            <v>HD260x142</v>
          </cell>
          <cell r="B433">
            <v>3</v>
          </cell>
          <cell r="C433"/>
          <cell r="D433"/>
          <cell r="E433">
            <v>142</v>
          </cell>
          <cell r="F433">
            <v>10</v>
          </cell>
          <cell r="G433">
            <v>20</v>
          </cell>
          <cell r="H433">
            <v>30</v>
          </cell>
          <cell r="I433">
            <v>40</v>
          </cell>
          <cell r="J433">
            <v>90</v>
          </cell>
          <cell r="K433">
            <v>120</v>
          </cell>
        </row>
        <row r="434">
          <cell r="A434" t="str">
            <v>HD260x172</v>
          </cell>
          <cell r="B434">
            <v>3</v>
          </cell>
          <cell r="C434"/>
          <cell r="D434"/>
          <cell r="E434">
            <v>172</v>
          </cell>
          <cell r="F434">
            <v>10</v>
          </cell>
          <cell r="G434">
            <v>20</v>
          </cell>
          <cell r="H434">
            <v>30</v>
          </cell>
          <cell r="I434">
            <v>40</v>
          </cell>
          <cell r="J434">
            <v>90</v>
          </cell>
          <cell r="K434">
            <v>120</v>
          </cell>
        </row>
        <row r="435">
          <cell r="A435" t="str">
            <v>HD260x225</v>
          </cell>
          <cell r="B435">
            <v>3</v>
          </cell>
          <cell r="C435"/>
          <cell r="D435"/>
          <cell r="E435">
            <v>225</v>
          </cell>
          <cell r="F435">
            <v>10</v>
          </cell>
          <cell r="G435">
            <v>20</v>
          </cell>
          <cell r="H435">
            <v>30</v>
          </cell>
          <cell r="I435">
            <v>40</v>
          </cell>
          <cell r="J435">
            <v>90</v>
          </cell>
          <cell r="K435">
            <v>120</v>
          </cell>
        </row>
        <row r="436">
          <cell r="A436" t="str">
            <v>HD260x299</v>
          </cell>
          <cell r="B436">
            <v>3</v>
          </cell>
          <cell r="C436"/>
          <cell r="D436"/>
          <cell r="E436">
            <v>299</v>
          </cell>
          <cell r="F436">
            <v>10</v>
          </cell>
          <cell r="G436">
            <v>20</v>
          </cell>
          <cell r="H436">
            <v>30</v>
          </cell>
          <cell r="I436">
            <v>40</v>
          </cell>
          <cell r="J436">
            <v>90</v>
          </cell>
          <cell r="K436">
            <v>120</v>
          </cell>
        </row>
        <row r="437">
          <cell r="A437" t="str">
            <v>HD320x74.2</v>
          </cell>
          <cell r="B437">
            <v>3</v>
          </cell>
          <cell r="C437"/>
          <cell r="D437"/>
          <cell r="E437">
            <v>74.2</v>
          </cell>
          <cell r="F437">
            <v>10</v>
          </cell>
          <cell r="G437">
            <v>20</v>
          </cell>
          <cell r="H437">
            <v>30</v>
          </cell>
          <cell r="I437">
            <v>40</v>
          </cell>
          <cell r="J437">
            <v>90</v>
          </cell>
          <cell r="K437">
            <v>120</v>
          </cell>
        </row>
        <row r="438">
          <cell r="A438" t="str">
            <v>HD320x97.6</v>
          </cell>
          <cell r="B438">
            <v>3</v>
          </cell>
          <cell r="C438"/>
          <cell r="D438"/>
          <cell r="E438">
            <v>97.6</v>
          </cell>
          <cell r="F438">
            <v>10</v>
          </cell>
          <cell r="G438">
            <v>20</v>
          </cell>
          <cell r="H438">
            <v>30</v>
          </cell>
          <cell r="I438">
            <v>40</v>
          </cell>
          <cell r="J438">
            <v>90</v>
          </cell>
          <cell r="K438">
            <v>120</v>
          </cell>
        </row>
        <row r="439">
          <cell r="A439" t="str">
            <v>HD320x127</v>
          </cell>
          <cell r="B439">
            <v>3</v>
          </cell>
          <cell r="C439"/>
          <cell r="D439"/>
          <cell r="E439">
            <v>127</v>
          </cell>
          <cell r="F439">
            <v>10</v>
          </cell>
          <cell r="G439">
            <v>20</v>
          </cell>
          <cell r="H439">
            <v>30</v>
          </cell>
          <cell r="I439">
            <v>40</v>
          </cell>
          <cell r="J439">
            <v>90</v>
          </cell>
          <cell r="K439">
            <v>120</v>
          </cell>
        </row>
        <row r="440">
          <cell r="A440" t="str">
            <v>HD320x158</v>
          </cell>
          <cell r="B440">
            <v>3</v>
          </cell>
          <cell r="C440"/>
          <cell r="D440"/>
          <cell r="E440">
            <v>158</v>
          </cell>
          <cell r="F440">
            <v>10</v>
          </cell>
          <cell r="G440">
            <v>20</v>
          </cell>
          <cell r="H440">
            <v>30</v>
          </cell>
          <cell r="I440">
            <v>40</v>
          </cell>
          <cell r="J440">
            <v>90</v>
          </cell>
          <cell r="K440">
            <v>120</v>
          </cell>
        </row>
        <row r="441">
          <cell r="A441" t="str">
            <v>HD320x198</v>
          </cell>
          <cell r="B441">
            <v>3</v>
          </cell>
          <cell r="C441"/>
          <cell r="D441"/>
          <cell r="E441">
            <v>198</v>
          </cell>
          <cell r="F441">
            <v>10</v>
          </cell>
          <cell r="G441">
            <v>20</v>
          </cell>
          <cell r="H441">
            <v>30</v>
          </cell>
          <cell r="I441">
            <v>40</v>
          </cell>
          <cell r="J441">
            <v>90</v>
          </cell>
          <cell r="K441">
            <v>120</v>
          </cell>
        </row>
        <row r="442">
          <cell r="A442" t="str">
            <v>HD320x245</v>
          </cell>
          <cell r="B442">
            <v>3</v>
          </cell>
          <cell r="C442"/>
          <cell r="D442"/>
          <cell r="E442">
            <v>245</v>
          </cell>
          <cell r="F442">
            <v>10</v>
          </cell>
          <cell r="G442">
            <v>20</v>
          </cell>
          <cell r="H442">
            <v>30</v>
          </cell>
          <cell r="I442">
            <v>40</v>
          </cell>
          <cell r="J442">
            <v>90</v>
          </cell>
          <cell r="K442">
            <v>120</v>
          </cell>
        </row>
        <row r="443">
          <cell r="A443" t="str">
            <v>HD320x300</v>
          </cell>
          <cell r="B443">
            <v>3</v>
          </cell>
          <cell r="C443"/>
          <cell r="D443"/>
          <cell r="E443">
            <v>300</v>
          </cell>
          <cell r="F443">
            <v>10</v>
          </cell>
          <cell r="G443">
            <v>20</v>
          </cell>
          <cell r="H443">
            <v>30</v>
          </cell>
          <cell r="I443">
            <v>40</v>
          </cell>
          <cell r="J443">
            <v>90</v>
          </cell>
          <cell r="K443">
            <v>120</v>
          </cell>
        </row>
        <row r="444">
          <cell r="A444" t="str">
            <v>HD360x134</v>
          </cell>
          <cell r="B444">
            <v>3</v>
          </cell>
          <cell r="C444"/>
          <cell r="D444"/>
          <cell r="E444">
            <v>134</v>
          </cell>
          <cell r="F444">
            <v>10</v>
          </cell>
          <cell r="G444">
            <v>20</v>
          </cell>
          <cell r="H444">
            <v>30</v>
          </cell>
          <cell r="I444">
            <v>40</v>
          </cell>
          <cell r="J444">
            <v>90</v>
          </cell>
          <cell r="K444">
            <v>120</v>
          </cell>
        </row>
        <row r="445">
          <cell r="A445" t="str">
            <v>HD360x147</v>
          </cell>
          <cell r="B445">
            <v>3</v>
          </cell>
          <cell r="C445"/>
          <cell r="D445"/>
          <cell r="E445">
            <v>147</v>
          </cell>
          <cell r="F445">
            <v>10</v>
          </cell>
          <cell r="G445">
            <v>20</v>
          </cell>
          <cell r="H445">
            <v>30</v>
          </cell>
          <cell r="I445">
            <v>40</v>
          </cell>
          <cell r="J445">
            <v>90</v>
          </cell>
          <cell r="K445">
            <v>120</v>
          </cell>
        </row>
        <row r="446">
          <cell r="A446" t="str">
            <v>HD360x162</v>
          </cell>
          <cell r="B446">
            <v>3</v>
          </cell>
          <cell r="C446"/>
          <cell r="D446"/>
          <cell r="E446">
            <v>162</v>
          </cell>
          <cell r="F446">
            <v>10</v>
          </cell>
          <cell r="G446">
            <v>20</v>
          </cell>
          <cell r="H446">
            <v>30</v>
          </cell>
          <cell r="I446">
            <v>40</v>
          </cell>
          <cell r="J446">
            <v>90</v>
          </cell>
          <cell r="K446">
            <v>120</v>
          </cell>
        </row>
        <row r="447">
          <cell r="A447" t="str">
            <v>HD360x179</v>
          </cell>
          <cell r="B447">
            <v>3</v>
          </cell>
          <cell r="C447"/>
          <cell r="D447"/>
          <cell r="E447">
            <v>179</v>
          </cell>
          <cell r="F447">
            <v>10</v>
          </cell>
          <cell r="G447">
            <v>20</v>
          </cell>
          <cell r="H447">
            <v>30</v>
          </cell>
          <cell r="I447">
            <v>40</v>
          </cell>
          <cell r="J447">
            <v>90</v>
          </cell>
          <cell r="K447">
            <v>120</v>
          </cell>
        </row>
        <row r="448">
          <cell r="A448" t="str">
            <v>HD360x196</v>
          </cell>
          <cell r="B448">
            <v>3</v>
          </cell>
          <cell r="C448"/>
          <cell r="D448"/>
          <cell r="E448">
            <v>196</v>
          </cell>
          <cell r="F448">
            <v>10</v>
          </cell>
          <cell r="G448">
            <v>20</v>
          </cell>
          <cell r="H448">
            <v>30</v>
          </cell>
          <cell r="I448">
            <v>40</v>
          </cell>
          <cell r="J448">
            <v>90</v>
          </cell>
          <cell r="K448">
            <v>120</v>
          </cell>
        </row>
        <row r="449">
          <cell r="A449" t="str">
            <v>HD400x187</v>
          </cell>
          <cell r="B449">
            <v>3</v>
          </cell>
          <cell r="C449"/>
          <cell r="D449"/>
          <cell r="E449">
            <v>187</v>
          </cell>
          <cell r="F449">
            <v>10</v>
          </cell>
          <cell r="G449">
            <v>20</v>
          </cell>
          <cell r="H449">
            <v>30</v>
          </cell>
          <cell r="I449">
            <v>40</v>
          </cell>
          <cell r="J449">
            <v>90</v>
          </cell>
          <cell r="K449">
            <v>120</v>
          </cell>
        </row>
        <row r="450">
          <cell r="A450" t="str">
            <v>HD400x216</v>
          </cell>
          <cell r="B450">
            <v>3</v>
          </cell>
          <cell r="C450"/>
          <cell r="D450"/>
          <cell r="E450">
            <v>216</v>
          </cell>
          <cell r="F450">
            <v>10</v>
          </cell>
          <cell r="G450">
            <v>20</v>
          </cell>
          <cell r="H450">
            <v>30</v>
          </cell>
          <cell r="I450">
            <v>40</v>
          </cell>
          <cell r="J450">
            <v>90</v>
          </cell>
          <cell r="K450">
            <v>120</v>
          </cell>
        </row>
        <row r="451">
          <cell r="A451" t="str">
            <v>HD400x237</v>
          </cell>
          <cell r="B451">
            <v>3</v>
          </cell>
          <cell r="C451"/>
          <cell r="D451"/>
          <cell r="E451">
            <v>237</v>
          </cell>
          <cell r="F451">
            <v>10</v>
          </cell>
          <cell r="G451">
            <v>20</v>
          </cell>
          <cell r="H451">
            <v>30</v>
          </cell>
          <cell r="I451">
            <v>40</v>
          </cell>
          <cell r="J451">
            <v>90</v>
          </cell>
          <cell r="K451">
            <v>120</v>
          </cell>
        </row>
        <row r="452">
          <cell r="A452" t="str">
            <v>HD400x262</v>
          </cell>
          <cell r="B452">
            <v>3</v>
          </cell>
          <cell r="C452"/>
          <cell r="D452"/>
          <cell r="E452">
            <v>262</v>
          </cell>
          <cell r="F452">
            <v>10</v>
          </cell>
          <cell r="G452">
            <v>20</v>
          </cell>
          <cell r="H452">
            <v>30</v>
          </cell>
          <cell r="I452">
            <v>40</v>
          </cell>
          <cell r="J452">
            <v>90</v>
          </cell>
          <cell r="K452">
            <v>120</v>
          </cell>
        </row>
        <row r="453">
          <cell r="A453" t="str">
            <v>HD400x287</v>
          </cell>
          <cell r="B453">
            <v>3</v>
          </cell>
          <cell r="C453"/>
          <cell r="D453"/>
          <cell r="E453">
            <v>287</v>
          </cell>
          <cell r="F453">
            <v>10</v>
          </cell>
          <cell r="G453">
            <v>20</v>
          </cell>
          <cell r="H453">
            <v>30</v>
          </cell>
          <cell r="I453">
            <v>40</v>
          </cell>
          <cell r="J453">
            <v>90</v>
          </cell>
          <cell r="K453">
            <v>120</v>
          </cell>
        </row>
        <row r="454">
          <cell r="A454" t="str">
            <v>HD400x314</v>
          </cell>
          <cell r="B454">
            <v>3</v>
          </cell>
          <cell r="C454"/>
          <cell r="D454"/>
          <cell r="E454">
            <v>314</v>
          </cell>
          <cell r="F454">
            <v>10</v>
          </cell>
          <cell r="G454">
            <v>20</v>
          </cell>
          <cell r="H454">
            <v>30</v>
          </cell>
          <cell r="I454">
            <v>40</v>
          </cell>
          <cell r="J454">
            <v>90</v>
          </cell>
          <cell r="K454">
            <v>120</v>
          </cell>
        </row>
        <row r="455">
          <cell r="A455" t="str">
            <v>HD400x347</v>
          </cell>
          <cell r="B455">
            <v>3</v>
          </cell>
          <cell r="C455">
            <v>15</v>
          </cell>
          <cell r="D455">
            <v>2.35</v>
          </cell>
          <cell r="E455">
            <v>347</v>
          </cell>
          <cell r="F455">
            <v>10</v>
          </cell>
          <cell r="G455">
            <v>20</v>
          </cell>
          <cell r="H455">
            <v>30</v>
          </cell>
          <cell r="I455">
            <v>40</v>
          </cell>
          <cell r="J455">
            <v>90</v>
          </cell>
          <cell r="K455">
            <v>120</v>
          </cell>
        </row>
        <row r="456">
          <cell r="A456" t="str">
            <v>HD400x382</v>
          </cell>
          <cell r="B456">
            <v>3</v>
          </cell>
          <cell r="C456"/>
          <cell r="D456"/>
          <cell r="E456">
            <v>382</v>
          </cell>
          <cell r="F456">
            <v>10</v>
          </cell>
          <cell r="G456">
            <v>20</v>
          </cell>
          <cell r="H456">
            <v>30</v>
          </cell>
          <cell r="I456">
            <v>40</v>
          </cell>
          <cell r="J456">
            <v>90</v>
          </cell>
          <cell r="K456">
            <v>120</v>
          </cell>
        </row>
        <row r="457">
          <cell r="A457" t="str">
            <v>HD400x421</v>
          </cell>
          <cell r="B457">
            <v>3</v>
          </cell>
          <cell r="C457"/>
          <cell r="D457"/>
          <cell r="E457">
            <v>421</v>
          </cell>
          <cell r="F457">
            <v>10</v>
          </cell>
          <cell r="G457">
            <v>20</v>
          </cell>
          <cell r="H457">
            <v>30</v>
          </cell>
          <cell r="I457">
            <v>40</v>
          </cell>
          <cell r="J457">
            <v>90</v>
          </cell>
          <cell r="K457">
            <v>120</v>
          </cell>
        </row>
        <row r="458">
          <cell r="A458" t="str">
            <v>HD400x463</v>
          </cell>
          <cell r="B458">
            <v>3</v>
          </cell>
          <cell r="C458"/>
          <cell r="D458"/>
          <cell r="E458">
            <v>463</v>
          </cell>
          <cell r="F458">
            <v>10</v>
          </cell>
          <cell r="G458">
            <v>20</v>
          </cell>
          <cell r="H458">
            <v>30</v>
          </cell>
          <cell r="I458">
            <v>40</v>
          </cell>
          <cell r="J458">
            <v>90</v>
          </cell>
          <cell r="K458">
            <v>120</v>
          </cell>
        </row>
        <row r="459">
          <cell r="A459" t="str">
            <v>HD400x509</v>
          </cell>
          <cell r="B459">
            <v>3</v>
          </cell>
          <cell r="C459"/>
          <cell r="D459"/>
          <cell r="E459">
            <v>509</v>
          </cell>
          <cell r="F459">
            <v>10</v>
          </cell>
          <cell r="G459">
            <v>20</v>
          </cell>
          <cell r="H459">
            <v>30</v>
          </cell>
          <cell r="I459">
            <v>40</v>
          </cell>
          <cell r="J459">
            <v>90</v>
          </cell>
          <cell r="K459">
            <v>120</v>
          </cell>
        </row>
        <row r="460">
          <cell r="A460" t="str">
            <v>HD400x551</v>
          </cell>
          <cell r="B460">
            <v>3</v>
          </cell>
          <cell r="C460"/>
          <cell r="D460"/>
          <cell r="E460">
            <v>551</v>
          </cell>
          <cell r="F460">
            <v>10</v>
          </cell>
          <cell r="G460">
            <v>20</v>
          </cell>
          <cell r="H460">
            <v>30</v>
          </cell>
          <cell r="I460">
            <v>40</v>
          </cell>
          <cell r="J460">
            <v>90</v>
          </cell>
          <cell r="K460">
            <v>120</v>
          </cell>
        </row>
        <row r="461">
          <cell r="A461" t="str">
            <v>HD400x592</v>
          </cell>
          <cell r="B461">
            <v>3</v>
          </cell>
          <cell r="C461"/>
          <cell r="D461"/>
          <cell r="E461">
            <v>592</v>
          </cell>
          <cell r="F461">
            <v>10</v>
          </cell>
          <cell r="G461">
            <v>20</v>
          </cell>
          <cell r="H461">
            <v>30</v>
          </cell>
          <cell r="I461">
            <v>40</v>
          </cell>
          <cell r="J461">
            <v>90</v>
          </cell>
          <cell r="K461">
            <v>120</v>
          </cell>
        </row>
        <row r="462">
          <cell r="A462" t="str">
            <v>HD400x634</v>
          </cell>
          <cell r="B462">
            <v>3</v>
          </cell>
          <cell r="C462"/>
          <cell r="D462"/>
          <cell r="E462">
            <v>634</v>
          </cell>
          <cell r="F462">
            <v>10</v>
          </cell>
          <cell r="G462">
            <v>20</v>
          </cell>
          <cell r="H462">
            <v>30</v>
          </cell>
          <cell r="I462">
            <v>40</v>
          </cell>
          <cell r="J462">
            <v>90</v>
          </cell>
          <cell r="K462">
            <v>120</v>
          </cell>
        </row>
        <row r="463">
          <cell r="A463" t="str">
            <v>HD400x677</v>
          </cell>
          <cell r="B463">
            <v>3</v>
          </cell>
          <cell r="C463"/>
          <cell r="D463"/>
          <cell r="E463">
            <v>677</v>
          </cell>
          <cell r="F463">
            <v>10</v>
          </cell>
          <cell r="G463">
            <v>20</v>
          </cell>
          <cell r="H463">
            <v>30</v>
          </cell>
          <cell r="I463">
            <v>40</v>
          </cell>
          <cell r="J463">
            <v>90</v>
          </cell>
          <cell r="K463">
            <v>120</v>
          </cell>
        </row>
        <row r="464">
          <cell r="A464" t="str">
            <v>HD400x744</v>
          </cell>
          <cell r="B464">
            <v>3</v>
          </cell>
          <cell r="C464"/>
          <cell r="D464"/>
          <cell r="E464">
            <v>744</v>
          </cell>
          <cell r="F464">
            <v>10</v>
          </cell>
          <cell r="G464">
            <v>20</v>
          </cell>
          <cell r="H464">
            <v>30</v>
          </cell>
          <cell r="I464">
            <v>40</v>
          </cell>
          <cell r="J464">
            <v>90</v>
          </cell>
          <cell r="K464">
            <v>120</v>
          </cell>
        </row>
        <row r="465">
          <cell r="A465" t="str">
            <v>HD400x818</v>
          </cell>
          <cell r="B465">
            <v>3</v>
          </cell>
          <cell r="C465"/>
          <cell r="D465"/>
          <cell r="E465">
            <v>818</v>
          </cell>
          <cell r="F465">
            <v>10</v>
          </cell>
          <cell r="G465">
            <v>20</v>
          </cell>
          <cell r="H465">
            <v>30</v>
          </cell>
          <cell r="I465">
            <v>40</v>
          </cell>
          <cell r="J465">
            <v>90</v>
          </cell>
          <cell r="K465">
            <v>120</v>
          </cell>
        </row>
        <row r="466">
          <cell r="A466" t="str">
            <v>HD400x900</v>
          </cell>
          <cell r="B466">
            <v>3</v>
          </cell>
          <cell r="C466"/>
          <cell r="D466"/>
          <cell r="E466">
            <v>900</v>
          </cell>
          <cell r="F466">
            <v>10</v>
          </cell>
          <cell r="G466">
            <v>20</v>
          </cell>
          <cell r="H466">
            <v>30</v>
          </cell>
          <cell r="I466">
            <v>40</v>
          </cell>
          <cell r="J466">
            <v>90</v>
          </cell>
          <cell r="K466">
            <v>120</v>
          </cell>
        </row>
        <row r="467">
          <cell r="A467" t="str">
            <v>HD400x990</v>
          </cell>
          <cell r="B467">
            <v>3</v>
          </cell>
          <cell r="C467"/>
          <cell r="D467"/>
          <cell r="E467">
            <v>990</v>
          </cell>
          <cell r="F467">
            <v>10</v>
          </cell>
          <cell r="G467">
            <v>20</v>
          </cell>
          <cell r="H467">
            <v>30</v>
          </cell>
          <cell r="I467">
            <v>40</v>
          </cell>
          <cell r="J467">
            <v>90</v>
          </cell>
          <cell r="K467">
            <v>120</v>
          </cell>
        </row>
        <row r="468">
          <cell r="A468" t="str">
            <v>HD400x1086</v>
          </cell>
          <cell r="B468">
            <v>3</v>
          </cell>
          <cell r="C468"/>
          <cell r="D468"/>
          <cell r="E468">
            <v>1086</v>
          </cell>
          <cell r="F468">
            <v>10</v>
          </cell>
          <cell r="G468">
            <v>20</v>
          </cell>
          <cell r="H468">
            <v>30</v>
          </cell>
          <cell r="I468">
            <v>40</v>
          </cell>
          <cell r="J468">
            <v>90</v>
          </cell>
          <cell r="K468">
            <v>120</v>
          </cell>
        </row>
        <row r="469">
          <cell r="A469" t="str">
            <v>HD400x1202</v>
          </cell>
          <cell r="B469">
            <v>3</v>
          </cell>
          <cell r="C469"/>
          <cell r="D469"/>
          <cell r="E469">
            <v>1202</v>
          </cell>
          <cell r="F469">
            <v>10</v>
          </cell>
          <cell r="G469">
            <v>20</v>
          </cell>
          <cell r="H469">
            <v>30</v>
          </cell>
          <cell r="I469">
            <v>40</v>
          </cell>
          <cell r="J469">
            <v>90</v>
          </cell>
          <cell r="K469">
            <v>120</v>
          </cell>
        </row>
        <row r="470">
          <cell r="A470" t="str">
            <v>HD400x1299</v>
          </cell>
          <cell r="B470">
            <v>3</v>
          </cell>
          <cell r="C470"/>
          <cell r="D470"/>
          <cell r="E470">
            <v>1299</v>
          </cell>
          <cell r="F470">
            <v>10</v>
          </cell>
          <cell r="G470">
            <v>20</v>
          </cell>
          <cell r="H470">
            <v>30</v>
          </cell>
          <cell r="I470">
            <v>40</v>
          </cell>
          <cell r="J470">
            <v>90</v>
          </cell>
          <cell r="K470">
            <v>120</v>
          </cell>
        </row>
        <row r="471">
          <cell r="A471" t="str">
            <v>HEAA100</v>
          </cell>
          <cell r="B471">
            <v>1</v>
          </cell>
          <cell r="C471">
            <v>2</v>
          </cell>
          <cell r="D471"/>
          <cell r="E471">
            <v>12.2</v>
          </cell>
          <cell r="F471">
            <v>2</v>
          </cell>
          <cell r="G471">
            <v>5</v>
          </cell>
          <cell r="H471">
            <v>10</v>
          </cell>
          <cell r="I471">
            <v>20</v>
          </cell>
          <cell r="J471">
            <v>30</v>
          </cell>
          <cell r="K471">
            <v>60</v>
          </cell>
        </row>
        <row r="472">
          <cell r="A472" t="str">
            <v>HEA100</v>
          </cell>
          <cell r="B472">
            <v>1</v>
          </cell>
          <cell r="C472">
            <v>2</v>
          </cell>
          <cell r="D472"/>
          <cell r="E472">
            <v>16.7</v>
          </cell>
          <cell r="F472">
            <v>2</v>
          </cell>
          <cell r="G472">
            <v>5</v>
          </cell>
          <cell r="H472">
            <v>10</v>
          </cell>
          <cell r="I472">
            <v>20</v>
          </cell>
          <cell r="J472">
            <v>30</v>
          </cell>
          <cell r="K472">
            <v>60</v>
          </cell>
        </row>
        <row r="473">
          <cell r="A473" t="str">
            <v>HEB100</v>
          </cell>
          <cell r="B473">
            <v>2</v>
          </cell>
          <cell r="C473">
            <v>3</v>
          </cell>
          <cell r="D473"/>
          <cell r="E473">
            <v>20.399999999999999</v>
          </cell>
          <cell r="F473">
            <v>5</v>
          </cell>
          <cell r="G473">
            <v>10</v>
          </cell>
          <cell r="H473">
            <v>20</v>
          </cell>
          <cell r="I473">
            <v>30</v>
          </cell>
          <cell r="J473">
            <v>60</v>
          </cell>
          <cell r="K473">
            <v>90</v>
          </cell>
        </row>
        <row r="474">
          <cell r="A474" t="str">
            <v>HEC100</v>
          </cell>
          <cell r="B474">
            <v>2</v>
          </cell>
          <cell r="C474"/>
          <cell r="D474"/>
          <cell r="E474">
            <v>30.9</v>
          </cell>
          <cell r="F474">
            <v>5</v>
          </cell>
          <cell r="G474">
            <v>10</v>
          </cell>
          <cell r="H474">
            <v>20</v>
          </cell>
          <cell r="I474">
            <v>30</v>
          </cell>
          <cell r="J474">
            <v>60</v>
          </cell>
          <cell r="K474">
            <v>90</v>
          </cell>
        </row>
        <row r="475">
          <cell r="A475" t="str">
            <v>HEM100</v>
          </cell>
          <cell r="B475">
            <v>2</v>
          </cell>
          <cell r="C475">
            <v>6</v>
          </cell>
          <cell r="D475"/>
          <cell r="E475">
            <v>41.8</v>
          </cell>
          <cell r="F475">
            <v>5</v>
          </cell>
          <cell r="G475">
            <v>10</v>
          </cell>
          <cell r="H475">
            <v>20</v>
          </cell>
          <cell r="I475">
            <v>30</v>
          </cell>
          <cell r="J475">
            <v>60</v>
          </cell>
          <cell r="K475">
            <v>90</v>
          </cell>
        </row>
        <row r="476">
          <cell r="A476" t="str">
            <v>HEAA120</v>
          </cell>
          <cell r="B476">
            <v>1</v>
          </cell>
          <cell r="C476">
            <v>2</v>
          </cell>
          <cell r="D476"/>
          <cell r="E476">
            <v>14.6</v>
          </cell>
          <cell r="F476">
            <v>2</v>
          </cell>
          <cell r="G476">
            <v>5</v>
          </cell>
          <cell r="H476">
            <v>10</v>
          </cell>
          <cell r="I476">
            <v>20</v>
          </cell>
          <cell r="J476">
            <v>30</v>
          </cell>
          <cell r="K476">
            <v>60</v>
          </cell>
        </row>
        <row r="477">
          <cell r="A477" t="str">
            <v>HEA120</v>
          </cell>
          <cell r="B477">
            <v>1</v>
          </cell>
          <cell r="C477">
            <v>2</v>
          </cell>
          <cell r="D477"/>
          <cell r="E477">
            <v>19.899999999999999</v>
          </cell>
          <cell r="F477">
            <v>2</v>
          </cell>
          <cell r="G477">
            <v>5</v>
          </cell>
          <cell r="H477">
            <v>10</v>
          </cell>
          <cell r="I477">
            <v>20</v>
          </cell>
          <cell r="J477">
            <v>30</v>
          </cell>
          <cell r="K477">
            <v>60</v>
          </cell>
        </row>
        <row r="478">
          <cell r="A478" t="str">
            <v>HEB120</v>
          </cell>
          <cell r="B478">
            <v>2</v>
          </cell>
          <cell r="C478">
            <v>3</v>
          </cell>
          <cell r="D478"/>
          <cell r="E478">
            <v>26.7</v>
          </cell>
          <cell r="F478">
            <v>5</v>
          </cell>
          <cell r="G478">
            <v>10</v>
          </cell>
          <cell r="H478">
            <v>20</v>
          </cell>
          <cell r="I478">
            <v>30</v>
          </cell>
          <cell r="J478">
            <v>60</v>
          </cell>
          <cell r="K478">
            <v>90</v>
          </cell>
        </row>
        <row r="479">
          <cell r="A479" t="str">
            <v>HEC120</v>
          </cell>
          <cell r="B479">
            <v>2</v>
          </cell>
          <cell r="C479"/>
          <cell r="D479"/>
          <cell r="E479">
            <v>39.200000000000003</v>
          </cell>
          <cell r="F479">
            <v>5</v>
          </cell>
          <cell r="G479">
            <v>10</v>
          </cell>
          <cell r="H479">
            <v>20</v>
          </cell>
          <cell r="I479">
            <v>30</v>
          </cell>
          <cell r="J479">
            <v>60</v>
          </cell>
          <cell r="K479">
            <v>90</v>
          </cell>
        </row>
        <row r="480">
          <cell r="A480" t="str">
            <v>HEM120</v>
          </cell>
          <cell r="B480">
            <v>2</v>
          </cell>
          <cell r="C480">
            <v>6</v>
          </cell>
          <cell r="D480"/>
          <cell r="E480">
            <v>52.1</v>
          </cell>
          <cell r="F480">
            <v>5</v>
          </cell>
          <cell r="G480">
            <v>10</v>
          </cell>
          <cell r="H480">
            <v>20</v>
          </cell>
          <cell r="I480">
            <v>30</v>
          </cell>
          <cell r="J480">
            <v>60</v>
          </cell>
          <cell r="K480">
            <v>90</v>
          </cell>
        </row>
        <row r="481">
          <cell r="A481" t="str">
            <v>HEAA140</v>
          </cell>
          <cell r="B481">
            <v>1</v>
          </cell>
          <cell r="C481">
            <v>2</v>
          </cell>
          <cell r="D481"/>
          <cell r="E481">
            <v>18.100000000000001</v>
          </cell>
          <cell r="F481">
            <v>2</v>
          </cell>
          <cell r="G481">
            <v>5</v>
          </cell>
          <cell r="H481">
            <v>10</v>
          </cell>
          <cell r="I481">
            <v>20</v>
          </cell>
          <cell r="J481">
            <v>30</v>
          </cell>
          <cell r="K481">
            <v>60</v>
          </cell>
        </row>
        <row r="482">
          <cell r="A482" t="str">
            <v>HEA140</v>
          </cell>
          <cell r="B482">
            <v>2</v>
          </cell>
          <cell r="C482">
            <v>2</v>
          </cell>
          <cell r="D482"/>
          <cell r="E482">
            <v>24.7</v>
          </cell>
          <cell r="F482">
            <v>5</v>
          </cell>
          <cell r="G482">
            <v>10</v>
          </cell>
          <cell r="H482">
            <v>20</v>
          </cell>
          <cell r="I482">
            <v>30</v>
          </cell>
          <cell r="J482">
            <v>60</v>
          </cell>
          <cell r="K482">
            <v>90</v>
          </cell>
        </row>
        <row r="483">
          <cell r="A483" t="str">
            <v>HEB140</v>
          </cell>
          <cell r="B483">
            <v>2</v>
          </cell>
          <cell r="C483">
            <v>6</v>
          </cell>
          <cell r="D483"/>
          <cell r="E483">
            <v>33.700000000000003</v>
          </cell>
          <cell r="F483">
            <v>5</v>
          </cell>
          <cell r="G483">
            <v>10</v>
          </cell>
          <cell r="H483">
            <v>20</v>
          </cell>
          <cell r="I483">
            <v>30</v>
          </cell>
          <cell r="J483">
            <v>60</v>
          </cell>
          <cell r="K483">
            <v>90</v>
          </cell>
        </row>
        <row r="484">
          <cell r="A484" t="str">
            <v>HEC140</v>
          </cell>
          <cell r="B484">
            <v>2</v>
          </cell>
          <cell r="C484"/>
          <cell r="D484"/>
          <cell r="E484">
            <v>48.2</v>
          </cell>
          <cell r="F484">
            <v>5</v>
          </cell>
          <cell r="G484">
            <v>10</v>
          </cell>
          <cell r="H484">
            <v>20</v>
          </cell>
          <cell r="I484">
            <v>30</v>
          </cell>
          <cell r="J484">
            <v>60</v>
          </cell>
          <cell r="K484">
            <v>90</v>
          </cell>
        </row>
        <row r="485">
          <cell r="A485" t="str">
            <v>HEM140</v>
          </cell>
          <cell r="B485">
            <v>2</v>
          </cell>
          <cell r="C485">
            <v>10</v>
          </cell>
          <cell r="D485"/>
          <cell r="E485">
            <v>63.2</v>
          </cell>
          <cell r="F485">
            <v>5</v>
          </cell>
          <cell r="G485">
            <v>10</v>
          </cell>
          <cell r="H485">
            <v>20</v>
          </cell>
          <cell r="I485">
            <v>30</v>
          </cell>
          <cell r="J485">
            <v>60</v>
          </cell>
          <cell r="K485">
            <v>90</v>
          </cell>
        </row>
        <row r="486">
          <cell r="A486" t="str">
            <v>HEAA160</v>
          </cell>
          <cell r="B486">
            <v>2</v>
          </cell>
          <cell r="C486"/>
          <cell r="D486"/>
          <cell r="E486">
            <v>23.8</v>
          </cell>
          <cell r="F486">
            <v>5</v>
          </cell>
          <cell r="G486">
            <v>10</v>
          </cell>
          <cell r="H486">
            <v>20</v>
          </cell>
          <cell r="I486">
            <v>30</v>
          </cell>
          <cell r="J486">
            <v>60</v>
          </cell>
          <cell r="K486">
            <v>90</v>
          </cell>
        </row>
        <row r="487">
          <cell r="A487" t="str">
            <v>HEA160</v>
          </cell>
          <cell r="B487">
            <v>2</v>
          </cell>
          <cell r="C487">
            <v>2</v>
          </cell>
          <cell r="D487"/>
          <cell r="E487">
            <v>30.4</v>
          </cell>
          <cell r="F487">
            <v>5</v>
          </cell>
          <cell r="G487">
            <v>10</v>
          </cell>
          <cell r="H487">
            <v>20</v>
          </cell>
          <cell r="I487">
            <v>30</v>
          </cell>
          <cell r="J487">
            <v>60</v>
          </cell>
          <cell r="K487">
            <v>90</v>
          </cell>
        </row>
        <row r="488">
          <cell r="A488" t="str">
            <v>HEB160</v>
          </cell>
          <cell r="B488">
            <v>2</v>
          </cell>
          <cell r="C488">
            <v>6</v>
          </cell>
          <cell r="D488"/>
          <cell r="E488">
            <v>42.6</v>
          </cell>
          <cell r="F488">
            <v>5</v>
          </cell>
          <cell r="G488">
            <v>10</v>
          </cell>
          <cell r="H488">
            <v>20</v>
          </cell>
          <cell r="I488">
            <v>30</v>
          </cell>
          <cell r="J488">
            <v>60</v>
          </cell>
          <cell r="K488">
            <v>90</v>
          </cell>
        </row>
        <row r="489">
          <cell r="A489" t="str">
            <v>HEC160</v>
          </cell>
          <cell r="B489">
            <v>2</v>
          </cell>
          <cell r="C489"/>
          <cell r="D489"/>
          <cell r="E489">
            <v>59.2</v>
          </cell>
          <cell r="F489">
            <v>5</v>
          </cell>
          <cell r="G489">
            <v>10</v>
          </cell>
          <cell r="H489">
            <v>20</v>
          </cell>
          <cell r="I489">
            <v>30</v>
          </cell>
          <cell r="J489">
            <v>60</v>
          </cell>
          <cell r="K489">
            <v>90</v>
          </cell>
        </row>
        <row r="490">
          <cell r="A490" t="str">
            <v>HEM160</v>
          </cell>
          <cell r="B490">
            <v>2</v>
          </cell>
          <cell r="C490">
            <v>10</v>
          </cell>
          <cell r="D490"/>
          <cell r="E490">
            <v>76.2</v>
          </cell>
          <cell r="F490">
            <v>5</v>
          </cell>
          <cell r="G490">
            <v>10</v>
          </cell>
          <cell r="H490">
            <v>20</v>
          </cell>
          <cell r="I490">
            <v>30</v>
          </cell>
          <cell r="J490">
            <v>60</v>
          </cell>
          <cell r="K490">
            <v>90</v>
          </cell>
        </row>
        <row r="491">
          <cell r="A491" t="str">
            <v>HEAA180</v>
          </cell>
          <cell r="B491">
            <v>2</v>
          </cell>
          <cell r="C491"/>
          <cell r="D491"/>
          <cell r="E491">
            <v>28.7</v>
          </cell>
          <cell r="F491">
            <v>5</v>
          </cell>
          <cell r="G491">
            <v>10</v>
          </cell>
          <cell r="H491">
            <v>20</v>
          </cell>
          <cell r="I491">
            <v>30</v>
          </cell>
          <cell r="J491">
            <v>60</v>
          </cell>
          <cell r="K491">
            <v>90</v>
          </cell>
        </row>
        <row r="492">
          <cell r="A492" t="str">
            <v>HEA180</v>
          </cell>
          <cell r="B492">
            <v>2</v>
          </cell>
          <cell r="C492">
            <v>2</v>
          </cell>
          <cell r="D492">
            <v>1.02</v>
          </cell>
          <cell r="E492">
            <v>35.5</v>
          </cell>
          <cell r="F492">
            <v>5</v>
          </cell>
          <cell r="G492">
            <v>10</v>
          </cell>
          <cell r="H492">
            <v>20</v>
          </cell>
          <cell r="I492">
            <v>30</v>
          </cell>
          <cell r="J492">
            <v>60</v>
          </cell>
          <cell r="K492">
            <v>90</v>
          </cell>
        </row>
        <row r="493">
          <cell r="A493" t="str">
            <v>HEB180</v>
          </cell>
          <cell r="B493">
            <v>2</v>
          </cell>
          <cell r="C493">
            <v>6</v>
          </cell>
          <cell r="D493"/>
          <cell r="E493">
            <v>51.2</v>
          </cell>
          <cell r="F493">
            <v>5</v>
          </cell>
          <cell r="G493">
            <v>10</v>
          </cell>
          <cell r="H493">
            <v>20</v>
          </cell>
          <cell r="I493">
            <v>30</v>
          </cell>
          <cell r="J493">
            <v>60</v>
          </cell>
          <cell r="K493">
            <v>90</v>
          </cell>
        </row>
        <row r="494">
          <cell r="A494" t="str">
            <v>HEC180</v>
          </cell>
          <cell r="B494">
            <v>2</v>
          </cell>
          <cell r="C494"/>
          <cell r="D494"/>
          <cell r="E494">
            <v>69.8</v>
          </cell>
          <cell r="F494">
            <v>5</v>
          </cell>
          <cell r="G494">
            <v>10</v>
          </cell>
          <cell r="H494">
            <v>20</v>
          </cell>
          <cell r="I494">
            <v>30</v>
          </cell>
          <cell r="J494">
            <v>60</v>
          </cell>
          <cell r="K494">
            <v>90</v>
          </cell>
        </row>
        <row r="495">
          <cell r="A495" t="str">
            <v>HEM180</v>
          </cell>
          <cell r="B495">
            <v>2</v>
          </cell>
          <cell r="C495">
            <v>10</v>
          </cell>
          <cell r="D495"/>
          <cell r="E495">
            <v>88.9</v>
          </cell>
          <cell r="F495">
            <v>5</v>
          </cell>
          <cell r="G495">
            <v>10</v>
          </cell>
          <cell r="H495">
            <v>20</v>
          </cell>
          <cell r="I495">
            <v>30</v>
          </cell>
          <cell r="J495">
            <v>60</v>
          </cell>
          <cell r="K495">
            <v>90</v>
          </cell>
        </row>
        <row r="496">
          <cell r="A496" t="str">
            <v>HEAA200</v>
          </cell>
          <cell r="B496">
            <v>2</v>
          </cell>
          <cell r="C496"/>
          <cell r="D496"/>
          <cell r="E496">
            <v>34.6</v>
          </cell>
          <cell r="F496">
            <v>5</v>
          </cell>
          <cell r="G496">
            <v>10</v>
          </cell>
          <cell r="H496">
            <v>20</v>
          </cell>
          <cell r="I496">
            <v>30</v>
          </cell>
          <cell r="J496">
            <v>60</v>
          </cell>
          <cell r="K496">
            <v>90</v>
          </cell>
        </row>
        <row r="497">
          <cell r="A497" t="str">
            <v>HEA200</v>
          </cell>
          <cell r="B497">
            <v>2</v>
          </cell>
          <cell r="C497">
            <v>3</v>
          </cell>
          <cell r="D497">
            <v>1.1399999999999999</v>
          </cell>
          <cell r="E497">
            <v>42.3</v>
          </cell>
          <cell r="F497">
            <v>5</v>
          </cell>
          <cell r="G497">
            <v>10</v>
          </cell>
          <cell r="H497">
            <v>20</v>
          </cell>
          <cell r="I497">
            <v>30</v>
          </cell>
          <cell r="J497">
            <v>60</v>
          </cell>
          <cell r="K497">
            <v>90</v>
          </cell>
        </row>
        <row r="498">
          <cell r="A498" t="str">
            <v>HEB200</v>
          </cell>
          <cell r="B498">
            <v>2</v>
          </cell>
          <cell r="C498">
            <v>6</v>
          </cell>
          <cell r="D498"/>
          <cell r="E498">
            <v>61.3</v>
          </cell>
          <cell r="F498">
            <v>5</v>
          </cell>
          <cell r="G498">
            <v>10</v>
          </cell>
          <cell r="H498">
            <v>20</v>
          </cell>
          <cell r="I498">
            <v>30</v>
          </cell>
          <cell r="J498">
            <v>60</v>
          </cell>
          <cell r="K498">
            <v>90</v>
          </cell>
        </row>
        <row r="499">
          <cell r="A499" t="str">
            <v>HEC200</v>
          </cell>
          <cell r="B499">
            <v>2</v>
          </cell>
          <cell r="C499"/>
          <cell r="D499"/>
          <cell r="E499">
            <v>81.900000000000006</v>
          </cell>
          <cell r="F499">
            <v>5</v>
          </cell>
          <cell r="G499">
            <v>10</v>
          </cell>
          <cell r="H499">
            <v>20</v>
          </cell>
          <cell r="I499">
            <v>30</v>
          </cell>
          <cell r="J499">
            <v>60</v>
          </cell>
          <cell r="K499">
            <v>90</v>
          </cell>
        </row>
        <row r="500">
          <cell r="A500" t="str">
            <v>HEM200</v>
          </cell>
          <cell r="B500">
            <v>2</v>
          </cell>
          <cell r="C500">
            <v>10</v>
          </cell>
          <cell r="D500"/>
          <cell r="E500">
            <v>103</v>
          </cell>
          <cell r="F500">
            <v>5</v>
          </cell>
          <cell r="G500">
            <v>10</v>
          </cell>
          <cell r="H500">
            <v>20</v>
          </cell>
          <cell r="I500">
            <v>30</v>
          </cell>
          <cell r="J500">
            <v>60</v>
          </cell>
          <cell r="K500">
            <v>90</v>
          </cell>
        </row>
        <row r="501">
          <cell r="A501" t="str">
            <v>HEAA220</v>
          </cell>
          <cell r="B501">
            <v>2</v>
          </cell>
          <cell r="C501"/>
          <cell r="D501"/>
          <cell r="E501">
            <v>40.4</v>
          </cell>
          <cell r="F501">
            <v>5</v>
          </cell>
          <cell r="G501">
            <v>10</v>
          </cell>
          <cell r="H501">
            <v>20</v>
          </cell>
          <cell r="I501">
            <v>30</v>
          </cell>
          <cell r="J501">
            <v>60</v>
          </cell>
          <cell r="K501">
            <v>90</v>
          </cell>
        </row>
        <row r="502">
          <cell r="A502" t="str">
            <v>HEA220</v>
          </cell>
          <cell r="B502">
            <v>2</v>
          </cell>
          <cell r="C502">
            <v>3</v>
          </cell>
          <cell r="D502">
            <v>1.26</v>
          </cell>
          <cell r="E502">
            <v>50.5</v>
          </cell>
          <cell r="F502">
            <v>5</v>
          </cell>
          <cell r="G502">
            <v>10</v>
          </cell>
          <cell r="H502">
            <v>20</v>
          </cell>
          <cell r="I502">
            <v>30</v>
          </cell>
          <cell r="J502">
            <v>60</v>
          </cell>
          <cell r="K502">
            <v>90</v>
          </cell>
        </row>
        <row r="503">
          <cell r="A503" t="str">
            <v>HEB220</v>
          </cell>
          <cell r="B503">
            <v>2</v>
          </cell>
          <cell r="C503">
            <v>10</v>
          </cell>
          <cell r="D503"/>
          <cell r="E503">
            <v>71.5</v>
          </cell>
          <cell r="F503">
            <v>5</v>
          </cell>
          <cell r="G503">
            <v>10</v>
          </cell>
          <cell r="H503">
            <v>20</v>
          </cell>
          <cell r="I503">
            <v>30</v>
          </cell>
          <cell r="J503">
            <v>60</v>
          </cell>
          <cell r="K503">
            <v>90</v>
          </cell>
        </row>
        <row r="504">
          <cell r="A504" t="str">
            <v>HEC220</v>
          </cell>
          <cell r="B504">
            <v>2</v>
          </cell>
          <cell r="C504"/>
          <cell r="D504"/>
          <cell r="E504">
            <v>94.1</v>
          </cell>
          <cell r="F504">
            <v>5</v>
          </cell>
          <cell r="G504">
            <v>10</v>
          </cell>
          <cell r="H504">
            <v>20</v>
          </cell>
          <cell r="I504">
            <v>30</v>
          </cell>
          <cell r="J504">
            <v>60</v>
          </cell>
          <cell r="K504">
            <v>90</v>
          </cell>
        </row>
        <row r="505">
          <cell r="A505" t="str">
            <v>HEM220</v>
          </cell>
          <cell r="B505">
            <v>2</v>
          </cell>
          <cell r="C505">
            <v>10</v>
          </cell>
          <cell r="D505"/>
          <cell r="E505">
            <v>117</v>
          </cell>
          <cell r="F505">
            <v>5</v>
          </cell>
          <cell r="G505">
            <v>10</v>
          </cell>
          <cell r="H505">
            <v>20</v>
          </cell>
          <cell r="I505">
            <v>30</v>
          </cell>
          <cell r="J505">
            <v>60</v>
          </cell>
          <cell r="K505">
            <v>90</v>
          </cell>
        </row>
        <row r="506">
          <cell r="A506" t="str">
            <v>HEAA240</v>
          </cell>
          <cell r="B506">
            <v>2</v>
          </cell>
          <cell r="C506"/>
          <cell r="D506"/>
          <cell r="E506">
            <v>47.4</v>
          </cell>
          <cell r="F506">
            <v>5</v>
          </cell>
          <cell r="G506">
            <v>10</v>
          </cell>
          <cell r="H506">
            <v>20</v>
          </cell>
          <cell r="I506">
            <v>30</v>
          </cell>
          <cell r="J506">
            <v>60</v>
          </cell>
          <cell r="K506">
            <v>90</v>
          </cell>
        </row>
        <row r="507">
          <cell r="A507" t="str">
            <v>HEA240</v>
          </cell>
          <cell r="B507">
            <v>2</v>
          </cell>
          <cell r="C507">
            <v>3</v>
          </cell>
          <cell r="D507">
            <v>1.37</v>
          </cell>
          <cell r="E507">
            <v>60.3</v>
          </cell>
          <cell r="F507">
            <v>5</v>
          </cell>
          <cell r="G507">
            <v>10</v>
          </cell>
          <cell r="H507">
            <v>20</v>
          </cell>
          <cell r="I507">
            <v>30</v>
          </cell>
          <cell r="J507">
            <v>60</v>
          </cell>
          <cell r="K507">
            <v>90</v>
          </cell>
        </row>
        <row r="508">
          <cell r="A508" t="str">
            <v>HEB240</v>
          </cell>
          <cell r="B508">
            <v>2</v>
          </cell>
          <cell r="C508">
            <v>10</v>
          </cell>
          <cell r="D508"/>
          <cell r="E508">
            <v>83.2</v>
          </cell>
          <cell r="F508">
            <v>5</v>
          </cell>
          <cell r="G508">
            <v>10</v>
          </cell>
          <cell r="H508">
            <v>20</v>
          </cell>
          <cell r="I508">
            <v>30</v>
          </cell>
          <cell r="J508">
            <v>60</v>
          </cell>
          <cell r="K508">
            <v>90</v>
          </cell>
        </row>
        <row r="509">
          <cell r="A509" t="str">
            <v>HEC240</v>
          </cell>
          <cell r="B509">
            <v>2</v>
          </cell>
          <cell r="C509"/>
          <cell r="D509"/>
          <cell r="E509">
            <v>119</v>
          </cell>
          <cell r="F509">
            <v>5</v>
          </cell>
          <cell r="G509">
            <v>10</v>
          </cell>
          <cell r="H509">
            <v>20</v>
          </cell>
          <cell r="I509">
            <v>30</v>
          </cell>
          <cell r="J509">
            <v>60</v>
          </cell>
          <cell r="K509">
            <v>90</v>
          </cell>
        </row>
        <row r="510">
          <cell r="A510" t="str">
            <v>HEM240</v>
          </cell>
          <cell r="B510">
            <v>2</v>
          </cell>
          <cell r="C510">
            <v>15</v>
          </cell>
          <cell r="D510"/>
          <cell r="E510">
            <v>157</v>
          </cell>
          <cell r="F510">
            <v>5</v>
          </cell>
          <cell r="G510">
            <v>10</v>
          </cell>
          <cell r="H510">
            <v>20</v>
          </cell>
          <cell r="I510">
            <v>30</v>
          </cell>
          <cell r="J510">
            <v>60</v>
          </cell>
          <cell r="K510">
            <v>90</v>
          </cell>
        </row>
        <row r="511">
          <cell r="A511" t="str">
            <v>HEAA260</v>
          </cell>
          <cell r="B511">
            <v>2</v>
          </cell>
          <cell r="C511"/>
          <cell r="D511"/>
          <cell r="E511">
            <v>54.1</v>
          </cell>
          <cell r="F511">
            <v>5</v>
          </cell>
          <cell r="G511">
            <v>10</v>
          </cell>
          <cell r="H511">
            <v>20</v>
          </cell>
          <cell r="I511">
            <v>30</v>
          </cell>
          <cell r="J511">
            <v>60</v>
          </cell>
          <cell r="K511">
            <v>90</v>
          </cell>
        </row>
        <row r="512">
          <cell r="A512" t="str">
            <v>HEA260</v>
          </cell>
          <cell r="B512">
            <v>2</v>
          </cell>
          <cell r="C512">
            <v>3</v>
          </cell>
          <cell r="D512">
            <v>1.48</v>
          </cell>
          <cell r="E512">
            <v>68.2</v>
          </cell>
          <cell r="F512">
            <v>5</v>
          </cell>
          <cell r="G512">
            <v>10</v>
          </cell>
          <cell r="H512">
            <v>20</v>
          </cell>
          <cell r="I512">
            <v>30</v>
          </cell>
          <cell r="J512">
            <v>60</v>
          </cell>
          <cell r="K512">
            <v>90</v>
          </cell>
        </row>
        <row r="513">
          <cell r="A513" t="str">
            <v>HEB260</v>
          </cell>
          <cell r="B513">
            <v>2</v>
          </cell>
          <cell r="C513">
            <v>10</v>
          </cell>
          <cell r="D513"/>
          <cell r="E513">
            <v>93</v>
          </cell>
          <cell r="F513">
            <v>5</v>
          </cell>
          <cell r="G513">
            <v>10</v>
          </cell>
          <cell r="H513">
            <v>20</v>
          </cell>
          <cell r="I513">
            <v>30</v>
          </cell>
          <cell r="J513">
            <v>60</v>
          </cell>
          <cell r="K513">
            <v>90</v>
          </cell>
        </row>
        <row r="514">
          <cell r="A514" t="str">
            <v>HEC260</v>
          </cell>
          <cell r="B514">
            <v>2</v>
          </cell>
          <cell r="C514"/>
          <cell r="D514"/>
          <cell r="E514">
            <v>132</v>
          </cell>
          <cell r="F514">
            <v>5</v>
          </cell>
          <cell r="G514">
            <v>10</v>
          </cell>
          <cell r="H514">
            <v>20</v>
          </cell>
          <cell r="I514">
            <v>30</v>
          </cell>
          <cell r="J514">
            <v>60</v>
          </cell>
          <cell r="K514">
            <v>90</v>
          </cell>
        </row>
        <row r="515">
          <cell r="A515" t="str">
            <v>HEM260</v>
          </cell>
          <cell r="B515">
            <v>2</v>
          </cell>
          <cell r="C515">
            <v>15</v>
          </cell>
          <cell r="D515"/>
          <cell r="E515">
            <v>172</v>
          </cell>
          <cell r="F515">
            <v>5</v>
          </cell>
          <cell r="G515">
            <v>10</v>
          </cell>
          <cell r="H515">
            <v>20</v>
          </cell>
          <cell r="I515">
            <v>30</v>
          </cell>
          <cell r="J515">
            <v>60</v>
          </cell>
          <cell r="K515">
            <v>90</v>
          </cell>
        </row>
        <row r="516">
          <cell r="A516" t="str">
            <v>HEAA280</v>
          </cell>
          <cell r="B516">
            <v>2</v>
          </cell>
          <cell r="C516"/>
          <cell r="D516"/>
          <cell r="E516">
            <v>61.2</v>
          </cell>
          <cell r="F516">
            <v>5</v>
          </cell>
          <cell r="G516">
            <v>10</v>
          </cell>
          <cell r="H516">
            <v>20</v>
          </cell>
          <cell r="I516">
            <v>30</v>
          </cell>
          <cell r="J516">
            <v>60</v>
          </cell>
          <cell r="K516">
            <v>90</v>
          </cell>
        </row>
        <row r="517">
          <cell r="A517" t="str">
            <v>HEA280</v>
          </cell>
          <cell r="B517">
            <v>2</v>
          </cell>
          <cell r="C517">
            <v>3</v>
          </cell>
          <cell r="D517"/>
          <cell r="E517">
            <v>76.400000000000006</v>
          </cell>
          <cell r="F517">
            <v>5</v>
          </cell>
          <cell r="G517">
            <v>10</v>
          </cell>
          <cell r="H517">
            <v>20</v>
          </cell>
          <cell r="I517">
            <v>30</v>
          </cell>
          <cell r="J517">
            <v>60</v>
          </cell>
          <cell r="K517">
            <v>90</v>
          </cell>
        </row>
        <row r="518">
          <cell r="A518" t="str">
            <v>HEB280</v>
          </cell>
          <cell r="B518">
            <v>2</v>
          </cell>
          <cell r="C518">
            <v>10</v>
          </cell>
          <cell r="D518"/>
          <cell r="E518">
            <v>103</v>
          </cell>
          <cell r="F518">
            <v>5</v>
          </cell>
          <cell r="G518">
            <v>10</v>
          </cell>
          <cell r="H518">
            <v>20</v>
          </cell>
          <cell r="I518">
            <v>30</v>
          </cell>
          <cell r="J518">
            <v>60</v>
          </cell>
          <cell r="K518">
            <v>90</v>
          </cell>
        </row>
        <row r="519">
          <cell r="A519" t="str">
            <v>HEC280</v>
          </cell>
          <cell r="B519">
            <v>2</v>
          </cell>
          <cell r="C519"/>
          <cell r="D519"/>
          <cell r="E519">
            <v>145</v>
          </cell>
          <cell r="F519">
            <v>5</v>
          </cell>
          <cell r="G519">
            <v>10</v>
          </cell>
          <cell r="H519">
            <v>20</v>
          </cell>
          <cell r="I519">
            <v>30</v>
          </cell>
          <cell r="J519">
            <v>60</v>
          </cell>
          <cell r="K519">
            <v>90</v>
          </cell>
        </row>
        <row r="520">
          <cell r="A520" t="str">
            <v>HEM280</v>
          </cell>
          <cell r="B520">
            <v>2</v>
          </cell>
          <cell r="C520">
            <v>15</v>
          </cell>
          <cell r="D520"/>
          <cell r="E520">
            <v>189</v>
          </cell>
          <cell r="F520">
            <v>5</v>
          </cell>
          <cell r="G520">
            <v>10</v>
          </cell>
          <cell r="H520">
            <v>20</v>
          </cell>
          <cell r="I520">
            <v>30</v>
          </cell>
          <cell r="J520">
            <v>60</v>
          </cell>
          <cell r="K520">
            <v>90</v>
          </cell>
        </row>
        <row r="521">
          <cell r="A521" t="str">
            <v>HEAA300</v>
          </cell>
          <cell r="B521">
            <v>3</v>
          </cell>
          <cell r="C521"/>
          <cell r="D521"/>
          <cell r="E521">
            <v>69.8</v>
          </cell>
          <cell r="F521">
            <v>10</v>
          </cell>
          <cell r="G521">
            <v>20</v>
          </cell>
          <cell r="H521">
            <v>30</v>
          </cell>
          <cell r="I521">
            <v>40</v>
          </cell>
          <cell r="J521">
            <v>90</v>
          </cell>
          <cell r="K521">
            <v>120</v>
          </cell>
        </row>
        <row r="522">
          <cell r="A522" t="str">
            <v>HEA300</v>
          </cell>
          <cell r="B522">
            <v>3</v>
          </cell>
          <cell r="C522">
            <v>3</v>
          </cell>
          <cell r="D522">
            <v>1.72</v>
          </cell>
          <cell r="E522">
            <v>88.3</v>
          </cell>
          <cell r="F522">
            <v>10</v>
          </cell>
          <cell r="G522">
            <v>20</v>
          </cell>
          <cell r="H522">
            <v>30</v>
          </cell>
          <cell r="I522">
            <v>40</v>
          </cell>
          <cell r="J522">
            <v>90</v>
          </cell>
          <cell r="K522">
            <v>120</v>
          </cell>
        </row>
        <row r="523">
          <cell r="A523" t="str">
            <v>HEB300</v>
          </cell>
          <cell r="B523">
            <v>3</v>
          </cell>
          <cell r="C523">
            <v>12</v>
          </cell>
          <cell r="D523"/>
          <cell r="E523">
            <v>117</v>
          </cell>
          <cell r="F523">
            <v>10</v>
          </cell>
          <cell r="G523">
            <v>20</v>
          </cell>
          <cell r="H523">
            <v>30</v>
          </cell>
          <cell r="I523">
            <v>40</v>
          </cell>
          <cell r="J523">
            <v>90</v>
          </cell>
          <cell r="K523">
            <v>120</v>
          </cell>
        </row>
        <row r="524">
          <cell r="A524" t="str">
            <v>HEC300</v>
          </cell>
          <cell r="B524">
            <v>3</v>
          </cell>
          <cell r="C524"/>
          <cell r="D524"/>
          <cell r="E524">
            <v>177</v>
          </cell>
          <cell r="F524">
            <v>10</v>
          </cell>
          <cell r="G524">
            <v>20</v>
          </cell>
          <cell r="H524">
            <v>30</v>
          </cell>
          <cell r="I524">
            <v>40</v>
          </cell>
          <cell r="J524">
            <v>90</v>
          </cell>
          <cell r="K524">
            <v>120</v>
          </cell>
        </row>
        <row r="525">
          <cell r="A525" t="str">
            <v>HEM300</v>
          </cell>
          <cell r="B525">
            <v>3</v>
          </cell>
          <cell r="C525">
            <v>15</v>
          </cell>
          <cell r="D525"/>
          <cell r="E525">
            <v>238</v>
          </cell>
          <cell r="F525">
            <v>10</v>
          </cell>
          <cell r="G525">
            <v>20</v>
          </cell>
          <cell r="H525">
            <v>30</v>
          </cell>
          <cell r="I525">
            <v>40</v>
          </cell>
          <cell r="J525">
            <v>90</v>
          </cell>
          <cell r="K525">
            <v>120</v>
          </cell>
        </row>
        <row r="526">
          <cell r="A526" t="str">
            <v>HEAA320</v>
          </cell>
          <cell r="B526">
            <v>3</v>
          </cell>
          <cell r="C526"/>
          <cell r="D526"/>
          <cell r="E526">
            <v>74.2</v>
          </cell>
          <cell r="F526">
            <v>10</v>
          </cell>
          <cell r="G526">
            <v>20</v>
          </cell>
          <cell r="H526">
            <v>30</v>
          </cell>
          <cell r="I526">
            <v>40</v>
          </cell>
          <cell r="J526">
            <v>90</v>
          </cell>
          <cell r="K526">
            <v>120</v>
          </cell>
        </row>
        <row r="527">
          <cell r="A527" t="str">
            <v>HEA320</v>
          </cell>
          <cell r="B527">
            <v>3</v>
          </cell>
          <cell r="C527">
            <v>3</v>
          </cell>
          <cell r="D527">
            <v>1.76</v>
          </cell>
          <cell r="E527">
            <v>97.6</v>
          </cell>
          <cell r="F527">
            <v>10</v>
          </cell>
          <cell r="G527">
            <v>20</v>
          </cell>
          <cell r="H527">
            <v>30</v>
          </cell>
          <cell r="I527">
            <v>40</v>
          </cell>
          <cell r="J527">
            <v>90</v>
          </cell>
          <cell r="K527">
            <v>120</v>
          </cell>
        </row>
        <row r="528">
          <cell r="A528" t="str">
            <v>HEB320</v>
          </cell>
          <cell r="B528">
            <v>3</v>
          </cell>
          <cell r="C528">
            <v>12</v>
          </cell>
          <cell r="D528"/>
          <cell r="E528">
            <v>127</v>
          </cell>
          <cell r="F528">
            <v>10</v>
          </cell>
          <cell r="G528">
            <v>20</v>
          </cell>
          <cell r="H528">
            <v>30</v>
          </cell>
          <cell r="I528">
            <v>40</v>
          </cell>
          <cell r="J528">
            <v>90</v>
          </cell>
          <cell r="K528">
            <v>120</v>
          </cell>
        </row>
        <row r="529">
          <cell r="A529" t="str">
            <v>HEC320</v>
          </cell>
          <cell r="B529">
            <v>3</v>
          </cell>
          <cell r="C529"/>
          <cell r="D529"/>
          <cell r="E529">
            <v>186</v>
          </cell>
          <cell r="F529">
            <v>10</v>
          </cell>
          <cell r="G529">
            <v>20</v>
          </cell>
          <cell r="H529">
            <v>30</v>
          </cell>
          <cell r="I529">
            <v>40</v>
          </cell>
          <cell r="J529">
            <v>90</v>
          </cell>
          <cell r="K529">
            <v>120</v>
          </cell>
        </row>
        <row r="530">
          <cell r="A530" t="str">
            <v>HEM320</v>
          </cell>
          <cell r="B530">
            <v>3</v>
          </cell>
          <cell r="C530">
            <v>15</v>
          </cell>
          <cell r="D530"/>
          <cell r="E530">
            <v>245</v>
          </cell>
          <cell r="F530">
            <v>10</v>
          </cell>
          <cell r="G530">
            <v>20</v>
          </cell>
          <cell r="H530">
            <v>30</v>
          </cell>
          <cell r="I530">
            <v>40</v>
          </cell>
          <cell r="J530">
            <v>90</v>
          </cell>
          <cell r="K530">
            <v>120</v>
          </cell>
        </row>
        <row r="531">
          <cell r="A531" t="str">
            <v>HEAA340</v>
          </cell>
          <cell r="B531">
            <v>3</v>
          </cell>
          <cell r="C531"/>
          <cell r="D531"/>
          <cell r="E531">
            <v>78.900000000000006</v>
          </cell>
          <cell r="F531">
            <v>10</v>
          </cell>
          <cell r="G531">
            <v>20</v>
          </cell>
          <cell r="H531">
            <v>30</v>
          </cell>
          <cell r="I531">
            <v>40</v>
          </cell>
          <cell r="J531">
            <v>90</v>
          </cell>
          <cell r="K531">
            <v>120</v>
          </cell>
        </row>
        <row r="532">
          <cell r="A532" t="str">
            <v>HEA340</v>
          </cell>
          <cell r="B532">
            <v>3</v>
          </cell>
          <cell r="C532">
            <v>3</v>
          </cell>
          <cell r="D532">
            <v>1.79</v>
          </cell>
          <cell r="E532">
            <v>105</v>
          </cell>
          <cell r="F532">
            <v>10</v>
          </cell>
          <cell r="G532">
            <v>20</v>
          </cell>
          <cell r="H532">
            <v>30</v>
          </cell>
          <cell r="I532">
            <v>40</v>
          </cell>
          <cell r="J532">
            <v>90</v>
          </cell>
          <cell r="K532">
            <v>120</v>
          </cell>
        </row>
        <row r="533">
          <cell r="A533" t="str">
            <v>HEB340</v>
          </cell>
          <cell r="B533">
            <v>3</v>
          </cell>
          <cell r="C533">
            <v>12</v>
          </cell>
          <cell r="D533"/>
          <cell r="E533">
            <v>134</v>
          </cell>
          <cell r="F533">
            <v>10</v>
          </cell>
          <cell r="G533">
            <v>20</v>
          </cell>
          <cell r="H533">
            <v>30</v>
          </cell>
          <cell r="I533">
            <v>40</v>
          </cell>
          <cell r="J533">
            <v>90</v>
          </cell>
          <cell r="K533">
            <v>120</v>
          </cell>
        </row>
        <row r="534">
          <cell r="A534" t="str">
            <v>HEM340</v>
          </cell>
          <cell r="B534">
            <v>3</v>
          </cell>
          <cell r="C534">
            <v>15</v>
          </cell>
          <cell r="D534"/>
          <cell r="E534">
            <v>248</v>
          </cell>
          <cell r="F534">
            <v>10</v>
          </cell>
          <cell r="G534">
            <v>20</v>
          </cell>
          <cell r="H534">
            <v>30</v>
          </cell>
          <cell r="I534">
            <v>40</v>
          </cell>
          <cell r="J534">
            <v>90</v>
          </cell>
          <cell r="K534">
            <v>120</v>
          </cell>
        </row>
        <row r="535">
          <cell r="A535" t="str">
            <v>HEAA360</v>
          </cell>
          <cell r="B535">
            <v>3</v>
          </cell>
          <cell r="C535"/>
          <cell r="D535"/>
          <cell r="E535">
            <v>83.7</v>
          </cell>
          <cell r="F535">
            <v>10</v>
          </cell>
          <cell r="G535">
            <v>20</v>
          </cell>
          <cell r="H535">
            <v>30</v>
          </cell>
          <cell r="I535">
            <v>40</v>
          </cell>
          <cell r="J535">
            <v>90</v>
          </cell>
          <cell r="K535">
            <v>120</v>
          </cell>
        </row>
        <row r="536">
          <cell r="A536" t="str">
            <v>HEA360</v>
          </cell>
          <cell r="B536">
            <v>3</v>
          </cell>
          <cell r="C536">
            <v>6</v>
          </cell>
          <cell r="D536">
            <v>1.83</v>
          </cell>
          <cell r="E536">
            <v>112</v>
          </cell>
          <cell r="F536">
            <v>10</v>
          </cell>
          <cell r="G536">
            <v>20</v>
          </cell>
          <cell r="H536">
            <v>30</v>
          </cell>
          <cell r="I536">
            <v>40</v>
          </cell>
          <cell r="J536">
            <v>90</v>
          </cell>
          <cell r="K536">
            <v>120</v>
          </cell>
        </row>
        <row r="537">
          <cell r="A537" t="str">
            <v>HEB360</v>
          </cell>
          <cell r="B537">
            <v>3</v>
          </cell>
          <cell r="C537">
            <v>12</v>
          </cell>
          <cell r="D537"/>
          <cell r="E537">
            <v>142</v>
          </cell>
          <cell r="F537">
            <v>10</v>
          </cell>
          <cell r="G537">
            <v>20</v>
          </cell>
          <cell r="H537">
            <v>30</v>
          </cell>
          <cell r="I537">
            <v>40</v>
          </cell>
          <cell r="J537">
            <v>90</v>
          </cell>
          <cell r="K537">
            <v>120</v>
          </cell>
        </row>
        <row r="538">
          <cell r="A538" t="str">
            <v>HEM360</v>
          </cell>
          <cell r="B538">
            <v>3</v>
          </cell>
          <cell r="C538">
            <v>15</v>
          </cell>
          <cell r="D538"/>
          <cell r="E538">
            <v>250</v>
          </cell>
          <cell r="F538">
            <v>10</v>
          </cell>
          <cell r="G538">
            <v>20</v>
          </cell>
          <cell r="H538">
            <v>30</v>
          </cell>
          <cell r="I538">
            <v>40</v>
          </cell>
          <cell r="J538">
            <v>90</v>
          </cell>
          <cell r="K538">
            <v>120</v>
          </cell>
        </row>
        <row r="539">
          <cell r="A539" t="str">
            <v>HEAA400</v>
          </cell>
          <cell r="B539">
            <v>3</v>
          </cell>
          <cell r="C539"/>
          <cell r="D539"/>
          <cell r="E539">
            <v>92.4</v>
          </cell>
          <cell r="F539">
            <v>10</v>
          </cell>
          <cell r="G539">
            <v>20</v>
          </cell>
          <cell r="H539">
            <v>30</v>
          </cell>
          <cell r="I539">
            <v>40</v>
          </cell>
          <cell r="J539">
            <v>90</v>
          </cell>
          <cell r="K539">
            <v>120</v>
          </cell>
        </row>
        <row r="540">
          <cell r="A540" t="str">
            <v>HEA400</v>
          </cell>
          <cell r="B540">
            <v>3</v>
          </cell>
          <cell r="C540">
            <v>6</v>
          </cell>
          <cell r="D540">
            <v>1.91</v>
          </cell>
          <cell r="E540">
            <v>125</v>
          </cell>
          <cell r="F540">
            <v>10</v>
          </cell>
          <cell r="G540">
            <v>20</v>
          </cell>
          <cell r="H540">
            <v>30</v>
          </cell>
          <cell r="I540">
            <v>40</v>
          </cell>
          <cell r="J540">
            <v>90</v>
          </cell>
          <cell r="K540">
            <v>120</v>
          </cell>
        </row>
        <row r="541">
          <cell r="A541" t="str">
            <v>HEB400</v>
          </cell>
          <cell r="B541">
            <v>3</v>
          </cell>
          <cell r="C541">
            <v>12</v>
          </cell>
          <cell r="D541">
            <v>1.93</v>
          </cell>
          <cell r="E541">
            <v>155</v>
          </cell>
          <cell r="F541">
            <v>10</v>
          </cell>
          <cell r="G541">
            <v>20</v>
          </cell>
          <cell r="H541">
            <v>30</v>
          </cell>
          <cell r="I541">
            <v>40</v>
          </cell>
          <cell r="J541">
            <v>90</v>
          </cell>
          <cell r="K541">
            <v>120</v>
          </cell>
        </row>
        <row r="542">
          <cell r="A542" t="str">
            <v>HEM400</v>
          </cell>
          <cell r="B542">
            <v>3</v>
          </cell>
          <cell r="C542">
            <v>15</v>
          </cell>
          <cell r="D542"/>
          <cell r="E542">
            <v>256</v>
          </cell>
          <cell r="F542">
            <v>10</v>
          </cell>
          <cell r="G542">
            <v>20</v>
          </cell>
          <cell r="H542">
            <v>30</v>
          </cell>
          <cell r="I542">
            <v>40</v>
          </cell>
          <cell r="J542">
            <v>90</v>
          </cell>
          <cell r="K542">
            <v>120</v>
          </cell>
        </row>
        <row r="543">
          <cell r="A543" t="str">
            <v>HEAA450</v>
          </cell>
          <cell r="B543">
            <v>3</v>
          </cell>
          <cell r="C543"/>
          <cell r="D543"/>
          <cell r="E543">
            <v>99.7</v>
          </cell>
          <cell r="F543">
            <v>10</v>
          </cell>
          <cell r="G543">
            <v>20</v>
          </cell>
          <cell r="H543">
            <v>30</v>
          </cell>
          <cell r="I543">
            <v>40</v>
          </cell>
          <cell r="J543">
            <v>90</v>
          </cell>
          <cell r="K543">
            <v>120</v>
          </cell>
        </row>
        <row r="544">
          <cell r="A544" t="str">
            <v>HEA450</v>
          </cell>
          <cell r="B544">
            <v>3</v>
          </cell>
          <cell r="C544">
            <v>6</v>
          </cell>
          <cell r="D544"/>
          <cell r="E544">
            <v>140</v>
          </cell>
          <cell r="F544">
            <v>10</v>
          </cell>
          <cell r="G544">
            <v>20</v>
          </cell>
          <cell r="H544">
            <v>30</v>
          </cell>
          <cell r="I544">
            <v>40</v>
          </cell>
          <cell r="J544">
            <v>90</v>
          </cell>
          <cell r="K544">
            <v>120</v>
          </cell>
        </row>
        <row r="545">
          <cell r="A545" t="str">
            <v>HEB450</v>
          </cell>
          <cell r="B545">
            <v>3</v>
          </cell>
          <cell r="C545">
            <v>16</v>
          </cell>
          <cell r="D545">
            <v>2.0299999999999998</v>
          </cell>
          <cell r="E545">
            <v>171</v>
          </cell>
          <cell r="F545">
            <v>10</v>
          </cell>
          <cell r="G545">
            <v>20</v>
          </cell>
          <cell r="H545">
            <v>30</v>
          </cell>
          <cell r="I545">
            <v>40</v>
          </cell>
          <cell r="J545">
            <v>90</v>
          </cell>
          <cell r="K545">
            <v>120</v>
          </cell>
        </row>
        <row r="546">
          <cell r="A546" t="str">
            <v>HEM450</v>
          </cell>
          <cell r="B546">
            <v>3</v>
          </cell>
          <cell r="C546">
            <v>15</v>
          </cell>
          <cell r="D546"/>
          <cell r="E546">
            <v>263</v>
          </cell>
          <cell r="F546">
            <v>10</v>
          </cell>
          <cell r="G546">
            <v>20</v>
          </cell>
          <cell r="H546">
            <v>30</v>
          </cell>
          <cell r="I546">
            <v>40</v>
          </cell>
          <cell r="J546">
            <v>90</v>
          </cell>
          <cell r="K546">
            <v>120</v>
          </cell>
        </row>
        <row r="547">
          <cell r="A547" t="str">
            <v>HEAA500</v>
          </cell>
          <cell r="B547">
            <v>3</v>
          </cell>
          <cell r="C547"/>
          <cell r="D547"/>
          <cell r="E547">
            <v>107</v>
          </cell>
          <cell r="F547">
            <v>10</v>
          </cell>
          <cell r="G547">
            <v>20</v>
          </cell>
          <cell r="H547">
            <v>30</v>
          </cell>
          <cell r="I547">
            <v>40</v>
          </cell>
          <cell r="J547">
            <v>90</v>
          </cell>
          <cell r="K547">
            <v>120</v>
          </cell>
        </row>
        <row r="548">
          <cell r="A548" t="str">
            <v>HEA500</v>
          </cell>
          <cell r="B548">
            <v>3</v>
          </cell>
          <cell r="C548">
            <v>6</v>
          </cell>
          <cell r="D548"/>
          <cell r="E548">
            <v>155</v>
          </cell>
          <cell r="F548">
            <v>10</v>
          </cell>
          <cell r="G548">
            <v>20</v>
          </cell>
          <cell r="H548">
            <v>30</v>
          </cell>
          <cell r="I548">
            <v>40</v>
          </cell>
          <cell r="J548">
            <v>90</v>
          </cell>
          <cell r="K548">
            <v>120</v>
          </cell>
        </row>
        <row r="549">
          <cell r="A549" t="str">
            <v>HEB500</v>
          </cell>
          <cell r="B549">
            <v>3</v>
          </cell>
          <cell r="C549">
            <v>16</v>
          </cell>
          <cell r="D549"/>
          <cell r="E549">
            <v>187</v>
          </cell>
          <cell r="F549">
            <v>10</v>
          </cell>
          <cell r="G549">
            <v>20</v>
          </cell>
          <cell r="H549">
            <v>30</v>
          </cell>
          <cell r="I549">
            <v>40</v>
          </cell>
          <cell r="J549">
            <v>90</v>
          </cell>
          <cell r="K549">
            <v>120</v>
          </cell>
        </row>
        <row r="550">
          <cell r="A550" t="str">
            <v>HEM500</v>
          </cell>
          <cell r="B550">
            <v>3</v>
          </cell>
          <cell r="C550">
            <v>15</v>
          </cell>
          <cell r="D550"/>
          <cell r="E550">
            <v>270</v>
          </cell>
          <cell r="F550">
            <v>10</v>
          </cell>
          <cell r="G550">
            <v>20</v>
          </cell>
          <cell r="H550">
            <v>30</v>
          </cell>
          <cell r="I550">
            <v>40</v>
          </cell>
          <cell r="J550">
            <v>90</v>
          </cell>
          <cell r="K550">
            <v>120</v>
          </cell>
        </row>
        <row r="551">
          <cell r="A551" t="str">
            <v>HEAA550</v>
          </cell>
          <cell r="B551">
            <v>3</v>
          </cell>
          <cell r="C551"/>
          <cell r="D551"/>
          <cell r="E551">
            <v>120</v>
          </cell>
          <cell r="F551">
            <v>10</v>
          </cell>
          <cell r="G551">
            <v>20</v>
          </cell>
          <cell r="H551">
            <v>30</v>
          </cell>
          <cell r="I551">
            <v>40</v>
          </cell>
          <cell r="J551">
            <v>90</v>
          </cell>
          <cell r="K551">
            <v>120</v>
          </cell>
        </row>
        <row r="552">
          <cell r="A552" t="str">
            <v>HEA550</v>
          </cell>
          <cell r="B552">
            <v>3</v>
          </cell>
          <cell r="C552">
            <v>6</v>
          </cell>
          <cell r="D552"/>
          <cell r="E552">
            <v>166</v>
          </cell>
          <cell r="F552">
            <v>10</v>
          </cell>
          <cell r="G552">
            <v>20</v>
          </cell>
          <cell r="H552">
            <v>30</v>
          </cell>
          <cell r="I552">
            <v>40</v>
          </cell>
          <cell r="J552">
            <v>90</v>
          </cell>
          <cell r="K552">
            <v>120</v>
          </cell>
        </row>
        <row r="553">
          <cell r="A553" t="str">
            <v>HEB550</v>
          </cell>
          <cell r="B553">
            <v>3</v>
          </cell>
          <cell r="C553">
            <v>16</v>
          </cell>
          <cell r="D553">
            <v>2.2200000000000002</v>
          </cell>
          <cell r="E553">
            <v>199</v>
          </cell>
          <cell r="F553">
            <v>10</v>
          </cell>
          <cell r="G553">
            <v>20</v>
          </cell>
          <cell r="H553">
            <v>30</v>
          </cell>
          <cell r="I553">
            <v>40</v>
          </cell>
          <cell r="J553">
            <v>90</v>
          </cell>
          <cell r="K553">
            <v>120</v>
          </cell>
        </row>
        <row r="554">
          <cell r="A554" t="str">
            <v>HEM550</v>
          </cell>
          <cell r="B554">
            <v>3</v>
          </cell>
          <cell r="C554">
            <v>15</v>
          </cell>
          <cell r="D554"/>
          <cell r="E554">
            <v>278</v>
          </cell>
          <cell r="F554">
            <v>10</v>
          </cell>
          <cell r="G554">
            <v>20</v>
          </cell>
          <cell r="H554">
            <v>30</v>
          </cell>
          <cell r="I554">
            <v>40</v>
          </cell>
          <cell r="J554">
            <v>90</v>
          </cell>
          <cell r="K554">
            <v>120</v>
          </cell>
        </row>
        <row r="555">
          <cell r="A555" t="str">
            <v>HEAA600</v>
          </cell>
          <cell r="B555">
            <v>3</v>
          </cell>
          <cell r="C555"/>
          <cell r="D555"/>
          <cell r="E555">
            <v>129</v>
          </cell>
          <cell r="F555">
            <v>10</v>
          </cell>
          <cell r="G555">
            <v>20</v>
          </cell>
          <cell r="H555">
            <v>30</v>
          </cell>
          <cell r="I555">
            <v>40</v>
          </cell>
          <cell r="J555">
            <v>90</v>
          </cell>
          <cell r="K555">
            <v>120</v>
          </cell>
        </row>
        <row r="556">
          <cell r="A556" t="str">
            <v>HEA600</v>
          </cell>
          <cell r="B556">
            <v>3</v>
          </cell>
          <cell r="C556">
            <v>10</v>
          </cell>
          <cell r="D556"/>
          <cell r="E556">
            <v>178</v>
          </cell>
          <cell r="F556">
            <v>10</v>
          </cell>
          <cell r="G556">
            <v>20</v>
          </cell>
          <cell r="H556">
            <v>30</v>
          </cell>
          <cell r="I556">
            <v>40</v>
          </cell>
          <cell r="J556">
            <v>90</v>
          </cell>
          <cell r="K556">
            <v>120</v>
          </cell>
        </row>
        <row r="557">
          <cell r="A557" t="str">
            <v>HEB600</v>
          </cell>
          <cell r="B557">
            <v>3</v>
          </cell>
          <cell r="C557">
            <v>20</v>
          </cell>
          <cell r="D557"/>
          <cell r="E557">
            <v>212</v>
          </cell>
          <cell r="F557">
            <v>10</v>
          </cell>
          <cell r="G557">
            <v>20</v>
          </cell>
          <cell r="H557">
            <v>30</v>
          </cell>
          <cell r="I557">
            <v>40</v>
          </cell>
          <cell r="J557">
            <v>90</v>
          </cell>
          <cell r="K557">
            <v>120</v>
          </cell>
        </row>
        <row r="558">
          <cell r="A558" t="str">
            <v>HEM600</v>
          </cell>
          <cell r="B558">
            <v>3</v>
          </cell>
          <cell r="C558">
            <v>15</v>
          </cell>
          <cell r="D558"/>
          <cell r="E558">
            <v>285</v>
          </cell>
          <cell r="F558">
            <v>10</v>
          </cell>
          <cell r="G558">
            <v>20</v>
          </cell>
          <cell r="H558">
            <v>30</v>
          </cell>
          <cell r="I558">
            <v>40</v>
          </cell>
          <cell r="J558">
            <v>90</v>
          </cell>
          <cell r="K558">
            <v>120</v>
          </cell>
        </row>
        <row r="559">
          <cell r="A559" t="str">
            <v>HE600x337</v>
          </cell>
          <cell r="B559">
            <v>3</v>
          </cell>
          <cell r="C559"/>
          <cell r="D559"/>
          <cell r="E559">
            <v>337</v>
          </cell>
          <cell r="F559">
            <v>10</v>
          </cell>
          <cell r="G559">
            <v>20</v>
          </cell>
          <cell r="H559">
            <v>30</v>
          </cell>
          <cell r="I559">
            <v>40</v>
          </cell>
          <cell r="J559">
            <v>90</v>
          </cell>
          <cell r="K559">
            <v>120</v>
          </cell>
        </row>
        <row r="560">
          <cell r="A560" t="str">
            <v>HE600x399</v>
          </cell>
          <cell r="B560">
            <v>3</v>
          </cell>
          <cell r="C560"/>
          <cell r="D560"/>
          <cell r="E560">
            <v>399</v>
          </cell>
          <cell r="F560">
            <v>10</v>
          </cell>
          <cell r="G560">
            <v>20</v>
          </cell>
          <cell r="H560">
            <v>30</v>
          </cell>
          <cell r="I560">
            <v>40</v>
          </cell>
          <cell r="J560">
            <v>90</v>
          </cell>
          <cell r="K560">
            <v>120</v>
          </cell>
        </row>
        <row r="561">
          <cell r="A561" t="str">
            <v>HEAA650</v>
          </cell>
          <cell r="B561">
            <v>3</v>
          </cell>
          <cell r="C561"/>
          <cell r="D561"/>
          <cell r="E561">
            <v>138</v>
          </cell>
          <cell r="F561">
            <v>10</v>
          </cell>
          <cell r="G561">
            <v>20</v>
          </cell>
          <cell r="H561">
            <v>30</v>
          </cell>
          <cell r="I561">
            <v>40</v>
          </cell>
          <cell r="J561">
            <v>90</v>
          </cell>
          <cell r="K561">
            <v>120</v>
          </cell>
        </row>
        <row r="562">
          <cell r="A562" t="str">
            <v>HEA650</v>
          </cell>
          <cell r="B562">
            <v>3</v>
          </cell>
          <cell r="C562">
            <v>10</v>
          </cell>
          <cell r="D562"/>
          <cell r="E562">
            <v>190</v>
          </cell>
          <cell r="F562">
            <v>10</v>
          </cell>
          <cell r="G562">
            <v>20</v>
          </cell>
          <cell r="H562">
            <v>30</v>
          </cell>
          <cell r="I562">
            <v>40</v>
          </cell>
          <cell r="J562">
            <v>90</v>
          </cell>
          <cell r="K562">
            <v>120</v>
          </cell>
        </row>
        <row r="563">
          <cell r="A563" t="str">
            <v>HEB650</v>
          </cell>
          <cell r="B563">
            <v>3</v>
          </cell>
          <cell r="C563">
            <v>20</v>
          </cell>
          <cell r="D563"/>
          <cell r="E563">
            <v>225</v>
          </cell>
          <cell r="F563">
            <v>10</v>
          </cell>
          <cell r="G563">
            <v>20</v>
          </cell>
          <cell r="H563">
            <v>30</v>
          </cell>
          <cell r="I563">
            <v>40</v>
          </cell>
          <cell r="J563">
            <v>90</v>
          </cell>
          <cell r="K563">
            <v>120</v>
          </cell>
        </row>
        <row r="564">
          <cell r="A564" t="str">
            <v>HEM650</v>
          </cell>
          <cell r="B564">
            <v>3</v>
          </cell>
          <cell r="C564">
            <v>15</v>
          </cell>
          <cell r="D564"/>
          <cell r="E564">
            <v>293</v>
          </cell>
          <cell r="F564">
            <v>10</v>
          </cell>
          <cell r="G564">
            <v>20</v>
          </cell>
          <cell r="H564">
            <v>30</v>
          </cell>
          <cell r="I564">
            <v>40</v>
          </cell>
          <cell r="J564">
            <v>90</v>
          </cell>
          <cell r="K564">
            <v>120</v>
          </cell>
        </row>
        <row r="565">
          <cell r="A565" t="str">
            <v>HE650x343</v>
          </cell>
          <cell r="B565">
            <v>3</v>
          </cell>
          <cell r="C565"/>
          <cell r="D565"/>
          <cell r="E565">
            <v>343</v>
          </cell>
          <cell r="F565">
            <v>10</v>
          </cell>
          <cell r="G565">
            <v>20</v>
          </cell>
          <cell r="H565">
            <v>30</v>
          </cell>
          <cell r="I565">
            <v>40</v>
          </cell>
          <cell r="J565">
            <v>90</v>
          </cell>
          <cell r="K565">
            <v>120</v>
          </cell>
        </row>
        <row r="566">
          <cell r="A566" t="str">
            <v>HE650x407</v>
          </cell>
          <cell r="B566">
            <v>3</v>
          </cell>
          <cell r="C566"/>
          <cell r="D566"/>
          <cell r="E566">
            <v>407</v>
          </cell>
          <cell r="F566">
            <v>10</v>
          </cell>
          <cell r="G566">
            <v>20</v>
          </cell>
          <cell r="H566">
            <v>30</v>
          </cell>
          <cell r="I566">
            <v>40</v>
          </cell>
          <cell r="J566">
            <v>90</v>
          </cell>
          <cell r="K566">
            <v>120</v>
          </cell>
        </row>
        <row r="567">
          <cell r="A567" t="str">
            <v>HEAA700</v>
          </cell>
          <cell r="B567">
            <v>3</v>
          </cell>
          <cell r="C567"/>
          <cell r="D567"/>
          <cell r="E567">
            <v>150</v>
          </cell>
          <cell r="F567">
            <v>10</v>
          </cell>
          <cell r="G567">
            <v>20</v>
          </cell>
          <cell r="H567">
            <v>30</v>
          </cell>
          <cell r="I567">
            <v>40</v>
          </cell>
          <cell r="J567">
            <v>90</v>
          </cell>
          <cell r="K567">
            <v>120</v>
          </cell>
        </row>
        <row r="568">
          <cell r="A568" t="str">
            <v>HEA700</v>
          </cell>
          <cell r="B568">
            <v>3</v>
          </cell>
          <cell r="C568">
            <v>10</v>
          </cell>
          <cell r="D568"/>
          <cell r="E568">
            <v>204</v>
          </cell>
          <cell r="F568">
            <v>10</v>
          </cell>
          <cell r="G568">
            <v>20</v>
          </cell>
          <cell r="H568">
            <v>30</v>
          </cell>
          <cell r="I568">
            <v>40</v>
          </cell>
          <cell r="J568">
            <v>90</v>
          </cell>
          <cell r="K568">
            <v>120</v>
          </cell>
        </row>
        <row r="569">
          <cell r="A569" t="str">
            <v>HEB700</v>
          </cell>
          <cell r="B569">
            <v>3</v>
          </cell>
          <cell r="C569">
            <v>20</v>
          </cell>
          <cell r="D569"/>
          <cell r="E569">
            <v>241</v>
          </cell>
          <cell r="F569">
            <v>10</v>
          </cell>
          <cell r="G569">
            <v>20</v>
          </cell>
          <cell r="H569">
            <v>30</v>
          </cell>
          <cell r="I569">
            <v>40</v>
          </cell>
          <cell r="J569">
            <v>90</v>
          </cell>
          <cell r="K569">
            <v>120</v>
          </cell>
        </row>
        <row r="570">
          <cell r="A570" t="str">
            <v>HEM700</v>
          </cell>
          <cell r="B570">
            <v>3</v>
          </cell>
          <cell r="C570">
            <v>15</v>
          </cell>
          <cell r="D570"/>
          <cell r="E570">
            <v>301</v>
          </cell>
          <cell r="F570">
            <v>10</v>
          </cell>
          <cell r="G570">
            <v>20</v>
          </cell>
          <cell r="H570">
            <v>30</v>
          </cell>
          <cell r="I570">
            <v>40</v>
          </cell>
          <cell r="J570">
            <v>90</v>
          </cell>
          <cell r="K570">
            <v>120</v>
          </cell>
        </row>
        <row r="571">
          <cell r="A571" t="str">
            <v>HE700x352</v>
          </cell>
          <cell r="B571">
            <v>3</v>
          </cell>
          <cell r="C571"/>
          <cell r="D571"/>
          <cell r="E571">
            <v>352</v>
          </cell>
          <cell r="F571">
            <v>10</v>
          </cell>
          <cell r="G571">
            <v>20</v>
          </cell>
          <cell r="H571">
            <v>30</v>
          </cell>
          <cell r="I571">
            <v>40</v>
          </cell>
          <cell r="J571">
            <v>90</v>
          </cell>
          <cell r="K571">
            <v>120</v>
          </cell>
        </row>
        <row r="572">
          <cell r="A572" t="str">
            <v>HE700x418</v>
          </cell>
          <cell r="B572">
            <v>3</v>
          </cell>
          <cell r="C572"/>
          <cell r="D572"/>
          <cell r="E572">
            <v>418</v>
          </cell>
          <cell r="F572">
            <v>10</v>
          </cell>
          <cell r="G572">
            <v>20</v>
          </cell>
          <cell r="H572">
            <v>30</v>
          </cell>
          <cell r="I572">
            <v>40</v>
          </cell>
          <cell r="J572">
            <v>90</v>
          </cell>
          <cell r="K572">
            <v>120</v>
          </cell>
        </row>
        <row r="573">
          <cell r="A573" t="str">
            <v>HEAA800</v>
          </cell>
          <cell r="B573">
            <v>3</v>
          </cell>
          <cell r="C573">
            <v>10</v>
          </cell>
          <cell r="D573"/>
          <cell r="E573">
            <v>172</v>
          </cell>
          <cell r="F573">
            <v>10</v>
          </cell>
          <cell r="G573">
            <v>20</v>
          </cell>
          <cell r="H573">
            <v>30</v>
          </cell>
          <cell r="I573">
            <v>40</v>
          </cell>
          <cell r="J573">
            <v>90</v>
          </cell>
          <cell r="K573">
            <v>120</v>
          </cell>
        </row>
        <row r="574">
          <cell r="A574" t="str">
            <v>HEA800</v>
          </cell>
          <cell r="B574">
            <v>3</v>
          </cell>
          <cell r="C574">
            <v>10</v>
          </cell>
          <cell r="D574"/>
          <cell r="E574">
            <v>224</v>
          </cell>
          <cell r="F574">
            <v>10</v>
          </cell>
          <cell r="G574">
            <v>20</v>
          </cell>
          <cell r="H574">
            <v>30</v>
          </cell>
          <cell r="I574">
            <v>40</v>
          </cell>
          <cell r="J574">
            <v>90</v>
          </cell>
          <cell r="K574">
            <v>120</v>
          </cell>
        </row>
        <row r="575">
          <cell r="A575" t="str">
            <v>HEB800</v>
          </cell>
          <cell r="B575">
            <v>3</v>
          </cell>
          <cell r="C575">
            <v>20</v>
          </cell>
          <cell r="D575"/>
          <cell r="E575">
            <v>262</v>
          </cell>
          <cell r="F575">
            <v>10</v>
          </cell>
          <cell r="G575">
            <v>20</v>
          </cell>
          <cell r="H575">
            <v>30</v>
          </cell>
          <cell r="I575">
            <v>40</v>
          </cell>
          <cell r="J575">
            <v>90</v>
          </cell>
          <cell r="K575">
            <v>120</v>
          </cell>
        </row>
        <row r="576">
          <cell r="A576" t="str">
            <v>HEM800</v>
          </cell>
          <cell r="B576">
            <v>3</v>
          </cell>
          <cell r="C576">
            <v>15</v>
          </cell>
          <cell r="D576"/>
          <cell r="E576">
            <v>317</v>
          </cell>
          <cell r="F576">
            <v>10</v>
          </cell>
          <cell r="G576">
            <v>20</v>
          </cell>
          <cell r="H576">
            <v>30</v>
          </cell>
          <cell r="I576">
            <v>40</v>
          </cell>
          <cell r="J576">
            <v>90</v>
          </cell>
          <cell r="K576">
            <v>120</v>
          </cell>
        </row>
        <row r="577">
          <cell r="A577" t="str">
            <v>HE800x373</v>
          </cell>
          <cell r="B577">
            <v>3</v>
          </cell>
          <cell r="C577"/>
          <cell r="D577"/>
          <cell r="E577">
            <v>373</v>
          </cell>
          <cell r="F577">
            <v>10</v>
          </cell>
          <cell r="G577">
            <v>20</v>
          </cell>
          <cell r="H577">
            <v>30</v>
          </cell>
          <cell r="I577">
            <v>40</v>
          </cell>
          <cell r="J577">
            <v>90</v>
          </cell>
          <cell r="K577">
            <v>120</v>
          </cell>
        </row>
        <row r="578">
          <cell r="A578" t="str">
            <v>HE800x444</v>
          </cell>
          <cell r="B578">
            <v>3</v>
          </cell>
          <cell r="C578"/>
          <cell r="D578"/>
          <cell r="E578">
            <v>444</v>
          </cell>
          <cell r="F578">
            <v>10</v>
          </cell>
          <cell r="G578">
            <v>20</v>
          </cell>
          <cell r="H578">
            <v>30</v>
          </cell>
          <cell r="I578">
            <v>40</v>
          </cell>
          <cell r="J578">
            <v>90</v>
          </cell>
          <cell r="K578">
            <v>120</v>
          </cell>
        </row>
        <row r="579">
          <cell r="A579" t="str">
            <v>HE900AA</v>
          </cell>
          <cell r="B579">
            <v>3</v>
          </cell>
          <cell r="C579"/>
          <cell r="D579"/>
          <cell r="E579">
            <v>198</v>
          </cell>
          <cell r="F579">
            <v>10</v>
          </cell>
          <cell r="G579">
            <v>20</v>
          </cell>
          <cell r="H579">
            <v>30</v>
          </cell>
          <cell r="I579">
            <v>40</v>
          </cell>
          <cell r="J579">
            <v>90</v>
          </cell>
          <cell r="K579">
            <v>120</v>
          </cell>
        </row>
        <row r="580">
          <cell r="A580" t="str">
            <v>HEA900</v>
          </cell>
          <cell r="B580">
            <v>3</v>
          </cell>
          <cell r="C580">
            <v>10</v>
          </cell>
          <cell r="D580"/>
          <cell r="E580">
            <v>252</v>
          </cell>
          <cell r="F580">
            <v>10</v>
          </cell>
          <cell r="G580">
            <v>20</v>
          </cell>
          <cell r="H580">
            <v>30</v>
          </cell>
          <cell r="I580">
            <v>40</v>
          </cell>
          <cell r="J580">
            <v>90</v>
          </cell>
          <cell r="K580">
            <v>120</v>
          </cell>
        </row>
        <row r="581">
          <cell r="A581" t="str">
            <v>HEB900</v>
          </cell>
          <cell r="B581">
            <v>3</v>
          </cell>
          <cell r="C581">
            <v>25</v>
          </cell>
          <cell r="D581"/>
          <cell r="E581">
            <v>291</v>
          </cell>
          <cell r="F581">
            <v>10</v>
          </cell>
          <cell r="G581">
            <v>20</v>
          </cell>
          <cell r="H581">
            <v>30</v>
          </cell>
          <cell r="I581">
            <v>40</v>
          </cell>
          <cell r="J581">
            <v>90</v>
          </cell>
          <cell r="K581">
            <v>120</v>
          </cell>
        </row>
        <row r="582">
          <cell r="A582" t="str">
            <v>HEM900</v>
          </cell>
          <cell r="B582">
            <v>3</v>
          </cell>
          <cell r="C582">
            <v>15</v>
          </cell>
          <cell r="D582"/>
          <cell r="E582">
            <v>333</v>
          </cell>
          <cell r="F582">
            <v>10</v>
          </cell>
          <cell r="G582">
            <v>20</v>
          </cell>
          <cell r="H582">
            <v>30</v>
          </cell>
          <cell r="I582">
            <v>40</v>
          </cell>
          <cell r="J582">
            <v>90</v>
          </cell>
          <cell r="K582">
            <v>120</v>
          </cell>
        </row>
        <row r="583">
          <cell r="A583" t="str">
            <v>HE900x391</v>
          </cell>
          <cell r="B583">
            <v>3</v>
          </cell>
          <cell r="C583"/>
          <cell r="D583"/>
          <cell r="E583">
            <v>391</v>
          </cell>
          <cell r="F583">
            <v>10</v>
          </cell>
          <cell r="G583">
            <v>20</v>
          </cell>
          <cell r="H583">
            <v>30</v>
          </cell>
          <cell r="I583">
            <v>40</v>
          </cell>
          <cell r="J583">
            <v>90</v>
          </cell>
          <cell r="K583">
            <v>120</v>
          </cell>
        </row>
        <row r="584">
          <cell r="A584" t="str">
            <v>HE900x466</v>
          </cell>
          <cell r="B584">
            <v>3</v>
          </cell>
          <cell r="C584"/>
          <cell r="D584"/>
          <cell r="E584">
            <v>466</v>
          </cell>
          <cell r="F584">
            <v>10</v>
          </cell>
          <cell r="G584">
            <v>20</v>
          </cell>
          <cell r="H584">
            <v>30</v>
          </cell>
          <cell r="I584">
            <v>40</v>
          </cell>
          <cell r="J584">
            <v>90</v>
          </cell>
          <cell r="K584">
            <v>120</v>
          </cell>
        </row>
        <row r="585">
          <cell r="A585" t="str">
            <v>HEAA1000</v>
          </cell>
          <cell r="B585">
            <v>3</v>
          </cell>
          <cell r="C585"/>
          <cell r="D585"/>
          <cell r="E585">
            <v>222</v>
          </cell>
          <cell r="F585">
            <v>10</v>
          </cell>
          <cell r="G585">
            <v>20</v>
          </cell>
          <cell r="H585">
            <v>30</v>
          </cell>
          <cell r="I585">
            <v>40</v>
          </cell>
          <cell r="J585">
            <v>90</v>
          </cell>
          <cell r="K585">
            <v>120</v>
          </cell>
        </row>
        <row r="586">
          <cell r="A586" t="str">
            <v>HE1000x249</v>
          </cell>
          <cell r="B586">
            <v>3</v>
          </cell>
          <cell r="C586"/>
          <cell r="D586"/>
          <cell r="E586">
            <v>249</v>
          </cell>
          <cell r="F586">
            <v>10</v>
          </cell>
          <cell r="G586">
            <v>20</v>
          </cell>
          <cell r="H586">
            <v>30</v>
          </cell>
          <cell r="I586">
            <v>40</v>
          </cell>
          <cell r="J586">
            <v>90</v>
          </cell>
          <cell r="K586">
            <v>120</v>
          </cell>
        </row>
        <row r="587">
          <cell r="A587" t="str">
            <v>HEA1000</v>
          </cell>
          <cell r="B587">
            <v>3</v>
          </cell>
          <cell r="C587">
            <v>10</v>
          </cell>
          <cell r="D587"/>
          <cell r="E587">
            <v>272</v>
          </cell>
          <cell r="F587">
            <v>10</v>
          </cell>
          <cell r="G587">
            <v>20</v>
          </cell>
          <cell r="H587">
            <v>30</v>
          </cell>
          <cell r="I587">
            <v>40</v>
          </cell>
          <cell r="J587">
            <v>90</v>
          </cell>
          <cell r="K587">
            <v>120</v>
          </cell>
        </row>
        <row r="588">
          <cell r="A588" t="str">
            <v>HEB1000</v>
          </cell>
          <cell r="B588">
            <v>3</v>
          </cell>
          <cell r="C588">
            <v>25</v>
          </cell>
          <cell r="D588"/>
          <cell r="E588">
            <v>314</v>
          </cell>
          <cell r="F588">
            <v>10</v>
          </cell>
          <cell r="G588">
            <v>20</v>
          </cell>
          <cell r="H588">
            <v>30</v>
          </cell>
          <cell r="I588">
            <v>40</v>
          </cell>
          <cell r="J588">
            <v>90</v>
          </cell>
          <cell r="K588">
            <v>120</v>
          </cell>
        </row>
        <row r="589">
          <cell r="A589" t="str">
            <v>HEM1000</v>
          </cell>
          <cell r="B589">
            <v>3</v>
          </cell>
          <cell r="C589">
            <v>15</v>
          </cell>
          <cell r="D589"/>
          <cell r="E589">
            <v>349</v>
          </cell>
          <cell r="F589">
            <v>10</v>
          </cell>
          <cell r="G589">
            <v>20</v>
          </cell>
          <cell r="H589">
            <v>30</v>
          </cell>
          <cell r="I589">
            <v>40</v>
          </cell>
          <cell r="J589">
            <v>90</v>
          </cell>
          <cell r="K589">
            <v>120</v>
          </cell>
        </row>
        <row r="590">
          <cell r="A590" t="str">
            <v>HE1000x393</v>
          </cell>
          <cell r="B590">
            <v>3</v>
          </cell>
          <cell r="C590"/>
          <cell r="D590"/>
          <cell r="E590">
            <v>393</v>
          </cell>
          <cell r="F590">
            <v>10</v>
          </cell>
          <cell r="G590">
            <v>20</v>
          </cell>
          <cell r="H590">
            <v>30</v>
          </cell>
          <cell r="I590">
            <v>40</v>
          </cell>
          <cell r="J590">
            <v>90</v>
          </cell>
          <cell r="K590">
            <v>120</v>
          </cell>
        </row>
        <row r="591">
          <cell r="A591" t="str">
            <v>HE1000x415</v>
          </cell>
          <cell r="B591">
            <v>3</v>
          </cell>
          <cell r="C591"/>
          <cell r="D591"/>
          <cell r="E591">
            <v>415</v>
          </cell>
          <cell r="F591">
            <v>10</v>
          </cell>
          <cell r="G591">
            <v>20</v>
          </cell>
          <cell r="H591">
            <v>30</v>
          </cell>
          <cell r="I591">
            <v>40</v>
          </cell>
          <cell r="J591">
            <v>90</v>
          </cell>
          <cell r="K591">
            <v>120</v>
          </cell>
        </row>
        <row r="592">
          <cell r="A592" t="str">
            <v>HE1000x438</v>
          </cell>
          <cell r="B592">
            <v>3</v>
          </cell>
          <cell r="C592"/>
          <cell r="D592"/>
          <cell r="E592">
            <v>438</v>
          </cell>
          <cell r="F592">
            <v>10</v>
          </cell>
          <cell r="G592">
            <v>20</v>
          </cell>
          <cell r="H592">
            <v>30</v>
          </cell>
          <cell r="I592">
            <v>40</v>
          </cell>
          <cell r="J592">
            <v>90</v>
          </cell>
          <cell r="K592">
            <v>120</v>
          </cell>
        </row>
        <row r="593">
          <cell r="A593" t="str">
            <v>HE1000x494</v>
          </cell>
          <cell r="B593">
            <v>3</v>
          </cell>
          <cell r="C593"/>
          <cell r="D593"/>
          <cell r="E593">
            <v>494</v>
          </cell>
          <cell r="F593">
            <v>10</v>
          </cell>
          <cell r="G593">
            <v>20</v>
          </cell>
          <cell r="H593">
            <v>30</v>
          </cell>
          <cell r="I593">
            <v>40</v>
          </cell>
          <cell r="J593">
            <v>90</v>
          </cell>
          <cell r="K593">
            <v>120</v>
          </cell>
        </row>
        <row r="594">
          <cell r="A594" t="str">
            <v>HE1000x584</v>
          </cell>
          <cell r="B594">
            <v>3</v>
          </cell>
          <cell r="C594"/>
          <cell r="D594"/>
          <cell r="E594">
            <v>584</v>
          </cell>
          <cell r="F594">
            <v>10</v>
          </cell>
          <cell r="G594">
            <v>20</v>
          </cell>
          <cell r="H594">
            <v>30</v>
          </cell>
          <cell r="I594">
            <v>40</v>
          </cell>
          <cell r="J594">
            <v>90</v>
          </cell>
          <cell r="K594">
            <v>120</v>
          </cell>
        </row>
        <row r="595">
          <cell r="A595" t="str">
            <v>HFCHS21.3x2.6</v>
          </cell>
          <cell r="B595">
            <v>1</v>
          </cell>
          <cell r="C595">
            <v>1</v>
          </cell>
          <cell r="D595"/>
          <cell r="E595">
            <v>1.2</v>
          </cell>
          <cell r="F595">
            <v>2</v>
          </cell>
          <cell r="G595">
            <v>5</v>
          </cell>
          <cell r="H595">
            <v>10</v>
          </cell>
          <cell r="I595">
            <v>20</v>
          </cell>
          <cell r="J595">
            <v>30</v>
          </cell>
          <cell r="K595">
            <v>60</v>
          </cell>
        </row>
        <row r="596">
          <cell r="A596" t="str">
            <v>HFCHS21.3x2.9</v>
          </cell>
          <cell r="B596">
            <v>1</v>
          </cell>
          <cell r="C596">
            <v>1</v>
          </cell>
          <cell r="D596"/>
          <cell r="E596">
            <v>1.32</v>
          </cell>
          <cell r="F596">
            <v>2</v>
          </cell>
          <cell r="G596">
            <v>5</v>
          </cell>
          <cell r="H596">
            <v>10</v>
          </cell>
          <cell r="I596">
            <v>20</v>
          </cell>
          <cell r="J596">
            <v>30</v>
          </cell>
          <cell r="K596">
            <v>60</v>
          </cell>
        </row>
        <row r="597">
          <cell r="A597" t="str">
            <v>HFCHS21.3x3.2</v>
          </cell>
          <cell r="B597">
            <v>1</v>
          </cell>
          <cell r="C597">
            <v>1</v>
          </cell>
          <cell r="D597"/>
          <cell r="E597">
            <v>1.43</v>
          </cell>
          <cell r="F597">
            <v>2</v>
          </cell>
          <cell r="G597">
            <v>5</v>
          </cell>
          <cell r="H597">
            <v>10</v>
          </cell>
          <cell r="I597">
            <v>20</v>
          </cell>
          <cell r="J597">
            <v>30</v>
          </cell>
          <cell r="K597">
            <v>60</v>
          </cell>
        </row>
        <row r="598">
          <cell r="A598" t="str">
            <v>HFCHS26.9x2.6</v>
          </cell>
          <cell r="B598">
            <v>1</v>
          </cell>
          <cell r="C598">
            <v>1</v>
          </cell>
          <cell r="D598"/>
          <cell r="E598">
            <v>1.56</v>
          </cell>
          <cell r="F598">
            <v>2</v>
          </cell>
          <cell r="G598">
            <v>5</v>
          </cell>
          <cell r="H598">
            <v>10</v>
          </cell>
          <cell r="I598">
            <v>20</v>
          </cell>
          <cell r="J598">
            <v>30</v>
          </cell>
          <cell r="K598">
            <v>60</v>
          </cell>
        </row>
        <row r="599">
          <cell r="A599" t="str">
            <v>HFCHS26.9x2.9</v>
          </cell>
          <cell r="B599">
            <v>1</v>
          </cell>
          <cell r="C599">
            <v>1</v>
          </cell>
          <cell r="D599"/>
          <cell r="E599">
            <v>1.72</v>
          </cell>
          <cell r="F599">
            <v>2</v>
          </cell>
          <cell r="G599">
            <v>5</v>
          </cell>
          <cell r="H599">
            <v>10</v>
          </cell>
          <cell r="I599">
            <v>20</v>
          </cell>
          <cell r="J599">
            <v>30</v>
          </cell>
          <cell r="K599">
            <v>60</v>
          </cell>
        </row>
        <row r="600">
          <cell r="A600" t="str">
            <v>HFCHS26.9x3.2</v>
          </cell>
          <cell r="B600">
            <v>1</v>
          </cell>
          <cell r="C600">
            <v>1</v>
          </cell>
          <cell r="D600"/>
          <cell r="E600">
            <v>1.87</v>
          </cell>
          <cell r="F600">
            <v>2</v>
          </cell>
          <cell r="G600">
            <v>5</v>
          </cell>
          <cell r="H600">
            <v>10</v>
          </cell>
          <cell r="I600">
            <v>20</v>
          </cell>
          <cell r="J600">
            <v>30</v>
          </cell>
          <cell r="K600">
            <v>60</v>
          </cell>
        </row>
        <row r="601">
          <cell r="A601" t="str">
            <v>HFCHS26.9x3.6</v>
          </cell>
          <cell r="B601">
            <v>1</v>
          </cell>
          <cell r="C601">
            <v>1</v>
          </cell>
          <cell r="D601"/>
          <cell r="E601">
            <v>2.0699999999999998</v>
          </cell>
          <cell r="F601">
            <v>2</v>
          </cell>
          <cell r="G601">
            <v>5</v>
          </cell>
          <cell r="H601">
            <v>10</v>
          </cell>
          <cell r="I601">
            <v>20</v>
          </cell>
          <cell r="J601">
            <v>30</v>
          </cell>
          <cell r="K601">
            <v>60</v>
          </cell>
        </row>
        <row r="602">
          <cell r="A602" t="str">
            <v>HFCHS33.7x2.6</v>
          </cell>
          <cell r="B602">
            <v>1</v>
          </cell>
          <cell r="C602">
            <v>1</v>
          </cell>
          <cell r="D602"/>
          <cell r="E602">
            <v>1.99</v>
          </cell>
          <cell r="F602">
            <v>2</v>
          </cell>
          <cell r="G602">
            <v>5</v>
          </cell>
          <cell r="H602">
            <v>10</v>
          </cell>
          <cell r="I602">
            <v>20</v>
          </cell>
          <cell r="J602">
            <v>30</v>
          </cell>
          <cell r="K602">
            <v>60</v>
          </cell>
        </row>
        <row r="603">
          <cell r="A603" t="str">
            <v>HFCHS33.7x2.9</v>
          </cell>
          <cell r="B603">
            <v>1</v>
          </cell>
          <cell r="C603">
            <v>1</v>
          </cell>
          <cell r="D603"/>
          <cell r="E603">
            <v>2.2000000000000002</v>
          </cell>
          <cell r="F603">
            <v>2</v>
          </cell>
          <cell r="G603">
            <v>5</v>
          </cell>
          <cell r="H603">
            <v>10</v>
          </cell>
          <cell r="I603">
            <v>20</v>
          </cell>
          <cell r="J603">
            <v>30</v>
          </cell>
          <cell r="K603">
            <v>60</v>
          </cell>
        </row>
        <row r="604">
          <cell r="A604" t="str">
            <v>HFCHS33.7x3.2</v>
          </cell>
          <cell r="B604">
            <v>1</v>
          </cell>
          <cell r="C604">
            <v>1</v>
          </cell>
          <cell r="D604"/>
          <cell r="E604">
            <v>2.41</v>
          </cell>
          <cell r="F604">
            <v>2</v>
          </cell>
          <cell r="G604">
            <v>5</v>
          </cell>
          <cell r="H604">
            <v>10</v>
          </cell>
          <cell r="I604">
            <v>20</v>
          </cell>
          <cell r="J604">
            <v>30</v>
          </cell>
          <cell r="K604">
            <v>60</v>
          </cell>
        </row>
        <row r="605">
          <cell r="A605" t="str">
            <v>HFCHS33.7x3.6</v>
          </cell>
          <cell r="B605">
            <v>1</v>
          </cell>
          <cell r="C605">
            <v>1</v>
          </cell>
          <cell r="D605"/>
          <cell r="E605">
            <v>2.67</v>
          </cell>
          <cell r="F605">
            <v>2</v>
          </cell>
          <cell r="G605">
            <v>5</v>
          </cell>
          <cell r="H605">
            <v>10</v>
          </cell>
          <cell r="I605">
            <v>20</v>
          </cell>
          <cell r="J605">
            <v>30</v>
          </cell>
          <cell r="K605">
            <v>60</v>
          </cell>
        </row>
        <row r="606">
          <cell r="A606" t="str">
            <v>HFCHS33.7x4</v>
          </cell>
          <cell r="B606">
            <v>1</v>
          </cell>
          <cell r="C606">
            <v>1</v>
          </cell>
          <cell r="D606"/>
          <cell r="E606">
            <v>2.93</v>
          </cell>
          <cell r="F606">
            <v>2</v>
          </cell>
          <cell r="G606">
            <v>5</v>
          </cell>
          <cell r="H606">
            <v>10</v>
          </cell>
          <cell r="I606">
            <v>20</v>
          </cell>
          <cell r="J606">
            <v>30</v>
          </cell>
          <cell r="K606">
            <v>60</v>
          </cell>
        </row>
        <row r="607">
          <cell r="A607" t="str">
            <v>HFCHS33.7x4.5</v>
          </cell>
          <cell r="B607">
            <v>1</v>
          </cell>
          <cell r="C607">
            <v>1</v>
          </cell>
          <cell r="D607"/>
          <cell r="E607">
            <v>3.24</v>
          </cell>
          <cell r="F607">
            <v>2</v>
          </cell>
          <cell r="G607">
            <v>5</v>
          </cell>
          <cell r="H607">
            <v>10</v>
          </cell>
          <cell r="I607">
            <v>20</v>
          </cell>
          <cell r="J607">
            <v>30</v>
          </cell>
          <cell r="K607">
            <v>60</v>
          </cell>
        </row>
        <row r="608">
          <cell r="A608" t="str">
            <v>HFCHS33.7x5</v>
          </cell>
          <cell r="B608">
            <v>1</v>
          </cell>
          <cell r="C608">
            <v>1</v>
          </cell>
          <cell r="D608"/>
          <cell r="E608">
            <v>3.54</v>
          </cell>
          <cell r="F608">
            <v>2</v>
          </cell>
          <cell r="G608">
            <v>5</v>
          </cell>
          <cell r="H608">
            <v>10</v>
          </cell>
          <cell r="I608">
            <v>20</v>
          </cell>
          <cell r="J608">
            <v>30</v>
          </cell>
          <cell r="K608">
            <v>60</v>
          </cell>
        </row>
        <row r="609">
          <cell r="A609" t="str">
            <v>HFCHS42.4x2.6</v>
          </cell>
          <cell r="B609">
            <v>1</v>
          </cell>
          <cell r="C609">
            <v>1</v>
          </cell>
          <cell r="D609"/>
          <cell r="E609">
            <v>2.5499999999999998</v>
          </cell>
          <cell r="F609">
            <v>2</v>
          </cell>
          <cell r="G609">
            <v>5</v>
          </cell>
          <cell r="H609">
            <v>10</v>
          </cell>
          <cell r="I609">
            <v>20</v>
          </cell>
          <cell r="J609">
            <v>30</v>
          </cell>
          <cell r="K609">
            <v>60</v>
          </cell>
        </row>
        <row r="610">
          <cell r="A610" t="str">
            <v>HFCHS42.4x2.9</v>
          </cell>
          <cell r="B610">
            <v>1</v>
          </cell>
          <cell r="C610">
            <v>1</v>
          </cell>
          <cell r="D610"/>
          <cell r="E610">
            <v>2.82</v>
          </cell>
          <cell r="F610">
            <v>2</v>
          </cell>
          <cell r="G610">
            <v>5</v>
          </cell>
          <cell r="H610">
            <v>10</v>
          </cell>
          <cell r="I610">
            <v>20</v>
          </cell>
          <cell r="J610">
            <v>30</v>
          </cell>
          <cell r="K610">
            <v>60</v>
          </cell>
        </row>
        <row r="611">
          <cell r="A611" t="str">
            <v>HFCHS42.4x3.2</v>
          </cell>
          <cell r="B611">
            <v>1</v>
          </cell>
          <cell r="C611">
            <v>1</v>
          </cell>
          <cell r="D611"/>
          <cell r="E611">
            <v>3.09</v>
          </cell>
          <cell r="F611">
            <v>2</v>
          </cell>
          <cell r="G611">
            <v>5</v>
          </cell>
          <cell r="H611">
            <v>10</v>
          </cell>
          <cell r="I611">
            <v>20</v>
          </cell>
          <cell r="J611">
            <v>30</v>
          </cell>
          <cell r="K611">
            <v>60</v>
          </cell>
        </row>
        <row r="612">
          <cell r="A612" t="str">
            <v>HFCHS42.4x3.6</v>
          </cell>
          <cell r="B612">
            <v>1</v>
          </cell>
          <cell r="C612">
            <v>1</v>
          </cell>
          <cell r="D612"/>
          <cell r="E612">
            <v>3.44</v>
          </cell>
          <cell r="F612">
            <v>2</v>
          </cell>
          <cell r="G612">
            <v>5</v>
          </cell>
          <cell r="H612">
            <v>10</v>
          </cell>
          <cell r="I612">
            <v>20</v>
          </cell>
          <cell r="J612">
            <v>30</v>
          </cell>
          <cell r="K612">
            <v>60</v>
          </cell>
        </row>
        <row r="613">
          <cell r="A613" t="str">
            <v>HFCHS42.4x4</v>
          </cell>
          <cell r="B613">
            <v>1</v>
          </cell>
          <cell r="C613">
            <v>1</v>
          </cell>
          <cell r="D613"/>
          <cell r="E613">
            <v>3.79</v>
          </cell>
          <cell r="F613">
            <v>2</v>
          </cell>
          <cell r="G613">
            <v>5</v>
          </cell>
          <cell r="H613">
            <v>10</v>
          </cell>
          <cell r="I613">
            <v>20</v>
          </cell>
          <cell r="J613">
            <v>30</v>
          </cell>
          <cell r="K613">
            <v>60</v>
          </cell>
        </row>
        <row r="614">
          <cell r="A614" t="str">
            <v>HFCHS42.4x4.5</v>
          </cell>
          <cell r="B614">
            <v>1</v>
          </cell>
          <cell r="C614">
            <v>1</v>
          </cell>
          <cell r="D614"/>
          <cell r="E614">
            <v>4.21</v>
          </cell>
          <cell r="F614">
            <v>2</v>
          </cell>
          <cell r="G614">
            <v>5</v>
          </cell>
          <cell r="H614">
            <v>10</v>
          </cell>
          <cell r="I614">
            <v>20</v>
          </cell>
          <cell r="J614">
            <v>30</v>
          </cell>
          <cell r="K614">
            <v>60</v>
          </cell>
        </row>
        <row r="615">
          <cell r="A615" t="str">
            <v>HFCHS42.4x5</v>
          </cell>
          <cell r="B615">
            <v>1</v>
          </cell>
          <cell r="C615">
            <v>1</v>
          </cell>
          <cell r="D615"/>
          <cell r="E615">
            <v>4.6100000000000003</v>
          </cell>
          <cell r="F615">
            <v>2</v>
          </cell>
          <cell r="G615">
            <v>5</v>
          </cell>
          <cell r="H615">
            <v>10</v>
          </cell>
          <cell r="I615">
            <v>20</v>
          </cell>
          <cell r="J615">
            <v>30</v>
          </cell>
          <cell r="K615">
            <v>60</v>
          </cell>
        </row>
        <row r="616">
          <cell r="A616" t="str">
            <v>HFCHS48.3x2.6</v>
          </cell>
          <cell r="B616">
            <v>1</v>
          </cell>
          <cell r="C616">
            <v>1</v>
          </cell>
          <cell r="D616"/>
          <cell r="E616">
            <v>2.93</v>
          </cell>
          <cell r="F616">
            <v>2</v>
          </cell>
          <cell r="G616">
            <v>5</v>
          </cell>
          <cell r="H616">
            <v>10</v>
          </cell>
          <cell r="I616">
            <v>20</v>
          </cell>
          <cell r="J616">
            <v>30</v>
          </cell>
          <cell r="K616">
            <v>60</v>
          </cell>
        </row>
        <row r="617">
          <cell r="A617" t="str">
            <v>HFCHS48.3x2.9</v>
          </cell>
          <cell r="B617">
            <v>1</v>
          </cell>
          <cell r="C617">
            <v>1</v>
          </cell>
          <cell r="D617"/>
          <cell r="E617">
            <v>3.25</v>
          </cell>
          <cell r="F617">
            <v>2</v>
          </cell>
          <cell r="G617">
            <v>5</v>
          </cell>
          <cell r="H617">
            <v>10</v>
          </cell>
          <cell r="I617">
            <v>20</v>
          </cell>
          <cell r="J617">
            <v>30</v>
          </cell>
          <cell r="K617">
            <v>60</v>
          </cell>
        </row>
        <row r="618">
          <cell r="A618" t="str">
            <v>HFCHS48.3x3.2</v>
          </cell>
          <cell r="B618">
            <v>1</v>
          </cell>
          <cell r="C618">
            <v>1</v>
          </cell>
          <cell r="D618"/>
          <cell r="E618">
            <v>3.56</v>
          </cell>
          <cell r="F618">
            <v>2</v>
          </cell>
          <cell r="G618">
            <v>5</v>
          </cell>
          <cell r="H618">
            <v>10</v>
          </cell>
          <cell r="I618">
            <v>20</v>
          </cell>
          <cell r="J618">
            <v>30</v>
          </cell>
          <cell r="K618">
            <v>60</v>
          </cell>
        </row>
        <row r="619">
          <cell r="A619" t="str">
            <v>HFCHS48.3x3.6</v>
          </cell>
          <cell r="B619">
            <v>1</v>
          </cell>
          <cell r="C619">
            <v>1</v>
          </cell>
          <cell r="D619"/>
          <cell r="E619">
            <v>3.97</v>
          </cell>
          <cell r="F619">
            <v>2</v>
          </cell>
          <cell r="G619">
            <v>5</v>
          </cell>
          <cell r="H619">
            <v>10</v>
          </cell>
          <cell r="I619">
            <v>20</v>
          </cell>
          <cell r="J619">
            <v>30</v>
          </cell>
          <cell r="K619">
            <v>60</v>
          </cell>
        </row>
        <row r="620">
          <cell r="A620" t="str">
            <v>HFCHS48.3x4</v>
          </cell>
          <cell r="B620">
            <v>1</v>
          </cell>
          <cell r="C620">
            <v>1</v>
          </cell>
          <cell r="D620"/>
          <cell r="E620">
            <v>4.37</v>
          </cell>
          <cell r="F620">
            <v>2</v>
          </cell>
          <cell r="G620">
            <v>5</v>
          </cell>
          <cell r="H620">
            <v>10</v>
          </cell>
          <cell r="I620">
            <v>20</v>
          </cell>
          <cell r="J620">
            <v>30</v>
          </cell>
          <cell r="K620">
            <v>60</v>
          </cell>
        </row>
        <row r="621">
          <cell r="A621" t="str">
            <v>HFCHS48.3x4.5</v>
          </cell>
          <cell r="B621">
            <v>1</v>
          </cell>
          <cell r="C621">
            <v>1</v>
          </cell>
          <cell r="D621"/>
          <cell r="E621">
            <v>4.8600000000000003</v>
          </cell>
          <cell r="F621">
            <v>2</v>
          </cell>
          <cell r="G621">
            <v>5</v>
          </cell>
          <cell r="H621">
            <v>10</v>
          </cell>
          <cell r="I621">
            <v>20</v>
          </cell>
          <cell r="J621">
            <v>30</v>
          </cell>
          <cell r="K621">
            <v>60</v>
          </cell>
        </row>
        <row r="622">
          <cell r="A622" t="str">
            <v>HFCHS48.3x5</v>
          </cell>
          <cell r="B622">
            <v>1</v>
          </cell>
          <cell r="C622">
            <v>1</v>
          </cell>
          <cell r="D622"/>
          <cell r="E622">
            <v>5.34</v>
          </cell>
          <cell r="F622">
            <v>2</v>
          </cell>
          <cell r="G622">
            <v>5</v>
          </cell>
          <cell r="H622">
            <v>10</v>
          </cell>
          <cell r="I622">
            <v>20</v>
          </cell>
          <cell r="J622">
            <v>30</v>
          </cell>
          <cell r="K622">
            <v>60</v>
          </cell>
        </row>
        <row r="623">
          <cell r="A623" t="str">
            <v>HFCHS48.3x5.6</v>
          </cell>
          <cell r="B623">
            <v>1</v>
          </cell>
          <cell r="C623">
            <v>1</v>
          </cell>
          <cell r="D623"/>
          <cell r="E623">
            <v>5.9</v>
          </cell>
          <cell r="F623">
            <v>2</v>
          </cell>
          <cell r="G623">
            <v>5</v>
          </cell>
          <cell r="H623">
            <v>10</v>
          </cell>
          <cell r="I623">
            <v>20</v>
          </cell>
          <cell r="J623">
            <v>30</v>
          </cell>
          <cell r="K623">
            <v>60</v>
          </cell>
        </row>
        <row r="624">
          <cell r="A624" t="str">
            <v>HFCHS48.3x6.3</v>
          </cell>
          <cell r="B624">
            <v>1</v>
          </cell>
          <cell r="C624">
            <v>1</v>
          </cell>
          <cell r="D624"/>
          <cell r="E624">
            <v>6.53</v>
          </cell>
          <cell r="F624">
            <v>2</v>
          </cell>
          <cell r="G624">
            <v>5</v>
          </cell>
          <cell r="H624">
            <v>10</v>
          </cell>
          <cell r="I624">
            <v>20</v>
          </cell>
          <cell r="J624">
            <v>30</v>
          </cell>
          <cell r="K624">
            <v>60</v>
          </cell>
        </row>
        <row r="625">
          <cell r="A625" t="str">
            <v>HFCHS60.3x2.6</v>
          </cell>
          <cell r="B625">
            <v>1</v>
          </cell>
          <cell r="C625">
            <v>1</v>
          </cell>
          <cell r="D625"/>
          <cell r="E625">
            <v>3.7</v>
          </cell>
          <cell r="F625">
            <v>2</v>
          </cell>
          <cell r="G625">
            <v>5</v>
          </cell>
          <cell r="H625">
            <v>10</v>
          </cell>
          <cell r="I625">
            <v>20</v>
          </cell>
          <cell r="J625">
            <v>30</v>
          </cell>
          <cell r="K625">
            <v>60</v>
          </cell>
        </row>
        <row r="626">
          <cell r="A626" t="str">
            <v>HFCHS60.3x2.9</v>
          </cell>
          <cell r="B626">
            <v>1</v>
          </cell>
          <cell r="C626">
            <v>1</v>
          </cell>
          <cell r="D626"/>
          <cell r="E626">
            <v>4.1100000000000003</v>
          </cell>
          <cell r="F626">
            <v>2</v>
          </cell>
          <cell r="G626">
            <v>5</v>
          </cell>
          <cell r="H626">
            <v>10</v>
          </cell>
          <cell r="I626">
            <v>20</v>
          </cell>
          <cell r="J626">
            <v>30</v>
          </cell>
          <cell r="K626">
            <v>60</v>
          </cell>
        </row>
        <row r="627">
          <cell r="A627" t="str">
            <v>HFCHS60.3x3.2</v>
          </cell>
          <cell r="B627">
            <v>1</v>
          </cell>
          <cell r="C627">
            <v>1</v>
          </cell>
          <cell r="D627"/>
          <cell r="E627">
            <v>4.51</v>
          </cell>
          <cell r="F627">
            <v>2</v>
          </cell>
          <cell r="G627">
            <v>5</v>
          </cell>
          <cell r="H627">
            <v>10</v>
          </cell>
          <cell r="I627">
            <v>20</v>
          </cell>
          <cell r="J627">
            <v>30</v>
          </cell>
          <cell r="K627">
            <v>60</v>
          </cell>
        </row>
        <row r="628">
          <cell r="A628" t="str">
            <v>HFCHS60.3x3.6</v>
          </cell>
          <cell r="B628">
            <v>1</v>
          </cell>
          <cell r="C628">
            <v>1</v>
          </cell>
          <cell r="D628"/>
          <cell r="E628">
            <v>5.03</v>
          </cell>
          <cell r="F628">
            <v>2</v>
          </cell>
          <cell r="G628">
            <v>5</v>
          </cell>
          <cell r="H628">
            <v>10</v>
          </cell>
          <cell r="I628">
            <v>20</v>
          </cell>
          <cell r="J628">
            <v>30</v>
          </cell>
          <cell r="K628">
            <v>60</v>
          </cell>
        </row>
        <row r="629">
          <cell r="A629" t="str">
            <v>HFCHS60.3x4</v>
          </cell>
          <cell r="B629">
            <v>1</v>
          </cell>
          <cell r="C629">
            <v>1</v>
          </cell>
          <cell r="D629"/>
          <cell r="E629">
            <v>5.55</v>
          </cell>
          <cell r="F629">
            <v>2</v>
          </cell>
          <cell r="G629">
            <v>5</v>
          </cell>
          <cell r="H629">
            <v>10</v>
          </cell>
          <cell r="I629">
            <v>20</v>
          </cell>
          <cell r="J629">
            <v>30</v>
          </cell>
          <cell r="K629">
            <v>60</v>
          </cell>
        </row>
        <row r="630">
          <cell r="A630" t="str">
            <v>HFCHS60.3x4.5</v>
          </cell>
          <cell r="B630">
            <v>1</v>
          </cell>
          <cell r="C630">
            <v>1</v>
          </cell>
          <cell r="D630"/>
          <cell r="E630">
            <v>6.19</v>
          </cell>
          <cell r="F630">
            <v>2</v>
          </cell>
          <cell r="G630">
            <v>5</v>
          </cell>
          <cell r="H630">
            <v>10</v>
          </cell>
          <cell r="I630">
            <v>20</v>
          </cell>
          <cell r="J630">
            <v>30</v>
          </cell>
          <cell r="K630">
            <v>60</v>
          </cell>
        </row>
        <row r="631">
          <cell r="A631" t="str">
            <v>HFCHS60.3x5</v>
          </cell>
          <cell r="B631">
            <v>1</v>
          </cell>
          <cell r="C631">
            <v>1</v>
          </cell>
          <cell r="D631"/>
          <cell r="E631">
            <v>6.82</v>
          </cell>
          <cell r="F631">
            <v>2</v>
          </cell>
          <cell r="G631">
            <v>5</v>
          </cell>
          <cell r="H631">
            <v>10</v>
          </cell>
          <cell r="I631">
            <v>20</v>
          </cell>
          <cell r="J631">
            <v>30</v>
          </cell>
          <cell r="K631">
            <v>60</v>
          </cell>
        </row>
        <row r="632">
          <cell r="A632" t="str">
            <v>HFCHS60.3x5.6</v>
          </cell>
          <cell r="B632">
            <v>1</v>
          </cell>
          <cell r="C632">
            <v>1</v>
          </cell>
          <cell r="D632"/>
          <cell r="E632">
            <v>7.55</v>
          </cell>
          <cell r="F632">
            <v>2</v>
          </cell>
          <cell r="G632">
            <v>5</v>
          </cell>
          <cell r="H632">
            <v>10</v>
          </cell>
          <cell r="I632">
            <v>20</v>
          </cell>
          <cell r="J632">
            <v>30</v>
          </cell>
          <cell r="K632">
            <v>60</v>
          </cell>
        </row>
        <row r="633">
          <cell r="A633" t="str">
            <v>HFCHS60.3x6.3</v>
          </cell>
          <cell r="B633">
            <v>1</v>
          </cell>
          <cell r="C633">
            <v>1</v>
          </cell>
          <cell r="D633"/>
          <cell r="E633">
            <v>8.39</v>
          </cell>
          <cell r="F633">
            <v>2</v>
          </cell>
          <cell r="G633">
            <v>5</v>
          </cell>
          <cell r="H633">
            <v>10</v>
          </cell>
          <cell r="I633">
            <v>20</v>
          </cell>
          <cell r="J633">
            <v>30</v>
          </cell>
          <cell r="K633">
            <v>60</v>
          </cell>
        </row>
        <row r="634">
          <cell r="A634" t="str">
            <v>HFCHS60.3x8</v>
          </cell>
          <cell r="B634">
            <v>1</v>
          </cell>
          <cell r="C634">
            <v>3</v>
          </cell>
          <cell r="D634"/>
          <cell r="E634">
            <v>10.3</v>
          </cell>
          <cell r="F634">
            <v>2</v>
          </cell>
          <cell r="G634">
            <v>5</v>
          </cell>
          <cell r="H634">
            <v>10</v>
          </cell>
          <cell r="I634">
            <v>20</v>
          </cell>
          <cell r="J634">
            <v>30</v>
          </cell>
          <cell r="K634">
            <v>60</v>
          </cell>
        </row>
        <row r="635">
          <cell r="A635" t="str">
            <v>HFCHS76.1x2.9</v>
          </cell>
          <cell r="B635">
            <v>1</v>
          </cell>
          <cell r="C635">
            <v>1</v>
          </cell>
          <cell r="D635"/>
          <cell r="E635">
            <v>5.24</v>
          </cell>
          <cell r="F635">
            <v>2</v>
          </cell>
          <cell r="G635">
            <v>5</v>
          </cell>
          <cell r="H635">
            <v>10</v>
          </cell>
          <cell r="I635">
            <v>20</v>
          </cell>
          <cell r="J635">
            <v>30</v>
          </cell>
          <cell r="K635">
            <v>60</v>
          </cell>
        </row>
        <row r="636">
          <cell r="A636" t="str">
            <v>HFCHS76.1x3.2</v>
          </cell>
          <cell r="B636">
            <v>1</v>
          </cell>
          <cell r="C636">
            <v>1</v>
          </cell>
          <cell r="D636"/>
          <cell r="E636">
            <v>5.75</v>
          </cell>
          <cell r="F636">
            <v>2</v>
          </cell>
          <cell r="G636">
            <v>5</v>
          </cell>
          <cell r="H636">
            <v>10</v>
          </cell>
          <cell r="I636">
            <v>20</v>
          </cell>
          <cell r="J636">
            <v>30</v>
          </cell>
          <cell r="K636">
            <v>60</v>
          </cell>
        </row>
        <row r="637">
          <cell r="A637" t="str">
            <v>HFCHS76.1x3.6</v>
          </cell>
          <cell r="B637">
            <v>1</v>
          </cell>
          <cell r="C637">
            <v>1</v>
          </cell>
          <cell r="D637"/>
          <cell r="E637">
            <v>6.44</v>
          </cell>
          <cell r="F637">
            <v>2</v>
          </cell>
          <cell r="G637">
            <v>5</v>
          </cell>
          <cell r="H637">
            <v>10</v>
          </cell>
          <cell r="I637">
            <v>20</v>
          </cell>
          <cell r="J637">
            <v>30</v>
          </cell>
          <cell r="K637">
            <v>60</v>
          </cell>
        </row>
        <row r="638">
          <cell r="A638" t="str">
            <v>HFCHS76.1x4</v>
          </cell>
          <cell r="B638">
            <v>1</v>
          </cell>
          <cell r="C638">
            <v>1</v>
          </cell>
          <cell r="D638"/>
          <cell r="E638">
            <v>7.11</v>
          </cell>
          <cell r="F638">
            <v>2</v>
          </cell>
          <cell r="G638">
            <v>5</v>
          </cell>
          <cell r="H638">
            <v>10</v>
          </cell>
          <cell r="I638">
            <v>20</v>
          </cell>
          <cell r="J638">
            <v>30</v>
          </cell>
          <cell r="K638">
            <v>60</v>
          </cell>
        </row>
        <row r="639">
          <cell r="A639" t="str">
            <v>HFCHS76.1x4.5</v>
          </cell>
          <cell r="B639">
            <v>1</v>
          </cell>
          <cell r="C639">
            <v>1</v>
          </cell>
          <cell r="D639"/>
          <cell r="E639">
            <v>7.95</v>
          </cell>
          <cell r="F639">
            <v>2</v>
          </cell>
          <cell r="G639">
            <v>5</v>
          </cell>
          <cell r="H639">
            <v>10</v>
          </cell>
          <cell r="I639">
            <v>20</v>
          </cell>
          <cell r="J639">
            <v>30</v>
          </cell>
          <cell r="K639">
            <v>60</v>
          </cell>
        </row>
        <row r="640">
          <cell r="A640" t="str">
            <v>HFCHS76.1x5</v>
          </cell>
          <cell r="B640">
            <v>1</v>
          </cell>
          <cell r="C640">
            <v>1</v>
          </cell>
          <cell r="D640"/>
          <cell r="E640">
            <v>8.77</v>
          </cell>
          <cell r="F640">
            <v>2</v>
          </cell>
          <cell r="G640">
            <v>5</v>
          </cell>
          <cell r="H640">
            <v>10</v>
          </cell>
          <cell r="I640">
            <v>20</v>
          </cell>
          <cell r="J640">
            <v>30</v>
          </cell>
          <cell r="K640">
            <v>60</v>
          </cell>
        </row>
        <row r="641">
          <cell r="A641" t="str">
            <v>HFCHS76.1x5.6</v>
          </cell>
          <cell r="B641">
            <v>1</v>
          </cell>
          <cell r="C641">
            <v>1</v>
          </cell>
          <cell r="D641"/>
          <cell r="E641">
            <v>9.74</v>
          </cell>
          <cell r="F641">
            <v>2</v>
          </cell>
          <cell r="G641">
            <v>5</v>
          </cell>
          <cell r="H641">
            <v>10</v>
          </cell>
          <cell r="I641">
            <v>20</v>
          </cell>
          <cell r="J641">
            <v>30</v>
          </cell>
          <cell r="K641">
            <v>60</v>
          </cell>
        </row>
        <row r="642">
          <cell r="A642" t="str">
            <v>HFCHS76.1x6.3</v>
          </cell>
          <cell r="B642">
            <v>1</v>
          </cell>
          <cell r="C642">
            <v>1</v>
          </cell>
          <cell r="D642"/>
          <cell r="E642">
            <v>10.8</v>
          </cell>
          <cell r="F642">
            <v>2</v>
          </cell>
          <cell r="G642">
            <v>5</v>
          </cell>
          <cell r="H642">
            <v>10</v>
          </cell>
          <cell r="I642">
            <v>20</v>
          </cell>
          <cell r="J642">
            <v>30</v>
          </cell>
          <cell r="K642">
            <v>60</v>
          </cell>
        </row>
        <row r="643">
          <cell r="A643" t="str">
            <v>HFCHS76.1x8</v>
          </cell>
          <cell r="B643">
            <v>1</v>
          </cell>
          <cell r="C643">
            <v>3</v>
          </cell>
          <cell r="D643"/>
          <cell r="E643">
            <v>13.4</v>
          </cell>
          <cell r="F643">
            <v>2</v>
          </cell>
          <cell r="G643">
            <v>5</v>
          </cell>
          <cell r="H643">
            <v>10</v>
          </cell>
          <cell r="I643">
            <v>20</v>
          </cell>
          <cell r="J643">
            <v>30</v>
          </cell>
          <cell r="K643">
            <v>60</v>
          </cell>
        </row>
        <row r="644">
          <cell r="A644" t="str">
            <v>HFCHS88.9x2.9</v>
          </cell>
          <cell r="B644">
            <v>1</v>
          </cell>
          <cell r="C644">
            <v>1</v>
          </cell>
          <cell r="D644"/>
          <cell r="E644">
            <v>6.15</v>
          </cell>
          <cell r="F644">
            <v>2</v>
          </cell>
          <cell r="G644">
            <v>5</v>
          </cell>
          <cell r="H644">
            <v>10</v>
          </cell>
          <cell r="I644">
            <v>20</v>
          </cell>
          <cell r="J644">
            <v>30</v>
          </cell>
          <cell r="K644">
            <v>60</v>
          </cell>
        </row>
        <row r="645">
          <cell r="A645" t="str">
            <v>HFCHS88.9x3.2</v>
          </cell>
          <cell r="B645">
            <v>1</v>
          </cell>
          <cell r="C645">
            <v>1</v>
          </cell>
          <cell r="D645"/>
          <cell r="E645">
            <v>6.76</v>
          </cell>
          <cell r="F645">
            <v>2</v>
          </cell>
          <cell r="G645">
            <v>5</v>
          </cell>
          <cell r="H645">
            <v>10</v>
          </cell>
          <cell r="I645">
            <v>20</v>
          </cell>
          <cell r="J645">
            <v>30</v>
          </cell>
          <cell r="K645">
            <v>60</v>
          </cell>
        </row>
        <row r="646">
          <cell r="A646" t="str">
            <v>HFCHS88.9x3.6</v>
          </cell>
          <cell r="B646">
            <v>1</v>
          </cell>
          <cell r="C646">
            <v>1</v>
          </cell>
          <cell r="D646"/>
          <cell r="E646">
            <v>7.57</v>
          </cell>
          <cell r="F646">
            <v>2</v>
          </cell>
          <cell r="G646">
            <v>5</v>
          </cell>
          <cell r="H646">
            <v>10</v>
          </cell>
          <cell r="I646">
            <v>20</v>
          </cell>
          <cell r="J646">
            <v>30</v>
          </cell>
          <cell r="K646">
            <v>60</v>
          </cell>
        </row>
        <row r="647">
          <cell r="A647" t="str">
            <v>HFCHS88.9x4</v>
          </cell>
          <cell r="B647">
            <v>1</v>
          </cell>
          <cell r="C647">
            <v>1</v>
          </cell>
          <cell r="D647"/>
          <cell r="E647">
            <v>8.3800000000000008</v>
          </cell>
          <cell r="F647">
            <v>2</v>
          </cell>
          <cell r="G647">
            <v>5</v>
          </cell>
          <cell r="H647">
            <v>10</v>
          </cell>
          <cell r="I647">
            <v>20</v>
          </cell>
          <cell r="J647">
            <v>30</v>
          </cell>
          <cell r="K647">
            <v>60</v>
          </cell>
        </row>
        <row r="648">
          <cell r="A648" t="str">
            <v>HFCHS88.9x4.5</v>
          </cell>
          <cell r="B648">
            <v>1</v>
          </cell>
          <cell r="C648">
            <v>1</v>
          </cell>
          <cell r="D648"/>
          <cell r="E648">
            <v>9.3699999999999992</v>
          </cell>
          <cell r="F648">
            <v>2</v>
          </cell>
          <cell r="G648">
            <v>5</v>
          </cell>
          <cell r="H648">
            <v>10</v>
          </cell>
          <cell r="I648">
            <v>20</v>
          </cell>
          <cell r="J648">
            <v>30</v>
          </cell>
          <cell r="K648">
            <v>60</v>
          </cell>
        </row>
        <row r="649">
          <cell r="A649" t="str">
            <v>HFCHS88.9x5</v>
          </cell>
          <cell r="B649">
            <v>1</v>
          </cell>
          <cell r="C649">
            <v>1</v>
          </cell>
          <cell r="D649"/>
          <cell r="E649">
            <v>10.3</v>
          </cell>
          <cell r="F649">
            <v>2</v>
          </cell>
          <cell r="G649">
            <v>5</v>
          </cell>
          <cell r="H649">
            <v>10</v>
          </cell>
          <cell r="I649">
            <v>20</v>
          </cell>
          <cell r="J649">
            <v>30</v>
          </cell>
          <cell r="K649">
            <v>60</v>
          </cell>
        </row>
        <row r="650">
          <cell r="A650" t="str">
            <v>HFCHS88.9x5.6</v>
          </cell>
          <cell r="B650">
            <v>1</v>
          </cell>
          <cell r="C650">
            <v>1</v>
          </cell>
          <cell r="D650"/>
          <cell r="E650">
            <v>11.5</v>
          </cell>
          <cell r="F650">
            <v>2</v>
          </cell>
          <cell r="G650">
            <v>5</v>
          </cell>
          <cell r="H650">
            <v>10</v>
          </cell>
          <cell r="I650">
            <v>20</v>
          </cell>
          <cell r="J650">
            <v>30</v>
          </cell>
          <cell r="K650">
            <v>60</v>
          </cell>
        </row>
        <row r="651">
          <cell r="A651" t="str">
            <v>HFCHS88.9x6.3</v>
          </cell>
          <cell r="B651">
            <v>1</v>
          </cell>
          <cell r="C651">
            <v>1</v>
          </cell>
          <cell r="D651"/>
          <cell r="E651">
            <v>12.8</v>
          </cell>
          <cell r="F651">
            <v>2</v>
          </cell>
          <cell r="G651">
            <v>5</v>
          </cell>
          <cell r="H651">
            <v>10</v>
          </cell>
          <cell r="I651">
            <v>20</v>
          </cell>
          <cell r="J651">
            <v>30</v>
          </cell>
          <cell r="K651">
            <v>60</v>
          </cell>
        </row>
        <row r="652">
          <cell r="A652" t="str">
            <v>HFCHS88.9x8</v>
          </cell>
          <cell r="B652">
            <v>1</v>
          </cell>
          <cell r="C652">
            <v>3</v>
          </cell>
          <cell r="D652"/>
          <cell r="E652">
            <v>16</v>
          </cell>
          <cell r="F652">
            <v>2</v>
          </cell>
          <cell r="G652">
            <v>5</v>
          </cell>
          <cell r="H652">
            <v>10</v>
          </cell>
          <cell r="I652">
            <v>20</v>
          </cell>
          <cell r="J652">
            <v>30</v>
          </cell>
          <cell r="K652">
            <v>60</v>
          </cell>
        </row>
        <row r="653">
          <cell r="A653" t="str">
            <v>HFCHS88.9x10</v>
          </cell>
          <cell r="B653">
            <v>1</v>
          </cell>
          <cell r="C653">
            <v>6</v>
          </cell>
          <cell r="D653"/>
          <cell r="E653">
            <v>19.5</v>
          </cell>
          <cell r="F653">
            <v>2</v>
          </cell>
          <cell r="G653">
            <v>5</v>
          </cell>
          <cell r="H653">
            <v>10</v>
          </cell>
          <cell r="I653">
            <v>20</v>
          </cell>
          <cell r="J653">
            <v>30</v>
          </cell>
          <cell r="K653">
            <v>60</v>
          </cell>
        </row>
        <row r="654">
          <cell r="A654" t="str">
            <v>HFCHS101.6x3.2</v>
          </cell>
          <cell r="B654">
            <v>1</v>
          </cell>
          <cell r="C654">
            <v>1</v>
          </cell>
          <cell r="D654"/>
          <cell r="E654">
            <v>7.77</v>
          </cell>
          <cell r="F654">
            <v>2</v>
          </cell>
          <cell r="G654">
            <v>5</v>
          </cell>
          <cell r="H654">
            <v>10</v>
          </cell>
          <cell r="I654">
            <v>20</v>
          </cell>
          <cell r="J654">
            <v>30</v>
          </cell>
          <cell r="K654">
            <v>60</v>
          </cell>
        </row>
        <row r="655">
          <cell r="A655" t="str">
            <v>HFCHS101.6x3.6</v>
          </cell>
          <cell r="B655">
            <v>1</v>
          </cell>
          <cell r="C655">
            <v>1</v>
          </cell>
          <cell r="D655"/>
          <cell r="E655">
            <v>8.6999999999999993</v>
          </cell>
          <cell r="F655">
            <v>2</v>
          </cell>
          <cell r="G655">
            <v>5</v>
          </cell>
          <cell r="H655">
            <v>10</v>
          </cell>
          <cell r="I655">
            <v>20</v>
          </cell>
          <cell r="J655">
            <v>30</v>
          </cell>
          <cell r="K655">
            <v>60</v>
          </cell>
        </row>
        <row r="656">
          <cell r="A656" t="str">
            <v>HFCHS101.6x4</v>
          </cell>
          <cell r="B656">
            <v>1</v>
          </cell>
          <cell r="C656">
            <v>1</v>
          </cell>
          <cell r="D656"/>
          <cell r="E656">
            <v>9.6300000000000008</v>
          </cell>
          <cell r="F656">
            <v>2</v>
          </cell>
          <cell r="G656">
            <v>5</v>
          </cell>
          <cell r="H656">
            <v>10</v>
          </cell>
          <cell r="I656">
            <v>20</v>
          </cell>
          <cell r="J656">
            <v>30</v>
          </cell>
          <cell r="K656">
            <v>60</v>
          </cell>
        </row>
        <row r="657">
          <cell r="A657" t="str">
            <v>HFCHS101.6x4.5</v>
          </cell>
          <cell r="B657">
            <v>1</v>
          </cell>
          <cell r="C657">
            <v>1</v>
          </cell>
          <cell r="D657"/>
          <cell r="E657">
            <v>10.8</v>
          </cell>
          <cell r="F657">
            <v>2</v>
          </cell>
          <cell r="G657">
            <v>5</v>
          </cell>
          <cell r="H657">
            <v>10</v>
          </cell>
          <cell r="I657">
            <v>20</v>
          </cell>
          <cell r="J657">
            <v>30</v>
          </cell>
          <cell r="K657">
            <v>60</v>
          </cell>
        </row>
        <row r="658">
          <cell r="A658" t="str">
            <v>HFCHS101.6x5</v>
          </cell>
          <cell r="B658">
            <v>1</v>
          </cell>
          <cell r="C658">
            <v>1</v>
          </cell>
          <cell r="D658"/>
          <cell r="E658">
            <v>11.9</v>
          </cell>
          <cell r="F658">
            <v>2</v>
          </cell>
          <cell r="G658">
            <v>5</v>
          </cell>
          <cell r="H658">
            <v>10</v>
          </cell>
          <cell r="I658">
            <v>20</v>
          </cell>
          <cell r="J658">
            <v>30</v>
          </cell>
          <cell r="K658">
            <v>60</v>
          </cell>
        </row>
        <row r="659">
          <cell r="A659" t="str">
            <v>HFCHS101.6x5.6</v>
          </cell>
          <cell r="B659">
            <v>1</v>
          </cell>
          <cell r="C659">
            <v>1</v>
          </cell>
          <cell r="D659"/>
          <cell r="E659">
            <v>13.3</v>
          </cell>
          <cell r="F659">
            <v>2</v>
          </cell>
          <cell r="G659">
            <v>5</v>
          </cell>
          <cell r="H659">
            <v>10</v>
          </cell>
          <cell r="I659">
            <v>20</v>
          </cell>
          <cell r="J659">
            <v>30</v>
          </cell>
          <cell r="K659">
            <v>60</v>
          </cell>
        </row>
        <row r="660">
          <cell r="A660" t="str">
            <v>HFCHS101.6x6.3</v>
          </cell>
          <cell r="B660">
            <v>1</v>
          </cell>
          <cell r="C660">
            <v>1</v>
          </cell>
          <cell r="D660"/>
          <cell r="E660">
            <v>14.8</v>
          </cell>
          <cell r="F660">
            <v>2</v>
          </cell>
          <cell r="G660">
            <v>5</v>
          </cell>
          <cell r="H660">
            <v>10</v>
          </cell>
          <cell r="I660">
            <v>20</v>
          </cell>
          <cell r="J660">
            <v>30</v>
          </cell>
          <cell r="K660">
            <v>60</v>
          </cell>
        </row>
        <row r="661">
          <cell r="A661" t="str">
            <v>HFCHS101.6x8</v>
          </cell>
          <cell r="B661">
            <v>1</v>
          </cell>
          <cell r="C661">
            <v>3</v>
          </cell>
          <cell r="D661"/>
          <cell r="E661">
            <v>18.5</v>
          </cell>
          <cell r="F661">
            <v>2</v>
          </cell>
          <cell r="G661">
            <v>5</v>
          </cell>
          <cell r="H661">
            <v>10</v>
          </cell>
          <cell r="I661">
            <v>20</v>
          </cell>
          <cell r="J661">
            <v>30</v>
          </cell>
          <cell r="K661">
            <v>60</v>
          </cell>
        </row>
        <row r="662">
          <cell r="A662" t="str">
            <v>HFCHS101.6x10</v>
          </cell>
          <cell r="B662">
            <v>2</v>
          </cell>
          <cell r="C662">
            <v>6</v>
          </cell>
          <cell r="D662"/>
          <cell r="E662">
            <v>22.6</v>
          </cell>
          <cell r="F662">
            <v>5</v>
          </cell>
          <cell r="G662">
            <v>10</v>
          </cell>
          <cell r="H662">
            <v>20</v>
          </cell>
          <cell r="I662">
            <v>30</v>
          </cell>
          <cell r="J662">
            <v>60</v>
          </cell>
          <cell r="K662">
            <v>90</v>
          </cell>
        </row>
        <row r="663">
          <cell r="A663" t="str">
            <v>HFCHS114.3x3.2</v>
          </cell>
          <cell r="B663">
            <v>1</v>
          </cell>
          <cell r="C663">
            <v>1</v>
          </cell>
          <cell r="D663"/>
          <cell r="E663">
            <v>8.77</v>
          </cell>
          <cell r="F663">
            <v>2</v>
          </cell>
          <cell r="G663">
            <v>5</v>
          </cell>
          <cell r="H663">
            <v>10</v>
          </cell>
          <cell r="I663">
            <v>20</v>
          </cell>
          <cell r="J663">
            <v>30</v>
          </cell>
          <cell r="K663">
            <v>60</v>
          </cell>
        </row>
        <row r="664">
          <cell r="A664" t="str">
            <v>HFCHS114.3x3.6</v>
          </cell>
          <cell r="B664">
            <v>1</v>
          </cell>
          <cell r="C664">
            <v>1</v>
          </cell>
          <cell r="D664"/>
          <cell r="E664">
            <v>9.83</v>
          </cell>
          <cell r="F664">
            <v>2</v>
          </cell>
          <cell r="G664">
            <v>5</v>
          </cell>
          <cell r="H664">
            <v>10</v>
          </cell>
          <cell r="I664">
            <v>20</v>
          </cell>
          <cell r="J664">
            <v>30</v>
          </cell>
          <cell r="K664">
            <v>60</v>
          </cell>
        </row>
        <row r="665">
          <cell r="A665" t="str">
            <v>HFCHS114.3x4</v>
          </cell>
          <cell r="B665">
            <v>1</v>
          </cell>
          <cell r="C665">
            <v>1</v>
          </cell>
          <cell r="D665"/>
          <cell r="E665">
            <v>10.9</v>
          </cell>
          <cell r="F665">
            <v>2</v>
          </cell>
          <cell r="G665">
            <v>5</v>
          </cell>
          <cell r="H665">
            <v>10</v>
          </cell>
          <cell r="I665">
            <v>20</v>
          </cell>
          <cell r="J665">
            <v>30</v>
          </cell>
          <cell r="K665">
            <v>60</v>
          </cell>
        </row>
        <row r="666">
          <cell r="A666" t="str">
            <v>HFCHS114.3x4.5</v>
          </cell>
          <cell r="B666">
            <v>1</v>
          </cell>
          <cell r="C666">
            <v>1</v>
          </cell>
          <cell r="D666"/>
          <cell r="E666">
            <v>12.2</v>
          </cell>
          <cell r="F666">
            <v>2</v>
          </cell>
          <cell r="G666">
            <v>5</v>
          </cell>
          <cell r="H666">
            <v>10</v>
          </cell>
          <cell r="I666">
            <v>20</v>
          </cell>
          <cell r="J666">
            <v>30</v>
          </cell>
          <cell r="K666">
            <v>60</v>
          </cell>
        </row>
        <row r="667">
          <cell r="A667" t="str">
            <v>HFCHS114.3x5</v>
          </cell>
          <cell r="B667">
            <v>1</v>
          </cell>
          <cell r="C667">
            <v>1</v>
          </cell>
          <cell r="D667"/>
          <cell r="E667">
            <v>13.5</v>
          </cell>
          <cell r="F667">
            <v>2</v>
          </cell>
          <cell r="G667">
            <v>5</v>
          </cell>
          <cell r="H667">
            <v>10</v>
          </cell>
          <cell r="I667">
            <v>20</v>
          </cell>
          <cell r="J667">
            <v>30</v>
          </cell>
          <cell r="K667">
            <v>60</v>
          </cell>
        </row>
        <row r="668">
          <cell r="A668" t="str">
            <v>HFCHS114.3x5.6</v>
          </cell>
          <cell r="B668">
            <v>1</v>
          </cell>
          <cell r="C668">
            <v>1</v>
          </cell>
          <cell r="D668"/>
          <cell r="E668">
            <v>15</v>
          </cell>
          <cell r="F668">
            <v>2</v>
          </cell>
          <cell r="G668">
            <v>5</v>
          </cell>
          <cell r="H668">
            <v>10</v>
          </cell>
          <cell r="I668">
            <v>20</v>
          </cell>
          <cell r="J668">
            <v>30</v>
          </cell>
          <cell r="K668">
            <v>60</v>
          </cell>
        </row>
        <row r="669">
          <cell r="A669" t="str">
            <v>HFCHS114.3x6.3</v>
          </cell>
          <cell r="B669">
            <v>1</v>
          </cell>
          <cell r="C669">
            <v>1</v>
          </cell>
          <cell r="D669"/>
          <cell r="E669">
            <v>16.8</v>
          </cell>
          <cell r="F669">
            <v>2</v>
          </cell>
          <cell r="G669">
            <v>5</v>
          </cell>
          <cell r="H669">
            <v>10</v>
          </cell>
          <cell r="I669">
            <v>20</v>
          </cell>
          <cell r="J669">
            <v>30</v>
          </cell>
          <cell r="K669">
            <v>60</v>
          </cell>
        </row>
        <row r="670">
          <cell r="A670" t="str">
            <v>HFCHS114.3x8</v>
          </cell>
          <cell r="B670">
            <v>2</v>
          </cell>
          <cell r="C670">
            <v>3</v>
          </cell>
          <cell r="D670"/>
          <cell r="E670">
            <v>21</v>
          </cell>
          <cell r="F670">
            <v>5</v>
          </cell>
          <cell r="G670">
            <v>10</v>
          </cell>
          <cell r="H670">
            <v>20</v>
          </cell>
          <cell r="I670">
            <v>30</v>
          </cell>
          <cell r="J670">
            <v>60</v>
          </cell>
          <cell r="K670">
            <v>90</v>
          </cell>
        </row>
        <row r="671">
          <cell r="A671" t="str">
            <v>HFCHS114.3x10</v>
          </cell>
          <cell r="B671">
            <v>2</v>
          </cell>
          <cell r="C671">
            <v>6</v>
          </cell>
          <cell r="D671"/>
          <cell r="E671">
            <v>25.7</v>
          </cell>
          <cell r="F671">
            <v>5</v>
          </cell>
          <cell r="G671">
            <v>10</v>
          </cell>
          <cell r="H671">
            <v>20</v>
          </cell>
          <cell r="I671">
            <v>30</v>
          </cell>
          <cell r="J671">
            <v>60</v>
          </cell>
          <cell r="K671">
            <v>90</v>
          </cell>
        </row>
        <row r="672">
          <cell r="A672" t="str">
            <v>HFCHS139.7x3.2</v>
          </cell>
          <cell r="B672">
            <v>1</v>
          </cell>
          <cell r="C672">
            <v>1</v>
          </cell>
          <cell r="D672"/>
          <cell r="E672">
            <v>10.8</v>
          </cell>
          <cell r="F672">
            <v>2</v>
          </cell>
          <cell r="G672">
            <v>5</v>
          </cell>
          <cell r="H672">
            <v>10</v>
          </cell>
          <cell r="I672">
            <v>20</v>
          </cell>
          <cell r="J672">
            <v>30</v>
          </cell>
          <cell r="K672">
            <v>60</v>
          </cell>
        </row>
        <row r="673">
          <cell r="A673" t="str">
            <v>HFCHS139.7x3.6</v>
          </cell>
          <cell r="B673">
            <v>1</v>
          </cell>
          <cell r="C673">
            <v>1</v>
          </cell>
          <cell r="D673"/>
          <cell r="E673">
            <v>12.1</v>
          </cell>
          <cell r="F673">
            <v>2</v>
          </cell>
          <cell r="G673">
            <v>5</v>
          </cell>
          <cell r="H673">
            <v>10</v>
          </cell>
          <cell r="I673">
            <v>20</v>
          </cell>
          <cell r="J673">
            <v>30</v>
          </cell>
          <cell r="K673">
            <v>60</v>
          </cell>
        </row>
        <row r="674">
          <cell r="A674" t="str">
            <v>HFCHS139.7x4</v>
          </cell>
          <cell r="B674">
            <v>1</v>
          </cell>
          <cell r="C674">
            <v>1</v>
          </cell>
          <cell r="D674"/>
          <cell r="E674">
            <v>13.4</v>
          </cell>
          <cell r="F674">
            <v>2</v>
          </cell>
          <cell r="G674">
            <v>5</v>
          </cell>
          <cell r="H674">
            <v>10</v>
          </cell>
          <cell r="I674">
            <v>20</v>
          </cell>
          <cell r="J674">
            <v>30</v>
          </cell>
          <cell r="K674">
            <v>60</v>
          </cell>
        </row>
        <row r="675">
          <cell r="A675" t="str">
            <v>HFCHS139.7x4.5</v>
          </cell>
          <cell r="B675">
            <v>1</v>
          </cell>
          <cell r="C675">
            <v>1</v>
          </cell>
          <cell r="D675"/>
          <cell r="E675">
            <v>15</v>
          </cell>
          <cell r="F675">
            <v>2</v>
          </cell>
          <cell r="G675">
            <v>5</v>
          </cell>
          <cell r="H675">
            <v>10</v>
          </cell>
          <cell r="I675">
            <v>20</v>
          </cell>
          <cell r="J675">
            <v>30</v>
          </cell>
          <cell r="K675">
            <v>60</v>
          </cell>
        </row>
        <row r="676">
          <cell r="A676" t="str">
            <v>HFCHS139.7x5</v>
          </cell>
          <cell r="B676">
            <v>1</v>
          </cell>
          <cell r="C676">
            <v>1</v>
          </cell>
          <cell r="D676"/>
          <cell r="E676">
            <v>16.600000000000001</v>
          </cell>
          <cell r="F676">
            <v>2</v>
          </cell>
          <cell r="G676">
            <v>5</v>
          </cell>
          <cell r="H676">
            <v>10</v>
          </cell>
          <cell r="I676">
            <v>20</v>
          </cell>
          <cell r="J676">
            <v>30</v>
          </cell>
          <cell r="K676">
            <v>60</v>
          </cell>
        </row>
        <row r="677">
          <cell r="A677" t="str">
            <v>HFCHS139.7x5.6</v>
          </cell>
          <cell r="B677">
            <v>1</v>
          </cell>
          <cell r="C677">
            <v>1</v>
          </cell>
          <cell r="D677"/>
          <cell r="E677">
            <v>18.5</v>
          </cell>
          <cell r="F677">
            <v>2</v>
          </cell>
          <cell r="G677">
            <v>5</v>
          </cell>
          <cell r="H677">
            <v>10</v>
          </cell>
          <cell r="I677">
            <v>20</v>
          </cell>
          <cell r="J677">
            <v>30</v>
          </cell>
          <cell r="K677">
            <v>60</v>
          </cell>
        </row>
        <row r="678">
          <cell r="A678" t="str">
            <v>HFCHS139.7x6.3</v>
          </cell>
          <cell r="B678">
            <v>2</v>
          </cell>
          <cell r="C678">
            <v>1</v>
          </cell>
          <cell r="D678"/>
          <cell r="E678">
            <v>20.7</v>
          </cell>
          <cell r="F678">
            <v>5</v>
          </cell>
          <cell r="G678">
            <v>10</v>
          </cell>
          <cell r="H678">
            <v>20</v>
          </cell>
          <cell r="I678">
            <v>30</v>
          </cell>
          <cell r="J678">
            <v>60</v>
          </cell>
          <cell r="K678">
            <v>90</v>
          </cell>
        </row>
        <row r="679">
          <cell r="A679" t="str">
            <v>HFCHS139.7x8</v>
          </cell>
          <cell r="B679">
            <v>2</v>
          </cell>
          <cell r="C679">
            <v>3</v>
          </cell>
          <cell r="D679"/>
          <cell r="E679">
            <v>26</v>
          </cell>
          <cell r="F679">
            <v>5</v>
          </cell>
          <cell r="G679">
            <v>10</v>
          </cell>
          <cell r="H679">
            <v>20</v>
          </cell>
          <cell r="I679">
            <v>30</v>
          </cell>
          <cell r="J679">
            <v>60</v>
          </cell>
          <cell r="K679">
            <v>90</v>
          </cell>
        </row>
        <row r="680">
          <cell r="A680" t="str">
            <v>HFCHS139.7x10</v>
          </cell>
          <cell r="B680">
            <v>2</v>
          </cell>
          <cell r="C680">
            <v>6</v>
          </cell>
          <cell r="D680"/>
          <cell r="E680">
            <v>32</v>
          </cell>
          <cell r="F680">
            <v>5</v>
          </cell>
          <cell r="G680">
            <v>10</v>
          </cell>
          <cell r="H680">
            <v>20</v>
          </cell>
          <cell r="I680">
            <v>30</v>
          </cell>
          <cell r="J680">
            <v>60</v>
          </cell>
          <cell r="K680">
            <v>90</v>
          </cell>
        </row>
        <row r="681">
          <cell r="A681" t="str">
            <v>HFCHS139.7x12.5</v>
          </cell>
          <cell r="B681">
            <v>2</v>
          </cell>
          <cell r="C681">
            <v>6</v>
          </cell>
          <cell r="D681"/>
          <cell r="E681">
            <v>39.200000000000003</v>
          </cell>
          <cell r="F681">
            <v>5</v>
          </cell>
          <cell r="G681">
            <v>10</v>
          </cell>
          <cell r="H681">
            <v>20</v>
          </cell>
          <cell r="I681">
            <v>30</v>
          </cell>
          <cell r="J681">
            <v>60</v>
          </cell>
          <cell r="K681">
            <v>90</v>
          </cell>
        </row>
        <row r="682">
          <cell r="A682" t="str">
            <v>HFCHS168.3x4</v>
          </cell>
          <cell r="B682">
            <v>1</v>
          </cell>
          <cell r="C682">
            <v>1</v>
          </cell>
          <cell r="D682"/>
          <cell r="E682">
            <v>16.2</v>
          </cell>
          <cell r="F682">
            <v>2</v>
          </cell>
          <cell r="G682">
            <v>5</v>
          </cell>
          <cell r="H682">
            <v>10</v>
          </cell>
          <cell r="I682">
            <v>20</v>
          </cell>
          <cell r="J682">
            <v>30</v>
          </cell>
          <cell r="K682">
            <v>60</v>
          </cell>
        </row>
        <row r="683">
          <cell r="A683" t="str">
            <v>HFCHS168.3x5</v>
          </cell>
          <cell r="B683">
            <v>2</v>
          </cell>
          <cell r="C683">
            <v>2</v>
          </cell>
          <cell r="D683"/>
          <cell r="E683">
            <v>20.100000000000001</v>
          </cell>
          <cell r="F683">
            <v>5</v>
          </cell>
          <cell r="G683">
            <v>10</v>
          </cell>
          <cell r="H683">
            <v>20</v>
          </cell>
          <cell r="I683">
            <v>30</v>
          </cell>
          <cell r="J683">
            <v>60</v>
          </cell>
          <cell r="K683">
            <v>90</v>
          </cell>
        </row>
        <row r="684">
          <cell r="A684" t="str">
            <v>HFCHS168.3x5.6</v>
          </cell>
          <cell r="B684">
            <v>2</v>
          </cell>
          <cell r="C684">
            <v>2</v>
          </cell>
          <cell r="D684"/>
          <cell r="E684">
            <v>22.5</v>
          </cell>
          <cell r="F684">
            <v>5</v>
          </cell>
          <cell r="G684">
            <v>10</v>
          </cell>
          <cell r="H684">
            <v>20</v>
          </cell>
          <cell r="I684">
            <v>30</v>
          </cell>
          <cell r="J684">
            <v>60</v>
          </cell>
          <cell r="K684">
            <v>90</v>
          </cell>
        </row>
        <row r="685">
          <cell r="A685" t="str">
            <v>HFCHS168.3x6.3</v>
          </cell>
          <cell r="B685">
            <v>2</v>
          </cell>
          <cell r="C685">
            <v>2</v>
          </cell>
          <cell r="D685"/>
          <cell r="E685">
            <v>25.2</v>
          </cell>
          <cell r="F685">
            <v>5</v>
          </cell>
          <cell r="G685">
            <v>10</v>
          </cell>
          <cell r="H685">
            <v>20</v>
          </cell>
          <cell r="I685">
            <v>30</v>
          </cell>
          <cell r="J685">
            <v>60</v>
          </cell>
          <cell r="K685">
            <v>90</v>
          </cell>
        </row>
        <row r="686">
          <cell r="A686" t="str">
            <v>HFCHS168.3x8</v>
          </cell>
          <cell r="B686">
            <v>2</v>
          </cell>
          <cell r="C686">
            <v>3</v>
          </cell>
          <cell r="D686"/>
          <cell r="E686">
            <v>31.6</v>
          </cell>
          <cell r="F686">
            <v>5</v>
          </cell>
          <cell r="G686">
            <v>10</v>
          </cell>
          <cell r="H686">
            <v>20</v>
          </cell>
          <cell r="I686">
            <v>30</v>
          </cell>
          <cell r="J686">
            <v>60</v>
          </cell>
          <cell r="K686">
            <v>90</v>
          </cell>
        </row>
        <row r="687">
          <cell r="A687" t="str">
            <v>HFCHS168.3x10</v>
          </cell>
          <cell r="B687">
            <v>2</v>
          </cell>
          <cell r="C687">
            <v>6</v>
          </cell>
          <cell r="D687"/>
          <cell r="E687">
            <v>39</v>
          </cell>
          <cell r="F687">
            <v>5</v>
          </cell>
          <cell r="G687">
            <v>10</v>
          </cell>
          <cell r="H687">
            <v>20</v>
          </cell>
          <cell r="I687">
            <v>30</v>
          </cell>
          <cell r="J687">
            <v>60</v>
          </cell>
          <cell r="K687">
            <v>90</v>
          </cell>
        </row>
        <row r="688">
          <cell r="A688" t="str">
            <v>HFCHS168.3x12.5</v>
          </cell>
          <cell r="B688">
            <v>2</v>
          </cell>
          <cell r="C688">
            <v>6</v>
          </cell>
          <cell r="D688"/>
          <cell r="E688">
            <v>48</v>
          </cell>
          <cell r="F688">
            <v>5</v>
          </cell>
          <cell r="G688">
            <v>10</v>
          </cell>
          <cell r="H688">
            <v>20</v>
          </cell>
          <cell r="I688">
            <v>30</v>
          </cell>
          <cell r="J688">
            <v>60</v>
          </cell>
          <cell r="K688">
            <v>90</v>
          </cell>
        </row>
        <row r="689">
          <cell r="A689" t="str">
            <v>HFCHS193.7x5</v>
          </cell>
          <cell r="B689">
            <v>2</v>
          </cell>
          <cell r="C689">
            <v>2</v>
          </cell>
          <cell r="D689"/>
          <cell r="E689">
            <v>23.3</v>
          </cell>
          <cell r="F689">
            <v>5</v>
          </cell>
          <cell r="G689">
            <v>10</v>
          </cell>
          <cell r="H689">
            <v>20</v>
          </cell>
          <cell r="I689">
            <v>30</v>
          </cell>
          <cell r="J689">
            <v>60</v>
          </cell>
          <cell r="K689">
            <v>90</v>
          </cell>
        </row>
        <row r="690">
          <cell r="A690" t="str">
            <v>HFCHS193.7x5.6</v>
          </cell>
          <cell r="B690">
            <v>2</v>
          </cell>
          <cell r="C690">
            <v>2</v>
          </cell>
          <cell r="D690"/>
          <cell r="E690">
            <v>26</v>
          </cell>
          <cell r="F690">
            <v>5</v>
          </cell>
          <cell r="G690">
            <v>10</v>
          </cell>
          <cell r="H690">
            <v>20</v>
          </cell>
          <cell r="I690">
            <v>30</v>
          </cell>
          <cell r="J690">
            <v>60</v>
          </cell>
          <cell r="K690">
            <v>90</v>
          </cell>
        </row>
        <row r="691">
          <cell r="A691" t="str">
            <v>HFCHS193.7x6.3</v>
          </cell>
          <cell r="B691">
            <v>2</v>
          </cell>
          <cell r="C691">
            <v>2</v>
          </cell>
          <cell r="D691"/>
          <cell r="E691">
            <v>29.1</v>
          </cell>
          <cell r="F691">
            <v>5</v>
          </cell>
          <cell r="G691">
            <v>10</v>
          </cell>
          <cell r="H691">
            <v>20</v>
          </cell>
          <cell r="I691">
            <v>30</v>
          </cell>
          <cell r="J691">
            <v>60</v>
          </cell>
          <cell r="K691">
            <v>90</v>
          </cell>
        </row>
        <row r="692">
          <cell r="A692" t="str">
            <v>HFCHS193.7x8</v>
          </cell>
          <cell r="B692">
            <v>2</v>
          </cell>
          <cell r="C692">
            <v>3</v>
          </cell>
          <cell r="D692"/>
          <cell r="E692">
            <v>36.6</v>
          </cell>
          <cell r="F692">
            <v>5</v>
          </cell>
          <cell r="G692">
            <v>10</v>
          </cell>
          <cell r="H692">
            <v>20</v>
          </cell>
          <cell r="I692">
            <v>30</v>
          </cell>
          <cell r="J692">
            <v>60</v>
          </cell>
          <cell r="K692">
            <v>90</v>
          </cell>
        </row>
        <row r="693">
          <cell r="A693" t="str">
            <v>HFCHS193.7x10</v>
          </cell>
          <cell r="B693">
            <v>2</v>
          </cell>
          <cell r="C693">
            <v>6</v>
          </cell>
          <cell r="D693"/>
          <cell r="E693">
            <v>45.3</v>
          </cell>
          <cell r="F693">
            <v>5</v>
          </cell>
          <cell r="G693">
            <v>10</v>
          </cell>
          <cell r="H693">
            <v>20</v>
          </cell>
          <cell r="I693">
            <v>30</v>
          </cell>
          <cell r="J693">
            <v>60</v>
          </cell>
          <cell r="K693">
            <v>90</v>
          </cell>
        </row>
        <row r="694">
          <cell r="A694" t="str">
            <v>HFCHS193.7x12.5</v>
          </cell>
          <cell r="B694">
            <v>2</v>
          </cell>
          <cell r="C694">
            <v>6</v>
          </cell>
          <cell r="D694"/>
          <cell r="E694">
            <v>55.9</v>
          </cell>
          <cell r="F694">
            <v>5</v>
          </cell>
          <cell r="G694">
            <v>10</v>
          </cell>
          <cell r="H694">
            <v>20</v>
          </cell>
          <cell r="I694">
            <v>30</v>
          </cell>
          <cell r="J694">
            <v>60</v>
          </cell>
          <cell r="K694">
            <v>90</v>
          </cell>
        </row>
        <row r="695">
          <cell r="A695" t="str">
            <v>HFCHS193.7x16</v>
          </cell>
          <cell r="B695">
            <v>2</v>
          </cell>
          <cell r="C695">
            <v>10</v>
          </cell>
          <cell r="D695"/>
          <cell r="E695">
            <v>70.099999999999994</v>
          </cell>
          <cell r="F695">
            <v>5</v>
          </cell>
          <cell r="G695">
            <v>10</v>
          </cell>
          <cell r="H695">
            <v>20</v>
          </cell>
          <cell r="I695">
            <v>30</v>
          </cell>
          <cell r="J695">
            <v>60</v>
          </cell>
          <cell r="K695">
            <v>90</v>
          </cell>
        </row>
        <row r="696">
          <cell r="A696" t="str">
            <v>HFCHS219.1x4.5</v>
          </cell>
          <cell r="B696">
            <v>3</v>
          </cell>
          <cell r="C696">
            <v>1</v>
          </cell>
          <cell r="D696"/>
          <cell r="E696">
            <v>23.8</v>
          </cell>
          <cell r="F696">
            <v>10</v>
          </cell>
          <cell r="G696">
            <v>20</v>
          </cell>
          <cell r="H696">
            <v>30</v>
          </cell>
          <cell r="I696">
            <v>40</v>
          </cell>
          <cell r="J696">
            <v>90</v>
          </cell>
          <cell r="K696">
            <v>120</v>
          </cell>
        </row>
        <row r="697">
          <cell r="A697" t="str">
            <v>HFCHS219.1x5</v>
          </cell>
          <cell r="B697">
            <v>3</v>
          </cell>
          <cell r="C697">
            <v>2</v>
          </cell>
          <cell r="D697"/>
          <cell r="E697">
            <v>26.4</v>
          </cell>
          <cell r="F697">
            <v>10</v>
          </cell>
          <cell r="G697">
            <v>20</v>
          </cell>
          <cell r="H697">
            <v>30</v>
          </cell>
          <cell r="I697">
            <v>40</v>
          </cell>
          <cell r="J697">
            <v>90</v>
          </cell>
          <cell r="K697">
            <v>120</v>
          </cell>
        </row>
        <row r="698">
          <cell r="A698" t="str">
            <v>HFCHS219.1x5.6</v>
          </cell>
          <cell r="B698">
            <v>3</v>
          </cell>
          <cell r="C698">
            <v>2</v>
          </cell>
          <cell r="D698"/>
          <cell r="E698">
            <v>29.5</v>
          </cell>
          <cell r="F698">
            <v>10</v>
          </cell>
          <cell r="G698">
            <v>20</v>
          </cell>
          <cell r="H698">
            <v>30</v>
          </cell>
          <cell r="I698">
            <v>40</v>
          </cell>
          <cell r="J698">
            <v>90</v>
          </cell>
          <cell r="K698">
            <v>120</v>
          </cell>
        </row>
        <row r="699">
          <cell r="A699" t="str">
            <v>HFCHS219.1x6.3</v>
          </cell>
          <cell r="B699">
            <v>3</v>
          </cell>
          <cell r="C699">
            <v>2</v>
          </cell>
          <cell r="D699"/>
          <cell r="E699">
            <v>33.1</v>
          </cell>
          <cell r="F699">
            <v>10</v>
          </cell>
          <cell r="G699">
            <v>20</v>
          </cell>
          <cell r="H699">
            <v>30</v>
          </cell>
          <cell r="I699">
            <v>40</v>
          </cell>
          <cell r="J699">
            <v>90</v>
          </cell>
          <cell r="K699">
            <v>120</v>
          </cell>
        </row>
        <row r="700">
          <cell r="A700" t="str">
            <v>HFCHS219.1x8</v>
          </cell>
          <cell r="B700">
            <v>3</v>
          </cell>
          <cell r="C700">
            <v>3</v>
          </cell>
          <cell r="D700"/>
          <cell r="E700">
            <v>41.6</v>
          </cell>
          <cell r="F700">
            <v>10</v>
          </cell>
          <cell r="G700">
            <v>20</v>
          </cell>
          <cell r="H700">
            <v>30</v>
          </cell>
          <cell r="I700">
            <v>40</v>
          </cell>
          <cell r="J700">
            <v>90</v>
          </cell>
          <cell r="K700">
            <v>120</v>
          </cell>
        </row>
        <row r="701">
          <cell r="A701" t="str">
            <v>HFCHS219.1x10</v>
          </cell>
          <cell r="B701">
            <v>3</v>
          </cell>
          <cell r="C701">
            <v>6</v>
          </cell>
          <cell r="D701"/>
          <cell r="E701">
            <v>51.6</v>
          </cell>
          <cell r="F701">
            <v>10</v>
          </cell>
          <cell r="G701">
            <v>20</v>
          </cell>
          <cell r="H701">
            <v>30</v>
          </cell>
          <cell r="I701">
            <v>40</v>
          </cell>
          <cell r="J701">
            <v>90</v>
          </cell>
          <cell r="K701">
            <v>120</v>
          </cell>
        </row>
        <row r="702">
          <cell r="A702" t="str">
            <v>HFCHS219.1x12.5</v>
          </cell>
          <cell r="B702">
            <v>3</v>
          </cell>
          <cell r="C702">
            <v>6</v>
          </cell>
          <cell r="D702"/>
          <cell r="E702">
            <v>63.7</v>
          </cell>
          <cell r="F702">
            <v>10</v>
          </cell>
          <cell r="G702">
            <v>20</v>
          </cell>
          <cell r="H702">
            <v>30</v>
          </cell>
          <cell r="I702">
            <v>40</v>
          </cell>
          <cell r="J702">
            <v>90</v>
          </cell>
          <cell r="K702">
            <v>120</v>
          </cell>
        </row>
        <row r="703">
          <cell r="A703" t="str">
            <v>HFCHS219.1x14.2</v>
          </cell>
          <cell r="B703">
            <v>3</v>
          </cell>
          <cell r="C703">
            <v>10</v>
          </cell>
          <cell r="D703"/>
          <cell r="E703">
            <v>71.8</v>
          </cell>
          <cell r="F703">
            <v>10</v>
          </cell>
          <cell r="G703">
            <v>20</v>
          </cell>
          <cell r="H703">
            <v>30</v>
          </cell>
          <cell r="I703">
            <v>40</v>
          </cell>
          <cell r="J703">
            <v>90</v>
          </cell>
          <cell r="K703">
            <v>120</v>
          </cell>
        </row>
        <row r="704">
          <cell r="A704" t="str">
            <v>HFCHS219.1x16</v>
          </cell>
          <cell r="B704">
            <v>3</v>
          </cell>
          <cell r="C704">
            <v>10</v>
          </cell>
          <cell r="D704"/>
          <cell r="E704">
            <v>80.099999999999994</v>
          </cell>
          <cell r="F704">
            <v>10</v>
          </cell>
          <cell r="G704">
            <v>20</v>
          </cell>
          <cell r="H704">
            <v>30</v>
          </cell>
          <cell r="I704">
            <v>40</v>
          </cell>
          <cell r="J704">
            <v>90</v>
          </cell>
          <cell r="K704">
            <v>120</v>
          </cell>
        </row>
        <row r="705">
          <cell r="A705" t="str">
            <v>HFCHS244.5x5</v>
          </cell>
          <cell r="B705">
            <v>3</v>
          </cell>
          <cell r="C705">
            <v>2</v>
          </cell>
          <cell r="D705"/>
          <cell r="E705">
            <v>29.5</v>
          </cell>
          <cell r="F705">
            <v>10</v>
          </cell>
          <cell r="G705">
            <v>20</v>
          </cell>
          <cell r="H705">
            <v>30</v>
          </cell>
          <cell r="I705">
            <v>40</v>
          </cell>
          <cell r="J705">
            <v>90</v>
          </cell>
          <cell r="K705">
            <v>120</v>
          </cell>
        </row>
        <row r="706">
          <cell r="A706" t="str">
            <v>HFCHS244.5x5.6</v>
          </cell>
          <cell r="B706">
            <v>3</v>
          </cell>
          <cell r="C706">
            <v>2</v>
          </cell>
          <cell r="D706"/>
          <cell r="E706">
            <v>33</v>
          </cell>
          <cell r="F706">
            <v>10</v>
          </cell>
          <cell r="G706">
            <v>20</v>
          </cell>
          <cell r="H706">
            <v>30</v>
          </cell>
          <cell r="I706">
            <v>40</v>
          </cell>
          <cell r="J706">
            <v>90</v>
          </cell>
          <cell r="K706">
            <v>120</v>
          </cell>
        </row>
        <row r="707">
          <cell r="A707" t="str">
            <v>HFCHS244.5x6.3</v>
          </cell>
          <cell r="B707">
            <v>3</v>
          </cell>
          <cell r="C707">
            <v>2</v>
          </cell>
          <cell r="D707"/>
          <cell r="E707">
            <v>37</v>
          </cell>
          <cell r="F707">
            <v>10</v>
          </cell>
          <cell r="G707">
            <v>20</v>
          </cell>
          <cell r="H707">
            <v>30</v>
          </cell>
          <cell r="I707">
            <v>40</v>
          </cell>
          <cell r="J707">
            <v>90</v>
          </cell>
          <cell r="K707">
            <v>120</v>
          </cell>
        </row>
        <row r="708">
          <cell r="A708" t="str">
            <v>HFCHS244.5x8</v>
          </cell>
          <cell r="B708">
            <v>3</v>
          </cell>
          <cell r="C708">
            <v>3</v>
          </cell>
          <cell r="D708"/>
          <cell r="E708">
            <v>46.7</v>
          </cell>
          <cell r="F708">
            <v>10</v>
          </cell>
          <cell r="G708">
            <v>20</v>
          </cell>
          <cell r="H708">
            <v>30</v>
          </cell>
          <cell r="I708">
            <v>40</v>
          </cell>
          <cell r="J708">
            <v>90</v>
          </cell>
          <cell r="K708">
            <v>120</v>
          </cell>
        </row>
        <row r="709">
          <cell r="A709" t="str">
            <v>HFCHS244.5x10</v>
          </cell>
          <cell r="B709">
            <v>3</v>
          </cell>
          <cell r="C709">
            <v>6</v>
          </cell>
          <cell r="D709"/>
          <cell r="E709">
            <v>57.8</v>
          </cell>
          <cell r="F709">
            <v>10</v>
          </cell>
          <cell r="G709">
            <v>20</v>
          </cell>
          <cell r="H709">
            <v>30</v>
          </cell>
          <cell r="I709">
            <v>40</v>
          </cell>
          <cell r="J709">
            <v>90</v>
          </cell>
          <cell r="K709">
            <v>120</v>
          </cell>
        </row>
        <row r="710">
          <cell r="A710" t="str">
            <v>HFCHS244.5x12.5</v>
          </cell>
          <cell r="B710">
            <v>3</v>
          </cell>
          <cell r="C710">
            <v>6</v>
          </cell>
          <cell r="D710"/>
          <cell r="E710">
            <v>71.5</v>
          </cell>
          <cell r="F710">
            <v>10</v>
          </cell>
          <cell r="G710">
            <v>20</v>
          </cell>
          <cell r="H710">
            <v>30</v>
          </cell>
          <cell r="I710">
            <v>40</v>
          </cell>
          <cell r="J710">
            <v>90</v>
          </cell>
          <cell r="K710">
            <v>120</v>
          </cell>
        </row>
        <row r="711">
          <cell r="A711" t="str">
            <v>HFCHS244.5x14.2</v>
          </cell>
          <cell r="B711">
            <v>3</v>
          </cell>
          <cell r="C711">
            <v>10</v>
          </cell>
          <cell r="D711"/>
          <cell r="E711">
            <v>80.599999999999994</v>
          </cell>
          <cell r="F711">
            <v>10</v>
          </cell>
          <cell r="G711">
            <v>20</v>
          </cell>
          <cell r="H711">
            <v>30</v>
          </cell>
          <cell r="I711">
            <v>40</v>
          </cell>
          <cell r="J711">
            <v>90</v>
          </cell>
          <cell r="K711">
            <v>120</v>
          </cell>
        </row>
        <row r="712">
          <cell r="A712" t="str">
            <v>HFCHS244.5x16</v>
          </cell>
          <cell r="B712">
            <v>3</v>
          </cell>
          <cell r="C712">
            <v>10</v>
          </cell>
          <cell r="D712"/>
          <cell r="E712">
            <v>90.2</v>
          </cell>
          <cell r="F712">
            <v>10</v>
          </cell>
          <cell r="G712">
            <v>20</v>
          </cell>
          <cell r="H712">
            <v>30</v>
          </cell>
          <cell r="I712">
            <v>40</v>
          </cell>
          <cell r="J712">
            <v>90</v>
          </cell>
          <cell r="K712">
            <v>120</v>
          </cell>
        </row>
        <row r="713">
          <cell r="A713" t="str">
            <v>HFCHS273x5</v>
          </cell>
          <cell r="B713">
            <v>3</v>
          </cell>
          <cell r="C713">
            <v>2</v>
          </cell>
          <cell r="D713"/>
          <cell r="E713">
            <v>33</v>
          </cell>
          <cell r="F713">
            <v>10</v>
          </cell>
          <cell r="G713">
            <v>20</v>
          </cell>
          <cell r="H713">
            <v>30</v>
          </cell>
          <cell r="I713">
            <v>40</v>
          </cell>
          <cell r="J713">
            <v>90</v>
          </cell>
          <cell r="K713">
            <v>120</v>
          </cell>
        </row>
        <row r="714">
          <cell r="A714" t="str">
            <v>HFCHS273x5.6</v>
          </cell>
          <cell r="B714">
            <v>3</v>
          </cell>
          <cell r="C714">
            <v>2</v>
          </cell>
          <cell r="D714"/>
          <cell r="E714">
            <v>36.9</v>
          </cell>
          <cell r="F714">
            <v>10</v>
          </cell>
          <cell r="G714">
            <v>20</v>
          </cell>
          <cell r="H714">
            <v>30</v>
          </cell>
          <cell r="I714">
            <v>40</v>
          </cell>
          <cell r="J714">
            <v>90</v>
          </cell>
          <cell r="K714">
            <v>120</v>
          </cell>
        </row>
        <row r="715">
          <cell r="A715" t="str">
            <v>HFCHS273x6.3</v>
          </cell>
          <cell r="B715">
            <v>3</v>
          </cell>
          <cell r="C715">
            <v>2</v>
          </cell>
          <cell r="D715"/>
          <cell r="E715">
            <v>41.4</v>
          </cell>
          <cell r="F715">
            <v>10</v>
          </cell>
          <cell r="G715">
            <v>20</v>
          </cell>
          <cell r="H715">
            <v>30</v>
          </cell>
          <cell r="I715">
            <v>40</v>
          </cell>
          <cell r="J715">
            <v>90</v>
          </cell>
          <cell r="K715">
            <v>120</v>
          </cell>
        </row>
        <row r="716">
          <cell r="A716" t="str">
            <v>HFCHS273x8</v>
          </cell>
          <cell r="B716">
            <v>3</v>
          </cell>
          <cell r="C716">
            <v>3</v>
          </cell>
          <cell r="D716"/>
          <cell r="E716">
            <v>52.3</v>
          </cell>
          <cell r="F716">
            <v>10</v>
          </cell>
          <cell r="G716">
            <v>20</v>
          </cell>
          <cell r="H716">
            <v>30</v>
          </cell>
          <cell r="I716">
            <v>40</v>
          </cell>
          <cell r="J716">
            <v>90</v>
          </cell>
          <cell r="K716">
            <v>120</v>
          </cell>
        </row>
        <row r="717">
          <cell r="A717" t="str">
            <v>HFCHS273x10</v>
          </cell>
          <cell r="B717">
            <v>3</v>
          </cell>
          <cell r="C717">
            <v>6</v>
          </cell>
          <cell r="D717"/>
          <cell r="E717">
            <v>64.900000000000006</v>
          </cell>
          <cell r="F717">
            <v>10</v>
          </cell>
          <cell r="G717">
            <v>20</v>
          </cell>
          <cell r="H717">
            <v>30</v>
          </cell>
          <cell r="I717">
            <v>40</v>
          </cell>
          <cell r="J717">
            <v>90</v>
          </cell>
          <cell r="K717">
            <v>120</v>
          </cell>
        </row>
        <row r="718">
          <cell r="A718" t="str">
            <v>HFCHS273x12.5</v>
          </cell>
          <cell r="B718">
            <v>3</v>
          </cell>
          <cell r="C718">
            <v>6</v>
          </cell>
          <cell r="D718"/>
          <cell r="E718">
            <v>80.3</v>
          </cell>
          <cell r="F718">
            <v>10</v>
          </cell>
          <cell r="G718">
            <v>20</v>
          </cell>
          <cell r="H718">
            <v>30</v>
          </cell>
          <cell r="I718">
            <v>40</v>
          </cell>
          <cell r="J718">
            <v>90</v>
          </cell>
          <cell r="K718">
            <v>120</v>
          </cell>
        </row>
        <row r="719">
          <cell r="A719" t="str">
            <v>HFCHS273x14.2</v>
          </cell>
          <cell r="B719">
            <v>3</v>
          </cell>
          <cell r="C719">
            <v>10</v>
          </cell>
          <cell r="D719"/>
          <cell r="E719">
            <v>90.6</v>
          </cell>
          <cell r="F719">
            <v>10</v>
          </cell>
          <cell r="G719">
            <v>20</v>
          </cell>
          <cell r="H719">
            <v>30</v>
          </cell>
          <cell r="I719">
            <v>40</v>
          </cell>
          <cell r="J719">
            <v>90</v>
          </cell>
          <cell r="K719">
            <v>120</v>
          </cell>
        </row>
        <row r="720">
          <cell r="A720" t="str">
            <v>HFCHS273x16</v>
          </cell>
          <cell r="B720">
            <v>3</v>
          </cell>
          <cell r="C720">
            <v>10</v>
          </cell>
          <cell r="D720"/>
          <cell r="E720">
            <v>101</v>
          </cell>
          <cell r="F720">
            <v>10</v>
          </cell>
          <cell r="G720">
            <v>20</v>
          </cell>
          <cell r="H720">
            <v>30</v>
          </cell>
          <cell r="I720">
            <v>40</v>
          </cell>
          <cell r="J720">
            <v>90</v>
          </cell>
          <cell r="K720">
            <v>120</v>
          </cell>
        </row>
        <row r="721">
          <cell r="A721" t="str">
            <v>HFCHS273x25</v>
          </cell>
          <cell r="B721">
            <v>3</v>
          </cell>
          <cell r="C721">
            <v>21</v>
          </cell>
          <cell r="D721"/>
          <cell r="E721">
            <v>153</v>
          </cell>
          <cell r="F721">
            <v>10</v>
          </cell>
          <cell r="G721">
            <v>20</v>
          </cell>
          <cell r="H721">
            <v>30</v>
          </cell>
          <cell r="I721">
            <v>40</v>
          </cell>
          <cell r="J721">
            <v>90</v>
          </cell>
          <cell r="K721">
            <v>120</v>
          </cell>
        </row>
        <row r="722">
          <cell r="A722" t="str">
            <v>HFCHS323.9x5</v>
          </cell>
          <cell r="B722">
            <v>3</v>
          </cell>
          <cell r="C722">
            <v>2</v>
          </cell>
          <cell r="D722"/>
          <cell r="E722">
            <v>39.299999999999997</v>
          </cell>
          <cell r="F722">
            <v>10</v>
          </cell>
          <cell r="G722">
            <v>20</v>
          </cell>
          <cell r="H722">
            <v>30</v>
          </cell>
          <cell r="I722">
            <v>40</v>
          </cell>
          <cell r="J722">
            <v>90</v>
          </cell>
          <cell r="K722">
            <v>120</v>
          </cell>
        </row>
        <row r="723">
          <cell r="A723" t="str">
            <v>HFCHS323.9x5.6</v>
          </cell>
          <cell r="B723">
            <v>3</v>
          </cell>
          <cell r="C723">
            <v>2</v>
          </cell>
          <cell r="D723"/>
          <cell r="E723">
            <v>44</v>
          </cell>
          <cell r="F723">
            <v>10</v>
          </cell>
          <cell r="G723">
            <v>20</v>
          </cell>
          <cell r="H723">
            <v>30</v>
          </cell>
          <cell r="I723">
            <v>40</v>
          </cell>
          <cell r="J723">
            <v>90</v>
          </cell>
          <cell r="K723">
            <v>120</v>
          </cell>
        </row>
        <row r="724">
          <cell r="A724" t="str">
            <v>HFCHS323.9x6.3</v>
          </cell>
          <cell r="B724">
            <v>3</v>
          </cell>
          <cell r="C724">
            <v>2</v>
          </cell>
          <cell r="D724"/>
          <cell r="E724">
            <v>49.3</v>
          </cell>
          <cell r="F724">
            <v>10</v>
          </cell>
          <cell r="G724">
            <v>20</v>
          </cell>
          <cell r="H724">
            <v>30</v>
          </cell>
          <cell r="I724">
            <v>40</v>
          </cell>
          <cell r="J724">
            <v>90</v>
          </cell>
          <cell r="K724">
            <v>120</v>
          </cell>
        </row>
        <row r="725">
          <cell r="A725" t="str">
            <v>HFCHS323.9x8</v>
          </cell>
          <cell r="B725">
            <v>3</v>
          </cell>
          <cell r="C725">
            <v>3</v>
          </cell>
          <cell r="D725"/>
          <cell r="E725">
            <v>62.3</v>
          </cell>
          <cell r="F725">
            <v>10</v>
          </cell>
          <cell r="G725">
            <v>20</v>
          </cell>
          <cell r="H725">
            <v>30</v>
          </cell>
          <cell r="I725">
            <v>40</v>
          </cell>
          <cell r="J725">
            <v>90</v>
          </cell>
          <cell r="K725">
            <v>120</v>
          </cell>
        </row>
        <row r="726">
          <cell r="A726" t="str">
            <v>HFCHS323.9x10</v>
          </cell>
          <cell r="B726">
            <v>3</v>
          </cell>
          <cell r="C726">
            <v>6</v>
          </cell>
          <cell r="D726"/>
          <cell r="E726">
            <v>77.400000000000006</v>
          </cell>
          <cell r="F726">
            <v>10</v>
          </cell>
          <cell r="G726">
            <v>20</v>
          </cell>
          <cell r="H726">
            <v>30</v>
          </cell>
          <cell r="I726">
            <v>40</v>
          </cell>
          <cell r="J726">
            <v>90</v>
          </cell>
          <cell r="K726">
            <v>120</v>
          </cell>
        </row>
        <row r="727">
          <cell r="A727" t="str">
            <v>HFCHS323.9x12.5</v>
          </cell>
          <cell r="B727">
            <v>3</v>
          </cell>
          <cell r="C727">
            <v>6</v>
          </cell>
          <cell r="D727"/>
          <cell r="E727">
            <v>96</v>
          </cell>
          <cell r="F727">
            <v>10</v>
          </cell>
          <cell r="G727">
            <v>20</v>
          </cell>
          <cell r="H727">
            <v>30</v>
          </cell>
          <cell r="I727">
            <v>40</v>
          </cell>
          <cell r="J727">
            <v>90</v>
          </cell>
          <cell r="K727">
            <v>120</v>
          </cell>
        </row>
        <row r="728">
          <cell r="A728" t="str">
            <v>HFCHS323.9x14.2</v>
          </cell>
          <cell r="B728">
            <v>3</v>
          </cell>
          <cell r="C728">
            <v>10</v>
          </cell>
          <cell r="D728"/>
          <cell r="E728">
            <v>108</v>
          </cell>
          <cell r="F728">
            <v>10</v>
          </cell>
          <cell r="G728">
            <v>20</v>
          </cell>
          <cell r="H728">
            <v>30</v>
          </cell>
          <cell r="I728">
            <v>40</v>
          </cell>
          <cell r="J728">
            <v>90</v>
          </cell>
          <cell r="K728">
            <v>120</v>
          </cell>
        </row>
        <row r="729">
          <cell r="A729" t="str">
            <v>HFCHS323.9x16</v>
          </cell>
          <cell r="B729">
            <v>3</v>
          </cell>
          <cell r="C729">
            <v>10</v>
          </cell>
          <cell r="D729"/>
          <cell r="E729">
            <v>121</v>
          </cell>
          <cell r="F729">
            <v>10</v>
          </cell>
          <cell r="G729">
            <v>20</v>
          </cell>
          <cell r="H729">
            <v>30</v>
          </cell>
          <cell r="I729">
            <v>40</v>
          </cell>
          <cell r="J729">
            <v>90</v>
          </cell>
          <cell r="K729">
            <v>120</v>
          </cell>
        </row>
        <row r="730">
          <cell r="A730" t="str">
            <v>HFCHS323.9x20</v>
          </cell>
          <cell r="B730">
            <v>3</v>
          </cell>
          <cell r="C730">
            <v>15</v>
          </cell>
          <cell r="D730">
            <v>1.018</v>
          </cell>
          <cell r="E730">
            <v>149.9</v>
          </cell>
          <cell r="F730">
            <v>10</v>
          </cell>
          <cell r="G730">
            <v>20</v>
          </cell>
          <cell r="H730">
            <v>30</v>
          </cell>
          <cell r="I730">
            <v>40</v>
          </cell>
          <cell r="J730">
            <v>90</v>
          </cell>
          <cell r="K730">
            <v>120</v>
          </cell>
        </row>
        <row r="731">
          <cell r="A731" t="str">
            <v>HFCHS355.6x6.3</v>
          </cell>
          <cell r="B731">
            <v>3</v>
          </cell>
          <cell r="C731">
            <v>2</v>
          </cell>
          <cell r="D731"/>
          <cell r="E731">
            <v>54.3</v>
          </cell>
          <cell r="F731">
            <v>10</v>
          </cell>
          <cell r="G731">
            <v>20</v>
          </cell>
          <cell r="H731">
            <v>30</v>
          </cell>
          <cell r="I731">
            <v>40</v>
          </cell>
          <cell r="J731">
            <v>90</v>
          </cell>
          <cell r="K731">
            <v>120</v>
          </cell>
        </row>
        <row r="732">
          <cell r="A732" t="str">
            <v>HFCHS355.6x8</v>
          </cell>
          <cell r="B732">
            <v>3</v>
          </cell>
          <cell r="C732">
            <v>3</v>
          </cell>
          <cell r="D732"/>
          <cell r="E732">
            <v>68.599999999999994</v>
          </cell>
          <cell r="F732">
            <v>10</v>
          </cell>
          <cell r="G732">
            <v>20</v>
          </cell>
          <cell r="H732">
            <v>30</v>
          </cell>
          <cell r="I732">
            <v>40</v>
          </cell>
          <cell r="J732">
            <v>90</v>
          </cell>
          <cell r="K732">
            <v>120</v>
          </cell>
        </row>
        <row r="733">
          <cell r="A733" t="str">
            <v>HFCHS355.6x10</v>
          </cell>
          <cell r="B733">
            <v>3</v>
          </cell>
          <cell r="C733">
            <v>6</v>
          </cell>
          <cell r="D733"/>
          <cell r="E733">
            <v>85.2</v>
          </cell>
          <cell r="F733">
            <v>10</v>
          </cell>
          <cell r="G733">
            <v>20</v>
          </cell>
          <cell r="H733">
            <v>30</v>
          </cell>
          <cell r="I733">
            <v>40</v>
          </cell>
          <cell r="J733">
            <v>90</v>
          </cell>
          <cell r="K733">
            <v>120</v>
          </cell>
        </row>
        <row r="734">
          <cell r="A734" t="str">
            <v>HFCHS355.6x12.5</v>
          </cell>
          <cell r="B734">
            <v>3</v>
          </cell>
          <cell r="C734">
            <v>6</v>
          </cell>
          <cell r="D734"/>
          <cell r="E734">
            <v>106</v>
          </cell>
          <cell r="F734">
            <v>10</v>
          </cell>
          <cell r="G734">
            <v>20</v>
          </cell>
          <cell r="H734">
            <v>30</v>
          </cell>
          <cell r="I734">
            <v>40</v>
          </cell>
          <cell r="J734">
            <v>90</v>
          </cell>
          <cell r="K734">
            <v>120</v>
          </cell>
        </row>
        <row r="735">
          <cell r="A735" t="str">
            <v>HFCHS355.6x14.2</v>
          </cell>
          <cell r="B735">
            <v>3</v>
          </cell>
          <cell r="C735">
            <v>10</v>
          </cell>
          <cell r="D735"/>
          <cell r="E735">
            <v>120</v>
          </cell>
          <cell r="F735">
            <v>10</v>
          </cell>
          <cell r="G735">
            <v>20</v>
          </cell>
          <cell r="H735">
            <v>30</v>
          </cell>
          <cell r="I735">
            <v>40</v>
          </cell>
          <cell r="J735">
            <v>90</v>
          </cell>
          <cell r="K735">
            <v>120</v>
          </cell>
        </row>
        <row r="736">
          <cell r="A736" t="str">
            <v>HFCHS355.6x16</v>
          </cell>
          <cell r="B736">
            <v>3</v>
          </cell>
          <cell r="C736">
            <v>10</v>
          </cell>
          <cell r="D736"/>
          <cell r="E736">
            <v>134</v>
          </cell>
          <cell r="F736">
            <v>10</v>
          </cell>
          <cell r="G736">
            <v>20</v>
          </cell>
          <cell r="H736">
            <v>30</v>
          </cell>
          <cell r="I736">
            <v>40</v>
          </cell>
          <cell r="J736">
            <v>90</v>
          </cell>
          <cell r="K736">
            <v>120</v>
          </cell>
        </row>
        <row r="737">
          <cell r="A737" t="str">
            <v>HFCHS406.4x6.3</v>
          </cell>
          <cell r="B737">
            <v>3</v>
          </cell>
          <cell r="C737">
            <v>2</v>
          </cell>
          <cell r="D737"/>
          <cell r="E737">
            <v>62.2</v>
          </cell>
          <cell r="F737">
            <v>10</v>
          </cell>
          <cell r="G737">
            <v>20</v>
          </cell>
          <cell r="H737">
            <v>30</v>
          </cell>
          <cell r="I737">
            <v>40</v>
          </cell>
          <cell r="J737">
            <v>90</v>
          </cell>
          <cell r="K737">
            <v>120</v>
          </cell>
        </row>
        <row r="738">
          <cell r="A738" t="str">
            <v>HFCHS406.4x8</v>
          </cell>
          <cell r="B738">
            <v>3</v>
          </cell>
          <cell r="C738">
            <v>3</v>
          </cell>
          <cell r="D738"/>
          <cell r="E738">
            <v>78.599999999999994</v>
          </cell>
          <cell r="F738">
            <v>10</v>
          </cell>
          <cell r="G738">
            <v>20</v>
          </cell>
          <cell r="H738">
            <v>30</v>
          </cell>
          <cell r="I738">
            <v>40</v>
          </cell>
          <cell r="J738">
            <v>90</v>
          </cell>
          <cell r="K738">
            <v>120</v>
          </cell>
        </row>
        <row r="739">
          <cell r="A739" t="str">
            <v>HFCHS406.4x10</v>
          </cell>
          <cell r="B739">
            <v>3</v>
          </cell>
          <cell r="C739">
            <v>6</v>
          </cell>
          <cell r="D739"/>
          <cell r="E739">
            <v>97.8</v>
          </cell>
          <cell r="F739">
            <v>10</v>
          </cell>
          <cell r="G739">
            <v>20</v>
          </cell>
          <cell r="H739">
            <v>30</v>
          </cell>
          <cell r="I739">
            <v>40</v>
          </cell>
          <cell r="J739">
            <v>90</v>
          </cell>
          <cell r="K739">
            <v>120</v>
          </cell>
        </row>
        <row r="740">
          <cell r="A740" t="str">
            <v>HFCHS406.4x12.5</v>
          </cell>
          <cell r="B740">
            <v>3</v>
          </cell>
          <cell r="C740">
            <v>6</v>
          </cell>
          <cell r="D740"/>
          <cell r="E740">
            <v>121</v>
          </cell>
          <cell r="F740">
            <v>10</v>
          </cell>
          <cell r="G740">
            <v>20</v>
          </cell>
          <cell r="H740">
            <v>30</v>
          </cell>
          <cell r="I740">
            <v>40</v>
          </cell>
          <cell r="J740">
            <v>90</v>
          </cell>
          <cell r="K740">
            <v>120</v>
          </cell>
        </row>
        <row r="741">
          <cell r="A741" t="str">
            <v>HFCHS406.4x14.2</v>
          </cell>
          <cell r="B741">
            <v>3</v>
          </cell>
          <cell r="C741">
            <v>10</v>
          </cell>
          <cell r="D741"/>
          <cell r="E741">
            <v>137</v>
          </cell>
          <cell r="F741">
            <v>10</v>
          </cell>
          <cell r="G741">
            <v>20</v>
          </cell>
          <cell r="H741">
            <v>30</v>
          </cell>
          <cell r="I741">
            <v>40</v>
          </cell>
          <cell r="J741">
            <v>90</v>
          </cell>
          <cell r="K741">
            <v>120</v>
          </cell>
        </row>
        <row r="742">
          <cell r="A742" t="str">
            <v>HFCHS406.4x16</v>
          </cell>
          <cell r="B742">
            <v>3</v>
          </cell>
          <cell r="C742">
            <v>10</v>
          </cell>
          <cell r="D742"/>
          <cell r="E742">
            <v>154</v>
          </cell>
          <cell r="F742">
            <v>10</v>
          </cell>
          <cell r="G742">
            <v>20</v>
          </cell>
          <cell r="H742">
            <v>30</v>
          </cell>
          <cell r="I742">
            <v>40</v>
          </cell>
          <cell r="J742">
            <v>90</v>
          </cell>
          <cell r="K742">
            <v>120</v>
          </cell>
        </row>
        <row r="743">
          <cell r="A743" t="str">
            <v>HFCHS457x6.3</v>
          </cell>
          <cell r="B743">
            <v>3</v>
          </cell>
          <cell r="C743">
            <v>2</v>
          </cell>
          <cell r="D743"/>
          <cell r="E743">
            <v>70</v>
          </cell>
          <cell r="F743">
            <v>10</v>
          </cell>
          <cell r="G743">
            <v>20</v>
          </cell>
          <cell r="H743">
            <v>30</v>
          </cell>
          <cell r="I743">
            <v>40</v>
          </cell>
          <cell r="J743">
            <v>90</v>
          </cell>
          <cell r="K743">
            <v>120</v>
          </cell>
        </row>
        <row r="744">
          <cell r="A744" t="str">
            <v>HFCHS457x8</v>
          </cell>
          <cell r="B744">
            <v>3</v>
          </cell>
          <cell r="C744">
            <v>3</v>
          </cell>
          <cell r="D744"/>
          <cell r="E744">
            <v>88.6</v>
          </cell>
          <cell r="F744">
            <v>10</v>
          </cell>
          <cell r="G744">
            <v>20</v>
          </cell>
          <cell r="H744">
            <v>30</v>
          </cell>
          <cell r="I744">
            <v>40</v>
          </cell>
          <cell r="J744">
            <v>90</v>
          </cell>
          <cell r="K744">
            <v>120</v>
          </cell>
        </row>
        <row r="745">
          <cell r="A745" t="str">
            <v>HFCHS457x10</v>
          </cell>
          <cell r="B745">
            <v>3</v>
          </cell>
          <cell r="C745">
            <v>6</v>
          </cell>
          <cell r="D745"/>
          <cell r="E745">
            <v>110</v>
          </cell>
          <cell r="F745">
            <v>10</v>
          </cell>
          <cell r="G745">
            <v>20</v>
          </cell>
          <cell r="H745">
            <v>30</v>
          </cell>
          <cell r="I745">
            <v>40</v>
          </cell>
          <cell r="J745">
            <v>90</v>
          </cell>
          <cell r="K745">
            <v>120</v>
          </cell>
        </row>
        <row r="746">
          <cell r="A746" t="str">
            <v>HFCHS457x12.5</v>
          </cell>
          <cell r="B746">
            <v>3</v>
          </cell>
          <cell r="C746">
            <v>6</v>
          </cell>
          <cell r="D746"/>
          <cell r="E746">
            <v>137</v>
          </cell>
          <cell r="F746">
            <v>10</v>
          </cell>
          <cell r="G746">
            <v>20</v>
          </cell>
          <cell r="H746">
            <v>30</v>
          </cell>
          <cell r="I746">
            <v>40</v>
          </cell>
          <cell r="J746">
            <v>90</v>
          </cell>
          <cell r="K746">
            <v>120</v>
          </cell>
        </row>
        <row r="747">
          <cell r="A747" t="str">
            <v>HFCHS457x14.2</v>
          </cell>
          <cell r="B747">
            <v>3</v>
          </cell>
          <cell r="C747">
            <v>10</v>
          </cell>
          <cell r="D747"/>
          <cell r="E747">
            <v>155</v>
          </cell>
          <cell r="F747">
            <v>10</v>
          </cell>
          <cell r="G747">
            <v>20</v>
          </cell>
          <cell r="H747">
            <v>30</v>
          </cell>
          <cell r="I747">
            <v>40</v>
          </cell>
          <cell r="J747">
            <v>90</v>
          </cell>
          <cell r="K747">
            <v>120</v>
          </cell>
        </row>
        <row r="748">
          <cell r="A748" t="str">
            <v>HFCHS457x16</v>
          </cell>
          <cell r="B748">
            <v>3</v>
          </cell>
          <cell r="C748">
            <v>10</v>
          </cell>
          <cell r="D748"/>
          <cell r="E748">
            <v>174</v>
          </cell>
          <cell r="F748">
            <v>10</v>
          </cell>
          <cell r="G748">
            <v>20</v>
          </cell>
          <cell r="H748">
            <v>30</v>
          </cell>
          <cell r="I748">
            <v>40</v>
          </cell>
          <cell r="J748">
            <v>90</v>
          </cell>
          <cell r="K748">
            <v>120</v>
          </cell>
        </row>
        <row r="749">
          <cell r="A749" t="str">
            <v>HFCHS508x6.3</v>
          </cell>
          <cell r="B749">
            <v>3</v>
          </cell>
          <cell r="C749">
            <v>2</v>
          </cell>
          <cell r="D749"/>
          <cell r="E749">
            <v>77.900000000000006</v>
          </cell>
          <cell r="F749">
            <v>10</v>
          </cell>
          <cell r="G749">
            <v>20</v>
          </cell>
          <cell r="H749">
            <v>30</v>
          </cell>
          <cell r="I749">
            <v>40</v>
          </cell>
          <cell r="J749">
            <v>90</v>
          </cell>
          <cell r="K749">
            <v>120</v>
          </cell>
        </row>
        <row r="750">
          <cell r="A750" t="str">
            <v>HFCHS508x8</v>
          </cell>
          <cell r="B750">
            <v>3</v>
          </cell>
          <cell r="C750">
            <v>3</v>
          </cell>
          <cell r="D750"/>
          <cell r="E750">
            <v>98.6</v>
          </cell>
          <cell r="F750">
            <v>10</v>
          </cell>
          <cell r="G750">
            <v>20</v>
          </cell>
          <cell r="H750">
            <v>30</v>
          </cell>
          <cell r="I750">
            <v>40</v>
          </cell>
          <cell r="J750">
            <v>90</v>
          </cell>
          <cell r="K750">
            <v>120</v>
          </cell>
        </row>
        <row r="751">
          <cell r="A751" t="str">
            <v>HFCHS508x10</v>
          </cell>
          <cell r="B751">
            <v>3</v>
          </cell>
          <cell r="C751">
            <v>6</v>
          </cell>
          <cell r="D751"/>
          <cell r="E751">
            <v>123</v>
          </cell>
          <cell r="F751">
            <v>10</v>
          </cell>
          <cell r="G751">
            <v>20</v>
          </cell>
          <cell r="H751">
            <v>30</v>
          </cell>
          <cell r="I751">
            <v>40</v>
          </cell>
          <cell r="J751">
            <v>90</v>
          </cell>
          <cell r="K751">
            <v>120</v>
          </cell>
        </row>
        <row r="752">
          <cell r="A752" t="str">
            <v>HFCHS508x12.5</v>
          </cell>
          <cell r="B752">
            <v>3</v>
          </cell>
          <cell r="C752">
            <v>6</v>
          </cell>
          <cell r="D752"/>
          <cell r="E752">
            <v>153</v>
          </cell>
          <cell r="F752">
            <v>10</v>
          </cell>
          <cell r="G752">
            <v>20</v>
          </cell>
          <cell r="H752">
            <v>30</v>
          </cell>
          <cell r="I752">
            <v>40</v>
          </cell>
          <cell r="J752">
            <v>90</v>
          </cell>
          <cell r="K752">
            <v>120</v>
          </cell>
        </row>
        <row r="753">
          <cell r="A753" t="str">
            <v>HFCHS508x14.2</v>
          </cell>
          <cell r="B753">
            <v>3</v>
          </cell>
          <cell r="C753">
            <v>10</v>
          </cell>
          <cell r="D753"/>
          <cell r="E753">
            <v>173</v>
          </cell>
          <cell r="F753">
            <v>10</v>
          </cell>
          <cell r="G753">
            <v>20</v>
          </cell>
          <cell r="H753">
            <v>30</v>
          </cell>
          <cell r="I753">
            <v>40</v>
          </cell>
          <cell r="J753">
            <v>90</v>
          </cell>
          <cell r="K753">
            <v>120</v>
          </cell>
        </row>
        <row r="754">
          <cell r="A754" t="str">
            <v>HFCHS508x16</v>
          </cell>
          <cell r="B754">
            <v>3</v>
          </cell>
          <cell r="C754">
            <v>10</v>
          </cell>
          <cell r="D754"/>
          <cell r="E754">
            <v>194</v>
          </cell>
          <cell r="F754">
            <v>10</v>
          </cell>
          <cell r="G754">
            <v>20</v>
          </cell>
          <cell r="H754">
            <v>30</v>
          </cell>
          <cell r="I754">
            <v>40</v>
          </cell>
          <cell r="J754">
            <v>90</v>
          </cell>
          <cell r="K754">
            <v>120</v>
          </cell>
        </row>
        <row r="755">
          <cell r="A755" t="str">
            <v>HFRHS50x30x3</v>
          </cell>
          <cell r="B755">
            <v>1</v>
          </cell>
          <cell r="C755">
            <v>1</v>
          </cell>
          <cell r="D755"/>
          <cell r="E755">
            <v>3.4</v>
          </cell>
          <cell r="F755">
            <v>2</v>
          </cell>
          <cell r="G755">
            <v>5</v>
          </cell>
          <cell r="H755">
            <v>10</v>
          </cell>
          <cell r="I755">
            <v>20</v>
          </cell>
          <cell r="J755">
            <v>30</v>
          </cell>
          <cell r="K755">
            <v>60</v>
          </cell>
        </row>
        <row r="756">
          <cell r="A756" t="str">
            <v>HFRHS50x30x3.2</v>
          </cell>
          <cell r="B756">
            <v>1</v>
          </cell>
          <cell r="C756">
            <v>1</v>
          </cell>
          <cell r="D756"/>
          <cell r="E756">
            <v>3.6</v>
          </cell>
          <cell r="F756">
            <v>2</v>
          </cell>
          <cell r="G756">
            <v>5</v>
          </cell>
          <cell r="H756">
            <v>10</v>
          </cell>
          <cell r="I756">
            <v>20</v>
          </cell>
          <cell r="J756">
            <v>30</v>
          </cell>
          <cell r="K756">
            <v>60</v>
          </cell>
        </row>
        <row r="757">
          <cell r="A757" t="str">
            <v>HFRHS50x30x3.6</v>
          </cell>
          <cell r="B757">
            <v>1</v>
          </cell>
          <cell r="C757">
            <v>1</v>
          </cell>
          <cell r="D757"/>
          <cell r="E757">
            <v>4</v>
          </cell>
          <cell r="F757">
            <v>2</v>
          </cell>
          <cell r="G757">
            <v>5</v>
          </cell>
          <cell r="H757">
            <v>10</v>
          </cell>
          <cell r="I757">
            <v>20</v>
          </cell>
          <cell r="J757">
            <v>30</v>
          </cell>
          <cell r="K757">
            <v>60</v>
          </cell>
        </row>
        <row r="758">
          <cell r="A758" t="str">
            <v>HFRHS50x30x4</v>
          </cell>
          <cell r="B758">
            <v>1</v>
          </cell>
          <cell r="C758">
            <v>1</v>
          </cell>
          <cell r="D758"/>
          <cell r="E758">
            <v>4.4000000000000004</v>
          </cell>
          <cell r="F758">
            <v>2</v>
          </cell>
          <cell r="G758">
            <v>5</v>
          </cell>
          <cell r="H758">
            <v>10</v>
          </cell>
          <cell r="I758">
            <v>20</v>
          </cell>
          <cell r="J758">
            <v>30</v>
          </cell>
          <cell r="K758">
            <v>60</v>
          </cell>
        </row>
        <row r="759">
          <cell r="A759" t="str">
            <v>HFRHS50x30x5</v>
          </cell>
          <cell r="B759">
            <v>1</v>
          </cell>
          <cell r="C759">
            <v>1</v>
          </cell>
          <cell r="D759"/>
          <cell r="E759">
            <v>5.3</v>
          </cell>
          <cell r="F759">
            <v>2</v>
          </cell>
          <cell r="G759">
            <v>5</v>
          </cell>
          <cell r="H759">
            <v>10</v>
          </cell>
          <cell r="I759">
            <v>20</v>
          </cell>
          <cell r="J759">
            <v>30</v>
          </cell>
          <cell r="K759">
            <v>60</v>
          </cell>
        </row>
        <row r="760">
          <cell r="A760" t="str">
            <v>HFRHS60x40x3</v>
          </cell>
          <cell r="B760">
            <v>1</v>
          </cell>
          <cell r="C760">
            <v>1</v>
          </cell>
          <cell r="D760"/>
          <cell r="E760">
            <v>4.4000000000000004</v>
          </cell>
          <cell r="F760">
            <v>2</v>
          </cell>
          <cell r="G760">
            <v>5</v>
          </cell>
          <cell r="H760">
            <v>10</v>
          </cell>
          <cell r="I760">
            <v>20</v>
          </cell>
          <cell r="J760">
            <v>30</v>
          </cell>
          <cell r="K760">
            <v>60</v>
          </cell>
        </row>
        <row r="761">
          <cell r="A761" t="str">
            <v>HFRHS60x40x3.2</v>
          </cell>
          <cell r="B761">
            <v>1</v>
          </cell>
          <cell r="C761">
            <v>1</v>
          </cell>
          <cell r="D761"/>
          <cell r="E761">
            <v>4.5999999999999996</v>
          </cell>
          <cell r="F761">
            <v>2</v>
          </cell>
          <cell r="G761">
            <v>5</v>
          </cell>
          <cell r="H761">
            <v>10</v>
          </cell>
          <cell r="I761">
            <v>20</v>
          </cell>
          <cell r="J761">
            <v>30</v>
          </cell>
          <cell r="K761">
            <v>60</v>
          </cell>
        </row>
        <row r="762">
          <cell r="A762" t="str">
            <v>HFRHS60x40x3.6</v>
          </cell>
          <cell r="B762">
            <v>1</v>
          </cell>
          <cell r="C762">
            <v>1</v>
          </cell>
          <cell r="D762"/>
          <cell r="E762">
            <v>5.0999999999999996</v>
          </cell>
          <cell r="F762">
            <v>2</v>
          </cell>
          <cell r="G762">
            <v>5</v>
          </cell>
          <cell r="H762">
            <v>10</v>
          </cell>
          <cell r="I762">
            <v>20</v>
          </cell>
          <cell r="J762">
            <v>30</v>
          </cell>
          <cell r="K762">
            <v>60</v>
          </cell>
        </row>
        <row r="763">
          <cell r="A763" t="str">
            <v>HFRHS60x40x4</v>
          </cell>
          <cell r="B763">
            <v>1</v>
          </cell>
          <cell r="C763">
            <v>1</v>
          </cell>
          <cell r="D763"/>
          <cell r="E763">
            <v>5.6</v>
          </cell>
          <cell r="F763">
            <v>2</v>
          </cell>
          <cell r="G763">
            <v>5</v>
          </cell>
          <cell r="H763">
            <v>10</v>
          </cell>
          <cell r="I763">
            <v>20</v>
          </cell>
          <cell r="J763">
            <v>30</v>
          </cell>
          <cell r="K763">
            <v>60</v>
          </cell>
        </row>
        <row r="764">
          <cell r="A764" t="str">
            <v>HFRHS60x40x5</v>
          </cell>
          <cell r="B764">
            <v>1</v>
          </cell>
          <cell r="C764">
            <v>1</v>
          </cell>
          <cell r="D764"/>
          <cell r="E764">
            <v>6.9</v>
          </cell>
          <cell r="F764">
            <v>2</v>
          </cell>
          <cell r="G764">
            <v>5</v>
          </cell>
          <cell r="H764">
            <v>10</v>
          </cell>
          <cell r="I764">
            <v>20</v>
          </cell>
          <cell r="J764">
            <v>30</v>
          </cell>
          <cell r="K764">
            <v>60</v>
          </cell>
        </row>
        <row r="765">
          <cell r="A765" t="str">
            <v>HFRHS60x40x6.3</v>
          </cell>
          <cell r="B765">
            <v>1</v>
          </cell>
          <cell r="C765">
            <v>1</v>
          </cell>
          <cell r="D765"/>
          <cell r="E765">
            <v>8.3000000000000007</v>
          </cell>
          <cell r="F765">
            <v>2</v>
          </cell>
          <cell r="G765">
            <v>5</v>
          </cell>
          <cell r="H765">
            <v>10</v>
          </cell>
          <cell r="I765">
            <v>20</v>
          </cell>
          <cell r="J765">
            <v>30</v>
          </cell>
          <cell r="K765">
            <v>60</v>
          </cell>
        </row>
        <row r="766">
          <cell r="A766" t="str">
            <v>HFRHS80x40x3</v>
          </cell>
          <cell r="B766">
            <v>1</v>
          </cell>
          <cell r="C766">
            <v>1</v>
          </cell>
          <cell r="D766"/>
          <cell r="E766">
            <v>5.3</v>
          </cell>
          <cell r="F766">
            <v>2</v>
          </cell>
          <cell r="G766">
            <v>5</v>
          </cell>
          <cell r="H766">
            <v>10</v>
          </cell>
          <cell r="I766">
            <v>20</v>
          </cell>
          <cell r="J766">
            <v>30</v>
          </cell>
          <cell r="K766">
            <v>60</v>
          </cell>
        </row>
        <row r="767">
          <cell r="A767" t="str">
            <v>HFRHS80x40x3.2</v>
          </cell>
          <cell r="B767">
            <v>1</v>
          </cell>
          <cell r="C767">
            <v>1</v>
          </cell>
          <cell r="D767"/>
          <cell r="E767">
            <v>5.6</v>
          </cell>
          <cell r="F767">
            <v>2</v>
          </cell>
          <cell r="G767">
            <v>5</v>
          </cell>
          <cell r="H767">
            <v>10</v>
          </cell>
          <cell r="I767">
            <v>20</v>
          </cell>
          <cell r="J767">
            <v>30</v>
          </cell>
          <cell r="K767">
            <v>60</v>
          </cell>
        </row>
        <row r="768">
          <cell r="A768" t="str">
            <v>HFRHS80x40x3.6</v>
          </cell>
          <cell r="B768">
            <v>1</v>
          </cell>
          <cell r="C768">
            <v>1</v>
          </cell>
          <cell r="D768"/>
          <cell r="E768">
            <v>6.3</v>
          </cell>
          <cell r="F768">
            <v>2</v>
          </cell>
          <cell r="G768">
            <v>5</v>
          </cell>
          <cell r="H768">
            <v>10</v>
          </cell>
          <cell r="I768">
            <v>20</v>
          </cell>
          <cell r="J768">
            <v>30</v>
          </cell>
          <cell r="K768">
            <v>60</v>
          </cell>
        </row>
        <row r="769">
          <cell r="A769" t="str">
            <v>HFRHS80x40x4</v>
          </cell>
          <cell r="B769">
            <v>1</v>
          </cell>
          <cell r="C769">
            <v>1</v>
          </cell>
          <cell r="D769"/>
          <cell r="E769">
            <v>6.9</v>
          </cell>
          <cell r="F769">
            <v>2</v>
          </cell>
          <cell r="G769">
            <v>5</v>
          </cell>
          <cell r="H769">
            <v>10</v>
          </cell>
          <cell r="I769">
            <v>20</v>
          </cell>
          <cell r="J769">
            <v>30</v>
          </cell>
          <cell r="K769">
            <v>60</v>
          </cell>
        </row>
        <row r="770">
          <cell r="A770" t="str">
            <v>HFRHS80x40x5</v>
          </cell>
          <cell r="B770">
            <v>1</v>
          </cell>
          <cell r="C770">
            <v>1</v>
          </cell>
          <cell r="D770"/>
          <cell r="E770">
            <v>8.4</v>
          </cell>
          <cell r="F770">
            <v>2</v>
          </cell>
          <cell r="G770">
            <v>5</v>
          </cell>
          <cell r="H770">
            <v>10</v>
          </cell>
          <cell r="I770">
            <v>20</v>
          </cell>
          <cell r="J770">
            <v>30</v>
          </cell>
          <cell r="K770">
            <v>60</v>
          </cell>
        </row>
        <row r="771">
          <cell r="A771" t="str">
            <v>HFRHS80x40x6.3</v>
          </cell>
          <cell r="B771">
            <v>1</v>
          </cell>
          <cell r="C771">
            <v>1</v>
          </cell>
          <cell r="D771"/>
          <cell r="E771">
            <v>10.3</v>
          </cell>
          <cell r="F771">
            <v>2</v>
          </cell>
          <cell r="G771">
            <v>5</v>
          </cell>
          <cell r="H771">
            <v>10</v>
          </cell>
          <cell r="I771">
            <v>20</v>
          </cell>
          <cell r="J771">
            <v>30</v>
          </cell>
          <cell r="K771">
            <v>60</v>
          </cell>
        </row>
        <row r="772">
          <cell r="A772" t="str">
            <v>HFRHS80x40x7.1</v>
          </cell>
          <cell r="B772">
            <v>1</v>
          </cell>
          <cell r="C772">
            <v>3</v>
          </cell>
          <cell r="D772"/>
          <cell r="E772">
            <v>11.4</v>
          </cell>
          <cell r="F772">
            <v>2</v>
          </cell>
          <cell r="G772">
            <v>5</v>
          </cell>
          <cell r="H772">
            <v>10</v>
          </cell>
          <cell r="I772">
            <v>20</v>
          </cell>
          <cell r="J772">
            <v>30</v>
          </cell>
          <cell r="K772">
            <v>60</v>
          </cell>
        </row>
        <row r="773">
          <cell r="A773" t="str">
            <v>HFRHS80x40x8</v>
          </cell>
          <cell r="B773">
            <v>1</v>
          </cell>
          <cell r="C773">
            <v>3</v>
          </cell>
          <cell r="D773"/>
          <cell r="E773">
            <v>12.5</v>
          </cell>
          <cell r="F773">
            <v>2</v>
          </cell>
          <cell r="G773">
            <v>5</v>
          </cell>
          <cell r="H773">
            <v>10</v>
          </cell>
          <cell r="I773">
            <v>20</v>
          </cell>
          <cell r="J773">
            <v>30</v>
          </cell>
          <cell r="K773">
            <v>60</v>
          </cell>
        </row>
        <row r="774">
          <cell r="A774" t="str">
            <v>HFRHS90x50x3</v>
          </cell>
          <cell r="B774">
            <v>1</v>
          </cell>
          <cell r="C774">
            <v>1</v>
          </cell>
          <cell r="D774"/>
          <cell r="E774">
            <v>6.2</v>
          </cell>
          <cell r="F774">
            <v>2</v>
          </cell>
          <cell r="G774">
            <v>5</v>
          </cell>
          <cell r="H774">
            <v>10</v>
          </cell>
          <cell r="I774">
            <v>20</v>
          </cell>
          <cell r="J774">
            <v>30</v>
          </cell>
          <cell r="K774">
            <v>60</v>
          </cell>
        </row>
        <row r="775">
          <cell r="A775" t="str">
            <v>HFRHS90x50x3.2</v>
          </cell>
          <cell r="B775">
            <v>1</v>
          </cell>
          <cell r="C775">
            <v>1</v>
          </cell>
          <cell r="D775"/>
          <cell r="E775">
            <v>6.6</v>
          </cell>
          <cell r="F775">
            <v>2</v>
          </cell>
          <cell r="G775">
            <v>5</v>
          </cell>
          <cell r="H775">
            <v>10</v>
          </cell>
          <cell r="I775">
            <v>20</v>
          </cell>
          <cell r="J775">
            <v>30</v>
          </cell>
          <cell r="K775">
            <v>60</v>
          </cell>
        </row>
        <row r="776">
          <cell r="A776" t="str">
            <v>HFRHS90x50x3.6</v>
          </cell>
          <cell r="B776">
            <v>1</v>
          </cell>
          <cell r="C776">
            <v>1</v>
          </cell>
          <cell r="D776"/>
          <cell r="E776">
            <v>7.4</v>
          </cell>
          <cell r="F776">
            <v>2</v>
          </cell>
          <cell r="G776">
            <v>5</v>
          </cell>
          <cell r="H776">
            <v>10</v>
          </cell>
          <cell r="I776">
            <v>20</v>
          </cell>
          <cell r="J776">
            <v>30</v>
          </cell>
          <cell r="K776">
            <v>60</v>
          </cell>
        </row>
        <row r="777">
          <cell r="A777" t="str">
            <v>HFRHS90x50x4</v>
          </cell>
          <cell r="B777">
            <v>1</v>
          </cell>
          <cell r="C777">
            <v>1</v>
          </cell>
          <cell r="D777"/>
          <cell r="E777">
            <v>8.1999999999999993</v>
          </cell>
          <cell r="F777">
            <v>2</v>
          </cell>
          <cell r="G777">
            <v>5</v>
          </cell>
          <cell r="H777">
            <v>10</v>
          </cell>
          <cell r="I777">
            <v>20</v>
          </cell>
          <cell r="J777">
            <v>30</v>
          </cell>
          <cell r="K777">
            <v>60</v>
          </cell>
        </row>
        <row r="778">
          <cell r="A778" t="str">
            <v>HFRHS90x50x5</v>
          </cell>
          <cell r="B778">
            <v>1</v>
          </cell>
          <cell r="C778">
            <v>1</v>
          </cell>
          <cell r="D778"/>
          <cell r="E778">
            <v>10</v>
          </cell>
          <cell r="F778">
            <v>2</v>
          </cell>
          <cell r="G778">
            <v>5</v>
          </cell>
          <cell r="H778">
            <v>10</v>
          </cell>
          <cell r="I778">
            <v>20</v>
          </cell>
          <cell r="J778">
            <v>30</v>
          </cell>
          <cell r="K778">
            <v>60</v>
          </cell>
        </row>
        <row r="779">
          <cell r="A779" t="str">
            <v>HFRHS90x50x6.3</v>
          </cell>
          <cell r="B779">
            <v>1</v>
          </cell>
          <cell r="C779">
            <v>1</v>
          </cell>
          <cell r="D779"/>
          <cell r="E779">
            <v>12.3</v>
          </cell>
          <cell r="F779">
            <v>2</v>
          </cell>
          <cell r="G779">
            <v>5</v>
          </cell>
          <cell r="H779">
            <v>10</v>
          </cell>
          <cell r="I779">
            <v>20</v>
          </cell>
          <cell r="J779">
            <v>30</v>
          </cell>
          <cell r="K779">
            <v>60</v>
          </cell>
        </row>
        <row r="780">
          <cell r="A780" t="str">
            <v>HFRHS90x50x7.1</v>
          </cell>
          <cell r="B780">
            <v>1</v>
          </cell>
          <cell r="C780">
            <v>3</v>
          </cell>
          <cell r="D780"/>
          <cell r="E780">
            <v>13.6</v>
          </cell>
          <cell r="F780">
            <v>2</v>
          </cell>
          <cell r="G780">
            <v>5</v>
          </cell>
          <cell r="H780">
            <v>10</v>
          </cell>
          <cell r="I780">
            <v>20</v>
          </cell>
          <cell r="J780">
            <v>30</v>
          </cell>
          <cell r="K780">
            <v>60</v>
          </cell>
        </row>
        <row r="781">
          <cell r="A781" t="str">
            <v>HFRHS90x50x8</v>
          </cell>
          <cell r="B781">
            <v>1</v>
          </cell>
          <cell r="C781">
            <v>3</v>
          </cell>
          <cell r="D781"/>
          <cell r="E781">
            <v>15</v>
          </cell>
          <cell r="F781">
            <v>2</v>
          </cell>
          <cell r="G781">
            <v>5</v>
          </cell>
          <cell r="H781">
            <v>10</v>
          </cell>
          <cell r="I781">
            <v>20</v>
          </cell>
          <cell r="J781">
            <v>30</v>
          </cell>
          <cell r="K781">
            <v>60</v>
          </cell>
        </row>
        <row r="782">
          <cell r="A782" t="str">
            <v>HFRHS100x50x3</v>
          </cell>
          <cell r="B782">
            <v>1</v>
          </cell>
          <cell r="C782">
            <v>1</v>
          </cell>
          <cell r="D782"/>
          <cell r="E782">
            <v>6.7</v>
          </cell>
          <cell r="F782">
            <v>2</v>
          </cell>
          <cell r="G782">
            <v>5</v>
          </cell>
          <cell r="H782">
            <v>10</v>
          </cell>
          <cell r="I782">
            <v>20</v>
          </cell>
          <cell r="J782">
            <v>30</v>
          </cell>
          <cell r="K782">
            <v>60</v>
          </cell>
        </row>
        <row r="783">
          <cell r="A783" t="str">
            <v>HFRHS100x50x3.2</v>
          </cell>
          <cell r="B783">
            <v>1</v>
          </cell>
          <cell r="C783">
            <v>1</v>
          </cell>
          <cell r="D783"/>
          <cell r="E783">
            <v>7.1</v>
          </cell>
          <cell r="F783">
            <v>2</v>
          </cell>
          <cell r="G783">
            <v>5</v>
          </cell>
          <cell r="H783">
            <v>10</v>
          </cell>
          <cell r="I783">
            <v>20</v>
          </cell>
          <cell r="J783">
            <v>30</v>
          </cell>
          <cell r="K783">
            <v>60</v>
          </cell>
        </row>
        <row r="784">
          <cell r="A784" t="str">
            <v>HFRHS100x50x3.6</v>
          </cell>
          <cell r="B784">
            <v>1</v>
          </cell>
          <cell r="C784">
            <v>1</v>
          </cell>
          <cell r="D784"/>
          <cell r="E784">
            <v>8</v>
          </cell>
          <cell r="F784">
            <v>2</v>
          </cell>
          <cell r="G784">
            <v>5</v>
          </cell>
          <cell r="H784">
            <v>10</v>
          </cell>
          <cell r="I784">
            <v>20</v>
          </cell>
          <cell r="J784">
            <v>30</v>
          </cell>
          <cell r="K784">
            <v>60</v>
          </cell>
        </row>
        <row r="785">
          <cell r="A785" t="str">
            <v>HFRHS100x50x4</v>
          </cell>
          <cell r="B785">
            <v>1</v>
          </cell>
          <cell r="C785">
            <v>1</v>
          </cell>
          <cell r="D785"/>
          <cell r="E785">
            <v>8.8000000000000007</v>
          </cell>
          <cell r="F785">
            <v>2</v>
          </cell>
          <cell r="G785">
            <v>5</v>
          </cell>
          <cell r="H785">
            <v>10</v>
          </cell>
          <cell r="I785">
            <v>20</v>
          </cell>
          <cell r="J785">
            <v>30</v>
          </cell>
          <cell r="K785">
            <v>60</v>
          </cell>
        </row>
        <row r="786">
          <cell r="A786" t="str">
            <v>HFRHS100x50x5</v>
          </cell>
          <cell r="B786">
            <v>1</v>
          </cell>
          <cell r="C786">
            <v>1</v>
          </cell>
          <cell r="D786"/>
          <cell r="E786">
            <v>10.8</v>
          </cell>
          <cell r="F786">
            <v>2</v>
          </cell>
          <cell r="G786">
            <v>5</v>
          </cell>
          <cell r="H786">
            <v>10</v>
          </cell>
          <cell r="I786">
            <v>20</v>
          </cell>
          <cell r="J786">
            <v>30</v>
          </cell>
          <cell r="K786">
            <v>60</v>
          </cell>
        </row>
        <row r="787">
          <cell r="A787" t="str">
            <v>HFRHS100x50x6.3</v>
          </cell>
          <cell r="B787">
            <v>1</v>
          </cell>
          <cell r="C787">
            <v>1</v>
          </cell>
          <cell r="D787"/>
          <cell r="E787">
            <v>13.3</v>
          </cell>
          <cell r="F787">
            <v>2</v>
          </cell>
          <cell r="G787">
            <v>5</v>
          </cell>
          <cell r="H787">
            <v>10</v>
          </cell>
          <cell r="I787">
            <v>20</v>
          </cell>
          <cell r="J787">
            <v>30</v>
          </cell>
          <cell r="K787">
            <v>60</v>
          </cell>
        </row>
        <row r="788">
          <cell r="A788" t="str">
            <v>HFRHS100x50x7.1</v>
          </cell>
          <cell r="B788">
            <v>1</v>
          </cell>
          <cell r="C788">
            <v>3</v>
          </cell>
          <cell r="D788"/>
          <cell r="E788">
            <v>14.7</v>
          </cell>
          <cell r="F788">
            <v>2</v>
          </cell>
          <cell r="G788">
            <v>5</v>
          </cell>
          <cell r="H788">
            <v>10</v>
          </cell>
          <cell r="I788">
            <v>20</v>
          </cell>
          <cell r="J788">
            <v>30</v>
          </cell>
          <cell r="K788">
            <v>60</v>
          </cell>
        </row>
        <row r="789">
          <cell r="A789" t="str">
            <v>HFRHS100x50x8</v>
          </cell>
          <cell r="B789">
            <v>1</v>
          </cell>
          <cell r="C789">
            <v>3</v>
          </cell>
          <cell r="D789"/>
          <cell r="E789">
            <v>16.3</v>
          </cell>
          <cell r="F789">
            <v>2</v>
          </cell>
          <cell r="G789">
            <v>5</v>
          </cell>
          <cell r="H789">
            <v>10</v>
          </cell>
          <cell r="I789">
            <v>20</v>
          </cell>
          <cell r="J789">
            <v>30</v>
          </cell>
          <cell r="K789">
            <v>60</v>
          </cell>
        </row>
        <row r="790">
          <cell r="A790" t="str">
            <v>HFRHS100x50x8.8</v>
          </cell>
          <cell r="B790">
            <v>1</v>
          </cell>
          <cell r="C790">
            <v>3</v>
          </cell>
          <cell r="D790"/>
          <cell r="E790">
            <v>17.600000000000001</v>
          </cell>
          <cell r="F790">
            <v>2</v>
          </cell>
          <cell r="G790">
            <v>5</v>
          </cell>
          <cell r="H790">
            <v>10</v>
          </cell>
          <cell r="I790">
            <v>20</v>
          </cell>
          <cell r="J790">
            <v>30</v>
          </cell>
          <cell r="K790">
            <v>60</v>
          </cell>
        </row>
        <row r="791">
          <cell r="A791" t="str">
            <v>HFRHS100x50x10</v>
          </cell>
          <cell r="B791">
            <v>1</v>
          </cell>
          <cell r="C791">
            <v>6</v>
          </cell>
          <cell r="D791"/>
          <cell r="E791">
            <v>19.600000000000001</v>
          </cell>
          <cell r="F791">
            <v>2</v>
          </cell>
          <cell r="G791">
            <v>5</v>
          </cell>
          <cell r="H791">
            <v>10</v>
          </cell>
          <cell r="I791">
            <v>20</v>
          </cell>
          <cell r="J791">
            <v>30</v>
          </cell>
          <cell r="K791">
            <v>60</v>
          </cell>
        </row>
        <row r="792">
          <cell r="A792" t="str">
            <v>HFRHS100x60x3</v>
          </cell>
          <cell r="B792">
            <v>1</v>
          </cell>
          <cell r="C792">
            <v>1</v>
          </cell>
          <cell r="D792"/>
          <cell r="E792">
            <v>7.2</v>
          </cell>
          <cell r="F792">
            <v>2</v>
          </cell>
          <cell r="G792">
            <v>5</v>
          </cell>
          <cell r="H792">
            <v>10</v>
          </cell>
          <cell r="I792">
            <v>20</v>
          </cell>
          <cell r="J792">
            <v>30</v>
          </cell>
          <cell r="K792">
            <v>60</v>
          </cell>
        </row>
        <row r="793">
          <cell r="A793" t="str">
            <v>HFRHS100x60x3.2</v>
          </cell>
          <cell r="B793">
            <v>1</v>
          </cell>
          <cell r="C793">
            <v>1</v>
          </cell>
          <cell r="D793"/>
          <cell r="E793">
            <v>7.6</v>
          </cell>
          <cell r="F793">
            <v>2</v>
          </cell>
          <cell r="G793">
            <v>5</v>
          </cell>
          <cell r="H793">
            <v>10</v>
          </cell>
          <cell r="I793">
            <v>20</v>
          </cell>
          <cell r="J793">
            <v>30</v>
          </cell>
          <cell r="K793">
            <v>60</v>
          </cell>
        </row>
        <row r="794">
          <cell r="A794" t="str">
            <v>HFRHS100x60x3.6</v>
          </cell>
          <cell r="B794">
            <v>1</v>
          </cell>
          <cell r="C794">
            <v>1</v>
          </cell>
          <cell r="D794"/>
          <cell r="E794">
            <v>8.5</v>
          </cell>
          <cell r="F794">
            <v>2</v>
          </cell>
          <cell r="G794">
            <v>5</v>
          </cell>
          <cell r="H794">
            <v>10</v>
          </cell>
          <cell r="I794">
            <v>20</v>
          </cell>
          <cell r="J794">
            <v>30</v>
          </cell>
          <cell r="K794">
            <v>60</v>
          </cell>
        </row>
        <row r="795">
          <cell r="A795" t="str">
            <v>HFRHS100x60x4</v>
          </cell>
          <cell r="B795">
            <v>1</v>
          </cell>
          <cell r="C795">
            <v>1</v>
          </cell>
          <cell r="D795"/>
          <cell r="E795">
            <v>9.4</v>
          </cell>
          <cell r="F795">
            <v>2</v>
          </cell>
          <cell r="G795">
            <v>5</v>
          </cell>
          <cell r="H795">
            <v>10</v>
          </cell>
          <cell r="I795">
            <v>20</v>
          </cell>
          <cell r="J795">
            <v>30</v>
          </cell>
          <cell r="K795">
            <v>60</v>
          </cell>
        </row>
        <row r="796">
          <cell r="A796" t="str">
            <v>HFRHS100x60x5</v>
          </cell>
          <cell r="B796">
            <v>1</v>
          </cell>
          <cell r="C796">
            <v>1</v>
          </cell>
          <cell r="D796"/>
          <cell r="E796">
            <v>11.6</v>
          </cell>
          <cell r="F796">
            <v>2</v>
          </cell>
          <cell r="G796">
            <v>5</v>
          </cell>
          <cell r="H796">
            <v>10</v>
          </cell>
          <cell r="I796">
            <v>20</v>
          </cell>
          <cell r="J796">
            <v>30</v>
          </cell>
          <cell r="K796">
            <v>60</v>
          </cell>
        </row>
        <row r="797">
          <cell r="A797" t="str">
            <v>HFRHS100x60x6.3</v>
          </cell>
          <cell r="B797">
            <v>1</v>
          </cell>
          <cell r="C797">
            <v>1</v>
          </cell>
          <cell r="D797"/>
          <cell r="E797">
            <v>14.2</v>
          </cell>
          <cell r="F797">
            <v>2</v>
          </cell>
          <cell r="G797">
            <v>5</v>
          </cell>
          <cell r="H797">
            <v>10</v>
          </cell>
          <cell r="I797">
            <v>20</v>
          </cell>
          <cell r="J797">
            <v>30</v>
          </cell>
          <cell r="K797">
            <v>60</v>
          </cell>
        </row>
        <row r="798">
          <cell r="A798" t="str">
            <v>HFRHS100x60x7.1</v>
          </cell>
          <cell r="B798">
            <v>1</v>
          </cell>
          <cell r="C798">
            <v>3</v>
          </cell>
          <cell r="D798"/>
          <cell r="E798">
            <v>15.8</v>
          </cell>
          <cell r="F798">
            <v>2</v>
          </cell>
          <cell r="G798">
            <v>5</v>
          </cell>
          <cell r="H798">
            <v>10</v>
          </cell>
          <cell r="I798">
            <v>20</v>
          </cell>
          <cell r="J798">
            <v>30</v>
          </cell>
          <cell r="K798">
            <v>60</v>
          </cell>
        </row>
        <row r="799">
          <cell r="A799" t="str">
            <v>HFRHS100x60x8</v>
          </cell>
          <cell r="B799">
            <v>1</v>
          </cell>
          <cell r="C799">
            <v>3</v>
          </cell>
          <cell r="D799"/>
          <cell r="E799">
            <v>17.5</v>
          </cell>
          <cell r="F799">
            <v>2</v>
          </cell>
          <cell r="G799">
            <v>5</v>
          </cell>
          <cell r="H799">
            <v>10</v>
          </cell>
          <cell r="I799">
            <v>20</v>
          </cell>
          <cell r="J799">
            <v>30</v>
          </cell>
          <cell r="K799">
            <v>60</v>
          </cell>
        </row>
        <row r="800">
          <cell r="A800" t="str">
            <v>HFRHS100x60x8.8</v>
          </cell>
          <cell r="B800">
            <v>1</v>
          </cell>
          <cell r="C800">
            <v>3</v>
          </cell>
          <cell r="D800"/>
          <cell r="E800">
            <v>19</v>
          </cell>
          <cell r="F800">
            <v>2</v>
          </cell>
          <cell r="G800">
            <v>5</v>
          </cell>
          <cell r="H800">
            <v>10</v>
          </cell>
          <cell r="I800">
            <v>20</v>
          </cell>
          <cell r="J800">
            <v>30</v>
          </cell>
          <cell r="K800">
            <v>60</v>
          </cell>
        </row>
        <row r="801">
          <cell r="A801" t="str">
            <v>HFRHS120x60x3</v>
          </cell>
          <cell r="B801">
            <v>1</v>
          </cell>
          <cell r="C801">
            <v>1</v>
          </cell>
          <cell r="D801"/>
          <cell r="E801">
            <v>8.1</v>
          </cell>
          <cell r="F801">
            <v>2</v>
          </cell>
          <cell r="G801">
            <v>5</v>
          </cell>
          <cell r="H801">
            <v>10</v>
          </cell>
          <cell r="I801">
            <v>20</v>
          </cell>
          <cell r="J801">
            <v>30</v>
          </cell>
          <cell r="K801">
            <v>60</v>
          </cell>
        </row>
        <row r="802">
          <cell r="A802" t="str">
            <v>HFRHS120x60x3.2</v>
          </cell>
          <cell r="B802">
            <v>1</v>
          </cell>
          <cell r="C802">
            <v>1</v>
          </cell>
          <cell r="D802"/>
          <cell r="E802">
            <v>8.6</v>
          </cell>
          <cell r="F802">
            <v>2</v>
          </cell>
          <cell r="G802">
            <v>5</v>
          </cell>
          <cell r="H802">
            <v>10</v>
          </cell>
          <cell r="I802">
            <v>20</v>
          </cell>
          <cell r="J802">
            <v>30</v>
          </cell>
          <cell r="K802">
            <v>60</v>
          </cell>
        </row>
        <row r="803">
          <cell r="A803" t="str">
            <v>HFRHS120x60x3.6</v>
          </cell>
          <cell r="B803">
            <v>1</v>
          </cell>
          <cell r="C803">
            <v>1</v>
          </cell>
          <cell r="D803"/>
          <cell r="E803">
            <v>9.6999999999999993</v>
          </cell>
          <cell r="F803">
            <v>2</v>
          </cell>
          <cell r="G803">
            <v>5</v>
          </cell>
          <cell r="H803">
            <v>10</v>
          </cell>
          <cell r="I803">
            <v>20</v>
          </cell>
          <cell r="J803">
            <v>30</v>
          </cell>
          <cell r="K803">
            <v>60</v>
          </cell>
        </row>
        <row r="804">
          <cell r="A804" t="str">
            <v>HFRHS120x60x4</v>
          </cell>
          <cell r="B804">
            <v>1</v>
          </cell>
          <cell r="C804">
            <v>1</v>
          </cell>
          <cell r="D804"/>
          <cell r="E804">
            <v>10.7</v>
          </cell>
          <cell r="F804">
            <v>2</v>
          </cell>
          <cell r="G804">
            <v>5</v>
          </cell>
          <cell r="H804">
            <v>10</v>
          </cell>
          <cell r="I804">
            <v>20</v>
          </cell>
          <cell r="J804">
            <v>30</v>
          </cell>
          <cell r="K804">
            <v>60</v>
          </cell>
        </row>
        <row r="805">
          <cell r="A805" t="str">
            <v>HFRHS120x60x5</v>
          </cell>
          <cell r="B805">
            <v>1</v>
          </cell>
          <cell r="C805">
            <v>1</v>
          </cell>
          <cell r="D805"/>
          <cell r="E805">
            <v>13.1</v>
          </cell>
          <cell r="F805">
            <v>2</v>
          </cell>
          <cell r="G805">
            <v>5</v>
          </cell>
          <cell r="H805">
            <v>10</v>
          </cell>
          <cell r="I805">
            <v>20</v>
          </cell>
          <cell r="J805">
            <v>30</v>
          </cell>
          <cell r="K805">
            <v>60</v>
          </cell>
        </row>
        <row r="806">
          <cell r="A806" t="str">
            <v>HFRHS120x60x6.3</v>
          </cell>
          <cell r="B806">
            <v>1</v>
          </cell>
          <cell r="C806">
            <v>2</v>
          </cell>
          <cell r="D806"/>
          <cell r="E806">
            <v>16.2</v>
          </cell>
          <cell r="F806">
            <v>2</v>
          </cell>
          <cell r="G806">
            <v>5</v>
          </cell>
          <cell r="H806">
            <v>10</v>
          </cell>
          <cell r="I806">
            <v>20</v>
          </cell>
          <cell r="J806">
            <v>30</v>
          </cell>
          <cell r="K806">
            <v>60</v>
          </cell>
        </row>
        <row r="807">
          <cell r="A807" t="str">
            <v>HFRHS120x60x7.1</v>
          </cell>
          <cell r="B807">
            <v>1</v>
          </cell>
          <cell r="C807">
            <v>3</v>
          </cell>
          <cell r="D807"/>
          <cell r="E807">
            <v>18.100000000000001</v>
          </cell>
          <cell r="F807">
            <v>2</v>
          </cell>
          <cell r="G807">
            <v>5</v>
          </cell>
          <cell r="H807">
            <v>10</v>
          </cell>
          <cell r="I807">
            <v>20</v>
          </cell>
          <cell r="J807">
            <v>30</v>
          </cell>
          <cell r="K807">
            <v>60</v>
          </cell>
        </row>
        <row r="808">
          <cell r="A808" t="str">
            <v>HFRHS120x60x8</v>
          </cell>
          <cell r="B808">
            <v>2</v>
          </cell>
          <cell r="C808">
            <v>3</v>
          </cell>
          <cell r="D808"/>
          <cell r="E808">
            <v>20.100000000000001</v>
          </cell>
          <cell r="F808">
            <v>5</v>
          </cell>
          <cell r="G808">
            <v>10</v>
          </cell>
          <cell r="H808">
            <v>20</v>
          </cell>
          <cell r="I808">
            <v>30</v>
          </cell>
          <cell r="J808">
            <v>60</v>
          </cell>
          <cell r="K808">
            <v>90</v>
          </cell>
        </row>
        <row r="809">
          <cell r="A809" t="str">
            <v>HFRHS120x60x8.8</v>
          </cell>
          <cell r="B809">
            <v>2</v>
          </cell>
          <cell r="C809">
            <v>3</v>
          </cell>
          <cell r="D809"/>
          <cell r="E809">
            <v>21.8</v>
          </cell>
          <cell r="F809">
            <v>5</v>
          </cell>
          <cell r="G809">
            <v>10</v>
          </cell>
          <cell r="H809">
            <v>20</v>
          </cell>
          <cell r="I809">
            <v>30</v>
          </cell>
          <cell r="J809">
            <v>60</v>
          </cell>
          <cell r="K809">
            <v>90</v>
          </cell>
        </row>
        <row r="810">
          <cell r="A810" t="str">
            <v>HFRHS120x80x3.6</v>
          </cell>
          <cell r="B810">
            <v>1</v>
          </cell>
          <cell r="C810">
            <v>1</v>
          </cell>
          <cell r="D810"/>
          <cell r="E810">
            <v>10.8</v>
          </cell>
          <cell r="F810">
            <v>2</v>
          </cell>
          <cell r="G810">
            <v>5</v>
          </cell>
          <cell r="H810">
            <v>10</v>
          </cell>
          <cell r="I810">
            <v>20</v>
          </cell>
          <cell r="J810">
            <v>30</v>
          </cell>
          <cell r="K810">
            <v>60</v>
          </cell>
        </row>
        <row r="811">
          <cell r="A811" t="str">
            <v>HFRHS120x80x4</v>
          </cell>
          <cell r="B811">
            <v>1</v>
          </cell>
          <cell r="C811">
            <v>1</v>
          </cell>
          <cell r="D811"/>
          <cell r="E811">
            <v>11.9</v>
          </cell>
          <cell r="F811">
            <v>2</v>
          </cell>
          <cell r="G811">
            <v>5</v>
          </cell>
          <cell r="H811">
            <v>10</v>
          </cell>
          <cell r="I811">
            <v>20</v>
          </cell>
          <cell r="J811">
            <v>30</v>
          </cell>
          <cell r="K811">
            <v>60</v>
          </cell>
        </row>
        <row r="812">
          <cell r="A812" t="str">
            <v>HFRHS120x80x5</v>
          </cell>
          <cell r="B812">
            <v>1</v>
          </cell>
          <cell r="C812">
            <v>1</v>
          </cell>
          <cell r="D812"/>
          <cell r="E812">
            <v>14.7</v>
          </cell>
          <cell r="F812">
            <v>2</v>
          </cell>
          <cell r="G812">
            <v>5</v>
          </cell>
          <cell r="H812">
            <v>10</v>
          </cell>
          <cell r="I812">
            <v>20</v>
          </cell>
          <cell r="J812">
            <v>30</v>
          </cell>
          <cell r="K812">
            <v>60</v>
          </cell>
        </row>
        <row r="813">
          <cell r="A813" t="str">
            <v>HFRHS120x80x6.3</v>
          </cell>
          <cell r="B813">
            <v>1</v>
          </cell>
          <cell r="C813">
            <v>2</v>
          </cell>
          <cell r="D813"/>
          <cell r="E813">
            <v>18.2</v>
          </cell>
          <cell r="F813">
            <v>2</v>
          </cell>
          <cell r="G813">
            <v>5</v>
          </cell>
          <cell r="H813">
            <v>10</v>
          </cell>
          <cell r="I813">
            <v>20</v>
          </cell>
          <cell r="J813">
            <v>30</v>
          </cell>
          <cell r="K813">
            <v>60</v>
          </cell>
        </row>
        <row r="814">
          <cell r="A814" t="str">
            <v>HFRHS120x80x7.1</v>
          </cell>
          <cell r="B814">
            <v>2</v>
          </cell>
          <cell r="C814">
            <v>3</v>
          </cell>
          <cell r="D814"/>
          <cell r="E814">
            <v>20.3</v>
          </cell>
          <cell r="F814">
            <v>5</v>
          </cell>
          <cell r="G814">
            <v>10</v>
          </cell>
          <cell r="H814">
            <v>20</v>
          </cell>
          <cell r="I814">
            <v>30</v>
          </cell>
          <cell r="J814">
            <v>60</v>
          </cell>
          <cell r="K814">
            <v>90</v>
          </cell>
        </row>
        <row r="815">
          <cell r="A815" t="str">
            <v>HFRHS120x80x8</v>
          </cell>
          <cell r="B815">
            <v>2</v>
          </cell>
          <cell r="C815">
            <v>3</v>
          </cell>
          <cell r="D815"/>
          <cell r="E815">
            <v>22.6</v>
          </cell>
          <cell r="F815">
            <v>5</v>
          </cell>
          <cell r="G815">
            <v>10</v>
          </cell>
          <cell r="H815">
            <v>20</v>
          </cell>
          <cell r="I815">
            <v>30</v>
          </cell>
          <cell r="J815">
            <v>60</v>
          </cell>
          <cell r="K815">
            <v>90</v>
          </cell>
        </row>
        <row r="816">
          <cell r="A816" t="str">
            <v>HFRHS120x80x8.8</v>
          </cell>
          <cell r="B816">
            <v>2</v>
          </cell>
          <cell r="C816">
            <v>3</v>
          </cell>
          <cell r="D816"/>
          <cell r="E816">
            <v>24.5</v>
          </cell>
          <cell r="F816">
            <v>5</v>
          </cell>
          <cell r="G816">
            <v>10</v>
          </cell>
          <cell r="H816">
            <v>20</v>
          </cell>
          <cell r="I816">
            <v>30</v>
          </cell>
          <cell r="J816">
            <v>60</v>
          </cell>
          <cell r="K816">
            <v>90</v>
          </cell>
        </row>
        <row r="817">
          <cell r="A817" t="str">
            <v>HFRHS120x80x10</v>
          </cell>
          <cell r="B817">
            <v>2</v>
          </cell>
          <cell r="C817">
            <v>6</v>
          </cell>
          <cell r="D817"/>
          <cell r="E817">
            <v>27.4</v>
          </cell>
          <cell r="F817">
            <v>5</v>
          </cell>
          <cell r="G817">
            <v>10</v>
          </cell>
          <cell r="H817">
            <v>20</v>
          </cell>
          <cell r="I817">
            <v>30</v>
          </cell>
          <cell r="J817">
            <v>60</v>
          </cell>
          <cell r="K817">
            <v>90</v>
          </cell>
        </row>
        <row r="818">
          <cell r="A818" t="str">
            <v>HFRHS150x100x4</v>
          </cell>
          <cell r="B818">
            <v>1</v>
          </cell>
          <cell r="C818">
            <v>1</v>
          </cell>
          <cell r="D818"/>
          <cell r="E818">
            <v>15.1</v>
          </cell>
          <cell r="F818">
            <v>2</v>
          </cell>
          <cell r="G818">
            <v>5</v>
          </cell>
          <cell r="H818">
            <v>10</v>
          </cell>
          <cell r="I818">
            <v>20</v>
          </cell>
          <cell r="J818">
            <v>30</v>
          </cell>
          <cell r="K818">
            <v>60</v>
          </cell>
        </row>
        <row r="819">
          <cell r="A819" t="str">
            <v>HFRHS150x100x5</v>
          </cell>
          <cell r="B819">
            <v>1</v>
          </cell>
          <cell r="C819">
            <v>1</v>
          </cell>
          <cell r="D819"/>
          <cell r="E819">
            <v>18.600000000000001</v>
          </cell>
          <cell r="F819">
            <v>2</v>
          </cell>
          <cell r="G819">
            <v>5</v>
          </cell>
          <cell r="H819">
            <v>10</v>
          </cell>
          <cell r="I819">
            <v>20</v>
          </cell>
          <cell r="J819">
            <v>30</v>
          </cell>
          <cell r="K819">
            <v>60</v>
          </cell>
        </row>
        <row r="820">
          <cell r="A820" t="str">
            <v>HFRHS150x100x6.3</v>
          </cell>
          <cell r="B820">
            <v>2</v>
          </cell>
          <cell r="C820">
            <v>2</v>
          </cell>
          <cell r="D820"/>
          <cell r="E820">
            <v>23.1</v>
          </cell>
          <cell r="F820">
            <v>5</v>
          </cell>
          <cell r="G820">
            <v>10</v>
          </cell>
          <cell r="H820">
            <v>20</v>
          </cell>
          <cell r="I820">
            <v>30</v>
          </cell>
          <cell r="J820">
            <v>60</v>
          </cell>
          <cell r="K820">
            <v>90</v>
          </cell>
        </row>
        <row r="821">
          <cell r="A821" t="str">
            <v>HFRHS150x100x7.1</v>
          </cell>
          <cell r="B821">
            <v>2</v>
          </cell>
          <cell r="C821">
            <v>3</v>
          </cell>
          <cell r="D821"/>
          <cell r="E821">
            <v>25.9</v>
          </cell>
          <cell r="F821">
            <v>5</v>
          </cell>
          <cell r="G821">
            <v>10</v>
          </cell>
          <cell r="H821">
            <v>20</v>
          </cell>
          <cell r="I821">
            <v>30</v>
          </cell>
          <cell r="J821">
            <v>60</v>
          </cell>
          <cell r="K821">
            <v>90</v>
          </cell>
        </row>
        <row r="822">
          <cell r="A822" t="str">
            <v>HFRHS150x100x8</v>
          </cell>
          <cell r="B822">
            <v>2</v>
          </cell>
          <cell r="C822">
            <v>3</v>
          </cell>
          <cell r="D822"/>
          <cell r="E822">
            <v>28.9</v>
          </cell>
          <cell r="F822">
            <v>5</v>
          </cell>
          <cell r="G822">
            <v>10</v>
          </cell>
          <cell r="H822">
            <v>20</v>
          </cell>
          <cell r="I822">
            <v>30</v>
          </cell>
          <cell r="J822">
            <v>60</v>
          </cell>
          <cell r="K822">
            <v>90</v>
          </cell>
        </row>
        <row r="823">
          <cell r="A823" t="str">
            <v>HFRHS150x100x8.8</v>
          </cell>
          <cell r="B823">
            <v>2</v>
          </cell>
          <cell r="C823">
            <v>3</v>
          </cell>
          <cell r="D823"/>
          <cell r="E823">
            <v>31.5</v>
          </cell>
          <cell r="F823">
            <v>5</v>
          </cell>
          <cell r="G823">
            <v>10</v>
          </cell>
          <cell r="H823">
            <v>20</v>
          </cell>
          <cell r="I823">
            <v>30</v>
          </cell>
          <cell r="J823">
            <v>60</v>
          </cell>
          <cell r="K823">
            <v>90</v>
          </cell>
        </row>
        <row r="824">
          <cell r="A824" t="str">
            <v>HFRHS150x100x10</v>
          </cell>
          <cell r="B824">
            <v>2</v>
          </cell>
          <cell r="C824">
            <v>6</v>
          </cell>
          <cell r="D824"/>
          <cell r="E824">
            <v>35.299999999999997</v>
          </cell>
          <cell r="F824">
            <v>5</v>
          </cell>
          <cell r="G824">
            <v>10</v>
          </cell>
          <cell r="H824">
            <v>20</v>
          </cell>
          <cell r="I824">
            <v>30</v>
          </cell>
          <cell r="J824">
            <v>60</v>
          </cell>
          <cell r="K824">
            <v>90</v>
          </cell>
        </row>
        <row r="825">
          <cell r="A825" t="str">
            <v>HFRHS150x100x12.5</v>
          </cell>
          <cell r="B825">
            <v>2</v>
          </cell>
          <cell r="C825">
            <v>6</v>
          </cell>
          <cell r="D825"/>
          <cell r="E825">
            <v>42.8</v>
          </cell>
          <cell r="F825">
            <v>5</v>
          </cell>
          <cell r="G825">
            <v>10</v>
          </cell>
          <cell r="H825">
            <v>20</v>
          </cell>
          <cell r="I825">
            <v>30</v>
          </cell>
          <cell r="J825">
            <v>60</v>
          </cell>
          <cell r="K825">
            <v>90</v>
          </cell>
        </row>
        <row r="826">
          <cell r="A826" t="str">
            <v>HFRHS160x80x4</v>
          </cell>
          <cell r="B826">
            <v>1</v>
          </cell>
          <cell r="C826">
            <v>1</v>
          </cell>
          <cell r="D826"/>
          <cell r="E826">
            <v>14.4</v>
          </cell>
          <cell r="F826">
            <v>2</v>
          </cell>
          <cell r="G826">
            <v>5</v>
          </cell>
          <cell r="H826">
            <v>10</v>
          </cell>
          <cell r="I826">
            <v>20</v>
          </cell>
          <cell r="J826">
            <v>30</v>
          </cell>
          <cell r="K826">
            <v>60</v>
          </cell>
        </row>
        <row r="827">
          <cell r="A827" t="str">
            <v>HFRHS160x80x5</v>
          </cell>
          <cell r="B827">
            <v>1</v>
          </cell>
          <cell r="C827">
            <v>2</v>
          </cell>
          <cell r="D827"/>
          <cell r="E827">
            <v>17.8</v>
          </cell>
          <cell r="F827">
            <v>2</v>
          </cell>
          <cell r="G827">
            <v>5</v>
          </cell>
          <cell r="H827">
            <v>10</v>
          </cell>
          <cell r="I827">
            <v>20</v>
          </cell>
          <cell r="J827">
            <v>30</v>
          </cell>
          <cell r="K827">
            <v>60</v>
          </cell>
        </row>
        <row r="828">
          <cell r="A828" t="str">
            <v>HFRHS160x80x6.3</v>
          </cell>
          <cell r="B828">
            <v>2</v>
          </cell>
          <cell r="C828">
            <v>2</v>
          </cell>
          <cell r="D828"/>
          <cell r="E828">
            <v>22.2</v>
          </cell>
          <cell r="F828">
            <v>5</v>
          </cell>
          <cell r="G828">
            <v>10</v>
          </cell>
          <cell r="H828">
            <v>20</v>
          </cell>
          <cell r="I828">
            <v>30</v>
          </cell>
          <cell r="J828">
            <v>60</v>
          </cell>
          <cell r="K828">
            <v>90</v>
          </cell>
        </row>
        <row r="829">
          <cell r="A829" t="str">
            <v>HFRHS160x80x7.1</v>
          </cell>
          <cell r="B829">
            <v>2</v>
          </cell>
          <cell r="C829">
            <v>3</v>
          </cell>
          <cell r="D829"/>
          <cell r="E829">
            <v>24.7</v>
          </cell>
          <cell r="F829">
            <v>5</v>
          </cell>
          <cell r="G829">
            <v>10</v>
          </cell>
          <cell r="H829">
            <v>20</v>
          </cell>
          <cell r="I829">
            <v>30</v>
          </cell>
          <cell r="J829">
            <v>60</v>
          </cell>
          <cell r="K829">
            <v>90</v>
          </cell>
        </row>
        <row r="830">
          <cell r="A830" t="str">
            <v>HFRHS160x80x8</v>
          </cell>
          <cell r="B830">
            <v>2</v>
          </cell>
          <cell r="C830">
            <v>3</v>
          </cell>
          <cell r="D830"/>
          <cell r="E830">
            <v>27.6</v>
          </cell>
          <cell r="F830">
            <v>5</v>
          </cell>
          <cell r="G830">
            <v>10</v>
          </cell>
          <cell r="H830">
            <v>20</v>
          </cell>
          <cell r="I830">
            <v>30</v>
          </cell>
          <cell r="J830">
            <v>60</v>
          </cell>
          <cell r="K830">
            <v>90</v>
          </cell>
        </row>
        <row r="831">
          <cell r="A831" t="str">
            <v>HFRHS160x80x8.8</v>
          </cell>
          <cell r="B831">
            <v>2</v>
          </cell>
          <cell r="C831">
            <v>3</v>
          </cell>
          <cell r="D831"/>
          <cell r="E831">
            <v>30.1</v>
          </cell>
          <cell r="F831">
            <v>5</v>
          </cell>
          <cell r="G831">
            <v>10</v>
          </cell>
          <cell r="H831">
            <v>20</v>
          </cell>
          <cell r="I831">
            <v>30</v>
          </cell>
          <cell r="J831">
            <v>60</v>
          </cell>
          <cell r="K831">
            <v>90</v>
          </cell>
        </row>
        <row r="832">
          <cell r="A832" t="str">
            <v>HFRHS160x80x10</v>
          </cell>
          <cell r="B832">
            <v>2</v>
          </cell>
          <cell r="C832">
            <v>6</v>
          </cell>
          <cell r="D832"/>
          <cell r="E832">
            <v>33.700000000000003</v>
          </cell>
          <cell r="F832">
            <v>5</v>
          </cell>
          <cell r="G832">
            <v>10</v>
          </cell>
          <cell r="H832">
            <v>20</v>
          </cell>
          <cell r="I832">
            <v>30</v>
          </cell>
          <cell r="J832">
            <v>60</v>
          </cell>
          <cell r="K832">
            <v>90</v>
          </cell>
        </row>
        <row r="833">
          <cell r="A833" t="str">
            <v>HFRHS160x80x12.5</v>
          </cell>
          <cell r="B833">
            <v>2</v>
          </cell>
          <cell r="C833">
            <v>6</v>
          </cell>
          <cell r="D833"/>
          <cell r="E833">
            <v>40.9</v>
          </cell>
          <cell r="F833">
            <v>5</v>
          </cell>
          <cell r="G833">
            <v>10</v>
          </cell>
          <cell r="H833">
            <v>20</v>
          </cell>
          <cell r="I833">
            <v>30</v>
          </cell>
          <cell r="J833">
            <v>60</v>
          </cell>
          <cell r="K833">
            <v>90</v>
          </cell>
        </row>
        <row r="834">
          <cell r="A834" t="str">
            <v>HFRHS180x60x4</v>
          </cell>
          <cell r="B834">
            <v>1</v>
          </cell>
          <cell r="C834">
            <v>1</v>
          </cell>
          <cell r="D834"/>
          <cell r="E834">
            <v>14.4</v>
          </cell>
          <cell r="F834">
            <v>2</v>
          </cell>
          <cell r="G834">
            <v>5</v>
          </cell>
          <cell r="H834">
            <v>10</v>
          </cell>
          <cell r="I834">
            <v>20</v>
          </cell>
          <cell r="J834">
            <v>30</v>
          </cell>
          <cell r="K834">
            <v>60</v>
          </cell>
        </row>
        <row r="835">
          <cell r="A835" t="str">
            <v>HFRHS180x60x5</v>
          </cell>
          <cell r="B835">
            <v>1</v>
          </cell>
          <cell r="C835">
            <v>2</v>
          </cell>
          <cell r="D835"/>
          <cell r="E835">
            <v>17.8</v>
          </cell>
          <cell r="F835">
            <v>2</v>
          </cell>
          <cell r="G835">
            <v>5</v>
          </cell>
          <cell r="H835">
            <v>10</v>
          </cell>
          <cell r="I835">
            <v>20</v>
          </cell>
          <cell r="J835">
            <v>30</v>
          </cell>
          <cell r="K835">
            <v>60</v>
          </cell>
        </row>
        <row r="836">
          <cell r="A836" t="str">
            <v>HFRHS180x60x6.3</v>
          </cell>
          <cell r="B836">
            <v>2</v>
          </cell>
          <cell r="C836">
            <v>2</v>
          </cell>
          <cell r="D836"/>
          <cell r="E836">
            <v>22.2</v>
          </cell>
          <cell r="F836">
            <v>5</v>
          </cell>
          <cell r="G836">
            <v>10</v>
          </cell>
          <cell r="H836">
            <v>20</v>
          </cell>
          <cell r="I836">
            <v>30</v>
          </cell>
          <cell r="J836">
            <v>60</v>
          </cell>
          <cell r="K836">
            <v>90</v>
          </cell>
        </row>
        <row r="837">
          <cell r="A837" t="str">
            <v>HFRHS180x60x7.1</v>
          </cell>
          <cell r="B837">
            <v>2</v>
          </cell>
          <cell r="C837">
            <v>3</v>
          </cell>
          <cell r="D837"/>
          <cell r="E837">
            <v>24.7</v>
          </cell>
          <cell r="F837">
            <v>5</v>
          </cell>
          <cell r="G837">
            <v>10</v>
          </cell>
          <cell r="H837">
            <v>20</v>
          </cell>
          <cell r="I837">
            <v>30</v>
          </cell>
          <cell r="J837">
            <v>60</v>
          </cell>
          <cell r="K837">
            <v>90</v>
          </cell>
        </row>
        <row r="838">
          <cell r="A838" t="str">
            <v>HFRHS180x60x8</v>
          </cell>
          <cell r="B838">
            <v>2</v>
          </cell>
          <cell r="C838">
            <v>3</v>
          </cell>
          <cell r="D838"/>
          <cell r="E838">
            <v>27.6</v>
          </cell>
          <cell r="F838">
            <v>5</v>
          </cell>
          <cell r="G838">
            <v>10</v>
          </cell>
          <cell r="H838">
            <v>20</v>
          </cell>
          <cell r="I838">
            <v>30</v>
          </cell>
          <cell r="J838">
            <v>60</v>
          </cell>
          <cell r="K838">
            <v>90</v>
          </cell>
        </row>
        <row r="839">
          <cell r="A839" t="str">
            <v>HFRHS180x60x8.8</v>
          </cell>
          <cell r="B839">
            <v>2</v>
          </cell>
          <cell r="C839">
            <v>3</v>
          </cell>
          <cell r="D839"/>
          <cell r="E839">
            <v>30.1</v>
          </cell>
          <cell r="F839">
            <v>5</v>
          </cell>
          <cell r="G839">
            <v>10</v>
          </cell>
          <cell r="H839">
            <v>20</v>
          </cell>
          <cell r="I839">
            <v>30</v>
          </cell>
          <cell r="J839">
            <v>60</v>
          </cell>
          <cell r="K839">
            <v>90</v>
          </cell>
        </row>
        <row r="840">
          <cell r="A840" t="str">
            <v>HFRHS180x60x10</v>
          </cell>
          <cell r="B840">
            <v>2</v>
          </cell>
          <cell r="C840">
            <v>6</v>
          </cell>
          <cell r="D840"/>
          <cell r="E840">
            <v>33.700000000000003</v>
          </cell>
          <cell r="F840">
            <v>5</v>
          </cell>
          <cell r="G840">
            <v>10</v>
          </cell>
          <cell r="H840">
            <v>20</v>
          </cell>
          <cell r="I840">
            <v>30</v>
          </cell>
          <cell r="J840">
            <v>60</v>
          </cell>
          <cell r="K840">
            <v>90</v>
          </cell>
        </row>
        <row r="841">
          <cell r="A841" t="str">
            <v>HFRHS180x60x12.5</v>
          </cell>
          <cell r="B841">
            <v>2</v>
          </cell>
          <cell r="C841">
            <v>6</v>
          </cell>
          <cell r="D841"/>
          <cell r="E841">
            <v>40.9</v>
          </cell>
          <cell r="F841">
            <v>5</v>
          </cell>
          <cell r="G841">
            <v>10</v>
          </cell>
          <cell r="H841">
            <v>20</v>
          </cell>
          <cell r="I841">
            <v>30</v>
          </cell>
          <cell r="J841">
            <v>60</v>
          </cell>
          <cell r="K841">
            <v>90</v>
          </cell>
        </row>
        <row r="842">
          <cell r="A842" t="str">
            <v>HFRHS180x100x4</v>
          </cell>
          <cell r="B842">
            <v>1</v>
          </cell>
          <cell r="C842">
            <v>1</v>
          </cell>
          <cell r="D842"/>
          <cell r="E842">
            <v>16.899999999999999</v>
          </cell>
          <cell r="F842">
            <v>2</v>
          </cell>
          <cell r="G842">
            <v>5</v>
          </cell>
          <cell r="H842">
            <v>10</v>
          </cell>
          <cell r="I842">
            <v>20</v>
          </cell>
          <cell r="J842">
            <v>30</v>
          </cell>
          <cell r="K842">
            <v>60</v>
          </cell>
        </row>
        <row r="843">
          <cell r="A843" t="str">
            <v>HFRHS180x100x5</v>
          </cell>
          <cell r="B843">
            <v>2</v>
          </cell>
          <cell r="C843">
            <v>2</v>
          </cell>
          <cell r="D843"/>
          <cell r="E843">
            <v>21</v>
          </cell>
          <cell r="F843">
            <v>5</v>
          </cell>
          <cell r="G843">
            <v>10</v>
          </cell>
          <cell r="H843">
            <v>20</v>
          </cell>
          <cell r="I843">
            <v>30</v>
          </cell>
          <cell r="J843">
            <v>60</v>
          </cell>
          <cell r="K843">
            <v>90</v>
          </cell>
        </row>
        <row r="844">
          <cell r="A844" t="str">
            <v>HFRHS180x100x6.3</v>
          </cell>
          <cell r="B844">
            <v>2</v>
          </cell>
          <cell r="C844">
            <v>2</v>
          </cell>
          <cell r="D844"/>
          <cell r="E844">
            <v>26.1</v>
          </cell>
          <cell r="F844">
            <v>5</v>
          </cell>
          <cell r="G844">
            <v>10</v>
          </cell>
          <cell r="H844">
            <v>20</v>
          </cell>
          <cell r="I844">
            <v>30</v>
          </cell>
          <cell r="J844">
            <v>60</v>
          </cell>
          <cell r="K844">
            <v>90</v>
          </cell>
        </row>
        <row r="845">
          <cell r="A845" t="str">
            <v>HFRHS180x100x7.1</v>
          </cell>
          <cell r="B845">
            <v>2</v>
          </cell>
          <cell r="C845">
            <v>3</v>
          </cell>
          <cell r="D845"/>
          <cell r="E845">
            <v>29.2</v>
          </cell>
          <cell r="F845">
            <v>5</v>
          </cell>
          <cell r="G845">
            <v>10</v>
          </cell>
          <cell r="H845">
            <v>20</v>
          </cell>
          <cell r="I845">
            <v>30</v>
          </cell>
          <cell r="J845">
            <v>60</v>
          </cell>
          <cell r="K845">
            <v>90</v>
          </cell>
        </row>
        <row r="846">
          <cell r="A846" t="str">
            <v>HFRHS180x100x8</v>
          </cell>
          <cell r="B846">
            <v>2</v>
          </cell>
          <cell r="C846">
            <v>3</v>
          </cell>
          <cell r="D846"/>
          <cell r="E846">
            <v>32.6</v>
          </cell>
          <cell r="F846">
            <v>5</v>
          </cell>
          <cell r="G846">
            <v>10</v>
          </cell>
          <cell r="H846">
            <v>20</v>
          </cell>
          <cell r="I846">
            <v>30</v>
          </cell>
          <cell r="J846">
            <v>60</v>
          </cell>
          <cell r="K846">
            <v>90</v>
          </cell>
        </row>
        <row r="847">
          <cell r="A847" t="str">
            <v>HFRHS180x100x8.8</v>
          </cell>
          <cell r="B847">
            <v>2</v>
          </cell>
          <cell r="C847">
            <v>3</v>
          </cell>
          <cell r="D847"/>
          <cell r="E847">
            <v>35.6</v>
          </cell>
          <cell r="F847">
            <v>5</v>
          </cell>
          <cell r="G847">
            <v>10</v>
          </cell>
          <cell r="H847">
            <v>20</v>
          </cell>
          <cell r="I847">
            <v>30</v>
          </cell>
          <cell r="J847">
            <v>60</v>
          </cell>
          <cell r="K847">
            <v>90</v>
          </cell>
        </row>
        <row r="848">
          <cell r="A848" t="str">
            <v>HFRHS180x100x10</v>
          </cell>
          <cell r="B848">
            <v>2</v>
          </cell>
          <cell r="C848">
            <v>6</v>
          </cell>
          <cell r="D848"/>
          <cell r="E848">
            <v>40</v>
          </cell>
          <cell r="F848">
            <v>5</v>
          </cell>
          <cell r="G848">
            <v>10</v>
          </cell>
          <cell r="H848">
            <v>20</v>
          </cell>
          <cell r="I848">
            <v>30</v>
          </cell>
          <cell r="J848">
            <v>60</v>
          </cell>
          <cell r="K848">
            <v>90</v>
          </cell>
        </row>
        <row r="849">
          <cell r="A849" t="str">
            <v>HFRHS180x100x12.5</v>
          </cell>
          <cell r="B849">
            <v>2</v>
          </cell>
          <cell r="C849">
            <v>6</v>
          </cell>
          <cell r="D849"/>
          <cell r="E849">
            <v>48.7</v>
          </cell>
          <cell r="F849">
            <v>5</v>
          </cell>
          <cell r="G849">
            <v>10</v>
          </cell>
          <cell r="H849">
            <v>20</v>
          </cell>
          <cell r="I849">
            <v>30</v>
          </cell>
          <cell r="J849">
            <v>60</v>
          </cell>
          <cell r="K849">
            <v>90</v>
          </cell>
        </row>
        <row r="850">
          <cell r="A850" t="str">
            <v>HFRHS200x100x4</v>
          </cell>
          <cell r="B850">
            <v>1</v>
          </cell>
          <cell r="C850">
            <v>1</v>
          </cell>
          <cell r="D850"/>
          <cell r="E850">
            <v>18.2</v>
          </cell>
          <cell r="F850">
            <v>2</v>
          </cell>
          <cell r="G850">
            <v>5</v>
          </cell>
          <cell r="H850">
            <v>10</v>
          </cell>
          <cell r="I850">
            <v>20</v>
          </cell>
          <cell r="J850">
            <v>30</v>
          </cell>
          <cell r="K850">
            <v>60</v>
          </cell>
        </row>
        <row r="851">
          <cell r="A851" t="str">
            <v>HFRHS200x100x5</v>
          </cell>
          <cell r="B851">
            <v>2</v>
          </cell>
          <cell r="C851">
            <v>2</v>
          </cell>
          <cell r="D851"/>
          <cell r="E851">
            <v>22.6</v>
          </cell>
          <cell r="F851">
            <v>5</v>
          </cell>
          <cell r="G851">
            <v>10</v>
          </cell>
          <cell r="H851">
            <v>20</v>
          </cell>
          <cell r="I851">
            <v>30</v>
          </cell>
          <cell r="J851">
            <v>60</v>
          </cell>
          <cell r="K851">
            <v>90</v>
          </cell>
        </row>
        <row r="852">
          <cell r="A852" t="str">
            <v>HFRHS200x100x6.3</v>
          </cell>
          <cell r="B852">
            <v>2</v>
          </cell>
          <cell r="C852">
            <v>2</v>
          </cell>
          <cell r="D852"/>
          <cell r="E852">
            <v>28.1</v>
          </cell>
          <cell r="F852">
            <v>5</v>
          </cell>
          <cell r="G852">
            <v>10</v>
          </cell>
          <cell r="H852">
            <v>20</v>
          </cell>
          <cell r="I852">
            <v>30</v>
          </cell>
          <cell r="J852">
            <v>60</v>
          </cell>
          <cell r="K852">
            <v>90</v>
          </cell>
        </row>
        <row r="853">
          <cell r="A853" t="str">
            <v>HFRHS200x100x7.1</v>
          </cell>
          <cell r="B853">
            <v>2</v>
          </cell>
          <cell r="C853">
            <v>3</v>
          </cell>
          <cell r="D853"/>
          <cell r="E853">
            <v>31.4</v>
          </cell>
          <cell r="F853">
            <v>5</v>
          </cell>
          <cell r="G853">
            <v>10</v>
          </cell>
          <cell r="H853">
            <v>20</v>
          </cell>
          <cell r="I853">
            <v>30</v>
          </cell>
          <cell r="J853">
            <v>60</v>
          </cell>
          <cell r="K853">
            <v>90</v>
          </cell>
        </row>
        <row r="854">
          <cell r="A854" t="str">
            <v>HFRHS200x100x8</v>
          </cell>
          <cell r="B854">
            <v>2</v>
          </cell>
          <cell r="C854">
            <v>3</v>
          </cell>
          <cell r="D854"/>
          <cell r="E854">
            <v>35.1</v>
          </cell>
          <cell r="F854">
            <v>5</v>
          </cell>
          <cell r="G854">
            <v>10</v>
          </cell>
          <cell r="H854">
            <v>20</v>
          </cell>
          <cell r="I854">
            <v>30</v>
          </cell>
          <cell r="J854">
            <v>60</v>
          </cell>
          <cell r="K854">
            <v>90</v>
          </cell>
        </row>
        <row r="855">
          <cell r="A855" t="str">
            <v>HFRHS200x100x8.8</v>
          </cell>
          <cell r="B855">
            <v>2</v>
          </cell>
          <cell r="C855">
            <v>3</v>
          </cell>
          <cell r="D855"/>
          <cell r="E855">
            <v>38.4</v>
          </cell>
          <cell r="F855">
            <v>5</v>
          </cell>
          <cell r="G855">
            <v>10</v>
          </cell>
          <cell r="H855">
            <v>20</v>
          </cell>
          <cell r="I855">
            <v>30</v>
          </cell>
          <cell r="J855">
            <v>60</v>
          </cell>
          <cell r="K855">
            <v>90</v>
          </cell>
        </row>
        <row r="856">
          <cell r="A856" t="str">
            <v>HFRHS200x100x10</v>
          </cell>
          <cell r="B856">
            <v>2</v>
          </cell>
          <cell r="C856">
            <v>6</v>
          </cell>
          <cell r="D856"/>
          <cell r="E856">
            <v>43.1</v>
          </cell>
          <cell r="F856">
            <v>5</v>
          </cell>
          <cell r="G856">
            <v>10</v>
          </cell>
          <cell r="H856">
            <v>20</v>
          </cell>
          <cell r="I856">
            <v>30</v>
          </cell>
          <cell r="J856">
            <v>60</v>
          </cell>
          <cell r="K856">
            <v>90</v>
          </cell>
        </row>
        <row r="857">
          <cell r="A857" t="str">
            <v>HFRHS200x100x12.5</v>
          </cell>
          <cell r="B857">
            <v>2</v>
          </cell>
          <cell r="C857">
            <v>6</v>
          </cell>
          <cell r="D857"/>
          <cell r="E857">
            <v>52.7</v>
          </cell>
          <cell r="F857">
            <v>5</v>
          </cell>
          <cell r="G857">
            <v>10</v>
          </cell>
          <cell r="H857">
            <v>20</v>
          </cell>
          <cell r="I857">
            <v>30</v>
          </cell>
          <cell r="J857">
            <v>60</v>
          </cell>
          <cell r="K857">
            <v>90</v>
          </cell>
        </row>
        <row r="858">
          <cell r="A858" t="str">
            <v>HFRHS200x100x14.2</v>
          </cell>
          <cell r="B858">
            <v>2</v>
          </cell>
          <cell r="C858">
            <v>10</v>
          </cell>
          <cell r="D858"/>
          <cell r="E858">
            <v>58.9</v>
          </cell>
          <cell r="F858">
            <v>5</v>
          </cell>
          <cell r="G858">
            <v>10</v>
          </cell>
          <cell r="H858">
            <v>20</v>
          </cell>
          <cell r="I858">
            <v>30</v>
          </cell>
          <cell r="J858">
            <v>60</v>
          </cell>
          <cell r="K858">
            <v>90</v>
          </cell>
        </row>
        <row r="859">
          <cell r="A859" t="str">
            <v>HFRHS200x120x5</v>
          </cell>
          <cell r="B859">
            <v>2</v>
          </cell>
          <cell r="C859">
            <v>2</v>
          </cell>
          <cell r="D859"/>
          <cell r="E859">
            <v>24.1</v>
          </cell>
          <cell r="F859">
            <v>5</v>
          </cell>
          <cell r="G859">
            <v>10</v>
          </cell>
          <cell r="H859">
            <v>20</v>
          </cell>
          <cell r="I859">
            <v>30</v>
          </cell>
          <cell r="J859">
            <v>60</v>
          </cell>
          <cell r="K859">
            <v>90</v>
          </cell>
        </row>
        <row r="860">
          <cell r="A860" t="str">
            <v>HFRHS200x120x6.3</v>
          </cell>
          <cell r="B860">
            <v>2</v>
          </cell>
          <cell r="C860">
            <v>2</v>
          </cell>
          <cell r="D860"/>
          <cell r="E860">
            <v>30.1</v>
          </cell>
          <cell r="F860">
            <v>5</v>
          </cell>
          <cell r="G860">
            <v>10</v>
          </cell>
          <cell r="H860">
            <v>20</v>
          </cell>
          <cell r="I860">
            <v>30</v>
          </cell>
          <cell r="J860">
            <v>60</v>
          </cell>
          <cell r="K860">
            <v>90</v>
          </cell>
        </row>
        <row r="861">
          <cell r="A861" t="str">
            <v>HFRHS200x120x7.1</v>
          </cell>
          <cell r="B861">
            <v>2</v>
          </cell>
          <cell r="C861">
            <v>3</v>
          </cell>
          <cell r="D861"/>
          <cell r="E861">
            <v>33.700000000000003</v>
          </cell>
          <cell r="F861">
            <v>5</v>
          </cell>
          <cell r="G861">
            <v>10</v>
          </cell>
          <cell r="H861">
            <v>20</v>
          </cell>
          <cell r="I861">
            <v>30</v>
          </cell>
          <cell r="J861">
            <v>60</v>
          </cell>
          <cell r="K861">
            <v>90</v>
          </cell>
        </row>
        <row r="862">
          <cell r="A862" t="str">
            <v>HFRHS200x120x8</v>
          </cell>
          <cell r="B862">
            <v>2</v>
          </cell>
          <cell r="C862">
            <v>3</v>
          </cell>
          <cell r="D862"/>
          <cell r="E862">
            <v>37.6</v>
          </cell>
          <cell r="F862">
            <v>5</v>
          </cell>
          <cell r="G862">
            <v>10</v>
          </cell>
          <cell r="H862">
            <v>20</v>
          </cell>
          <cell r="I862">
            <v>30</v>
          </cell>
          <cell r="J862">
            <v>60</v>
          </cell>
          <cell r="K862">
            <v>90</v>
          </cell>
        </row>
        <row r="863">
          <cell r="A863" t="str">
            <v>HFRHS200x120x8.8</v>
          </cell>
          <cell r="B863">
            <v>2</v>
          </cell>
          <cell r="C863">
            <v>3</v>
          </cell>
          <cell r="D863"/>
          <cell r="E863">
            <v>41.1</v>
          </cell>
          <cell r="F863">
            <v>5</v>
          </cell>
          <cell r="G863">
            <v>10</v>
          </cell>
          <cell r="H863">
            <v>20</v>
          </cell>
          <cell r="I863">
            <v>30</v>
          </cell>
          <cell r="J863">
            <v>60</v>
          </cell>
          <cell r="K863">
            <v>90</v>
          </cell>
        </row>
        <row r="864">
          <cell r="A864" t="str">
            <v>HFRHS200x120x10</v>
          </cell>
          <cell r="B864">
            <v>2</v>
          </cell>
          <cell r="C864">
            <v>6</v>
          </cell>
          <cell r="D864"/>
          <cell r="E864">
            <v>46.3</v>
          </cell>
          <cell r="F864">
            <v>5</v>
          </cell>
          <cell r="G864">
            <v>10</v>
          </cell>
          <cell r="H864">
            <v>20</v>
          </cell>
          <cell r="I864">
            <v>30</v>
          </cell>
          <cell r="J864">
            <v>60</v>
          </cell>
          <cell r="K864">
            <v>90</v>
          </cell>
        </row>
        <row r="865">
          <cell r="A865" t="str">
            <v>HFRHS200x120x12.5</v>
          </cell>
          <cell r="B865">
            <v>2</v>
          </cell>
          <cell r="C865">
            <v>6</v>
          </cell>
          <cell r="D865"/>
          <cell r="E865">
            <v>56.6</v>
          </cell>
          <cell r="F865">
            <v>5</v>
          </cell>
          <cell r="G865">
            <v>10</v>
          </cell>
          <cell r="H865">
            <v>20</v>
          </cell>
          <cell r="I865">
            <v>30</v>
          </cell>
          <cell r="J865">
            <v>60</v>
          </cell>
          <cell r="K865">
            <v>90</v>
          </cell>
        </row>
        <row r="866">
          <cell r="A866" t="str">
            <v>HFRHS200x120x14.2</v>
          </cell>
          <cell r="B866">
            <v>2</v>
          </cell>
          <cell r="C866">
            <v>10</v>
          </cell>
          <cell r="D866"/>
          <cell r="E866">
            <v>63.3</v>
          </cell>
          <cell r="F866">
            <v>5</v>
          </cell>
          <cell r="G866">
            <v>10</v>
          </cell>
          <cell r="H866">
            <v>20</v>
          </cell>
          <cell r="I866">
            <v>30</v>
          </cell>
          <cell r="J866">
            <v>60</v>
          </cell>
          <cell r="K866">
            <v>90</v>
          </cell>
        </row>
        <row r="867">
          <cell r="A867" t="str">
            <v>HFRHS200x120x16</v>
          </cell>
          <cell r="B867">
            <v>2</v>
          </cell>
          <cell r="C867">
            <v>10</v>
          </cell>
          <cell r="D867"/>
          <cell r="E867">
            <v>70.2</v>
          </cell>
          <cell r="F867">
            <v>5</v>
          </cell>
          <cell r="G867">
            <v>10</v>
          </cell>
          <cell r="H867">
            <v>20</v>
          </cell>
          <cell r="I867">
            <v>30</v>
          </cell>
          <cell r="J867">
            <v>60</v>
          </cell>
          <cell r="K867">
            <v>90</v>
          </cell>
        </row>
        <row r="868">
          <cell r="A868" t="str">
            <v>HFRHS200x150x5</v>
          </cell>
          <cell r="B868">
            <v>3</v>
          </cell>
          <cell r="C868">
            <v>2</v>
          </cell>
          <cell r="D868"/>
          <cell r="E868">
            <v>26.5</v>
          </cell>
          <cell r="F868">
            <v>10</v>
          </cell>
          <cell r="G868">
            <v>20</v>
          </cell>
          <cell r="H868">
            <v>30</v>
          </cell>
          <cell r="I868">
            <v>40</v>
          </cell>
          <cell r="J868">
            <v>90</v>
          </cell>
          <cell r="K868">
            <v>120</v>
          </cell>
        </row>
        <row r="869">
          <cell r="A869" t="str">
            <v>HFRHS200x150x6.3</v>
          </cell>
          <cell r="B869">
            <v>3</v>
          </cell>
          <cell r="C869">
            <v>2</v>
          </cell>
          <cell r="D869"/>
          <cell r="E869">
            <v>33</v>
          </cell>
          <cell r="F869">
            <v>10</v>
          </cell>
          <cell r="G869">
            <v>20</v>
          </cell>
          <cell r="H869">
            <v>30</v>
          </cell>
          <cell r="I869">
            <v>40</v>
          </cell>
          <cell r="J869">
            <v>90</v>
          </cell>
          <cell r="K869">
            <v>120</v>
          </cell>
        </row>
        <row r="870">
          <cell r="A870" t="str">
            <v>HFRHS200x150x7.1</v>
          </cell>
          <cell r="B870">
            <v>3</v>
          </cell>
          <cell r="C870">
            <v>3</v>
          </cell>
          <cell r="D870"/>
          <cell r="E870">
            <v>37</v>
          </cell>
          <cell r="F870">
            <v>10</v>
          </cell>
          <cell r="G870">
            <v>20</v>
          </cell>
          <cell r="H870">
            <v>30</v>
          </cell>
          <cell r="I870">
            <v>40</v>
          </cell>
          <cell r="J870">
            <v>90</v>
          </cell>
          <cell r="K870">
            <v>120</v>
          </cell>
        </row>
        <row r="871">
          <cell r="A871" t="str">
            <v>HFRHS200x150x8</v>
          </cell>
          <cell r="B871">
            <v>3</v>
          </cell>
          <cell r="C871">
            <v>3</v>
          </cell>
          <cell r="D871"/>
          <cell r="E871">
            <v>41.4</v>
          </cell>
          <cell r="F871">
            <v>10</v>
          </cell>
          <cell r="G871">
            <v>20</v>
          </cell>
          <cell r="H871">
            <v>30</v>
          </cell>
          <cell r="I871">
            <v>40</v>
          </cell>
          <cell r="J871">
            <v>90</v>
          </cell>
          <cell r="K871">
            <v>120</v>
          </cell>
        </row>
        <row r="872">
          <cell r="A872" t="str">
            <v>HFRHS200x150x8.8</v>
          </cell>
          <cell r="B872">
            <v>3</v>
          </cell>
          <cell r="C872">
            <v>3</v>
          </cell>
          <cell r="D872"/>
          <cell r="E872">
            <v>45.3</v>
          </cell>
          <cell r="F872">
            <v>10</v>
          </cell>
          <cell r="G872">
            <v>20</v>
          </cell>
          <cell r="H872">
            <v>30</v>
          </cell>
          <cell r="I872">
            <v>40</v>
          </cell>
          <cell r="J872">
            <v>90</v>
          </cell>
          <cell r="K872">
            <v>120</v>
          </cell>
        </row>
        <row r="873">
          <cell r="A873" t="str">
            <v>HFRHS200x150x10</v>
          </cell>
          <cell r="B873">
            <v>3</v>
          </cell>
          <cell r="C873">
            <v>6</v>
          </cell>
          <cell r="D873"/>
          <cell r="E873">
            <v>51</v>
          </cell>
          <cell r="F873">
            <v>10</v>
          </cell>
          <cell r="G873">
            <v>20</v>
          </cell>
          <cell r="H873">
            <v>30</v>
          </cell>
          <cell r="I873">
            <v>40</v>
          </cell>
          <cell r="J873">
            <v>90</v>
          </cell>
          <cell r="K873">
            <v>120</v>
          </cell>
        </row>
        <row r="874">
          <cell r="A874" t="str">
            <v>HFRHS200x150x12.5</v>
          </cell>
          <cell r="B874">
            <v>3</v>
          </cell>
          <cell r="C874">
            <v>6</v>
          </cell>
          <cell r="D874"/>
          <cell r="E874">
            <v>62.5</v>
          </cell>
          <cell r="F874">
            <v>10</v>
          </cell>
          <cell r="G874">
            <v>20</v>
          </cell>
          <cell r="H874">
            <v>30</v>
          </cell>
          <cell r="I874">
            <v>40</v>
          </cell>
          <cell r="J874">
            <v>90</v>
          </cell>
          <cell r="K874">
            <v>120</v>
          </cell>
        </row>
        <row r="875">
          <cell r="A875" t="str">
            <v>HFRHS200x150x14.2</v>
          </cell>
          <cell r="B875">
            <v>3</v>
          </cell>
          <cell r="C875">
            <v>10</v>
          </cell>
          <cell r="D875"/>
          <cell r="E875">
            <v>70</v>
          </cell>
          <cell r="F875">
            <v>10</v>
          </cell>
          <cell r="G875">
            <v>20</v>
          </cell>
          <cell r="H875">
            <v>30</v>
          </cell>
          <cell r="I875">
            <v>40</v>
          </cell>
          <cell r="J875">
            <v>90</v>
          </cell>
          <cell r="K875">
            <v>120</v>
          </cell>
        </row>
        <row r="876">
          <cell r="A876" t="str">
            <v>HFRHS200x150x16</v>
          </cell>
          <cell r="B876">
            <v>3</v>
          </cell>
          <cell r="C876">
            <v>10</v>
          </cell>
          <cell r="D876"/>
          <cell r="E876">
            <v>77.7</v>
          </cell>
          <cell r="F876">
            <v>10</v>
          </cell>
          <cell r="G876">
            <v>20</v>
          </cell>
          <cell r="H876">
            <v>30</v>
          </cell>
          <cell r="I876">
            <v>40</v>
          </cell>
          <cell r="J876">
            <v>90</v>
          </cell>
          <cell r="K876">
            <v>120</v>
          </cell>
        </row>
        <row r="877">
          <cell r="A877" t="str">
            <v>HFRHS220x120x5</v>
          </cell>
          <cell r="B877">
            <v>3</v>
          </cell>
          <cell r="C877">
            <v>2</v>
          </cell>
          <cell r="D877"/>
          <cell r="E877">
            <v>25.7</v>
          </cell>
          <cell r="F877">
            <v>10</v>
          </cell>
          <cell r="G877">
            <v>20</v>
          </cell>
          <cell r="H877">
            <v>30</v>
          </cell>
          <cell r="I877">
            <v>40</v>
          </cell>
          <cell r="J877">
            <v>90</v>
          </cell>
          <cell r="K877">
            <v>120</v>
          </cell>
        </row>
        <row r="878">
          <cell r="A878" t="str">
            <v>HFRHS220x120x6.3</v>
          </cell>
          <cell r="B878">
            <v>3</v>
          </cell>
          <cell r="C878">
            <v>2</v>
          </cell>
          <cell r="D878"/>
          <cell r="E878">
            <v>32</v>
          </cell>
          <cell r="F878">
            <v>10</v>
          </cell>
          <cell r="G878">
            <v>20</v>
          </cell>
          <cell r="H878">
            <v>30</v>
          </cell>
          <cell r="I878">
            <v>40</v>
          </cell>
          <cell r="J878">
            <v>90</v>
          </cell>
          <cell r="K878">
            <v>120</v>
          </cell>
        </row>
        <row r="879">
          <cell r="A879" t="str">
            <v>HFRHS220x120x7.1</v>
          </cell>
          <cell r="B879">
            <v>3</v>
          </cell>
          <cell r="C879">
            <v>3</v>
          </cell>
          <cell r="D879"/>
          <cell r="E879">
            <v>35.9</v>
          </cell>
          <cell r="F879">
            <v>10</v>
          </cell>
          <cell r="G879">
            <v>20</v>
          </cell>
          <cell r="H879">
            <v>30</v>
          </cell>
          <cell r="I879">
            <v>40</v>
          </cell>
          <cell r="J879">
            <v>90</v>
          </cell>
          <cell r="K879">
            <v>120</v>
          </cell>
        </row>
        <row r="880">
          <cell r="A880" t="str">
            <v>HFRHS220x120x8</v>
          </cell>
          <cell r="B880">
            <v>3</v>
          </cell>
          <cell r="C880">
            <v>3</v>
          </cell>
          <cell r="D880"/>
          <cell r="E880">
            <v>40.200000000000003</v>
          </cell>
          <cell r="F880">
            <v>10</v>
          </cell>
          <cell r="G880">
            <v>20</v>
          </cell>
          <cell r="H880">
            <v>30</v>
          </cell>
          <cell r="I880">
            <v>40</v>
          </cell>
          <cell r="J880">
            <v>90</v>
          </cell>
          <cell r="K880">
            <v>120</v>
          </cell>
        </row>
        <row r="881">
          <cell r="A881" t="str">
            <v>HFRHS220x120x8.8</v>
          </cell>
          <cell r="B881">
            <v>3</v>
          </cell>
          <cell r="C881">
            <v>3</v>
          </cell>
          <cell r="D881"/>
          <cell r="E881">
            <v>43.9</v>
          </cell>
          <cell r="F881">
            <v>10</v>
          </cell>
          <cell r="G881">
            <v>20</v>
          </cell>
          <cell r="H881">
            <v>30</v>
          </cell>
          <cell r="I881">
            <v>40</v>
          </cell>
          <cell r="J881">
            <v>90</v>
          </cell>
          <cell r="K881">
            <v>120</v>
          </cell>
        </row>
        <row r="882">
          <cell r="A882" t="str">
            <v>HFRHS220x120x10</v>
          </cell>
          <cell r="B882">
            <v>3</v>
          </cell>
          <cell r="C882">
            <v>6</v>
          </cell>
          <cell r="D882"/>
          <cell r="E882">
            <v>49.4</v>
          </cell>
          <cell r="F882">
            <v>10</v>
          </cell>
          <cell r="G882">
            <v>20</v>
          </cell>
          <cell r="H882">
            <v>30</v>
          </cell>
          <cell r="I882">
            <v>40</v>
          </cell>
          <cell r="J882">
            <v>90</v>
          </cell>
          <cell r="K882">
            <v>120</v>
          </cell>
        </row>
        <row r="883">
          <cell r="A883" t="str">
            <v>HFRHS220x120x12.5</v>
          </cell>
          <cell r="B883">
            <v>3</v>
          </cell>
          <cell r="C883">
            <v>6</v>
          </cell>
          <cell r="D883"/>
          <cell r="E883">
            <v>60.5</v>
          </cell>
          <cell r="F883">
            <v>10</v>
          </cell>
          <cell r="G883">
            <v>20</v>
          </cell>
          <cell r="H883">
            <v>30</v>
          </cell>
          <cell r="I883">
            <v>40</v>
          </cell>
          <cell r="J883">
            <v>90</v>
          </cell>
          <cell r="K883">
            <v>120</v>
          </cell>
        </row>
        <row r="884">
          <cell r="A884" t="str">
            <v>HFRHS220x120x14.2</v>
          </cell>
          <cell r="B884">
            <v>3</v>
          </cell>
          <cell r="C884">
            <v>10</v>
          </cell>
          <cell r="D884"/>
          <cell r="E884">
            <v>67.8</v>
          </cell>
          <cell r="F884">
            <v>10</v>
          </cell>
          <cell r="G884">
            <v>20</v>
          </cell>
          <cell r="H884">
            <v>30</v>
          </cell>
          <cell r="I884">
            <v>40</v>
          </cell>
          <cell r="J884">
            <v>90</v>
          </cell>
          <cell r="K884">
            <v>120</v>
          </cell>
        </row>
        <row r="885">
          <cell r="A885" t="str">
            <v>HFRHS220x120x16</v>
          </cell>
          <cell r="B885">
            <v>3</v>
          </cell>
          <cell r="C885">
            <v>10</v>
          </cell>
          <cell r="D885"/>
          <cell r="E885">
            <v>75.2</v>
          </cell>
          <cell r="F885">
            <v>10</v>
          </cell>
          <cell r="G885">
            <v>20</v>
          </cell>
          <cell r="H885">
            <v>30</v>
          </cell>
          <cell r="I885">
            <v>40</v>
          </cell>
          <cell r="J885">
            <v>90</v>
          </cell>
          <cell r="K885">
            <v>120</v>
          </cell>
        </row>
        <row r="886">
          <cell r="A886" t="str">
            <v>HFRHS250x100x5</v>
          </cell>
          <cell r="B886">
            <v>3</v>
          </cell>
          <cell r="C886">
            <v>2</v>
          </cell>
          <cell r="D886"/>
          <cell r="E886">
            <v>26.5</v>
          </cell>
          <cell r="F886">
            <v>10</v>
          </cell>
          <cell r="G886">
            <v>20</v>
          </cell>
          <cell r="H886">
            <v>30</v>
          </cell>
          <cell r="I886">
            <v>40</v>
          </cell>
          <cell r="J886">
            <v>90</v>
          </cell>
          <cell r="K886">
            <v>120</v>
          </cell>
        </row>
        <row r="887">
          <cell r="A887" t="str">
            <v>HFRHS250x100x6.3</v>
          </cell>
          <cell r="B887">
            <v>3</v>
          </cell>
          <cell r="C887">
            <v>2</v>
          </cell>
          <cell r="D887"/>
          <cell r="E887">
            <v>33</v>
          </cell>
          <cell r="F887">
            <v>10</v>
          </cell>
          <cell r="G887">
            <v>20</v>
          </cell>
          <cell r="H887">
            <v>30</v>
          </cell>
          <cell r="I887">
            <v>40</v>
          </cell>
          <cell r="J887">
            <v>90</v>
          </cell>
          <cell r="K887">
            <v>120</v>
          </cell>
        </row>
        <row r="888">
          <cell r="A888" t="str">
            <v>HFRHS250x100x7.1</v>
          </cell>
          <cell r="B888">
            <v>3</v>
          </cell>
          <cell r="C888">
            <v>3</v>
          </cell>
          <cell r="D888"/>
          <cell r="E888">
            <v>37</v>
          </cell>
          <cell r="F888">
            <v>10</v>
          </cell>
          <cell r="G888">
            <v>20</v>
          </cell>
          <cell r="H888">
            <v>30</v>
          </cell>
          <cell r="I888">
            <v>40</v>
          </cell>
          <cell r="J888">
            <v>90</v>
          </cell>
          <cell r="K888">
            <v>120</v>
          </cell>
        </row>
        <row r="889">
          <cell r="A889" t="str">
            <v>HFRHS250x100x8</v>
          </cell>
          <cell r="B889">
            <v>3</v>
          </cell>
          <cell r="C889">
            <v>3</v>
          </cell>
          <cell r="D889"/>
          <cell r="E889">
            <v>41.4</v>
          </cell>
          <cell r="F889">
            <v>10</v>
          </cell>
          <cell r="G889">
            <v>20</v>
          </cell>
          <cell r="H889">
            <v>30</v>
          </cell>
          <cell r="I889">
            <v>40</v>
          </cell>
          <cell r="J889">
            <v>90</v>
          </cell>
          <cell r="K889">
            <v>120</v>
          </cell>
        </row>
        <row r="890">
          <cell r="A890" t="str">
            <v>HFRHS250x100x8.8</v>
          </cell>
          <cell r="B890">
            <v>3</v>
          </cell>
          <cell r="C890">
            <v>3</v>
          </cell>
          <cell r="D890"/>
          <cell r="E890">
            <v>45.3</v>
          </cell>
          <cell r="F890">
            <v>10</v>
          </cell>
          <cell r="G890">
            <v>20</v>
          </cell>
          <cell r="H890">
            <v>30</v>
          </cell>
          <cell r="I890">
            <v>40</v>
          </cell>
          <cell r="J890">
            <v>90</v>
          </cell>
          <cell r="K890">
            <v>120</v>
          </cell>
        </row>
        <row r="891">
          <cell r="A891" t="str">
            <v>HFRHS250x100x10</v>
          </cell>
          <cell r="B891">
            <v>3</v>
          </cell>
          <cell r="C891">
            <v>6</v>
          </cell>
          <cell r="D891"/>
          <cell r="E891">
            <v>51</v>
          </cell>
          <cell r="F891">
            <v>10</v>
          </cell>
          <cell r="G891">
            <v>20</v>
          </cell>
          <cell r="H891">
            <v>30</v>
          </cell>
          <cell r="I891">
            <v>40</v>
          </cell>
          <cell r="J891">
            <v>90</v>
          </cell>
          <cell r="K891">
            <v>120</v>
          </cell>
        </row>
        <row r="892">
          <cell r="A892" t="str">
            <v>HFRHS250x100x12.5</v>
          </cell>
          <cell r="B892">
            <v>3</v>
          </cell>
          <cell r="C892">
            <v>6</v>
          </cell>
          <cell r="D892"/>
          <cell r="E892">
            <v>62.5</v>
          </cell>
          <cell r="F892">
            <v>10</v>
          </cell>
          <cell r="G892">
            <v>20</v>
          </cell>
          <cell r="H892">
            <v>30</v>
          </cell>
          <cell r="I892">
            <v>40</v>
          </cell>
          <cell r="J892">
            <v>90</v>
          </cell>
          <cell r="K892">
            <v>120</v>
          </cell>
        </row>
        <row r="893">
          <cell r="A893" t="str">
            <v>HFRHS250x100x14.2</v>
          </cell>
          <cell r="B893">
            <v>3</v>
          </cell>
          <cell r="C893">
            <v>10</v>
          </cell>
          <cell r="D893"/>
          <cell r="E893">
            <v>70</v>
          </cell>
          <cell r="F893">
            <v>10</v>
          </cell>
          <cell r="G893">
            <v>20</v>
          </cell>
          <cell r="H893">
            <v>30</v>
          </cell>
          <cell r="I893">
            <v>40</v>
          </cell>
          <cell r="J893">
            <v>90</v>
          </cell>
          <cell r="K893">
            <v>120</v>
          </cell>
        </row>
        <row r="894">
          <cell r="A894" t="str">
            <v>HFRHS250x100x16</v>
          </cell>
          <cell r="B894">
            <v>3</v>
          </cell>
          <cell r="C894">
            <v>10</v>
          </cell>
          <cell r="D894"/>
          <cell r="E894">
            <v>77.7</v>
          </cell>
          <cell r="F894">
            <v>10</v>
          </cell>
          <cell r="G894">
            <v>20</v>
          </cell>
          <cell r="H894">
            <v>30</v>
          </cell>
          <cell r="I894">
            <v>40</v>
          </cell>
          <cell r="J894">
            <v>90</v>
          </cell>
          <cell r="K894">
            <v>120</v>
          </cell>
        </row>
        <row r="895">
          <cell r="A895" t="str">
            <v>HFRHS250x150x5</v>
          </cell>
          <cell r="B895">
            <v>3</v>
          </cell>
          <cell r="C895">
            <v>2</v>
          </cell>
          <cell r="D895"/>
          <cell r="E895">
            <v>30.4</v>
          </cell>
          <cell r="F895">
            <v>10</v>
          </cell>
          <cell r="G895">
            <v>20</v>
          </cell>
          <cell r="H895">
            <v>30</v>
          </cell>
          <cell r="I895">
            <v>40</v>
          </cell>
          <cell r="J895">
            <v>90</v>
          </cell>
          <cell r="K895">
            <v>120</v>
          </cell>
        </row>
        <row r="896">
          <cell r="A896" t="str">
            <v>HFRHS250x150x6.3</v>
          </cell>
          <cell r="B896">
            <v>3</v>
          </cell>
          <cell r="C896">
            <v>2</v>
          </cell>
          <cell r="D896"/>
          <cell r="E896">
            <v>38</v>
          </cell>
          <cell r="F896">
            <v>10</v>
          </cell>
          <cell r="G896">
            <v>20</v>
          </cell>
          <cell r="H896">
            <v>30</v>
          </cell>
          <cell r="I896">
            <v>40</v>
          </cell>
          <cell r="J896">
            <v>90</v>
          </cell>
          <cell r="K896">
            <v>120</v>
          </cell>
        </row>
        <row r="897">
          <cell r="A897" t="str">
            <v>HFRHS250x150x7.1</v>
          </cell>
          <cell r="B897">
            <v>3</v>
          </cell>
          <cell r="C897">
            <v>3</v>
          </cell>
          <cell r="D897"/>
          <cell r="E897">
            <v>42.6</v>
          </cell>
          <cell r="F897">
            <v>10</v>
          </cell>
          <cell r="G897">
            <v>20</v>
          </cell>
          <cell r="H897">
            <v>30</v>
          </cell>
          <cell r="I897">
            <v>40</v>
          </cell>
          <cell r="J897">
            <v>90</v>
          </cell>
          <cell r="K897">
            <v>120</v>
          </cell>
        </row>
        <row r="898">
          <cell r="A898" t="str">
            <v>HFRHS250x150x8</v>
          </cell>
          <cell r="B898">
            <v>3</v>
          </cell>
          <cell r="C898">
            <v>3</v>
          </cell>
          <cell r="D898"/>
          <cell r="E898">
            <v>47.7</v>
          </cell>
          <cell r="F898">
            <v>10</v>
          </cell>
          <cell r="G898">
            <v>20</v>
          </cell>
          <cell r="H898">
            <v>30</v>
          </cell>
          <cell r="I898">
            <v>40</v>
          </cell>
          <cell r="J898">
            <v>90</v>
          </cell>
          <cell r="K898">
            <v>120</v>
          </cell>
        </row>
        <row r="899">
          <cell r="A899" t="str">
            <v>HFRHS250x150x8.8</v>
          </cell>
          <cell r="B899">
            <v>3</v>
          </cell>
          <cell r="C899">
            <v>3</v>
          </cell>
          <cell r="D899"/>
          <cell r="E899">
            <v>52.2</v>
          </cell>
          <cell r="F899">
            <v>10</v>
          </cell>
          <cell r="G899">
            <v>20</v>
          </cell>
          <cell r="H899">
            <v>30</v>
          </cell>
          <cell r="I899">
            <v>40</v>
          </cell>
          <cell r="J899">
            <v>90</v>
          </cell>
          <cell r="K899">
            <v>120</v>
          </cell>
        </row>
        <row r="900">
          <cell r="A900" t="str">
            <v>HFRHS250x150x10</v>
          </cell>
          <cell r="B900">
            <v>3</v>
          </cell>
          <cell r="C900">
            <v>6</v>
          </cell>
          <cell r="D900"/>
          <cell r="E900">
            <v>58.8</v>
          </cell>
          <cell r="F900">
            <v>10</v>
          </cell>
          <cell r="G900">
            <v>20</v>
          </cell>
          <cell r="H900">
            <v>30</v>
          </cell>
          <cell r="I900">
            <v>40</v>
          </cell>
          <cell r="J900">
            <v>90</v>
          </cell>
          <cell r="K900">
            <v>120</v>
          </cell>
        </row>
        <row r="901">
          <cell r="A901" t="str">
            <v>HFRHS250x150x12.5</v>
          </cell>
          <cell r="B901">
            <v>3</v>
          </cell>
          <cell r="C901">
            <v>6</v>
          </cell>
          <cell r="D901"/>
          <cell r="E901">
            <v>72.3</v>
          </cell>
          <cell r="F901">
            <v>10</v>
          </cell>
          <cell r="G901">
            <v>20</v>
          </cell>
          <cell r="H901">
            <v>30</v>
          </cell>
          <cell r="I901">
            <v>40</v>
          </cell>
          <cell r="J901">
            <v>90</v>
          </cell>
          <cell r="K901">
            <v>120</v>
          </cell>
        </row>
        <row r="902">
          <cell r="A902" t="str">
            <v>HFRHS250x150x14.2</v>
          </cell>
          <cell r="B902">
            <v>3</v>
          </cell>
          <cell r="C902">
            <v>10</v>
          </cell>
          <cell r="D902"/>
          <cell r="E902">
            <v>81.099999999999994</v>
          </cell>
          <cell r="F902">
            <v>10</v>
          </cell>
          <cell r="G902">
            <v>20</v>
          </cell>
          <cell r="H902">
            <v>30</v>
          </cell>
          <cell r="I902">
            <v>40</v>
          </cell>
          <cell r="J902">
            <v>90</v>
          </cell>
          <cell r="K902">
            <v>120</v>
          </cell>
        </row>
        <row r="903">
          <cell r="A903" t="str">
            <v>HFRHS250x150x16</v>
          </cell>
          <cell r="B903">
            <v>3</v>
          </cell>
          <cell r="C903">
            <v>10</v>
          </cell>
          <cell r="D903"/>
          <cell r="E903">
            <v>90.3</v>
          </cell>
          <cell r="F903">
            <v>10</v>
          </cell>
          <cell r="G903">
            <v>20</v>
          </cell>
          <cell r="H903">
            <v>30</v>
          </cell>
          <cell r="I903">
            <v>40</v>
          </cell>
          <cell r="J903">
            <v>90</v>
          </cell>
          <cell r="K903">
            <v>120</v>
          </cell>
        </row>
        <row r="904">
          <cell r="A904" t="str">
            <v>HFRHS260x140x5</v>
          </cell>
          <cell r="B904">
            <v>3</v>
          </cell>
          <cell r="C904">
            <v>2</v>
          </cell>
          <cell r="D904"/>
          <cell r="E904">
            <v>30.4</v>
          </cell>
          <cell r="F904">
            <v>10</v>
          </cell>
          <cell r="G904">
            <v>20</v>
          </cell>
          <cell r="H904">
            <v>30</v>
          </cell>
          <cell r="I904">
            <v>40</v>
          </cell>
          <cell r="J904">
            <v>90</v>
          </cell>
          <cell r="K904">
            <v>120</v>
          </cell>
        </row>
        <row r="905">
          <cell r="A905" t="str">
            <v>HFRHS260x140x6.3</v>
          </cell>
          <cell r="B905">
            <v>3</v>
          </cell>
          <cell r="C905">
            <v>2</v>
          </cell>
          <cell r="D905"/>
          <cell r="E905">
            <v>38</v>
          </cell>
          <cell r="F905">
            <v>10</v>
          </cell>
          <cell r="G905">
            <v>20</v>
          </cell>
          <cell r="H905">
            <v>30</v>
          </cell>
          <cell r="I905">
            <v>40</v>
          </cell>
          <cell r="J905">
            <v>90</v>
          </cell>
          <cell r="K905">
            <v>120</v>
          </cell>
        </row>
        <row r="906">
          <cell r="A906" t="str">
            <v>HFRHS260x140x7.1</v>
          </cell>
          <cell r="B906">
            <v>3</v>
          </cell>
          <cell r="C906">
            <v>3</v>
          </cell>
          <cell r="D906"/>
          <cell r="E906">
            <v>42.6</v>
          </cell>
          <cell r="F906">
            <v>10</v>
          </cell>
          <cell r="G906">
            <v>20</v>
          </cell>
          <cell r="H906">
            <v>30</v>
          </cell>
          <cell r="I906">
            <v>40</v>
          </cell>
          <cell r="J906">
            <v>90</v>
          </cell>
          <cell r="K906">
            <v>120</v>
          </cell>
        </row>
        <row r="907">
          <cell r="A907" t="str">
            <v>HFRHS260x140x8</v>
          </cell>
          <cell r="B907">
            <v>3</v>
          </cell>
          <cell r="C907">
            <v>3</v>
          </cell>
          <cell r="D907"/>
          <cell r="E907">
            <v>47.7</v>
          </cell>
          <cell r="F907">
            <v>10</v>
          </cell>
          <cell r="G907">
            <v>20</v>
          </cell>
          <cell r="H907">
            <v>30</v>
          </cell>
          <cell r="I907">
            <v>40</v>
          </cell>
          <cell r="J907">
            <v>90</v>
          </cell>
          <cell r="K907">
            <v>120</v>
          </cell>
        </row>
        <row r="908">
          <cell r="A908" t="str">
            <v>HFRHS260x140x8.8</v>
          </cell>
          <cell r="B908">
            <v>3</v>
          </cell>
          <cell r="C908">
            <v>3</v>
          </cell>
          <cell r="D908"/>
          <cell r="E908">
            <v>52.2</v>
          </cell>
          <cell r="F908">
            <v>10</v>
          </cell>
          <cell r="G908">
            <v>20</v>
          </cell>
          <cell r="H908">
            <v>30</v>
          </cell>
          <cell r="I908">
            <v>40</v>
          </cell>
          <cell r="J908">
            <v>90</v>
          </cell>
          <cell r="K908">
            <v>120</v>
          </cell>
        </row>
        <row r="909">
          <cell r="A909" t="str">
            <v>HFRHS260x140x10</v>
          </cell>
          <cell r="B909">
            <v>3</v>
          </cell>
          <cell r="C909">
            <v>6</v>
          </cell>
          <cell r="D909"/>
          <cell r="E909">
            <v>58.8</v>
          </cell>
          <cell r="F909">
            <v>10</v>
          </cell>
          <cell r="G909">
            <v>20</v>
          </cell>
          <cell r="H909">
            <v>30</v>
          </cell>
          <cell r="I909">
            <v>40</v>
          </cell>
          <cell r="J909">
            <v>90</v>
          </cell>
          <cell r="K909">
            <v>120</v>
          </cell>
        </row>
        <row r="910">
          <cell r="A910" t="str">
            <v>HFRHS260x140x12.5</v>
          </cell>
          <cell r="B910">
            <v>3</v>
          </cell>
          <cell r="C910">
            <v>6</v>
          </cell>
          <cell r="D910"/>
          <cell r="E910">
            <v>72.3</v>
          </cell>
          <cell r="F910">
            <v>10</v>
          </cell>
          <cell r="G910">
            <v>20</v>
          </cell>
          <cell r="H910">
            <v>30</v>
          </cell>
          <cell r="I910">
            <v>40</v>
          </cell>
          <cell r="J910">
            <v>90</v>
          </cell>
          <cell r="K910">
            <v>120</v>
          </cell>
        </row>
        <row r="911">
          <cell r="A911" t="str">
            <v>HFRHS260x140x14.2</v>
          </cell>
          <cell r="B911">
            <v>3</v>
          </cell>
          <cell r="C911">
            <v>10</v>
          </cell>
          <cell r="D911"/>
          <cell r="E911">
            <v>81.099999999999994</v>
          </cell>
          <cell r="F911">
            <v>10</v>
          </cell>
          <cell r="G911">
            <v>20</v>
          </cell>
          <cell r="H911">
            <v>30</v>
          </cell>
          <cell r="I911">
            <v>40</v>
          </cell>
          <cell r="J911">
            <v>90</v>
          </cell>
          <cell r="K911">
            <v>120</v>
          </cell>
        </row>
        <row r="912">
          <cell r="A912" t="str">
            <v>HFRHS260x140x16</v>
          </cell>
          <cell r="B912">
            <v>3</v>
          </cell>
          <cell r="C912">
            <v>10</v>
          </cell>
          <cell r="D912"/>
          <cell r="E912">
            <v>90.3</v>
          </cell>
          <cell r="F912">
            <v>10</v>
          </cell>
          <cell r="G912">
            <v>20</v>
          </cell>
          <cell r="H912">
            <v>30</v>
          </cell>
          <cell r="I912">
            <v>40</v>
          </cell>
          <cell r="J912">
            <v>90</v>
          </cell>
          <cell r="K912">
            <v>120</v>
          </cell>
        </row>
        <row r="913">
          <cell r="A913" t="str">
            <v>HFRHS300x100x5</v>
          </cell>
          <cell r="B913">
            <v>3</v>
          </cell>
          <cell r="C913">
            <v>2</v>
          </cell>
          <cell r="D913"/>
          <cell r="E913">
            <v>30.4</v>
          </cell>
          <cell r="F913">
            <v>10</v>
          </cell>
          <cell r="G913">
            <v>20</v>
          </cell>
          <cell r="H913">
            <v>30</v>
          </cell>
          <cell r="I913">
            <v>40</v>
          </cell>
          <cell r="J913">
            <v>90</v>
          </cell>
          <cell r="K913">
            <v>120</v>
          </cell>
        </row>
        <row r="914">
          <cell r="A914" t="str">
            <v>HFRHS300x100x6.3</v>
          </cell>
          <cell r="B914">
            <v>3</v>
          </cell>
          <cell r="C914">
            <v>2</v>
          </cell>
          <cell r="D914"/>
          <cell r="E914">
            <v>38</v>
          </cell>
          <cell r="F914">
            <v>10</v>
          </cell>
          <cell r="G914">
            <v>20</v>
          </cell>
          <cell r="H914">
            <v>30</v>
          </cell>
          <cell r="I914">
            <v>40</v>
          </cell>
          <cell r="J914">
            <v>90</v>
          </cell>
          <cell r="K914">
            <v>120</v>
          </cell>
        </row>
        <row r="915">
          <cell r="A915" t="str">
            <v>HFRHS300x100x7.1</v>
          </cell>
          <cell r="B915">
            <v>3</v>
          </cell>
          <cell r="C915">
            <v>3</v>
          </cell>
          <cell r="D915"/>
          <cell r="E915">
            <v>42.6</v>
          </cell>
          <cell r="F915">
            <v>10</v>
          </cell>
          <cell r="G915">
            <v>20</v>
          </cell>
          <cell r="H915">
            <v>30</v>
          </cell>
          <cell r="I915">
            <v>40</v>
          </cell>
          <cell r="J915">
            <v>90</v>
          </cell>
          <cell r="K915">
            <v>120</v>
          </cell>
        </row>
        <row r="916">
          <cell r="A916" t="str">
            <v>HFRHS300x100x8</v>
          </cell>
          <cell r="B916">
            <v>3</v>
          </cell>
          <cell r="C916">
            <v>3</v>
          </cell>
          <cell r="D916"/>
          <cell r="E916">
            <v>47.7</v>
          </cell>
          <cell r="F916">
            <v>10</v>
          </cell>
          <cell r="G916">
            <v>20</v>
          </cell>
          <cell r="H916">
            <v>30</v>
          </cell>
          <cell r="I916">
            <v>40</v>
          </cell>
          <cell r="J916">
            <v>90</v>
          </cell>
          <cell r="K916">
            <v>120</v>
          </cell>
        </row>
        <row r="917">
          <cell r="A917" t="str">
            <v>HFRHS300x100x8.8</v>
          </cell>
          <cell r="B917">
            <v>3</v>
          </cell>
          <cell r="C917">
            <v>3</v>
          </cell>
          <cell r="D917"/>
          <cell r="E917">
            <v>52.2</v>
          </cell>
          <cell r="F917">
            <v>10</v>
          </cell>
          <cell r="G917">
            <v>20</v>
          </cell>
          <cell r="H917">
            <v>30</v>
          </cell>
          <cell r="I917">
            <v>40</v>
          </cell>
          <cell r="J917">
            <v>90</v>
          </cell>
          <cell r="K917">
            <v>120</v>
          </cell>
        </row>
        <row r="918">
          <cell r="A918" t="str">
            <v>HFRHS300x100x10</v>
          </cell>
          <cell r="B918">
            <v>3</v>
          </cell>
          <cell r="C918">
            <v>6</v>
          </cell>
          <cell r="D918"/>
          <cell r="E918">
            <v>58.8</v>
          </cell>
          <cell r="F918">
            <v>10</v>
          </cell>
          <cell r="G918">
            <v>20</v>
          </cell>
          <cell r="H918">
            <v>30</v>
          </cell>
          <cell r="I918">
            <v>40</v>
          </cell>
          <cell r="J918">
            <v>90</v>
          </cell>
          <cell r="K918">
            <v>120</v>
          </cell>
        </row>
        <row r="919">
          <cell r="A919" t="str">
            <v>HFRHS300x100x12.5</v>
          </cell>
          <cell r="B919">
            <v>3</v>
          </cell>
          <cell r="C919">
            <v>6</v>
          </cell>
          <cell r="D919"/>
          <cell r="E919">
            <v>72.3</v>
          </cell>
          <cell r="F919">
            <v>10</v>
          </cell>
          <cell r="G919">
            <v>20</v>
          </cell>
          <cell r="H919">
            <v>30</v>
          </cell>
          <cell r="I919">
            <v>40</v>
          </cell>
          <cell r="J919">
            <v>90</v>
          </cell>
          <cell r="K919">
            <v>120</v>
          </cell>
        </row>
        <row r="920">
          <cell r="A920" t="str">
            <v>HFRHS300x100x14.2</v>
          </cell>
          <cell r="B920">
            <v>3</v>
          </cell>
          <cell r="C920">
            <v>10</v>
          </cell>
          <cell r="D920"/>
          <cell r="E920">
            <v>81.099999999999994</v>
          </cell>
          <cell r="F920">
            <v>10</v>
          </cell>
          <cell r="G920">
            <v>20</v>
          </cell>
          <cell r="H920">
            <v>30</v>
          </cell>
          <cell r="I920">
            <v>40</v>
          </cell>
          <cell r="J920">
            <v>90</v>
          </cell>
          <cell r="K920">
            <v>120</v>
          </cell>
        </row>
        <row r="921">
          <cell r="A921" t="str">
            <v>HFRHS300x100x16</v>
          </cell>
          <cell r="B921">
            <v>3</v>
          </cell>
          <cell r="C921">
            <v>10</v>
          </cell>
          <cell r="D921"/>
          <cell r="E921">
            <v>90.3</v>
          </cell>
          <cell r="F921">
            <v>10</v>
          </cell>
          <cell r="G921">
            <v>20</v>
          </cell>
          <cell r="H921">
            <v>30</v>
          </cell>
          <cell r="I921">
            <v>40</v>
          </cell>
          <cell r="J921">
            <v>90</v>
          </cell>
          <cell r="K921">
            <v>120</v>
          </cell>
        </row>
        <row r="922">
          <cell r="A922" t="str">
            <v>HFRHS300x200x5</v>
          </cell>
          <cell r="B922">
            <v>3</v>
          </cell>
          <cell r="C922">
            <v>2</v>
          </cell>
          <cell r="D922"/>
          <cell r="E922">
            <v>38.299999999999997</v>
          </cell>
          <cell r="F922">
            <v>10</v>
          </cell>
          <cell r="G922">
            <v>20</v>
          </cell>
          <cell r="H922">
            <v>30</v>
          </cell>
          <cell r="I922">
            <v>40</v>
          </cell>
          <cell r="J922">
            <v>90</v>
          </cell>
          <cell r="K922">
            <v>120</v>
          </cell>
        </row>
        <row r="923">
          <cell r="A923" t="str">
            <v>HFRHS300x200x6.3</v>
          </cell>
          <cell r="B923">
            <v>3</v>
          </cell>
          <cell r="C923">
            <v>2</v>
          </cell>
          <cell r="D923"/>
          <cell r="E923">
            <v>47.9</v>
          </cell>
          <cell r="F923">
            <v>10</v>
          </cell>
          <cell r="G923">
            <v>20</v>
          </cell>
          <cell r="H923">
            <v>30</v>
          </cell>
          <cell r="I923">
            <v>40</v>
          </cell>
          <cell r="J923">
            <v>90</v>
          </cell>
          <cell r="K923">
            <v>120</v>
          </cell>
        </row>
        <row r="924">
          <cell r="A924" t="str">
            <v>HFRHS300x200x7.1</v>
          </cell>
          <cell r="B924">
            <v>3</v>
          </cell>
          <cell r="C924">
            <v>3</v>
          </cell>
          <cell r="D924"/>
          <cell r="E924">
            <v>53.7</v>
          </cell>
          <cell r="F924">
            <v>10</v>
          </cell>
          <cell r="G924">
            <v>20</v>
          </cell>
          <cell r="H924">
            <v>30</v>
          </cell>
          <cell r="I924">
            <v>40</v>
          </cell>
          <cell r="J924">
            <v>90</v>
          </cell>
          <cell r="K924">
            <v>120</v>
          </cell>
        </row>
        <row r="925">
          <cell r="A925" t="str">
            <v>HFRHS300x200x8</v>
          </cell>
          <cell r="B925">
            <v>3</v>
          </cell>
          <cell r="C925">
            <v>3</v>
          </cell>
          <cell r="D925"/>
          <cell r="E925">
            <v>60.3</v>
          </cell>
          <cell r="F925">
            <v>10</v>
          </cell>
          <cell r="G925">
            <v>20</v>
          </cell>
          <cell r="H925">
            <v>30</v>
          </cell>
          <cell r="I925">
            <v>40</v>
          </cell>
          <cell r="J925">
            <v>90</v>
          </cell>
          <cell r="K925">
            <v>120</v>
          </cell>
        </row>
        <row r="926">
          <cell r="A926" t="str">
            <v>HFRHS300x200x8.8</v>
          </cell>
          <cell r="B926">
            <v>3</v>
          </cell>
          <cell r="C926">
            <v>3</v>
          </cell>
          <cell r="D926"/>
          <cell r="E926">
            <v>66</v>
          </cell>
          <cell r="F926">
            <v>10</v>
          </cell>
          <cell r="G926">
            <v>20</v>
          </cell>
          <cell r="H926">
            <v>30</v>
          </cell>
          <cell r="I926">
            <v>40</v>
          </cell>
          <cell r="J926">
            <v>90</v>
          </cell>
          <cell r="K926">
            <v>120</v>
          </cell>
        </row>
        <row r="927">
          <cell r="A927" t="str">
            <v>HFRHS300x200x10</v>
          </cell>
          <cell r="B927">
            <v>3</v>
          </cell>
          <cell r="C927">
            <v>6</v>
          </cell>
          <cell r="D927"/>
          <cell r="E927">
            <v>74.5</v>
          </cell>
          <cell r="F927">
            <v>10</v>
          </cell>
          <cell r="G927">
            <v>20</v>
          </cell>
          <cell r="H927">
            <v>30</v>
          </cell>
          <cell r="I927">
            <v>40</v>
          </cell>
          <cell r="J927">
            <v>90</v>
          </cell>
          <cell r="K927">
            <v>120</v>
          </cell>
        </row>
        <row r="928">
          <cell r="A928" t="str">
            <v>HFRHS300x200x12</v>
          </cell>
          <cell r="B928">
            <v>3</v>
          </cell>
          <cell r="C928">
            <v>6</v>
          </cell>
          <cell r="D928">
            <v>0.93600000000000005</v>
          </cell>
          <cell r="E928">
            <v>89</v>
          </cell>
          <cell r="F928">
            <v>10</v>
          </cell>
          <cell r="G928">
            <v>20</v>
          </cell>
          <cell r="H928">
            <v>30</v>
          </cell>
          <cell r="I928">
            <v>40</v>
          </cell>
          <cell r="J928">
            <v>90</v>
          </cell>
          <cell r="K928">
            <v>120</v>
          </cell>
        </row>
        <row r="929">
          <cell r="A929" t="str">
            <v>HFRHS300x200x12.5</v>
          </cell>
          <cell r="B929">
            <v>3</v>
          </cell>
          <cell r="C929">
            <v>6</v>
          </cell>
          <cell r="D929"/>
          <cell r="E929">
            <v>91.9</v>
          </cell>
          <cell r="F929">
            <v>10</v>
          </cell>
          <cell r="G929">
            <v>20</v>
          </cell>
          <cell r="H929">
            <v>30</v>
          </cell>
          <cell r="I929">
            <v>40</v>
          </cell>
          <cell r="J929">
            <v>90</v>
          </cell>
          <cell r="K929">
            <v>120</v>
          </cell>
        </row>
        <row r="930">
          <cell r="A930" t="str">
            <v>HFRHS300x200x14.2</v>
          </cell>
          <cell r="B930">
            <v>3</v>
          </cell>
          <cell r="C930">
            <v>10</v>
          </cell>
          <cell r="D930"/>
          <cell r="E930">
            <v>103</v>
          </cell>
          <cell r="F930">
            <v>10</v>
          </cell>
          <cell r="G930">
            <v>20</v>
          </cell>
          <cell r="H930">
            <v>30</v>
          </cell>
          <cell r="I930">
            <v>40</v>
          </cell>
          <cell r="J930">
            <v>90</v>
          </cell>
          <cell r="K930">
            <v>120</v>
          </cell>
        </row>
        <row r="931">
          <cell r="A931" t="str">
            <v>HFRHS300x200x16</v>
          </cell>
          <cell r="B931">
            <v>3</v>
          </cell>
          <cell r="C931">
            <v>10</v>
          </cell>
          <cell r="D931"/>
          <cell r="E931">
            <v>115</v>
          </cell>
          <cell r="F931">
            <v>10</v>
          </cell>
          <cell r="G931">
            <v>20</v>
          </cell>
          <cell r="H931">
            <v>30</v>
          </cell>
          <cell r="I931">
            <v>40</v>
          </cell>
          <cell r="J931">
            <v>90</v>
          </cell>
          <cell r="K931">
            <v>120</v>
          </cell>
        </row>
        <row r="932">
          <cell r="A932" t="str">
            <v>HFRHS300x250x5</v>
          </cell>
          <cell r="B932">
            <v>3</v>
          </cell>
          <cell r="C932">
            <v>2</v>
          </cell>
          <cell r="D932"/>
          <cell r="E932">
            <v>42.2</v>
          </cell>
          <cell r="F932">
            <v>10</v>
          </cell>
          <cell r="G932">
            <v>20</v>
          </cell>
          <cell r="H932">
            <v>30</v>
          </cell>
          <cell r="I932">
            <v>40</v>
          </cell>
          <cell r="J932">
            <v>90</v>
          </cell>
          <cell r="K932">
            <v>120</v>
          </cell>
        </row>
        <row r="933">
          <cell r="A933" t="str">
            <v>HFRHS300x250x6.3</v>
          </cell>
          <cell r="B933">
            <v>3</v>
          </cell>
          <cell r="C933">
            <v>2</v>
          </cell>
          <cell r="D933"/>
          <cell r="E933">
            <v>52.8</v>
          </cell>
          <cell r="F933">
            <v>10</v>
          </cell>
          <cell r="G933">
            <v>20</v>
          </cell>
          <cell r="H933">
            <v>30</v>
          </cell>
          <cell r="I933">
            <v>40</v>
          </cell>
          <cell r="J933">
            <v>90</v>
          </cell>
          <cell r="K933">
            <v>120</v>
          </cell>
        </row>
        <row r="934">
          <cell r="A934" t="str">
            <v>HFRHS300x250x7.1</v>
          </cell>
          <cell r="B934">
            <v>3</v>
          </cell>
          <cell r="C934">
            <v>3</v>
          </cell>
          <cell r="D934"/>
          <cell r="E934">
            <v>59.3</v>
          </cell>
          <cell r="F934">
            <v>10</v>
          </cell>
          <cell r="G934">
            <v>20</v>
          </cell>
          <cell r="H934">
            <v>30</v>
          </cell>
          <cell r="I934">
            <v>40</v>
          </cell>
          <cell r="J934">
            <v>90</v>
          </cell>
          <cell r="K934">
            <v>120</v>
          </cell>
        </row>
        <row r="935">
          <cell r="A935" t="str">
            <v>HFRHS300x250x8</v>
          </cell>
          <cell r="B935">
            <v>3</v>
          </cell>
          <cell r="C935">
            <v>3</v>
          </cell>
          <cell r="D935"/>
          <cell r="E935">
            <v>66.5</v>
          </cell>
          <cell r="F935">
            <v>10</v>
          </cell>
          <cell r="G935">
            <v>20</v>
          </cell>
          <cell r="H935">
            <v>30</v>
          </cell>
          <cell r="I935">
            <v>40</v>
          </cell>
          <cell r="J935">
            <v>90</v>
          </cell>
          <cell r="K935">
            <v>120</v>
          </cell>
        </row>
        <row r="936">
          <cell r="A936" t="str">
            <v>HFRHS300x250x8.8</v>
          </cell>
          <cell r="B936">
            <v>3</v>
          </cell>
          <cell r="C936">
            <v>3</v>
          </cell>
          <cell r="D936"/>
          <cell r="E936">
            <v>72.900000000000006</v>
          </cell>
          <cell r="F936">
            <v>10</v>
          </cell>
          <cell r="G936">
            <v>20</v>
          </cell>
          <cell r="H936">
            <v>30</v>
          </cell>
          <cell r="I936">
            <v>40</v>
          </cell>
          <cell r="J936">
            <v>90</v>
          </cell>
          <cell r="K936">
            <v>120</v>
          </cell>
        </row>
        <row r="937">
          <cell r="A937" t="str">
            <v>HFRHS300x250x10</v>
          </cell>
          <cell r="B937">
            <v>3</v>
          </cell>
          <cell r="C937">
            <v>6</v>
          </cell>
          <cell r="D937"/>
          <cell r="E937">
            <v>82.4</v>
          </cell>
          <cell r="F937">
            <v>10</v>
          </cell>
          <cell r="G937">
            <v>20</v>
          </cell>
          <cell r="H937">
            <v>30</v>
          </cell>
          <cell r="I937">
            <v>40</v>
          </cell>
          <cell r="J937">
            <v>90</v>
          </cell>
          <cell r="K937">
            <v>120</v>
          </cell>
        </row>
        <row r="938">
          <cell r="A938" t="str">
            <v>HFRHS300x250x12.5</v>
          </cell>
          <cell r="B938">
            <v>3</v>
          </cell>
          <cell r="C938">
            <v>6</v>
          </cell>
          <cell r="D938"/>
          <cell r="E938">
            <v>102</v>
          </cell>
          <cell r="F938">
            <v>10</v>
          </cell>
          <cell r="G938">
            <v>20</v>
          </cell>
          <cell r="H938">
            <v>30</v>
          </cell>
          <cell r="I938">
            <v>40</v>
          </cell>
          <cell r="J938">
            <v>90</v>
          </cell>
          <cell r="K938">
            <v>120</v>
          </cell>
        </row>
        <row r="939">
          <cell r="A939" t="str">
            <v>HFRHS300x250x14.2</v>
          </cell>
          <cell r="B939">
            <v>3</v>
          </cell>
          <cell r="C939">
            <v>10</v>
          </cell>
          <cell r="D939"/>
          <cell r="E939">
            <v>115</v>
          </cell>
          <cell r="F939">
            <v>10</v>
          </cell>
          <cell r="G939">
            <v>20</v>
          </cell>
          <cell r="H939">
            <v>30</v>
          </cell>
          <cell r="I939">
            <v>40</v>
          </cell>
          <cell r="J939">
            <v>90</v>
          </cell>
          <cell r="K939">
            <v>120</v>
          </cell>
        </row>
        <row r="940">
          <cell r="A940" t="str">
            <v>HFRHS300x250x16</v>
          </cell>
          <cell r="B940">
            <v>3</v>
          </cell>
          <cell r="C940">
            <v>10</v>
          </cell>
          <cell r="D940"/>
          <cell r="E940">
            <v>128</v>
          </cell>
          <cell r="F940">
            <v>10</v>
          </cell>
          <cell r="G940">
            <v>20</v>
          </cell>
          <cell r="H940">
            <v>30</v>
          </cell>
          <cell r="I940">
            <v>40</v>
          </cell>
          <cell r="J940">
            <v>90</v>
          </cell>
          <cell r="K940">
            <v>120</v>
          </cell>
        </row>
        <row r="941">
          <cell r="A941" t="str">
            <v>HFRHS340x100x10</v>
          </cell>
          <cell r="B941">
            <v>3</v>
          </cell>
          <cell r="C941">
            <v>6</v>
          </cell>
          <cell r="D941"/>
          <cell r="E941">
            <v>65.099999999999994</v>
          </cell>
          <cell r="F941">
            <v>10</v>
          </cell>
          <cell r="G941">
            <v>20</v>
          </cell>
          <cell r="H941">
            <v>30</v>
          </cell>
          <cell r="I941">
            <v>40</v>
          </cell>
          <cell r="J941">
            <v>90</v>
          </cell>
          <cell r="K941">
            <v>120</v>
          </cell>
        </row>
        <row r="942">
          <cell r="A942" t="str">
            <v>HFRHS350x150x5</v>
          </cell>
          <cell r="B942">
            <v>3</v>
          </cell>
          <cell r="C942">
            <v>2</v>
          </cell>
          <cell r="D942"/>
          <cell r="E942">
            <v>38.299999999999997</v>
          </cell>
          <cell r="F942">
            <v>10</v>
          </cell>
          <cell r="G942">
            <v>20</v>
          </cell>
          <cell r="H942">
            <v>30</v>
          </cell>
          <cell r="I942">
            <v>40</v>
          </cell>
          <cell r="J942">
            <v>90</v>
          </cell>
          <cell r="K942">
            <v>120</v>
          </cell>
        </row>
        <row r="943">
          <cell r="A943" t="str">
            <v>HFRHS350x150x6.3</v>
          </cell>
          <cell r="B943">
            <v>3</v>
          </cell>
          <cell r="C943">
            <v>2</v>
          </cell>
          <cell r="D943"/>
          <cell r="E943">
            <v>47.9</v>
          </cell>
          <cell r="F943">
            <v>10</v>
          </cell>
          <cell r="G943">
            <v>20</v>
          </cell>
          <cell r="H943">
            <v>30</v>
          </cell>
          <cell r="I943">
            <v>40</v>
          </cell>
          <cell r="J943">
            <v>90</v>
          </cell>
          <cell r="K943">
            <v>120</v>
          </cell>
        </row>
        <row r="944">
          <cell r="A944" t="str">
            <v>HFRHS350x150x7.1</v>
          </cell>
          <cell r="B944">
            <v>3</v>
          </cell>
          <cell r="C944">
            <v>3</v>
          </cell>
          <cell r="D944"/>
          <cell r="E944">
            <v>53.7</v>
          </cell>
          <cell r="F944">
            <v>10</v>
          </cell>
          <cell r="G944">
            <v>20</v>
          </cell>
          <cell r="H944">
            <v>30</v>
          </cell>
          <cell r="I944">
            <v>40</v>
          </cell>
          <cell r="J944">
            <v>90</v>
          </cell>
          <cell r="K944">
            <v>120</v>
          </cell>
        </row>
        <row r="945">
          <cell r="A945" t="str">
            <v>HFRHS350x150x8</v>
          </cell>
          <cell r="B945">
            <v>3</v>
          </cell>
          <cell r="C945">
            <v>3</v>
          </cell>
          <cell r="D945"/>
          <cell r="E945">
            <v>60.3</v>
          </cell>
          <cell r="F945">
            <v>10</v>
          </cell>
          <cell r="G945">
            <v>20</v>
          </cell>
          <cell r="H945">
            <v>30</v>
          </cell>
          <cell r="I945">
            <v>40</v>
          </cell>
          <cell r="J945">
            <v>90</v>
          </cell>
          <cell r="K945">
            <v>120</v>
          </cell>
        </row>
        <row r="946">
          <cell r="A946" t="str">
            <v>HFRHS350x150x8.8</v>
          </cell>
          <cell r="B946">
            <v>3</v>
          </cell>
          <cell r="C946">
            <v>3</v>
          </cell>
          <cell r="D946"/>
          <cell r="E946">
            <v>66</v>
          </cell>
          <cell r="F946">
            <v>10</v>
          </cell>
          <cell r="G946">
            <v>20</v>
          </cell>
          <cell r="H946">
            <v>30</v>
          </cell>
          <cell r="I946">
            <v>40</v>
          </cell>
          <cell r="J946">
            <v>90</v>
          </cell>
          <cell r="K946">
            <v>120</v>
          </cell>
        </row>
        <row r="947">
          <cell r="A947" t="str">
            <v>HFRHS350x150x10</v>
          </cell>
          <cell r="B947">
            <v>3</v>
          </cell>
          <cell r="C947">
            <v>6</v>
          </cell>
          <cell r="D947"/>
          <cell r="E947">
            <v>74.5</v>
          </cell>
          <cell r="F947">
            <v>10</v>
          </cell>
          <cell r="G947">
            <v>20</v>
          </cell>
          <cell r="H947">
            <v>30</v>
          </cell>
          <cell r="I947">
            <v>40</v>
          </cell>
          <cell r="J947">
            <v>90</v>
          </cell>
          <cell r="K947">
            <v>120</v>
          </cell>
        </row>
        <row r="948">
          <cell r="A948" t="str">
            <v>HFRHS350x150x12.5</v>
          </cell>
          <cell r="B948">
            <v>3</v>
          </cell>
          <cell r="C948">
            <v>6</v>
          </cell>
          <cell r="D948"/>
          <cell r="E948">
            <v>91.9</v>
          </cell>
          <cell r="F948">
            <v>10</v>
          </cell>
          <cell r="G948">
            <v>20</v>
          </cell>
          <cell r="H948">
            <v>30</v>
          </cell>
          <cell r="I948">
            <v>40</v>
          </cell>
          <cell r="J948">
            <v>90</v>
          </cell>
          <cell r="K948">
            <v>120</v>
          </cell>
        </row>
        <row r="949">
          <cell r="A949" t="str">
            <v>HFRHS350x150x14.2</v>
          </cell>
          <cell r="B949">
            <v>3</v>
          </cell>
          <cell r="C949">
            <v>10</v>
          </cell>
          <cell r="D949"/>
          <cell r="E949">
            <v>103</v>
          </cell>
          <cell r="F949">
            <v>10</v>
          </cell>
          <cell r="G949">
            <v>20</v>
          </cell>
          <cell r="H949">
            <v>30</v>
          </cell>
          <cell r="I949">
            <v>40</v>
          </cell>
          <cell r="J949">
            <v>90</v>
          </cell>
          <cell r="K949">
            <v>120</v>
          </cell>
        </row>
        <row r="950">
          <cell r="A950" t="str">
            <v>HFRHS350x150x16</v>
          </cell>
          <cell r="B950">
            <v>3</v>
          </cell>
          <cell r="C950">
            <v>10</v>
          </cell>
          <cell r="D950"/>
          <cell r="E950">
            <v>115</v>
          </cell>
          <cell r="F950">
            <v>10</v>
          </cell>
          <cell r="G950">
            <v>20</v>
          </cell>
          <cell r="H950">
            <v>30</v>
          </cell>
          <cell r="I950">
            <v>40</v>
          </cell>
          <cell r="J950">
            <v>90</v>
          </cell>
          <cell r="K950">
            <v>120</v>
          </cell>
        </row>
        <row r="951">
          <cell r="A951" t="str">
            <v>HFRHS350x250x6.3</v>
          </cell>
          <cell r="B951">
            <v>3</v>
          </cell>
          <cell r="C951">
            <v>2</v>
          </cell>
          <cell r="D951"/>
          <cell r="E951">
            <v>57.8</v>
          </cell>
          <cell r="F951">
            <v>10</v>
          </cell>
          <cell r="G951">
            <v>20</v>
          </cell>
          <cell r="H951">
            <v>30</v>
          </cell>
          <cell r="I951">
            <v>40</v>
          </cell>
          <cell r="J951">
            <v>90</v>
          </cell>
          <cell r="K951">
            <v>120</v>
          </cell>
        </row>
        <row r="952">
          <cell r="A952" t="str">
            <v>HFRHS350x250x7.1</v>
          </cell>
          <cell r="B952">
            <v>3</v>
          </cell>
          <cell r="C952">
            <v>3</v>
          </cell>
          <cell r="D952"/>
          <cell r="E952">
            <v>64.900000000000006</v>
          </cell>
          <cell r="F952">
            <v>10</v>
          </cell>
          <cell r="G952">
            <v>20</v>
          </cell>
          <cell r="H952">
            <v>30</v>
          </cell>
          <cell r="I952">
            <v>40</v>
          </cell>
          <cell r="J952">
            <v>90</v>
          </cell>
          <cell r="K952">
            <v>120</v>
          </cell>
        </row>
        <row r="953">
          <cell r="A953" t="str">
            <v>HFRHS350x250x8</v>
          </cell>
          <cell r="B953">
            <v>3</v>
          </cell>
          <cell r="C953">
            <v>3</v>
          </cell>
          <cell r="D953"/>
          <cell r="E953">
            <v>72.8</v>
          </cell>
          <cell r="F953">
            <v>10</v>
          </cell>
          <cell r="G953">
            <v>20</v>
          </cell>
          <cell r="H953">
            <v>30</v>
          </cell>
          <cell r="I953">
            <v>40</v>
          </cell>
          <cell r="J953">
            <v>90</v>
          </cell>
          <cell r="K953">
            <v>120</v>
          </cell>
        </row>
        <row r="954">
          <cell r="A954" t="str">
            <v>HFRHS350x250x8.8</v>
          </cell>
          <cell r="B954">
            <v>3</v>
          </cell>
          <cell r="C954">
            <v>3</v>
          </cell>
          <cell r="D954"/>
          <cell r="E954">
            <v>79.8</v>
          </cell>
          <cell r="F954">
            <v>10</v>
          </cell>
          <cell r="G954">
            <v>20</v>
          </cell>
          <cell r="H954">
            <v>30</v>
          </cell>
          <cell r="I954">
            <v>40</v>
          </cell>
          <cell r="J954">
            <v>90</v>
          </cell>
          <cell r="K954">
            <v>120</v>
          </cell>
        </row>
        <row r="955">
          <cell r="A955" t="str">
            <v>HFRHS350x250x10</v>
          </cell>
          <cell r="B955">
            <v>3</v>
          </cell>
          <cell r="C955">
            <v>6</v>
          </cell>
          <cell r="D955"/>
          <cell r="E955">
            <v>90.2</v>
          </cell>
          <cell r="F955">
            <v>10</v>
          </cell>
          <cell r="G955">
            <v>20</v>
          </cell>
          <cell r="H955">
            <v>30</v>
          </cell>
          <cell r="I955">
            <v>40</v>
          </cell>
          <cell r="J955">
            <v>90</v>
          </cell>
          <cell r="K955">
            <v>120</v>
          </cell>
        </row>
        <row r="956">
          <cell r="A956" t="str">
            <v>HFRHS350x250x12.5</v>
          </cell>
          <cell r="B956">
            <v>3</v>
          </cell>
          <cell r="C956">
            <v>6</v>
          </cell>
          <cell r="D956"/>
          <cell r="E956">
            <v>112</v>
          </cell>
          <cell r="F956">
            <v>10</v>
          </cell>
          <cell r="G956">
            <v>20</v>
          </cell>
          <cell r="H956">
            <v>30</v>
          </cell>
          <cell r="I956">
            <v>40</v>
          </cell>
          <cell r="J956">
            <v>90</v>
          </cell>
          <cell r="K956">
            <v>120</v>
          </cell>
        </row>
        <row r="957">
          <cell r="A957" t="str">
            <v>HFRHS350x250x14.2</v>
          </cell>
          <cell r="B957">
            <v>3</v>
          </cell>
          <cell r="C957">
            <v>10</v>
          </cell>
          <cell r="D957"/>
          <cell r="E957">
            <v>126</v>
          </cell>
          <cell r="F957">
            <v>10</v>
          </cell>
          <cell r="G957">
            <v>20</v>
          </cell>
          <cell r="H957">
            <v>30</v>
          </cell>
          <cell r="I957">
            <v>40</v>
          </cell>
          <cell r="J957">
            <v>90</v>
          </cell>
          <cell r="K957">
            <v>120</v>
          </cell>
        </row>
        <row r="958">
          <cell r="A958" t="str">
            <v>HFRHS350x250x16</v>
          </cell>
          <cell r="B958">
            <v>3</v>
          </cell>
          <cell r="C958">
            <v>10</v>
          </cell>
          <cell r="D958"/>
          <cell r="E958">
            <v>141</v>
          </cell>
          <cell r="F958">
            <v>10</v>
          </cell>
          <cell r="G958">
            <v>20</v>
          </cell>
          <cell r="H958">
            <v>30</v>
          </cell>
          <cell r="I958">
            <v>40</v>
          </cell>
          <cell r="J958">
            <v>90</v>
          </cell>
          <cell r="K958">
            <v>120</v>
          </cell>
        </row>
        <row r="959">
          <cell r="A959" t="str">
            <v>HFRHS400x150x6.3</v>
          </cell>
          <cell r="B959">
            <v>3</v>
          </cell>
          <cell r="C959">
            <v>2</v>
          </cell>
          <cell r="D959"/>
          <cell r="E959">
            <v>52.8</v>
          </cell>
          <cell r="F959">
            <v>10</v>
          </cell>
          <cell r="G959">
            <v>20</v>
          </cell>
          <cell r="H959">
            <v>30</v>
          </cell>
          <cell r="I959">
            <v>40</v>
          </cell>
          <cell r="J959">
            <v>90</v>
          </cell>
          <cell r="K959">
            <v>120</v>
          </cell>
        </row>
        <row r="960">
          <cell r="A960" t="str">
            <v>HFRHS400x150x7.1</v>
          </cell>
          <cell r="B960">
            <v>3</v>
          </cell>
          <cell r="C960">
            <v>3</v>
          </cell>
          <cell r="D960"/>
          <cell r="E960">
            <v>59.3</v>
          </cell>
          <cell r="F960">
            <v>10</v>
          </cell>
          <cell r="G960">
            <v>20</v>
          </cell>
          <cell r="H960">
            <v>30</v>
          </cell>
          <cell r="I960">
            <v>40</v>
          </cell>
          <cell r="J960">
            <v>90</v>
          </cell>
          <cell r="K960">
            <v>120</v>
          </cell>
        </row>
        <row r="961">
          <cell r="A961" t="str">
            <v>HFRHS400x150x8</v>
          </cell>
          <cell r="B961">
            <v>3</v>
          </cell>
          <cell r="C961">
            <v>3</v>
          </cell>
          <cell r="D961"/>
          <cell r="E961">
            <v>66.5</v>
          </cell>
          <cell r="F961">
            <v>10</v>
          </cell>
          <cell r="G961">
            <v>20</v>
          </cell>
          <cell r="H961">
            <v>30</v>
          </cell>
          <cell r="I961">
            <v>40</v>
          </cell>
          <cell r="J961">
            <v>90</v>
          </cell>
          <cell r="K961">
            <v>120</v>
          </cell>
        </row>
        <row r="962">
          <cell r="A962" t="str">
            <v>HFRHS400x150x8.8</v>
          </cell>
          <cell r="B962">
            <v>3</v>
          </cell>
          <cell r="C962">
            <v>3</v>
          </cell>
          <cell r="D962"/>
          <cell r="E962">
            <v>72.900000000000006</v>
          </cell>
          <cell r="F962">
            <v>10</v>
          </cell>
          <cell r="G962">
            <v>20</v>
          </cell>
          <cell r="H962">
            <v>30</v>
          </cell>
          <cell r="I962">
            <v>40</v>
          </cell>
          <cell r="J962">
            <v>90</v>
          </cell>
          <cell r="K962">
            <v>120</v>
          </cell>
        </row>
        <row r="963">
          <cell r="A963" t="str">
            <v>HFRHS400x150x10</v>
          </cell>
          <cell r="B963">
            <v>3</v>
          </cell>
          <cell r="C963">
            <v>6</v>
          </cell>
          <cell r="D963"/>
          <cell r="E963">
            <v>82.4</v>
          </cell>
          <cell r="F963">
            <v>10</v>
          </cell>
          <cell r="G963">
            <v>20</v>
          </cell>
          <cell r="H963">
            <v>30</v>
          </cell>
          <cell r="I963">
            <v>40</v>
          </cell>
          <cell r="J963">
            <v>90</v>
          </cell>
          <cell r="K963">
            <v>120</v>
          </cell>
        </row>
        <row r="964">
          <cell r="A964" t="str">
            <v>HFRHS400x150x12.5</v>
          </cell>
          <cell r="B964">
            <v>3</v>
          </cell>
          <cell r="C964">
            <v>6</v>
          </cell>
          <cell r="D964"/>
          <cell r="E964">
            <v>102</v>
          </cell>
          <cell r="F964">
            <v>10</v>
          </cell>
          <cell r="G964">
            <v>20</v>
          </cell>
          <cell r="H964">
            <v>30</v>
          </cell>
          <cell r="I964">
            <v>40</v>
          </cell>
          <cell r="J964">
            <v>90</v>
          </cell>
          <cell r="K964">
            <v>120</v>
          </cell>
        </row>
        <row r="965">
          <cell r="A965" t="str">
            <v>HFRHS400x150x14.2</v>
          </cell>
          <cell r="B965">
            <v>3</v>
          </cell>
          <cell r="C965">
            <v>10</v>
          </cell>
          <cell r="D965"/>
          <cell r="E965">
            <v>115</v>
          </cell>
          <cell r="F965">
            <v>10</v>
          </cell>
          <cell r="G965">
            <v>20</v>
          </cell>
          <cell r="H965">
            <v>30</v>
          </cell>
          <cell r="I965">
            <v>40</v>
          </cell>
          <cell r="J965">
            <v>90</v>
          </cell>
          <cell r="K965">
            <v>120</v>
          </cell>
        </row>
        <row r="966">
          <cell r="A966" t="str">
            <v>HFRHS400x150x16</v>
          </cell>
          <cell r="B966">
            <v>3</v>
          </cell>
          <cell r="C966">
            <v>10</v>
          </cell>
          <cell r="D966"/>
          <cell r="E966">
            <v>128</v>
          </cell>
          <cell r="F966">
            <v>10</v>
          </cell>
          <cell r="G966">
            <v>20</v>
          </cell>
          <cell r="H966">
            <v>30</v>
          </cell>
          <cell r="I966">
            <v>40</v>
          </cell>
          <cell r="J966">
            <v>90</v>
          </cell>
          <cell r="K966">
            <v>120</v>
          </cell>
        </row>
        <row r="967">
          <cell r="A967" t="str">
            <v>HFRHS400x200x6.3</v>
          </cell>
          <cell r="B967">
            <v>3</v>
          </cell>
          <cell r="C967">
            <v>2</v>
          </cell>
          <cell r="D967"/>
          <cell r="E967">
            <v>57.8</v>
          </cell>
          <cell r="F967">
            <v>10</v>
          </cell>
          <cell r="G967">
            <v>20</v>
          </cell>
          <cell r="H967">
            <v>30</v>
          </cell>
          <cell r="I967">
            <v>40</v>
          </cell>
          <cell r="J967">
            <v>90</v>
          </cell>
          <cell r="K967">
            <v>120</v>
          </cell>
        </row>
        <row r="968">
          <cell r="A968" t="str">
            <v>HFRHS400x200x7.1</v>
          </cell>
          <cell r="B968">
            <v>3</v>
          </cell>
          <cell r="C968">
            <v>3</v>
          </cell>
          <cell r="D968"/>
          <cell r="E968">
            <v>64.900000000000006</v>
          </cell>
          <cell r="F968">
            <v>10</v>
          </cell>
          <cell r="G968">
            <v>20</v>
          </cell>
          <cell r="H968">
            <v>30</v>
          </cell>
          <cell r="I968">
            <v>40</v>
          </cell>
          <cell r="J968">
            <v>90</v>
          </cell>
          <cell r="K968">
            <v>120</v>
          </cell>
        </row>
        <row r="969">
          <cell r="A969" t="str">
            <v>HFRHS400x200x8</v>
          </cell>
          <cell r="B969">
            <v>3</v>
          </cell>
          <cell r="C969">
            <v>3</v>
          </cell>
          <cell r="D969"/>
          <cell r="E969">
            <v>72.8</v>
          </cell>
          <cell r="F969">
            <v>10</v>
          </cell>
          <cell r="G969">
            <v>20</v>
          </cell>
          <cell r="H969">
            <v>30</v>
          </cell>
          <cell r="I969">
            <v>40</v>
          </cell>
          <cell r="J969">
            <v>90</v>
          </cell>
          <cell r="K969">
            <v>120</v>
          </cell>
        </row>
        <row r="970">
          <cell r="A970" t="str">
            <v>HFRHS400x200x8.8</v>
          </cell>
          <cell r="B970">
            <v>3</v>
          </cell>
          <cell r="C970">
            <v>3</v>
          </cell>
          <cell r="D970"/>
          <cell r="E970">
            <v>79.8</v>
          </cell>
          <cell r="F970">
            <v>10</v>
          </cell>
          <cell r="G970">
            <v>20</v>
          </cell>
          <cell r="H970">
            <v>30</v>
          </cell>
          <cell r="I970">
            <v>40</v>
          </cell>
          <cell r="J970">
            <v>90</v>
          </cell>
          <cell r="K970">
            <v>120</v>
          </cell>
        </row>
        <row r="971">
          <cell r="A971" t="str">
            <v>HFRHS400x200x10</v>
          </cell>
          <cell r="B971">
            <v>3</v>
          </cell>
          <cell r="C971">
            <v>6</v>
          </cell>
          <cell r="D971"/>
          <cell r="E971">
            <v>90.2</v>
          </cell>
          <cell r="F971">
            <v>10</v>
          </cell>
          <cell r="G971">
            <v>20</v>
          </cell>
          <cell r="H971">
            <v>30</v>
          </cell>
          <cell r="I971">
            <v>40</v>
          </cell>
          <cell r="J971">
            <v>90</v>
          </cell>
          <cell r="K971">
            <v>120</v>
          </cell>
        </row>
        <row r="972">
          <cell r="A972" t="str">
            <v>HFRHS400x200x12.5</v>
          </cell>
          <cell r="B972">
            <v>3</v>
          </cell>
          <cell r="C972">
            <v>6</v>
          </cell>
          <cell r="D972"/>
          <cell r="E972">
            <v>112</v>
          </cell>
          <cell r="F972">
            <v>10</v>
          </cell>
          <cell r="G972">
            <v>20</v>
          </cell>
          <cell r="H972">
            <v>30</v>
          </cell>
          <cell r="I972">
            <v>40</v>
          </cell>
          <cell r="J972">
            <v>90</v>
          </cell>
          <cell r="K972">
            <v>120</v>
          </cell>
        </row>
        <row r="973">
          <cell r="A973" t="str">
            <v>HFRHS400x200x14.2</v>
          </cell>
          <cell r="B973">
            <v>3</v>
          </cell>
          <cell r="C973">
            <v>10</v>
          </cell>
          <cell r="D973"/>
          <cell r="E973">
            <v>126</v>
          </cell>
          <cell r="F973">
            <v>10</v>
          </cell>
          <cell r="G973">
            <v>20</v>
          </cell>
          <cell r="H973">
            <v>30</v>
          </cell>
          <cell r="I973">
            <v>40</v>
          </cell>
          <cell r="J973">
            <v>90</v>
          </cell>
          <cell r="K973">
            <v>120</v>
          </cell>
        </row>
        <row r="974">
          <cell r="A974" t="str">
            <v>HFRHS400x200x16</v>
          </cell>
          <cell r="B974">
            <v>3</v>
          </cell>
          <cell r="C974">
            <v>10</v>
          </cell>
          <cell r="D974"/>
          <cell r="E974">
            <v>141</v>
          </cell>
          <cell r="F974">
            <v>10</v>
          </cell>
          <cell r="G974">
            <v>20</v>
          </cell>
          <cell r="H974">
            <v>30</v>
          </cell>
          <cell r="I974">
            <v>40</v>
          </cell>
          <cell r="J974">
            <v>90</v>
          </cell>
          <cell r="K974">
            <v>120</v>
          </cell>
        </row>
        <row r="975">
          <cell r="A975" t="str">
            <v>HFRHS400x300x8</v>
          </cell>
          <cell r="B975">
            <v>3</v>
          </cell>
          <cell r="C975">
            <v>3</v>
          </cell>
          <cell r="D975"/>
          <cell r="E975">
            <v>85.4</v>
          </cell>
          <cell r="F975">
            <v>10</v>
          </cell>
          <cell r="G975">
            <v>20</v>
          </cell>
          <cell r="H975">
            <v>30</v>
          </cell>
          <cell r="I975">
            <v>40</v>
          </cell>
          <cell r="J975">
            <v>90</v>
          </cell>
          <cell r="K975">
            <v>120</v>
          </cell>
        </row>
        <row r="976">
          <cell r="A976" t="str">
            <v>HFRHS400x300x8.8</v>
          </cell>
          <cell r="B976">
            <v>3</v>
          </cell>
          <cell r="C976">
            <v>3</v>
          </cell>
          <cell r="D976"/>
          <cell r="E976">
            <v>93.6</v>
          </cell>
          <cell r="F976">
            <v>10</v>
          </cell>
          <cell r="G976">
            <v>20</v>
          </cell>
          <cell r="H976">
            <v>30</v>
          </cell>
          <cell r="I976">
            <v>40</v>
          </cell>
          <cell r="J976">
            <v>90</v>
          </cell>
          <cell r="K976">
            <v>120</v>
          </cell>
        </row>
        <row r="977">
          <cell r="A977" t="str">
            <v>HFRHS400x300x10</v>
          </cell>
          <cell r="B977">
            <v>3</v>
          </cell>
          <cell r="C977">
            <v>6</v>
          </cell>
          <cell r="D977"/>
          <cell r="E977">
            <v>106</v>
          </cell>
          <cell r="F977">
            <v>10</v>
          </cell>
          <cell r="G977">
            <v>20</v>
          </cell>
          <cell r="H977">
            <v>30</v>
          </cell>
          <cell r="I977">
            <v>40</v>
          </cell>
          <cell r="J977">
            <v>90</v>
          </cell>
          <cell r="K977">
            <v>120</v>
          </cell>
        </row>
        <row r="978">
          <cell r="A978" t="str">
            <v>HFRHS400x300x12.5</v>
          </cell>
          <cell r="B978">
            <v>3</v>
          </cell>
          <cell r="C978">
            <v>6</v>
          </cell>
          <cell r="D978"/>
          <cell r="E978">
            <v>131</v>
          </cell>
          <cell r="F978">
            <v>10</v>
          </cell>
          <cell r="G978">
            <v>20</v>
          </cell>
          <cell r="H978">
            <v>30</v>
          </cell>
          <cell r="I978">
            <v>40</v>
          </cell>
          <cell r="J978">
            <v>90</v>
          </cell>
          <cell r="K978">
            <v>120</v>
          </cell>
        </row>
        <row r="979">
          <cell r="A979" t="str">
            <v>HFRHS400x300x14.2</v>
          </cell>
          <cell r="B979">
            <v>3</v>
          </cell>
          <cell r="C979">
            <v>10</v>
          </cell>
          <cell r="D979"/>
          <cell r="E979">
            <v>148</v>
          </cell>
          <cell r="F979">
            <v>10</v>
          </cell>
          <cell r="G979">
            <v>20</v>
          </cell>
          <cell r="H979">
            <v>30</v>
          </cell>
          <cell r="I979">
            <v>40</v>
          </cell>
          <cell r="J979">
            <v>90</v>
          </cell>
          <cell r="K979">
            <v>120</v>
          </cell>
        </row>
        <row r="980">
          <cell r="A980" t="str">
            <v>HFRHS400x300x16</v>
          </cell>
          <cell r="B980">
            <v>3</v>
          </cell>
          <cell r="C980">
            <v>10</v>
          </cell>
          <cell r="D980"/>
          <cell r="E980">
            <v>166</v>
          </cell>
          <cell r="F980">
            <v>10</v>
          </cell>
          <cell r="G980">
            <v>20</v>
          </cell>
          <cell r="H980">
            <v>30</v>
          </cell>
          <cell r="I980">
            <v>40</v>
          </cell>
          <cell r="J980">
            <v>90</v>
          </cell>
          <cell r="K980">
            <v>120</v>
          </cell>
        </row>
        <row r="981">
          <cell r="A981" t="str">
            <v>HFRHS450x250x8</v>
          </cell>
          <cell r="B981">
            <v>3</v>
          </cell>
          <cell r="C981">
            <v>3</v>
          </cell>
          <cell r="D981"/>
          <cell r="E981">
            <v>85.4</v>
          </cell>
          <cell r="F981">
            <v>10</v>
          </cell>
          <cell r="G981">
            <v>20</v>
          </cell>
          <cell r="H981">
            <v>30</v>
          </cell>
          <cell r="I981">
            <v>40</v>
          </cell>
          <cell r="J981">
            <v>90</v>
          </cell>
          <cell r="K981">
            <v>120</v>
          </cell>
        </row>
        <row r="982">
          <cell r="A982" t="str">
            <v>HFRHS450x250x8.8</v>
          </cell>
          <cell r="B982">
            <v>3</v>
          </cell>
          <cell r="C982">
            <v>3</v>
          </cell>
          <cell r="D982"/>
          <cell r="E982">
            <v>93.6</v>
          </cell>
          <cell r="F982">
            <v>10</v>
          </cell>
          <cell r="G982">
            <v>20</v>
          </cell>
          <cell r="H982">
            <v>30</v>
          </cell>
          <cell r="I982">
            <v>40</v>
          </cell>
          <cell r="J982">
            <v>90</v>
          </cell>
          <cell r="K982">
            <v>120</v>
          </cell>
        </row>
        <row r="983">
          <cell r="A983" t="str">
            <v>HFRHS450x250x10</v>
          </cell>
          <cell r="B983">
            <v>3</v>
          </cell>
          <cell r="C983">
            <v>6</v>
          </cell>
          <cell r="D983"/>
          <cell r="E983">
            <v>106</v>
          </cell>
          <cell r="F983">
            <v>10</v>
          </cell>
          <cell r="G983">
            <v>20</v>
          </cell>
          <cell r="H983">
            <v>30</v>
          </cell>
          <cell r="I983">
            <v>40</v>
          </cell>
          <cell r="J983">
            <v>90</v>
          </cell>
          <cell r="K983">
            <v>120</v>
          </cell>
        </row>
        <row r="984">
          <cell r="A984" t="str">
            <v>HFRHS450x250x12.5</v>
          </cell>
          <cell r="B984">
            <v>3</v>
          </cell>
          <cell r="C984">
            <v>6</v>
          </cell>
          <cell r="D984"/>
          <cell r="E984">
            <v>131</v>
          </cell>
          <cell r="F984">
            <v>10</v>
          </cell>
          <cell r="G984">
            <v>20</v>
          </cell>
          <cell r="H984">
            <v>30</v>
          </cell>
          <cell r="I984">
            <v>40</v>
          </cell>
          <cell r="J984">
            <v>90</v>
          </cell>
          <cell r="K984">
            <v>120</v>
          </cell>
        </row>
        <row r="985">
          <cell r="A985" t="str">
            <v>HFRHS450x250x14.2</v>
          </cell>
          <cell r="B985">
            <v>3</v>
          </cell>
          <cell r="C985">
            <v>10</v>
          </cell>
          <cell r="D985"/>
          <cell r="E985">
            <v>148</v>
          </cell>
          <cell r="F985">
            <v>10</v>
          </cell>
          <cell r="G985">
            <v>20</v>
          </cell>
          <cell r="H985">
            <v>30</v>
          </cell>
          <cell r="I985">
            <v>40</v>
          </cell>
          <cell r="J985">
            <v>90</v>
          </cell>
          <cell r="K985">
            <v>120</v>
          </cell>
        </row>
        <row r="986">
          <cell r="A986" t="str">
            <v>HFRHS450x250x16</v>
          </cell>
          <cell r="B986">
            <v>3</v>
          </cell>
          <cell r="C986">
            <v>10</v>
          </cell>
          <cell r="D986"/>
          <cell r="E986">
            <v>166</v>
          </cell>
          <cell r="F986">
            <v>10</v>
          </cell>
          <cell r="G986">
            <v>20</v>
          </cell>
          <cell r="H986">
            <v>30</v>
          </cell>
          <cell r="I986">
            <v>40</v>
          </cell>
          <cell r="J986">
            <v>90</v>
          </cell>
          <cell r="K986">
            <v>120</v>
          </cell>
        </row>
        <row r="987">
          <cell r="A987" t="str">
            <v>HFRHS500x200x8</v>
          </cell>
          <cell r="B987">
            <v>3</v>
          </cell>
          <cell r="C987">
            <v>3</v>
          </cell>
          <cell r="D987"/>
          <cell r="E987">
            <v>85.4</v>
          </cell>
          <cell r="F987">
            <v>10</v>
          </cell>
          <cell r="G987">
            <v>20</v>
          </cell>
          <cell r="H987">
            <v>30</v>
          </cell>
          <cell r="I987">
            <v>40</v>
          </cell>
          <cell r="J987">
            <v>90</v>
          </cell>
          <cell r="K987">
            <v>120</v>
          </cell>
        </row>
        <row r="988">
          <cell r="A988" t="str">
            <v>HFRHS500x200x8.8</v>
          </cell>
          <cell r="B988">
            <v>3</v>
          </cell>
          <cell r="C988">
            <v>3</v>
          </cell>
          <cell r="D988"/>
          <cell r="E988">
            <v>93.6</v>
          </cell>
          <cell r="F988">
            <v>10</v>
          </cell>
          <cell r="G988">
            <v>20</v>
          </cell>
          <cell r="H988">
            <v>30</v>
          </cell>
          <cell r="I988">
            <v>40</v>
          </cell>
          <cell r="J988">
            <v>90</v>
          </cell>
          <cell r="K988">
            <v>120</v>
          </cell>
        </row>
        <row r="989">
          <cell r="A989" t="str">
            <v>HFRHS500x200x10</v>
          </cell>
          <cell r="B989">
            <v>3</v>
          </cell>
          <cell r="C989">
            <v>6</v>
          </cell>
          <cell r="D989"/>
          <cell r="E989">
            <v>106</v>
          </cell>
          <cell r="F989">
            <v>10</v>
          </cell>
          <cell r="G989">
            <v>20</v>
          </cell>
          <cell r="H989">
            <v>30</v>
          </cell>
          <cell r="I989">
            <v>40</v>
          </cell>
          <cell r="J989">
            <v>90</v>
          </cell>
          <cell r="K989">
            <v>120</v>
          </cell>
        </row>
        <row r="990">
          <cell r="A990" t="str">
            <v>HFRHS500x200x12.5</v>
          </cell>
          <cell r="B990">
            <v>3</v>
          </cell>
          <cell r="C990">
            <v>6</v>
          </cell>
          <cell r="D990"/>
          <cell r="E990">
            <v>131</v>
          </cell>
          <cell r="F990">
            <v>10</v>
          </cell>
          <cell r="G990">
            <v>20</v>
          </cell>
          <cell r="H990">
            <v>30</v>
          </cell>
          <cell r="I990">
            <v>40</v>
          </cell>
          <cell r="J990">
            <v>90</v>
          </cell>
          <cell r="K990">
            <v>120</v>
          </cell>
        </row>
        <row r="991">
          <cell r="A991" t="str">
            <v>HFRHS500x200x14.2</v>
          </cell>
          <cell r="B991">
            <v>3</v>
          </cell>
          <cell r="C991">
            <v>10</v>
          </cell>
          <cell r="D991"/>
          <cell r="E991">
            <v>148</v>
          </cell>
          <cell r="F991">
            <v>10</v>
          </cell>
          <cell r="G991">
            <v>20</v>
          </cell>
          <cell r="H991">
            <v>30</v>
          </cell>
          <cell r="I991">
            <v>40</v>
          </cell>
          <cell r="J991">
            <v>90</v>
          </cell>
          <cell r="K991">
            <v>120</v>
          </cell>
        </row>
        <row r="992">
          <cell r="A992" t="str">
            <v>HFRHS500x200x16</v>
          </cell>
          <cell r="B992">
            <v>3</v>
          </cell>
          <cell r="C992">
            <v>10</v>
          </cell>
          <cell r="D992"/>
          <cell r="E992">
            <v>166</v>
          </cell>
          <cell r="F992">
            <v>10</v>
          </cell>
          <cell r="G992">
            <v>20</v>
          </cell>
          <cell r="H992">
            <v>30</v>
          </cell>
          <cell r="I992">
            <v>40</v>
          </cell>
          <cell r="J992">
            <v>90</v>
          </cell>
          <cell r="K992">
            <v>120</v>
          </cell>
        </row>
        <row r="993">
          <cell r="A993" t="str">
            <v>HFRHS500x300x8</v>
          </cell>
          <cell r="B993">
            <v>3</v>
          </cell>
          <cell r="C993">
            <v>3</v>
          </cell>
          <cell r="D993"/>
          <cell r="E993">
            <v>97.9</v>
          </cell>
          <cell r="F993">
            <v>10</v>
          </cell>
          <cell r="G993">
            <v>20</v>
          </cell>
          <cell r="H993">
            <v>30</v>
          </cell>
          <cell r="I993">
            <v>40</v>
          </cell>
          <cell r="J993">
            <v>90</v>
          </cell>
          <cell r="K993">
            <v>120</v>
          </cell>
        </row>
        <row r="994">
          <cell r="A994" t="str">
            <v>HFRHS500x300x8.8</v>
          </cell>
          <cell r="B994">
            <v>3</v>
          </cell>
          <cell r="C994">
            <v>3</v>
          </cell>
          <cell r="D994"/>
          <cell r="E994">
            <v>107</v>
          </cell>
          <cell r="F994">
            <v>10</v>
          </cell>
          <cell r="G994">
            <v>20</v>
          </cell>
          <cell r="H994">
            <v>30</v>
          </cell>
          <cell r="I994">
            <v>40</v>
          </cell>
          <cell r="J994">
            <v>90</v>
          </cell>
          <cell r="K994">
            <v>120</v>
          </cell>
        </row>
        <row r="995">
          <cell r="A995" t="str">
            <v>HFRHS500x300x10</v>
          </cell>
          <cell r="B995">
            <v>3</v>
          </cell>
          <cell r="C995">
            <v>6</v>
          </cell>
          <cell r="D995"/>
          <cell r="E995">
            <v>122</v>
          </cell>
          <cell r="F995">
            <v>10</v>
          </cell>
          <cell r="G995">
            <v>20</v>
          </cell>
          <cell r="H995">
            <v>30</v>
          </cell>
          <cell r="I995">
            <v>40</v>
          </cell>
          <cell r="J995">
            <v>90</v>
          </cell>
          <cell r="K995">
            <v>120</v>
          </cell>
        </row>
        <row r="996">
          <cell r="A996" t="str">
            <v>HFRHS500x300x12.5</v>
          </cell>
          <cell r="B996">
            <v>3</v>
          </cell>
          <cell r="C996">
            <v>6</v>
          </cell>
          <cell r="D996"/>
          <cell r="E996">
            <v>151</v>
          </cell>
          <cell r="F996">
            <v>10</v>
          </cell>
          <cell r="G996">
            <v>20</v>
          </cell>
          <cell r="H996">
            <v>30</v>
          </cell>
          <cell r="I996">
            <v>40</v>
          </cell>
          <cell r="J996">
            <v>90</v>
          </cell>
          <cell r="K996">
            <v>120</v>
          </cell>
        </row>
        <row r="997">
          <cell r="A997" t="str">
            <v>HFRHS500x300x14.2</v>
          </cell>
          <cell r="B997">
            <v>3</v>
          </cell>
          <cell r="C997">
            <v>10</v>
          </cell>
          <cell r="D997"/>
          <cell r="E997">
            <v>170</v>
          </cell>
          <cell r="F997">
            <v>10</v>
          </cell>
          <cell r="G997">
            <v>20</v>
          </cell>
          <cell r="H997">
            <v>30</v>
          </cell>
          <cell r="I997">
            <v>40</v>
          </cell>
          <cell r="J997">
            <v>90</v>
          </cell>
          <cell r="K997">
            <v>120</v>
          </cell>
        </row>
        <row r="998">
          <cell r="A998" t="str">
            <v>HFRHS500x300x16</v>
          </cell>
          <cell r="B998">
            <v>3</v>
          </cell>
          <cell r="C998">
            <v>10</v>
          </cell>
          <cell r="D998"/>
          <cell r="E998">
            <v>191</v>
          </cell>
          <cell r="F998">
            <v>10</v>
          </cell>
          <cell r="G998">
            <v>20</v>
          </cell>
          <cell r="H998">
            <v>30</v>
          </cell>
          <cell r="I998">
            <v>40</v>
          </cell>
          <cell r="J998">
            <v>90</v>
          </cell>
          <cell r="K998">
            <v>120</v>
          </cell>
        </row>
        <row r="999">
          <cell r="A999" t="str">
            <v>HFRHS500x300x20</v>
          </cell>
          <cell r="B999">
            <v>3</v>
          </cell>
          <cell r="C999">
            <v>15</v>
          </cell>
          <cell r="D999"/>
          <cell r="E999">
            <v>235</v>
          </cell>
          <cell r="F999">
            <v>10</v>
          </cell>
          <cell r="G999">
            <v>20</v>
          </cell>
          <cell r="H999">
            <v>30</v>
          </cell>
          <cell r="I999">
            <v>40</v>
          </cell>
          <cell r="J999">
            <v>90</v>
          </cell>
          <cell r="K999">
            <v>120</v>
          </cell>
        </row>
        <row r="1000">
          <cell r="A1000" t="str">
            <v>HFSHS40x40x3</v>
          </cell>
          <cell r="B1000">
            <v>1</v>
          </cell>
          <cell r="C1000">
            <v>1</v>
          </cell>
          <cell r="D1000"/>
          <cell r="E1000">
            <v>3.4</v>
          </cell>
          <cell r="F1000">
            <v>2</v>
          </cell>
          <cell r="G1000">
            <v>5</v>
          </cell>
          <cell r="H1000">
            <v>10</v>
          </cell>
          <cell r="I1000">
            <v>20</v>
          </cell>
          <cell r="J1000">
            <v>30</v>
          </cell>
          <cell r="K1000">
            <v>60</v>
          </cell>
        </row>
        <row r="1001">
          <cell r="A1001" t="str">
            <v>HFSHS40x40x3.2</v>
          </cell>
          <cell r="B1001">
            <v>1</v>
          </cell>
          <cell r="C1001">
            <v>1</v>
          </cell>
          <cell r="D1001"/>
          <cell r="E1001">
            <v>3.6</v>
          </cell>
          <cell r="F1001">
            <v>2</v>
          </cell>
          <cell r="G1001">
            <v>5</v>
          </cell>
          <cell r="H1001">
            <v>10</v>
          </cell>
          <cell r="I1001">
            <v>20</v>
          </cell>
          <cell r="J1001">
            <v>30</v>
          </cell>
          <cell r="K1001">
            <v>60</v>
          </cell>
        </row>
        <row r="1002">
          <cell r="A1002" t="str">
            <v>HFSHS40x40x3.6</v>
          </cell>
          <cell r="B1002">
            <v>1</v>
          </cell>
          <cell r="C1002">
            <v>1</v>
          </cell>
          <cell r="D1002"/>
          <cell r="E1002">
            <v>4</v>
          </cell>
          <cell r="F1002">
            <v>2</v>
          </cell>
          <cell r="G1002">
            <v>5</v>
          </cell>
          <cell r="H1002">
            <v>10</v>
          </cell>
          <cell r="I1002">
            <v>20</v>
          </cell>
          <cell r="J1002">
            <v>30</v>
          </cell>
          <cell r="K1002">
            <v>60</v>
          </cell>
        </row>
        <row r="1003">
          <cell r="A1003" t="str">
            <v>HFSHS40x40x4</v>
          </cell>
          <cell r="B1003">
            <v>1</v>
          </cell>
          <cell r="C1003">
            <v>1</v>
          </cell>
          <cell r="D1003"/>
          <cell r="E1003">
            <v>4.4000000000000004</v>
          </cell>
          <cell r="F1003">
            <v>2</v>
          </cell>
          <cell r="G1003">
            <v>5</v>
          </cell>
          <cell r="H1003">
            <v>10</v>
          </cell>
          <cell r="I1003">
            <v>20</v>
          </cell>
          <cell r="J1003">
            <v>30</v>
          </cell>
          <cell r="K1003">
            <v>60</v>
          </cell>
        </row>
        <row r="1004">
          <cell r="A1004" t="str">
            <v>HFSHS40x40x5</v>
          </cell>
          <cell r="B1004">
            <v>1</v>
          </cell>
          <cell r="C1004">
            <v>1</v>
          </cell>
          <cell r="D1004"/>
          <cell r="E1004">
            <v>5.3</v>
          </cell>
          <cell r="F1004">
            <v>2</v>
          </cell>
          <cell r="G1004">
            <v>5</v>
          </cell>
          <cell r="H1004">
            <v>10</v>
          </cell>
          <cell r="I1004">
            <v>20</v>
          </cell>
          <cell r="J1004">
            <v>30</v>
          </cell>
          <cell r="K1004">
            <v>60</v>
          </cell>
        </row>
        <row r="1005">
          <cell r="A1005" t="str">
            <v>HFSHS50x50x3</v>
          </cell>
          <cell r="B1005">
            <v>1</v>
          </cell>
          <cell r="C1005">
            <v>1</v>
          </cell>
          <cell r="D1005"/>
          <cell r="E1005">
            <v>4.4000000000000004</v>
          </cell>
          <cell r="F1005">
            <v>2</v>
          </cell>
          <cell r="G1005">
            <v>5</v>
          </cell>
          <cell r="H1005">
            <v>10</v>
          </cell>
          <cell r="I1005">
            <v>20</v>
          </cell>
          <cell r="J1005">
            <v>30</v>
          </cell>
          <cell r="K1005">
            <v>60</v>
          </cell>
        </row>
        <row r="1006">
          <cell r="A1006" t="str">
            <v>HFSHS50x50x3.2</v>
          </cell>
          <cell r="B1006">
            <v>1</v>
          </cell>
          <cell r="C1006">
            <v>1</v>
          </cell>
          <cell r="D1006"/>
          <cell r="E1006">
            <v>4.5999999999999996</v>
          </cell>
          <cell r="F1006">
            <v>2</v>
          </cell>
          <cell r="G1006">
            <v>5</v>
          </cell>
          <cell r="H1006">
            <v>10</v>
          </cell>
          <cell r="I1006">
            <v>20</v>
          </cell>
          <cell r="J1006">
            <v>30</v>
          </cell>
          <cell r="K1006">
            <v>60</v>
          </cell>
        </row>
        <row r="1007">
          <cell r="A1007" t="str">
            <v>HFSHS50x50x3.6</v>
          </cell>
          <cell r="B1007">
            <v>1</v>
          </cell>
          <cell r="C1007">
            <v>1</v>
          </cell>
          <cell r="D1007"/>
          <cell r="E1007">
            <v>5.0999999999999996</v>
          </cell>
          <cell r="F1007">
            <v>2</v>
          </cell>
          <cell r="G1007">
            <v>5</v>
          </cell>
          <cell r="H1007">
            <v>10</v>
          </cell>
          <cell r="I1007">
            <v>20</v>
          </cell>
          <cell r="J1007">
            <v>30</v>
          </cell>
          <cell r="K1007">
            <v>60</v>
          </cell>
        </row>
        <row r="1008">
          <cell r="A1008" t="str">
            <v>HFSHS50x50x4</v>
          </cell>
          <cell r="B1008">
            <v>1</v>
          </cell>
          <cell r="C1008">
            <v>1</v>
          </cell>
          <cell r="D1008"/>
          <cell r="E1008">
            <v>5.6</v>
          </cell>
          <cell r="F1008">
            <v>2</v>
          </cell>
          <cell r="G1008">
            <v>5</v>
          </cell>
          <cell r="H1008">
            <v>10</v>
          </cell>
          <cell r="I1008">
            <v>20</v>
          </cell>
          <cell r="J1008">
            <v>30</v>
          </cell>
          <cell r="K1008">
            <v>60</v>
          </cell>
        </row>
        <row r="1009">
          <cell r="A1009" t="str">
            <v>HFSHS50x50x5</v>
          </cell>
          <cell r="B1009">
            <v>1</v>
          </cell>
          <cell r="C1009">
            <v>1</v>
          </cell>
          <cell r="D1009"/>
          <cell r="E1009">
            <v>6.9</v>
          </cell>
          <cell r="F1009">
            <v>2</v>
          </cell>
          <cell r="G1009">
            <v>5</v>
          </cell>
          <cell r="H1009">
            <v>10</v>
          </cell>
          <cell r="I1009">
            <v>20</v>
          </cell>
          <cell r="J1009">
            <v>30</v>
          </cell>
          <cell r="K1009">
            <v>60</v>
          </cell>
        </row>
        <row r="1010">
          <cell r="A1010" t="str">
            <v>HFSHS50x50x6.3</v>
          </cell>
          <cell r="B1010">
            <v>1</v>
          </cell>
          <cell r="C1010">
            <v>1</v>
          </cell>
          <cell r="D1010"/>
          <cell r="E1010">
            <v>8.3000000000000007</v>
          </cell>
          <cell r="F1010">
            <v>2</v>
          </cell>
          <cell r="G1010">
            <v>5</v>
          </cell>
          <cell r="H1010">
            <v>10</v>
          </cell>
          <cell r="I1010">
            <v>20</v>
          </cell>
          <cell r="J1010">
            <v>30</v>
          </cell>
          <cell r="K1010">
            <v>60</v>
          </cell>
        </row>
        <row r="1011">
          <cell r="A1011" t="str">
            <v>HFSHS50x50x7.1</v>
          </cell>
          <cell r="B1011">
            <v>1</v>
          </cell>
          <cell r="C1011">
            <v>3</v>
          </cell>
          <cell r="D1011"/>
          <cell r="E1011">
            <v>9.1</v>
          </cell>
          <cell r="F1011">
            <v>2</v>
          </cell>
          <cell r="G1011">
            <v>5</v>
          </cell>
          <cell r="H1011">
            <v>10</v>
          </cell>
          <cell r="I1011">
            <v>20</v>
          </cell>
          <cell r="J1011">
            <v>30</v>
          </cell>
          <cell r="K1011">
            <v>60</v>
          </cell>
        </row>
        <row r="1012">
          <cell r="A1012" t="str">
            <v>HFSHS50x50x8</v>
          </cell>
          <cell r="B1012">
            <v>1</v>
          </cell>
          <cell r="C1012">
            <v>3</v>
          </cell>
          <cell r="D1012"/>
          <cell r="E1012">
            <v>10</v>
          </cell>
          <cell r="F1012">
            <v>2</v>
          </cell>
          <cell r="G1012">
            <v>5</v>
          </cell>
          <cell r="H1012">
            <v>10</v>
          </cell>
          <cell r="I1012">
            <v>20</v>
          </cell>
          <cell r="J1012">
            <v>30</v>
          </cell>
          <cell r="K1012">
            <v>60</v>
          </cell>
        </row>
        <row r="1013">
          <cell r="A1013" t="str">
            <v>HFSHS60x60x3</v>
          </cell>
          <cell r="B1013">
            <v>1</v>
          </cell>
          <cell r="C1013">
            <v>1</v>
          </cell>
          <cell r="D1013"/>
          <cell r="E1013">
            <v>5.3</v>
          </cell>
          <cell r="F1013">
            <v>2</v>
          </cell>
          <cell r="G1013">
            <v>5</v>
          </cell>
          <cell r="H1013">
            <v>10</v>
          </cell>
          <cell r="I1013">
            <v>20</v>
          </cell>
          <cell r="J1013">
            <v>30</v>
          </cell>
          <cell r="K1013">
            <v>60</v>
          </cell>
        </row>
        <row r="1014">
          <cell r="A1014" t="str">
            <v>HFSHS60x60x3.2</v>
          </cell>
          <cell r="B1014">
            <v>1</v>
          </cell>
          <cell r="C1014">
            <v>1</v>
          </cell>
          <cell r="D1014"/>
          <cell r="E1014">
            <v>5.6</v>
          </cell>
          <cell r="F1014">
            <v>2</v>
          </cell>
          <cell r="G1014">
            <v>5</v>
          </cell>
          <cell r="H1014">
            <v>10</v>
          </cell>
          <cell r="I1014">
            <v>20</v>
          </cell>
          <cell r="J1014">
            <v>30</v>
          </cell>
          <cell r="K1014">
            <v>60</v>
          </cell>
        </row>
        <row r="1015">
          <cell r="A1015" t="str">
            <v>HFSHS60x60x3.6</v>
          </cell>
          <cell r="B1015">
            <v>1</v>
          </cell>
          <cell r="C1015">
            <v>1</v>
          </cell>
          <cell r="D1015"/>
          <cell r="E1015">
            <v>6.3</v>
          </cell>
          <cell r="F1015">
            <v>2</v>
          </cell>
          <cell r="G1015">
            <v>5</v>
          </cell>
          <cell r="H1015">
            <v>10</v>
          </cell>
          <cell r="I1015">
            <v>20</v>
          </cell>
          <cell r="J1015">
            <v>30</v>
          </cell>
          <cell r="K1015">
            <v>60</v>
          </cell>
        </row>
        <row r="1016">
          <cell r="A1016" t="str">
            <v>HFSHS60x60x4</v>
          </cell>
          <cell r="B1016">
            <v>1</v>
          </cell>
          <cell r="C1016">
            <v>1</v>
          </cell>
          <cell r="D1016"/>
          <cell r="E1016">
            <v>6.9</v>
          </cell>
          <cell r="F1016">
            <v>2</v>
          </cell>
          <cell r="G1016">
            <v>5</v>
          </cell>
          <cell r="H1016">
            <v>10</v>
          </cell>
          <cell r="I1016">
            <v>20</v>
          </cell>
          <cell r="J1016">
            <v>30</v>
          </cell>
          <cell r="K1016">
            <v>60</v>
          </cell>
        </row>
        <row r="1017">
          <cell r="A1017" t="str">
            <v>HFSHS60x60x5</v>
          </cell>
          <cell r="B1017">
            <v>1</v>
          </cell>
          <cell r="C1017">
            <v>1</v>
          </cell>
          <cell r="D1017"/>
          <cell r="E1017">
            <v>8.4</v>
          </cell>
          <cell r="F1017">
            <v>2</v>
          </cell>
          <cell r="G1017">
            <v>5</v>
          </cell>
          <cell r="H1017">
            <v>10</v>
          </cell>
          <cell r="I1017">
            <v>20</v>
          </cell>
          <cell r="J1017">
            <v>30</v>
          </cell>
          <cell r="K1017">
            <v>60</v>
          </cell>
        </row>
        <row r="1018">
          <cell r="A1018" t="str">
            <v>HFSHS60x60x6.3</v>
          </cell>
          <cell r="B1018">
            <v>1</v>
          </cell>
          <cell r="C1018">
            <v>1</v>
          </cell>
          <cell r="D1018"/>
          <cell r="E1018">
            <v>10.3</v>
          </cell>
          <cell r="F1018">
            <v>2</v>
          </cell>
          <cell r="G1018">
            <v>5</v>
          </cell>
          <cell r="H1018">
            <v>10</v>
          </cell>
          <cell r="I1018">
            <v>20</v>
          </cell>
          <cell r="J1018">
            <v>30</v>
          </cell>
          <cell r="K1018">
            <v>60</v>
          </cell>
        </row>
        <row r="1019">
          <cell r="A1019" t="str">
            <v>HFSHS60x60x7.1</v>
          </cell>
          <cell r="B1019">
            <v>1</v>
          </cell>
          <cell r="C1019">
            <v>3</v>
          </cell>
          <cell r="D1019"/>
          <cell r="E1019">
            <v>11.4</v>
          </cell>
          <cell r="F1019">
            <v>2</v>
          </cell>
          <cell r="G1019">
            <v>5</v>
          </cell>
          <cell r="H1019">
            <v>10</v>
          </cell>
          <cell r="I1019">
            <v>20</v>
          </cell>
          <cell r="J1019">
            <v>30</v>
          </cell>
          <cell r="K1019">
            <v>60</v>
          </cell>
        </row>
        <row r="1020">
          <cell r="A1020" t="str">
            <v>HFSHS60x60x8</v>
          </cell>
          <cell r="B1020">
            <v>1</v>
          </cell>
          <cell r="C1020">
            <v>3</v>
          </cell>
          <cell r="D1020"/>
          <cell r="E1020">
            <v>12.5</v>
          </cell>
          <cell r="F1020">
            <v>2</v>
          </cell>
          <cell r="G1020">
            <v>5</v>
          </cell>
          <cell r="H1020">
            <v>10</v>
          </cell>
          <cell r="I1020">
            <v>20</v>
          </cell>
          <cell r="J1020">
            <v>30</v>
          </cell>
          <cell r="K1020">
            <v>60</v>
          </cell>
        </row>
        <row r="1021">
          <cell r="A1021" t="str">
            <v>HFSHS70x70x3</v>
          </cell>
          <cell r="B1021">
            <v>1</v>
          </cell>
          <cell r="C1021">
            <v>1</v>
          </cell>
          <cell r="D1021"/>
          <cell r="E1021">
            <v>6.2</v>
          </cell>
          <cell r="F1021">
            <v>2</v>
          </cell>
          <cell r="G1021">
            <v>5</v>
          </cell>
          <cell r="H1021">
            <v>10</v>
          </cell>
          <cell r="I1021">
            <v>20</v>
          </cell>
          <cell r="J1021">
            <v>30</v>
          </cell>
          <cell r="K1021">
            <v>60</v>
          </cell>
        </row>
        <row r="1022">
          <cell r="A1022" t="str">
            <v>HFSHS70x70x3.2</v>
          </cell>
          <cell r="B1022">
            <v>1</v>
          </cell>
          <cell r="C1022">
            <v>1</v>
          </cell>
          <cell r="D1022"/>
          <cell r="E1022">
            <v>6.6</v>
          </cell>
          <cell r="F1022">
            <v>2</v>
          </cell>
          <cell r="G1022">
            <v>5</v>
          </cell>
          <cell r="H1022">
            <v>10</v>
          </cell>
          <cell r="I1022">
            <v>20</v>
          </cell>
          <cell r="J1022">
            <v>30</v>
          </cell>
          <cell r="K1022">
            <v>60</v>
          </cell>
        </row>
        <row r="1023">
          <cell r="A1023" t="str">
            <v>HFSHS70x70x3.6</v>
          </cell>
          <cell r="B1023">
            <v>1</v>
          </cell>
          <cell r="C1023">
            <v>1</v>
          </cell>
          <cell r="D1023"/>
          <cell r="E1023">
            <v>7.4</v>
          </cell>
          <cell r="F1023">
            <v>2</v>
          </cell>
          <cell r="G1023">
            <v>5</v>
          </cell>
          <cell r="H1023">
            <v>10</v>
          </cell>
          <cell r="I1023">
            <v>20</v>
          </cell>
          <cell r="J1023">
            <v>30</v>
          </cell>
          <cell r="K1023">
            <v>60</v>
          </cell>
        </row>
        <row r="1024">
          <cell r="A1024" t="str">
            <v>HFSHS70x70x4</v>
          </cell>
          <cell r="B1024">
            <v>1</v>
          </cell>
          <cell r="C1024">
            <v>1</v>
          </cell>
          <cell r="D1024"/>
          <cell r="E1024">
            <v>8.1999999999999993</v>
          </cell>
          <cell r="F1024">
            <v>2</v>
          </cell>
          <cell r="G1024">
            <v>5</v>
          </cell>
          <cell r="H1024">
            <v>10</v>
          </cell>
          <cell r="I1024">
            <v>20</v>
          </cell>
          <cell r="J1024">
            <v>30</v>
          </cell>
          <cell r="K1024">
            <v>60</v>
          </cell>
        </row>
        <row r="1025">
          <cell r="A1025" t="str">
            <v>HFSHS70x70x5</v>
          </cell>
          <cell r="B1025">
            <v>1</v>
          </cell>
          <cell r="C1025">
            <v>1</v>
          </cell>
          <cell r="D1025"/>
          <cell r="E1025">
            <v>10</v>
          </cell>
          <cell r="F1025">
            <v>2</v>
          </cell>
          <cell r="G1025">
            <v>5</v>
          </cell>
          <cell r="H1025">
            <v>10</v>
          </cell>
          <cell r="I1025">
            <v>20</v>
          </cell>
          <cell r="J1025">
            <v>30</v>
          </cell>
          <cell r="K1025">
            <v>60</v>
          </cell>
        </row>
        <row r="1026">
          <cell r="A1026" t="str">
            <v>HFSHS70x70x6.3</v>
          </cell>
          <cell r="B1026">
            <v>1</v>
          </cell>
          <cell r="C1026">
            <v>1</v>
          </cell>
          <cell r="D1026"/>
          <cell r="E1026">
            <v>12.3</v>
          </cell>
          <cell r="F1026">
            <v>2</v>
          </cell>
          <cell r="G1026">
            <v>5</v>
          </cell>
          <cell r="H1026">
            <v>10</v>
          </cell>
          <cell r="I1026">
            <v>20</v>
          </cell>
          <cell r="J1026">
            <v>30</v>
          </cell>
          <cell r="K1026">
            <v>60</v>
          </cell>
        </row>
        <row r="1027">
          <cell r="A1027" t="str">
            <v>HFSHS70x70x7.1</v>
          </cell>
          <cell r="B1027">
            <v>1</v>
          </cell>
          <cell r="C1027">
            <v>3</v>
          </cell>
          <cell r="D1027"/>
          <cell r="E1027">
            <v>13.6</v>
          </cell>
          <cell r="F1027">
            <v>2</v>
          </cell>
          <cell r="G1027">
            <v>5</v>
          </cell>
          <cell r="H1027">
            <v>10</v>
          </cell>
          <cell r="I1027">
            <v>20</v>
          </cell>
          <cell r="J1027">
            <v>30</v>
          </cell>
          <cell r="K1027">
            <v>60</v>
          </cell>
        </row>
        <row r="1028">
          <cell r="A1028" t="str">
            <v>HFSHS70x70x8</v>
          </cell>
          <cell r="B1028">
            <v>1</v>
          </cell>
          <cell r="C1028">
            <v>3</v>
          </cell>
          <cell r="D1028"/>
          <cell r="E1028">
            <v>15</v>
          </cell>
          <cell r="F1028">
            <v>2</v>
          </cell>
          <cell r="G1028">
            <v>5</v>
          </cell>
          <cell r="H1028">
            <v>10</v>
          </cell>
          <cell r="I1028">
            <v>20</v>
          </cell>
          <cell r="J1028">
            <v>30</v>
          </cell>
          <cell r="K1028">
            <v>60</v>
          </cell>
        </row>
        <row r="1029">
          <cell r="A1029" t="str">
            <v>HFSHS70x70x8.8</v>
          </cell>
          <cell r="B1029">
            <v>1</v>
          </cell>
          <cell r="C1029">
            <v>3</v>
          </cell>
          <cell r="D1029"/>
          <cell r="E1029">
            <v>16.3</v>
          </cell>
          <cell r="F1029">
            <v>2</v>
          </cell>
          <cell r="G1029">
            <v>5</v>
          </cell>
          <cell r="H1029">
            <v>10</v>
          </cell>
          <cell r="I1029">
            <v>20</v>
          </cell>
          <cell r="J1029">
            <v>30</v>
          </cell>
          <cell r="K1029">
            <v>60</v>
          </cell>
        </row>
        <row r="1030">
          <cell r="A1030" t="str">
            <v>HFSHS80x80x3</v>
          </cell>
          <cell r="B1030">
            <v>1</v>
          </cell>
          <cell r="C1030">
            <v>1</v>
          </cell>
          <cell r="D1030"/>
          <cell r="E1030">
            <v>7.2</v>
          </cell>
          <cell r="F1030">
            <v>2</v>
          </cell>
          <cell r="G1030">
            <v>5</v>
          </cell>
          <cell r="H1030">
            <v>10</v>
          </cell>
          <cell r="I1030">
            <v>20</v>
          </cell>
          <cell r="J1030">
            <v>30</v>
          </cell>
          <cell r="K1030">
            <v>60</v>
          </cell>
        </row>
        <row r="1031">
          <cell r="A1031" t="str">
            <v>HFSHS80x80x3.2</v>
          </cell>
          <cell r="B1031">
            <v>1</v>
          </cell>
          <cell r="C1031">
            <v>1</v>
          </cell>
          <cell r="D1031"/>
          <cell r="E1031">
            <v>7.6</v>
          </cell>
          <cell r="F1031">
            <v>2</v>
          </cell>
          <cell r="G1031">
            <v>5</v>
          </cell>
          <cell r="H1031">
            <v>10</v>
          </cell>
          <cell r="I1031">
            <v>20</v>
          </cell>
          <cell r="J1031">
            <v>30</v>
          </cell>
          <cell r="K1031">
            <v>60</v>
          </cell>
        </row>
        <row r="1032">
          <cell r="A1032" t="str">
            <v>HFSHS80x80x3.6</v>
          </cell>
          <cell r="B1032">
            <v>1</v>
          </cell>
          <cell r="C1032">
            <v>1</v>
          </cell>
          <cell r="D1032"/>
          <cell r="E1032">
            <v>8.5</v>
          </cell>
          <cell r="F1032">
            <v>2</v>
          </cell>
          <cell r="G1032">
            <v>5</v>
          </cell>
          <cell r="H1032">
            <v>10</v>
          </cell>
          <cell r="I1032">
            <v>20</v>
          </cell>
          <cell r="J1032">
            <v>30</v>
          </cell>
          <cell r="K1032">
            <v>60</v>
          </cell>
        </row>
        <row r="1033">
          <cell r="A1033" t="str">
            <v>HFSHS80x80x4</v>
          </cell>
          <cell r="B1033">
            <v>1</v>
          </cell>
          <cell r="C1033">
            <v>1</v>
          </cell>
          <cell r="D1033"/>
          <cell r="E1033">
            <v>9.4</v>
          </cell>
          <cell r="F1033">
            <v>2</v>
          </cell>
          <cell r="G1033">
            <v>5</v>
          </cell>
          <cell r="H1033">
            <v>10</v>
          </cell>
          <cell r="I1033">
            <v>20</v>
          </cell>
          <cell r="J1033">
            <v>30</v>
          </cell>
          <cell r="K1033">
            <v>60</v>
          </cell>
        </row>
        <row r="1034">
          <cell r="A1034" t="str">
            <v>HFSHS80x80x5</v>
          </cell>
          <cell r="B1034">
            <v>1</v>
          </cell>
          <cell r="C1034">
            <v>1</v>
          </cell>
          <cell r="D1034"/>
          <cell r="E1034">
            <v>11.6</v>
          </cell>
          <cell r="F1034">
            <v>2</v>
          </cell>
          <cell r="G1034">
            <v>5</v>
          </cell>
          <cell r="H1034">
            <v>10</v>
          </cell>
          <cell r="I1034">
            <v>20</v>
          </cell>
          <cell r="J1034">
            <v>30</v>
          </cell>
          <cell r="K1034">
            <v>60</v>
          </cell>
        </row>
        <row r="1035">
          <cell r="A1035" t="str">
            <v>HFSHS80x80x6.3</v>
          </cell>
          <cell r="B1035">
            <v>1</v>
          </cell>
          <cell r="C1035">
            <v>1</v>
          </cell>
          <cell r="D1035"/>
          <cell r="E1035">
            <v>14.2</v>
          </cell>
          <cell r="F1035">
            <v>2</v>
          </cell>
          <cell r="G1035">
            <v>5</v>
          </cell>
          <cell r="H1035">
            <v>10</v>
          </cell>
          <cell r="I1035">
            <v>20</v>
          </cell>
          <cell r="J1035">
            <v>30</v>
          </cell>
          <cell r="K1035">
            <v>60</v>
          </cell>
        </row>
        <row r="1036">
          <cell r="A1036" t="str">
            <v>HFSHS80x80x7.1</v>
          </cell>
          <cell r="B1036">
            <v>1</v>
          </cell>
          <cell r="C1036">
            <v>3</v>
          </cell>
          <cell r="D1036"/>
          <cell r="E1036">
            <v>15.8</v>
          </cell>
          <cell r="F1036">
            <v>2</v>
          </cell>
          <cell r="G1036">
            <v>5</v>
          </cell>
          <cell r="H1036">
            <v>10</v>
          </cell>
          <cell r="I1036">
            <v>20</v>
          </cell>
          <cell r="J1036">
            <v>30</v>
          </cell>
          <cell r="K1036">
            <v>60</v>
          </cell>
        </row>
        <row r="1037">
          <cell r="A1037" t="str">
            <v>HFSHS80x80x8</v>
          </cell>
          <cell r="B1037">
            <v>1</v>
          </cell>
          <cell r="C1037">
            <v>3</v>
          </cell>
          <cell r="D1037"/>
          <cell r="E1037">
            <v>17.5</v>
          </cell>
          <cell r="F1037">
            <v>2</v>
          </cell>
          <cell r="G1037">
            <v>5</v>
          </cell>
          <cell r="H1037">
            <v>10</v>
          </cell>
          <cell r="I1037">
            <v>20</v>
          </cell>
          <cell r="J1037">
            <v>30</v>
          </cell>
          <cell r="K1037">
            <v>60</v>
          </cell>
        </row>
        <row r="1038">
          <cell r="A1038" t="str">
            <v>HFSHS80x80x8.8</v>
          </cell>
          <cell r="B1038">
            <v>1</v>
          </cell>
          <cell r="C1038">
            <v>3</v>
          </cell>
          <cell r="D1038"/>
          <cell r="E1038">
            <v>19</v>
          </cell>
          <cell r="F1038">
            <v>2</v>
          </cell>
          <cell r="G1038">
            <v>5</v>
          </cell>
          <cell r="H1038">
            <v>10</v>
          </cell>
          <cell r="I1038">
            <v>20</v>
          </cell>
          <cell r="J1038">
            <v>30</v>
          </cell>
          <cell r="K1038">
            <v>60</v>
          </cell>
        </row>
        <row r="1039">
          <cell r="A1039" t="str">
            <v>HFSHS90x90x3.6</v>
          </cell>
          <cell r="B1039">
            <v>1</v>
          </cell>
          <cell r="C1039">
            <v>1</v>
          </cell>
          <cell r="D1039"/>
          <cell r="E1039">
            <v>9.6999999999999993</v>
          </cell>
          <cell r="F1039">
            <v>2</v>
          </cell>
          <cell r="G1039">
            <v>5</v>
          </cell>
          <cell r="H1039">
            <v>10</v>
          </cell>
          <cell r="I1039">
            <v>20</v>
          </cell>
          <cell r="J1039">
            <v>30</v>
          </cell>
          <cell r="K1039">
            <v>60</v>
          </cell>
        </row>
        <row r="1040">
          <cell r="A1040" t="str">
            <v>HFSHS90x90x4</v>
          </cell>
          <cell r="B1040">
            <v>1</v>
          </cell>
          <cell r="C1040">
            <v>1</v>
          </cell>
          <cell r="D1040"/>
          <cell r="E1040">
            <v>10.7</v>
          </cell>
          <cell r="F1040">
            <v>2</v>
          </cell>
          <cell r="G1040">
            <v>5</v>
          </cell>
          <cell r="H1040">
            <v>10</v>
          </cell>
          <cell r="I1040">
            <v>20</v>
          </cell>
          <cell r="J1040">
            <v>30</v>
          </cell>
          <cell r="K1040">
            <v>60</v>
          </cell>
        </row>
        <row r="1041">
          <cell r="A1041" t="str">
            <v>HFSHS90x90x5</v>
          </cell>
          <cell r="B1041">
            <v>1</v>
          </cell>
          <cell r="C1041">
            <v>1</v>
          </cell>
          <cell r="D1041"/>
          <cell r="E1041">
            <v>13.1</v>
          </cell>
          <cell r="F1041">
            <v>2</v>
          </cell>
          <cell r="G1041">
            <v>5</v>
          </cell>
          <cell r="H1041">
            <v>10</v>
          </cell>
          <cell r="I1041">
            <v>20</v>
          </cell>
          <cell r="J1041">
            <v>30</v>
          </cell>
          <cell r="K1041">
            <v>60</v>
          </cell>
        </row>
        <row r="1042">
          <cell r="A1042" t="str">
            <v>HFSHS90x90x6.3</v>
          </cell>
          <cell r="B1042">
            <v>1</v>
          </cell>
          <cell r="C1042">
            <v>1</v>
          </cell>
          <cell r="D1042"/>
          <cell r="E1042">
            <v>16.2</v>
          </cell>
          <cell r="F1042">
            <v>2</v>
          </cell>
          <cell r="G1042">
            <v>5</v>
          </cell>
          <cell r="H1042">
            <v>10</v>
          </cell>
          <cell r="I1042">
            <v>20</v>
          </cell>
          <cell r="J1042">
            <v>30</v>
          </cell>
          <cell r="K1042">
            <v>60</v>
          </cell>
        </row>
        <row r="1043">
          <cell r="A1043" t="str">
            <v>HFSHS90x90x7.1</v>
          </cell>
          <cell r="B1043">
            <v>1</v>
          </cell>
          <cell r="C1043">
            <v>3</v>
          </cell>
          <cell r="D1043"/>
          <cell r="E1043">
            <v>18.100000000000001</v>
          </cell>
          <cell r="F1043">
            <v>2</v>
          </cell>
          <cell r="G1043">
            <v>5</v>
          </cell>
          <cell r="H1043">
            <v>10</v>
          </cell>
          <cell r="I1043">
            <v>20</v>
          </cell>
          <cell r="J1043">
            <v>30</v>
          </cell>
          <cell r="K1043">
            <v>60</v>
          </cell>
        </row>
        <row r="1044">
          <cell r="A1044" t="str">
            <v>HFSHS90x90x8</v>
          </cell>
          <cell r="B1044">
            <v>2</v>
          </cell>
          <cell r="C1044">
            <v>3</v>
          </cell>
          <cell r="D1044"/>
          <cell r="E1044">
            <v>20.100000000000001</v>
          </cell>
          <cell r="F1044">
            <v>5</v>
          </cell>
          <cell r="G1044">
            <v>10</v>
          </cell>
          <cell r="H1044">
            <v>20</v>
          </cell>
          <cell r="I1044">
            <v>30</v>
          </cell>
          <cell r="J1044">
            <v>60</v>
          </cell>
          <cell r="K1044">
            <v>90</v>
          </cell>
        </row>
        <row r="1045">
          <cell r="A1045" t="str">
            <v>HFSHS90x90x8.8</v>
          </cell>
          <cell r="B1045">
            <v>2</v>
          </cell>
          <cell r="C1045">
            <v>3</v>
          </cell>
          <cell r="D1045"/>
          <cell r="E1045">
            <v>21.8</v>
          </cell>
          <cell r="F1045">
            <v>5</v>
          </cell>
          <cell r="G1045">
            <v>10</v>
          </cell>
          <cell r="H1045">
            <v>20</v>
          </cell>
          <cell r="I1045">
            <v>30</v>
          </cell>
          <cell r="J1045">
            <v>60</v>
          </cell>
          <cell r="K1045">
            <v>90</v>
          </cell>
        </row>
        <row r="1046">
          <cell r="A1046" t="str">
            <v>HFSHS100x100x3.6</v>
          </cell>
          <cell r="B1046">
            <v>1</v>
          </cell>
          <cell r="C1046">
            <v>1</v>
          </cell>
          <cell r="D1046"/>
          <cell r="E1046">
            <v>10.8</v>
          </cell>
          <cell r="F1046">
            <v>2</v>
          </cell>
          <cell r="G1046">
            <v>5</v>
          </cell>
          <cell r="H1046">
            <v>10</v>
          </cell>
          <cell r="I1046">
            <v>20</v>
          </cell>
          <cell r="J1046">
            <v>30</v>
          </cell>
          <cell r="K1046">
            <v>60</v>
          </cell>
        </row>
        <row r="1047">
          <cell r="A1047" t="str">
            <v>HFSHS100x100x4</v>
          </cell>
          <cell r="B1047">
            <v>1</v>
          </cell>
          <cell r="C1047">
            <v>1</v>
          </cell>
          <cell r="D1047"/>
          <cell r="E1047">
            <v>11.9</v>
          </cell>
          <cell r="F1047">
            <v>2</v>
          </cell>
          <cell r="G1047">
            <v>5</v>
          </cell>
          <cell r="H1047">
            <v>10</v>
          </cell>
          <cell r="I1047">
            <v>20</v>
          </cell>
          <cell r="J1047">
            <v>30</v>
          </cell>
          <cell r="K1047">
            <v>60</v>
          </cell>
        </row>
        <row r="1048">
          <cell r="A1048" t="str">
            <v>HFSHS100x100x5</v>
          </cell>
          <cell r="B1048">
            <v>1</v>
          </cell>
          <cell r="C1048">
            <v>1</v>
          </cell>
          <cell r="D1048"/>
          <cell r="E1048">
            <v>14.7</v>
          </cell>
          <cell r="F1048">
            <v>2</v>
          </cell>
          <cell r="G1048">
            <v>5</v>
          </cell>
          <cell r="H1048">
            <v>10</v>
          </cell>
          <cell r="I1048">
            <v>20</v>
          </cell>
          <cell r="J1048">
            <v>30</v>
          </cell>
          <cell r="K1048">
            <v>60</v>
          </cell>
        </row>
        <row r="1049">
          <cell r="A1049" t="str">
            <v>HFSHS100x100x6.3</v>
          </cell>
          <cell r="B1049">
            <v>1</v>
          </cell>
          <cell r="C1049">
            <v>1</v>
          </cell>
          <cell r="D1049"/>
          <cell r="E1049">
            <v>18.2</v>
          </cell>
          <cell r="F1049">
            <v>2</v>
          </cell>
          <cell r="G1049">
            <v>5</v>
          </cell>
          <cell r="H1049">
            <v>10</v>
          </cell>
          <cell r="I1049">
            <v>20</v>
          </cell>
          <cell r="J1049">
            <v>30</v>
          </cell>
          <cell r="K1049">
            <v>60</v>
          </cell>
        </row>
        <row r="1050">
          <cell r="A1050" t="str">
            <v>HFSHS100x100x7.1</v>
          </cell>
          <cell r="B1050">
            <v>2</v>
          </cell>
          <cell r="C1050">
            <v>3</v>
          </cell>
          <cell r="D1050"/>
          <cell r="E1050">
            <v>20.3</v>
          </cell>
          <cell r="F1050">
            <v>5</v>
          </cell>
          <cell r="G1050">
            <v>10</v>
          </cell>
          <cell r="H1050">
            <v>20</v>
          </cell>
          <cell r="I1050">
            <v>30</v>
          </cell>
          <cell r="J1050">
            <v>60</v>
          </cell>
          <cell r="K1050">
            <v>90</v>
          </cell>
        </row>
        <row r="1051">
          <cell r="A1051" t="str">
            <v>HFSHS100x100x8</v>
          </cell>
          <cell r="B1051">
            <v>2</v>
          </cell>
          <cell r="C1051">
            <v>3</v>
          </cell>
          <cell r="D1051"/>
          <cell r="E1051">
            <v>22.6</v>
          </cell>
          <cell r="F1051">
            <v>5</v>
          </cell>
          <cell r="G1051">
            <v>10</v>
          </cell>
          <cell r="H1051">
            <v>20</v>
          </cell>
          <cell r="I1051">
            <v>30</v>
          </cell>
          <cell r="J1051">
            <v>60</v>
          </cell>
          <cell r="K1051">
            <v>90</v>
          </cell>
        </row>
        <row r="1052">
          <cell r="A1052" t="str">
            <v>HFSHS100x100x8.8</v>
          </cell>
          <cell r="B1052">
            <v>2</v>
          </cell>
          <cell r="C1052">
            <v>3</v>
          </cell>
          <cell r="D1052"/>
          <cell r="E1052">
            <v>24.5</v>
          </cell>
          <cell r="F1052">
            <v>5</v>
          </cell>
          <cell r="G1052">
            <v>10</v>
          </cell>
          <cell r="H1052">
            <v>20</v>
          </cell>
          <cell r="I1052">
            <v>30</v>
          </cell>
          <cell r="J1052">
            <v>60</v>
          </cell>
          <cell r="K1052">
            <v>90</v>
          </cell>
        </row>
        <row r="1053">
          <cell r="A1053" t="str">
            <v>HFSHS100x100x10</v>
          </cell>
          <cell r="B1053">
            <v>2</v>
          </cell>
          <cell r="C1053">
            <v>6</v>
          </cell>
          <cell r="D1053"/>
          <cell r="E1053">
            <v>27.4</v>
          </cell>
          <cell r="F1053">
            <v>5</v>
          </cell>
          <cell r="G1053">
            <v>10</v>
          </cell>
          <cell r="H1053">
            <v>20</v>
          </cell>
          <cell r="I1053">
            <v>30</v>
          </cell>
          <cell r="J1053">
            <v>60</v>
          </cell>
          <cell r="K1053">
            <v>90</v>
          </cell>
        </row>
        <row r="1054">
          <cell r="A1054" t="str">
            <v>HFSHS120x120x4</v>
          </cell>
          <cell r="B1054">
            <v>1</v>
          </cell>
          <cell r="C1054">
            <v>1</v>
          </cell>
          <cell r="D1054"/>
          <cell r="E1054">
            <v>14.4</v>
          </cell>
          <cell r="F1054">
            <v>2</v>
          </cell>
          <cell r="G1054">
            <v>5</v>
          </cell>
          <cell r="H1054">
            <v>10</v>
          </cell>
          <cell r="I1054">
            <v>20</v>
          </cell>
          <cell r="J1054">
            <v>30</v>
          </cell>
          <cell r="K1054">
            <v>60</v>
          </cell>
        </row>
        <row r="1055">
          <cell r="A1055" t="str">
            <v>HFSHS120x120x5</v>
          </cell>
          <cell r="B1055">
            <v>1</v>
          </cell>
          <cell r="C1055">
            <v>1</v>
          </cell>
          <cell r="D1055"/>
          <cell r="E1055">
            <v>17.8</v>
          </cell>
          <cell r="F1055">
            <v>2</v>
          </cell>
          <cell r="G1055">
            <v>5</v>
          </cell>
          <cell r="H1055">
            <v>10</v>
          </cell>
          <cell r="I1055">
            <v>20</v>
          </cell>
          <cell r="J1055">
            <v>30</v>
          </cell>
          <cell r="K1055">
            <v>60</v>
          </cell>
        </row>
        <row r="1056">
          <cell r="A1056" t="str">
            <v>HFSHS120x120x6.3</v>
          </cell>
          <cell r="B1056">
            <v>2</v>
          </cell>
          <cell r="C1056">
            <v>2</v>
          </cell>
          <cell r="D1056"/>
          <cell r="E1056">
            <v>22.2</v>
          </cell>
          <cell r="F1056">
            <v>5</v>
          </cell>
          <cell r="G1056">
            <v>10</v>
          </cell>
          <cell r="H1056">
            <v>20</v>
          </cell>
          <cell r="I1056">
            <v>30</v>
          </cell>
          <cell r="J1056">
            <v>60</v>
          </cell>
          <cell r="K1056">
            <v>90</v>
          </cell>
        </row>
        <row r="1057">
          <cell r="A1057" t="str">
            <v>HFSHS120x120x7.1</v>
          </cell>
          <cell r="B1057">
            <v>2</v>
          </cell>
          <cell r="C1057">
            <v>3</v>
          </cell>
          <cell r="D1057"/>
          <cell r="E1057">
            <v>24.7</v>
          </cell>
          <cell r="F1057">
            <v>5</v>
          </cell>
          <cell r="G1057">
            <v>10</v>
          </cell>
          <cell r="H1057">
            <v>20</v>
          </cell>
          <cell r="I1057">
            <v>30</v>
          </cell>
          <cell r="J1057">
            <v>60</v>
          </cell>
          <cell r="K1057">
            <v>90</v>
          </cell>
        </row>
        <row r="1058">
          <cell r="A1058" t="str">
            <v>HFSHS120x120x8</v>
          </cell>
          <cell r="B1058">
            <v>2</v>
          </cell>
          <cell r="C1058">
            <v>3</v>
          </cell>
          <cell r="D1058"/>
          <cell r="E1058">
            <v>27.6</v>
          </cell>
          <cell r="F1058">
            <v>5</v>
          </cell>
          <cell r="G1058">
            <v>10</v>
          </cell>
          <cell r="H1058">
            <v>20</v>
          </cell>
          <cell r="I1058">
            <v>30</v>
          </cell>
          <cell r="J1058">
            <v>60</v>
          </cell>
          <cell r="K1058">
            <v>90</v>
          </cell>
        </row>
        <row r="1059">
          <cell r="A1059" t="str">
            <v>HFSHS120x120x8.8</v>
          </cell>
          <cell r="B1059">
            <v>2</v>
          </cell>
          <cell r="C1059">
            <v>3</v>
          </cell>
          <cell r="D1059"/>
          <cell r="E1059">
            <v>30.1</v>
          </cell>
          <cell r="F1059">
            <v>5</v>
          </cell>
          <cell r="G1059">
            <v>10</v>
          </cell>
          <cell r="H1059">
            <v>20</v>
          </cell>
          <cell r="I1059">
            <v>30</v>
          </cell>
          <cell r="J1059">
            <v>60</v>
          </cell>
          <cell r="K1059">
            <v>90</v>
          </cell>
        </row>
        <row r="1060">
          <cell r="A1060" t="str">
            <v>HFSHS120x120x10</v>
          </cell>
          <cell r="B1060">
            <v>2</v>
          </cell>
          <cell r="C1060">
            <v>6</v>
          </cell>
          <cell r="D1060"/>
          <cell r="E1060">
            <v>33.700000000000003</v>
          </cell>
          <cell r="F1060">
            <v>5</v>
          </cell>
          <cell r="G1060">
            <v>10</v>
          </cell>
          <cell r="H1060">
            <v>20</v>
          </cell>
          <cell r="I1060">
            <v>30</v>
          </cell>
          <cell r="J1060">
            <v>60</v>
          </cell>
          <cell r="K1060">
            <v>90</v>
          </cell>
        </row>
        <row r="1061">
          <cell r="A1061" t="str">
            <v>HFSHS120x120x12.5</v>
          </cell>
          <cell r="B1061">
            <v>2</v>
          </cell>
          <cell r="C1061">
            <v>6</v>
          </cell>
          <cell r="D1061"/>
          <cell r="E1061">
            <v>40.9</v>
          </cell>
          <cell r="F1061">
            <v>5</v>
          </cell>
          <cell r="G1061">
            <v>10</v>
          </cell>
          <cell r="H1061">
            <v>20</v>
          </cell>
          <cell r="I1061">
            <v>30</v>
          </cell>
          <cell r="J1061">
            <v>60</v>
          </cell>
          <cell r="K1061">
            <v>90</v>
          </cell>
        </row>
        <row r="1062">
          <cell r="A1062" t="str">
            <v>HFSHS140x140x5</v>
          </cell>
          <cell r="B1062">
            <v>2</v>
          </cell>
          <cell r="C1062">
            <v>1</v>
          </cell>
          <cell r="D1062"/>
          <cell r="E1062">
            <v>21</v>
          </cell>
          <cell r="F1062">
            <v>5</v>
          </cell>
          <cell r="G1062">
            <v>10</v>
          </cell>
          <cell r="H1062">
            <v>20</v>
          </cell>
          <cell r="I1062">
            <v>30</v>
          </cell>
          <cell r="J1062">
            <v>60</v>
          </cell>
          <cell r="K1062">
            <v>90</v>
          </cell>
        </row>
        <row r="1063">
          <cell r="A1063" t="str">
            <v>HFSHS140x140x6.3</v>
          </cell>
          <cell r="B1063">
            <v>2</v>
          </cell>
          <cell r="C1063">
            <v>2</v>
          </cell>
          <cell r="D1063"/>
          <cell r="E1063">
            <v>26.1</v>
          </cell>
          <cell r="F1063">
            <v>5</v>
          </cell>
          <cell r="G1063">
            <v>10</v>
          </cell>
          <cell r="H1063">
            <v>20</v>
          </cell>
          <cell r="I1063">
            <v>30</v>
          </cell>
          <cell r="J1063">
            <v>60</v>
          </cell>
          <cell r="K1063">
            <v>90</v>
          </cell>
        </row>
        <row r="1064">
          <cell r="A1064" t="str">
            <v>HFSHS140x140x7.1</v>
          </cell>
          <cell r="B1064">
            <v>2</v>
          </cell>
          <cell r="C1064">
            <v>3</v>
          </cell>
          <cell r="D1064"/>
          <cell r="E1064">
            <v>29.2</v>
          </cell>
          <cell r="F1064">
            <v>5</v>
          </cell>
          <cell r="G1064">
            <v>10</v>
          </cell>
          <cell r="H1064">
            <v>20</v>
          </cell>
          <cell r="I1064">
            <v>30</v>
          </cell>
          <cell r="J1064">
            <v>60</v>
          </cell>
          <cell r="K1064">
            <v>90</v>
          </cell>
        </row>
        <row r="1065">
          <cell r="A1065" t="str">
            <v>HFSHS140x140x8</v>
          </cell>
          <cell r="B1065">
            <v>2</v>
          </cell>
          <cell r="C1065">
            <v>3</v>
          </cell>
          <cell r="D1065"/>
          <cell r="E1065">
            <v>32.6</v>
          </cell>
          <cell r="F1065">
            <v>5</v>
          </cell>
          <cell r="G1065">
            <v>10</v>
          </cell>
          <cell r="H1065">
            <v>20</v>
          </cell>
          <cell r="I1065">
            <v>30</v>
          </cell>
          <cell r="J1065">
            <v>60</v>
          </cell>
          <cell r="K1065">
            <v>90</v>
          </cell>
        </row>
        <row r="1066">
          <cell r="A1066" t="str">
            <v>HFSHS140x140x8.8</v>
          </cell>
          <cell r="B1066">
            <v>2</v>
          </cell>
          <cell r="C1066">
            <v>3</v>
          </cell>
          <cell r="D1066"/>
          <cell r="E1066">
            <v>35.6</v>
          </cell>
          <cell r="F1066">
            <v>5</v>
          </cell>
          <cell r="G1066">
            <v>10</v>
          </cell>
          <cell r="H1066">
            <v>20</v>
          </cell>
          <cell r="I1066">
            <v>30</v>
          </cell>
          <cell r="J1066">
            <v>60</v>
          </cell>
          <cell r="K1066">
            <v>90</v>
          </cell>
        </row>
        <row r="1067">
          <cell r="A1067" t="str">
            <v>HFSHS140x140x10</v>
          </cell>
          <cell r="B1067">
            <v>2</v>
          </cell>
          <cell r="C1067">
            <v>6</v>
          </cell>
          <cell r="D1067"/>
          <cell r="E1067">
            <v>40</v>
          </cell>
          <cell r="F1067">
            <v>5</v>
          </cell>
          <cell r="G1067">
            <v>10</v>
          </cell>
          <cell r="H1067">
            <v>20</v>
          </cell>
          <cell r="I1067">
            <v>30</v>
          </cell>
          <cell r="J1067">
            <v>60</v>
          </cell>
          <cell r="K1067">
            <v>90</v>
          </cell>
        </row>
        <row r="1068">
          <cell r="A1068" t="str">
            <v>HFSHS140x140x12.5</v>
          </cell>
          <cell r="B1068">
            <v>2</v>
          </cell>
          <cell r="C1068">
            <v>6</v>
          </cell>
          <cell r="D1068"/>
          <cell r="E1068">
            <v>48.7</v>
          </cell>
          <cell r="F1068">
            <v>5</v>
          </cell>
          <cell r="G1068">
            <v>10</v>
          </cell>
          <cell r="H1068">
            <v>20</v>
          </cell>
          <cell r="I1068">
            <v>30</v>
          </cell>
          <cell r="J1068">
            <v>60</v>
          </cell>
          <cell r="K1068">
            <v>90</v>
          </cell>
        </row>
        <row r="1069">
          <cell r="A1069" t="str">
            <v>HFSHS150x150x5</v>
          </cell>
          <cell r="B1069">
            <v>2</v>
          </cell>
          <cell r="C1069">
            <v>1</v>
          </cell>
          <cell r="D1069"/>
          <cell r="E1069">
            <v>22.6</v>
          </cell>
          <cell r="F1069">
            <v>5</v>
          </cell>
          <cell r="G1069">
            <v>10</v>
          </cell>
          <cell r="H1069">
            <v>20</v>
          </cell>
          <cell r="I1069">
            <v>30</v>
          </cell>
          <cell r="J1069">
            <v>60</v>
          </cell>
          <cell r="K1069">
            <v>90</v>
          </cell>
        </row>
        <row r="1070">
          <cell r="A1070" t="str">
            <v>HFSHS150x150x6.3</v>
          </cell>
          <cell r="B1070">
            <v>2</v>
          </cell>
          <cell r="C1070">
            <v>2</v>
          </cell>
          <cell r="D1070"/>
          <cell r="E1070">
            <v>28.1</v>
          </cell>
          <cell r="F1070">
            <v>5</v>
          </cell>
          <cell r="G1070">
            <v>10</v>
          </cell>
          <cell r="H1070">
            <v>20</v>
          </cell>
          <cell r="I1070">
            <v>30</v>
          </cell>
          <cell r="J1070">
            <v>60</v>
          </cell>
          <cell r="K1070">
            <v>90</v>
          </cell>
        </row>
        <row r="1071">
          <cell r="A1071" t="str">
            <v>HFSHS150x150x7.1</v>
          </cell>
          <cell r="B1071">
            <v>2</v>
          </cell>
          <cell r="C1071">
            <v>3</v>
          </cell>
          <cell r="D1071"/>
          <cell r="E1071">
            <v>31.4</v>
          </cell>
          <cell r="F1071">
            <v>5</v>
          </cell>
          <cell r="G1071">
            <v>10</v>
          </cell>
          <cell r="H1071">
            <v>20</v>
          </cell>
          <cell r="I1071">
            <v>30</v>
          </cell>
          <cell r="J1071">
            <v>60</v>
          </cell>
          <cell r="K1071">
            <v>90</v>
          </cell>
        </row>
        <row r="1072">
          <cell r="A1072" t="str">
            <v>HFSHS150x150x8</v>
          </cell>
          <cell r="B1072">
            <v>2</v>
          </cell>
          <cell r="C1072">
            <v>3</v>
          </cell>
          <cell r="D1072"/>
          <cell r="E1072">
            <v>35.1</v>
          </cell>
          <cell r="F1072">
            <v>5</v>
          </cell>
          <cell r="G1072">
            <v>10</v>
          </cell>
          <cell r="H1072">
            <v>20</v>
          </cell>
          <cell r="I1072">
            <v>30</v>
          </cell>
          <cell r="J1072">
            <v>60</v>
          </cell>
          <cell r="K1072">
            <v>90</v>
          </cell>
        </row>
        <row r="1073">
          <cell r="A1073" t="str">
            <v>HFSHS150x150x8.8</v>
          </cell>
          <cell r="B1073">
            <v>2</v>
          </cell>
          <cell r="C1073">
            <v>3</v>
          </cell>
          <cell r="D1073"/>
          <cell r="E1073">
            <v>38.4</v>
          </cell>
          <cell r="F1073">
            <v>5</v>
          </cell>
          <cell r="G1073">
            <v>10</v>
          </cell>
          <cell r="H1073">
            <v>20</v>
          </cell>
          <cell r="I1073">
            <v>30</v>
          </cell>
          <cell r="J1073">
            <v>60</v>
          </cell>
          <cell r="K1073">
            <v>90</v>
          </cell>
        </row>
        <row r="1074">
          <cell r="A1074" t="str">
            <v>HFSHS150x150x10</v>
          </cell>
          <cell r="B1074">
            <v>2</v>
          </cell>
          <cell r="C1074">
            <v>6</v>
          </cell>
          <cell r="D1074"/>
          <cell r="E1074">
            <v>43.1</v>
          </cell>
          <cell r="F1074">
            <v>5</v>
          </cell>
          <cell r="G1074">
            <v>10</v>
          </cell>
          <cell r="H1074">
            <v>20</v>
          </cell>
          <cell r="I1074">
            <v>30</v>
          </cell>
          <cell r="J1074">
            <v>60</v>
          </cell>
          <cell r="K1074">
            <v>90</v>
          </cell>
        </row>
        <row r="1075">
          <cell r="A1075" t="str">
            <v>HFSHS150x150x12.5</v>
          </cell>
          <cell r="B1075">
            <v>2</v>
          </cell>
          <cell r="C1075">
            <v>6</v>
          </cell>
          <cell r="D1075"/>
          <cell r="E1075">
            <v>52.7</v>
          </cell>
          <cell r="F1075">
            <v>5</v>
          </cell>
          <cell r="G1075">
            <v>10</v>
          </cell>
          <cell r="H1075">
            <v>20</v>
          </cell>
          <cell r="I1075">
            <v>30</v>
          </cell>
          <cell r="J1075">
            <v>60</v>
          </cell>
          <cell r="K1075">
            <v>90</v>
          </cell>
        </row>
        <row r="1076">
          <cell r="A1076" t="str">
            <v>HFSHS150x150x14.2</v>
          </cell>
          <cell r="B1076">
            <v>2</v>
          </cell>
          <cell r="C1076">
            <v>10</v>
          </cell>
          <cell r="D1076"/>
          <cell r="E1076">
            <v>58.9</v>
          </cell>
          <cell r="F1076">
            <v>5</v>
          </cell>
          <cell r="G1076">
            <v>10</v>
          </cell>
          <cell r="H1076">
            <v>20</v>
          </cell>
          <cell r="I1076">
            <v>30</v>
          </cell>
          <cell r="J1076">
            <v>60</v>
          </cell>
          <cell r="K1076">
            <v>90</v>
          </cell>
        </row>
        <row r="1077">
          <cell r="A1077" t="str">
            <v>HFSHS150x150x16</v>
          </cell>
          <cell r="B1077">
            <v>2</v>
          </cell>
          <cell r="C1077">
            <v>10</v>
          </cell>
          <cell r="D1077">
            <v>0.55900000000000005</v>
          </cell>
          <cell r="E1077">
            <v>65.2</v>
          </cell>
          <cell r="F1077">
            <v>5</v>
          </cell>
          <cell r="G1077">
            <v>10</v>
          </cell>
          <cell r="H1077">
            <v>20</v>
          </cell>
          <cell r="I1077">
            <v>30</v>
          </cell>
          <cell r="J1077">
            <v>60</v>
          </cell>
          <cell r="K1077">
            <v>90</v>
          </cell>
        </row>
        <row r="1078">
          <cell r="A1078" t="str">
            <v>HFSHS160x160x5</v>
          </cell>
          <cell r="B1078">
            <v>2</v>
          </cell>
          <cell r="C1078">
            <v>2</v>
          </cell>
          <cell r="D1078"/>
          <cell r="E1078">
            <v>24.1</v>
          </cell>
          <cell r="F1078">
            <v>5</v>
          </cell>
          <cell r="G1078">
            <v>10</v>
          </cell>
          <cell r="H1078">
            <v>20</v>
          </cell>
          <cell r="I1078">
            <v>30</v>
          </cell>
          <cell r="J1078">
            <v>60</v>
          </cell>
          <cell r="K1078">
            <v>90</v>
          </cell>
        </row>
        <row r="1079">
          <cell r="A1079" t="str">
            <v>HFSHS160x160x6.3</v>
          </cell>
          <cell r="B1079">
            <v>2</v>
          </cell>
          <cell r="C1079">
            <v>2</v>
          </cell>
          <cell r="D1079"/>
          <cell r="E1079">
            <v>30.1</v>
          </cell>
          <cell r="F1079">
            <v>5</v>
          </cell>
          <cell r="G1079">
            <v>10</v>
          </cell>
          <cell r="H1079">
            <v>20</v>
          </cell>
          <cell r="I1079">
            <v>30</v>
          </cell>
          <cell r="J1079">
            <v>60</v>
          </cell>
          <cell r="K1079">
            <v>90</v>
          </cell>
        </row>
        <row r="1080">
          <cell r="A1080" t="str">
            <v>HFSHS160x160x7.1</v>
          </cell>
          <cell r="B1080">
            <v>2</v>
          </cell>
          <cell r="C1080">
            <v>3</v>
          </cell>
          <cell r="D1080"/>
          <cell r="E1080">
            <v>33.700000000000003</v>
          </cell>
          <cell r="F1080">
            <v>5</v>
          </cell>
          <cell r="G1080">
            <v>10</v>
          </cell>
          <cell r="H1080">
            <v>20</v>
          </cell>
          <cell r="I1080">
            <v>30</v>
          </cell>
          <cell r="J1080">
            <v>60</v>
          </cell>
          <cell r="K1080">
            <v>90</v>
          </cell>
        </row>
        <row r="1081">
          <cell r="A1081" t="str">
            <v>HFSHS160x160x8</v>
          </cell>
          <cell r="B1081">
            <v>2</v>
          </cell>
          <cell r="C1081">
            <v>3</v>
          </cell>
          <cell r="D1081"/>
          <cell r="E1081">
            <v>37.6</v>
          </cell>
          <cell r="F1081">
            <v>5</v>
          </cell>
          <cell r="G1081">
            <v>10</v>
          </cell>
          <cell r="H1081">
            <v>20</v>
          </cell>
          <cell r="I1081">
            <v>30</v>
          </cell>
          <cell r="J1081">
            <v>60</v>
          </cell>
          <cell r="K1081">
            <v>90</v>
          </cell>
        </row>
        <row r="1082">
          <cell r="A1082" t="str">
            <v>HFSHS160x160x8.8</v>
          </cell>
          <cell r="B1082">
            <v>2</v>
          </cell>
          <cell r="C1082">
            <v>3</v>
          </cell>
          <cell r="D1082"/>
          <cell r="E1082">
            <v>41.1</v>
          </cell>
          <cell r="F1082">
            <v>5</v>
          </cell>
          <cell r="G1082">
            <v>10</v>
          </cell>
          <cell r="H1082">
            <v>20</v>
          </cell>
          <cell r="I1082">
            <v>30</v>
          </cell>
          <cell r="J1082">
            <v>60</v>
          </cell>
          <cell r="K1082">
            <v>90</v>
          </cell>
        </row>
        <row r="1083">
          <cell r="A1083" t="str">
            <v>HFSHS160x160x10</v>
          </cell>
          <cell r="B1083">
            <v>2</v>
          </cell>
          <cell r="C1083">
            <v>6</v>
          </cell>
          <cell r="D1083"/>
          <cell r="E1083">
            <v>46.3</v>
          </cell>
          <cell r="F1083">
            <v>5</v>
          </cell>
          <cell r="G1083">
            <v>10</v>
          </cell>
          <cell r="H1083">
            <v>20</v>
          </cell>
          <cell r="I1083">
            <v>30</v>
          </cell>
          <cell r="J1083">
            <v>60</v>
          </cell>
          <cell r="K1083">
            <v>90</v>
          </cell>
        </row>
        <row r="1084">
          <cell r="A1084" t="str">
            <v>HFSHS160x160x12.5</v>
          </cell>
          <cell r="B1084">
            <v>2</v>
          </cell>
          <cell r="C1084">
            <v>6</v>
          </cell>
          <cell r="D1084"/>
          <cell r="E1084">
            <v>56.6</v>
          </cell>
          <cell r="F1084">
            <v>5</v>
          </cell>
          <cell r="G1084">
            <v>10</v>
          </cell>
          <cell r="H1084">
            <v>20</v>
          </cell>
          <cell r="I1084">
            <v>30</v>
          </cell>
          <cell r="J1084">
            <v>60</v>
          </cell>
          <cell r="K1084">
            <v>90</v>
          </cell>
        </row>
        <row r="1085">
          <cell r="A1085" t="str">
            <v>HFSHS160x160x14.2</v>
          </cell>
          <cell r="B1085">
            <v>2</v>
          </cell>
          <cell r="C1085">
            <v>10</v>
          </cell>
          <cell r="D1085"/>
          <cell r="E1085">
            <v>63.3</v>
          </cell>
          <cell r="F1085">
            <v>5</v>
          </cell>
          <cell r="G1085">
            <v>10</v>
          </cell>
          <cell r="H1085">
            <v>20</v>
          </cell>
          <cell r="I1085">
            <v>30</v>
          </cell>
          <cell r="J1085">
            <v>60</v>
          </cell>
          <cell r="K1085">
            <v>90</v>
          </cell>
        </row>
        <row r="1086">
          <cell r="A1086" t="str">
            <v>HFSHS160x160x16</v>
          </cell>
          <cell r="B1086">
            <v>2</v>
          </cell>
          <cell r="C1086">
            <v>10</v>
          </cell>
          <cell r="D1086"/>
          <cell r="E1086">
            <v>70.2</v>
          </cell>
          <cell r="F1086">
            <v>5</v>
          </cell>
          <cell r="G1086">
            <v>10</v>
          </cell>
          <cell r="H1086">
            <v>20</v>
          </cell>
          <cell r="I1086">
            <v>30</v>
          </cell>
          <cell r="J1086">
            <v>60</v>
          </cell>
          <cell r="K1086">
            <v>90</v>
          </cell>
        </row>
        <row r="1087">
          <cell r="A1087" t="str">
            <v>HFSHS180x180x5</v>
          </cell>
          <cell r="B1087">
            <v>2</v>
          </cell>
          <cell r="C1087">
            <v>2</v>
          </cell>
          <cell r="D1087"/>
          <cell r="E1087">
            <v>27.3</v>
          </cell>
          <cell r="F1087">
            <v>5</v>
          </cell>
          <cell r="G1087">
            <v>10</v>
          </cell>
          <cell r="H1087">
            <v>20</v>
          </cell>
          <cell r="I1087">
            <v>30</v>
          </cell>
          <cell r="J1087">
            <v>60</v>
          </cell>
          <cell r="K1087">
            <v>90</v>
          </cell>
        </row>
        <row r="1088">
          <cell r="A1088" t="str">
            <v>HFSHS180x180x6.3</v>
          </cell>
          <cell r="B1088">
            <v>2</v>
          </cell>
          <cell r="C1088">
            <v>2</v>
          </cell>
          <cell r="D1088"/>
          <cell r="E1088">
            <v>34</v>
          </cell>
          <cell r="F1088">
            <v>5</v>
          </cell>
          <cell r="G1088">
            <v>10</v>
          </cell>
          <cell r="H1088">
            <v>20</v>
          </cell>
          <cell r="I1088">
            <v>30</v>
          </cell>
          <cell r="J1088">
            <v>60</v>
          </cell>
          <cell r="K1088">
            <v>90</v>
          </cell>
        </row>
        <row r="1089">
          <cell r="A1089" t="str">
            <v>HFSHS180x180x7.1</v>
          </cell>
          <cell r="B1089">
            <v>2</v>
          </cell>
          <cell r="C1089">
            <v>3</v>
          </cell>
          <cell r="D1089"/>
          <cell r="E1089">
            <v>38.1</v>
          </cell>
          <cell r="F1089">
            <v>5</v>
          </cell>
          <cell r="G1089">
            <v>10</v>
          </cell>
          <cell r="H1089">
            <v>20</v>
          </cell>
          <cell r="I1089">
            <v>30</v>
          </cell>
          <cell r="J1089">
            <v>60</v>
          </cell>
          <cell r="K1089">
            <v>90</v>
          </cell>
        </row>
        <row r="1090">
          <cell r="A1090" t="str">
            <v>HFSHS180x180x8</v>
          </cell>
          <cell r="B1090">
            <v>2</v>
          </cell>
          <cell r="C1090">
            <v>3</v>
          </cell>
          <cell r="D1090"/>
          <cell r="E1090">
            <v>42.7</v>
          </cell>
          <cell r="F1090">
            <v>5</v>
          </cell>
          <cell r="G1090">
            <v>10</v>
          </cell>
          <cell r="H1090">
            <v>20</v>
          </cell>
          <cell r="I1090">
            <v>30</v>
          </cell>
          <cell r="J1090">
            <v>60</v>
          </cell>
          <cell r="K1090">
            <v>90</v>
          </cell>
        </row>
        <row r="1091">
          <cell r="A1091" t="str">
            <v>HFSHS180x180x8.8</v>
          </cell>
          <cell r="B1091">
            <v>2</v>
          </cell>
          <cell r="C1091">
            <v>3</v>
          </cell>
          <cell r="D1091"/>
          <cell r="E1091">
            <v>46.7</v>
          </cell>
          <cell r="F1091">
            <v>5</v>
          </cell>
          <cell r="G1091">
            <v>10</v>
          </cell>
          <cell r="H1091">
            <v>20</v>
          </cell>
          <cell r="I1091">
            <v>30</v>
          </cell>
          <cell r="J1091">
            <v>60</v>
          </cell>
          <cell r="K1091">
            <v>90</v>
          </cell>
        </row>
        <row r="1092">
          <cell r="A1092" t="str">
            <v>HFSHS180x180x10</v>
          </cell>
          <cell r="B1092">
            <v>2</v>
          </cell>
          <cell r="C1092">
            <v>6</v>
          </cell>
          <cell r="D1092"/>
          <cell r="E1092">
            <v>52.5</v>
          </cell>
          <cell r="F1092">
            <v>5</v>
          </cell>
          <cell r="G1092">
            <v>10</v>
          </cell>
          <cell r="H1092">
            <v>20</v>
          </cell>
          <cell r="I1092">
            <v>30</v>
          </cell>
          <cell r="J1092">
            <v>60</v>
          </cell>
          <cell r="K1092">
            <v>90</v>
          </cell>
        </row>
        <row r="1093">
          <cell r="A1093" t="str">
            <v>HFSHS180x180x12.5</v>
          </cell>
          <cell r="B1093">
            <v>2</v>
          </cell>
          <cell r="C1093">
            <v>6</v>
          </cell>
          <cell r="D1093"/>
          <cell r="E1093">
            <v>64.400000000000006</v>
          </cell>
          <cell r="F1093">
            <v>5</v>
          </cell>
          <cell r="G1093">
            <v>10</v>
          </cell>
          <cell r="H1093">
            <v>20</v>
          </cell>
          <cell r="I1093">
            <v>30</v>
          </cell>
          <cell r="J1093">
            <v>60</v>
          </cell>
          <cell r="K1093">
            <v>90</v>
          </cell>
        </row>
        <row r="1094">
          <cell r="A1094" t="str">
            <v>HFSHS180x180x14.2</v>
          </cell>
          <cell r="B1094">
            <v>2</v>
          </cell>
          <cell r="C1094">
            <v>10</v>
          </cell>
          <cell r="D1094"/>
          <cell r="E1094">
            <v>72.2</v>
          </cell>
          <cell r="F1094">
            <v>5</v>
          </cell>
          <cell r="G1094">
            <v>10</v>
          </cell>
          <cell r="H1094">
            <v>20</v>
          </cell>
          <cell r="I1094">
            <v>30</v>
          </cell>
          <cell r="J1094">
            <v>60</v>
          </cell>
          <cell r="K1094">
            <v>90</v>
          </cell>
        </row>
        <row r="1095">
          <cell r="A1095" t="str">
            <v>HFSHS180x180x16</v>
          </cell>
          <cell r="B1095">
            <v>2</v>
          </cell>
          <cell r="C1095">
            <v>10</v>
          </cell>
          <cell r="D1095"/>
          <cell r="E1095">
            <v>80.2</v>
          </cell>
          <cell r="F1095">
            <v>5</v>
          </cell>
          <cell r="G1095">
            <v>10</v>
          </cell>
          <cell r="H1095">
            <v>20</v>
          </cell>
          <cell r="I1095">
            <v>30</v>
          </cell>
          <cell r="J1095">
            <v>60</v>
          </cell>
          <cell r="K1095">
            <v>90</v>
          </cell>
        </row>
        <row r="1096">
          <cell r="A1096" t="str">
            <v>HFSHS200x200x5</v>
          </cell>
          <cell r="B1096">
            <v>2</v>
          </cell>
          <cell r="C1096">
            <v>2</v>
          </cell>
          <cell r="D1096"/>
          <cell r="E1096">
            <v>30.4</v>
          </cell>
          <cell r="F1096">
            <v>5</v>
          </cell>
          <cell r="G1096">
            <v>10</v>
          </cell>
          <cell r="H1096">
            <v>20</v>
          </cell>
          <cell r="I1096">
            <v>30</v>
          </cell>
          <cell r="J1096">
            <v>60</v>
          </cell>
          <cell r="K1096">
            <v>90</v>
          </cell>
        </row>
        <row r="1097">
          <cell r="A1097" t="str">
            <v>HFSHS200x200x6.3</v>
          </cell>
          <cell r="B1097">
            <v>2</v>
          </cell>
          <cell r="C1097">
            <v>2</v>
          </cell>
          <cell r="D1097"/>
          <cell r="E1097">
            <v>38</v>
          </cell>
          <cell r="F1097">
            <v>5</v>
          </cell>
          <cell r="G1097">
            <v>10</v>
          </cell>
          <cell r="H1097">
            <v>20</v>
          </cell>
          <cell r="I1097">
            <v>30</v>
          </cell>
          <cell r="J1097">
            <v>60</v>
          </cell>
          <cell r="K1097">
            <v>90</v>
          </cell>
        </row>
        <row r="1098">
          <cell r="A1098" t="str">
            <v>HFSHS200x200x7.1</v>
          </cell>
          <cell r="B1098">
            <v>2</v>
          </cell>
          <cell r="C1098">
            <v>3</v>
          </cell>
          <cell r="D1098"/>
          <cell r="E1098">
            <v>42.6</v>
          </cell>
          <cell r="F1098">
            <v>5</v>
          </cell>
          <cell r="G1098">
            <v>10</v>
          </cell>
          <cell r="H1098">
            <v>20</v>
          </cell>
          <cell r="I1098">
            <v>30</v>
          </cell>
          <cell r="J1098">
            <v>60</v>
          </cell>
          <cell r="K1098">
            <v>90</v>
          </cell>
        </row>
        <row r="1099">
          <cell r="A1099" t="str">
            <v>HFSHS200x200x8</v>
          </cell>
          <cell r="B1099">
            <v>2</v>
          </cell>
          <cell r="C1099">
            <v>3</v>
          </cell>
          <cell r="D1099"/>
          <cell r="E1099">
            <v>47.7</v>
          </cell>
          <cell r="F1099">
            <v>5</v>
          </cell>
          <cell r="G1099">
            <v>10</v>
          </cell>
          <cell r="H1099">
            <v>20</v>
          </cell>
          <cell r="I1099">
            <v>30</v>
          </cell>
          <cell r="J1099">
            <v>60</v>
          </cell>
          <cell r="K1099">
            <v>90</v>
          </cell>
        </row>
        <row r="1100">
          <cell r="A1100" t="str">
            <v>HFSHS200x200x8.8</v>
          </cell>
          <cell r="B1100">
            <v>2</v>
          </cell>
          <cell r="C1100">
            <v>3</v>
          </cell>
          <cell r="D1100"/>
          <cell r="E1100">
            <v>52.2</v>
          </cell>
          <cell r="F1100">
            <v>5</v>
          </cell>
          <cell r="G1100">
            <v>10</v>
          </cell>
          <cell r="H1100">
            <v>20</v>
          </cell>
          <cell r="I1100">
            <v>30</v>
          </cell>
          <cell r="J1100">
            <v>60</v>
          </cell>
          <cell r="K1100">
            <v>90</v>
          </cell>
        </row>
        <row r="1101">
          <cell r="A1101" t="str">
            <v>HFSHS200x200x10</v>
          </cell>
          <cell r="B1101">
            <v>2</v>
          </cell>
          <cell r="C1101">
            <v>6</v>
          </cell>
          <cell r="D1101"/>
          <cell r="E1101">
            <v>58.8</v>
          </cell>
          <cell r="F1101">
            <v>5</v>
          </cell>
          <cell r="G1101">
            <v>10</v>
          </cell>
          <cell r="H1101">
            <v>20</v>
          </cell>
          <cell r="I1101">
            <v>30</v>
          </cell>
          <cell r="J1101">
            <v>60</v>
          </cell>
          <cell r="K1101">
            <v>90</v>
          </cell>
        </row>
        <row r="1102">
          <cell r="A1102" t="str">
            <v>HFSHS200x200x12</v>
          </cell>
          <cell r="B1102">
            <v>2</v>
          </cell>
          <cell r="C1102">
            <v>6</v>
          </cell>
          <cell r="D1102">
            <v>0.77</v>
          </cell>
          <cell r="E1102">
            <v>71</v>
          </cell>
          <cell r="F1102">
            <v>5</v>
          </cell>
          <cell r="G1102">
            <v>10</v>
          </cell>
          <cell r="H1102">
            <v>20</v>
          </cell>
          <cell r="I1102">
            <v>30</v>
          </cell>
          <cell r="J1102">
            <v>60</v>
          </cell>
          <cell r="K1102">
            <v>90</v>
          </cell>
        </row>
        <row r="1103">
          <cell r="A1103" t="str">
            <v>HFSHS200x200x12.5</v>
          </cell>
          <cell r="B1103">
            <v>2</v>
          </cell>
          <cell r="C1103">
            <v>6</v>
          </cell>
          <cell r="D1103"/>
          <cell r="E1103">
            <v>72.3</v>
          </cell>
          <cell r="F1103">
            <v>5</v>
          </cell>
          <cell r="G1103">
            <v>10</v>
          </cell>
          <cell r="H1103">
            <v>20</v>
          </cell>
          <cell r="I1103">
            <v>30</v>
          </cell>
          <cell r="J1103">
            <v>60</v>
          </cell>
          <cell r="K1103">
            <v>90</v>
          </cell>
        </row>
        <row r="1104">
          <cell r="A1104" t="str">
            <v>HFSHS200x200x14.2</v>
          </cell>
          <cell r="B1104">
            <v>2</v>
          </cell>
          <cell r="C1104">
            <v>10</v>
          </cell>
          <cell r="D1104"/>
          <cell r="E1104">
            <v>81.099999999999994</v>
          </cell>
          <cell r="F1104">
            <v>5</v>
          </cell>
          <cell r="G1104">
            <v>10</v>
          </cell>
          <cell r="H1104">
            <v>20</v>
          </cell>
          <cell r="I1104">
            <v>30</v>
          </cell>
          <cell r="J1104">
            <v>60</v>
          </cell>
          <cell r="K1104">
            <v>90</v>
          </cell>
        </row>
        <row r="1105">
          <cell r="A1105" t="str">
            <v>HFSHS200x200x16</v>
          </cell>
          <cell r="B1105">
            <v>2</v>
          </cell>
          <cell r="C1105">
            <v>10</v>
          </cell>
          <cell r="D1105"/>
          <cell r="E1105">
            <v>90.3</v>
          </cell>
          <cell r="F1105">
            <v>5</v>
          </cell>
          <cell r="G1105">
            <v>10</v>
          </cell>
          <cell r="H1105">
            <v>20</v>
          </cell>
          <cell r="I1105">
            <v>30</v>
          </cell>
          <cell r="J1105">
            <v>60</v>
          </cell>
          <cell r="K1105">
            <v>90</v>
          </cell>
        </row>
        <row r="1106">
          <cell r="A1106" t="str">
            <v>HFSHS220x220x16</v>
          </cell>
          <cell r="B1106">
            <v>2</v>
          </cell>
          <cell r="C1106">
            <v>10</v>
          </cell>
          <cell r="D1106"/>
          <cell r="E1106">
            <v>100.5</v>
          </cell>
          <cell r="F1106">
            <v>5</v>
          </cell>
          <cell r="G1106">
            <v>10</v>
          </cell>
          <cell r="H1106">
            <v>20</v>
          </cell>
          <cell r="I1106">
            <v>30</v>
          </cell>
          <cell r="J1106">
            <v>60</v>
          </cell>
          <cell r="K1106">
            <v>90</v>
          </cell>
        </row>
        <row r="1107">
          <cell r="A1107" t="str">
            <v>HFSHS250x250x5</v>
          </cell>
          <cell r="B1107">
            <v>3</v>
          </cell>
          <cell r="C1107">
            <v>2</v>
          </cell>
          <cell r="D1107"/>
          <cell r="E1107">
            <v>38.299999999999997</v>
          </cell>
          <cell r="F1107">
            <v>10</v>
          </cell>
          <cell r="G1107">
            <v>20</v>
          </cell>
          <cell r="H1107">
            <v>30</v>
          </cell>
          <cell r="I1107">
            <v>40</v>
          </cell>
          <cell r="J1107">
            <v>90</v>
          </cell>
          <cell r="K1107">
            <v>120</v>
          </cell>
        </row>
        <row r="1108">
          <cell r="A1108" t="str">
            <v>HFSHS250x250x6.3</v>
          </cell>
          <cell r="B1108">
            <v>3</v>
          </cell>
          <cell r="C1108">
            <v>2</v>
          </cell>
          <cell r="D1108"/>
          <cell r="E1108">
            <v>47.9</v>
          </cell>
          <cell r="F1108">
            <v>10</v>
          </cell>
          <cell r="G1108">
            <v>20</v>
          </cell>
          <cell r="H1108">
            <v>30</v>
          </cell>
          <cell r="I1108">
            <v>40</v>
          </cell>
          <cell r="J1108">
            <v>90</v>
          </cell>
          <cell r="K1108">
            <v>120</v>
          </cell>
        </row>
        <row r="1109">
          <cell r="A1109" t="str">
            <v>HFSHS250x250x7.1</v>
          </cell>
          <cell r="B1109">
            <v>3</v>
          </cell>
          <cell r="C1109">
            <v>3</v>
          </cell>
          <cell r="D1109"/>
          <cell r="E1109">
            <v>53.7</v>
          </cell>
          <cell r="F1109">
            <v>10</v>
          </cell>
          <cell r="G1109">
            <v>20</v>
          </cell>
          <cell r="H1109">
            <v>30</v>
          </cell>
          <cell r="I1109">
            <v>40</v>
          </cell>
          <cell r="J1109">
            <v>90</v>
          </cell>
          <cell r="K1109">
            <v>120</v>
          </cell>
        </row>
        <row r="1110">
          <cell r="A1110" t="str">
            <v>HFSHS250x250x8</v>
          </cell>
          <cell r="B1110">
            <v>3</v>
          </cell>
          <cell r="C1110">
            <v>3</v>
          </cell>
          <cell r="D1110"/>
          <cell r="E1110">
            <v>60.3</v>
          </cell>
          <cell r="F1110">
            <v>10</v>
          </cell>
          <cell r="G1110">
            <v>20</v>
          </cell>
          <cell r="H1110">
            <v>30</v>
          </cell>
          <cell r="I1110">
            <v>40</v>
          </cell>
          <cell r="J1110">
            <v>90</v>
          </cell>
          <cell r="K1110">
            <v>120</v>
          </cell>
        </row>
        <row r="1111">
          <cell r="A1111" t="str">
            <v>HFSHS250x250x8.8</v>
          </cell>
          <cell r="B1111">
            <v>3</v>
          </cell>
          <cell r="C1111">
            <v>3</v>
          </cell>
          <cell r="D1111"/>
          <cell r="E1111">
            <v>66</v>
          </cell>
          <cell r="F1111">
            <v>10</v>
          </cell>
          <cell r="G1111">
            <v>20</v>
          </cell>
          <cell r="H1111">
            <v>30</v>
          </cell>
          <cell r="I1111">
            <v>40</v>
          </cell>
          <cell r="J1111">
            <v>90</v>
          </cell>
          <cell r="K1111">
            <v>120</v>
          </cell>
        </row>
        <row r="1112">
          <cell r="A1112" t="str">
            <v>HFSHS250x250x10</v>
          </cell>
          <cell r="B1112">
            <v>3</v>
          </cell>
          <cell r="C1112">
            <v>6</v>
          </cell>
          <cell r="D1112"/>
          <cell r="E1112">
            <v>74.5</v>
          </cell>
          <cell r="F1112">
            <v>10</v>
          </cell>
          <cell r="G1112">
            <v>20</v>
          </cell>
          <cell r="H1112">
            <v>30</v>
          </cell>
          <cell r="I1112">
            <v>40</v>
          </cell>
          <cell r="J1112">
            <v>90</v>
          </cell>
          <cell r="K1112">
            <v>120</v>
          </cell>
        </row>
        <row r="1113">
          <cell r="A1113" t="str">
            <v>HFSHS250x250x12.5</v>
          </cell>
          <cell r="B1113">
            <v>3</v>
          </cell>
          <cell r="C1113">
            <v>6</v>
          </cell>
          <cell r="D1113"/>
          <cell r="E1113">
            <v>91.9</v>
          </cell>
          <cell r="F1113">
            <v>10</v>
          </cell>
          <cell r="G1113">
            <v>20</v>
          </cell>
          <cell r="H1113">
            <v>30</v>
          </cell>
          <cell r="I1113">
            <v>40</v>
          </cell>
          <cell r="J1113">
            <v>90</v>
          </cell>
          <cell r="K1113">
            <v>120</v>
          </cell>
        </row>
        <row r="1114">
          <cell r="A1114" t="str">
            <v>HFSHS250x250x14.2</v>
          </cell>
          <cell r="B1114">
            <v>3</v>
          </cell>
          <cell r="C1114">
            <v>10</v>
          </cell>
          <cell r="D1114"/>
          <cell r="E1114">
            <v>103</v>
          </cell>
          <cell r="F1114">
            <v>10</v>
          </cell>
          <cell r="G1114">
            <v>20</v>
          </cell>
          <cell r="H1114">
            <v>30</v>
          </cell>
          <cell r="I1114">
            <v>40</v>
          </cell>
          <cell r="J1114">
            <v>90</v>
          </cell>
          <cell r="K1114">
            <v>120</v>
          </cell>
        </row>
        <row r="1115">
          <cell r="A1115" t="str">
            <v>HFSHS250x250x16</v>
          </cell>
          <cell r="B1115">
            <v>3</v>
          </cell>
          <cell r="C1115">
            <v>10</v>
          </cell>
          <cell r="D1115"/>
          <cell r="E1115">
            <v>115</v>
          </cell>
          <cell r="F1115">
            <v>10</v>
          </cell>
          <cell r="G1115">
            <v>20</v>
          </cell>
          <cell r="H1115">
            <v>30</v>
          </cell>
          <cell r="I1115">
            <v>40</v>
          </cell>
          <cell r="J1115">
            <v>90</v>
          </cell>
          <cell r="K1115">
            <v>120</v>
          </cell>
        </row>
        <row r="1116">
          <cell r="A1116" t="str">
            <v>HFSHS300x300x6.3</v>
          </cell>
          <cell r="B1116">
            <v>3</v>
          </cell>
          <cell r="C1116">
            <v>2</v>
          </cell>
          <cell r="D1116"/>
          <cell r="E1116">
            <v>57.8</v>
          </cell>
          <cell r="F1116">
            <v>10</v>
          </cell>
          <cell r="G1116">
            <v>20</v>
          </cell>
          <cell r="H1116">
            <v>30</v>
          </cell>
          <cell r="I1116">
            <v>40</v>
          </cell>
          <cell r="J1116">
            <v>90</v>
          </cell>
          <cell r="K1116">
            <v>120</v>
          </cell>
        </row>
        <row r="1117">
          <cell r="A1117" t="str">
            <v>HFSHS300x300x7.1</v>
          </cell>
          <cell r="B1117">
            <v>3</v>
          </cell>
          <cell r="C1117">
            <v>3</v>
          </cell>
          <cell r="D1117"/>
          <cell r="E1117">
            <v>64.900000000000006</v>
          </cell>
          <cell r="F1117">
            <v>10</v>
          </cell>
          <cell r="G1117">
            <v>20</v>
          </cell>
          <cell r="H1117">
            <v>30</v>
          </cell>
          <cell r="I1117">
            <v>40</v>
          </cell>
          <cell r="J1117">
            <v>90</v>
          </cell>
          <cell r="K1117">
            <v>120</v>
          </cell>
        </row>
        <row r="1118">
          <cell r="A1118" t="str">
            <v>HFSHS300x300x8</v>
          </cell>
          <cell r="B1118">
            <v>3</v>
          </cell>
          <cell r="C1118">
            <v>3</v>
          </cell>
          <cell r="D1118"/>
          <cell r="E1118">
            <v>72.8</v>
          </cell>
          <cell r="F1118">
            <v>10</v>
          </cell>
          <cell r="G1118">
            <v>20</v>
          </cell>
          <cell r="H1118">
            <v>30</v>
          </cell>
          <cell r="I1118">
            <v>40</v>
          </cell>
          <cell r="J1118">
            <v>90</v>
          </cell>
          <cell r="K1118">
            <v>120</v>
          </cell>
        </row>
        <row r="1119">
          <cell r="A1119" t="str">
            <v>HFSHS300x300x8.8</v>
          </cell>
          <cell r="B1119">
            <v>3</v>
          </cell>
          <cell r="C1119">
            <v>3</v>
          </cell>
          <cell r="D1119"/>
          <cell r="E1119">
            <v>79.8</v>
          </cell>
          <cell r="F1119">
            <v>10</v>
          </cell>
          <cell r="G1119">
            <v>20</v>
          </cell>
          <cell r="H1119">
            <v>30</v>
          </cell>
          <cell r="I1119">
            <v>40</v>
          </cell>
          <cell r="J1119">
            <v>90</v>
          </cell>
          <cell r="K1119">
            <v>120</v>
          </cell>
        </row>
        <row r="1120">
          <cell r="A1120" t="str">
            <v>HFSHS300x300x10</v>
          </cell>
          <cell r="B1120">
            <v>3</v>
          </cell>
          <cell r="C1120">
            <v>6</v>
          </cell>
          <cell r="D1120"/>
          <cell r="E1120">
            <v>90.2</v>
          </cell>
          <cell r="F1120">
            <v>10</v>
          </cell>
          <cell r="G1120">
            <v>20</v>
          </cell>
          <cell r="H1120">
            <v>30</v>
          </cell>
          <cell r="I1120">
            <v>40</v>
          </cell>
          <cell r="J1120">
            <v>90</v>
          </cell>
          <cell r="K1120">
            <v>120</v>
          </cell>
        </row>
        <row r="1121">
          <cell r="A1121" t="str">
            <v>HFSHS300x300x12.5</v>
          </cell>
          <cell r="B1121">
            <v>3</v>
          </cell>
          <cell r="C1121">
            <v>6</v>
          </cell>
          <cell r="D1121"/>
          <cell r="E1121">
            <v>112</v>
          </cell>
          <cell r="F1121">
            <v>10</v>
          </cell>
          <cell r="G1121">
            <v>20</v>
          </cell>
          <cell r="H1121">
            <v>30</v>
          </cell>
          <cell r="I1121">
            <v>40</v>
          </cell>
          <cell r="J1121">
            <v>90</v>
          </cell>
          <cell r="K1121">
            <v>120</v>
          </cell>
        </row>
        <row r="1122">
          <cell r="A1122" t="str">
            <v>HFSHS300x300x14.2</v>
          </cell>
          <cell r="B1122">
            <v>3</v>
          </cell>
          <cell r="C1122">
            <v>10</v>
          </cell>
          <cell r="D1122"/>
          <cell r="E1122">
            <v>126</v>
          </cell>
          <cell r="F1122">
            <v>10</v>
          </cell>
          <cell r="G1122">
            <v>20</v>
          </cell>
          <cell r="H1122">
            <v>30</v>
          </cell>
          <cell r="I1122">
            <v>40</v>
          </cell>
          <cell r="J1122">
            <v>90</v>
          </cell>
          <cell r="K1122">
            <v>120</v>
          </cell>
        </row>
        <row r="1123">
          <cell r="A1123" t="str">
            <v>HFSHS300x300x16</v>
          </cell>
          <cell r="B1123">
            <v>3</v>
          </cell>
          <cell r="C1123">
            <v>10</v>
          </cell>
          <cell r="D1123"/>
          <cell r="E1123">
            <v>141</v>
          </cell>
          <cell r="F1123">
            <v>10</v>
          </cell>
          <cell r="G1123">
            <v>20</v>
          </cell>
          <cell r="H1123">
            <v>30</v>
          </cell>
          <cell r="I1123">
            <v>40</v>
          </cell>
          <cell r="J1123">
            <v>90</v>
          </cell>
          <cell r="K1123">
            <v>120</v>
          </cell>
        </row>
        <row r="1124">
          <cell r="A1124" t="str">
            <v>HFSHS350x350x8</v>
          </cell>
          <cell r="B1124">
            <v>3</v>
          </cell>
          <cell r="C1124">
            <v>3</v>
          </cell>
          <cell r="D1124"/>
          <cell r="E1124">
            <v>85.4</v>
          </cell>
          <cell r="F1124">
            <v>10</v>
          </cell>
          <cell r="G1124">
            <v>20</v>
          </cell>
          <cell r="H1124">
            <v>30</v>
          </cell>
          <cell r="I1124">
            <v>40</v>
          </cell>
          <cell r="J1124">
            <v>90</v>
          </cell>
          <cell r="K1124">
            <v>120</v>
          </cell>
        </row>
        <row r="1125">
          <cell r="A1125" t="str">
            <v>HFSHS350x350x8.8</v>
          </cell>
          <cell r="B1125">
            <v>3</v>
          </cell>
          <cell r="C1125">
            <v>3</v>
          </cell>
          <cell r="D1125"/>
          <cell r="E1125">
            <v>93.6</v>
          </cell>
          <cell r="F1125">
            <v>10</v>
          </cell>
          <cell r="G1125">
            <v>20</v>
          </cell>
          <cell r="H1125">
            <v>30</v>
          </cell>
          <cell r="I1125">
            <v>40</v>
          </cell>
          <cell r="J1125">
            <v>90</v>
          </cell>
          <cell r="K1125">
            <v>120</v>
          </cell>
        </row>
        <row r="1126">
          <cell r="A1126" t="str">
            <v>HFSHS350x350x10</v>
          </cell>
          <cell r="B1126">
            <v>3</v>
          </cell>
          <cell r="C1126">
            <v>6</v>
          </cell>
          <cell r="D1126"/>
          <cell r="E1126">
            <v>106</v>
          </cell>
          <cell r="F1126">
            <v>10</v>
          </cell>
          <cell r="G1126">
            <v>20</v>
          </cell>
          <cell r="H1126">
            <v>30</v>
          </cell>
          <cell r="I1126">
            <v>40</v>
          </cell>
          <cell r="J1126">
            <v>90</v>
          </cell>
          <cell r="K1126">
            <v>120</v>
          </cell>
        </row>
        <row r="1127">
          <cell r="A1127" t="str">
            <v>HFSHS350x350x12.5</v>
          </cell>
          <cell r="B1127">
            <v>3</v>
          </cell>
          <cell r="C1127">
            <v>6</v>
          </cell>
          <cell r="D1127"/>
          <cell r="E1127">
            <v>131</v>
          </cell>
          <cell r="F1127">
            <v>10</v>
          </cell>
          <cell r="G1127">
            <v>20</v>
          </cell>
          <cell r="H1127">
            <v>30</v>
          </cell>
          <cell r="I1127">
            <v>40</v>
          </cell>
          <cell r="J1127">
            <v>90</v>
          </cell>
          <cell r="K1127">
            <v>120</v>
          </cell>
        </row>
        <row r="1128">
          <cell r="A1128" t="str">
            <v>HFSHS350x350x14.2</v>
          </cell>
          <cell r="B1128">
            <v>3</v>
          </cell>
          <cell r="C1128">
            <v>10</v>
          </cell>
          <cell r="D1128"/>
          <cell r="E1128">
            <v>148</v>
          </cell>
          <cell r="F1128">
            <v>10</v>
          </cell>
          <cell r="G1128">
            <v>20</v>
          </cell>
          <cell r="H1128">
            <v>30</v>
          </cell>
          <cell r="I1128">
            <v>40</v>
          </cell>
          <cell r="J1128">
            <v>90</v>
          </cell>
          <cell r="K1128">
            <v>120</v>
          </cell>
        </row>
        <row r="1129">
          <cell r="A1129" t="str">
            <v>HFSHS350x350x16</v>
          </cell>
          <cell r="B1129">
            <v>3</v>
          </cell>
          <cell r="C1129">
            <v>10</v>
          </cell>
          <cell r="D1129"/>
          <cell r="E1129">
            <v>166</v>
          </cell>
          <cell r="F1129">
            <v>10</v>
          </cell>
          <cell r="G1129">
            <v>20</v>
          </cell>
          <cell r="H1129">
            <v>30</v>
          </cell>
          <cell r="I1129">
            <v>40</v>
          </cell>
          <cell r="J1129">
            <v>90</v>
          </cell>
          <cell r="K1129">
            <v>120</v>
          </cell>
        </row>
        <row r="1130">
          <cell r="A1130" t="str">
            <v>HFSHS400x400x8</v>
          </cell>
          <cell r="B1130">
            <v>3</v>
          </cell>
          <cell r="C1130">
            <v>3</v>
          </cell>
          <cell r="D1130"/>
          <cell r="E1130">
            <v>97.9</v>
          </cell>
          <cell r="F1130">
            <v>10</v>
          </cell>
          <cell r="G1130">
            <v>20</v>
          </cell>
          <cell r="H1130">
            <v>30</v>
          </cell>
          <cell r="I1130">
            <v>40</v>
          </cell>
          <cell r="J1130">
            <v>90</v>
          </cell>
          <cell r="K1130">
            <v>120</v>
          </cell>
        </row>
        <row r="1131">
          <cell r="A1131" t="str">
            <v>HFSHS400x400x8.8</v>
          </cell>
          <cell r="B1131">
            <v>3</v>
          </cell>
          <cell r="C1131">
            <v>3</v>
          </cell>
          <cell r="D1131"/>
          <cell r="E1131">
            <v>107</v>
          </cell>
          <cell r="F1131">
            <v>10</v>
          </cell>
          <cell r="G1131">
            <v>20</v>
          </cell>
          <cell r="H1131">
            <v>30</v>
          </cell>
          <cell r="I1131">
            <v>40</v>
          </cell>
          <cell r="J1131">
            <v>90</v>
          </cell>
          <cell r="K1131">
            <v>120</v>
          </cell>
        </row>
        <row r="1132">
          <cell r="A1132" t="str">
            <v>HFSHS400x400x10</v>
          </cell>
          <cell r="B1132">
            <v>3</v>
          </cell>
          <cell r="C1132">
            <v>6</v>
          </cell>
          <cell r="D1132"/>
          <cell r="E1132">
            <v>122</v>
          </cell>
          <cell r="F1132">
            <v>10</v>
          </cell>
          <cell r="G1132">
            <v>20</v>
          </cell>
          <cell r="H1132">
            <v>30</v>
          </cell>
          <cell r="I1132">
            <v>40</v>
          </cell>
          <cell r="J1132">
            <v>90</v>
          </cell>
          <cell r="K1132">
            <v>120</v>
          </cell>
        </row>
        <row r="1133">
          <cell r="A1133" t="str">
            <v>HFSHS400x400x12.5</v>
          </cell>
          <cell r="B1133">
            <v>3</v>
          </cell>
          <cell r="C1133">
            <v>6</v>
          </cell>
          <cell r="D1133"/>
          <cell r="E1133">
            <v>151</v>
          </cell>
          <cell r="F1133">
            <v>10</v>
          </cell>
          <cell r="G1133">
            <v>20</v>
          </cell>
          <cell r="H1133">
            <v>30</v>
          </cell>
          <cell r="I1133">
            <v>40</v>
          </cell>
          <cell r="J1133">
            <v>90</v>
          </cell>
          <cell r="K1133">
            <v>120</v>
          </cell>
        </row>
        <row r="1134">
          <cell r="A1134" t="str">
            <v>HFSHS400x400x14.2</v>
          </cell>
          <cell r="B1134">
            <v>3</v>
          </cell>
          <cell r="C1134">
            <v>10</v>
          </cell>
          <cell r="D1134"/>
          <cell r="E1134">
            <v>170</v>
          </cell>
          <cell r="F1134">
            <v>10</v>
          </cell>
          <cell r="G1134">
            <v>20</v>
          </cell>
          <cell r="H1134">
            <v>30</v>
          </cell>
          <cell r="I1134">
            <v>40</v>
          </cell>
          <cell r="J1134">
            <v>90</v>
          </cell>
          <cell r="K1134">
            <v>120</v>
          </cell>
        </row>
        <row r="1135">
          <cell r="A1135" t="str">
            <v>HFSHS400x400x16</v>
          </cell>
          <cell r="B1135">
            <v>3</v>
          </cell>
          <cell r="C1135">
            <v>10</v>
          </cell>
          <cell r="D1135"/>
          <cell r="E1135">
            <v>191</v>
          </cell>
          <cell r="F1135">
            <v>10</v>
          </cell>
          <cell r="G1135">
            <v>20</v>
          </cell>
          <cell r="H1135">
            <v>30</v>
          </cell>
          <cell r="I1135">
            <v>40</v>
          </cell>
          <cell r="J1135">
            <v>90</v>
          </cell>
          <cell r="K1135">
            <v>120</v>
          </cell>
        </row>
        <row r="1136">
          <cell r="A1136" t="str">
            <v>HFSHS400x400x20</v>
          </cell>
          <cell r="B1136">
            <v>3</v>
          </cell>
          <cell r="C1136">
            <v>15</v>
          </cell>
          <cell r="D1136"/>
          <cell r="E1136">
            <v>235</v>
          </cell>
          <cell r="F1136">
            <v>10</v>
          </cell>
          <cell r="G1136">
            <v>20</v>
          </cell>
          <cell r="H1136">
            <v>30</v>
          </cell>
          <cell r="I1136">
            <v>40</v>
          </cell>
          <cell r="J1136">
            <v>90</v>
          </cell>
          <cell r="K1136">
            <v>120</v>
          </cell>
        </row>
        <row r="1137">
          <cell r="A1137" t="str">
            <v>HL920x344</v>
          </cell>
          <cell r="B1137">
            <v>3</v>
          </cell>
          <cell r="C1137"/>
          <cell r="D1137"/>
          <cell r="E1137">
            <v>344</v>
          </cell>
          <cell r="F1137">
            <v>10</v>
          </cell>
          <cell r="G1137">
            <v>20</v>
          </cell>
          <cell r="H1137">
            <v>30</v>
          </cell>
          <cell r="I1137">
            <v>40</v>
          </cell>
          <cell r="J1137">
            <v>90</v>
          </cell>
          <cell r="K1137">
            <v>120</v>
          </cell>
        </row>
        <row r="1138">
          <cell r="A1138" t="str">
            <v>HL920x368</v>
          </cell>
          <cell r="B1138">
            <v>3</v>
          </cell>
          <cell r="C1138"/>
          <cell r="D1138"/>
          <cell r="E1138">
            <v>368</v>
          </cell>
          <cell r="F1138">
            <v>10</v>
          </cell>
          <cell r="G1138">
            <v>20</v>
          </cell>
          <cell r="H1138">
            <v>30</v>
          </cell>
          <cell r="I1138">
            <v>40</v>
          </cell>
          <cell r="J1138">
            <v>90</v>
          </cell>
          <cell r="K1138">
            <v>120</v>
          </cell>
        </row>
        <row r="1139">
          <cell r="A1139" t="str">
            <v>HL920x390</v>
          </cell>
          <cell r="B1139">
            <v>3</v>
          </cell>
          <cell r="C1139"/>
          <cell r="D1139"/>
          <cell r="E1139">
            <v>390</v>
          </cell>
          <cell r="F1139">
            <v>10</v>
          </cell>
          <cell r="G1139">
            <v>20</v>
          </cell>
          <cell r="H1139">
            <v>30</v>
          </cell>
          <cell r="I1139">
            <v>40</v>
          </cell>
          <cell r="J1139">
            <v>90</v>
          </cell>
          <cell r="K1139">
            <v>120</v>
          </cell>
        </row>
        <row r="1140">
          <cell r="A1140" t="str">
            <v>HL920x420</v>
          </cell>
          <cell r="B1140">
            <v>3</v>
          </cell>
          <cell r="C1140"/>
          <cell r="D1140"/>
          <cell r="E1140">
            <v>420</v>
          </cell>
          <cell r="F1140">
            <v>10</v>
          </cell>
          <cell r="G1140">
            <v>20</v>
          </cell>
          <cell r="H1140">
            <v>30</v>
          </cell>
          <cell r="I1140">
            <v>40</v>
          </cell>
          <cell r="J1140">
            <v>90</v>
          </cell>
          <cell r="K1140">
            <v>120</v>
          </cell>
        </row>
        <row r="1141">
          <cell r="A1141" t="str">
            <v>HL920x449</v>
          </cell>
          <cell r="B1141">
            <v>3</v>
          </cell>
          <cell r="C1141"/>
          <cell r="D1141"/>
          <cell r="E1141">
            <v>449</v>
          </cell>
          <cell r="F1141">
            <v>10</v>
          </cell>
          <cell r="G1141">
            <v>20</v>
          </cell>
          <cell r="H1141">
            <v>30</v>
          </cell>
          <cell r="I1141">
            <v>40</v>
          </cell>
          <cell r="J1141">
            <v>90</v>
          </cell>
          <cell r="K1141">
            <v>120</v>
          </cell>
        </row>
        <row r="1142">
          <cell r="A1142" t="str">
            <v>HL920x491</v>
          </cell>
          <cell r="B1142">
            <v>3</v>
          </cell>
          <cell r="C1142"/>
          <cell r="D1142"/>
          <cell r="E1142">
            <v>491</v>
          </cell>
          <cell r="F1142">
            <v>10</v>
          </cell>
          <cell r="G1142">
            <v>20</v>
          </cell>
          <cell r="H1142">
            <v>30</v>
          </cell>
          <cell r="I1142">
            <v>40</v>
          </cell>
          <cell r="J1142">
            <v>90</v>
          </cell>
          <cell r="K1142">
            <v>120</v>
          </cell>
        </row>
        <row r="1143">
          <cell r="A1143" t="str">
            <v>HL920x537</v>
          </cell>
          <cell r="B1143">
            <v>3</v>
          </cell>
          <cell r="C1143"/>
          <cell r="D1143"/>
          <cell r="E1143">
            <v>537</v>
          </cell>
          <cell r="F1143">
            <v>10</v>
          </cell>
          <cell r="G1143">
            <v>20</v>
          </cell>
          <cell r="H1143">
            <v>30</v>
          </cell>
          <cell r="I1143">
            <v>40</v>
          </cell>
          <cell r="J1143">
            <v>90</v>
          </cell>
          <cell r="K1143">
            <v>120</v>
          </cell>
        </row>
        <row r="1144">
          <cell r="A1144" t="str">
            <v>HL920x588</v>
          </cell>
          <cell r="B1144">
            <v>3</v>
          </cell>
          <cell r="C1144"/>
          <cell r="D1144"/>
          <cell r="E1144">
            <v>588</v>
          </cell>
          <cell r="F1144">
            <v>10</v>
          </cell>
          <cell r="G1144">
            <v>20</v>
          </cell>
          <cell r="H1144">
            <v>30</v>
          </cell>
          <cell r="I1144">
            <v>40</v>
          </cell>
          <cell r="J1144">
            <v>90</v>
          </cell>
          <cell r="K1144">
            <v>120</v>
          </cell>
        </row>
        <row r="1145">
          <cell r="A1145" t="str">
            <v>HL920x656</v>
          </cell>
          <cell r="B1145">
            <v>3</v>
          </cell>
          <cell r="C1145"/>
          <cell r="D1145"/>
          <cell r="E1145">
            <v>656</v>
          </cell>
          <cell r="F1145">
            <v>10</v>
          </cell>
          <cell r="G1145">
            <v>20</v>
          </cell>
          <cell r="H1145">
            <v>30</v>
          </cell>
          <cell r="I1145">
            <v>40</v>
          </cell>
          <cell r="J1145">
            <v>90</v>
          </cell>
          <cell r="K1145">
            <v>120</v>
          </cell>
        </row>
        <row r="1146">
          <cell r="A1146" t="str">
            <v>HL920x725</v>
          </cell>
          <cell r="B1146">
            <v>3</v>
          </cell>
          <cell r="C1146"/>
          <cell r="D1146"/>
          <cell r="E1146">
            <v>725</v>
          </cell>
          <cell r="F1146">
            <v>10</v>
          </cell>
          <cell r="G1146">
            <v>20</v>
          </cell>
          <cell r="H1146">
            <v>30</v>
          </cell>
          <cell r="I1146">
            <v>40</v>
          </cell>
          <cell r="J1146">
            <v>90</v>
          </cell>
          <cell r="K1146">
            <v>120</v>
          </cell>
        </row>
        <row r="1147">
          <cell r="A1147" t="str">
            <v>HL920x787</v>
          </cell>
          <cell r="B1147">
            <v>3</v>
          </cell>
          <cell r="C1147"/>
          <cell r="D1147"/>
          <cell r="E1147">
            <v>787</v>
          </cell>
          <cell r="F1147">
            <v>10</v>
          </cell>
          <cell r="G1147">
            <v>20</v>
          </cell>
          <cell r="H1147">
            <v>30</v>
          </cell>
          <cell r="I1147">
            <v>40</v>
          </cell>
          <cell r="J1147">
            <v>90</v>
          </cell>
          <cell r="K1147">
            <v>120</v>
          </cell>
        </row>
        <row r="1148">
          <cell r="A1148" t="str">
            <v>HL920x970</v>
          </cell>
          <cell r="B1148">
            <v>3</v>
          </cell>
          <cell r="C1148"/>
          <cell r="D1148"/>
          <cell r="E1148">
            <v>970</v>
          </cell>
          <cell r="F1148">
            <v>10</v>
          </cell>
          <cell r="G1148">
            <v>20</v>
          </cell>
          <cell r="H1148">
            <v>30</v>
          </cell>
          <cell r="I1148">
            <v>40</v>
          </cell>
          <cell r="J1148">
            <v>90</v>
          </cell>
          <cell r="K1148">
            <v>120</v>
          </cell>
        </row>
        <row r="1149">
          <cell r="A1149" t="str">
            <v>HL920x1077</v>
          </cell>
          <cell r="B1149">
            <v>3</v>
          </cell>
          <cell r="C1149"/>
          <cell r="D1149"/>
          <cell r="E1149">
            <v>1077</v>
          </cell>
          <cell r="F1149">
            <v>10</v>
          </cell>
          <cell r="G1149">
            <v>20</v>
          </cell>
          <cell r="H1149">
            <v>30</v>
          </cell>
          <cell r="I1149">
            <v>40</v>
          </cell>
          <cell r="J1149">
            <v>90</v>
          </cell>
          <cell r="K1149">
            <v>120</v>
          </cell>
        </row>
        <row r="1150">
          <cell r="A1150" t="str">
            <v>HL920x1194</v>
          </cell>
          <cell r="B1150">
            <v>3</v>
          </cell>
          <cell r="C1150"/>
          <cell r="D1150"/>
          <cell r="E1150">
            <v>1194</v>
          </cell>
          <cell r="F1150">
            <v>10</v>
          </cell>
          <cell r="G1150">
            <v>20</v>
          </cell>
          <cell r="H1150">
            <v>30</v>
          </cell>
          <cell r="I1150">
            <v>40</v>
          </cell>
          <cell r="J1150">
            <v>90</v>
          </cell>
          <cell r="K1150">
            <v>120</v>
          </cell>
        </row>
        <row r="1151">
          <cell r="A1151" t="str">
            <v>HL920x1269</v>
          </cell>
          <cell r="B1151">
            <v>3</v>
          </cell>
          <cell r="C1151"/>
          <cell r="D1151"/>
          <cell r="E1151">
            <v>1269</v>
          </cell>
          <cell r="F1151">
            <v>10</v>
          </cell>
          <cell r="G1151">
            <v>20</v>
          </cell>
          <cell r="H1151">
            <v>30</v>
          </cell>
          <cell r="I1151">
            <v>40</v>
          </cell>
          <cell r="J1151">
            <v>90</v>
          </cell>
          <cell r="K1151">
            <v>120</v>
          </cell>
        </row>
        <row r="1152">
          <cell r="A1152" t="str">
            <v>HL920x1377</v>
          </cell>
          <cell r="B1152">
            <v>3</v>
          </cell>
          <cell r="C1152"/>
          <cell r="D1152"/>
          <cell r="E1152">
            <v>1377</v>
          </cell>
          <cell r="F1152">
            <v>10</v>
          </cell>
          <cell r="G1152">
            <v>20</v>
          </cell>
          <cell r="H1152">
            <v>30</v>
          </cell>
          <cell r="I1152">
            <v>40</v>
          </cell>
          <cell r="J1152">
            <v>90</v>
          </cell>
          <cell r="K1152">
            <v>120</v>
          </cell>
        </row>
        <row r="1153">
          <cell r="A1153" t="str">
            <v>HL1000 AA</v>
          </cell>
          <cell r="B1153">
            <v>3</v>
          </cell>
          <cell r="C1153"/>
          <cell r="D1153"/>
          <cell r="E1153">
            <v>296</v>
          </cell>
          <cell r="F1153">
            <v>10</v>
          </cell>
          <cell r="G1153">
            <v>20</v>
          </cell>
          <cell r="H1153">
            <v>30</v>
          </cell>
          <cell r="I1153">
            <v>40</v>
          </cell>
          <cell r="J1153">
            <v>90</v>
          </cell>
          <cell r="K1153">
            <v>120</v>
          </cell>
        </row>
        <row r="1154">
          <cell r="A1154" t="str">
            <v>HL1000 A</v>
          </cell>
          <cell r="B1154">
            <v>3</v>
          </cell>
          <cell r="C1154"/>
          <cell r="D1154"/>
          <cell r="E1154">
            <v>321</v>
          </cell>
          <cell r="F1154">
            <v>10</v>
          </cell>
          <cell r="G1154">
            <v>20</v>
          </cell>
          <cell r="H1154">
            <v>30</v>
          </cell>
          <cell r="I1154">
            <v>40</v>
          </cell>
          <cell r="J1154">
            <v>90</v>
          </cell>
          <cell r="K1154">
            <v>120</v>
          </cell>
        </row>
        <row r="1155">
          <cell r="A1155" t="str">
            <v>HL1000 B</v>
          </cell>
          <cell r="B1155">
            <v>3</v>
          </cell>
          <cell r="C1155"/>
          <cell r="D1155"/>
          <cell r="E1155">
            <v>371</v>
          </cell>
          <cell r="F1155">
            <v>10</v>
          </cell>
          <cell r="G1155">
            <v>20</v>
          </cell>
          <cell r="H1155">
            <v>30</v>
          </cell>
          <cell r="I1155">
            <v>40</v>
          </cell>
          <cell r="J1155">
            <v>90</v>
          </cell>
          <cell r="K1155">
            <v>120</v>
          </cell>
        </row>
        <row r="1156">
          <cell r="A1156" t="str">
            <v>HL1000 M</v>
          </cell>
          <cell r="B1156">
            <v>3</v>
          </cell>
          <cell r="C1156"/>
          <cell r="D1156"/>
          <cell r="E1156">
            <v>412</v>
          </cell>
          <cell r="F1156">
            <v>10</v>
          </cell>
          <cell r="G1156">
            <v>20</v>
          </cell>
          <cell r="H1156">
            <v>30</v>
          </cell>
          <cell r="I1156">
            <v>40</v>
          </cell>
          <cell r="J1156">
            <v>90</v>
          </cell>
          <cell r="K1156">
            <v>120</v>
          </cell>
        </row>
        <row r="1157">
          <cell r="A1157" t="str">
            <v>HL1000x443</v>
          </cell>
          <cell r="B1157">
            <v>3</v>
          </cell>
          <cell r="C1157"/>
          <cell r="D1157"/>
          <cell r="E1157">
            <v>443</v>
          </cell>
          <cell r="F1157">
            <v>10</v>
          </cell>
          <cell r="G1157">
            <v>20</v>
          </cell>
          <cell r="H1157">
            <v>30</v>
          </cell>
          <cell r="I1157">
            <v>40</v>
          </cell>
          <cell r="J1157">
            <v>90</v>
          </cell>
          <cell r="K1157">
            <v>120</v>
          </cell>
        </row>
        <row r="1158">
          <cell r="A1158" t="str">
            <v>HL1000x483</v>
          </cell>
          <cell r="B1158">
            <v>3</v>
          </cell>
          <cell r="C1158"/>
          <cell r="D1158"/>
          <cell r="E1158">
            <v>483</v>
          </cell>
          <cell r="F1158">
            <v>10</v>
          </cell>
          <cell r="G1158">
            <v>20</v>
          </cell>
          <cell r="H1158">
            <v>30</v>
          </cell>
          <cell r="I1158">
            <v>40</v>
          </cell>
          <cell r="J1158">
            <v>90</v>
          </cell>
          <cell r="K1158">
            <v>120</v>
          </cell>
        </row>
        <row r="1159">
          <cell r="A1159" t="str">
            <v>HL1000x539</v>
          </cell>
          <cell r="B1159">
            <v>3</v>
          </cell>
          <cell r="C1159"/>
          <cell r="D1159"/>
          <cell r="E1159">
            <v>539</v>
          </cell>
          <cell r="F1159">
            <v>10</v>
          </cell>
          <cell r="G1159">
            <v>20</v>
          </cell>
          <cell r="H1159">
            <v>30</v>
          </cell>
          <cell r="I1159">
            <v>40</v>
          </cell>
          <cell r="J1159">
            <v>90</v>
          </cell>
          <cell r="K1159">
            <v>120</v>
          </cell>
        </row>
        <row r="1160">
          <cell r="A1160" t="str">
            <v>HL1000x554</v>
          </cell>
          <cell r="B1160">
            <v>3</v>
          </cell>
          <cell r="C1160"/>
          <cell r="D1160"/>
          <cell r="E1160">
            <v>554</v>
          </cell>
          <cell r="F1160">
            <v>10</v>
          </cell>
          <cell r="G1160">
            <v>20</v>
          </cell>
          <cell r="H1160">
            <v>30</v>
          </cell>
          <cell r="I1160">
            <v>40</v>
          </cell>
          <cell r="J1160">
            <v>90</v>
          </cell>
          <cell r="K1160">
            <v>120</v>
          </cell>
        </row>
        <row r="1161">
          <cell r="A1161" t="str">
            <v>HL1000x591</v>
          </cell>
          <cell r="B1161">
            <v>3</v>
          </cell>
          <cell r="C1161"/>
          <cell r="D1161"/>
          <cell r="E1161">
            <v>591</v>
          </cell>
          <cell r="F1161">
            <v>10</v>
          </cell>
          <cell r="G1161">
            <v>20</v>
          </cell>
          <cell r="H1161">
            <v>30</v>
          </cell>
          <cell r="I1161">
            <v>40</v>
          </cell>
          <cell r="J1161">
            <v>90</v>
          </cell>
          <cell r="K1161">
            <v>120</v>
          </cell>
        </row>
        <row r="1162">
          <cell r="A1162" t="str">
            <v>HL1000x642</v>
          </cell>
          <cell r="B1162">
            <v>3</v>
          </cell>
          <cell r="C1162"/>
          <cell r="D1162"/>
          <cell r="E1162">
            <v>642</v>
          </cell>
          <cell r="F1162">
            <v>10</v>
          </cell>
          <cell r="G1162">
            <v>20</v>
          </cell>
          <cell r="H1162">
            <v>30</v>
          </cell>
          <cell r="I1162">
            <v>40</v>
          </cell>
          <cell r="J1162">
            <v>90</v>
          </cell>
          <cell r="K1162">
            <v>120</v>
          </cell>
        </row>
        <row r="1163">
          <cell r="A1163" t="str">
            <v>HL1000x748</v>
          </cell>
          <cell r="B1163">
            <v>3</v>
          </cell>
          <cell r="C1163"/>
          <cell r="D1163"/>
          <cell r="E1163">
            <v>748</v>
          </cell>
          <cell r="F1163">
            <v>10</v>
          </cell>
          <cell r="G1163">
            <v>20</v>
          </cell>
          <cell r="H1163">
            <v>30</v>
          </cell>
          <cell r="I1163">
            <v>40</v>
          </cell>
          <cell r="J1163">
            <v>90</v>
          </cell>
          <cell r="K1163">
            <v>120</v>
          </cell>
        </row>
        <row r="1164">
          <cell r="A1164" t="str">
            <v>HL1000x883</v>
          </cell>
          <cell r="B1164">
            <v>3</v>
          </cell>
          <cell r="C1164"/>
          <cell r="D1164"/>
          <cell r="E1164">
            <v>883</v>
          </cell>
          <cell r="F1164">
            <v>10</v>
          </cell>
          <cell r="G1164">
            <v>20</v>
          </cell>
          <cell r="H1164">
            <v>30</v>
          </cell>
          <cell r="I1164">
            <v>40</v>
          </cell>
          <cell r="J1164">
            <v>90</v>
          </cell>
          <cell r="K1164">
            <v>120</v>
          </cell>
        </row>
        <row r="1165">
          <cell r="A1165" t="str">
            <v>HL1000x976</v>
          </cell>
          <cell r="B1165">
            <v>3</v>
          </cell>
          <cell r="C1165"/>
          <cell r="D1165"/>
          <cell r="E1165">
            <v>976</v>
          </cell>
          <cell r="F1165">
            <v>10</v>
          </cell>
          <cell r="G1165">
            <v>20</v>
          </cell>
          <cell r="H1165">
            <v>30</v>
          </cell>
          <cell r="I1165">
            <v>40</v>
          </cell>
          <cell r="J1165">
            <v>90</v>
          </cell>
          <cell r="K1165">
            <v>120</v>
          </cell>
        </row>
        <row r="1166">
          <cell r="A1166" t="str">
            <v>HL1100 A</v>
          </cell>
          <cell r="B1166">
            <v>3</v>
          </cell>
          <cell r="C1166"/>
          <cell r="D1166"/>
          <cell r="E1166">
            <v>343</v>
          </cell>
          <cell r="F1166">
            <v>10</v>
          </cell>
          <cell r="G1166">
            <v>20</v>
          </cell>
          <cell r="H1166">
            <v>30</v>
          </cell>
          <cell r="I1166">
            <v>40</v>
          </cell>
          <cell r="J1166">
            <v>90</v>
          </cell>
          <cell r="K1166">
            <v>120</v>
          </cell>
        </row>
        <row r="1167">
          <cell r="A1167" t="str">
            <v>HL1100 B</v>
          </cell>
          <cell r="B1167">
            <v>3</v>
          </cell>
          <cell r="C1167"/>
          <cell r="D1167"/>
          <cell r="E1167">
            <v>390</v>
          </cell>
          <cell r="F1167">
            <v>10</v>
          </cell>
          <cell r="G1167">
            <v>20</v>
          </cell>
          <cell r="H1167">
            <v>30</v>
          </cell>
          <cell r="I1167">
            <v>40</v>
          </cell>
          <cell r="J1167">
            <v>90</v>
          </cell>
          <cell r="K1167">
            <v>120</v>
          </cell>
        </row>
        <row r="1168">
          <cell r="A1168" t="str">
            <v>HL1100 M</v>
          </cell>
          <cell r="B1168">
            <v>3</v>
          </cell>
          <cell r="C1168"/>
          <cell r="D1168"/>
          <cell r="E1168">
            <v>433</v>
          </cell>
          <cell r="F1168">
            <v>10</v>
          </cell>
          <cell r="G1168">
            <v>20</v>
          </cell>
          <cell r="H1168">
            <v>30</v>
          </cell>
          <cell r="I1168">
            <v>40</v>
          </cell>
          <cell r="J1168">
            <v>90</v>
          </cell>
          <cell r="K1168">
            <v>120</v>
          </cell>
        </row>
        <row r="1169">
          <cell r="A1169" t="str">
            <v>HL1100 R</v>
          </cell>
          <cell r="B1169">
            <v>3</v>
          </cell>
          <cell r="C1169"/>
          <cell r="D1169"/>
          <cell r="E1169">
            <v>499</v>
          </cell>
          <cell r="F1169">
            <v>10</v>
          </cell>
          <cell r="G1169">
            <v>20</v>
          </cell>
          <cell r="H1169">
            <v>30</v>
          </cell>
          <cell r="I1169">
            <v>40</v>
          </cell>
          <cell r="J1169">
            <v>90</v>
          </cell>
          <cell r="K1169">
            <v>120</v>
          </cell>
        </row>
        <row r="1170">
          <cell r="A1170" t="str">
            <v>HL1100x548</v>
          </cell>
          <cell r="B1170">
            <v>3</v>
          </cell>
          <cell r="C1170"/>
          <cell r="D1170"/>
          <cell r="E1170">
            <v>548</v>
          </cell>
          <cell r="F1170">
            <v>10</v>
          </cell>
          <cell r="G1170">
            <v>20</v>
          </cell>
          <cell r="H1170">
            <v>30</v>
          </cell>
          <cell r="I1170">
            <v>40</v>
          </cell>
          <cell r="J1170">
            <v>90</v>
          </cell>
          <cell r="K1170">
            <v>120</v>
          </cell>
        </row>
        <row r="1171">
          <cell r="A1171" t="str">
            <v>HL1100x607</v>
          </cell>
          <cell r="B1171">
            <v>3</v>
          </cell>
          <cell r="C1171"/>
          <cell r="D1171"/>
          <cell r="E1171">
            <v>607</v>
          </cell>
          <cell r="F1171">
            <v>10</v>
          </cell>
          <cell r="G1171">
            <v>20</v>
          </cell>
          <cell r="H1171">
            <v>30</v>
          </cell>
          <cell r="I1171">
            <v>40</v>
          </cell>
          <cell r="J1171">
            <v>90</v>
          </cell>
          <cell r="K1171">
            <v>120</v>
          </cell>
        </row>
        <row r="1172">
          <cell r="A1172" t="str">
            <v>HP200x43</v>
          </cell>
          <cell r="B1172">
            <v>2</v>
          </cell>
          <cell r="C1172"/>
          <cell r="D1172"/>
          <cell r="E1172">
            <v>42.5</v>
          </cell>
          <cell r="F1172">
            <v>5</v>
          </cell>
          <cell r="G1172">
            <v>10</v>
          </cell>
          <cell r="H1172">
            <v>20</v>
          </cell>
          <cell r="I1172">
            <v>30</v>
          </cell>
          <cell r="J1172">
            <v>60</v>
          </cell>
          <cell r="K1172">
            <v>90</v>
          </cell>
        </row>
        <row r="1173">
          <cell r="A1173" t="str">
            <v>HP200x53</v>
          </cell>
          <cell r="B1173">
            <v>2</v>
          </cell>
          <cell r="C1173"/>
          <cell r="D1173"/>
          <cell r="E1173">
            <v>53.5</v>
          </cell>
          <cell r="F1173">
            <v>5</v>
          </cell>
          <cell r="G1173">
            <v>10</v>
          </cell>
          <cell r="H1173">
            <v>20</v>
          </cell>
          <cell r="I1173">
            <v>30</v>
          </cell>
          <cell r="J1173">
            <v>60</v>
          </cell>
          <cell r="K1173">
            <v>90</v>
          </cell>
        </row>
        <row r="1174">
          <cell r="A1174" t="str">
            <v>HP220x57</v>
          </cell>
          <cell r="B1174">
            <v>2</v>
          </cell>
          <cell r="C1174"/>
          <cell r="D1174"/>
          <cell r="E1174">
            <v>57.2</v>
          </cell>
          <cell r="F1174">
            <v>5</v>
          </cell>
          <cell r="G1174">
            <v>10</v>
          </cell>
          <cell r="H1174">
            <v>20</v>
          </cell>
          <cell r="I1174">
            <v>30</v>
          </cell>
          <cell r="J1174">
            <v>60</v>
          </cell>
          <cell r="K1174">
            <v>90</v>
          </cell>
        </row>
        <row r="1175">
          <cell r="A1175" t="str">
            <v>HP260x75</v>
          </cell>
          <cell r="B1175">
            <v>3</v>
          </cell>
          <cell r="C1175"/>
          <cell r="D1175"/>
          <cell r="E1175">
            <v>75</v>
          </cell>
          <cell r="F1175">
            <v>10</v>
          </cell>
          <cell r="G1175">
            <v>20</v>
          </cell>
          <cell r="H1175">
            <v>30</v>
          </cell>
          <cell r="I1175">
            <v>40</v>
          </cell>
          <cell r="J1175">
            <v>90</v>
          </cell>
          <cell r="K1175">
            <v>120</v>
          </cell>
        </row>
        <row r="1176">
          <cell r="A1176" t="str">
            <v>HP260x87</v>
          </cell>
          <cell r="B1176">
            <v>3</v>
          </cell>
          <cell r="C1176"/>
          <cell r="D1176"/>
          <cell r="E1176">
            <v>87.3</v>
          </cell>
          <cell r="F1176">
            <v>10</v>
          </cell>
          <cell r="G1176">
            <v>20</v>
          </cell>
          <cell r="H1176">
            <v>30</v>
          </cell>
          <cell r="I1176">
            <v>40</v>
          </cell>
          <cell r="J1176">
            <v>90</v>
          </cell>
          <cell r="K1176">
            <v>120</v>
          </cell>
        </row>
        <row r="1177">
          <cell r="A1177" t="str">
            <v>HP305x79</v>
          </cell>
          <cell r="B1177">
            <v>3</v>
          </cell>
          <cell r="C1177"/>
          <cell r="D1177"/>
          <cell r="E1177">
            <v>78.900000000000006</v>
          </cell>
          <cell r="F1177">
            <v>10</v>
          </cell>
          <cell r="G1177">
            <v>20</v>
          </cell>
          <cell r="H1177">
            <v>30</v>
          </cell>
          <cell r="I1177">
            <v>40</v>
          </cell>
          <cell r="J1177">
            <v>90</v>
          </cell>
          <cell r="K1177">
            <v>120</v>
          </cell>
        </row>
        <row r="1178">
          <cell r="A1178" t="str">
            <v>HP305x88</v>
          </cell>
          <cell r="B1178">
            <v>3</v>
          </cell>
          <cell r="C1178"/>
          <cell r="D1178"/>
          <cell r="E1178">
            <v>88</v>
          </cell>
          <cell r="F1178">
            <v>10</v>
          </cell>
          <cell r="G1178">
            <v>20</v>
          </cell>
          <cell r="H1178">
            <v>30</v>
          </cell>
          <cell r="I1178">
            <v>40</v>
          </cell>
          <cell r="J1178">
            <v>90</v>
          </cell>
          <cell r="K1178">
            <v>120</v>
          </cell>
        </row>
        <row r="1179">
          <cell r="A1179" t="str">
            <v>HP305x95</v>
          </cell>
          <cell r="B1179">
            <v>3</v>
          </cell>
          <cell r="C1179"/>
          <cell r="D1179"/>
          <cell r="E1179">
            <v>94.9</v>
          </cell>
          <cell r="F1179">
            <v>10</v>
          </cell>
          <cell r="G1179">
            <v>20</v>
          </cell>
          <cell r="H1179">
            <v>30</v>
          </cell>
          <cell r="I1179">
            <v>40</v>
          </cell>
          <cell r="J1179">
            <v>90</v>
          </cell>
          <cell r="K1179">
            <v>120</v>
          </cell>
        </row>
        <row r="1180">
          <cell r="A1180" t="str">
            <v>HP305x110</v>
          </cell>
          <cell r="B1180">
            <v>3</v>
          </cell>
          <cell r="C1180"/>
          <cell r="D1180"/>
          <cell r="E1180">
            <v>110</v>
          </cell>
          <cell r="F1180">
            <v>10</v>
          </cell>
          <cell r="G1180">
            <v>20</v>
          </cell>
          <cell r="H1180">
            <v>30</v>
          </cell>
          <cell r="I1180">
            <v>40</v>
          </cell>
          <cell r="J1180">
            <v>90</v>
          </cell>
          <cell r="K1180">
            <v>120</v>
          </cell>
        </row>
        <row r="1181">
          <cell r="A1181" t="str">
            <v>HP305x126</v>
          </cell>
          <cell r="B1181">
            <v>3</v>
          </cell>
          <cell r="C1181"/>
          <cell r="D1181"/>
          <cell r="E1181">
            <v>126</v>
          </cell>
          <cell r="F1181">
            <v>10</v>
          </cell>
          <cell r="G1181">
            <v>20</v>
          </cell>
          <cell r="H1181">
            <v>30</v>
          </cell>
          <cell r="I1181">
            <v>40</v>
          </cell>
          <cell r="J1181">
            <v>90</v>
          </cell>
          <cell r="K1181">
            <v>120</v>
          </cell>
        </row>
        <row r="1182">
          <cell r="A1182" t="str">
            <v>HP305x149</v>
          </cell>
          <cell r="B1182">
            <v>3</v>
          </cell>
          <cell r="C1182"/>
          <cell r="D1182"/>
          <cell r="E1182">
            <v>149</v>
          </cell>
          <cell r="F1182">
            <v>10</v>
          </cell>
          <cell r="G1182">
            <v>20</v>
          </cell>
          <cell r="H1182">
            <v>30</v>
          </cell>
          <cell r="I1182">
            <v>40</v>
          </cell>
          <cell r="J1182">
            <v>90</v>
          </cell>
          <cell r="K1182">
            <v>120</v>
          </cell>
        </row>
        <row r="1183">
          <cell r="A1183" t="str">
            <v>HP305x180</v>
          </cell>
          <cell r="B1183">
            <v>3</v>
          </cell>
          <cell r="C1183"/>
          <cell r="D1183"/>
          <cell r="E1183">
            <v>180</v>
          </cell>
          <cell r="F1183">
            <v>10</v>
          </cell>
          <cell r="G1183">
            <v>20</v>
          </cell>
          <cell r="H1183">
            <v>30</v>
          </cell>
          <cell r="I1183">
            <v>40</v>
          </cell>
          <cell r="J1183">
            <v>90</v>
          </cell>
          <cell r="K1183">
            <v>120</v>
          </cell>
        </row>
        <row r="1184">
          <cell r="A1184" t="str">
            <v>HP305x186</v>
          </cell>
          <cell r="B1184">
            <v>3</v>
          </cell>
          <cell r="C1184"/>
          <cell r="D1184"/>
          <cell r="E1184">
            <v>186</v>
          </cell>
          <cell r="F1184">
            <v>10</v>
          </cell>
          <cell r="G1184">
            <v>20</v>
          </cell>
          <cell r="H1184">
            <v>30</v>
          </cell>
          <cell r="I1184">
            <v>40</v>
          </cell>
          <cell r="J1184">
            <v>90</v>
          </cell>
          <cell r="K1184">
            <v>120</v>
          </cell>
        </row>
        <row r="1185">
          <cell r="A1185" t="str">
            <v>HP305x223</v>
          </cell>
          <cell r="B1185">
            <v>3</v>
          </cell>
          <cell r="C1185"/>
          <cell r="D1185"/>
          <cell r="E1185">
            <v>223</v>
          </cell>
          <cell r="F1185">
            <v>10</v>
          </cell>
          <cell r="G1185">
            <v>20</v>
          </cell>
          <cell r="H1185">
            <v>30</v>
          </cell>
          <cell r="I1185">
            <v>40</v>
          </cell>
          <cell r="J1185">
            <v>90</v>
          </cell>
          <cell r="K1185">
            <v>120</v>
          </cell>
        </row>
        <row r="1186">
          <cell r="A1186" t="str">
            <v>HP320x88</v>
          </cell>
          <cell r="B1186">
            <v>3</v>
          </cell>
          <cell r="C1186"/>
          <cell r="D1186"/>
          <cell r="E1186">
            <v>88.5</v>
          </cell>
          <cell r="F1186">
            <v>10</v>
          </cell>
          <cell r="G1186">
            <v>20</v>
          </cell>
          <cell r="H1186">
            <v>30</v>
          </cell>
          <cell r="I1186">
            <v>40</v>
          </cell>
          <cell r="J1186">
            <v>90</v>
          </cell>
          <cell r="K1186">
            <v>120</v>
          </cell>
        </row>
        <row r="1187">
          <cell r="A1187" t="str">
            <v>HP320x103</v>
          </cell>
          <cell r="B1187">
            <v>3</v>
          </cell>
          <cell r="C1187"/>
          <cell r="D1187"/>
          <cell r="E1187">
            <v>103</v>
          </cell>
          <cell r="F1187">
            <v>10</v>
          </cell>
          <cell r="G1187">
            <v>20</v>
          </cell>
          <cell r="H1187">
            <v>30</v>
          </cell>
          <cell r="I1187">
            <v>40</v>
          </cell>
          <cell r="J1187">
            <v>90</v>
          </cell>
          <cell r="K1187">
            <v>120</v>
          </cell>
        </row>
        <row r="1188">
          <cell r="A1188" t="str">
            <v>HP320x117</v>
          </cell>
          <cell r="B1188">
            <v>3</v>
          </cell>
          <cell r="C1188"/>
          <cell r="D1188"/>
          <cell r="E1188">
            <v>117</v>
          </cell>
          <cell r="F1188">
            <v>10</v>
          </cell>
          <cell r="G1188">
            <v>20</v>
          </cell>
          <cell r="H1188">
            <v>30</v>
          </cell>
          <cell r="I1188">
            <v>40</v>
          </cell>
          <cell r="J1188">
            <v>90</v>
          </cell>
          <cell r="K1188">
            <v>120</v>
          </cell>
        </row>
        <row r="1189">
          <cell r="A1189" t="str">
            <v>HP320x147</v>
          </cell>
          <cell r="B1189">
            <v>3</v>
          </cell>
          <cell r="C1189"/>
          <cell r="D1189"/>
          <cell r="E1189">
            <v>147</v>
          </cell>
          <cell r="F1189">
            <v>10</v>
          </cell>
          <cell r="G1189">
            <v>20</v>
          </cell>
          <cell r="H1189">
            <v>30</v>
          </cell>
          <cell r="I1189">
            <v>40</v>
          </cell>
          <cell r="J1189">
            <v>90</v>
          </cell>
          <cell r="K1189">
            <v>120</v>
          </cell>
        </row>
        <row r="1190">
          <cell r="A1190" t="str">
            <v>HP320x184</v>
          </cell>
          <cell r="B1190">
            <v>3</v>
          </cell>
          <cell r="C1190"/>
          <cell r="D1190"/>
          <cell r="E1190">
            <v>184</v>
          </cell>
          <cell r="F1190">
            <v>10</v>
          </cell>
          <cell r="G1190">
            <v>20</v>
          </cell>
          <cell r="H1190">
            <v>30</v>
          </cell>
          <cell r="I1190">
            <v>40</v>
          </cell>
          <cell r="J1190">
            <v>90</v>
          </cell>
          <cell r="K1190">
            <v>120</v>
          </cell>
        </row>
        <row r="1191">
          <cell r="A1191" t="str">
            <v>HP360x109</v>
          </cell>
          <cell r="B1191">
            <v>3</v>
          </cell>
          <cell r="C1191"/>
          <cell r="D1191"/>
          <cell r="E1191">
            <v>109</v>
          </cell>
          <cell r="F1191">
            <v>10</v>
          </cell>
          <cell r="G1191">
            <v>20</v>
          </cell>
          <cell r="H1191">
            <v>30</v>
          </cell>
          <cell r="I1191">
            <v>40</v>
          </cell>
          <cell r="J1191">
            <v>90</v>
          </cell>
          <cell r="K1191">
            <v>120</v>
          </cell>
        </row>
        <row r="1192">
          <cell r="A1192" t="str">
            <v>HP360x133</v>
          </cell>
          <cell r="B1192">
            <v>3</v>
          </cell>
          <cell r="C1192"/>
          <cell r="D1192"/>
          <cell r="E1192">
            <v>133</v>
          </cell>
          <cell r="F1192">
            <v>10</v>
          </cell>
          <cell r="G1192">
            <v>20</v>
          </cell>
          <cell r="H1192">
            <v>30</v>
          </cell>
          <cell r="I1192">
            <v>40</v>
          </cell>
          <cell r="J1192">
            <v>90</v>
          </cell>
          <cell r="K1192">
            <v>120</v>
          </cell>
        </row>
        <row r="1193">
          <cell r="A1193" t="str">
            <v>HP360x152</v>
          </cell>
          <cell r="B1193">
            <v>3</v>
          </cell>
          <cell r="C1193"/>
          <cell r="D1193"/>
          <cell r="E1193">
            <v>152</v>
          </cell>
          <cell r="F1193">
            <v>10</v>
          </cell>
          <cell r="G1193">
            <v>20</v>
          </cell>
          <cell r="H1193">
            <v>30</v>
          </cell>
          <cell r="I1193">
            <v>40</v>
          </cell>
          <cell r="J1193">
            <v>90</v>
          </cell>
          <cell r="K1193">
            <v>120</v>
          </cell>
        </row>
        <row r="1194">
          <cell r="A1194" t="str">
            <v>HP360x174</v>
          </cell>
          <cell r="B1194">
            <v>3</v>
          </cell>
          <cell r="C1194"/>
          <cell r="D1194"/>
          <cell r="E1194">
            <v>174</v>
          </cell>
          <cell r="F1194">
            <v>10</v>
          </cell>
          <cell r="G1194">
            <v>20</v>
          </cell>
          <cell r="H1194">
            <v>30</v>
          </cell>
          <cell r="I1194">
            <v>40</v>
          </cell>
          <cell r="J1194">
            <v>90</v>
          </cell>
          <cell r="K1194">
            <v>120</v>
          </cell>
        </row>
        <row r="1195">
          <cell r="A1195" t="str">
            <v>HP360x180</v>
          </cell>
          <cell r="B1195">
            <v>3</v>
          </cell>
          <cell r="C1195"/>
          <cell r="D1195"/>
          <cell r="E1195">
            <v>180</v>
          </cell>
          <cell r="F1195">
            <v>10</v>
          </cell>
          <cell r="G1195">
            <v>20</v>
          </cell>
          <cell r="H1195">
            <v>30</v>
          </cell>
          <cell r="I1195">
            <v>40</v>
          </cell>
          <cell r="J1195">
            <v>90</v>
          </cell>
          <cell r="K1195">
            <v>120</v>
          </cell>
        </row>
        <row r="1196">
          <cell r="A1196" t="str">
            <v>HP400x122</v>
          </cell>
          <cell r="B1196">
            <v>3</v>
          </cell>
          <cell r="C1196"/>
          <cell r="D1196"/>
          <cell r="E1196">
            <v>122</v>
          </cell>
          <cell r="F1196">
            <v>10</v>
          </cell>
          <cell r="G1196">
            <v>20</v>
          </cell>
          <cell r="H1196">
            <v>30</v>
          </cell>
          <cell r="I1196">
            <v>40</v>
          </cell>
          <cell r="J1196">
            <v>90</v>
          </cell>
          <cell r="K1196">
            <v>120</v>
          </cell>
        </row>
        <row r="1197">
          <cell r="A1197" t="str">
            <v>HP400x140</v>
          </cell>
          <cell r="B1197">
            <v>3</v>
          </cell>
          <cell r="C1197"/>
          <cell r="D1197"/>
          <cell r="E1197">
            <v>140</v>
          </cell>
          <cell r="F1197">
            <v>10</v>
          </cell>
          <cell r="G1197">
            <v>20</v>
          </cell>
          <cell r="H1197">
            <v>30</v>
          </cell>
          <cell r="I1197">
            <v>40</v>
          </cell>
          <cell r="J1197">
            <v>90</v>
          </cell>
          <cell r="K1197">
            <v>120</v>
          </cell>
        </row>
        <row r="1198">
          <cell r="A1198" t="str">
            <v>HP400x158</v>
          </cell>
          <cell r="B1198">
            <v>3</v>
          </cell>
          <cell r="C1198"/>
          <cell r="D1198"/>
          <cell r="E1198">
            <v>158</v>
          </cell>
          <cell r="F1198">
            <v>10</v>
          </cell>
          <cell r="G1198">
            <v>20</v>
          </cell>
          <cell r="H1198">
            <v>30</v>
          </cell>
          <cell r="I1198">
            <v>40</v>
          </cell>
          <cell r="J1198">
            <v>90</v>
          </cell>
          <cell r="K1198">
            <v>120</v>
          </cell>
        </row>
        <row r="1199">
          <cell r="A1199" t="str">
            <v>HP400x176</v>
          </cell>
          <cell r="B1199">
            <v>3</v>
          </cell>
          <cell r="C1199"/>
          <cell r="D1199"/>
          <cell r="E1199">
            <v>176</v>
          </cell>
          <cell r="F1199">
            <v>10</v>
          </cell>
          <cell r="G1199">
            <v>20</v>
          </cell>
          <cell r="H1199">
            <v>30</v>
          </cell>
          <cell r="I1199">
            <v>40</v>
          </cell>
          <cell r="J1199">
            <v>90</v>
          </cell>
          <cell r="K1199">
            <v>120</v>
          </cell>
        </row>
        <row r="1200">
          <cell r="A1200" t="str">
            <v>HP400x194</v>
          </cell>
          <cell r="B1200">
            <v>3</v>
          </cell>
          <cell r="C1200"/>
          <cell r="D1200"/>
          <cell r="E1200">
            <v>194</v>
          </cell>
          <cell r="F1200">
            <v>10</v>
          </cell>
          <cell r="G1200">
            <v>20</v>
          </cell>
          <cell r="H1200">
            <v>30</v>
          </cell>
          <cell r="I1200">
            <v>40</v>
          </cell>
          <cell r="J1200">
            <v>90</v>
          </cell>
          <cell r="K1200">
            <v>120</v>
          </cell>
        </row>
        <row r="1201">
          <cell r="A1201" t="str">
            <v>HP400x213</v>
          </cell>
          <cell r="B1201">
            <v>3</v>
          </cell>
          <cell r="C1201"/>
          <cell r="D1201"/>
          <cell r="E1201">
            <v>213</v>
          </cell>
          <cell r="F1201">
            <v>10</v>
          </cell>
          <cell r="G1201">
            <v>20</v>
          </cell>
          <cell r="H1201">
            <v>30</v>
          </cell>
          <cell r="I1201">
            <v>40</v>
          </cell>
          <cell r="J1201">
            <v>90</v>
          </cell>
          <cell r="K1201">
            <v>120</v>
          </cell>
        </row>
        <row r="1202">
          <cell r="A1202" t="str">
            <v>HP400x231</v>
          </cell>
          <cell r="B1202">
            <v>3</v>
          </cell>
          <cell r="C1202"/>
          <cell r="D1202"/>
          <cell r="E1202">
            <v>231</v>
          </cell>
          <cell r="F1202">
            <v>10</v>
          </cell>
          <cell r="G1202">
            <v>20</v>
          </cell>
          <cell r="H1202">
            <v>30</v>
          </cell>
          <cell r="I1202">
            <v>40</v>
          </cell>
          <cell r="J1202">
            <v>90</v>
          </cell>
          <cell r="K1202">
            <v>120</v>
          </cell>
        </row>
        <row r="1203">
          <cell r="A1203" t="str">
            <v>IPEAA80</v>
          </cell>
          <cell r="B1203">
            <v>1</v>
          </cell>
          <cell r="C1203"/>
          <cell r="D1203"/>
          <cell r="E1203">
            <v>4.9000000000000004</v>
          </cell>
          <cell r="F1203">
            <v>2</v>
          </cell>
          <cell r="G1203">
            <v>5</v>
          </cell>
          <cell r="H1203">
            <v>10</v>
          </cell>
          <cell r="I1203">
            <v>20</v>
          </cell>
          <cell r="J1203">
            <v>30</v>
          </cell>
          <cell r="K1203">
            <v>60</v>
          </cell>
        </row>
        <row r="1204">
          <cell r="A1204" t="str">
            <v>IPEA80</v>
          </cell>
          <cell r="B1204">
            <v>1</v>
          </cell>
          <cell r="C1204"/>
          <cell r="D1204"/>
          <cell r="E1204">
            <v>5</v>
          </cell>
          <cell r="F1204">
            <v>2</v>
          </cell>
          <cell r="G1204">
            <v>5</v>
          </cell>
          <cell r="H1204">
            <v>10</v>
          </cell>
          <cell r="I1204">
            <v>20</v>
          </cell>
          <cell r="J1204">
            <v>30</v>
          </cell>
          <cell r="K1204">
            <v>60</v>
          </cell>
        </row>
        <row r="1205">
          <cell r="A1205" t="str">
            <v>IPE80</v>
          </cell>
          <cell r="B1205">
            <v>1</v>
          </cell>
          <cell r="C1205">
            <v>1</v>
          </cell>
          <cell r="D1205"/>
          <cell r="E1205">
            <v>6</v>
          </cell>
          <cell r="F1205">
            <v>2</v>
          </cell>
          <cell r="G1205">
            <v>5</v>
          </cell>
          <cell r="H1205">
            <v>10</v>
          </cell>
          <cell r="I1205">
            <v>20</v>
          </cell>
          <cell r="J1205">
            <v>30</v>
          </cell>
          <cell r="K1205">
            <v>60</v>
          </cell>
        </row>
        <row r="1206">
          <cell r="A1206" t="str">
            <v>IPEAA100</v>
          </cell>
          <cell r="B1206">
            <v>1</v>
          </cell>
          <cell r="C1206"/>
          <cell r="D1206"/>
          <cell r="E1206">
            <v>6.7</v>
          </cell>
          <cell r="F1206">
            <v>2</v>
          </cell>
          <cell r="G1206">
            <v>5</v>
          </cell>
          <cell r="H1206">
            <v>10</v>
          </cell>
          <cell r="I1206">
            <v>20</v>
          </cell>
          <cell r="J1206">
            <v>30</v>
          </cell>
          <cell r="K1206">
            <v>60</v>
          </cell>
        </row>
        <row r="1207">
          <cell r="A1207" t="str">
            <v>IPEA100</v>
          </cell>
          <cell r="B1207">
            <v>1</v>
          </cell>
          <cell r="C1207"/>
          <cell r="D1207"/>
          <cell r="E1207">
            <v>6.9</v>
          </cell>
          <cell r="F1207">
            <v>2</v>
          </cell>
          <cell r="G1207">
            <v>5</v>
          </cell>
          <cell r="H1207">
            <v>10</v>
          </cell>
          <cell r="I1207">
            <v>20</v>
          </cell>
          <cell r="J1207">
            <v>30</v>
          </cell>
          <cell r="K1207">
            <v>60</v>
          </cell>
        </row>
        <row r="1208">
          <cell r="A1208" t="str">
            <v>IPE100</v>
          </cell>
          <cell r="B1208">
            <v>1</v>
          </cell>
          <cell r="C1208">
            <v>1</v>
          </cell>
          <cell r="D1208"/>
          <cell r="E1208">
            <v>8.1</v>
          </cell>
          <cell r="F1208">
            <v>2</v>
          </cell>
          <cell r="G1208">
            <v>5</v>
          </cell>
          <cell r="H1208">
            <v>10</v>
          </cell>
          <cell r="I1208">
            <v>20</v>
          </cell>
          <cell r="J1208">
            <v>30</v>
          </cell>
          <cell r="K1208">
            <v>60</v>
          </cell>
        </row>
        <row r="1209">
          <cell r="A1209" t="str">
            <v>IPEAA120</v>
          </cell>
          <cell r="B1209">
            <v>1</v>
          </cell>
          <cell r="C1209"/>
          <cell r="D1209"/>
          <cell r="E1209">
            <v>8.4</v>
          </cell>
          <cell r="F1209">
            <v>2</v>
          </cell>
          <cell r="G1209">
            <v>5</v>
          </cell>
          <cell r="H1209">
            <v>10</v>
          </cell>
          <cell r="I1209">
            <v>20</v>
          </cell>
          <cell r="J1209">
            <v>30</v>
          </cell>
          <cell r="K1209">
            <v>60</v>
          </cell>
        </row>
        <row r="1210">
          <cell r="A1210" t="str">
            <v>IPEA120</v>
          </cell>
          <cell r="B1210">
            <v>1</v>
          </cell>
          <cell r="C1210"/>
          <cell r="D1210"/>
          <cell r="E1210">
            <v>8.6999999999999993</v>
          </cell>
          <cell r="F1210">
            <v>2</v>
          </cell>
          <cell r="G1210">
            <v>5</v>
          </cell>
          <cell r="H1210">
            <v>10</v>
          </cell>
          <cell r="I1210">
            <v>20</v>
          </cell>
          <cell r="J1210">
            <v>30</v>
          </cell>
          <cell r="K1210">
            <v>60</v>
          </cell>
        </row>
        <row r="1211">
          <cell r="A1211" t="str">
            <v>IPE120</v>
          </cell>
          <cell r="B1211">
            <v>1</v>
          </cell>
          <cell r="C1211">
            <v>1</v>
          </cell>
          <cell r="D1211"/>
          <cell r="E1211">
            <v>10.4</v>
          </cell>
          <cell r="F1211">
            <v>2</v>
          </cell>
          <cell r="G1211">
            <v>5</v>
          </cell>
          <cell r="H1211">
            <v>10</v>
          </cell>
          <cell r="I1211">
            <v>20</v>
          </cell>
          <cell r="J1211">
            <v>30</v>
          </cell>
          <cell r="K1211">
            <v>60</v>
          </cell>
        </row>
        <row r="1212">
          <cell r="A1212" t="str">
            <v>IPEAA140</v>
          </cell>
          <cell r="B1212">
            <v>1</v>
          </cell>
          <cell r="C1212"/>
          <cell r="D1212"/>
          <cell r="E1212">
            <v>10.1</v>
          </cell>
          <cell r="F1212">
            <v>2</v>
          </cell>
          <cell r="G1212">
            <v>5</v>
          </cell>
          <cell r="H1212">
            <v>10</v>
          </cell>
          <cell r="I1212">
            <v>20</v>
          </cell>
          <cell r="J1212">
            <v>30</v>
          </cell>
          <cell r="K1212">
            <v>60</v>
          </cell>
        </row>
        <row r="1213">
          <cell r="A1213" t="str">
            <v>IPEA140</v>
          </cell>
          <cell r="B1213">
            <v>1</v>
          </cell>
          <cell r="C1213"/>
          <cell r="D1213"/>
          <cell r="E1213">
            <v>10.5</v>
          </cell>
          <cell r="F1213">
            <v>2</v>
          </cell>
          <cell r="G1213">
            <v>5</v>
          </cell>
          <cell r="H1213">
            <v>10</v>
          </cell>
          <cell r="I1213">
            <v>20</v>
          </cell>
          <cell r="J1213">
            <v>30</v>
          </cell>
          <cell r="K1213">
            <v>60</v>
          </cell>
        </row>
        <row r="1214">
          <cell r="A1214" t="str">
            <v>IPE140</v>
          </cell>
          <cell r="B1214">
            <v>1</v>
          </cell>
          <cell r="C1214">
            <v>1</v>
          </cell>
          <cell r="D1214"/>
          <cell r="E1214">
            <v>12.9</v>
          </cell>
          <cell r="F1214">
            <v>2</v>
          </cell>
          <cell r="G1214">
            <v>5</v>
          </cell>
          <cell r="H1214">
            <v>10</v>
          </cell>
          <cell r="I1214">
            <v>20</v>
          </cell>
          <cell r="J1214">
            <v>30</v>
          </cell>
          <cell r="K1214">
            <v>60</v>
          </cell>
        </row>
        <row r="1215">
          <cell r="A1215" t="str">
            <v>IPEAA160</v>
          </cell>
          <cell r="B1215">
            <v>1</v>
          </cell>
          <cell r="C1215"/>
          <cell r="D1215"/>
          <cell r="E1215">
            <v>12.3</v>
          </cell>
          <cell r="F1215">
            <v>2</v>
          </cell>
          <cell r="G1215">
            <v>5</v>
          </cell>
          <cell r="H1215">
            <v>10</v>
          </cell>
          <cell r="I1215">
            <v>20</v>
          </cell>
          <cell r="J1215">
            <v>30</v>
          </cell>
          <cell r="K1215">
            <v>60</v>
          </cell>
        </row>
        <row r="1216">
          <cell r="A1216" t="str">
            <v>IPEA160</v>
          </cell>
          <cell r="B1216">
            <v>1</v>
          </cell>
          <cell r="C1216"/>
          <cell r="D1216"/>
          <cell r="E1216">
            <v>12.7</v>
          </cell>
          <cell r="F1216">
            <v>2</v>
          </cell>
          <cell r="G1216">
            <v>5</v>
          </cell>
          <cell r="H1216">
            <v>10</v>
          </cell>
          <cell r="I1216">
            <v>20</v>
          </cell>
          <cell r="J1216">
            <v>30</v>
          </cell>
          <cell r="K1216">
            <v>60</v>
          </cell>
        </row>
        <row r="1217">
          <cell r="A1217" t="str">
            <v>IPE160</v>
          </cell>
          <cell r="B1217">
            <v>1</v>
          </cell>
          <cell r="C1217">
            <v>2</v>
          </cell>
          <cell r="D1217"/>
          <cell r="E1217">
            <v>15.8</v>
          </cell>
          <cell r="F1217">
            <v>2</v>
          </cell>
          <cell r="G1217">
            <v>5</v>
          </cell>
          <cell r="H1217">
            <v>10</v>
          </cell>
          <cell r="I1217">
            <v>20</v>
          </cell>
          <cell r="J1217">
            <v>30</v>
          </cell>
          <cell r="K1217">
            <v>60</v>
          </cell>
        </row>
        <row r="1218">
          <cell r="A1218" t="str">
            <v>IPEAA180</v>
          </cell>
          <cell r="B1218">
            <v>1</v>
          </cell>
          <cell r="C1218"/>
          <cell r="D1218"/>
          <cell r="E1218">
            <v>14.9</v>
          </cell>
          <cell r="F1218">
            <v>2</v>
          </cell>
          <cell r="G1218">
            <v>5</v>
          </cell>
          <cell r="H1218">
            <v>10</v>
          </cell>
          <cell r="I1218">
            <v>20</v>
          </cell>
          <cell r="J1218">
            <v>30</v>
          </cell>
          <cell r="K1218">
            <v>60</v>
          </cell>
        </row>
        <row r="1219">
          <cell r="A1219" t="str">
            <v>IPEA180</v>
          </cell>
          <cell r="B1219">
            <v>1</v>
          </cell>
          <cell r="C1219"/>
          <cell r="D1219"/>
          <cell r="E1219">
            <v>15.4</v>
          </cell>
          <cell r="F1219">
            <v>2</v>
          </cell>
          <cell r="G1219">
            <v>5</v>
          </cell>
          <cell r="H1219">
            <v>10</v>
          </cell>
          <cell r="I1219">
            <v>20</v>
          </cell>
          <cell r="J1219">
            <v>30</v>
          </cell>
          <cell r="K1219">
            <v>60</v>
          </cell>
        </row>
        <row r="1220">
          <cell r="A1220" t="str">
            <v>IPE180</v>
          </cell>
          <cell r="B1220">
            <v>1</v>
          </cell>
          <cell r="C1220">
            <v>2</v>
          </cell>
          <cell r="D1220">
            <v>0.7</v>
          </cell>
          <cell r="E1220">
            <v>18.8</v>
          </cell>
          <cell r="F1220">
            <v>2</v>
          </cell>
          <cell r="G1220">
            <v>5</v>
          </cell>
          <cell r="H1220">
            <v>10</v>
          </cell>
          <cell r="I1220">
            <v>20</v>
          </cell>
          <cell r="J1220">
            <v>30</v>
          </cell>
          <cell r="K1220">
            <v>60</v>
          </cell>
        </row>
        <row r="1221">
          <cell r="A1221" t="str">
            <v>INP180</v>
          </cell>
          <cell r="B1221">
            <v>2</v>
          </cell>
          <cell r="C1221">
            <v>2</v>
          </cell>
          <cell r="D1221">
            <v>0.64</v>
          </cell>
          <cell r="E1221">
            <v>21.9</v>
          </cell>
          <cell r="F1221">
            <v>5</v>
          </cell>
          <cell r="G1221">
            <v>10</v>
          </cell>
          <cell r="H1221">
            <v>20</v>
          </cell>
          <cell r="I1221">
            <v>30</v>
          </cell>
          <cell r="J1221">
            <v>60</v>
          </cell>
          <cell r="K1221">
            <v>90</v>
          </cell>
        </row>
        <row r="1222">
          <cell r="A1222" t="str">
            <v>IPEO 180</v>
          </cell>
          <cell r="B1222">
            <v>2</v>
          </cell>
          <cell r="C1222"/>
          <cell r="D1222"/>
          <cell r="E1222">
            <v>21.3</v>
          </cell>
          <cell r="F1222">
            <v>5</v>
          </cell>
          <cell r="G1222">
            <v>10</v>
          </cell>
          <cell r="H1222">
            <v>20</v>
          </cell>
          <cell r="I1222">
            <v>30</v>
          </cell>
          <cell r="J1222">
            <v>60</v>
          </cell>
          <cell r="K1222">
            <v>90</v>
          </cell>
        </row>
        <row r="1223">
          <cell r="A1223" t="str">
            <v>IPEAA200</v>
          </cell>
          <cell r="B1223">
            <v>1</v>
          </cell>
          <cell r="C1223"/>
          <cell r="D1223"/>
          <cell r="E1223">
            <v>18</v>
          </cell>
          <cell r="F1223">
            <v>2</v>
          </cell>
          <cell r="G1223">
            <v>5</v>
          </cell>
          <cell r="H1223">
            <v>10</v>
          </cell>
          <cell r="I1223">
            <v>20</v>
          </cell>
          <cell r="J1223">
            <v>30</v>
          </cell>
          <cell r="K1223">
            <v>60</v>
          </cell>
        </row>
        <row r="1224">
          <cell r="A1224" t="str">
            <v>IPEA200</v>
          </cell>
          <cell r="B1224">
            <v>1</v>
          </cell>
          <cell r="C1224"/>
          <cell r="D1224"/>
          <cell r="E1224">
            <v>18.399999999999999</v>
          </cell>
          <cell r="F1224">
            <v>2</v>
          </cell>
          <cell r="G1224">
            <v>5</v>
          </cell>
          <cell r="H1224">
            <v>10</v>
          </cell>
          <cell r="I1224">
            <v>20</v>
          </cell>
          <cell r="J1224">
            <v>30</v>
          </cell>
          <cell r="K1224">
            <v>60</v>
          </cell>
        </row>
        <row r="1225">
          <cell r="A1225" t="str">
            <v>IPE200</v>
          </cell>
          <cell r="B1225">
            <v>2</v>
          </cell>
          <cell r="C1225">
            <v>2</v>
          </cell>
          <cell r="D1225">
            <v>0.8</v>
          </cell>
          <cell r="E1225">
            <v>22.4</v>
          </cell>
          <cell r="F1225">
            <v>5</v>
          </cell>
          <cell r="G1225">
            <v>10</v>
          </cell>
          <cell r="H1225">
            <v>20</v>
          </cell>
          <cell r="I1225">
            <v>30</v>
          </cell>
          <cell r="J1225">
            <v>60</v>
          </cell>
          <cell r="K1225">
            <v>90</v>
          </cell>
        </row>
        <row r="1226">
          <cell r="A1226" t="str">
            <v>IPEO 200</v>
          </cell>
          <cell r="B1226">
            <v>2</v>
          </cell>
          <cell r="C1226"/>
          <cell r="D1226"/>
          <cell r="E1226">
            <v>25.1</v>
          </cell>
          <cell r="F1226">
            <v>5</v>
          </cell>
          <cell r="G1226">
            <v>10</v>
          </cell>
          <cell r="H1226">
            <v>20</v>
          </cell>
          <cell r="I1226">
            <v>30</v>
          </cell>
          <cell r="J1226">
            <v>60</v>
          </cell>
          <cell r="K1226">
            <v>90</v>
          </cell>
        </row>
        <row r="1227">
          <cell r="A1227" t="str">
            <v>IPEAA220</v>
          </cell>
          <cell r="B1227">
            <v>2</v>
          </cell>
          <cell r="C1227"/>
          <cell r="D1227"/>
          <cell r="E1227">
            <v>21.2</v>
          </cell>
          <cell r="F1227">
            <v>5</v>
          </cell>
          <cell r="G1227">
            <v>10</v>
          </cell>
          <cell r="H1227">
            <v>20</v>
          </cell>
          <cell r="I1227">
            <v>30</v>
          </cell>
          <cell r="J1227">
            <v>60</v>
          </cell>
          <cell r="K1227">
            <v>90</v>
          </cell>
        </row>
        <row r="1228">
          <cell r="A1228" t="str">
            <v>IPEA220</v>
          </cell>
          <cell r="B1228">
            <v>2</v>
          </cell>
          <cell r="C1228"/>
          <cell r="D1228"/>
          <cell r="E1228">
            <v>22.2</v>
          </cell>
          <cell r="F1228">
            <v>5</v>
          </cell>
          <cell r="G1228">
            <v>10</v>
          </cell>
          <cell r="H1228">
            <v>20</v>
          </cell>
          <cell r="I1228">
            <v>30</v>
          </cell>
          <cell r="J1228">
            <v>60</v>
          </cell>
          <cell r="K1228">
            <v>90</v>
          </cell>
        </row>
        <row r="1229">
          <cell r="A1229" t="str">
            <v>IPE220</v>
          </cell>
          <cell r="B1229">
            <v>2</v>
          </cell>
          <cell r="C1229">
            <v>2</v>
          </cell>
          <cell r="D1229">
            <v>0.8</v>
          </cell>
          <cell r="E1229">
            <v>26.2</v>
          </cell>
          <cell r="F1229">
            <v>5</v>
          </cell>
          <cell r="G1229">
            <v>10</v>
          </cell>
          <cell r="H1229">
            <v>20</v>
          </cell>
          <cell r="I1229">
            <v>30</v>
          </cell>
          <cell r="J1229">
            <v>60</v>
          </cell>
          <cell r="K1229">
            <v>90</v>
          </cell>
        </row>
        <row r="1230">
          <cell r="A1230" t="str">
            <v>IPEO220</v>
          </cell>
          <cell r="B1230">
            <v>2</v>
          </cell>
          <cell r="C1230"/>
          <cell r="D1230"/>
          <cell r="E1230">
            <v>29.4</v>
          </cell>
          <cell r="F1230">
            <v>5</v>
          </cell>
          <cell r="G1230">
            <v>10</v>
          </cell>
          <cell r="H1230">
            <v>20</v>
          </cell>
          <cell r="I1230">
            <v>30</v>
          </cell>
          <cell r="J1230">
            <v>60</v>
          </cell>
          <cell r="K1230">
            <v>90</v>
          </cell>
        </row>
        <row r="1231">
          <cell r="A1231" t="str">
            <v>IPEAA240</v>
          </cell>
          <cell r="B1231">
            <v>2</v>
          </cell>
          <cell r="C1231"/>
          <cell r="D1231"/>
          <cell r="E1231">
            <v>24.9</v>
          </cell>
          <cell r="F1231">
            <v>5</v>
          </cell>
          <cell r="G1231">
            <v>10</v>
          </cell>
          <cell r="H1231">
            <v>20</v>
          </cell>
          <cell r="I1231">
            <v>30</v>
          </cell>
          <cell r="J1231">
            <v>60</v>
          </cell>
          <cell r="K1231">
            <v>90</v>
          </cell>
        </row>
        <row r="1232">
          <cell r="A1232" t="str">
            <v>IPEA240</v>
          </cell>
          <cell r="B1232">
            <v>2</v>
          </cell>
          <cell r="C1232"/>
          <cell r="D1232"/>
          <cell r="E1232">
            <v>26.2</v>
          </cell>
          <cell r="F1232">
            <v>5</v>
          </cell>
          <cell r="G1232">
            <v>10</v>
          </cell>
          <cell r="H1232">
            <v>20</v>
          </cell>
          <cell r="I1232">
            <v>30</v>
          </cell>
          <cell r="J1232">
            <v>60</v>
          </cell>
          <cell r="K1232">
            <v>90</v>
          </cell>
        </row>
        <row r="1233">
          <cell r="A1233" t="str">
            <v>IPE240</v>
          </cell>
          <cell r="B1233">
            <v>2</v>
          </cell>
          <cell r="C1233">
            <v>2</v>
          </cell>
          <cell r="D1233">
            <v>0.9</v>
          </cell>
          <cell r="E1233">
            <v>30.7</v>
          </cell>
          <cell r="F1233">
            <v>5</v>
          </cell>
          <cell r="G1233">
            <v>10</v>
          </cell>
          <cell r="H1233">
            <v>20</v>
          </cell>
          <cell r="I1233">
            <v>30</v>
          </cell>
          <cell r="J1233">
            <v>60</v>
          </cell>
          <cell r="K1233">
            <v>90</v>
          </cell>
        </row>
        <row r="1234">
          <cell r="A1234" t="str">
            <v>IPEO240</v>
          </cell>
          <cell r="B1234">
            <v>2</v>
          </cell>
          <cell r="C1234"/>
          <cell r="D1234"/>
          <cell r="E1234">
            <v>34.299999999999997</v>
          </cell>
          <cell r="F1234">
            <v>5</v>
          </cell>
          <cell r="G1234">
            <v>10</v>
          </cell>
          <cell r="H1234">
            <v>20</v>
          </cell>
          <cell r="I1234">
            <v>30</v>
          </cell>
          <cell r="J1234">
            <v>60</v>
          </cell>
          <cell r="K1234">
            <v>90</v>
          </cell>
        </row>
        <row r="1235">
          <cell r="A1235" t="str">
            <v>IPEA270</v>
          </cell>
          <cell r="B1235">
            <v>2</v>
          </cell>
          <cell r="C1235"/>
          <cell r="D1235"/>
          <cell r="E1235">
            <v>30.7</v>
          </cell>
          <cell r="F1235">
            <v>5</v>
          </cell>
          <cell r="G1235">
            <v>10</v>
          </cell>
          <cell r="H1235">
            <v>20</v>
          </cell>
          <cell r="I1235">
            <v>30</v>
          </cell>
          <cell r="J1235">
            <v>60</v>
          </cell>
          <cell r="K1235">
            <v>90</v>
          </cell>
        </row>
        <row r="1236">
          <cell r="A1236" t="str">
            <v>IPE270</v>
          </cell>
          <cell r="B1236">
            <v>2</v>
          </cell>
          <cell r="C1236">
            <v>2</v>
          </cell>
          <cell r="D1236">
            <v>1</v>
          </cell>
          <cell r="E1236">
            <v>36.1</v>
          </cell>
          <cell r="F1236">
            <v>5</v>
          </cell>
          <cell r="G1236">
            <v>10</v>
          </cell>
          <cell r="H1236">
            <v>20</v>
          </cell>
          <cell r="I1236">
            <v>30</v>
          </cell>
          <cell r="J1236">
            <v>60</v>
          </cell>
          <cell r="K1236">
            <v>90</v>
          </cell>
        </row>
        <row r="1237">
          <cell r="A1237" t="str">
            <v>IPEO270</v>
          </cell>
          <cell r="B1237">
            <v>2</v>
          </cell>
          <cell r="C1237"/>
          <cell r="D1237"/>
          <cell r="E1237">
            <v>42.3</v>
          </cell>
          <cell r="F1237">
            <v>5</v>
          </cell>
          <cell r="G1237">
            <v>10</v>
          </cell>
          <cell r="H1237">
            <v>20</v>
          </cell>
          <cell r="I1237">
            <v>30</v>
          </cell>
          <cell r="J1237">
            <v>60</v>
          </cell>
          <cell r="K1237">
            <v>90</v>
          </cell>
        </row>
        <row r="1238">
          <cell r="A1238" t="str">
            <v>IPEA300</v>
          </cell>
          <cell r="B1238">
            <v>3</v>
          </cell>
          <cell r="C1238"/>
          <cell r="D1238"/>
          <cell r="E1238">
            <v>36.5</v>
          </cell>
          <cell r="F1238">
            <v>10</v>
          </cell>
          <cell r="G1238">
            <v>20</v>
          </cell>
          <cell r="H1238">
            <v>30</v>
          </cell>
          <cell r="I1238">
            <v>40</v>
          </cell>
          <cell r="J1238">
            <v>90</v>
          </cell>
          <cell r="K1238">
            <v>120</v>
          </cell>
        </row>
        <row r="1239">
          <cell r="A1239" t="str">
            <v>IPE300</v>
          </cell>
          <cell r="B1239">
            <v>3</v>
          </cell>
          <cell r="C1239">
            <v>3</v>
          </cell>
          <cell r="D1239">
            <v>1.2</v>
          </cell>
          <cell r="E1239">
            <v>42.2</v>
          </cell>
          <cell r="F1239">
            <v>10</v>
          </cell>
          <cell r="G1239">
            <v>20</v>
          </cell>
          <cell r="H1239">
            <v>30</v>
          </cell>
          <cell r="I1239">
            <v>40</v>
          </cell>
          <cell r="J1239">
            <v>90</v>
          </cell>
          <cell r="K1239">
            <v>120</v>
          </cell>
        </row>
        <row r="1240">
          <cell r="A1240" t="str">
            <v>IPEO300</v>
          </cell>
          <cell r="B1240">
            <v>3</v>
          </cell>
          <cell r="C1240"/>
          <cell r="D1240"/>
          <cell r="E1240">
            <v>49.3</v>
          </cell>
          <cell r="F1240">
            <v>10</v>
          </cell>
          <cell r="G1240">
            <v>20</v>
          </cell>
          <cell r="H1240">
            <v>30</v>
          </cell>
          <cell r="I1240">
            <v>40</v>
          </cell>
          <cell r="J1240">
            <v>90</v>
          </cell>
          <cell r="K1240">
            <v>120</v>
          </cell>
        </row>
        <row r="1241">
          <cell r="A1241" t="str">
            <v>IPEA330</v>
          </cell>
          <cell r="B1241">
            <v>3</v>
          </cell>
          <cell r="C1241"/>
          <cell r="D1241"/>
          <cell r="E1241">
            <v>43</v>
          </cell>
          <cell r="F1241">
            <v>10</v>
          </cell>
          <cell r="G1241">
            <v>20</v>
          </cell>
          <cell r="H1241">
            <v>30</v>
          </cell>
          <cell r="I1241">
            <v>40</v>
          </cell>
          <cell r="J1241">
            <v>90</v>
          </cell>
          <cell r="K1241">
            <v>120</v>
          </cell>
        </row>
        <row r="1242">
          <cell r="A1242" t="str">
            <v>IPE330</v>
          </cell>
          <cell r="B1242">
            <v>3</v>
          </cell>
          <cell r="C1242">
            <v>3</v>
          </cell>
          <cell r="D1242">
            <v>1.3</v>
          </cell>
          <cell r="E1242">
            <v>49.1</v>
          </cell>
          <cell r="F1242">
            <v>10</v>
          </cell>
          <cell r="G1242">
            <v>20</v>
          </cell>
          <cell r="H1242">
            <v>30</v>
          </cell>
          <cell r="I1242">
            <v>40</v>
          </cell>
          <cell r="J1242">
            <v>90</v>
          </cell>
          <cell r="K1242">
            <v>120</v>
          </cell>
        </row>
        <row r="1243">
          <cell r="A1243" t="str">
            <v>IPEO330</v>
          </cell>
          <cell r="B1243">
            <v>3</v>
          </cell>
          <cell r="C1243"/>
          <cell r="D1243"/>
          <cell r="E1243">
            <v>57</v>
          </cell>
          <cell r="F1243">
            <v>10</v>
          </cell>
          <cell r="G1243">
            <v>20</v>
          </cell>
          <cell r="H1243">
            <v>30</v>
          </cell>
          <cell r="I1243">
            <v>40</v>
          </cell>
          <cell r="J1243">
            <v>90</v>
          </cell>
          <cell r="K1243">
            <v>120</v>
          </cell>
        </row>
        <row r="1244">
          <cell r="A1244" t="str">
            <v>IPEA360</v>
          </cell>
          <cell r="B1244">
            <v>3</v>
          </cell>
          <cell r="C1244"/>
          <cell r="D1244"/>
          <cell r="E1244">
            <v>50.2</v>
          </cell>
          <cell r="F1244">
            <v>10</v>
          </cell>
          <cell r="G1244">
            <v>20</v>
          </cell>
          <cell r="H1244">
            <v>30</v>
          </cell>
          <cell r="I1244">
            <v>40</v>
          </cell>
          <cell r="J1244">
            <v>90</v>
          </cell>
          <cell r="K1244">
            <v>120</v>
          </cell>
        </row>
        <row r="1245">
          <cell r="A1245" t="str">
            <v>IPE360</v>
          </cell>
          <cell r="B1245">
            <v>3</v>
          </cell>
          <cell r="C1245">
            <v>3</v>
          </cell>
          <cell r="D1245">
            <v>1.34</v>
          </cell>
          <cell r="E1245">
            <v>57.1</v>
          </cell>
          <cell r="F1245">
            <v>10</v>
          </cell>
          <cell r="G1245">
            <v>20</v>
          </cell>
          <cell r="H1245">
            <v>30</v>
          </cell>
          <cell r="I1245">
            <v>40</v>
          </cell>
          <cell r="J1245">
            <v>90</v>
          </cell>
          <cell r="K1245">
            <v>120</v>
          </cell>
        </row>
        <row r="1246">
          <cell r="A1246" t="str">
            <v>IPEO360</v>
          </cell>
          <cell r="B1246">
            <v>3</v>
          </cell>
          <cell r="C1246"/>
          <cell r="D1246"/>
          <cell r="E1246">
            <v>66</v>
          </cell>
          <cell r="F1246">
            <v>10</v>
          </cell>
          <cell r="G1246">
            <v>20</v>
          </cell>
          <cell r="H1246">
            <v>30</v>
          </cell>
          <cell r="I1246">
            <v>40</v>
          </cell>
          <cell r="J1246">
            <v>90</v>
          </cell>
          <cell r="K1246">
            <v>120</v>
          </cell>
        </row>
        <row r="1247">
          <cell r="A1247" t="str">
            <v>IPEA400</v>
          </cell>
          <cell r="B1247">
            <v>3</v>
          </cell>
          <cell r="C1247"/>
          <cell r="D1247"/>
          <cell r="E1247">
            <v>57.4</v>
          </cell>
          <cell r="F1247">
            <v>10</v>
          </cell>
          <cell r="G1247">
            <v>20</v>
          </cell>
          <cell r="H1247">
            <v>30</v>
          </cell>
          <cell r="I1247">
            <v>40</v>
          </cell>
          <cell r="J1247">
            <v>90</v>
          </cell>
          <cell r="K1247">
            <v>120</v>
          </cell>
        </row>
        <row r="1248">
          <cell r="A1248" t="str">
            <v>IPE400</v>
          </cell>
          <cell r="B1248">
            <v>3</v>
          </cell>
          <cell r="C1248">
            <v>3</v>
          </cell>
          <cell r="D1248">
            <v>1.5</v>
          </cell>
          <cell r="E1248">
            <v>66.3</v>
          </cell>
          <cell r="F1248">
            <v>10</v>
          </cell>
          <cell r="G1248">
            <v>20</v>
          </cell>
          <cell r="H1248">
            <v>30</v>
          </cell>
          <cell r="I1248">
            <v>40</v>
          </cell>
          <cell r="J1248">
            <v>90</v>
          </cell>
          <cell r="K1248">
            <v>120</v>
          </cell>
        </row>
        <row r="1249">
          <cell r="A1249" t="str">
            <v>IPEO400</v>
          </cell>
          <cell r="B1249">
            <v>3</v>
          </cell>
          <cell r="C1249"/>
          <cell r="D1249"/>
          <cell r="E1249">
            <v>75.7</v>
          </cell>
          <cell r="F1249">
            <v>10</v>
          </cell>
          <cell r="G1249">
            <v>20</v>
          </cell>
          <cell r="H1249">
            <v>30</v>
          </cell>
          <cell r="I1249">
            <v>40</v>
          </cell>
          <cell r="J1249">
            <v>90</v>
          </cell>
          <cell r="K1249">
            <v>120</v>
          </cell>
        </row>
        <row r="1250">
          <cell r="A1250" t="str">
            <v>IPEV 400</v>
          </cell>
          <cell r="B1250">
            <v>3</v>
          </cell>
          <cell r="C1250"/>
          <cell r="D1250"/>
          <cell r="E1250">
            <v>84</v>
          </cell>
          <cell r="F1250">
            <v>10</v>
          </cell>
          <cell r="G1250">
            <v>20</v>
          </cell>
          <cell r="H1250">
            <v>30</v>
          </cell>
          <cell r="I1250">
            <v>40</v>
          </cell>
          <cell r="J1250">
            <v>90</v>
          </cell>
          <cell r="K1250">
            <v>120</v>
          </cell>
        </row>
        <row r="1251">
          <cell r="A1251" t="str">
            <v>IPEA450</v>
          </cell>
          <cell r="B1251">
            <v>3</v>
          </cell>
          <cell r="C1251"/>
          <cell r="D1251"/>
          <cell r="E1251">
            <v>67.2</v>
          </cell>
          <cell r="F1251">
            <v>10</v>
          </cell>
          <cell r="G1251">
            <v>20</v>
          </cell>
          <cell r="H1251">
            <v>30</v>
          </cell>
          <cell r="I1251">
            <v>40</v>
          </cell>
          <cell r="J1251">
            <v>90</v>
          </cell>
          <cell r="K1251">
            <v>120</v>
          </cell>
        </row>
        <row r="1252">
          <cell r="A1252" t="str">
            <v>IPE450</v>
          </cell>
          <cell r="B1252">
            <v>3</v>
          </cell>
          <cell r="C1252">
            <v>3</v>
          </cell>
          <cell r="D1252">
            <v>1.6</v>
          </cell>
          <cell r="E1252">
            <v>77.599999999999994</v>
          </cell>
          <cell r="F1252">
            <v>10</v>
          </cell>
          <cell r="G1252">
            <v>20</v>
          </cell>
          <cell r="H1252">
            <v>30</v>
          </cell>
          <cell r="I1252">
            <v>40</v>
          </cell>
          <cell r="J1252">
            <v>90</v>
          </cell>
          <cell r="K1252">
            <v>120</v>
          </cell>
        </row>
        <row r="1253">
          <cell r="A1253" t="str">
            <v>IPEO450</v>
          </cell>
          <cell r="B1253">
            <v>3</v>
          </cell>
          <cell r="C1253"/>
          <cell r="D1253"/>
          <cell r="E1253">
            <v>92.4</v>
          </cell>
          <cell r="F1253">
            <v>10</v>
          </cell>
          <cell r="G1253">
            <v>20</v>
          </cell>
          <cell r="H1253">
            <v>30</v>
          </cell>
          <cell r="I1253">
            <v>40</v>
          </cell>
          <cell r="J1253">
            <v>90</v>
          </cell>
          <cell r="K1253">
            <v>120</v>
          </cell>
        </row>
        <row r="1254">
          <cell r="A1254" t="str">
            <v>IPEV 450</v>
          </cell>
          <cell r="B1254">
            <v>3</v>
          </cell>
          <cell r="C1254"/>
          <cell r="D1254"/>
          <cell r="E1254">
            <v>107</v>
          </cell>
          <cell r="F1254">
            <v>10</v>
          </cell>
          <cell r="G1254">
            <v>20</v>
          </cell>
          <cell r="H1254">
            <v>30</v>
          </cell>
          <cell r="I1254">
            <v>40</v>
          </cell>
          <cell r="J1254">
            <v>90</v>
          </cell>
          <cell r="K1254">
            <v>120</v>
          </cell>
        </row>
        <row r="1255">
          <cell r="A1255" t="str">
            <v>IPEA500</v>
          </cell>
          <cell r="B1255">
            <v>3</v>
          </cell>
          <cell r="C1255"/>
          <cell r="D1255"/>
          <cell r="E1255">
            <v>79.400000000000006</v>
          </cell>
          <cell r="F1255">
            <v>10</v>
          </cell>
          <cell r="G1255">
            <v>20</v>
          </cell>
          <cell r="H1255">
            <v>30</v>
          </cell>
          <cell r="I1255">
            <v>40</v>
          </cell>
          <cell r="J1255">
            <v>90</v>
          </cell>
          <cell r="K1255">
            <v>120</v>
          </cell>
        </row>
        <row r="1256">
          <cell r="A1256" t="str">
            <v>IPE500</v>
          </cell>
          <cell r="B1256">
            <v>3</v>
          </cell>
          <cell r="C1256">
            <v>6</v>
          </cell>
          <cell r="D1256">
            <v>1.7</v>
          </cell>
          <cell r="E1256">
            <v>90.7</v>
          </cell>
          <cell r="F1256">
            <v>10</v>
          </cell>
          <cell r="G1256">
            <v>20</v>
          </cell>
          <cell r="H1256">
            <v>30</v>
          </cell>
          <cell r="I1256">
            <v>40</v>
          </cell>
          <cell r="J1256">
            <v>90</v>
          </cell>
          <cell r="K1256">
            <v>120</v>
          </cell>
        </row>
        <row r="1257">
          <cell r="A1257" t="str">
            <v>IPEO500</v>
          </cell>
          <cell r="B1257">
            <v>3</v>
          </cell>
          <cell r="C1257"/>
          <cell r="D1257"/>
          <cell r="E1257">
            <v>107</v>
          </cell>
          <cell r="F1257">
            <v>10</v>
          </cell>
          <cell r="G1257">
            <v>20</v>
          </cell>
          <cell r="H1257">
            <v>30</v>
          </cell>
          <cell r="I1257">
            <v>40</v>
          </cell>
          <cell r="J1257">
            <v>90</v>
          </cell>
          <cell r="K1257">
            <v>120</v>
          </cell>
        </row>
        <row r="1258">
          <cell r="A1258" t="str">
            <v>IPEV 500</v>
          </cell>
          <cell r="B1258">
            <v>3</v>
          </cell>
          <cell r="C1258"/>
          <cell r="D1258"/>
          <cell r="E1258">
            <v>129</v>
          </cell>
          <cell r="F1258">
            <v>10</v>
          </cell>
          <cell r="G1258">
            <v>20</v>
          </cell>
          <cell r="H1258">
            <v>30</v>
          </cell>
          <cell r="I1258">
            <v>40</v>
          </cell>
          <cell r="J1258">
            <v>90</v>
          </cell>
          <cell r="K1258">
            <v>120</v>
          </cell>
        </row>
        <row r="1259">
          <cell r="A1259" t="str">
            <v>IPEA550</v>
          </cell>
          <cell r="B1259">
            <v>3</v>
          </cell>
          <cell r="C1259"/>
          <cell r="D1259"/>
          <cell r="E1259">
            <v>92.1</v>
          </cell>
          <cell r="F1259">
            <v>10</v>
          </cell>
          <cell r="G1259">
            <v>20</v>
          </cell>
          <cell r="H1259">
            <v>30</v>
          </cell>
          <cell r="I1259">
            <v>40</v>
          </cell>
          <cell r="J1259">
            <v>90</v>
          </cell>
          <cell r="K1259">
            <v>120</v>
          </cell>
        </row>
        <row r="1260">
          <cell r="A1260" t="str">
            <v>IPE550</v>
          </cell>
          <cell r="B1260">
            <v>3</v>
          </cell>
          <cell r="C1260">
            <v>6</v>
          </cell>
          <cell r="D1260"/>
          <cell r="E1260">
            <v>106</v>
          </cell>
          <cell r="F1260">
            <v>10</v>
          </cell>
          <cell r="G1260">
            <v>20</v>
          </cell>
          <cell r="H1260">
            <v>30</v>
          </cell>
          <cell r="I1260">
            <v>40</v>
          </cell>
          <cell r="J1260">
            <v>90</v>
          </cell>
          <cell r="K1260">
            <v>120</v>
          </cell>
        </row>
        <row r="1261">
          <cell r="A1261" t="str">
            <v>IPEO550</v>
          </cell>
          <cell r="B1261">
            <v>3</v>
          </cell>
          <cell r="C1261"/>
          <cell r="D1261"/>
          <cell r="E1261">
            <v>123</v>
          </cell>
          <cell r="F1261">
            <v>10</v>
          </cell>
          <cell r="G1261">
            <v>20</v>
          </cell>
          <cell r="H1261">
            <v>30</v>
          </cell>
          <cell r="I1261">
            <v>40</v>
          </cell>
          <cell r="J1261">
            <v>90</v>
          </cell>
          <cell r="K1261">
            <v>120</v>
          </cell>
        </row>
        <row r="1262">
          <cell r="A1262" t="str">
            <v>IPEV550</v>
          </cell>
          <cell r="B1262">
            <v>3</v>
          </cell>
          <cell r="C1262"/>
          <cell r="D1262"/>
          <cell r="E1262">
            <v>159</v>
          </cell>
          <cell r="F1262">
            <v>10</v>
          </cell>
          <cell r="G1262">
            <v>20</v>
          </cell>
          <cell r="H1262">
            <v>30</v>
          </cell>
          <cell r="I1262">
            <v>40</v>
          </cell>
          <cell r="J1262">
            <v>90</v>
          </cell>
          <cell r="K1262">
            <v>120</v>
          </cell>
        </row>
        <row r="1263">
          <cell r="A1263" t="str">
            <v>IPEA600</v>
          </cell>
          <cell r="B1263">
            <v>3</v>
          </cell>
          <cell r="C1263"/>
          <cell r="D1263"/>
          <cell r="E1263">
            <v>108</v>
          </cell>
          <cell r="F1263">
            <v>10</v>
          </cell>
          <cell r="G1263">
            <v>20</v>
          </cell>
          <cell r="H1263">
            <v>30</v>
          </cell>
          <cell r="I1263">
            <v>40</v>
          </cell>
          <cell r="J1263">
            <v>90</v>
          </cell>
          <cell r="K1263">
            <v>120</v>
          </cell>
        </row>
        <row r="1264">
          <cell r="A1264" t="str">
            <v>IPE600</v>
          </cell>
          <cell r="B1264">
            <v>3</v>
          </cell>
          <cell r="C1264">
            <v>6</v>
          </cell>
          <cell r="D1264"/>
          <cell r="E1264">
            <v>122</v>
          </cell>
          <cell r="F1264">
            <v>10</v>
          </cell>
          <cell r="G1264">
            <v>20</v>
          </cell>
          <cell r="H1264">
            <v>30</v>
          </cell>
          <cell r="I1264">
            <v>40</v>
          </cell>
          <cell r="J1264">
            <v>90</v>
          </cell>
          <cell r="K1264">
            <v>120</v>
          </cell>
        </row>
        <row r="1265">
          <cell r="A1265" t="str">
            <v>IPEO600</v>
          </cell>
          <cell r="B1265">
            <v>3</v>
          </cell>
          <cell r="C1265"/>
          <cell r="D1265"/>
          <cell r="E1265">
            <v>154</v>
          </cell>
          <cell r="F1265">
            <v>10</v>
          </cell>
          <cell r="G1265">
            <v>20</v>
          </cell>
          <cell r="H1265">
            <v>30</v>
          </cell>
          <cell r="I1265">
            <v>40</v>
          </cell>
          <cell r="J1265">
            <v>90</v>
          </cell>
          <cell r="K1265">
            <v>120</v>
          </cell>
        </row>
        <row r="1266">
          <cell r="A1266" t="str">
            <v>IPEV 600</v>
          </cell>
          <cell r="B1266">
            <v>3</v>
          </cell>
          <cell r="C1266"/>
          <cell r="D1266"/>
          <cell r="E1266">
            <v>184</v>
          </cell>
          <cell r="F1266">
            <v>10</v>
          </cell>
          <cell r="G1266">
            <v>20</v>
          </cell>
          <cell r="H1266">
            <v>30</v>
          </cell>
          <cell r="I1266">
            <v>40</v>
          </cell>
          <cell r="J1266">
            <v>90</v>
          </cell>
          <cell r="K1266">
            <v>120</v>
          </cell>
        </row>
        <row r="1267">
          <cell r="A1267" t="str">
            <v>IPE750x134</v>
          </cell>
          <cell r="B1267">
            <v>3</v>
          </cell>
          <cell r="C1267"/>
          <cell r="D1267"/>
          <cell r="E1267">
            <v>134</v>
          </cell>
          <cell r="F1267">
            <v>10</v>
          </cell>
          <cell r="G1267">
            <v>20</v>
          </cell>
          <cell r="H1267">
            <v>30</v>
          </cell>
          <cell r="I1267">
            <v>40</v>
          </cell>
          <cell r="J1267">
            <v>90</v>
          </cell>
          <cell r="K1267">
            <v>120</v>
          </cell>
        </row>
        <row r="1268">
          <cell r="A1268" t="str">
            <v>IPE750x147</v>
          </cell>
          <cell r="B1268">
            <v>3</v>
          </cell>
          <cell r="C1268"/>
          <cell r="D1268"/>
          <cell r="E1268">
            <v>147</v>
          </cell>
          <cell r="F1268">
            <v>10</v>
          </cell>
          <cell r="G1268">
            <v>20</v>
          </cell>
          <cell r="H1268">
            <v>30</v>
          </cell>
          <cell r="I1268">
            <v>40</v>
          </cell>
          <cell r="J1268">
            <v>90</v>
          </cell>
          <cell r="K1268">
            <v>120</v>
          </cell>
        </row>
        <row r="1269">
          <cell r="A1269" t="str">
            <v>IPE750x173</v>
          </cell>
          <cell r="B1269">
            <v>3</v>
          </cell>
          <cell r="C1269"/>
          <cell r="D1269"/>
          <cell r="E1269">
            <v>173</v>
          </cell>
          <cell r="F1269">
            <v>10</v>
          </cell>
          <cell r="G1269">
            <v>20</v>
          </cell>
          <cell r="H1269">
            <v>30</v>
          </cell>
          <cell r="I1269">
            <v>40</v>
          </cell>
          <cell r="J1269">
            <v>90</v>
          </cell>
          <cell r="K1269">
            <v>120</v>
          </cell>
        </row>
        <row r="1270">
          <cell r="A1270" t="str">
            <v>IPE750x196</v>
          </cell>
          <cell r="B1270">
            <v>3</v>
          </cell>
          <cell r="C1270"/>
          <cell r="D1270"/>
          <cell r="E1270">
            <v>197</v>
          </cell>
          <cell r="F1270">
            <v>10</v>
          </cell>
          <cell r="G1270">
            <v>20</v>
          </cell>
          <cell r="H1270">
            <v>30</v>
          </cell>
          <cell r="I1270">
            <v>40</v>
          </cell>
          <cell r="J1270">
            <v>90</v>
          </cell>
          <cell r="K1270">
            <v>120</v>
          </cell>
        </row>
        <row r="1271">
          <cell r="A1271" t="str">
            <v>IPE750x220</v>
          </cell>
          <cell r="B1271">
            <v>3</v>
          </cell>
          <cell r="C1271"/>
          <cell r="D1271"/>
          <cell r="E1271">
            <v>220</v>
          </cell>
          <cell r="F1271">
            <v>10</v>
          </cell>
          <cell r="G1271">
            <v>20</v>
          </cell>
          <cell r="H1271">
            <v>30</v>
          </cell>
          <cell r="I1271">
            <v>40</v>
          </cell>
          <cell r="J1271">
            <v>90</v>
          </cell>
          <cell r="K1271">
            <v>120</v>
          </cell>
        </row>
        <row r="1272">
          <cell r="A1272" t="str">
            <v>L25x3</v>
          </cell>
          <cell r="B1272">
            <v>1</v>
          </cell>
          <cell r="C1272">
            <v>1</v>
          </cell>
          <cell r="D1272"/>
          <cell r="E1272">
            <v>1.1000000000000001</v>
          </cell>
          <cell r="F1272">
            <v>2</v>
          </cell>
          <cell r="G1272">
            <v>5</v>
          </cell>
          <cell r="H1272">
            <v>10</v>
          </cell>
          <cell r="I1272">
            <v>20</v>
          </cell>
          <cell r="J1272">
            <v>30</v>
          </cell>
          <cell r="K1272">
            <v>60</v>
          </cell>
        </row>
        <row r="1273">
          <cell r="A1273" t="str">
            <v>L25x4</v>
          </cell>
          <cell r="B1273">
            <v>1</v>
          </cell>
          <cell r="C1273">
            <v>1</v>
          </cell>
          <cell r="D1273"/>
          <cell r="E1273">
            <v>1.5</v>
          </cell>
          <cell r="F1273">
            <v>2</v>
          </cell>
          <cell r="G1273">
            <v>5</v>
          </cell>
          <cell r="H1273">
            <v>10</v>
          </cell>
          <cell r="I1273">
            <v>20</v>
          </cell>
          <cell r="J1273">
            <v>30</v>
          </cell>
          <cell r="K1273">
            <v>60</v>
          </cell>
        </row>
        <row r="1274">
          <cell r="A1274" t="str">
            <v>L30x3</v>
          </cell>
          <cell r="B1274">
            <v>1</v>
          </cell>
          <cell r="C1274">
            <v>1</v>
          </cell>
          <cell r="D1274"/>
          <cell r="E1274">
            <v>1.4</v>
          </cell>
          <cell r="F1274">
            <v>2</v>
          </cell>
          <cell r="G1274">
            <v>5</v>
          </cell>
          <cell r="H1274">
            <v>10</v>
          </cell>
          <cell r="I1274">
            <v>20</v>
          </cell>
          <cell r="J1274">
            <v>30</v>
          </cell>
          <cell r="K1274">
            <v>60</v>
          </cell>
        </row>
        <row r="1275">
          <cell r="A1275" t="str">
            <v>L30x4</v>
          </cell>
          <cell r="B1275">
            <v>1</v>
          </cell>
          <cell r="C1275">
            <v>1</v>
          </cell>
          <cell r="D1275"/>
          <cell r="E1275">
            <v>1.8</v>
          </cell>
          <cell r="F1275">
            <v>2</v>
          </cell>
          <cell r="G1275">
            <v>5</v>
          </cell>
          <cell r="H1275">
            <v>10</v>
          </cell>
          <cell r="I1275">
            <v>20</v>
          </cell>
          <cell r="J1275">
            <v>30</v>
          </cell>
          <cell r="K1275">
            <v>60</v>
          </cell>
        </row>
        <row r="1276">
          <cell r="A1276" t="str">
            <v>L35x4</v>
          </cell>
          <cell r="B1276">
            <v>1</v>
          </cell>
          <cell r="C1276">
            <v>1</v>
          </cell>
          <cell r="D1276"/>
          <cell r="E1276">
            <v>2.1</v>
          </cell>
          <cell r="F1276">
            <v>2</v>
          </cell>
          <cell r="G1276">
            <v>5</v>
          </cell>
          <cell r="H1276">
            <v>10</v>
          </cell>
          <cell r="I1276">
            <v>20</v>
          </cell>
          <cell r="J1276">
            <v>30</v>
          </cell>
          <cell r="K1276">
            <v>60</v>
          </cell>
        </row>
        <row r="1277">
          <cell r="A1277" t="str">
            <v>L35x5</v>
          </cell>
          <cell r="B1277">
            <v>1</v>
          </cell>
          <cell r="C1277">
            <v>1</v>
          </cell>
          <cell r="D1277"/>
          <cell r="E1277">
            <v>2.6</v>
          </cell>
          <cell r="F1277">
            <v>2</v>
          </cell>
          <cell r="G1277">
            <v>5</v>
          </cell>
          <cell r="H1277">
            <v>10</v>
          </cell>
          <cell r="I1277">
            <v>20</v>
          </cell>
          <cell r="J1277">
            <v>30</v>
          </cell>
          <cell r="K1277">
            <v>60</v>
          </cell>
        </row>
        <row r="1278">
          <cell r="A1278" t="str">
            <v>L40x4</v>
          </cell>
          <cell r="B1278">
            <v>1</v>
          </cell>
          <cell r="C1278">
            <v>1</v>
          </cell>
          <cell r="D1278"/>
          <cell r="E1278">
            <v>2.4</v>
          </cell>
          <cell r="F1278">
            <v>2</v>
          </cell>
          <cell r="G1278">
            <v>5</v>
          </cell>
          <cell r="H1278">
            <v>10</v>
          </cell>
          <cell r="I1278">
            <v>20</v>
          </cell>
          <cell r="J1278">
            <v>30</v>
          </cell>
          <cell r="K1278">
            <v>60</v>
          </cell>
        </row>
        <row r="1279">
          <cell r="A1279" t="str">
            <v>L40x5</v>
          </cell>
          <cell r="B1279">
            <v>1</v>
          </cell>
          <cell r="C1279">
            <v>1</v>
          </cell>
          <cell r="D1279"/>
          <cell r="E1279">
            <v>3</v>
          </cell>
          <cell r="F1279">
            <v>2</v>
          </cell>
          <cell r="G1279">
            <v>5</v>
          </cell>
          <cell r="H1279">
            <v>10</v>
          </cell>
          <cell r="I1279">
            <v>20</v>
          </cell>
          <cell r="J1279">
            <v>30</v>
          </cell>
          <cell r="K1279">
            <v>60</v>
          </cell>
        </row>
        <row r="1280">
          <cell r="A1280" t="str">
            <v>L40x6</v>
          </cell>
          <cell r="B1280">
            <v>1</v>
          </cell>
          <cell r="C1280">
            <v>1</v>
          </cell>
          <cell r="D1280"/>
          <cell r="E1280">
            <v>3.5</v>
          </cell>
          <cell r="F1280">
            <v>2</v>
          </cell>
          <cell r="G1280">
            <v>5</v>
          </cell>
          <cell r="H1280">
            <v>10</v>
          </cell>
          <cell r="I1280">
            <v>20</v>
          </cell>
          <cell r="J1280">
            <v>30</v>
          </cell>
          <cell r="K1280">
            <v>60</v>
          </cell>
        </row>
        <row r="1281">
          <cell r="A1281" t="str">
            <v>L45x3</v>
          </cell>
          <cell r="B1281">
            <v>1</v>
          </cell>
          <cell r="C1281">
            <v>1</v>
          </cell>
          <cell r="D1281"/>
          <cell r="E1281">
            <v>2.1</v>
          </cell>
          <cell r="F1281">
            <v>2</v>
          </cell>
          <cell r="G1281">
            <v>5</v>
          </cell>
          <cell r="H1281">
            <v>10</v>
          </cell>
          <cell r="I1281">
            <v>20</v>
          </cell>
          <cell r="J1281">
            <v>30</v>
          </cell>
          <cell r="K1281">
            <v>60</v>
          </cell>
        </row>
        <row r="1282">
          <cell r="A1282" t="str">
            <v>L45x4</v>
          </cell>
          <cell r="B1282">
            <v>1</v>
          </cell>
          <cell r="C1282">
            <v>1</v>
          </cell>
          <cell r="D1282"/>
          <cell r="E1282">
            <v>2.7</v>
          </cell>
          <cell r="F1282">
            <v>2</v>
          </cell>
          <cell r="G1282">
            <v>5</v>
          </cell>
          <cell r="H1282">
            <v>10</v>
          </cell>
          <cell r="I1282">
            <v>20</v>
          </cell>
          <cell r="J1282">
            <v>30</v>
          </cell>
          <cell r="K1282">
            <v>60</v>
          </cell>
        </row>
        <row r="1283">
          <cell r="A1283" t="str">
            <v>L45x4.5</v>
          </cell>
          <cell r="B1283">
            <v>1</v>
          </cell>
          <cell r="C1283">
            <v>1</v>
          </cell>
          <cell r="D1283"/>
          <cell r="E1283">
            <v>3.1</v>
          </cell>
          <cell r="F1283">
            <v>2</v>
          </cell>
          <cell r="G1283">
            <v>5</v>
          </cell>
          <cell r="H1283">
            <v>10</v>
          </cell>
          <cell r="I1283">
            <v>20</v>
          </cell>
          <cell r="J1283">
            <v>30</v>
          </cell>
          <cell r="K1283">
            <v>60</v>
          </cell>
        </row>
        <row r="1284">
          <cell r="A1284" t="str">
            <v>L45x5</v>
          </cell>
          <cell r="B1284">
            <v>1</v>
          </cell>
          <cell r="C1284">
            <v>1</v>
          </cell>
          <cell r="D1284"/>
          <cell r="E1284">
            <v>3.4</v>
          </cell>
          <cell r="F1284">
            <v>2</v>
          </cell>
          <cell r="G1284">
            <v>5</v>
          </cell>
          <cell r="H1284">
            <v>10</v>
          </cell>
          <cell r="I1284">
            <v>20</v>
          </cell>
          <cell r="J1284">
            <v>30</v>
          </cell>
          <cell r="K1284">
            <v>60</v>
          </cell>
        </row>
        <row r="1285">
          <cell r="A1285" t="str">
            <v>L45x6</v>
          </cell>
          <cell r="B1285">
            <v>1</v>
          </cell>
          <cell r="C1285">
            <v>1</v>
          </cell>
          <cell r="D1285"/>
          <cell r="E1285">
            <v>4</v>
          </cell>
          <cell r="F1285">
            <v>2</v>
          </cell>
          <cell r="G1285">
            <v>5</v>
          </cell>
          <cell r="H1285">
            <v>10</v>
          </cell>
          <cell r="I1285">
            <v>20</v>
          </cell>
          <cell r="J1285">
            <v>30</v>
          </cell>
          <cell r="K1285">
            <v>60</v>
          </cell>
        </row>
        <row r="1286">
          <cell r="A1286" t="str">
            <v>L45x7</v>
          </cell>
          <cell r="B1286">
            <v>1</v>
          </cell>
          <cell r="C1286">
            <v>3</v>
          </cell>
          <cell r="D1286"/>
          <cell r="E1286">
            <v>4.5999999999999996</v>
          </cell>
          <cell r="F1286">
            <v>2</v>
          </cell>
          <cell r="G1286">
            <v>5</v>
          </cell>
          <cell r="H1286">
            <v>10</v>
          </cell>
          <cell r="I1286">
            <v>20</v>
          </cell>
          <cell r="J1286">
            <v>30</v>
          </cell>
          <cell r="K1286">
            <v>60</v>
          </cell>
        </row>
        <row r="1287">
          <cell r="A1287" t="str">
            <v>L50x3</v>
          </cell>
          <cell r="B1287">
            <v>1</v>
          </cell>
          <cell r="C1287">
            <v>1</v>
          </cell>
          <cell r="D1287">
            <v>0.19700000000000001</v>
          </cell>
          <cell r="E1287">
            <v>2.2999999999999998</v>
          </cell>
          <cell r="F1287">
            <v>2</v>
          </cell>
          <cell r="G1287">
            <v>5</v>
          </cell>
          <cell r="H1287">
            <v>10</v>
          </cell>
          <cell r="I1287">
            <v>20</v>
          </cell>
          <cell r="J1287">
            <v>30</v>
          </cell>
          <cell r="K1287">
            <v>60</v>
          </cell>
        </row>
        <row r="1288">
          <cell r="A1288" t="str">
            <v>L50x4</v>
          </cell>
          <cell r="B1288">
            <v>1</v>
          </cell>
          <cell r="C1288">
            <v>1</v>
          </cell>
          <cell r="D1288"/>
          <cell r="E1288">
            <v>3.1</v>
          </cell>
          <cell r="F1288">
            <v>2</v>
          </cell>
          <cell r="G1288">
            <v>5</v>
          </cell>
          <cell r="H1288">
            <v>10</v>
          </cell>
          <cell r="I1288">
            <v>20</v>
          </cell>
          <cell r="J1288">
            <v>30</v>
          </cell>
          <cell r="K1288">
            <v>60</v>
          </cell>
        </row>
        <row r="1289">
          <cell r="A1289" t="str">
            <v>L50x5</v>
          </cell>
          <cell r="B1289">
            <v>1</v>
          </cell>
          <cell r="C1289">
            <v>1</v>
          </cell>
          <cell r="D1289"/>
          <cell r="E1289">
            <v>3.8</v>
          </cell>
          <cell r="F1289">
            <v>2</v>
          </cell>
          <cell r="G1289">
            <v>5</v>
          </cell>
          <cell r="H1289">
            <v>10</v>
          </cell>
          <cell r="I1289">
            <v>20</v>
          </cell>
          <cell r="J1289">
            <v>30</v>
          </cell>
          <cell r="K1289">
            <v>60</v>
          </cell>
        </row>
        <row r="1290">
          <cell r="A1290" t="str">
            <v>L50x30x5</v>
          </cell>
          <cell r="B1290">
            <v>1</v>
          </cell>
          <cell r="C1290">
            <v>1</v>
          </cell>
          <cell r="D1290">
            <v>0.156</v>
          </cell>
          <cell r="E1290">
            <v>3</v>
          </cell>
          <cell r="F1290">
            <v>2</v>
          </cell>
          <cell r="G1290">
            <v>5</v>
          </cell>
          <cell r="H1290">
            <v>10</v>
          </cell>
          <cell r="I1290">
            <v>20</v>
          </cell>
          <cell r="J1290">
            <v>30</v>
          </cell>
          <cell r="K1290">
            <v>60</v>
          </cell>
        </row>
        <row r="1291">
          <cell r="A1291" t="str">
            <v>L50x6</v>
          </cell>
          <cell r="B1291">
            <v>1</v>
          </cell>
          <cell r="C1291">
            <v>1</v>
          </cell>
          <cell r="D1291"/>
          <cell r="E1291">
            <v>4.5</v>
          </cell>
          <cell r="F1291">
            <v>2</v>
          </cell>
          <cell r="G1291">
            <v>5</v>
          </cell>
          <cell r="H1291">
            <v>10</v>
          </cell>
          <cell r="I1291">
            <v>20</v>
          </cell>
          <cell r="J1291">
            <v>30</v>
          </cell>
          <cell r="K1291">
            <v>60</v>
          </cell>
        </row>
        <row r="1292">
          <cell r="A1292" t="str">
            <v>L50x7</v>
          </cell>
          <cell r="B1292">
            <v>1</v>
          </cell>
          <cell r="C1292">
            <v>2</v>
          </cell>
          <cell r="D1292"/>
          <cell r="E1292">
            <v>5.2</v>
          </cell>
          <cell r="F1292">
            <v>2</v>
          </cell>
          <cell r="G1292">
            <v>5</v>
          </cell>
          <cell r="H1292">
            <v>10</v>
          </cell>
          <cell r="I1292">
            <v>20</v>
          </cell>
          <cell r="J1292">
            <v>30</v>
          </cell>
          <cell r="K1292">
            <v>60</v>
          </cell>
        </row>
        <row r="1293">
          <cell r="A1293" t="str">
            <v>L50x8</v>
          </cell>
          <cell r="B1293">
            <v>1</v>
          </cell>
          <cell r="C1293">
            <v>2</v>
          </cell>
          <cell r="D1293"/>
          <cell r="E1293">
            <v>5.8</v>
          </cell>
          <cell r="F1293">
            <v>2</v>
          </cell>
          <cell r="G1293">
            <v>5</v>
          </cell>
          <cell r="H1293">
            <v>10</v>
          </cell>
          <cell r="I1293">
            <v>20</v>
          </cell>
          <cell r="J1293">
            <v>30</v>
          </cell>
          <cell r="K1293">
            <v>60</v>
          </cell>
        </row>
        <row r="1294">
          <cell r="A1294" t="str">
            <v>L50x9</v>
          </cell>
          <cell r="B1294">
            <v>1</v>
          </cell>
          <cell r="C1294">
            <v>2</v>
          </cell>
          <cell r="D1294"/>
          <cell r="E1294">
            <v>6.5</v>
          </cell>
          <cell r="F1294">
            <v>2</v>
          </cell>
          <cell r="G1294">
            <v>5</v>
          </cell>
          <cell r="H1294">
            <v>10</v>
          </cell>
          <cell r="I1294">
            <v>20</v>
          </cell>
          <cell r="J1294">
            <v>30</v>
          </cell>
          <cell r="K1294">
            <v>60</v>
          </cell>
        </row>
        <row r="1295">
          <cell r="A1295" t="str">
            <v>L55x4</v>
          </cell>
          <cell r="B1295">
            <v>1</v>
          </cell>
          <cell r="C1295">
            <v>1</v>
          </cell>
          <cell r="D1295"/>
          <cell r="E1295">
            <v>3.4</v>
          </cell>
          <cell r="F1295">
            <v>2</v>
          </cell>
          <cell r="G1295">
            <v>5</v>
          </cell>
          <cell r="H1295">
            <v>10</v>
          </cell>
          <cell r="I1295">
            <v>20</v>
          </cell>
          <cell r="J1295">
            <v>30</v>
          </cell>
          <cell r="K1295">
            <v>60</v>
          </cell>
        </row>
        <row r="1296">
          <cell r="A1296" t="str">
            <v>L55x5</v>
          </cell>
          <cell r="B1296">
            <v>1</v>
          </cell>
          <cell r="C1296">
            <v>1</v>
          </cell>
          <cell r="D1296"/>
          <cell r="E1296">
            <v>4.2</v>
          </cell>
          <cell r="F1296">
            <v>2</v>
          </cell>
          <cell r="G1296">
            <v>5</v>
          </cell>
          <cell r="H1296">
            <v>10</v>
          </cell>
          <cell r="I1296">
            <v>20</v>
          </cell>
          <cell r="J1296">
            <v>30</v>
          </cell>
          <cell r="K1296">
            <v>60</v>
          </cell>
        </row>
        <row r="1297">
          <cell r="A1297" t="str">
            <v>L55x6</v>
          </cell>
          <cell r="B1297">
            <v>1</v>
          </cell>
          <cell r="C1297">
            <v>1</v>
          </cell>
          <cell r="D1297"/>
          <cell r="E1297">
            <v>5</v>
          </cell>
          <cell r="F1297">
            <v>2</v>
          </cell>
          <cell r="G1297">
            <v>5</v>
          </cell>
          <cell r="H1297">
            <v>10</v>
          </cell>
          <cell r="I1297">
            <v>20</v>
          </cell>
          <cell r="J1297">
            <v>30</v>
          </cell>
          <cell r="K1297">
            <v>60</v>
          </cell>
        </row>
        <row r="1298">
          <cell r="A1298" t="str">
            <v>L60x4</v>
          </cell>
          <cell r="B1298">
            <v>1</v>
          </cell>
          <cell r="C1298">
            <v>1</v>
          </cell>
          <cell r="D1298"/>
          <cell r="E1298">
            <v>3.7</v>
          </cell>
          <cell r="F1298">
            <v>2</v>
          </cell>
          <cell r="G1298">
            <v>5</v>
          </cell>
          <cell r="H1298">
            <v>10</v>
          </cell>
          <cell r="I1298">
            <v>20</v>
          </cell>
          <cell r="J1298">
            <v>30</v>
          </cell>
          <cell r="K1298">
            <v>60</v>
          </cell>
        </row>
        <row r="1299">
          <cell r="A1299" t="str">
            <v>L60x5</v>
          </cell>
          <cell r="B1299">
            <v>1</v>
          </cell>
          <cell r="C1299">
            <v>1</v>
          </cell>
          <cell r="D1299"/>
          <cell r="E1299">
            <v>4.5999999999999996</v>
          </cell>
          <cell r="F1299">
            <v>2</v>
          </cell>
          <cell r="G1299">
            <v>5</v>
          </cell>
          <cell r="H1299">
            <v>10</v>
          </cell>
          <cell r="I1299">
            <v>20</v>
          </cell>
          <cell r="J1299">
            <v>30</v>
          </cell>
          <cell r="K1299">
            <v>60</v>
          </cell>
        </row>
        <row r="1300">
          <cell r="A1300" t="str">
            <v>L60x6</v>
          </cell>
          <cell r="B1300">
            <v>1</v>
          </cell>
          <cell r="C1300">
            <v>1</v>
          </cell>
          <cell r="D1300">
            <v>0.23</v>
          </cell>
          <cell r="E1300">
            <v>5.4</v>
          </cell>
          <cell r="F1300">
            <v>2</v>
          </cell>
          <cell r="G1300">
            <v>5</v>
          </cell>
          <cell r="H1300">
            <v>10</v>
          </cell>
          <cell r="I1300">
            <v>20</v>
          </cell>
          <cell r="J1300">
            <v>30</v>
          </cell>
          <cell r="K1300">
            <v>60</v>
          </cell>
        </row>
        <row r="1301">
          <cell r="A1301" t="str">
            <v>L60x7</v>
          </cell>
          <cell r="B1301">
            <v>1</v>
          </cell>
          <cell r="C1301">
            <v>2</v>
          </cell>
          <cell r="D1301"/>
          <cell r="E1301">
            <v>6.3</v>
          </cell>
          <cell r="F1301">
            <v>2</v>
          </cell>
          <cell r="G1301">
            <v>5</v>
          </cell>
          <cell r="H1301">
            <v>10</v>
          </cell>
          <cell r="I1301">
            <v>20</v>
          </cell>
          <cell r="J1301">
            <v>30</v>
          </cell>
          <cell r="K1301">
            <v>60</v>
          </cell>
        </row>
        <row r="1302">
          <cell r="A1302" t="str">
            <v>L60x8</v>
          </cell>
          <cell r="B1302">
            <v>1</v>
          </cell>
          <cell r="C1302">
            <v>2</v>
          </cell>
          <cell r="D1302"/>
          <cell r="E1302">
            <v>7.1</v>
          </cell>
          <cell r="F1302">
            <v>2</v>
          </cell>
          <cell r="G1302">
            <v>5</v>
          </cell>
          <cell r="H1302">
            <v>10</v>
          </cell>
          <cell r="I1302">
            <v>20</v>
          </cell>
          <cell r="J1302">
            <v>30</v>
          </cell>
          <cell r="K1302">
            <v>60</v>
          </cell>
        </row>
        <row r="1303">
          <cell r="A1303" t="str">
            <v>L60x10</v>
          </cell>
          <cell r="B1303">
            <v>1</v>
          </cell>
          <cell r="C1303">
            <v>2</v>
          </cell>
          <cell r="D1303"/>
          <cell r="E1303">
            <v>8.6999999999999993</v>
          </cell>
          <cell r="F1303">
            <v>2</v>
          </cell>
          <cell r="G1303">
            <v>5</v>
          </cell>
          <cell r="H1303">
            <v>10</v>
          </cell>
          <cell r="I1303">
            <v>20</v>
          </cell>
          <cell r="J1303">
            <v>30</v>
          </cell>
          <cell r="K1303">
            <v>60</v>
          </cell>
        </row>
        <row r="1304">
          <cell r="A1304" t="str">
            <v>L60x40x5</v>
          </cell>
          <cell r="B1304">
            <v>1</v>
          </cell>
          <cell r="C1304">
            <v>1</v>
          </cell>
          <cell r="D1304"/>
          <cell r="E1304">
            <v>3.8</v>
          </cell>
          <cell r="F1304">
            <v>2</v>
          </cell>
          <cell r="G1304">
            <v>5</v>
          </cell>
          <cell r="H1304">
            <v>10</v>
          </cell>
          <cell r="I1304">
            <v>20</v>
          </cell>
          <cell r="J1304">
            <v>30</v>
          </cell>
          <cell r="K1304">
            <v>60</v>
          </cell>
        </row>
        <row r="1305">
          <cell r="A1305" t="str">
            <v>L63x5</v>
          </cell>
          <cell r="B1305">
            <v>1</v>
          </cell>
          <cell r="C1305">
            <v>1</v>
          </cell>
          <cell r="D1305"/>
          <cell r="E1305">
            <v>4.8</v>
          </cell>
          <cell r="F1305">
            <v>2</v>
          </cell>
          <cell r="G1305">
            <v>5</v>
          </cell>
          <cell r="H1305">
            <v>10</v>
          </cell>
          <cell r="I1305">
            <v>20</v>
          </cell>
          <cell r="J1305">
            <v>30</v>
          </cell>
          <cell r="K1305">
            <v>60</v>
          </cell>
        </row>
        <row r="1306">
          <cell r="A1306" t="str">
            <v>L63x6</v>
          </cell>
          <cell r="B1306">
            <v>1</v>
          </cell>
          <cell r="C1306">
            <v>1</v>
          </cell>
          <cell r="D1306"/>
          <cell r="E1306">
            <v>5.7</v>
          </cell>
          <cell r="F1306">
            <v>2</v>
          </cell>
          <cell r="G1306">
            <v>5</v>
          </cell>
          <cell r="H1306">
            <v>10</v>
          </cell>
          <cell r="I1306">
            <v>20</v>
          </cell>
          <cell r="J1306">
            <v>30</v>
          </cell>
          <cell r="K1306">
            <v>60</v>
          </cell>
        </row>
        <row r="1307">
          <cell r="A1307" t="str">
            <v>L63x6.5</v>
          </cell>
          <cell r="B1307">
            <v>1</v>
          </cell>
          <cell r="C1307">
            <v>1</v>
          </cell>
          <cell r="D1307"/>
          <cell r="E1307">
            <v>6.2</v>
          </cell>
          <cell r="F1307">
            <v>2</v>
          </cell>
          <cell r="G1307">
            <v>5</v>
          </cell>
          <cell r="H1307">
            <v>10</v>
          </cell>
          <cell r="I1307">
            <v>20</v>
          </cell>
          <cell r="J1307">
            <v>30</v>
          </cell>
          <cell r="K1307">
            <v>60</v>
          </cell>
        </row>
        <row r="1308">
          <cell r="A1308" t="str">
            <v>L65x4</v>
          </cell>
          <cell r="B1308">
            <v>1</v>
          </cell>
          <cell r="C1308">
            <v>1</v>
          </cell>
          <cell r="D1308"/>
          <cell r="E1308">
            <v>4</v>
          </cell>
          <cell r="F1308">
            <v>2</v>
          </cell>
          <cell r="G1308">
            <v>5</v>
          </cell>
          <cell r="H1308">
            <v>10</v>
          </cell>
          <cell r="I1308">
            <v>20</v>
          </cell>
          <cell r="J1308">
            <v>30</v>
          </cell>
          <cell r="K1308">
            <v>60</v>
          </cell>
        </row>
        <row r="1309">
          <cell r="A1309" t="str">
            <v>L65x5</v>
          </cell>
          <cell r="B1309">
            <v>1</v>
          </cell>
          <cell r="C1309">
            <v>1</v>
          </cell>
          <cell r="D1309"/>
          <cell r="E1309">
            <v>5</v>
          </cell>
          <cell r="F1309">
            <v>2</v>
          </cell>
          <cell r="G1309">
            <v>5</v>
          </cell>
          <cell r="H1309">
            <v>10</v>
          </cell>
          <cell r="I1309">
            <v>20</v>
          </cell>
          <cell r="J1309">
            <v>30</v>
          </cell>
          <cell r="K1309">
            <v>60</v>
          </cell>
        </row>
        <row r="1310">
          <cell r="A1310" t="str">
            <v>L65x6</v>
          </cell>
          <cell r="B1310">
            <v>1</v>
          </cell>
          <cell r="C1310">
            <v>1</v>
          </cell>
          <cell r="D1310"/>
          <cell r="E1310">
            <v>5.9</v>
          </cell>
          <cell r="F1310">
            <v>2</v>
          </cell>
          <cell r="G1310">
            <v>5</v>
          </cell>
          <cell r="H1310">
            <v>10</v>
          </cell>
          <cell r="I1310">
            <v>20</v>
          </cell>
          <cell r="J1310">
            <v>30</v>
          </cell>
          <cell r="K1310">
            <v>60</v>
          </cell>
        </row>
        <row r="1311">
          <cell r="A1311" t="str">
            <v>L65x7</v>
          </cell>
          <cell r="B1311">
            <v>1</v>
          </cell>
          <cell r="C1311">
            <v>2</v>
          </cell>
          <cell r="D1311"/>
          <cell r="E1311">
            <v>6.8</v>
          </cell>
          <cell r="F1311">
            <v>2</v>
          </cell>
          <cell r="G1311">
            <v>5</v>
          </cell>
          <cell r="H1311">
            <v>10</v>
          </cell>
          <cell r="I1311">
            <v>20</v>
          </cell>
          <cell r="J1311">
            <v>30</v>
          </cell>
          <cell r="K1311">
            <v>60</v>
          </cell>
        </row>
        <row r="1312">
          <cell r="A1312" t="str">
            <v>L65x8</v>
          </cell>
          <cell r="B1312">
            <v>1</v>
          </cell>
          <cell r="C1312">
            <v>2</v>
          </cell>
          <cell r="D1312"/>
          <cell r="E1312">
            <v>7.7</v>
          </cell>
          <cell r="F1312">
            <v>2</v>
          </cell>
          <cell r="G1312">
            <v>5</v>
          </cell>
          <cell r="H1312">
            <v>10</v>
          </cell>
          <cell r="I1312">
            <v>20</v>
          </cell>
          <cell r="J1312">
            <v>30</v>
          </cell>
          <cell r="K1312">
            <v>60</v>
          </cell>
        </row>
        <row r="1313">
          <cell r="A1313" t="str">
            <v>L65x9</v>
          </cell>
          <cell r="B1313">
            <v>1</v>
          </cell>
          <cell r="C1313">
            <v>2</v>
          </cell>
          <cell r="D1313"/>
          <cell r="E1313">
            <v>8.6</v>
          </cell>
          <cell r="F1313">
            <v>2</v>
          </cell>
          <cell r="G1313">
            <v>5</v>
          </cell>
          <cell r="H1313">
            <v>10</v>
          </cell>
          <cell r="I1313">
            <v>20</v>
          </cell>
          <cell r="J1313">
            <v>30</v>
          </cell>
          <cell r="K1313">
            <v>60</v>
          </cell>
        </row>
        <row r="1314">
          <cell r="A1314" t="str">
            <v>L65x10</v>
          </cell>
          <cell r="B1314">
            <v>1</v>
          </cell>
          <cell r="C1314">
            <v>2</v>
          </cell>
          <cell r="D1314"/>
          <cell r="E1314">
            <v>9.5</v>
          </cell>
          <cell r="F1314">
            <v>2</v>
          </cell>
          <cell r="G1314">
            <v>5</v>
          </cell>
          <cell r="H1314">
            <v>10</v>
          </cell>
          <cell r="I1314">
            <v>20</v>
          </cell>
          <cell r="J1314">
            <v>30</v>
          </cell>
          <cell r="K1314">
            <v>60</v>
          </cell>
        </row>
        <row r="1315">
          <cell r="A1315" t="str">
            <v>L65x11</v>
          </cell>
          <cell r="B1315">
            <v>1</v>
          </cell>
          <cell r="C1315">
            <v>2</v>
          </cell>
          <cell r="D1315"/>
          <cell r="E1315">
            <v>10.3</v>
          </cell>
          <cell r="F1315">
            <v>2</v>
          </cell>
          <cell r="G1315">
            <v>5</v>
          </cell>
          <cell r="H1315">
            <v>10</v>
          </cell>
          <cell r="I1315">
            <v>20</v>
          </cell>
          <cell r="J1315">
            <v>30</v>
          </cell>
          <cell r="K1315">
            <v>60</v>
          </cell>
        </row>
        <row r="1316">
          <cell r="A1316" t="str">
            <v>L70x5</v>
          </cell>
          <cell r="B1316">
            <v>1</v>
          </cell>
          <cell r="C1316">
            <v>1</v>
          </cell>
          <cell r="D1316"/>
          <cell r="E1316">
            <v>5.4</v>
          </cell>
          <cell r="F1316">
            <v>2</v>
          </cell>
          <cell r="G1316">
            <v>5</v>
          </cell>
          <cell r="H1316">
            <v>10</v>
          </cell>
          <cell r="I1316">
            <v>20</v>
          </cell>
          <cell r="J1316">
            <v>30</v>
          </cell>
          <cell r="K1316">
            <v>60</v>
          </cell>
        </row>
        <row r="1317">
          <cell r="A1317" t="str">
            <v>L70x6</v>
          </cell>
          <cell r="B1317">
            <v>1</v>
          </cell>
          <cell r="C1317">
            <v>1</v>
          </cell>
          <cell r="D1317"/>
          <cell r="E1317">
            <v>6.4</v>
          </cell>
          <cell r="F1317">
            <v>2</v>
          </cell>
          <cell r="G1317">
            <v>5</v>
          </cell>
          <cell r="H1317">
            <v>10</v>
          </cell>
          <cell r="I1317">
            <v>20</v>
          </cell>
          <cell r="J1317">
            <v>30</v>
          </cell>
          <cell r="K1317">
            <v>60</v>
          </cell>
        </row>
        <row r="1318">
          <cell r="A1318" t="str">
            <v>L70x7</v>
          </cell>
          <cell r="B1318">
            <v>1</v>
          </cell>
          <cell r="C1318">
            <v>2</v>
          </cell>
          <cell r="D1318"/>
          <cell r="E1318">
            <v>7.4</v>
          </cell>
          <cell r="F1318">
            <v>2</v>
          </cell>
          <cell r="G1318">
            <v>5</v>
          </cell>
          <cell r="H1318">
            <v>10</v>
          </cell>
          <cell r="I1318">
            <v>20</v>
          </cell>
          <cell r="J1318">
            <v>30</v>
          </cell>
          <cell r="K1318">
            <v>60</v>
          </cell>
        </row>
        <row r="1319">
          <cell r="A1319" t="str">
            <v>L70x8</v>
          </cell>
          <cell r="B1319">
            <v>1</v>
          </cell>
          <cell r="C1319">
            <v>2</v>
          </cell>
          <cell r="D1319"/>
          <cell r="E1319">
            <v>8.4</v>
          </cell>
          <cell r="F1319">
            <v>2</v>
          </cell>
          <cell r="G1319">
            <v>5</v>
          </cell>
          <cell r="H1319">
            <v>10</v>
          </cell>
          <cell r="I1319">
            <v>20</v>
          </cell>
          <cell r="J1319">
            <v>30</v>
          </cell>
          <cell r="K1319">
            <v>60</v>
          </cell>
        </row>
        <row r="1320">
          <cell r="A1320" t="str">
            <v>L70x9</v>
          </cell>
          <cell r="B1320">
            <v>1</v>
          </cell>
          <cell r="C1320">
            <v>2</v>
          </cell>
          <cell r="D1320"/>
          <cell r="E1320">
            <v>9.3000000000000007</v>
          </cell>
          <cell r="F1320">
            <v>2</v>
          </cell>
          <cell r="G1320">
            <v>5</v>
          </cell>
          <cell r="H1320">
            <v>10</v>
          </cell>
          <cell r="I1320">
            <v>20</v>
          </cell>
          <cell r="J1320">
            <v>30</v>
          </cell>
          <cell r="K1320">
            <v>60</v>
          </cell>
        </row>
        <row r="1321">
          <cell r="A1321" t="str">
            <v>L70x10</v>
          </cell>
          <cell r="B1321">
            <v>1</v>
          </cell>
          <cell r="C1321">
            <v>2</v>
          </cell>
          <cell r="D1321"/>
          <cell r="E1321">
            <v>10.3</v>
          </cell>
          <cell r="F1321">
            <v>2</v>
          </cell>
          <cell r="G1321">
            <v>5</v>
          </cell>
          <cell r="H1321">
            <v>10</v>
          </cell>
          <cell r="I1321">
            <v>20</v>
          </cell>
          <cell r="J1321">
            <v>30</v>
          </cell>
          <cell r="K1321">
            <v>60</v>
          </cell>
        </row>
        <row r="1322">
          <cell r="A1322" t="str">
            <v>L75x4</v>
          </cell>
          <cell r="B1322">
            <v>1</v>
          </cell>
          <cell r="C1322">
            <v>1</v>
          </cell>
          <cell r="D1322"/>
          <cell r="E1322">
            <v>4.7</v>
          </cell>
          <cell r="F1322">
            <v>2</v>
          </cell>
          <cell r="G1322">
            <v>5</v>
          </cell>
          <cell r="H1322">
            <v>10</v>
          </cell>
          <cell r="I1322">
            <v>20</v>
          </cell>
          <cell r="J1322">
            <v>30</v>
          </cell>
          <cell r="K1322">
            <v>60</v>
          </cell>
        </row>
        <row r="1323">
          <cell r="A1323" t="str">
            <v>L75x5</v>
          </cell>
          <cell r="B1323">
            <v>1</v>
          </cell>
          <cell r="C1323">
            <v>1</v>
          </cell>
          <cell r="D1323"/>
          <cell r="E1323">
            <v>5.8</v>
          </cell>
          <cell r="F1323">
            <v>2</v>
          </cell>
          <cell r="G1323">
            <v>5</v>
          </cell>
          <cell r="H1323">
            <v>10</v>
          </cell>
          <cell r="I1323">
            <v>20</v>
          </cell>
          <cell r="J1323">
            <v>30</v>
          </cell>
          <cell r="K1323">
            <v>60</v>
          </cell>
        </row>
        <row r="1324">
          <cell r="A1324" t="str">
            <v>L75x6</v>
          </cell>
          <cell r="B1324">
            <v>1</v>
          </cell>
          <cell r="C1324">
            <v>1</v>
          </cell>
          <cell r="D1324"/>
          <cell r="E1324">
            <v>6.9</v>
          </cell>
          <cell r="F1324">
            <v>2</v>
          </cell>
          <cell r="G1324">
            <v>5</v>
          </cell>
          <cell r="H1324">
            <v>10</v>
          </cell>
          <cell r="I1324">
            <v>20</v>
          </cell>
          <cell r="J1324">
            <v>30</v>
          </cell>
          <cell r="K1324">
            <v>60</v>
          </cell>
        </row>
        <row r="1325">
          <cell r="A1325" t="str">
            <v>L75x7</v>
          </cell>
          <cell r="B1325">
            <v>1</v>
          </cell>
          <cell r="C1325">
            <v>2</v>
          </cell>
          <cell r="D1325"/>
          <cell r="E1325">
            <v>7.9</v>
          </cell>
          <cell r="F1325">
            <v>2</v>
          </cell>
          <cell r="G1325">
            <v>5</v>
          </cell>
          <cell r="H1325">
            <v>10</v>
          </cell>
          <cell r="I1325">
            <v>20</v>
          </cell>
          <cell r="J1325">
            <v>30</v>
          </cell>
          <cell r="K1325">
            <v>60</v>
          </cell>
        </row>
        <row r="1326">
          <cell r="A1326" t="str">
            <v>L75x8</v>
          </cell>
          <cell r="B1326">
            <v>1</v>
          </cell>
          <cell r="C1326">
            <v>2</v>
          </cell>
          <cell r="D1326"/>
          <cell r="E1326">
            <v>9</v>
          </cell>
          <cell r="F1326">
            <v>2</v>
          </cell>
          <cell r="G1326">
            <v>5</v>
          </cell>
          <cell r="H1326">
            <v>10</v>
          </cell>
          <cell r="I1326">
            <v>20</v>
          </cell>
          <cell r="J1326">
            <v>30</v>
          </cell>
          <cell r="K1326">
            <v>60</v>
          </cell>
        </row>
        <row r="1327">
          <cell r="A1327" t="str">
            <v>L75x9</v>
          </cell>
          <cell r="B1327">
            <v>1</v>
          </cell>
          <cell r="C1327">
            <v>2</v>
          </cell>
          <cell r="D1327"/>
          <cell r="E1327">
            <v>10</v>
          </cell>
          <cell r="F1327">
            <v>2</v>
          </cell>
          <cell r="G1327">
            <v>5</v>
          </cell>
          <cell r="H1327">
            <v>10</v>
          </cell>
          <cell r="I1327">
            <v>20</v>
          </cell>
          <cell r="J1327">
            <v>30</v>
          </cell>
          <cell r="K1327">
            <v>60</v>
          </cell>
        </row>
        <row r="1328">
          <cell r="A1328" t="str">
            <v>L75x10</v>
          </cell>
          <cell r="B1328">
            <v>1</v>
          </cell>
          <cell r="C1328">
            <v>2</v>
          </cell>
          <cell r="D1328"/>
          <cell r="E1328">
            <v>11.1</v>
          </cell>
          <cell r="F1328">
            <v>2</v>
          </cell>
          <cell r="G1328">
            <v>5</v>
          </cell>
          <cell r="H1328">
            <v>10</v>
          </cell>
          <cell r="I1328">
            <v>20</v>
          </cell>
          <cell r="J1328">
            <v>30</v>
          </cell>
          <cell r="K1328">
            <v>60</v>
          </cell>
        </row>
        <row r="1329">
          <cell r="A1329" t="str">
            <v>L80x5</v>
          </cell>
          <cell r="B1329">
            <v>1</v>
          </cell>
          <cell r="C1329">
            <v>2</v>
          </cell>
          <cell r="D1329"/>
          <cell r="E1329">
            <v>6.2</v>
          </cell>
          <cell r="F1329">
            <v>2</v>
          </cell>
          <cell r="G1329">
            <v>5</v>
          </cell>
          <cell r="H1329">
            <v>10</v>
          </cell>
          <cell r="I1329">
            <v>20</v>
          </cell>
          <cell r="J1329">
            <v>30</v>
          </cell>
          <cell r="K1329">
            <v>60</v>
          </cell>
        </row>
        <row r="1330">
          <cell r="A1330" t="str">
            <v>L80x6</v>
          </cell>
          <cell r="B1330">
            <v>1</v>
          </cell>
          <cell r="C1330">
            <v>2</v>
          </cell>
          <cell r="D1330">
            <v>0.311</v>
          </cell>
          <cell r="E1330">
            <v>7.3</v>
          </cell>
          <cell r="F1330">
            <v>2</v>
          </cell>
          <cell r="G1330">
            <v>5</v>
          </cell>
          <cell r="H1330">
            <v>10</v>
          </cell>
          <cell r="I1330">
            <v>20</v>
          </cell>
          <cell r="J1330">
            <v>30</v>
          </cell>
          <cell r="K1330">
            <v>60</v>
          </cell>
        </row>
        <row r="1331">
          <cell r="A1331" t="str">
            <v>L80x7</v>
          </cell>
          <cell r="B1331">
            <v>1</v>
          </cell>
          <cell r="C1331">
            <v>2</v>
          </cell>
          <cell r="D1331"/>
          <cell r="E1331">
            <v>8.5</v>
          </cell>
          <cell r="F1331">
            <v>2</v>
          </cell>
          <cell r="G1331">
            <v>5</v>
          </cell>
          <cell r="H1331">
            <v>10</v>
          </cell>
          <cell r="I1331">
            <v>20</v>
          </cell>
          <cell r="J1331">
            <v>30</v>
          </cell>
          <cell r="K1331">
            <v>60</v>
          </cell>
        </row>
        <row r="1332">
          <cell r="A1332" t="str">
            <v>L80x8</v>
          </cell>
          <cell r="B1332">
            <v>1</v>
          </cell>
          <cell r="C1332">
            <v>2</v>
          </cell>
          <cell r="D1332">
            <v>0.311</v>
          </cell>
          <cell r="E1332">
            <v>9.6</v>
          </cell>
          <cell r="F1332">
            <v>2</v>
          </cell>
          <cell r="G1332">
            <v>5</v>
          </cell>
          <cell r="H1332">
            <v>10</v>
          </cell>
          <cell r="I1332">
            <v>20</v>
          </cell>
          <cell r="J1332">
            <v>30</v>
          </cell>
          <cell r="K1332">
            <v>60</v>
          </cell>
        </row>
        <row r="1333">
          <cell r="A1333" t="str">
            <v>L80x9</v>
          </cell>
          <cell r="B1333">
            <v>1</v>
          </cell>
          <cell r="C1333">
            <v>2</v>
          </cell>
          <cell r="D1333"/>
          <cell r="E1333">
            <v>10.8</v>
          </cell>
          <cell r="F1333">
            <v>2</v>
          </cell>
          <cell r="G1333">
            <v>5</v>
          </cell>
          <cell r="H1333">
            <v>10</v>
          </cell>
          <cell r="I1333">
            <v>20</v>
          </cell>
          <cell r="J1333">
            <v>30</v>
          </cell>
          <cell r="K1333">
            <v>60</v>
          </cell>
        </row>
        <row r="1334">
          <cell r="A1334" t="str">
            <v>L80x10</v>
          </cell>
          <cell r="B1334">
            <v>1</v>
          </cell>
          <cell r="C1334">
            <v>2</v>
          </cell>
          <cell r="D1334">
            <v>0.311</v>
          </cell>
          <cell r="E1334">
            <v>11.9</v>
          </cell>
          <cell r="F1334">
            <v>2</v>
          </cell>
          <cell r="G1334">
            <v>5</v>
          </cell>
          <cell r="H1334">
            <v>10</v>
          </cell>
          <cell r="I1334">
            <v>20</v>
          </cell>
          <cell r="J1334">
            <v>30</v>
          </cell>
          <cell r="K1334">
            <v>60</v>
          </cell>
        </row>
        <row r="1335">
          <cell r="A1335" t="str">
            <v>L90x5</v>
          </cell>
          <cell r="B1335">
            <v>1</v>
          </cell>
          <cell r="C1335">
            <v>1</v>
          </cell>
          <cell r="D1335"/>
          <cell r="E1335">
            <v>7</v>
          </cell>
          <cell r="F1335">
            <v>2</v>
          </cell>
          <cell r="G1335">
            <v>5</v>
          </cell>
          <cell r="H1335">
            <v>10</v>
          </cell>
          <cell r="I1335">
            <v>20</v>
          </cell>
          <cell r="J1335">
            <v>30</v>
          </cell>
          <cell r="K1335">
            <v>60</v>
          </cell>
        </row>
        <row r="1336">
          <cell r="A1336" t="str">
            <v>L90x6</v>
          </cell>
          <cell r="B1336">
            <v>1</v>
          </cell>
          <cell r="C1336">
            <v>1</v>
          </cell>
          <cell r="D1336"/>
          <cell r="E1336">
            <v>8.3000000000000007</v>
          </cell>
          <cell r="F1336">
            <v>2</v>
          </cell>
          <cell r="G1336">
            <v>5</v>
          </cell>
          <cell r="H1336">
            <v>10</v>
          </cell>
          <cell r="I1336">
            <v>20</v>
          </cell>
          <cell r="J1336">
            <v>30</v>
          </cell>
          <cell r="K1336">
            <v>60</v>
          </cell>
        </row>
        <row r="1337">
          <cell r="A1337" t="str">
            <v>L90x7</v>
          </cell>
          <cell r="B1337">
            <v>1</v>
          </cell>
          <cell r="C1337">
            <v>2</v>
          </cell>
          <cell r="D1337"/>
          <cell r="E1337">
            <v>9.6</v>
          </cell>
          <cell r="F1337">
            <v>2</v>
          </cell>
          <cell r="G1337">
            <v>5</v>
          </cell>
          <cell r="H1337">
            <v>10</v>
          </cell>
          <cell r="I1337">
            <v>20</v>
          </cell>
          <cell r="J1337">
            <v>30</v>
          </cell>
          <cell r="K1337">
            <v>60</v>
          </cell>
        </row>
        <row r="1338">
          <cell r="A1338" t="str">
            <v>L90x8</v>
          </cell>
          <cell r="B1338">
            <v>1</v>
          </cell>
          <cell r="C1338">
            <v>2</v>
          </cell>
          <cell r="D1338"/>
          <cell r="E1338">
            <v>10.9</v>
          </cell>
          <cell r="F1338">
            <v>2</v>
          </cell>
          <cell r="G1338">
            <v>5</v>
          </cell>
          <cell r="H1338">
            <v>10</v>
          </cell>
          <cell r="I1338">
            <v>20</v>
          </cell>
          <cell r="J1338">
            <v>30</v>
          </cell>
          <cell r="K1338">
            <v>60</v>
          </cell>
        </row>
        <row r="1339">
          <cell r="A1339" t="str">
            <v>L90x9</v>
          </cell>
          <cell r="B1339">
            <v>1</v>
          </cell>
          <cell r="C1339">
            <v>2</v>
          </cell>
          <cell r="D1339"/>
          <cell r="E1339">
            <v>12.2</v>
          </cell>
          <cell r="F1339">
            <v>2</v>
          </cell>
          <cell r="G1339">
            <v>5</v>
          </cell>
          <cell r="H1339">
            <v>10</v>
          </cell>
          <cell r="I1339">
            <v>20</v>
          </cell>
          <cell r="J1339">
            <v>30</v>
          </cell>
          <cell r="K1339">
            <v>60</v>
          </cell>
        </row>
        <row r="1340">
          <cell r="A1340" t="str">
            <v>L90x10</v>
          </cell>
          <cell r="B1340">
            <v>1</v>
          </cell>
          <cell r="C1340">
            <v>2</v>
          </cell>
          <cell r="D1340"/>
          <cell r="E1340">
            <v>13.4</v>
          </cell>
          <cell r="F1340">
            <v>2</v>
          </cell>
          <cell r="G1340">
            <v>5</v>
          </cell>
          <cell r="H1340">
            <v>10</v>
          </cell>
          <cell r="I1340">
            <v>20</v>
          </cell>
          <cell r="J1340">
            <v>30</v>
          </cell>
          <cell r="K1340">
            <v>60</v>
          </cell>
        </row>
        <row r="1341">
          <cell r="A1341" t="str">
            <v>L90x11</v>
          </cell>
          <cell r="B1341">
            <v>1</v>
          </cell>
          <cell r="C1341">
            <v>2</v>
          </cell>
          <cell r="D1341"/>
          <cell r="E1341">
            <v>14.7</v>
          </cell>
          <cell r="F1341">
            <v>2</v>
          </cell>
          <cell r="G1341">
            <v>5</v>
          </cell>
          <cell r="H1341">
            <v>10</v>
          </cell>
          <cell r="I1341">
            <v>20</v>
          </cell>
          <cell r="J1341">
            <v>30</v>
          </cell>
          <cell r="K1341">
            <v>60</v>
          </cell>
        </row>
        <row r="1342">
          <cell r="A1342" t="str">
            <v>L90x16</v>
          </cell>
          <cell r="B1342">
            <v>2</v>
          </cell>
          <cell r="C1342">
            <v>2</v>
          </cell>
          <cell r="D1342"/>
          <cell r="E1342">
            <v>20.7</v>
          </cell>
          <cell r="F1342">
            <v>5</v>
          </cell>
          <cell r="G1342">
            <v>10</v>
          </cell>
          <cell r="H1342">
            <v>20</v>
          </cell>
          <cell r="I1342">
            <v>30</v>
          </cell>
          <cell r="J1342">
            <v>60</v>
          </cell>
          <cell r="K1342">
            <v>90</v>
          </cell>
        </row>
        <row r="1343">
          <cell r="A1343" t="str">
            <v>L100x6</v>
          </cell>
          <cell r="B1343">
            <v>1</v>
          </cell>
          <cell r="C1343">
            <v>1</v>
          </cell>
          <cell r="D1343"/>
          <cell r="E1343">
            <v>9.3000000000000007</v>
          </cell>
          <cell r="F1343">
            <v>2</v>
          </cell>
          <cell r="G1343">
            <v>5</v>
          </cell>
          <cell r="H1343">
            <v>10</v>
          </cell>
          <cell r="I1343">
            <v>20</v>
          </cell>
          <cell r="J1343">
            <v>30</v>
          </cell>
          <cell r="K1343">
            <v>60</v>
          </cell>
        </row>
        <row r="1344">
          <cell r="A1344" t="str">
            <v>L100x7</v>
          </cell>
          <cell r="B1344">
            <v>1</v>
          </cell>
          <cell r="C1344">
            <v>2</v>
          </cell>
          <cell r="D1344"/>
          <cell r="E1344">
            <v>10.7</v>
          </cell>
          <cell r="F1344">
            <v>2</v>
          </cell>
          <cell r="G1344">
            <v>5</v>
          </cell>
          <cell r="H1344">
            <v>10</v>
          </cell>
          <cell r="I1344">
            <v>20</v>
          </cell>
          <cell r="J1344">
            <v>30</v>
          </cell>
          <cell r="K1344">
            <v>60</v>
          </cell>
        </row>
        <row r="1345">
          <cell r="A1345" t="str">
            <v>L100x8</v>
          </cell>
          <cell r="B1345">
            <v>1</v>
          </cell>
          <cell r="C1345">
            <v>2</v>
          </cell>
          <cell r="D1345"/>
          <cell r="E1345">
            <v>12.2</v>
          </cell>
          <cell r="F1345">
            <v>2</v>
          </cell>
          <cell r="G1345">
            <v>5</v>
          </cell>
          <cell r="H1345">
            <v>10</v>
          </cell>
          <cell r="I1345">
            <v>20</v>
          </cell>
          <cell r="J1345">
            <v>30</v>
          </cell>
          <cell r="K1345">
            <v>60</v>
          </cell>
        </row>
        <row r="1346">
          <cell r="A1346" t="str">
            <v>L100x9</v>
          </cell>
          <cell r="B1346">
            <v>1</v>
          </cell>
          <cell r="C1346">
            <v>2</v>
          </cell>
          <cell r="D1346"/>
          <cell r="E1346">
            <v>13.6</v>
          </cell>
          <cell r="F1346">
            <v>2</v>
          </cell>
          <cell r="G1346">
            <v>5</v>
          </cell>
          <cell r="H1346">
            <v>10</v>
          </cell>
          <cell r="I1346">
            <v>20</v>
          </cell>
          <cell r="J1346">
            <v>30</v>
          </cell>
          <cell r="K1346">
            <v>60</v>
          </cell>
        </row>
        <row r="1347">
          <cell r="A1347" t="str">
            <v>L100x10</v>
          </cell>
          <cell r="B1347">
            <v>1</v>
          </cell>
          <cell r="C1347">
            <v>2</v>
          </cell>
          <cell r="D1347"/>
          <cell r="E1347">
            <v>15</v>
          </cell>
          <cell r="F1347">
            <v>2</v>
          </cell>
          <cell r="G1347">
            <v>5</v>
          </cell>
          <cell r="H1347">
            <v>10</v>
          </cell>
          <cell r="I1347">
            <v>20</v>
          </cell>
          <cell r="J1347">
            <v>30</v>
          </cell>
          <cell r="K1347">
            <v>60</v>
          </cell>
        </row>
        <row r="1348">
          <cell r="A1348" t="str">
            <v>L100x11</v>
          </cell>
          <cell r="B1348">
            <v>1</v>
          </cell>
          <cell r="C1348">
            <v>2</v>
          </cell>
          <cell r="D1348"/>
          <cell r="E1348">
            <v>16.399999999999999</v>
          </cell>
          <cell r="F1348">
            <v>2</v>
          </cell>
          <cell r="G1348">
            <v>5</v>
          </cell>
          <cell r="H1348">
            <v>10</v>
          </cell>
          <cell r="I1348">
            <v>20</v>
          </cell>
          <cell r="J1348">
            <v>30</v>
          </cell>
          <cell r="K1348">
            <v>60</v>
          </cell>
        </row>
        <row r="1349">
          <cell r="A1349" t="str">
            <v>L100x12</v>
          </cell>
          <cell r="B1349">
            <v>1</v>
          </cell>
          <cell r="C1349">
            <v>2</v>
          </cell>
          <cell r="D1349"/>
          <cell r="E1349">
            <v>17.8</v>
          </cell>
          <cell r="F1349">
            <v>2</v>
          </cell>
          <cell r="G1349">
            <v>5</v>
          </cell>
          <cell r="H1349">
            <v>10</v>
          </cell>
          <cell r="I1349">
            <v>20</v>
          </cell>
          <cell r="J1349">
            <v>30</v>
          </cell>
          <cell r="K1349">
            <v>60</v>
          </cell>
        </row>
        <row r="1350">
          <cell r="A1350" t="str">
            <v>L100x14</v>
          </cell>
          <cell r="B1350">
            <v>2</v>
          </cell>
          <cell r="C1350">
            <v>2</v>
          </cell>
          <cell r="D1350"/>
          <cell r="E1350">
            <v>20.6</v>
          </cell>
          <cell r="F1350">
            <v>5</v>
          </cell>
          <cell r="G1350">
            <v>10</v>
          </cell>
          <cell r="H1350">
            <v>20</v>
          </cell>
          <cell r="I1350">
            <v>30</v>
          </cell>
          <cell r="J1350">
            <v>60</v>
          </cell>
          <cell r="K1350">
            <v>90</v>
          </cell>
        </row>
        <row r="1351">
          <cell r="A1351" t="str">
            <v>L100x16</v>
          </cell>
          <cell r="B1351">
            <v>2</v>
          </cell>
          <cell r="C1351">
            <v>2</v>
          </cell>
          <cell r="D1351"/>
          <cell r="E1351">
            <v>23.2</v>
          </cell>
          <cell r="F1351">
            <v>5</v>
          </cell>
          <cell r="G1351">
            <v>10</v>
          </cell>
          <cell r="H1351">
            <v>20</v>
          </cell>
          <cell r="I1351">
            <v>30</v>
          </cell>
          <cell r="J1351">
            <v>60</v>
          </cell>
          <cell r="K1351">
            <v>90</v>
          </cell>
        </row>
        <row r="1352">
          <cell r="A1352" t="str">
            <v>L110x6</v>
          </cell>
          <cell r="B1352">
            <v>1</v>
          </cell>
          <cell r="C1352">
            <v>1</v>
          </cell>
          <cell r="D1352"/>
          <cell r="E1352">
            <v>10.199999999999999</v>
          </cell>
          <cell r="F1352">
            <v>2</v>
          </cell>
          <cell r="G1352">
            <v>5</v>
          </cell>
          <cell r="H1352">
            <v>10</v>
          </cell>
          <cell r="I1352">
            <v>20</v>
          </cell>
          <cell r="J1352">
            <v>30</v>
          </cell>
          <cell r="K1352">
            <v>60</v>
          </cell>
        </row>
        <row r="1353">
          <cell r="A1353" t="str">
            <v>L110x7</v>
          </cell>
          <cell r="B1353">
            <v>1</v>
          </cell>
          <cell r="C1353">
            <v>2</v>
          </cell>
          <cell r="D1353"/>
          <cell r="E1353">
            <v>11.8</v>
          </cell>
          <cell r="F1353">
            <v>2</v>
          </cell>
          <cell r="G1353">
            <v>5</v>
          </cell>
          <cell r="H1353">
            <v>10</v>
          </cell>
          <cell r="I1353">
            <v>20</v>
          </cell>
          <cell r="J1353">
            <v>30</v>
          </cell>
          <cell r="K1353">
            <v>60</v>
          </cell>
        </row>
        <row r="1354">
          <cell r="A1354" t="str">
            <v>L110x8</v>
          </cell>
          <cell r="B1354">
            <v>1</v>
          </cell>
          <cell r="C1354">
            <v>2</v>
          </cell>
          <cell r="D1354"/>
          <cell r="E1354">
            <v>13.4</v>
          </cell>
          <cell r="F1354">
            <v>2</v>
          </cell>
          <cell r="G1354">
            <v>5</v>
          </cell>
          <cell r="H1354">
            <v>10</v>
          </cell>
          <cell r="I1354">
            <v>20</v>
          </cell>
          <cell r="J1354">
            <v>30</v>
          </cell>
          <cell r="K1354">
            <v>60</v>
          </cell>
        </row>
        <row r="1355">
          <cell r="A1355" t="str">
            <v>L110x9</v>
          </cell>
          <cell r="B1355">
            <v>1</v>
          </cell>
          <cell r="C1355">
            <v>2</v>
          </cell>
          <cell r="D1355"/>
          <cell r="E1355">
            <v>15</v>
          </cell>
          <cell r="F1355">
            <v>2</v>
          </cell>
          <cell r="G1355">
            <v>5</v>
          </cell>
          <cell r="H1355">
            <v>10</v>
          </cell>
          <cell r="I1355">
            <v>20</v>
          </cell>
          <cell r="J1355">
            <v>30</v>
          </cell>
          <cell r="K1355">
            <v>60</v>
          </cell>
        </row>
        <row r="1356">
          <cell r="A1356" t="str">
            <v>L110x10</v>
          </cell>
          <cell r="B1356">
            <v>1</v>
          </cell>
          <cell r="C1356">
            <v>2</v>
          </cell>
          <cell r="D1356"/>
          <cell r="E1356">
            <v>16.600000000000001</v>
          </cell>
          <cell r="F1356">
            <v>2</v>
          </cell>
          <cell r="G1356">
            <v>5</v>
          </cell>
          <cell r="H1356">
            <v>10</v>
          </cell>
          <cell r="I1356">
            <v>20</v>
          </cell>
          <cell r="J1356">
            <v>30</v>
          </cell>
          <cell r="K1356">
            <v>60</v>
          </cell>
        </row>
        <row r="1357">
          <cell r="A1357" t="str">
            <v>L110x11</v>
          </cell>
          <cell r="B1357">
            <v>1</v>
          </cell>
          <cell r="C1357">
            <v>2</v>
          </cell>
          <cell r="D1357"/>
          <cell r="E1357">
            <v>18.2</v>
          </cell>
          <cell r="F1357">
            <v>2</v>
          </cell>
          <cell r="G1357">
            <v>5</v>
          </cell>
          <cell r="H1357">
            <v>10</v>
          </cell>
          <cell r="I1357">
            <v>20</v>
          </cell>
          <cell r="J1357">
            <v>30</v>
          </cell>
          <cell r="K1357">
            <v>60</v>
          </cell>
        </row>
        <row r="1358">
          <cell r="A1358" t="str">
            <v>L110x12</v>
          </cell>
          <cell r="B1358">
            <v>1</v>
          </cell>
          <cell r="C1358">
            <v>2</v>
          </cell>
          <cell r="D1358"/>
          <cell r="E1358">
            <v>19.7</v>
          </cell>
          <cell r="F1358">
            <v>2</v>
          </cell>
          <cell r="G1358">
            <v>5</v>
          </cell>
          <cell r="H1358">
            <v>10</v>
          </cell>
          <cell r="I1358">
            <v>20</v>
          </cell>
          <cell r="J1358">
            <v>30</v>
          </cell>
          <cell r="K1358">
            <v>60</v>
          </cell>
        </row>
        <row r="1359">
          <cell r="A1359" t="str">
            <v>L120x7</v>
          </cell>
          <cell r="B1359">
            <v>1</v>
          </cell>
          <cell r="C1359">
            <v>2</v>
          </cell>
          <cell r="D1359"/>
          <cell r="E1359">
            <v>12.9</v>
          </cell>
          <cell r="F1359">
            <v>2</v>
          </cell>
          <cell r="G1359">
            <v>5</v>
          </cell>
          <cell r="H1359">
            <v>10</v>
          </cell>
          <cell r="I1359">
            <v>20</v>
          </cell>
          <cell r="J1359">
            <v>30</v>
          </cell>
          <cell r="K1359">
            <v>60</v>
          </cell>
        </row>
        <row r="1360">
          <cell r="A1360" t="str">
            <v>L120x8</v>
          </cell>
          <cell r="B1360">
            <v>1</v>
          </cell>
          <cell r="C1360">
            <v>2</v>
          </cell>
          <cell r="D1360"/>
          <cell r="E1360">
            <v>14.7</v>
          </cell>
          <cell r="F1360">
            <v>2</v>
          </cell>
          <cell r="G1360">
            <v>5</v>
          </cell>
          <cell r="H1360">
            <v>10</v>
          </cell>
          <cell r="I1360">
            <v>20</v>
          </cell>
          <cell r="J1360">
            <v>30</v>
          </cell>
          <cell r="K1360">
            <v>60</v>
          </cell>
        </row>
        <row r="1361">
          <cell r="A1361" t="str">
            <v>L120x9</v>
          </cell>
          <cell r="B1361">
            <v>1</v>
          </cell>
          <cell r="C1361">
            <v>2</v>
          </cell>
          <cell r="D1361"/>
          <cell r="E1361">
            <v>16.5</v>
          </cell>
          <cell r="F1361">
            <v>2</v>
          </cell>
          <cell r="G1361">
            <v>5</v>
          </cell>
          <cell r="H1361">
            <v>10</v>
          </cell>
          <cell r="I1361">
            <v>20</v>
          </cell>
          <cell r="J1361">
            <v>30</v>
          </cell>
          <cell r="K1361">
            <v>60</v>
          </cell>
        </row>
        <row r="1362">
          <cell r="A1362" t="str">
            <v>L120x10</v>
          </cell>
          <cell r="B1362">
            <v>1</v>
          </cell>
          <cell r="C1362">
            <v>2</v>
          </cell>
          <cell r="D1362">
            <v>0.46899999999999997</v>
          </cell>
          <cell r="E1362">
            <v>18.2</v>
          </cell>
          <cell r="F1362">
            <v>2</v>
          </cell>
          <cell r="G1362">
            <v>5</v>
          </cell>
          <cell r="H1362">
            <v>10</v>
          </cell>
          <cell r="I1362">
            <v>20</v>
          </cell>
          <cell r="J1362">
            <v>30</v>
          </cell>
          <cell r="K1362">
            <v>60</v>
          </cell>
        </row>
        <row r="1363">
          <cell r="A1363" t="str">
            <v>L120x11</v>
          </cell>
          <cell r="B1363">
            <v>1</v>
          </cell>
          <cell r="C1363">
            <v>2</v>
          </cell>
          <cell r="D1363"/>
          <cell r="E1363">
            <v>19.899999999999999</v>
          </cell>
          <cell r="F1363">
            <v>2</v>
          </cell>
          <cell r="G1363">
            <v>5</v>
          </cell>
          <cell r="H1363">
            <v>10</v>
          </cell>
          <cell r="I1363">
            <v>20</v>
          </cell>
          <cell r="J1363">
            <v>30</v>
          </cell>
          <cell r="K1363">
            <v>60</v>
          </cell>
        </row>
        <row r="1364">
          <cell r="A1364" t="str">
            <v>L120x12</v>
          </cell>
          <cell r="B1364">
            <v>2</v>
          </cell>
          <cell r="C1364">
            <v>2</v>
          </cell>
          <cell r="D1364"/>
          <cell r="E1364">
            <v>21.6</v>
          </cell>
          <cell r="F1364">
            <v>5</v>
          </cell>
          <cell r="G1364">
            <v>10</v>
          </cell>
          <cell r="H1364">
            <v>20</v>
          </cell>
          <cell r="I1364">
            <v>30</v>
          </cell>
          <cell r="J1364">
            <v>60</v>
          </cell>
          <cell r="K1364">
            <v>90</v>
          </cell>
        </row>
        <row r="1365">
          <cell r="A1365" t="str">
            <v>L120x13</v>
          </cell>
          <cell r="B1365">
            <v>2</v>
          </cell>
          <cell r="C1365">
            <v>2</v>
          </cell>
          <cell r="D1365"/>
          <cell r="E1365">
            <v>23.3</v>
          </cell>
          <cell r="F1365">
            <v>5</v>
          </cell>
          <cell r="G1365">
            <v>10</v>
          </cell>
          <cell r="H1365">
            <v>20</v>
          </cell>
          <cell r="I1365">
            <v>30</v>
          </cell>
          <cell r="J1365">
            <v>60</v>
          </cell>
          <cell r="K1365">
            <v>90</v>
          </cell>
        </row>
        <row r="1366">
          <cell r="A1366" t="str">
            <v>L120x14</v>
          </cell>
          <cell r="B1366">
            <v>2</v>
          </cell>
          <cell r="C1366">
            <v>2</v>
          </cell>
          <cell r="D1366"/>
          <cell r="E1366">
            <v>25</v>
          </cell>
          <cell r="F1366">
            <v>5</v>
          </cell>
          <cell r="G1366">
            <v>10</v>
          </cell>
          <cell r="H1366">
            <v>20</v>
          </cell>
          <cell r="I1366">
            <v>30</v>
          </cell>
          <cell r="J1366">
            <v>60</v>
          </cell>
          <cell r="K1366">
            <v>90</v>
          </cell>
        </row>
        <row r="1367">
          <cell r="A1367" t="str">
            <v>L120x15</v>
          </cell>
          <cell r="B1367">
            <v>2</v>
          </cell>
          <cell r="C1367">
            <v>2</v>
          </cell>
          <cell r="D1367"/>
          <cell r="E1367">
            <v>26.6</v>
          </cell>
          <cell r="F1367">
            <v>5</v>
          </cell>
          <cell r="G1367">
            <v>10</v>
          </cell>
          <cell r="H1367">
            <v>20</v>
          </cell>
          <cell r="I1367">
            <v>30</v>
          </cell>
          <cell r="J1367">
            <v>60</v>
          </cell>
          <cell r="K1367">
            <v>90</v>
          </cell>
        </row>
        <row r="1368">
          <cell r="A1368" t="str">
            <v>L120x16</v>
          </cell>
          <cell r="B1368">
            <v>2</v>
          </cell>
          <cell r="C1368">
            <v>2</v>
          </cell>
          <cell r="D1368"/>
          <cell r="E1368">
            <v>28.3</v>
          </cell>
          <cell r="F1368">
            <v>5</v>
          </cell>
          <cell r="G1368">
            <v>10</v>
          </cell>
          <cell r="H1368">
            <v>20</v>
          </cell>
          <cell r="I1368">
            <v>30</v>
          </cell>
          <cell r="J1368">
            <v>60</v>
          </cell>
          <cell r="K1368">
            <v>90</v>
          </cell>
        </row>
        <row r="1369">
          <cell r="A1369" t="str">
            <v>L130x8</v>
          </cell>
          <cell r="B1369">
            <v>1</v>
          </cell>
          <cell r="C1369">
            <v>2</v>
          </cell>
          <cell r="D1369"/>
          <cell r="E1369">
            <v>16</v>
          </cell>
          <cell r="F1369">
            <v>2</v>
          </cell>
          <cell r="G1369">
            <v>5</v>
          </cell>
          <cell r="H1369">
            <v>10</v>
          </cell>
          <cell r="I1369">
            <v>20</v>
          </cell>
          <cell r="J1369">
            <v>30</v>
          </cell>
          <cell r="K1369">
            <v>60</v>
          </cell>
        </row>
        <row r="1370">
          <cell r="A1370" t="str">
            <v>L130x9</v>
          </cell>
          <cell r="B1370">
            <v>1</v>
          </cell>
          <cell r="C1370">
            <v>2</v>
          </cell>
          <cell r="D1370"/>
          <cell r="E1370">
            <v>17.899999999999999</v>
          </cell>
          <cell r="F1370">
            <v>2</v>
          </cell>
          <cell r="G1370">
            <v>5</v>
          </cell>
          <cell r="H1370">
            <v>10</v>
          </cell>
          <cell r="I1370">
            <v>20</v>
          </cell>
          <cell r="J1370">
            <v>30</v>
          </cell>
          <cell r="K1370">
            <v>60</v>
          </cell>
        </row>
        <row r="1371">
          <cell r="A1371" t="str">
            <v>L130x10</v>
          </cell>
          <cell r="B1371">
            <v>1</v>
          </cell>
          <cell r="C1371">
            <v>2</v>
          </cell>
          <cell r="D1371"/>
          <cell r="E1371">
            <v>19.8</v>
          </cell>
          <cell r="F1371">
            <v>2</v>
          </cell>
          <cell r="G1371">
            <v>5</v>
          </cell>
          <cell r="H1371">
            <v>10</v>
          </cell>
          <cell r="I1371">
            <v>20</v>
          </cell>
          <cell r="J1371">
            <v>30</v>
          </cell>
          <cell r="K1371">
            <v>60</v>
          </cell>
        </row>
        <row r="1372">
          <cell r="A1372" t="str">
            <v>L130x11</v>
          </cell>
          <cell r="B1372">
            <v>2</v>
          </cell>
          <cell r="C1372">
            <v>2</v>
          </cell>
          <cell r="D1372"/>
          <cell r="E1372">
            <v>21.7</v>
          </cell>
          <cell r="F1372">
            <v>5</v>
          </cell>
          <cell r="G1372">
            <v>10</v>
          </cell>
          <cell r="H1372">
            <v>20</v>
          </cell>
          <cell r="I1372">
            <v>30</v>
          </cell>
          <cell r="J1372">
            <v>60</v>
          </cell>
          <cell r="K1372">
            <v>90</v>
          </cell>
        </row>
        <row r="1373">
          <cell r="A1373" t="str">
            <v>L130x12</v>
          </cell>
          <cell r="B1373">
            <v>2</v>
          </cell>
          <cell r="C1373">
            <v>2</v>
          </cell>
          <cell r="D1373"/>
          <cell r="E1373">
            <v>23.5</v>
          </cell>
          <cell r="F1373">
            <v>5</v>
          </cell>
          <cell r="G1373">
            <v>10</v>
          </cell>
          <cell r="H1373">
            <v>20</v>
          </cell>
          <cell r="I1373">
            <v>30</v>
          </cell>
          <cell r="J1373">
            <v>60</v>
          </cell>
          <cell r="K1373">
            <v>90</v>
          </cell>
        </row>
        <row r="1374">
          <cell r="A1374" t="str">
            <v>L130x13</v>
          </cell>
          <cell r="B1374">
            <v>2</v>
          </cell>
          <cell r="C1374">
            <v>2</v>
          </cell>
          <cell r="D1374"/>
          <cell r="E1374">
            <v>25.4</v>
          </cell>
          <cell r="F1374">
            <v>5</v>
          </cell>
          <cell r="G1374">
            <v>10</v>
          </cell>
          <cell r="H1374">
            <v>20</v>
          </cell>
          <cell r="I1374">
            <v>30</v>
          </cell>
          <cell r="J1374">
            <v>60</v>
          </cell>
          <cell r="K1374">
            <v>90</v>
          </cell>
        </row>
        <row r="1375">
          <cell r="A1375" t="str">
            <v>L130x14</v>
          </cell>
          <cell r="B1375">
            <v>2</v>
          </cell>
          <cell r="C1375">
            <v>2</v>
          </cell>
          <cell r="D1375"/>
          <cell r="E1375">
            <v>27.2</v>
          </cell>
          <cell r="F1375">
            <v>5</v>
          </cell>
          <cell r="G1375">
            <v>10</v>
          </cell>
          <cell r="H1375">
            <v>20</v>
          </cell>
          <cell r="I1375">
            <v>30</v>
          </cell>
          <cell r="J1375">
            <v>60</v>
          </cell>
          <cell r="K1375">
            <v>90</v>
          </cell>
        </row>
        <row r="1376">
          <cell r="A1376" t="str">
            <v>L130x15</v>
          </cell>
          <cell r="B1376">
            <v>2</v>
          </cell>
          <cell r="C1376">
            <v>2</v>
          </cell>
          <cell r="D1376"/>
          <cell r="E1376">
            <v>29</v>
          </cell>
          <cell r="F1376">
            <v>5</v>
          </cell>
          <cell r="G1376">
            <v>10</v>
          </cell>
          <cell r="H1376">
            <v>20</v>
          </cell>
          <cell r="I1376">
            <v>30</v>
          </cell>
          <cell r="J1376">
            <v>60</v>
          </cell>
          <cell r="K1376">
            <v>90</v>
          </cell>
        </row>
        <row r="1377">
          <cell r="A1377" t="str">
            <v>L130x16</v>
          </cell>
          <cell r="B1377">
            <v>2</v>
          </cell>
          <cell r="C1377">
            <v>2</v>
          </cell>
          <cell r="D1377"/>
          <cell r="E1377">
            <v>30.8</v>
          </cell>
          <cell r="F1377">
            <v>5</v>
          </cell>
          <cell r="G1377">
            <v>10</v>
          </cell>
          <cell r="H1377">
            <v>20</v>
          </cell>
          <cell r="I1377">
            <v>30</v>
          </cell>
          <cell r="J1377">
            <v>60</v>
          </cell>
          <cell r="K1377">
            <v>90</v>
          </cell>
        </row>
        <row r="1378">
          <cell r="A1378" t="str">
            <v>L140x9</v>
          </cell>
          <cell r="B1378">
            <v>1</v>
          </cell>
          <cell r="C1378">
            <v>2</v>
          </cell>
          <cell r="D1378"/>
          <cell r="E1378">
            <v>19.3</v>
          </cell>
          <cell r="F1378">
            <v>2</v>
          </cell>
          <cell r="G1378">
            <v>5</v>
          </cell>
          <cell r="H1378">
            <v>10</v>
          </cell>
          <cell r="I1378">
            <v>20</v>
          </cell>
          <cell r="J1378">
            <v>30</v>
          </cell>
          <cell r="K1378">
            <v>60</v>
          </cell>
        </row>
        <row r="1379">
          <cell r="A1379" t="str">
            <v>L140x10</v>
          </cell>
          <cell r="B1379">
            <v>2</v>
          </cell>
          <cell r="C1379">
            <v>2</v>
          </cell>
          <cell r="D1379"/>
          <cell r="E1379">
            <v>21.4</v>
          </cell>
          <cell r="F1379">
            <v>5</v>
          </cell>
          <cell r="G1379">
            <v>10</v>
          </cell>
          <cell r="H1379">
            <v>20</v>
          </cell>
          <cell r="I1379">
            <v>30</v>
          </cell>
          <cell r="J1379">
            <v>60</v>
          </cell>
          <cell r="K1379">
            <v>90</v>
          </cell>
        </row>
        <row r="1380">
          <cell r="A1380" t="str">
            <v>L140x11</v>
          </cell>
          <cell r="B1380">
            <v>2</v>
          </cell>
          <cell r="C1380">
            <v>2</v>
          </cell>
          <cell r="D1380"/>
          <cell r="E1380">
            <v>23.4</v>
          </cell>
          <cell r="F1380">
            <v>5</v>
          </cell>
          <cell r="G1380">
            <v>10</v>
          </cell>
          <cell r="H1380">
            <v>20</v>
          </cell>
          <cell r="I1380">
            <v>30</v>
          </cell>
          <cell r="J1380">
            <v>60</v>
          </cell>
          <cell r="K1380">
            <v>90</v>
          </cell>
        </row>
        <row r="1381">
          <cell r="A1381" t="str">
            <v>L140x12</v>
          </cell>
          <cell r="B1381">
            <v>2</v>
          </cell>
          <cell r="C1381">
            <v>2</v>
          </cell>
          <cell r="D1381"/>
          <cell r="E1381">
            <v>25.4</v>
          </cell>
          <cell r="F1381">
            <v>5</v>
          </cell>
          <cell r="G1381">
            <v>10</v>
          </cell>
          <cell r="H1381">
            <v>20</v>
          </cell>
          <cell r="I1381">
            <v>30</v>
          </cell>
          <cell r="J1381">
            <v>60</v>
          </cell>
          <cell r="K1381">
            <v>90</v>
          </cell>
        </row>
        <row r="1382">
          <cell r="A1382" t="str">
            <v>L140x13</v>
          </cell>
          <cell r="B1382">
            <v>2</v>
          </cell>
          <cell r="C1382">
            <v>2</v>
          </cell>
          <cell r="D1382"/>
          <cell r="E1382">
            <v>27.5</v>
          </cell>
          <cell r="F1382">
            <v>5</v>
          </cell>
          <cell r="G1382">
            <v>10</v>
          </cell>
          <cell r="H1382">
            <v>20</v>
          </cell>
          <cell r="I1382">
            <v>30</v>
          </cell>
          <cell r="J1382">
            <v>60</v>
          </cell>
          <cell r="K1382">
            <v>90</v>
          </cell>
        </row>
        <row r="1383">
          <cell r="A1383" t="str">
            <v>L140x14</v>
          </cell>
          <cell r="B1383">
            <v>2</v>
          </cell>
          <cell r="C1383">
            <v>2</v>
          </cell>
          <cell r="D1383"/>
          <cell r="E1383">
            <v>29.4</v>
          </cell>
          <cell r="F1383">
            <v>5</v>
          </cell>
          <cell r="G1383">
            <v>10</v>
          </cell>
          <cell r="H1383">
            <v>20</v>
          </cell>
          <cell r="I1383">
            <v>30</v>
          </cell>
          <cell r="J1383">
            <v>60</v>
          </cell>
          <cell r="K1383">
            <v>90</v>
          </cell>
        </row>
        <row r="1384">
          <cell r="A1384" t="str">
            <v>L140x15</v>
          </cell>
          <cell r="B1384">
            <v>2</v>
          </cell>
          <cell r="C1384">
            <v>2</v>
          </cell>
          <cell r="D1384"/>
          <cell r="E1384">
            <v>31.4</v>
          </cell>
          <cell r="F1384">
            <v>5</v>
          </cell>
          <cell r="G1384">
            <v>10</v>
          </cell>
          <cell r="H1384">
            <v>20</v>
          </cell>
          <cell r="I1384">
            <v>30</v>
          </cell>
          <cell r="J1384">
            <v>60</v>
          </cell>
          <cell r="K1384">
            <v>90</v>
          </cell>
        </row>
        <row r="1385">
          <cell r="A1385" t="str">
            <v>L140x16</v>
          </cell>
          <cell r="B1385">
            <v>2</v>
          </cell>
          <cell r="C1385">
            <v>2</v>
          </cell>
          <cell r="D1385"/>
          <cell r="E1385">
            <v>33.299999999999997</v>
          </cell>
          <cell r="F1385">
            <v>5</v>
          </cell>
          <cell r="G1385">
            <v>10</v>
          </cell>
          <cell r="H1385">
            <v>20</v>
          </cell>
          <cell r="I1385">
            <v>30</v>
          </cell>
          <cell r="J1385">
            <v>60</v>
          </cell>
          <cell r="K1385">
            <v>90</v>
          </cell>
        </row>
        <row r="1386">
          <cell r="A1386" t="str">
            <v>L150x10</v>
          </cell>
          <cell r="B1386">
            <v>2</v>
          </cell>
          <cell r="C1386">
            <v>2</v>
          </cell>
          <cell r="D1386"/>
          <cell r="E1386">
            <v>23</v>
          </cell>
          <cell r="F1386">
            <v>5</v>
          </cell>
          <cell r="G1386">
            <v>10</v>
          </cell>
          <cell r="H1386">
            <v>20</v>
          </cell>
          <cell r="I1386">
            <v>30</v>
          </cell>
          <cell r="J1386">
            <v>60</v>
          </cell>
          <cell r="K1386">
            <v>90</v>
          </cell>
        </row>
        <row r="1387">
          <cell r="A1387" t="str">
            <v>L150x12</v>
          </cell>
          <cell r="B1387">
            <v>2</v>
          </cell>
          <cell r="C1387">
            <v>2</v>
          </cell>
          <cell r="D1387"/>
          <cell r="E1387">
            <v>27.3</v>
          </cell>
          <cell r="F1387">
            <v>5</v>
          </cell>
          <cell r="G1387">
            <v>10</v>
          </cell>
          <cell r="H1387">
            <v>20</v>
          </cell>
          <cell r="I1387">
            <v>30</v>
          </cell>
          <cell r="J1387">
            <v>60</v>
          </cell>
          <cell r="K1387">
            <v>90</v>
          </cell>
        </row>
        <row r="1388">
          <cell r="A1388" t="str">
            <v>L150x13</v>
          </cell>
          <cell r="B1388">
            <v>2</v>
          </cell>
          <cell r="C1388">
            <v>2</v>
          </cell>
          <cell r="D1388"/>
          <cell r="E1388">
            <v>29.5</v>
          </cell>
          <cell r="F1388">
            <v>5</v>
          </cell>
          <cell r="G1388">
            <v>10</v>
          </cell>
          <cell r="H1388">
            <v>20</v>
          </cell>
          <cell r="I1388">
            <v>30</v>
          </cell>
          <cell r="J1388">
            <v>60</v>
          </cell>
          <cell r="K1388">
            <v>90</v>
          </cell>
        </row>
        <row r="1389">
          <cell r="A1389" t="str">
            <v>L150x14</v>
          </cell>
          <cell r="B1389">
            <v>2</v>
          </cell>
          <cell r="C1389">
            <v>2</v>
          </cell>
          <cell r="D1389"/>
          <cell r="E1389">
            <v>31.6</v>
          </cell>
          <cell r="F1389">
            <v>5</v>
          </cell>
          <cell r="G1389">
            <v>10</v>
          </cell>
          <cell r="H1389">
            <v>20</v>
          </cell>
          <cell r="I1389">
            <v>30</v>
          </cell>
          <cell r="J1389">
            <v>60</v>
          </cell>
          <cell r="K1389">
            <v>90</v>
          </cell>
        </row>
        <row r="1390">
          <cell r="A1390" t="str">
            <v>L150x15</v>
          </cell>
          <cell r="B1390">
            <v>2</v>
          </cell>
          <cell r="C1390">
            <v>2</v>
          </cell>
          <cell r="D1390"/>
          <cell r="E1390">
            <v>33.799999999999997</v>
          </cell>
          <cell r="F1390">
            <v>5</v>
          </cell>
          <cell r="G1390">
            <v>10</v>
          </cell>
          <cell r="H1390">
            <v>20</v>
          </cell>
          <cell r="I1390">
            <v>30</v>
          </cell>
          <cell r="J1390">
            <v>60</v>
          </cell>
          <cell r="K1390">
            <v>90</v>
          </cell>
        </row>
        <row r="1391">
          <cell r="A1391" t="str">
            <v>L150x16</v>
          </cell>
          <cell r="B1391">
            <v>2</v>
          </cell>
          <cell r="C1391">
            <v>2</v>
          </cell>
          <cell r="D1391"/>
          <cell r="E1391">
            <v>35.9</v>
          </cell>
          <cell r="F1391">
            <v>5</v>
          </cell>
          <cell r="G1391">
            <v>10</v>
          </cell>
          <cell r="H1391">
            <v>20</v>
          </cell>
          <cell r="I1391">
            <v>30</v>
          </cell>
          <cell r="J1391">
            <v>60</v>
          </cell>
          <cell r="K1391">
            <v>90</v>
          </cell>
        </row>
        <row r="1392">
          <cell r="A1392" t="str">
            <v>L150x18</v>
          </cell>
          <cell r="B1392">
            <v>2</v>
          </cell>
          <cell r="C1392">
            <v>2</v>
          </cell>
          <cell r="D1392"/>
          <cell r="E1392">
            <v>40.1</v>
          </cell>
          <cell r="F1392">
            <v>5</v>
          </cell>
          <cell r="G1392">
            <v>10</v>
          </cell>
          <cell r="H1392">
            <v>20</v>
          </cell>
          <cell r="I1392">
            <v>30</v>
          </cell>
          <cell r="J1392">
            <v>60</v>
          </cell>
          <cell r="K1392">
            <v>90</v>
          </cell>
        </row>
        <row r="1393">
          <cell r="A1393" t="str">
            <v>L150x20</v>
          </cell>
          <cell r="B1393">
            <v>2</v>
          </cell>
          <cell r="C1393">
            <v>2</v>
          </cell>
          <cell r="D1393"/>
          <cell r="E1393">
            <v>44.2</v>
          </cell>
          <cell r="F1393">
            <v>5</v>
          </cell>
          <cell r="G1393">
            <v>10</v>
          </cell>
          <cell r="H1393">
            <v>20</v>
          </cell>
          <cell r="I1393">
            <v>30</v>
          </cell>
          <cell r="J1393">
            <v>60</v>
          </cell>
          <cell r="K1393">
            <v>90</v>
          </cell>
        </row>
        <row r="1394">
          <cell r="A1394" t="str">
            <v>L160x14</v>
          </cell>
          <cell r="B1394">
            <v>2</v>
          </cell>
          <cell r="C1394">
            <v>2</v>
          </cell>
          <cell r="D1394"/>
          <cell r="E1394">
            <v>33.9</v>
          </cell>
          <cell r="F1394">
            <v>5</v>
          </cell>
          <cell r="G1394">
            <v>10</v>
          </cell>
          <cell r="H1394">
            <v>20</v>
          </cell>
          <cell r="I1394">
            <v>30</v>
          </cell>
          <cell r="J1394">
            <v>60</v>
          </cell>
          <cell r="K1394">
            <v>90</v>
          </cell>
        </row>
        <row r="1395">
          <cell r="A1395" t="str">
            <v>L160x15</v>
          </cell>
          <cell r="B1395">
            <v>2</v>
          </cell>
          <cell r="C1395">
            <v>2</v>
          </cell>
          <cell r="D1395"/>
          <cell r="E1395">
            <v>36.200000000000003</v>
          </cell>
          <cell r="F1395">
            <v>5</v>
          </cell>
          <cell r="G1395">
            <v>10</v>
          </cell>
          <cell r="H1395">
            <v>20</v>
          </cell>
          <cell r="I1395">
            <v>30</v>
          </cell>
          <cell r="J1395">
            <v>60</v>
          </cell>
          <cell r="K1395">
            <v>90</v>
          </cell>
        </row>
        <row r="1396">
          <cell r="A1396" t="str">
            <v>L160x16</v>
          </cell>
          <cell r="B1396">
            <v>2</v>
          </cell>
          <cell r="C1396">
            <v>2</v>
          </cell>
          <cell r="D1396"/>
          <cell r="E1396">
            <v>38.4</v>
          </cell>
          <cell r="F1396">
            <v>5</v>
          </cell>
          <cell r="G1396">
            <v>10</v>
          </cell>
          <cell r="H1396">
            <v>20</v>
          </cell>
          <cell r="I1396">
            <v>30</v>
          </cell>
          <cell r="J1396">
            <v>60</v>
          </cell>
          <cell r="K1396">
            <v>90</v>
          </cell>
        </row>
        <row r="1397">
          <cell r="A1397" t="str">
            <v>L160x17</v>
          </cell>
          <cell r="B1397">
            <v>2</v>
          </cell>
          <cell r="C1397">
            <v>2</v>
          </cell>
          <cell r="D1397"/>
          <cell r="E1397">
            <v>40.700000000000003</v>
          </cell>
          <cell r="F1397">
            <v>5</v>
          </cell>
          <cell r="G1397">
            <v>10</v>
          </cell>
          <cell r="H1397">
            <v>20</v>
          </cell>
          <cell r="I1397">
            <v>30</v>
          </cell>
          <cell r="J1397">
            <v>60</v>
          </cell>
          <cell r="K1397">
            <v>90</v>
          </cell>
        </row>
        <row r="1398">
          <cell r="A1398" t="str">
            <v>L160x18</v>
          </cell>
          <cell r="B1398">
            <v>2</v>
          </cell>
          <cell r="C1398">
            <v>2</v>
          </cell>
          <cell r="D1398"/>
          <cell r="E1398">
            <v>42.9</v>
          </cell>
          <cell r="F1398">
            <v>5</v>
          </cell>
          <cell r="G1398">
            <v>10</v>
          </cell>
          <cell r="H1398">
            <v>20</v>
          </cell>
          <cell r="I1398">
            <v>30</v>
          </cell>
          <cell r="J1398">
            <v>60</v>
          </cell>
          <cell r="K1398">
            <v>90</v>
          </cell>
        </row>
        <row r="1399">
          <cell r="A1399" t="str">
            <v>L160x19</v>
          </cell>
          <cell r="B1399">
            <v>2</v>
          </cell>
          <cell r="C1399">
            <v>2</v>
          </cell>
          <cell r="D1399"/>
          <cell r="E1399">
            <v>45.1</v>
          </cell>
          <cell r="F1399">
            <v>5</v>
          </cell>
          <cell r="G1399">
            <v>10</v>
          </cell>
          <cell r="H1399">
            <v>20</v>
          </cell>
          <cell r="I1399">
            <v>30</v>
          </cell>
          <cell r="J1399">
            <v>60</v>
          </cell>
          <cell r="K1399">
            <v>90</v>
          </cell>
        </row>
        <row r="1400">
          <cell r="A1400" t="str">
            <v>L180x13</v>
          </cell>
          <cell r="B1400">
            <v>2</v>
          </cell>
          <cell r="C1400">
            <v>2</v>
          </cell>
          <cell r="D1400"/>
          <cell r="E1400">
            <v>35.700000000000003</v>
          </cell>
          <cell r="F1400">
            <v>5</v>
          </cell>
          <cell r="G1400">
            <v>10</v>
          </cell>
          <cell r="H1400">
            <v>20</v>
          </cell>
          <cell r="I1400">
            <v>30</v>
          </cell>
          <cell r="J1400">
            <v>60</v>
          </cell>
          <cell r="K1400">
            <v>90</v>
          </cell>
        </row>
        <row r="1401">
          <cell r="A1401" t="str">
            <v>L180x14</v>
          </cell>
          <cell r="B1401">
            <v>2</v>
          </cell>
          <cell r="C1401">
            <v>2</v>
          </cell>
          <cell r="D1401"/>
          <cell r="E1401">
            <v>38.299999999999997</v>
          </cell>
          <cell r="F1401">
            <v>5</v>
          </cell>
          <cell r="G1401">
            <v>10</v>
          </cell>
          <cell r="H1401">
            <v>20</v>
          </cell>
          <cell r="I1401">
            <v>30</v>
          </cell>
          <cell r="J1401">
            <v>60</v>
          </cell>
          <cell r="K1401">
            <v>90</v>
          </cell>
        </row>
        <row r="1402">
          <cell r="A1402" t="str">
            <v>L180x15</v>
          </cell>
          <cell r="B1402">
            <v>2</v>
          </cell>
          <cell r="C1402">
            <v>2</v>
          </cell>
          <cell r="D1402"/>
          <cell r="E1402">
            <v>40.9</v>
          </cell>
          <cell r="F1402">
            <v>5</v>
          </cell>
          <cell r="G1402">
            <v>10</v>
          </cell>
          <cell r="H1402">
            <v>20</v>
          </cell>
          <cell r="I1402">
            <v>30</v>
          </cell>
          <cell r="J1402">
            <v>60</v>
          </cell>
          <cell r="K1402">
            <v>90</v>
          </cell>
        </row>
        <row r="1403">
          <cell r="A1403" t="str">
            <v>L180x16</v>
          </cell>
          <cell r="B1403">
            <v>2</v>
          </cell>
          <cell r="C1403">
            <v>2</v>
          </cell>
          <cell r="D1403"/>
          <cell r="E1403">
            <v>43.5</v>
          </cell>
          <cell r="F1403">
            <v>5</v>
          </cell>
          <cell r="G1403">
            <v>10</v>
          </cell>
          <cell r="H1403">
            <v>20</v>
          </cell>
          <cell r="I1403">
            <v>30</v>
          </cell>
          <cell r="J1403">
            <v>60</v>
          </cell>
          <cell r="K1403">
            <v>90</v>
          </cell>
        </row>
        <row r="1404">
          <cell r="A1404" t="str">
            <v>L180x17</v>
          </cell>
          <cell r="B1404">
            <v>2</v>
          </cell>
          <cell r="C1404">
            <v>2</v>
          </cell>
          <cell r="D1404"/>
          <cell r="E1404">
            <v>46</v>
          </cell>
          <cell r="F1404">
            <v>5</v>
          </cell>
          <cell r="G1404">
            <v>10</v>
          </cell>
          <cell r="H1404">
            <v>20</v>
          </cell>
          <cell r="I1404">
            <v>30</v>
          </cell>
          <cell r="J1404">
            <v>60</v>
          </cell>
          <cell r="K1404">
            <v>90</v>
          </cell>
        </row>
        <row r="1405">
          <cell r="A1405" t="str">
            <v>L180x18</v>
          </cell>
          <cell r="B1405">
            <v>2</v>
          </cell>
          <cell r="C1405">
            <v>2</v>
          </cell>
          <cell r="D1405"/>
          <cell r="E1405">
            <v>48.6</v>
          </cell>
          <cell r="F1405">
            <v>5</v>
          </cell>
          <cell r="G1405">
            <v>10</v>
          </cell>
          <cell r="H1405">
            <v>20</v>
          </cell>
          <cell r="I1405">
            <v>30</v>
          </cell>
          <cell r="J1405">
            <v>60</v>
          </cell>
          <cell r="K1405">
            <v>90</v>
          </cell>
        </row>
        <row r="1406">
          <cell r="A1406" t="str">
            <v>L180x19</v>
          </cell>
          <cell r="B1406">
            <v>2</v>
          </cell>
          <cell r="C1406">
            <v>2</v>
          </cell>
          <cell r="D1406"/>
          <cell r="E1406">
            <v>51.1</v>
          </cell>
          <cell r="F1406">
            <v>5</v>
          </cell>
          <cell r="G1406">
            <v>10</v>
          </cell>
          <cell r="H1406">
            <v>20</v>
          </cell>
          <cell r="I1406">
            <v>30</v>
          </cell>
          <cell r="J1406">
            <v>60</v>
          </cell>
          <cell r="K1406">
            <v>90</v>
          </cell>
        </row>
        <row r="1407">
          <cell r="A1407" t="str">
            <v>L180x20</v>
          </cell>
          <cell r="B1407">
            <v>2</v>
          </cell>
          <cell r="C1407">
            <v>2</v>
          </cell>
          <cell r="D1407"/>
          <cell r="E1407">
            <v>53.7</v>
          </cell>
          <cell r="F1407">
            <v>5</v>
          </cell>
          <cell r="G1407">
            <v>10</v>
          </cell>
          <cell r="H1407">
            <v>20</v>
          </cell>
          <cell r="I1407">
            <v>30</v>
          </cell>
          <cell r="J1407">
            <v>60</v>
          </cell>
          <cell r="K1407">
            <v>90</v>
          </cell>
        </row>
        <row r="1408">
          <cell r="A1408" t="str">
            <v>L200x13</v>
          </cell>
          <cell r="B1408">
            <v>2</v>
          </cell>
          <cell r="C1408">
            <v>2</v>
          </cell>
          <cell r="D1408"/>
          <cell r="E1408">
            <v>39.799999999999997</v>
          </cell>
          <cell r="F1408">
            <v>5</v>
          </cell>
          <cell r="G1408">
            <v>10</v>
          </cell>
          <cell r="H1408">
            <v>20</v>
          </cell>
          <cell r="I1408">
            <v>30</v>
          </cell>
          <cell r="J1408">
            <v>60</v>
          </cell>
          <cell r="K1408">
            <v>90</v>
          </cell>
        </row>
        <row r="1409">
          <cell r="A1409" t="str">
            <v>L200x15</v>
          </cell>
          <cell r="B1409">
            <v>2</v>
          </cell>
          <cell r="C1409">
            <v>2</v>
          </cell>
          <cell r="D1409"/>
          <cell r="E1409">
            <v>45.6</v>
          </cell>
          <cell r="F1409">
            <v>5</v>
          </cell>
          <cell r="G1409">
            <v>10</v>
          </cell>
          <cell r="H1409">
            <v>20</v>
          </cell>
          <cell r="I1409">
            <v>30</v>
          </cell>
          <cell r="J1409">
            <v>60</v>
          </cell>
          <cell r="K1409">
            <v>90</v>
          </cell>
        </row>
        <row r="1410">
          <cell r="A1410" t="str">
            <v>L200x16</v>
          </cell>
          <cell r="B1410">
            <v>2</v>
          </cell>
          <cell r="C1410">
            <v>2</v>
          </cell>
          <cell r="D1410"/>
          <cell r="E1410">
            <v>48.5</v>
          </cell>
          <cell r="F1410">
            <v>5</v>
          </cell>
          <cell r="G1410">
            <v>10</v>
          </cell>
          <cell r="H1410">
            <v>20</v>
          </cell>
          <cell r="I1410">
            <v>30</v>
          </cell>
          <cell r="J1410">
            <v>60</v>
          </cell>
          <cell r="K1410">
            <v>90</v>
          </cell>
        </row>
        <row r="1411">
          <cell r="A1411" t="str">
            <v>L200x17</v>
          </cell>
          <cell r="B1411">
            <v>2</v>
          </cell>
          <cell r="C1411">
            <v>2</v>
          </cell>
          <cell r="D1411"/>
          <cell r="E1411">
            <v>51.4</v>
          </cell>
          <cell r="F1411">
            <v>5</v>
          </cell>
          <cell r="G1411">
            <v>10</v>
          </cell>
          <cell r="H1411">
            <v>20</v>
          </cell>
          <cell r="I1411">
            <v>30</v>
          </cell>
          <cell r="J1411">
            <v>60</v>
          </cell>
          <cell r="K1411">
            <v>90</v>
          </cell>
        </row>
        <row r="1412">
          <cell r="A1412" t="str">
            <v>L200x18</v>
          </cell>
          <cell r="B1412">
            <v>2</v>
          </cell>
          <cell r="C1412">
            <v>2</v>
          </cell>
          <cell r="D1412"/>
          <cell r="E1412">
            <v>54.2</v>
          </cell>
          <cell r="F1412">
            <v>5</v>
          </cell>
          <cell r="G1412">
            <v>10</v>
          </cell>
          <cell r="H1412">
            <v>20</v>
          </cell>
          <cell r="I1412">
            <v>30</v>
          </cell>
          <cell r="J1412">
            <v>60</v>
          </cell>
          <cell r="K1412">
            <v>90</v>
          </cell>
        </row>
        <row r="1413">
          <cell r="A1413" t="str">
            <v>L200x19</v>
          </cell>
          <cell r="B1413">
            <v>2</v>
          </cell>
          <cell r="C1413">
            <v>2</v>
          </cell>
          <cell r="D1413"/>
          <cell r="E1413">
            <v>57.1</v>
          </cell>
          <cell r="F1413">
            <v>5</v>
          </cell>
          <cell r="G1413">
            <v>10</v>
          </cell>
          <cell r="H1413">
            <v>20</v>
          </cell>
          <cell r="I1413">
            <v>30</v>
          </cell>
          <cell r="J1413">
            <v>60</v>
          </cell>
          <cell r="K1413">
            <v>90</v>
          </cell>
        </row>
        <row r="1414">
          <cell r="A1414" t="str">
            <v>L200x20</v>
          </cell>
          <cell r="B1414">
            <v>2</v>
          </cell>
          <cell r="C1414">
            <v>2</v>
          </cell>
          <cell r="D1414"/>
          <cell r="E1414">
            <v>59.9</v>
          </cell>
          <cell r="F1414">
            <v>5</v>
          </cell>
          <cell r="G1414">
            <v>10</v>
          </cell>
          <cell r="H1414">
            <v>20</v>
          </cell>
          <cell r="I1414">
            <v>30</v>
          </cell>
          <cell r="J1414">
            <v>60</v>
          </cell>
          <cell r="K1414">
            <v>90</v>
          </cell>
        </row>
        <row r="1415">
          <cell r="A1415" t="str">
            <v>L200x21</v>
          </cell>
          <cell r="B1415">
            <v>2</v>
          </cell>
          <cell r="C1415">
            <v>2</v>
          </cell>
          <cell r="D1415"/>
          <cell r="E1415">
            <v>62.8</v>
          </cell>
          <cell r="F1415">
            <v>5</v>
          </cell>
          <cell r="G1415">
            <v>10</v>
          </cell>
          <cell r="H1415">
            <v>20</v>
          </cell>
          <cell r="I1415">
            <v>30</v>
          </cell>
          <cell r="J1415">
            <v>60</v>
          </cell>
          <cell r="K1415">
            <v>90</v>
          </cell>
        </row>
        <row r="1416">
          <cell r="A1416" t="str">
            <v>L200x22</v>
          </cell>
          <cell r="B1416">
            <v>2</v>
          </cell>
          <cell r="C1416">
            <v>2</v>
          </cell>
          <cell r="D1416"/>
          <cell r="E1416">
            <v>65.599999999999994</v>
          </cell>
          <cell r="F1416">
            <v>5</v>
          </cell>
          <cell r="G1416">
            <v>10</v>
          </cell>
          <cell r="H1416">
            <v>20</v>
          </cell>
          <cell r="I1416">
            <v>30</v>
          </cell>
          <cell r="J1416">
            <v>60</v>
          </cell>
          <cell r="K1416">
            <v>90</v>
          </cell>
        </row>
        <row r="1417">
          <cell r="A1417" t="str">
            <v>L200x23</v>
          </cell>
          <cell r="B1417">
            <v>2</v>
          </cell>
          <cell r="C1417">
            <v>2</v>
          </cell>
          <cell r="D1417"/>
          <cell r="E1417">
            <v>68.3</v>
          </cell>
          <cell r="F1417">
            <v>5</v>
          </cell>
          <cell r="G1417">
            <v>10</v>
          </cell>
          <cell r="H1417">
            <v>20</v>
          </cell>
          <cell r="I1417">
            <v>30</v>
          </cell>
          <cell r="J1417">
            <v>60</v>
          </cell>
          <cell r="K1417">
            <v>90</v>
          </cell>
        </row>
        <row r="1418">
          <cell r="A1418" t="str">
            <v>L200x24</v>
          </cell>
          <cell r="B1418">
            <v>2</v>
          </cell>
          <cell r="C1418">
            <v>2</v>
          </cell>
          <cell r="D1418"/>
          <cell r="E1418">
            <v>71.099999999999994</v>
          </cell>
          <cell r="F1418">
            <v>5</v>
          </cell>
          <cell r="G1418">
            <v>10</v>
          </cell>
          <cell r="H1418">
            <v>20</v>
          </cell>
          <cell r="I1418">
            <v>30</v>
          </cell>
          <cell r="J1418">
            <v>60</v>
          </cell>
          <cell r="K1418">
            <v>90</v>
          </cell>
        </row>
        <row r="1419">
          <cell r="A1419" t="str">
            <v>L200x25</v>
          </cell>
          <cell r="B1419">
            <v>2</v>
          </cell>
          <cell r="C1419">
            <v>2</v>
          </cell>
          <cell r="D1419"/>
          <cell r="E1419">
            <v>73.900000000000006</v>
          </cell>
          <cell r="F1419">
            <v>5</v>
          </cell>
          <cell r="G1419">
            <v>10</v>
          </cell>
          <cell r="H1419">
            <v>20</v>
          </cell>
          <cell r="I1419">
            <v>30</v>
          </cell>
          <cell r="J1419">
            <v>60</v>
          </cell>
          <cell r="K1419">
            <v>90</v>
          </cell>
        </row>
        <row r="1420">
          <cell r="A1420" t="str">
            <v>L200x26</v>
          </cell>
          <cell r="B1420">
            <v>2</v>
          </cell>
          <cell r="C1420">
            <v>2</v>
          </cell>
          <cell r="D1420"/>
          <cell r="E1420">
            <v>76.599999999999994</v>
          </cell>
          <cell r="F1420">
            <v>5</v>
          </cell>
          <cell r="G1420">
            <v>10</v>
          </cell>
          <cell r="H1420">
            <v>20</v>
          </cell>
          <cell r="I1420">
            <v>30</v>
          </cell>
          <cell r="J1420">
            <v>60</v>
          </cell>
          <cell r="K1420">
            <v>90</v>
          </cell>
        </row>
        <row r="1421">
          <cell r="A1421" t="str">
            <v>L200x28</v>
          </cell>
          <cell r="B1421">
            <v>2</v>
          </cell>
          <cell r="C1421">
            <v>2</v>
          </cell>
          <cell r="D1421"/>
          <cell r="E1421">
            <v>82</v>
          </cell>
          <cell r="F1421">
            <v>5</v>
          </cell>
          <cell r="G1421">
            <v>10</v>
          </cell>
          <cell r="H1421">
            <v>20</v>
          </cell>
          <cell r="I1421">
            <v>30</v>
          </cell>
          <cell r="J1421">
            <v>60</v>
          </cell>
          <cell r="K1421">
            <v>90</v>
          </cell>
        </row>
        <row r="1422">
          <cell r="A1422" t="str">
            <v>L250x17</v>
          </cell>
          <cell r="B1422">
            <v>3</v>
          </cell>
          <cell r="C1422">
            <v>2</v>
          </cell>
          <cell r="D1422"/>
          <cell r="E1422">
            <v>64.400000000000006</v>
          </cell>
          <cell r="F1422">
            <v>10</v>
          </cell>
          <cell r="G1422">
            <v>20</v>
          </cell>
          <cell r="H1422">
            <v>30</v>
          </cell>
          <cell r="I1422">
            <v>40</v>
          </cell>
          <cell r="J1422">
            <v>90</v>
          </cell>
          <cell r="K1422">
            <v>120</v>
          </cell>
        </row>
        <row r="1423">
          <cell r="A1423" t="str">
            <v>L250x18</v>
          </cell>
          <cell r="B1423">
            <v>3</v>
          </cell>
          <cell r="C1423">
            <v>2</v>
          </cell>
          <cell r="D1423"/>
          <cell r="E1423">
            <v>68.099999999999994</v>
          </cell>
          <cell r="F1423">
            <v>10</v>
          </cell>
          <cell r="G1423">
            <v>20</v>
          </cell>
          <cell r="H1423">
            <v>30</v>
          </cell>
          <cell r="I1423">
            <v>40</v>
          </cell>
          <cell r="J1423">
            <v>90</v>
          </cell>
          <cell r="K1423">
            <v>120</v>
          </cell>
        </row>
        <row r="1424">
          <cell r="A1424" t="str">
            <v>L250x19</v>
          </cell>
          <cell r="B1424">
            <v>3</v>
          </cell>
          <cell r="C1424">
            <v>2</v>
          </cell>
          <cell r="D1424"/>
          <cell r="E1424">
            <v>71.7</v>
          </cell>
          <cell r="F1424">
            <v>10</v>
          </cell>
          <cell r="G1424">
            <v>20</v>
          </cell>
          <cell r="H1424">
            <v>30</v>
          </cell>
          <cell r="I1424">
            <v>40</v>
          </cell>
          <cell r="J1424">
            <v>90</v>
          </cell>
          <cell r="K1424">
            <v>120</v>
          </cell>
        </row>
        <row r="1425">
          <cell r="A1425" t="str">
            <v>L250x20</v>
          </cell>
          <cell r="B1425">
            <v>3</v>
          </cell>
          <cell r="C1425">
            <v>2</v>
          </cell>
          <cell r="D1425"/>
          <cell r="E1425">
            <v>75.3</v>
          </cell>
          <cell r="F1425">
            <v>10</v>
          </cell>
          <cell r="G1425">
            <v>20</v>
          </cell>
          <cell r="H1425">
            <v>30</v>
          </cell>
          <cell r="I1425">
            <v>40</v>
          </cell>
          <cell r="J1425">
            <v>90</v>
          </cell>
          <cell r="K1425">
            <v>120</v>
          </cell>
        </row>
        <row r="1426">
          <cell r="A1426" t="str">
            <v>L250x21</v>
          </cell>
          <cell r="B1426">
            <v>3</v>
          </cell>
          <cell r="C1426">
            <v>2</v>
          </cell>
          <cell r="D1426"/>
          <cell r="E1426">
            <v>78.900000000000006</v>
          </cell>
          <cell r="F1426">
            <v>10</v>
          </cell>
          <cell r="G1426">
            <v>20</v>
          </cell>
          <cell r="H1426">
            <v>30</v>
          </cell>
          <cell r="I1426">
            <v>40</v>
          </cell>
          <cell r="J1426">
            <v>90</v>
          </cell>
          <cell r="K1426">
            <v>120</v>
          </cell>
        </row>
        <row r="1427">
          <cell r="A1427" t="str">
            <v>L250x22</v>
          </cell>
          <cell r="B1427">
            <v>3</v>
          </cell>
          <cell r="C1427">
            <v>2</v>
          </cell>
          <cell r="D1427"/>
          <cell r="E1427">
            <v>82.5</v>
          </cell>
          <cell r="F1427">
            <v>10</v>
          </cell>
          <cell r="G1427">
            <v>20</v>
          </cell>
          <cell r="H1427">
            <v>30</v>
          </cell>
          <cell r="I1427">
            <v>40</v>
          </cell>
          <cell r="J1427">
            <v>90</v>
          </cell>
          <cell r="K1427">
            <v>120</v>
          </cell>
        </row>
        <row r="1428">
          <cell r="A1428" t="str">
            <v>L250x23</v>
          </cell>
          <cell r="B1428">
            <v>3</v>
          </cell>
          <cell r="C1428">
            <v>2</v>
          </cell>
          <cell r="D1428"/>
          <cell r="E1428">
            <v>86.1</v>
          </cell>
          <cell r="F1428">
            <v>10</v>
          </cell>
          <cell r="G1428">
            <v>20</v>
          </cell>
          <cell r="H1428">
            <v>30</v>
          </cell>
          <cell r="I1428">
            <v>40</v>
          </cell>
          <cell r="J1428">
            <v>90</v>
          </cell>
          <cell r="K1428">
            <v>120</v>
          </cell>
        </row>
        <row r="1429">
          <cell r="A1429" t="str">
            <v>L250x24</v>
          </cell>
          <cell r="B1429">
            <v>3</v>
          </cell>
          <cell r="C1429">
            <v>2</v>
          </cell>
          <cell r="D1429"/>
          <cell r="E1429">
            <v>89.7</v>
          </cell>
          <cell r="F1429">
            <v>10</v>
          </cell>
          <cell r="G1429">
            <v>20</v>
          </cell>
          <cell r="H1429">
            <v>30</v>
          </cell>
          <cell r="I1429">
            <v>40</v>
          </cell>
          <cell r="J1429">
            <v>90</v>
          </cell>
          <cell r="K1429">
            <v>120</v>
          </cell>
        </row>
        <row r="1430">
          <cell r="A1430" t="str">
            <v>L250x25</v>
          </cell>
          <cell r="B1430">
            <v>3</v>
          </cell>
          <cell r="C1430">
            <v>2</v>
          </cell>
          <cell r="D1430"/>
          <cell r="E1430">
            <v>93.2</v>
          </cell>
          <cell r="F1430">
            <v>10</v>
          </cell>
          <cell r="G1430">
            <v>20</v>
          </cell>
          <cell r="H1430">
            <v>30</v>
          </cell>
          <cell r="I1430">
            <v>40</v>
          </cell>
          <cell r="J1430">
            <v>90</v>
          </cell>
          <cell r="K1430">
            <v>120</v>
          </cell>
        </row>
        <row r="1431">
          <cell r="A1431" t="str">
            <v>L250x26</v>
          </cell>
          <cell r="B1431">
            <v>3</v>
          </cell>
          <cell r="C1431">
            <v>2</v>
          </cell>
          <cell r="D1431"/>
          <cell r="E1431">
            <v>96.7</v>
          </cell>
          <cell r="F1431">
            <v>10</v>
          </cell>
          <cell r="G1431">
            <v>20</v>
          </cell>
          <cell r="H1431">
            <v>30</v>
          </cell>
          <cell r="I1431">
            <v>40</v>
          </cell>
          <cell r="J1431">
            <v>90</v>
          </cell>
          <cell r="K1431">
            <v>120</v>
          </cell>
        </row>
        <row r="1432">
          <cell r="A1432" t="str">
            <v>L250x27</v>
          </cell>
          <cell r="B1432">
            <v>3</v>
          </cell>
          <cell r="C1432">
            <v>2</v>
          </cell>
          <cell r="D1432"/>
          <cell r="E1432">
            <v>101</v>
          </cell>
          <cell r="F1432">
            <v>10</v>
          </cell>
          <cell r="G1432">
            <v>20</v>
          </cell>
          <cell r="H1432">
            <v>30</v>
          </cell>
          <cell r="I1432">
            <v>40</v>
          </cell>
          <cell r="J1432">
            <v>90</v>
          </cell>
          <cell r="K1432">
            <v>120</v>
          </cell>
        </row>
        <row r="1433">
          <cell r="A1433" t="str">
            <v>L250x28</v>
          </cell>
          <cell r="B1433">
            <v>3</v>
          </cell>
          <cell r="C1433">
            <v>2</v>
          </cell>
          <cell r="D1433"/>
          <cell r="E1433">
            <v>104</v>
          </cell>
          <cell r="F1433">
            <v>10</v>
          </cell>
          <cell r="G1433">
            <v>20</v>
          </cell>
          <cell r="H1433">
            <v>30</v>
          </cell>
          <cell r="I1433">
            <v>40</v>
          </cell>
          <cell r="J1433">
            <v>90</v>
          </cell>
          <cell r="K1433">
            <v>120</v>
          </cell>
        </row>
        <row r="1434">
          <cell r="A1434" t="str">
            <v>L250x29</v>
          </cell>
          <cell r="B1434">
            <v>3</v>
          </cell>
          <cell r="C1434">
            <v>2</v>
          </cell>
          <cell r="D1434"/>
          <cell r="E1434">
            <v>107</v>
          </cell>
          <cell r="F1434">
            <v>10</v>
          </cell>
          <cell r="G1434">
            <v>20</v>
          </cell>
          <cell r="H1434">
            <v>30</v>
          </cell>
          <cell r="I1434">
            <v>40</v>
          </cell>
          <cell r="J1434">
            <v>90</v>
          </cell>
          <cell r="K1434">
            <v>120</v>
          </cell>
        </row>
        <row r="1435">
          <cell r="A1435" t="str">
            <v>L250x30</v>
          </cell>
          <cell r="B1435">
            <v>3</v>
          </cell>
          <cell r="C1435">
            <v>2</v>
          </cell>
          <cell r="D1435"/>
          <cell r="E1435">
            <v>111</v>
          </cell>
          <cell r="F1435">
            <v>10</v>
          </cell>
          <cell r="G1435">
            <v>20</v>
          </cell>
          <cell r="H1435">
            <v>30</v>
          </cell>
          <cell r="I1435">
            <v>40</v>
          </cell>
          <cell r="J1435">
            <v>90</v>
          </cell>
          <cell r="K1435">
            <v>120</v>
          </cell>
        </row>
        <row r="1436">
          <cell r="A1436" t="str">
            <v>L250x31</v>
          </cell>
          <cell r="B1436">
            <v>3</v>
          </cell>
          <cell r="C1436">
            <v>2</v>
          </cell>
          <cell r="D1436"/>
          <cell r="E1436">
            <v>114</v>
          </cell>
          <cell r="F1436">
            <v>10</v>
          </cell>
          <cell r="G1436">
            <v>20</v>
          </cell>
          <cell r="H1436">
            <v>30</v>
          </cell>
          <cell r="I1436">
            <v>40</v>
          </cell>
          <cell r="J1436">
            <v>90</v>
          </cell>
          <cell r="K1436">
            <v>120</v>
          </cell>
        </row>
        <row r="1437">
          <cell r="A1437" t="str">
            <v>L250x32</v>
          </cell>
          <cell r="B1437">
            <v>3</v>
          </cell>
          <cell r="C1437">
            <v>2</v>
          </cell>
          <cell r="D1437"/>
          <cell r="E1437">
            <v>118</v>
          </cell>
          <cell r="F1437">
            <v>10</v>
          </cell>
          <cell r="G1437">
            <v>20</v>
          </cell>
          <cell r="H1437">
            <v>30</v>
          </cell>
          <cell r="I1437">
            <v>40</v>
          </cell>
          <cell r="J1437">
            <v>90</v>
          </cell>
          <cell r="K1437">
            <v>120</v>
          </cell>
        </row>
        <row r="1438">
          <cell r="A1438" t="str">
            <v>L250x33</v>
          </cell>
          <cell r="B1438">
            <v>3</v>
          </cell>
          <cell r="C1438">
            <v>2</v>
          </cell>
          <cell r="D1438"/>
          <cell r="E1438">
            <v>121</v>
          </cell>
          <cell r="F1438">
            <v>10</v>
          </cell>
          <cell r="G1438">
            <v>20</v>
          </cell>
          <cell r="H1438">
            <v>30</v>
          </cell>
          <cell r="I1438">
            <v>40</v>
          </cell>
          <cell r="J1438">
            <v>90</v>
          </cell>
          <cell r="K1438">
            <v>120</v>
          </cell>
        </row>
        <row r="1439">
          <cell r="A1439" t="str">
            <v>L250x34</v>
          </cell>
          <cell r="B1439">
            <v>3</v>
          </cell>
          <cell r="C1439">
            <v>2</v>
          </cell>
          <cell r="D1439"/>
          <cell r="E1439">
            <v>124</v>
          </cell>
          <cell r="F1439">
            <v>10</v>
          </cell>
          <cell r="G1439">
            <v>20</v>
          </cell>
          <cell r="H1439">
            <v>30</v>
          </cell>
          <cell r="I1439">
            <v>40</v>
          </cell>
          <cell r="J1439">
            <v>90</v>
          </cell>
          <cell r="K1439">
            <v>120</v>
          </cell>
        </row>
        <row r="1440">
          <cell r="A1440" t="str">
            <v>L250x35</v>
          </cell>
          <cell r="B1440">
            <v>3</v>
          </cell>
          <cell r="C1440">
            <v>2</v>
          </cell>
          <cell r="D1440"/>
          <cell r="E1440">
            <v>128</v>
          </cell>
          <cell r="F1440">
            <v>10</v>
          </cell>
          <cell r="G1440">
            <v>20</v>
          </cell>
          <cell r="H1440">
            <v>30</v>
          </cell>
          <cell r="I1440">
            <v>40</v>
          </cell>
          <cell r="J1440">
            <v>90</v>
          </cell>
          <cell r="K1440">
            <v>120</v>
          </cell>
        </row>
        <row r="1441">
          <cell r="A1441" t="str">
            <v>L300x25</v>
          </cell>
          <cell r="B1441">
            <v>3</v>
          </cell>
          <cell r="C1441">
            <v>2</v>
          </cell>
          <cell r="D1441"/>
          <cell r="E1441">
            <v>112</v>
          </cell>
          <cell r="F1441">
            <v>10</v>
          </cell>
          <cell r="G1441">
            <v>20</v>
          </cell>
          <cell r="H1441">
            <v>30</v>
          </cell>
          <cell r="I1441">
            <v>40</v>
          </cell>
          <cell r="J1441">
            <v>90</v>
          </cell>
          <cell r="K1441">
            <v>120</v>
          </cell>
        </row>
        <row r="1442">
          <cell r="A1442" t="str">
            <v>L300x26</v>
          </cell>
          <cell r="B1442">
            <v>3</v>
          </cell>
          <cell r="C1442">
            <v>2</v>
          </cell>
          <cell r="D1442"/>
          <cell r="E1442">
            <v>116</v>
          </cell>
          <cell r="F1442">
            <v>10</v>
          </cell>
          <cell r="G1442">
            <v>20</v>
          </cell>
          <cell r="H1442">
            <v>30</v>
          </cell>
          <cell r="I1442">
            <v>40</v>
          </cell>
          <cell r="J1442">
            <v>90</v>
          </cell>
          <cell r="K1442">
            <v>120</v>
          </cell>
        </row>
        <row r="1443">
          <cell r="A1443" t="str">
            <v>L300x27</v>
          </cell>
          <cell r="B1443">
            <v>3</v>
          </cell>
          <cell r="C1443">
            <v>2</v>
          </cell>
          <cell r="D1443"/>
          <cell r="E1443">
            <v>121</v>
          </cell>
          <cell r="F1443">
            <v>10</v>
          </cell>
          <cell r="G1443">
            <v>20</v>
          </cell>
          <cell r="H1443">
            <v>30</v>
          </cell>
          <cell r="I1443">
            <v>40</v>
          </cell>
          <cell r="J1443">
            <v>90</v>
          </cell>
          <cell r="K1443">
            <v>120</v>
          </cell>
        </row>
        <row r="1444">
          <cell r="A1444" t="str">
            <v>L300x28</v>
          </cell>
          <cell r="B1444">
            <v>3</v>
          </cell>
          <cell r="C1444">
            <v>2</v>
          </cell>
          <cell r="D1444"/>
          <cell r="E1444">
            <v>125</v>
          </cell>
          <cell r="F1444">
            <v>10</v>
          </cell>
          <cell r="G1444">
            <v>20</v>
          </cell>
          <cell r="H1444">
            <v>30</v>
          </cell>
          <cell r="I1444">
            <v>40</v>
          </cell>
          <cell r="J1444">
            <v>90</v>
          </cell>
          <cell r="K1444">
            <v>120</v>
          </cell>
        </row>
        <row r="1445">
          <cell r="A1445" t="str">
            <v>L300x29</v>
          </cell>
          <cell r="B1445">
            <v>3</v>
          </cell>
          <cell r="C1445">
            <v>2</v>
          </cell>
          <cell r="D1445"/>
          <cell r="E1445">
            <v>129</v>
          </cell>
          <cell r="F1445">
            <v>10</v>
          </cell>
          <cell r="G1445">
            <v>20</v>
          </cell>
          <cell r="H1445">
            <v>30</v>
          </cell>
          <cell r="I1445">
            <v>40</v>
          </cell>
          <cell r="J1445">
            <v>90</v>
          </cell>
          <cell r="K1445">
            <v>120</v>
          </cell>
        </row>
        <row r="1446">
          <cell r="A1446" t="str">
            <v>L300x30</v>
          </cell>
          <cell r="B1446">
            <v>3</v>
          </cell>
          <cell r="C1446">
            <v>2</v>
          </cell>
          <cell r="D1446"/>
          <cell r="E1446">
            <v>133</v>
          </cell>
          <cell r="F1446">
            <v>10</v>
          </cell>
          <cell r="G1446">
            <v>20</v>
          </cell>
          <cell r="H1446">
            <v>30</v>
          </cell>
          <cell r="I1446">
            <v>40</v>
          </cell>
          <cell r="J1446">
            <v>90</v>
          </cell>
          <cell r="K1446">
            <v>120</v>
          </cell>
        </row>
        <row r="1447">
          <cell r="A1447" t="str">
            <v>L300x31</v>
          </cell>
          <cell r="B1447">
            <v>3</v>
          </cell>
          <cell r="C1447">
            <v>2</v>
          </cell>
          <cell r="D1447"/>
          <cell r="E1447">
            <v>138</v>
          </cell>
          <cell r="F1447">
            <v>10</v>
          </cell>
          <cell r="G1447">
            <v>20</v>
          </cell>
          <cell r="H1447">
            <v>30</v>
          </cell>
          <cell r="I1447">
            <v>40</v>
          </cell>
          <cell r="J1447">
            <v>90</v>
          </cell>
          <cell r="K1447">
            <v>120</v>
          </cell>
        </row>
        <row r="1448">
          <cell r="A1448" t="str">
            <v>L300x32</v>
          </cell>
          <cell r="B1448">
            <v>3</v>
          </cell>
          <cell r="C1448">
            <v>2</v>
          </cell>
          <cell r="D1448"/>
          <cell r="E1448">
            <v>142</v>
          </cell>
          <cell r="F1448">
            <v>10</v>
          </cell>
          <cell r="G1448">
            <v>20</v>
          </cell>
          <cell r="H1448">
            <v>30</v>
          </cell>
          <cell r="I1448">
            <v>40</v>
          </cell>
          <cell r="J1448">
            <v>90</v>
          </cell>
          <cell r="K1448">
            <v>120</v>
          </cell>
        </row>
        <row r="1449">
          <cell r="A1449" t="str">
            <v>L300x33</v>
          </cell>
          <cell r="B1449">
            <v>3</v>
          </cell>
          <cell r="C1449">
            <v>2</v>
          </cell>
          <cell r="D1449"/>
          <cell r="E1449">
            <v>146</v>
          </cell>
          <cell r="F1449">
            <v>10</v>
          </cell>
          <cell r="G1449">
            <v>20</v>
          </cell>
          <cell r="H1449">
            <v>30</v>
          </cell>
          <cell r="I1449">
            <v>40</v>
          </cell>
          <cell r="J1449">
            <v>90</v>
          </cell>
          <cell r="K1449">
            <v>120</v>
          </cell>
        </row>
        <row r="1450">
          <cell r="A1450" t="str">
            <v>L300x34</v>
          </cell>
          <cell r="B1450">
            <v>3</v>
          </cell>
          <cell r="C1450">
            <v>2</v>
          </cell>
          <cell r="D1450"/>
          <cell r="E1450">
            <v>150</v>
          </cell>
          <cell r="F1450">
            <v>10</v>
          </cell>
          <cell r="G1450">
            <v>20</v>
          </cell>
          <cell r="H1450">
            <v>30</v>
          </cell>
          <cell r="I1450">
            <v>40</v>
          </cell>
          <cell r="J1450">
            <v>90</v>
          </cell>
          <cell r="K1450">
            <v>120</v>
          </cell>
        </row>
        <row r="1451">
          <cell r="A1451" t="str">
            <v>L300x35</v>
          </cell>
          <cell r="B1451">
            <v>3</v>
          </cell>
          <cell r="C1451">
            <v>2</v>
          </cell>
          <cell r="D1451"/>
          <cell r="E1451">
            <v>154</v>
          </cell>
          <cell r="F1451">
            <v>10</v>
          </cell>
          <cell r="G1451">
            <v>20</v>
          </cell>
          <cell r="H1451">
            <v>30</v>
          </cell>
          <cell r="I1451">
            <v>40</v>
          </cell>
          <cell r="J1451">
            <v>90</v>
          </cell>
          <cell r="K1451">
            <v>120</v>
          </cell>
        </row>
        <row r="1452">
          <cell r="A1452" t="str">
            <v>L75x50x6</v>
          </cell>
          <cell r="B1452">
            <v>1</v>
          </cell>
          <cell r="C1452">
            <v>1</v>
          </cell>
          <cell r="D1452">
            <v>0.23</v>
          </cell>
          <cell r="E1452">
            <v>5.6</v>
          </cell>
          <cell r="F1452">
            <v>2</v>
          </cell>
          <cell r="G1452">
            <v>5</v>
          </cell>
          <cell r="H1452">
            <v>10</v>
          </cell>
          <cell r="I1452">
            <v>20</v>
          </cell>
          <cell r="J1452">
            <v>30</v>
          </cell>
          <cell r="K1452">
            <v>60</v>
          </cell>
        </row>
        <row r="1453">
          <cell r="A1453" t="str">
            <v>L80x40x6</v>
          </cell>
          <cell r="B1453">
            <v>1</v>
          </cell>
          <cell r="C1453">
            <v>1</v>
          </cell>
          <cell r="D1453">
            <v>0.23</v>
          </cell>
          <cell r="E1453">
            <v>5.4</v>
          </cell>
          <cell r="F1453">
            <v>2</v>
          </cell>
          <cell r="G1453">
            <v>5</v>
          </cell>
          <cell r="H1453">
            <v>10</v>
          </cell>
          <cell r="I1453">
            <v>20</v>
          </cell>
          <cell r="J1453">
            <v>30</v>
          </cell>
          <cell r="K1453">
            <v>60</v>
          </cell>
        </row>
        <row r="1454">
          <cell r="A1454" t="str">
            <v>L80x65x8</v>
          </cell>
          <cell r="B1454">
            <v>1</v>
          </cell>
          <cell r="C1454">
            <v>2</v>
          </cell>
          <cell r="D1454">
            <v>0.28299999999999997</v>
          </cell>
          <cell r="E1454">
            <v>8.6999999999999993</v>
          </cell>
          <cell r="F1454">
            <v>2</v>
          </cell>
          <cell r="G1454">
            <v>5</v>
          </cell>
          <cell r="H1454">
            <v>10</v>
          </cell>
          <cell r="I1454">
            <v>20</v>
          </cell>
          <cell r="J1454">
            <v>30</v>
          </cell>
          <cell r="K1454">
            <v>60</v>
          </cell>
        </row>
        <row r="1455">
          <cell r="A1455" t="str">
            <v>L100x50x10</v>
          </cell>
          <cell r="B1455">
            <v>1</v>
          </cell>
          <cell r="C1455">
            <v>2</v>
          </cell>
          <cell r="D1455">
            <v>0.29199999999999998</v>
          </cell>
          <cell r="E1455">
            <v>11.1</v>
          </cell>
          <cell r="F1455">
            <v>2</v>
          </cell>
          <cell r="G1455">
            <v>5</v>
          </cell>
          <cell r="H1455">
            <v>10</v>
          </cell>
          <cell r="I1455">
            <v>20</v>
          </cell>
          <cell r="J1455">
            <v>30</v>
          </cell>
          <cell r="K1455">
            <v>60</v>
          </cell>
        </row>
        <row r="1456">
          <cell r="A1456" t="str">
            <v>L100x50x12</v>
          </cell>
          <cell r="B1456">
            <v>1</v>
          </cell>
          <cell r="C1456">
            <v>2</v>
          </cell>
          <cell r="D1456">
            <v>0.32</v>
          </cell>
          <cell r="E1456">
            <v>13.1</v>
          </cell>
          <cell r="F1456">
            <v>2</v>
          </cell>
          <cell r="G1456">
            <v>5</v>
          </cell>
          <cell r="H1456">
            <v>10</v>
          </cell>
          <cell r="I1456">
            <v>20</v>
          </cell>
          <cell r="J1456">
            <v>30</v>
          </cell>
          <cell r="K1456">
            <v>60</v>
          </cell>
        </row>
        <row r="1457">
          <cell r="A1457" t="str">
            <v>L100x65x7</v>
          </cell>
          <cell r="B1457">
            <v>1</v>
          </cell>
          <cell r="C1457">
            <v>2</v>
          </cell>
          <cell r="D1457"/>
          <cell r="E1457">
            <v>8.77</v>
          </cell>
          <cell r="F1457">
            <v>2</v>
          </cell>
          <cell r="G1457">
            <v>5</v>
          </cell>
          <cell r="H1457">
            <v>10</v>
          </cell>
          <cell r="I1457">
            <v>20</v>
          </cell>
          <cell r="J1457">
            <v>30</v>
          </cell>
          <cell r="K1457">
            <v>60</v>
          </cell>
        </row>
        <row r="1458">
          <cell r="A1458" t="str">
            <v>L100x65x8</v>
          </cell>
          <cell r="B1458">
            <v>1</v>
          </cell>
          <cell r="C1458">
            <v>2</v>
          </cell>
          <cell r="D1458"/>
          <cell r="E1458">
            <v>9.94</v>
          </cell>
          <cell r="F1458">
            <v>2</v>
          </cell>
          <cell r="G1458">
            <v>5</v>
          </cell>
          <cell r="H1458">
            <v>10</v>
          </cell>
          <cell r="I1458">
            <v>20</v>
          </cell>
          <cell r="J1458">
            <v>30</v>
          </cell>
          <cell r="K1458">
            <v>60</v>
          </cell>
        </row>
        <row r="1459">
          <cell r="A1459" t="str">
            <v>L100x65x9</v>
          </cell>
          <cell r="B1459">
            <v>1</v>
          </cell>
          <cell r="C1459">
            <v>2</v>
          </cell>
          <cell r="D1459"/>
          <cell r="E1459">
            <v>11.1</v>
          </cell>
          <cell r="F1459">
            <v>2</v>
          </cell>
          <cell r="G1459">
            <v>5</v>
          </cell>
          <cell r="H1459">
            <v>10</v>
          </cell>
          <cell r="I1459">
            <v>20</v>
          </cell>
          <cell r="J1459">
            <v>30</v>
          </cell>
          <cell r="K1459">
            <v>60</v>
          </cell>
        </row>
        <row r="1460">
          <cell r="A1460" t="str">
            <v>L100x65x10</v>
          </cell>
          <cell r="B1460">
            <v>1</v>
          </cell>
          <cell r="C1460">
            <v>2</v>
          </cell>
          <cell r="D1460"/>
          <cell r="E1460">
            <v>12.3</v>
          </cell>
          <cell r="F1460">
            <v>2</v>
          </cell>
          <cell r="G1460">
            <v>5</v>
          </cell>
          <cell r="H1460">
            <v>10</v>
          </cell>
          <cell r="I1460">
            <v>20</v>
          </cell>
          <cell r="J1460">
            <v>30</v>
          </cell>
          <cell r="K1460">
            <v>60</v>
          </cell>
        </row>
        <row r="1461">
          <cell r="A1461" t="str">
            <v>L100x65x11</v>
          </cell>
          <cell r="B1461">
            <v>1</v>
          </cell>
          <cell r="C1461">
            <v>2</v>
          </cell>
          <cell r="D1461">
            <v>0.32100000000000001</v>
          </cell>
          <cell r="E1461">
            <v>13.3</v>
          </cell>
          <cell r="F1461">
            <v>2</v>
          </cell>
          <cell r="G1461">
            <v>5</v>
          </cell>
          <cell r="H1461">
            <v>10</v>
          </cell>
          <cell r="I1461">
            <v>20</v>
          </cell>
          <cell r="J1461">
            <v>30</v>
          </cell>
          <cell r="K1461">
            <v>60</v>
          </cell>
        </row>
        <row r="1462">
          <cell r="A1462" t="str">
            <v>L100x65x12</v>
          </cell>
          <cell r="B1462">
            <v>1</v>
          </cell>
          <cell r="C1462">
            <v>2</v>
          </cell>
          <cell r="D1462"/>
          <cell r="E1462">
            <v>14.5</v>
          </cell>
          <cell r="F1462">
            <v>2</v>
          </cell>
          <cell r="G1462">
            <v>5</v>
          </cell>
          <cell r="H1462">
            <v>10</v>
          </cell>
          <cell r="I1462">
            <v>20</v>
          </cell>
          <cell r="J1462">
            <v>30</v>
          </cell>
          <cell r="K1462">
            <v>60</v>
          </cell>
        </row>
        <row r="1463">
          <cell r="A1463" t="str">
            <v>L100x75x9</v>
          </cell>
          <cell r="B1463">
            <v>1</v>
          </cell>
          <cell r="C1463">
            <v>2</v>
          </cell>
          <cell r="D1463"/>
          <cell r="E1463">
            <v>11.8</v>
          </cell>
          <cell r="F1463">
            <v>2</v>
          </cell>
          <cell r="G1463">
            <v>5</v>
          </cell>
          <cell r="H1463">
            <v>10</v>
          </cell>
          <cell r="I1463">
            <v>20</v>
          </cell>
          <cell r="J1463">
            <v>30</v>
          </cell>
          <cell r="K1463">
            <v>60</v>
          </cell>
        </row>
        <row r="1464">
          <cell r="A1464" t="str">
            <v>L110x70x10</v>
          </cell>
          <cell r="B1464">
            <v>1</v>
          </cell>
          <cell r="C1464">
            <v>2</v>
          </cell>
          <cell r="D1464"/>
          <cell r="E1464">
            <v>13.4</v>
          </cell>
          <cell r="F1464">
            <v>2</v>
          </cell>
          <cell r="G1464">
            <v>5</v>
          </cell>
          <cell r="H1464">
            <v>10</v>
          </cell>
          <cell r="I1464">
            <v>20</v>
          </cell>
          <cell r="J1464">
            <v>30</v>
          </cell>
          <cell r="K1464">
            <v>60</v>
          </cell>
        </row>
        <row r="1465">
          <cell r="A1465" t="str">
            <v>L110x70x12</v>
          </cell>
          <cell r="B1465">
            <v>1</v>
          </cell>
          <cell r="C1465">
            <v>2</v>
          </cell>
          <cell r="D1465"/>
          <cell r="E1465">
            <v>15.9</v>
          </cell>
          <cell r="F1465">
            <v>2</v>
          </cell>
          <cell r="G1465">
            <v>5</v>
          </cell>
          <cell r="H1465">
            <v>10</v>
          </cell>
          <cell r="I1465">
            <v>20</v>
          </cell>
          <cell r="J1465">
            <v>30</v>
          </cell>
          <cell r="K1465">
            <v>60</v>
          </cell>
        </row>
        <row r="1466">
          <cell r="A1466" t="str">
            <v>L120x80x8</v>
          </cell>
          <cell r="B1466">
            <v>1</v>
          </cell>
          <cell r="C1466">
            <v>2</v>
          </cell>
          <cell r="D1466"/>
          <cell r="E1466">
            <v>12.2</v>
          </cell>
          <cell r="F1466">
            <v>2</v>
          </cell>
          <cell r="G1466">
            <v>5</v>
          </cell>
          <cell r="H1466">
            <v>10</v>
          </cell>
          <cell r="I1466">
            <v>20</v>
          </cell>
          <cell r="J1466">
            <v>30</v>
          </cell>
          <cell r="K1466">
            <v>60</v>
          </cell>
        </row>
        <row r="1467">
          <cell r="A1467" t="str">
            <v>L120x80x10</v>
          </cell>
          <cell r="B1467">
            <v>1</v>
          </cell>
          <cell r="C1467">
            <v>2</v>
          </cell>
          <cell r="D1467"/>
          <cell r="E1467">
            <v>15</v>
          </cell>
          <cell r="F1467">
            <v>2</v>
          </cell>
          <cell r="G1467">
            <v>5</v>
          </cell>
          <cell r="H1467">
            <v>10</v>
          </cell>
          <cell r="I1467">
            <v>20</v>
          </cell>
          <cell r="J1467">
            <v>30</v>
          </cell>
          <cell r="K1467">
            <v>60</v>
          </cell>
        </row>
        <row r="1468">
          <cell r="A1468" t="str">
            <v>L120x80x12</v>
          </cell>
          <cell r="B1468">
            <v>1</v>
          </cell>
          <cell r="C1468">
            <v>2</v>
          </cell>
          <cell r="D1468"/>
          <cell r="E1468">
            <v>17.8</v>
          </cell>
          <cell r="F1468">
            <v>2</v>
          </cell>
          <cell r="G1468">
            <v>5</v>
          </cell>
          <cell r="H1468">
            <v>10</v>
          </cell>
          <cell r="I1468">
            <v>20</v>
          </cell>
          <cell r="J1468">
            <v>30</v>
          </cell>
          <cell r="K1468">
            <v>60</v>
          </cell>
        </row>
        <row r="1469">
          <cell r="A1469" t="str">
            <v>L130x65x8</v>
          </cell>
          <cell r="B1469">
            <v>1</v>
          </cell>
          <cell r="C1469">
            <v>2</v>
          </cell>
          <cell r="D1469">
            <v>0.38100000000000001</v>
          </cell>
          <cell r="E1469">
            <v>11.9</v>
          </cell>
          <cell r="F1469">
            <v>2</v>
          </cell>
          <cell r="G1469">
            <v>5</v>
          </cell>
          <cell r="H1469">
            <v>10</v>
          </cell>
          <cell r="I1469">
            <v>20</v>
          </cell>
          <cell r="J1469">
            <v>30</v>
          </cell>
          <cell r="K1469">
            <v>60</v>
          </cell>
        </row>
        <row r="1470">
          <cell r="A1470" t="str">
            <v>L130x65x12</v>
          </cell>
          <cell r="B1470">
            <v>1</v>
          </cell>
          <cell r="C1470">
            <v>2</v>
          </cell>
          <cell r="D1470"/>
          <cell r="E1470">
            <v>17.3</v>
          </cell>
          <cell r="F1470">
            <v>2</v>
          </cell>
          <cell r="G1470">
            <v>5</v>
          </cell>
          <cell r="H1470">
            <v>10</v>
          </cell>
          <cell r="I1470">
            <v>20</v>
          </cell>
          <cell r="J1470">
            <v>30</v>
          </cell>
          <cell r="K1470">
            <v>60</v>
          </cell>
        </row>
        <row r="1471">
          <cell r="A1471" t="str">
            <v>L130x90x10</v>
          </cell>
          <cell r="B1471">
            <v>1</v>
          </cell>
          <cell r="C1471">
            <v>2</v>
          </cell>
          <cell r="D1471"/>
          <cell r="E1471">
            <v>16.600000000000001</v>
          </cell>
          <cell r="F1471">
            <v>2</v>
          </cell>
          <cell r="G1471">
            <v>5</v>
          </cell>
          <cell r="H1471">
            <v>10</v>
          </cell>
          <cell r="I1471">
            <v>20</v>
          </cell>
          <cell r="J1471">
            <v>30</v>
          </cell>
          <cell r="K1471">
            <v>60</v>
          </cell>
        </row>
        <row r="1472">
          <cell r="A1472" t="str">
            <v>L130x90x12</v>
          </cell>
          <cell r="B1472">
            <v>1</v>
          </cell>
          <cell r="C1472">
            <v>2</v>
          </cell>
          <cell r="D1472"/>
          <cell r="E1472">
            <v>19.7</v>
          </cell>
          <cell r="F1472">
            <v>2</v>
          </cell>
          <cell r="G1472">
            <v>5</v>
          </cell>
          <cell r="H1472">
            <v>10</v>
          </cell>
          <cell r="I1472">
            <v>20</v>
          </cell>
          <cell r="J1472">
            <v>30</v>
          </cell>
          <cell r="K1472">
            <v>60</v>
          </cell>
        </row>
        <row r="1473">
          <cell r="A1473" t="str">
            <v>L130x90x14</v>
          </cell>
          <cell r="B1473">
            <v>2</v>
          </cell>
          <cell r="C1473">
            <v>2</v>
          </cell>
          <cell r="D1473"/>
          <cell r="E1473">
            <v>22.8</v>
          </cell>
          <cell r="F1473">
            <v>5</v>
          </cell>
          <cell r="G1473">
            <v>10</v>
          </cell>
          <cell r="H1473">
            <v>20</v>
          </cell>
          <cell r="I1473">
            <v>30</v>
          </cell>
          <cell r="J1473">
            <v>60</v>
          </cell>
          <cell r="K1473">
            <v>90</v>
          </cell>
        </row>
        <row r="1474">
          <cell r="A1474" t="str">
            <v>L140x90x8</v>
          </cell>
          <cell r="B1474">
            <v>1</v>
          </cell>
          <cell r="C1474">
            <v>2</v>
          </cell>
          <cell r="D1474"/>
          <cell r="E1474">
            <v>14</v>
          </cell>
          <cell r="F1474">
            <v>2</v>
          </cell>
          <cell r="G1474">
            <v>5</v>
          </cell>
          <cell r="H1474">
            <v>10</v>
          </cell>
          <cell r="I1474">
            <v>20</v>
          </cell>
          <cell r="J1474">
            <v>30</v>
          </cell>
          <cell r="K1474">
            <v>60</v>
          </cell>
        </row>
        <row r="1475">
          <cell r="A1475" t="str">
            <v>L140x90x10</v>
          </cell>
          <cell r="B1475">
            <v>1</v>
          </cell>
          <cell r="C1475">
            <v>2</v>
          </cell>
          <cell r="D1475"/>
          <cell r="E1475">
            <v>17.399999999999999</v>
          </cell>
          <cell r="F1475">
            <v>2</v>
          </cell>
          <cell r="G1475">
            <v>5</v>
          </cell>
          <cell r="H1475">
            <v>10</v>
          </cell>
          <cell r="I1475">
            <v>20</v>
          </cell>
          <cell r="J1475">
            <v>30</v>
          </cell>
          <cell r="K1475">
            <v>60</v>
          </cell>
        </row>
        <row r="1476">
          <cell r="A1476" t="str">
            <v>L140x90x12</v>
          </cell>
          <cell r="B1476">
            <v>2</v>
          </cell>
          <cell r="C1476">
            <v>2</v>
          </cell>
          <cell r="D1476"/>
          <cell r="E1476">
            <v>20.6</v>
          </cell>
          <cell r="F1476">
            <v>5</v>
          </cell>
          <cell r="G1476">
            <v>10</v>
          </cell>
          <cell r="H1476">
            <v>20</v>
          </cell>
          <cell r="I1476">
            <v>30</v>
          </cell>
          <cell r="J1476">
            <v>60</v>
          </cell>
          <cell r="K1476">
            <v>90</v>
          </cell>
        </row>
        <row r="1477">
          <cell r="A1477" t="str">
            <v>L140x90x14</v>
          </cell>
          <cell r="B1477">
            <v>2</v>
          </cell>
          <cell r="C1477">
            <v>2</v>
          </cell>
          <cell r="D1477"/>
          <cell r="E1477">
            <v>23.8</v>
          </cell>
          <cell r="F1477">
            <v>5</v>
          </cell>
          <cell r="G1477">
            <v>10</v>
          </cell>
          <cell r="H1477">
            <v>20</v>
          </cell>
          <cell r="I1477">
            <v>30</v>
          </cell>
          <cell r="J1477">
            <v>60</v>
          </cell>
          <cell r="K1477">
            <v>90</v>
          </cell>
        </row>
        <row r="1478">
          <cell r="A1478" t="str">
            <v>L100x50x6</v>
          </cell>
          <cell r="B1478">
            <v>1</v>
          </cell>
          <cell r="C1478">
            <v>1</v>
          </cell>
          <cell r="D1478"/>
          <cell r="E1478">
            <v>6.8</v>
          </cell>
          <cell r="F1478">
            <v>2</v>
          </cell>
          <cell r="G1478">
            <v>5</v>
          </cell>
          <cell r="H1478">
            <v>10</v>
          </cell>
          <cell r="I1478">
            <v>20</v>
          </cell>
          <cell r="J1478">
            <v>30</v>
          </cell>
          <cell r="K1478">
            <v>60</v>
          </cell>
        </row>
        <row r="1479">
          <cell r="A1479" t="str">
            <v>L150x75x9</v>
          </cell>
          <cell r="B1479">
            <v>1</v>
          </cell>
          <cell r="C1479">
            <v>2</v>
          </cell>
          <cell r="D1479">
            <v>0.42</v>
          </cell>
          <cell r="E1479">
            <v>15.3</v>
          </cell>
          <cell r="F1479">
            <v>2</v>
          </cell>
          <cell r="G1479">
            <v>5</v>
          </cell>
          <cell r="H1479">
            <v>10</v>
          </cell>
          <cell r="I1479">
            <v>20</v>
          </cell>
          <cell r="J1479">
            <v>30</v>
          </cell>
          <cell r="K1479">
            <v>60</v>
          </cell>
        </row>
        <row r="1480">
          <cell r="A1480" t="str">
            <v>L150x75x10</v>
          </cell>
          <cell r="B1480">
            <v>1</v>
          </cell>
          <cell r="C1480">
            <v>2</v>
          </cell>
          <cell r="D1480">
            <v>0.44</v>
          </cell>
          <cell r="E1480">
            <v>18.2</v>
          </cell>
          <cell r="F1480">
            <v>2</v>
          </cell>
          <cell r="G1480">
            <v>5</v>
          </cell>
          <cell r="H1480">
            <v>10</v>
          </cell>
          <cell r="I1480">
            <v>20</v>
          </cell>
          <cell r="J1480">
            <v>30</v>
          </cell>
          <cell r="K1480">
            <v>60</v>
          </cell>
        </row>
        <row r="1481">
          <cell r="A1481" t="str">
            <v>L150x75x11</v>
          </cell>
          <cell r="B1481">
            <v>1</v>
          </cell>
          <cell r="C1481">
            <v>2</v>
          </cell>
          <cell r="D1481">
            <v>0.441</v>
          </cell>
          <cell r="E1481">
            <v>18.600000000000001</v>
          </cell>
          <cell r="F1481">
            <v>2</v>
          </cell>
          <cell r="G1481">
            <v>5</v>
          </cell>
          <cell r="H1481">
            <v>10</v>
          </cell>
          <cell r="I1481">
            <v>20</v>
          </cell>
          <cell r="J1481">
            <v>30</v>
          </cell>
          <cell r="K1481">
            <v>60</v>
          </cell>
        </row>
        <row r="1482">
          <cell r="A1482" t="str">
            <v>L150x90x10</v>
          </cell>
          <cell r="B1482">
            <v>1</v>
          </cell>
          <cell r="C1482">
            <v>2</v>
          </cell>
          <cell r="D1482"/>
          <cell r="E1482">
            <v>18.2</v>
          </cell>
          <cell r="F1482">
            <v>2</v>
          </cell>
          <cell r="G1482">
            <v>5</v>
          </cell>
          <cell r="H1482">
            <v>10</v>
          </cell>
          <cell r="I1482">
            <v>20</v>
          </cell>
          <cell r="J1482">
            <v>30</v>
          </cell>
          <cell r="K1482">
            <v>60</v>
          </cell>
        </row>
        <row r="1483">
          <cell r="A1483" t="str">
            <v>L150x90x11</v>
          </cell>
          <cell r="B1483">
            <v>1</v>
          </cell>
          <cell r="C1483">
            <v>2</v>
          </cell>
          <cell r="D1483"/>
          <cell r="E1483">
            <v>19.899999999999999</v>
          </cell>
          <cell r="F1483">
            <v>2</v>
          </cell>
          <cell r="G1483">
            <v>5</v>
          </cell>
          <cell r="H1483">
            <v>10</v>
          </cell>
          <cell r="I1483">
            <v>20</v>
          </cell>
          <cell r="J1483">
            <v>30</v>
          </cell>
          <cell r="K1483">
            <v>60</v>
          </cell>
        </row>
        <row r="1484">
          <cell r="A1484" t="str">
            <v>L150x90x12</v>
          </cell>
          <cell r="B1484">
            <v>2</v>
          </cell>
          <cell r="C1484">
            <v>2</v>
          </cell>
          <cell r="D1484"/>
          <cell r="E1484">
            <v>21.6</v>
          </cell>
          <cell r="F1484">
            <v>5</v>
          </cell>
          <cell r="G1484">
            <v>10</v>
          </cell>
          <cell r="H1484">
            <v>20</v>
          </cell>
          <cell r="I1484">
            <v>30</v>
          </cell>
          <cell r="J1484">
            <v>60</v>
          </cell>
          <cell r="K1484">
            <v>90</v>
          </cell>
        </row>
        <row r="1485">
          <cell r="A1485" t="str">
            <v>L150x100x10</v>
          </cell>
          <cell r="B1485">
            <v>1</v>
          </cell>
          <cell r="C1485">
            <v>2</v>
          </cell>
          <cell r="D1485">
            <v>0.49</v>
          </cell>
          <cell r="E1485">
            <v>19</v>
          </cell>
          <cell r="F1485">
            <v>2</v>
          </cell>
          <cell r="G1485">
            <v>5</v>
          </cell>
          <cell r="H1485">
            <v>10</v>
          </cell>
          <cell r="I1485">
            <v>20</v>
          </cell>
          <cell r="J1485">
            <v>30</v>
          </cell>
          <cell r="K1485">
            <v>60</v>
          </cell>
        </row>
        <row r="1486">
          <cell r="A1486" t="str">
            <v>L150x100x12</v>
          </cell>
          <cell r="B1486">
            <v>2</v>
          </cell>
          <cell r="C1486">
            <v>2</v>
          </cell>
          <cell r="D1486"/>
          <cell r="E1486">
            <v>22.5</v>
          </cell>
          <cell r="F1486">
            <v>5</v>
          </cell>
          <cell r="G1486">
            <v>10</v>
          </cell>
          <cell r="H1486">
            <v>20</v>
          </cell>
          <cell r="I1486">
            <v>30</v>
          </cell>
          <cell r="J1486">
            <v>60</v>
          </cell>
          <cell r="K1486">
            <v>90</v>
          </cell>
        </row>
        <row r="1487">
          <cell r="A1487" t="str">
            <v>L160x80x10</v>
          </cell>
          <cell r="B1487">
            <v>1</v>
          </cell>
          <cell r="C1487">
            <v>2</v>
          </cell>
          <cell r="D1487">
            <v>0.46899999999999997</v>
          </cell>
          <cell r="E1487">
            <v>18.2</v>
          </cell>
          <cell r="F1487">
            <v>2</v>
          </cell>
          <cell r="G1487">
            <v>5</v>
          </cell>
          <cell r="H1487">
            <v>10</v>
          </cell>
          <cell r="I1487">
            <v>20</v>
          </cell>
          <cell r="J1487">
            <v>30</v>
          </cell>
          <cell r="K1487">
            <v>60</v>
          </cell>
        </row>
        <row r="1488">
          <cell r="A1488" t="str">
            <v>L150x100x14</v>
          </cell>
          <cell r="B1488">
            <v>2</v>
          </cell>
          <cell r="C1488">
            <v>2</v>
          </cell>
          <cell r="D1488"/>
          <cell r="E1488">
            <v>26.1</v>
          </cell>
          <cell r="F1488">
            <v>5</v>
          </cell>
          <cell r="G1488">
            <v>10</v>
          </cell>
          <cell r="H1488">
            <v>20</v>
          </cell>
          <cell r="I1488">
            <v>30</v>
          </cell>
          <cell r="J1488">
            <v>60</v>
          </cell>
          <cell r="K1488">
            <v>90</v>
          </cell>
        </row>
        <row r="1489">
          <cell r="A1489" t="str">
            <v>L160x80x12</v>
          </cell>
          <cell r="B1489">
            <v>2</v>
          </cell>
          <cell r="C1489">
            <v>2</v>
          </cell>
          <cell r="D1489">
            <v>0.47</v>
          </cell>
          <cell r="E1489">
            <v>21.6</v>
          </cell>
          <cell r="F1489">
            <v>5</v>
          </cell>
          <cell r="G1489">
            <v>10</v>
          </cell>
          <cell r="H1489">
            <v>20</v>
          </cell>
          <cell r="I1489">
            <v>30</v>
          </cell>
          <cell r="J1489">
            <v>60</v>
          </cell>
          <cell r="K1489">
            <v>90</v>
          </cell>
        </row>
        <row r="1490">
          <cell r="A1490" t="str">
            <v>L180x90x12</v>
          </cell>
          <cell r="B1490">
            <v>2</v>
          </cell>
          <cell r="C1490">
            <v>2</v>
          </cell>
          <cell r="D1490">
            <v>0.52800000000000002</v>
          </cell>
          <cell r="E1490">
            <v>24.5</v>
          </cell>
          <cell r="F1490">
            <v>5</v>
          </cell>
          <cell r="G1490">
            <v>10</v>
          </cell>
          <cell r="H1490">
            <v>20</v>
          </cell>
          <cell r="I1490">
            <v>30</v>
          </cell>
          <cell r="J1490">
            <v>60</v>
          </cell>
          <cell r="K1490">
            <v>90</v>
          </cell>
        </row>
        <row r="1491">
          <cell r="A1491" t="str">
            <v>L200x100x10</v>
          </cell>
          <cell r="B1491">
            <v>3</v>
          </cell>
          <cell r="C1491">
            <v>2</v>
          </cell>
          <cell r="D1491"/>
          <cell r="E1491">
            <v>23</v>
          </cell>
          <cell r="F1491">
            <v>10</v>
          </cell>
          <cell r="G1491">
            <v>20</v>
          </cell>
          <cell r="H1491">
            <v>30</v>
          </cell>
          <cell r="I1491">
            <v>40</v>
          </cell>
          <cell r="J1491">
            <v>90</v>
          </cell>
          <cell r="K1491">
            <v>120</v>
          </cell>
        </row>
        <row r="1492">
          <cell r="A1492" t="str">
            <v>L200x100x12</v>
          </cell>
          <cell r="B1492">
            <v>3</v>
          </cell>
          <cell r="C1492">
            <v>2</v>
          </cell>
          <cell r="D1492"/>
          <cell r="E1492">
            <v>27.3</v>
          </cell>
          <cell r="F1492">
            <v>10</v>
          </cell>
          <cell r="G1492">
            <v>20</v>
          </cell>
          <cell r="H1492">
            <v>30</v>
          </cell>
          <cell r="I1492">
            <v>40</v>
          </cell>
          <cell r="J1492">
            <v>90</v>
          </cell>
          <cell r="K1492">
            <v>120</v>
          </cell>
        </row>
        <row r="1493">
          <cell r="A1493" t="str">
            <v>L200x100x14</v>
          </cell>
          <cell r="B1493">
            <v>3</v>
          </cell>
          <cell r="C1493">
            <v>2</v>
          </cell>
          <cell r="D1493"/>
          <cell r="E1493">
            <v>31.6</v>
          </cell>
          <cell r="F1493">
            <v>10</v>
          </cell>
          <cell r="G1493">
            <v>20</v>
          </cell>
          <cell r="H1493">
            <v>30</v>
          </cell>
          <cell r="I1493">
            <v>40</v>
          </cell>
          <cell r="J1493">
            <v>90</v>
          </cell>
          <cell r="K1493">
            <v>120</v>
          </cell>
        </row>
        <row r="1494">
          <cell r="A1494" t="str">
            <v>L200x100x15</v>
          </cell>
          <cell r="B1494">
            <v>3</v>
          </cell>
          <cell r="C1494">
            <v>2</v>
          </cell>
          <cell r="D1494"/>
          <cell r="E1494">
            <v>33.700000000000003</v>
          </cell>
          <cell r="F1494">
            <v>10</v>
          </cell>
          <cell r="G1494">
            <v>20</v>
          </cell>
          <cell r="H1494">
            <v>30</v>
          </cell>
          <cell r="I1494">
            <v>40</v>
          </cell>
          <cell r="J1494">
            <v>90</v>
          </cell>
          <cell r="K1494">
            <v>120</v>
          </cell>
        </row>
        <row r="1495">
          <cell r="A1495" t="str">
            <v>L200x100x16</v>
          </cell>
          <cell r="B1495">
            <v>3</v>
          </cell>
          <cell r="C1495">
            <v>2</v>
          </cell>
          <cell r="D1495"/>
          <cell r="E1495">
            <v>35.9</v>
          </cell>
          <cell r="F1495">
            <v>10</v>
          </cell>
          <cell r="G1495">
            <v>20</v>
          </cell>
          <cell r="H1495">
            <v>30</v>
          </cell>
          <cell r="I1495">
            <v>40</v>
          </cell>
          <cell r="J1495">
            <v>90</v>
          </cell>
          <cell r="K1495">
            <v>120</v>
          </cell>
        </row>
        <row r="1496">
          <cell r="A1496" t="str">
            <v>L250x90x16</v>
          </cell>
          <cell r="B1496">
            <v>3</v>
          </cell>
          <cell r="C1496">
            <v>2</v>
          </cell>
          <cell r="D1496">
            <v>0.66700000000000004</v>
          </cell>
          <cell r="E1496">
            <v>40.9</v>
          </cell>
          <cell r="F1496">
            <v>10</v>
          </cell>
          <cell r="G1496">
            <v>20</v>
          </cell>
          <cell r="H1496">
            <v>30</v>
          </cell>
          <cell r="I1496">
            <v>40</v>
          </cell>
          <cell r="J1496">
            <v>90</v>
          </cell>
          <cell r="K1496">
            <v>120</v>
          </cell>
        </row>
        <row r="1497">
          <cell r="A1497" t="str">
            <v>U40x20x4</v>
          </cell>
          <cell r="B1497">
            <v>1</v>
          </cell>
          <cell r="C1497">
            <v>1</v>
          </cell>
          <cell r="D1497"/>
          <cell r="E1497">
            <v>2.65</v>
          </cell>
          <cell r="F1497">
            <v>2</v>
          </cell>
          <cell r="G1497">
            <v>5</v>
          </cell>
          <cell r="H1497">
            <v>10</v>
          </cell>
          <cell r="I1497">
            <v>20</v>
          </cell>
          <cell r="J1497">
            <v>30</v>
          </cell>
          <cell r="K1497">
            <v>60</v>
          </cell>
        </row>
        <row r="1498">
          <cell r="A1498" t="str">
            <v>U40x20x5</v>
          </cell>
          <cell r="B1498">
            <v>1</v>
          </cell>
          <cell r="C1498">
            <v>1</v>
          </cell>
          <cell r="D1498"/>
          <cell r="E1498">
            <v>2.87</v>
          </cell>
          <cell r="F1498">
            <v>2</v>
          </cell>
          <cell r="G1498">
            <v>5</v>
          </cell>
          <cell r="H1498">
            <v>10</v>
          </cell>
          <cell r="I1498">
            <v>20</v>
          </cell>
          <cell r="J1498">
            <v>30</v>
          </cell>
          <cell r="K1498">
            <v>60</v>
          </cell>
        </row>
        <row r="1499">
          <cell r="A1499" t="str">
            <v>U50x25x5</v>
          </cell>
          <cell r="B1499">
            <v>1</v>
          </cell>
          <cell r="C1499">
            <v>1</v>
          </cell>
          <cell r="D1499"/>
          <cell r="E1499">
            <v>3.86</v>
          </cell>
          <cell r="F1499">
            <v>2</v>
          </cell>
          <cell r="G1499">
            <v>5</v>
          </cell>
          <cell r="H1499">
            <v>10</v>
          </cell>
          <cell r="I1499">
            <v>20</v>
          </cell>
          <cell r="J1499">
            <v>30</v>
          </cell>
          <cell r="K1499">
            <v>60</v>
          </cell>
        </row>
        <row r="1500">
          <cell r="A1500" t="str">
            <v>U60x30x6</v>
          </cell>
          <cell r="B1500">
            <v>1</v>
          </cell>
          <cell r="C1500">
            <v>1</v>
          </cell>
          <cell r="D1500"/>
          <cell r="E1500">
            <v>5.07</v>
          </cell>
          <cell r="F1500">
            <v>2</v>
          </cell>
          <cell r="G1500">
            <v>5</v>
          </cell>
          <cell r="H1500">
            <v>10</v>
          </cell>
          <cell r="I1500">
            <v>20</v>
          </cell>
          <cell r="J1500">
            <v>30</v>
          </cell>
          <cell r="K1500">
            <v>60</v>
          </cell>
        </row>
        <row r="1501">
          <cell r="A1501" t="str">
            <v>U65x42x5.5</v>
          </cell>
          <cell r="B1501">
            <v>1</v>
          </cell>
          <cell r="C1501">
            <v>1</v>
          </cell>
          <cell r="D1501"/>
          <cell r="E1501">
            <v>7.09</v>
          </cell>
          <cell r="F1501">
            <v>2</v>
          </cell>
          <cell r="G1501">
            <v>5</v>
          </cell>
          <cell r="H1501">
            <v>10</v>
          </cell>
          <cell r="I1501">
            <v>20</v>
          </cell>
          <cell r="J1501">
            <v>30</v>
          </cell>
          <cell r="K1501">
            <v>60</v>
          </cell>
        </row>
        <row r="1502">
          <cell r="A1502" t="str">
            <v>UPE80</v>
          </cell>
          <cell r="B1502">
            <v>1</v>
          </cell>
          <cell r="C1502">
            <v>1</v>
          </cell>
          <cell r="D1502"/>
          <cell r="E1502">
            <v>7.9</v>
          </cell>
          <cell r="F1502">
            <v>2</v>
          </cell>
          <cell r="G1502">
            <v>5</v>
          </cell>
          <cell r="H1502">
            <v>10</v>
          </cell>
          <cell r="I1502">
            <v>20</v>
          </cell>
          <cell r="J1502">
            <v>30</v>
          </cell>
          <cell r="K1502">
            <v>60</v>
          </cell>
        </row>
        <row r="1503">
          <cell r="A1503" t="str">
            <v>UPE100</v>
          </cell>
          <cell r="B1503">
            <v>1</v>
          </cell>
          <cell r="C1503">
            <v>1</v>
          </cell>
          <cell r="D1503"/>
          <cell r="E1503">
            <v>9.82</v>
          </cell>
          <cell r="F1503">
            <v>2</v>
          </cell>
          <cell r="G1503">
            <v>5</v>
          </cell>
          <cell r="H1503">
            <v>10</v>
          </cell>
          <cell r="I1503">
            <v>20</v>
          </cell>
          <cell r="J1503">
            <v>30</v>
          </cell>
          <cell r="K1503">
            <v>60</v>
          </cell>
        </row>
        <row r="1504">
          <cell r="A1504" t="str">
            <v>UPE120</v>
          </cell>
          <cell r="B1504">
            <v>1</v>
          </cell>
          <cell r="C1504">
            <v>1</v>
          </cell>
          <cell r="D1504"/>
          <cell r="E1504">
            <v>12.1</v>
          </cell>
          <cell r="F1504">
            <v>2</v>
          </cell>
          <cell r="G1504">
            <v>5</v>
          </cell>
          <cell r="H1504">
            <v>10</v>
          </cell>
          <cell r="I1504">
            <v>20</v>
          </cell>
          <cell r="J1504">
            <v>30</v>
          </cell>
          <cell r="K1504">
            <v>60</v>
          </cell>
        </row>
        <row r="1505">
          <cell r="A1505" t="str">
            <v>UPE140</v>
          </cell>
          <cell r="B1505">
            <v>1</v>
          </cell>
          <cell r="C1505">
            <v>2</v>
          </cell>
          <cell r="D1505"/>
          <cell r="E1505">
            <v>14.5</v>
          </cell>
          <cell r="F1505">
            <v>2</v>
          </cell>
          <cell r="G1505">
            <v>5</v>
          </cell>
          <cell r="H1505">
            <v>10</v>
          </cell>
          <cell r="I1505">
            <v>20</v>
          </cell>
          <cell r="J1505">
            <v>30</v>
          </cell>
          <cell r="K1505">
            <v>60</v>
          </cell>
        </row>
        <row r="1506">
          <cell r="A1506" t="str">
            <v>UPE160</v>
          </cell>
          <cell r="B1506">
            <v>1</v>
          </cell>
          <cell r="C1506">
            <v>2</v>
          </cell>
          <cell r="D1506"/>
          <cell r="E1506">
            <v>17</v>
          </cell>
          <cell r="F1506">
            <v>2</v>
          </cell>
          <cell r="G1506">
            <v>5</v>
          </cell>
          <cell r="H1506">
            <v>10</v>
          </cell>
          <cell r="I1506">
            <v>20</v>
          </cell>
          <cell r="J1506">
            <v>30</v>
          </cell>
          <cell r="K1506">
            <v>60</v>
          </cell>
        </row>
        <row r="1507">
          <cell r="A1507" t="str">
            <v>UPE180</v>
          </cell>
          <cell r="B1507">
            <v>1</v>
          </cell>
          <cell r="C1507">
            <v>2</v>
          </cell>
          <cell r="D1507"/>
          <cell r="E1507">
            <v>19.7</v>
          </cell>
          <cell r="F1507">
            <v>2</v>
          </cell>
          <cell r="G1507">
            <v>5</v>
          </cell>
          <cell r="H1507">
            <v>10</v>
          </cell>
          <cell r="I1507">
            <v>20</v>
          </cell>
          <cell r="J1507">
            <v>30</v>
          </cell>
          <cell r="K1507">
            <v>60</v>
          </cell>
        </row>
        <row r="1508">
          <cell r="A1508" t="str">
            <v>UPE200</v>
          </cell>
          <cell r="B1508">
            <v>2</v>
          </cell>
          <cell r="C1508">
            <v>2</v>
          </cell>
          <cell r="D1508"/>
          <cell r="E1508">
            <v>22.8</v>
          </cell>
          <cell r="F1508">
            <v>5</v>
          </cell>
          <cell r="G1508">
            <v>10</v>
          </cell>
          <cell r="H1508">
            <v>20</v>
          </cell>
          <cell r="I1508">
            <v>30</v>
          </cell>
          <cell r="J1508">
            <v>60</v>
          </cell>
          <cell r="K1508">
            <v>90</v>
          </cell>
        </row>
        <row r="1509">
          <cell r="A1509" t="str">
            <v>UPE220</v>
          </cell>
          <cell r="B1509">
            <v>2</v>
          </cell>
          <cell r="C1509">
            <v>2</v>
          </cell>
          <cell r="D1509"/>
          <cell r="E1509">
            <v>26.6</v>
          </cell>
          <cell r="F1509">
            <v>5</v>
          </cell>
          <cell r="G1509">
            <v>10</v>
          </cell>
          <cell r="H1509">
            <v>20</v>
          </cell>
          <cell r="I1509">
            <v>30</v>
          </cell>
          <cell r="J1509">
            <v>60</v>
          </cell>
          <cell r="K1509">
            <v>90</v>
          </cell>
        </row>
        <row r="1510">
          <cell r="A1510" t="str">
            <v>UPE240</v>
          </cell>
          <cell r="B1510">
            <v>2</v>
          </cell>
          <cell r="C1510">
            <v>3</v>
          </cell>
          <cell r="D1510"/>
          <cell r="E1510">
            <v>30.2</v>
          </cell>
          <cell r="F1510">
            <v>5</v>
          </cell>
          <cell r="G1510">
            <v>10</v>
          </cell>
          <cell r="H1510">
            <v>20</v>
          </cell>
          <cell r="I1510">
            <v>30</v>
          </cell>
          <cell r="J1510">
            <v>60</v>
          </cell>
          <cell r="K1510">
            <v>90</v>
          </cell>
        </row>
        <row r="1511">
          <cell r="A1511" t="str">
            <v>UPE270</v>
          </cell>
          <cell r="B1511">
            <v>2</v>
          </cell>
          <cell r="C1511">
            <v>3</v>
          </cell>
          <cell r="D1511"/>
          <cell r="E1511">
            <v>35.200000000000003</v>
          </cell>
          <cell r="F1511">
            <v>5</v>
          </cell>
          <cell r="G1511">
            <v>10</v>
          </cell>
          <cell r="H1511">
            <v>20</v>
          </cell>
          <cell r="I1511">
            <v>30</v>
          </cell>
          <cell r="J1511">
            <v>60</v>
          </cell>
          <cell r="K1511">
            <v>90</v>
          </cell>
        </row>
        <row r="1512">
          <cell r="A1512" t="str">
            <v>UPE300</v>
          </cell>
          <cell r="B1512">
            <v>3</v>
          </cell>
          <cell r="C1512">
            <v>6</v>
          </cell>
          <cell r="D1512"/>
          <cell r="E1512">
            <v>44.4</v>
          </cell>
          <cell r="F1512">
            <v>10</v>
          </cell>
          <cell r="G1512">
            <v>20</v>
          </cell>
          <cell r="H1512">
            <v>30</v>
          </cell>
          <cell r="I1512">
            <v>40</v>
          </cell>
          <cell r="J1512">
            <v>90</v>
          </cell>
          <cell r="K1512">
            <v>120</v>
          </cell>
        </row>
        <row r="1513">
          <cell r="A1513" t="str">
            <v>UPE330</v>
          </cell>
          <cell r="B1513">
            <v>3</v>
          </cell>
          <cell r="C1513">
            <v>6</v>
          </cell>
          <cell r="D1513"/>
          <cell r="E1513">
            <v>53.2</v>
          </cell>
          <cell r="F1513">
            <v>10</v>
          </cell>
          <cell r="G1513">
            <v>20</v>
          </cell>
          <cell r="H1513">
            <v>30</v>
          </cell>
          <cell r="I1513">
            <v>40</v>
          </cell>
          <cell r="J1513">
            <v>90</v>
          </cell>
          <cell r="K1513">
            <v>120</v>
          </cell>
        </row>
        <row r="1514">
          <cell r="A1514" t="str">
            <v>UPE360</v>
          </cell>
          <cell r="B1514">
            <v>3</v>
          </cell>
          <cell r="C1514">
            <v>6</v>
          </cell>
          <cell r="D1514"/>
          <cell r="E1514">
            <v>61.2</v>
          </cell>
          <cell r="F1514">
            <v>10</v>
          </cell>
          <cell r="G1514">
            <v>20</v>
          </cell>
          <cell r="H1514">
            <v>30</v>
          </cell>
          <cell r="I1514">
            <v>40</v>
          </cell>
          <cell r="J1514">
            <v>90</v>
          </cell>
          <cell r="K1514">
            <v>120</v>
          </cell>
        </row>
        <row r="1515">
          <cell r="A1515" t="str">
            <v>UPE400</v>
          </cell>
          <cell r="B1515">
            <v>3</v>
          </cell>
          <cell r="C1515">
            <v>10</v>
          </cell>
          <cell r="D1515"/>
          <cell r="E1515">
            <v>72.2</v>
          </cell>
          <cell r="F1515">
            <v>10</v>
          </cell>
          <cell r="G1515">
            <v>20</v>
          </cell>
          <cell r="H1515">
            <v>30</v>
          </cell>
          <cell r="I1515">
            <v>40</v>
          </cell>
          <cell r="J1515">
            <v>90</v>
          </cell>
          <cell r="K1515">
            <v>120</v>
          </cell>
        </row>
        <row r="1516">
          <cell r="A1516" t="str">
            <v>UNP50</v>
          </cell>
          <cell r="B1516">
            <v>1</v>
          </cell>
          <cell r="C1516">
            <v>2</v>
          </cell>
          <cell r="D1516"/>
          <cell r="E1516">
            <v>5.59</v>
          </cell>
          <cell r="F1516">
            <v>2</v>
          </cell>
          <cell r="G1516">
            <v>5</v>
          </cell>
          <cell r="H1516">
            <v>10</v>
          </cell>
          <cell r="I1516">
            <v>20</v>
          </cell>
          <cell r="J1516">
            <v>30</v>
          </cell>
          <cell r="K1516">
            <v>60</v>
          </cell>
        </row>
        <row r="1517">
          <cell r="A1517" t="str">
            <v>UNP65</v>
          </cell>
          <cell r="B1517">
            <v>1</v>
          </cell>
          <cell r="C1517">
            <v>2</v>
          </cell>
          <cell r="D1517"/>
          <cell r="E1517">
            <v>7.09</v>
          </cell>
          <cell r="F1517">
            <v>2</v>
          </cell>
          <cell r="G1517">
            <v>5</v>
          </cell>
          <cell r="H1517">
            <v>10</v>
          </cell>
          <cell r="I1517">
            <v>20</v>
          </cell>
          <cell r="J1517">
            <v>30</v>
          </cell>
          <cell r="K1517">
            <v>60</v>
          </cell>
        </row>
        <row r="1518">
          <cell r="A1518" t="str">
            <v>UNP80</v>
          </cell>
          <cell r="B1518">
            <v>1</v>
          </cell>
          <cell r="C1518">
            <v>2</v>
          </cell>
          <cell r="D1518"/>
          <cell r="E1518">
            <v>8.64</v>
          </cell>
          <cell r="F1518">
            <v>2</v>
          </cell>
          <cell r="G1518">
            <v>5</v>
          </cell>
          <cell r="H1518">
            <v>10</v>
          </cell>
          <cell r="I1518">
            <v>20</v>
          </cell>
          <cell r="J1518">
            <v>30</v>
          </cell>
          <cell r="K1518">
            <v>60</v>
          </cell>
        </row>
        <row r="1519">
          <cell r="A1519" t="str">
            <v>UNP100</v>
          </cell>
          <cell r="B1519">
            <v>1</v>
          </cell>
          <cell r="C1519">
            <v>2</v>
          </cell>
          <cell r="D1519"/>
          <cell r="E1519">
            <v>10.6</v>
          </cell>
          <cell r="F1519">
            <v>2</v>
          </cell>
          <cell r="G1519">
            <v>5</v>
          </cell>
          <cell r="H1519">
            <v>10</v>
          </cell>
          <cell r="I1519">
            <v>20</v>
          </cell>
          <cell r="J1519">
            <v>30</v>
          </cell>
          <cell r="K1519">
            <v>60</v>
          </cell>
        </row>
        <row r="1520">
          <cell r="A1520" t="str">
            <v>UNP120</v>
          </cell>
          <cell r="B1520">
            <v>1</v>
          </cell>
          <cell r="C1520">
            <v>2</v>
          </cell>
          <cell r="D1520"/>
          <cell r="E1520">
            <v>13.4</v>
          </cell>
          <cell r="F1520">
            <v>2</v>
          </cell>
          <cell r="G1520">
            <v>5</v>
          </cell>
          <cell r="H1520">
            <v>10</v>
          </cell>
          <cell r="I1520">
            <v>20</v>
          </cell>
          <cell r="J1520">
            <v>30</v>
          </cell>
          <cell r="K1520">
            <v>60</v>
          </cell>
        </row>
        <row r="1521">
          <cell r="A1521" t="str">
            <v>UNP140</v>
          </cell>
          <cell r="B1521">
            <v>1</v>
          </cell>
          <cell r="C1521">
            <v>2</v>
          </cell>
          <cell r="D1521"/>
          <cell r="E1521">
            <v>16</v>
          </cell>
          <cell r="F1521">
            <v>2</v>
          </cell>
          <cell r="G1521">
            <v>5</v>
          </cell>
          <cell r="H1521">
            <v>10</v>
          </cell>
          <cell r="I1521">
            <v>20</v>
          </cell>
          <cell r="J1521">
            <v>30</v>
          </cell>
          <cell r="K1521">
            <v>60</v>
          </cell>
        </row>
        <row r="1522">
          <cell r="A1522" t="str">
            <v>UNP160</v>
          </cell>
          <cell r="B1522">
            <v>1</v>
          </cell>
          <cell r="C1522">
            <v>2</v>
          </cell>
          <cell r="D1522"/>
          <cell r="E1522">
            <v>18.8</v>
          </cell>
          <cell r="F1522">
            <v>2</v>
          </cell>
          <cell r="G1522">
            <v>5</v>
          </cell>
          <cell r="H1522">
            <v>10</v>
          </cell>
          <cell r="I1522">
            <v>20</v>
          </cell>
          <cell r="J1522">
            <v>30</v>
          </cell>
          <cell r="K1522">
            <v>60</v>
          </cell>
        </row>
        <row r="1523">
          <cell r="A1523" t="str">
            <v>UNP180</v>
          </cell>
          <cell r="B1523">
            <v>2</v>
          </cell>
          <cell r="C1523">
            <v>3</v>
          </cell>
          <cell r="D1523"/>
          <cell r="E1523">
            <v>22</v>
          </cell>
          <cell r="F1523">
            <v>5</v>
          </cell>
          <cell r="G1523">
            <v>10</v>
          </cell>
          <cell r="H1523">
            <v>20</v>
          </cell>
          <cell r="I1523">
            <v>30</v>
          </cell>
          <cell r="J1523">
            <v>60</v>
          </cell>
          <cell r="K1523">
            <v>90</v>
          </cell>
        </row>
        <row r="1524">
          <cell r="A1524" t="str">
            <v>UNP200</v>
          </cell>
          <cell r="B1524">
            <v>2</v>
          </cell>
          <cell r="C1524">
            <v>3</v>
          </cell>
          <cell r="D1524"/>
          <cell r="E1524">
            <v>25.3</v>
          </cell>
          <cell r="F1524">
            <v>5</v>
          </cell>
          <cell r="G1524">
            <v>10</v>
          </cell>
          <cell r="H1524">
            <v>20</v>
          </cell>
          <cell r="I1524">
            <v>30</v>
          </cell>
          <cell r="J1524">
            <v>60</v>
          </cell>
          <cell r="K1524">
            <v>90</v>
          </cell>
        </row>
        <row r="1525">
          <cell r="A1525" t="str">
            <v>UNP220</v>
          </cell>
          <cell r="B1525">
            <v>2</v>
          </cell>
          <cell r="C1525">
            <v>3</v>
          </cell>
          <cell r="D1525"/>
          <cell r="E1525">
            <v>29.4</v>
          </cell>
          <cell r="F1525">
            <v>5</v>
          </cell>
          <cell r="G1525">
            <v>10</v>
          </cell>
          <cell r="H1525">
            <v>20</v>
          </cell>
          <cell r="I1525">
            <v>30</v>
          </cell>
          <cell r="J1525">
            <v>60</v>
          </cell>
          <cell r="K1525">
            <v>90</v>
          </cell>
        </row>
        <row r="1526">
          <cell r="A1526" t="str">
            <v>UNP240</v>
          </cell>
          <cell r="B1526">
            <v>2</v>
          </cell>
          <cell r="C1526">
            <v>3</v>
          </cell>
          <cell r="D1526"/>
          <cell r="E1526">
            <v>33.200000000000003</v>
          </cell>
          <cell r="F1526">
            <v>5</v>
          </cell>
          <cell r="G1526">
            <v>10</v>
          </cell>
          <cell r="H1526">
            <v>20</v>
          </cell>
          <cell r="I1526">
            <v>30</v>
          </cell>
          <cell r="J1526">
            <v>60</v>
          </cell>
          <cell r="K1526">
            <v>90</v>
          </cell>
        </row>
        <row r="1527">
          <cell r="A1527" t="str">
            <v>UNP260</v>
          </cell>
          <cell r="B1527">
            <v>2</v>
          </cell>
          <cell r="C1527">
            <v>6</v>
          </cell>
          <cell r="D1527"/>
          <cell r="E1527">
            <v>37.9</v>
          </cell>
          <cell r="F1527">
            <v>5</v>
          </cell>
          <cell r="G1527">
            <v>10</v>
          </cell>
          <cell r="H1527">
            <v>20</v>
          </cell>
          <cell r="I1527">
            <v>30</v>
          </cell>
          <cell r="J1527">
            <v>60</v>
          </cell>
          <cell r="K1527">
            <v>90</v>
          </cell>
        </row>
        <row r="1528">
          <cell r="A1528" t="str">
            <v>UNP280</v>
          </cell>
          <cell r="B1528">
            <v>2</v>
          </cell>
          <cell r="C1528">
            <v>6</v>
          </cell>
          <cell r="D1528"/>
          <cell r="E1528">
            <v>41.8</v>
          </cell>
          <cell r="F1528">
            <v>5</v>
          </cell>
          <cell r="G1528">
            <v>10</v>
          </cell>
          <cell r="H1528">
            <v>20</v>
          </cell>
          <cell r="I1528">
            <v>30</v>
          </cell>
          <cell r="J1528">
            <v>60</v>
          </cell>
          <cell r="K1528">
            <v>90</v>
          </cell>
        </row>
        <row r="1529">
          <cell r="A1529" t="str">
            <v>UNP300</v>
          </cell>
          <cell r="B1529">
            <v>3</v>
          </cell>
          <cell r="C1529">
            <v>6</v>
          </cell>
          <cell r="D1529"/>
          <cell r="E1529">
            <v>46.2</v>
          </cell>
          <cell r="F1529">
            <v>10</v>
          </cell>
          <cell r="G1529">
            <v>20</v>
          </cell>
          <cell r="H1529">
            <v>30</v>
          </cell>
          <cell r="I1529">
            <v>40</v>
          </cell>
          <cell r="J1529">
            <v>90</v>
          </cell>
          <cell r="K1529">
            <v>120</v>
          </cell>
        </row>
        <row r="1530">
          <cell r="A1530" t="str">
            <v>UNP320</v>
          </cell>
          <cell r="B1530">
            <v>3</v>
          </cell>
          <cell r="C1530">
            <v>10</v>
          </cell>
          <cell r="D1530"/>
          <cell r="E1530">
            <v>59.5</v>
          </cell>
          <cell r="F1530">
            <v>10</v>
          </cell>
          <cell r="G1530">
            <v>20</v>
          </cell>
          <cell r="H1530">
            <v>30</v>
          </cell>
          <cell r="I1530">
            <v>40</v>
          </cell>
          <cell r="J1530">
            <v>90</v>
          </cell>
          <cell r="K1530">
            <v>120</v>
          </cell>
        </row>
        <row r="1531">
          <cell r="A1531" t="str">
            <v>UNP350</v>
          </cell>
          <cell r="B1531">
            <v>3</v>
          </cell>
          <cell r="C1531">
            <v>10</v>
          </cell>
          <cell r="D1531"/>
          <cell r="E1531">
            <v>60.6</v>
          </cell>
          <cell r="F1531">
            <v>10</v>
          </cell>
          <cell r="G1531">
            <v>20</v>
          </cell>
          <cell r="H1531">
            <v>30</v>
          </cell>
          <cell r="I1531">
            <v>40</v>
          </cell>
          <cell r="J1531">
            <v>90</v>
          </cell>
          <cell r="K1531">
            <v>120</v>
          </cell>
        </row>
        <row r="1532">
          <cell r="A1532" t="str">
            <v>UNP380</v>
          </cell>
          <cell r="B1532">
            <v>3</v>
          </cell>
          <cell r="C1532">
            <v>10</v>
          </cell>
          <cell r="D1532"/>
          <cell r="E1532">
            <v>63.1</v>
          </cell>
          <cell r="F1532">
            <v>10</v>
          </cell>
          <cell r="G1532">
            <v>20</v>
          </cell>
          <cell r="H1532">
            <v>30</v>
          </cell>
          <cell r="I1532">
            <v>40</v>
          </cell>
          <cell r="J1532">
            <v>90</v>
          </cell>
          <cell r="K1532">
            <v>120</v>
          </cell>
        </row>
        <row r="1533">
          <cell r="A1533" t="str">
            <v>UNP400</v>
          </cell>
          <cell r="B1533">
            <v>3</v>
          </cell>
          <cell r="C1533">
            <v>10</v>
          </cell>
          <cell r="D1533"/>
          <cell r="E1533">
            <v>71.8</v>
          </cell>
          <cell r="F1533">
            <v>10</v>
          </cell>
          <cell r="G1533">
            <v>20</v>
          </cell>
          <cell r="H1533">
            <v>30</v>
          </cell>
          <cell r="I1533">
            <v>40</v>
          </cell>
          <cell r="J1533">
            <v>90</v>
          </cell>
          <cell r="K1533">
            <v>120</v>
          </cell>
        </row>
        <row r="1534">
          <cell r="A1534" t="str">
            <v>T20</v>
          </cell>
          <cell r="B1534">
            <v>1</v>
          </cell>
          <cell r="C1534"/>
          <cell r="D1534"/>
          <cell r="E1534">
            <v>0.88</v>
          </cell>
          <cell r="F1534">
            <v>2</v>
          </cell>
          <cell r="G1534">
            <v>5</v>
          </cell>
          <cell r="H1534">
            <v>10</v>
          </cell>
          <cell r="I1534">
            <v>20</v>
          </cell>
          <cell r="J1534">
            <v>30</v>
          </cell>
          <cell r="K1534">
            <v>60</v>
          </cell>
        </row>
        <row r="1535">
          <cell r="A1535" t="str">
            <v>T25</v>
          </cell>
          <cell r="B1535">
            <v>1</v>
          </cell>
          <cell r="C1535"/>
          <cell r="D1535"/>
          <cell r="F1535">
            <v>2</v>
          </cell>
          <cell r="G1535">
            <v>5</v>
          </cell>
          <cell r="H1535">
            <v>10</v>
          </cell>
          <cell r="I1535">
            <v>20</v>
          </cell>
          <cell r="J1535">
            <v>30</v>
          </cell>
          <cell r="K1535">
            <v>60</v>
          </cell>
        </row>
        <row r="1536">
          <cell r="A1536" t="str">
            <v>T30</v>
          </cell>
          <cell r="B1536">
            <v>1</v>
          </cell>
          <cell r="C1536"/>
          <cell r="D1536"/>
          <cell r="F1536">
            <v>2</v>
          </cell>
          <cell r="G1536">
            <v>5</v>
          </cell>
          <cell r="H1536">
            <v>10</v>
          </cell>
          <cell r="I1536">
            <v>20</v>
          </cell>
          <cell r="J1536">
            <v>30</v>
          </cell>
          <cell r="K1536">
            <v>60</v>
          </cell>
        </row>
        <row r="1537">
          <cell r="A1537" t="str">
            <v>T35</v>
          </cell>
          <cell r="B1537">
            <v>1</v>
          </cell>
          <cell r="C1537"/>
          <cell r="D1537"/>
          <cell r="F1537">
            <v>2</v>
          </cell>
          <cell r="G1537">
            <v>5</v>
          </cell>
          <cell r="H1537">
            <v>10</v>
          </cell>
          <cell r="I1537">
            <v>20</v>
          </cell>
          <cell r="J1537">
            <v>30</v>
          </cell>
          <cell r="K1537">
            <v>60</v>
          </cell>
        </row>
        <row r="1538">
          <cell r="A1538" t="str">
            <v>T40</v>
          </cell>
          <cell r="B1538">
            <v>1</v>
          </cell>
          <cell r="C1538"/>
          <cell r="D1538"/>
          <cell r="F1538">
            <v>2</v>
          </cell>
          <cell r="G1538">
            <v>5</v>
          </cell>
          <cell r="H1538">
            <v>10</v>
          </cell>
          <cell r="I1538">
            <v>20</v>
          </cell>
          <cell r="J1538">
            <v>30</v>
          </cell>
          <cell r="K1538">
            <v>60</v>
          </cell>
        </row>
        <row r="1539">
          <cell r="A1539" t="str">
            <v>T40</v>
          </cell>
          <cell r="B1539">
            <v>1</v>
          </cell>
          <cell r="C1539"/>
          <cell r="D1539"/>
          <cell r="F1539">
            <v>2</v>
          </cell>
          <cell r="G1539">
            <v>5</v>
          </cell>
          <cell r="H1539">
            <v>10</v>
          </cell>
          <cell r="I1539">
            <v>20</v>
          </cell>
          <cell r="J1539">
            <v>30</v>
          </cell>
          <cell r="K1539">
            <v>60</v>
          </cell>
        </row>
        <row r="1540">
          <cell r="A1540" t="str">
            <v>T50</v>
          </cell>
          <cell r="B1540">
            <v>1</v>
          </cell>
          <cell r="C1540"/>
          <cell r="D1540"/>
          <cell r="F1540">
            <v>2</v>
          </cell>
          <cell r="G1540">
            <v>5</v>
          </cell>
          <cell r="H1540">
            <v>10</v>
          </cell>
          <cell r="I1540">
            <v>20</v>
          </cell>
          <cell r="J1540">
            <v>30</v>
          </cell>
          <cell r="K1540">
            <v>60</v>
          </cell>
        </row>
        <row r="1541">
          <cell r="A1541" t="str">
            <v>T60</v>
          </cell>
          <cell r="B1541">
            <v>1</v>
          </cell>
          <cell r="C1541"/>
          <cell r="D1541"/>
          <cell r="F1541">
            <v>2</v>
          </cell>
          <cell r="G1541">
            <v>5</v>
          </cell>
          <cell r="H1541">
            <v>10</v>
          </cell>
          <cell r="I1541">
            <v>20</v>
          </cell>
          <cell r="J1541">
            <v>30</v>
          </cell>
          <cell r="K1541">
            <v>60</v>
          </cell>
        </row>
        <row r="1542">
          <cell r="A1542" t="str">
            <v>T70</v>
          </cell>
          <cell r="B1542">
            <v>1</v>
          </cell>
          <cell r="C1542">
            <v>2</v>
          </cell>
          <cell r="D1542"/>
          <cell r="E1542">
            <v>8.32</v>
          </cell>
          <cell r="F1542">
            <v>2</v>
          </cell>
          <cell r="G1542">
            <v>5</v>
          </cell>
          <cell r="H1542">
            <v>10</v>
          </cell>
          <cell r="I1542">
            <v>20</v>
          </cell>
          <cell r="J1542">
            <v>30</v>
          </cell>
          <cell r="K1542">
            <v>60</v>
          </cell>
        </row>
        <row r="1543">
          <cell r="A1543" t="str">
            <v>T80</v>
          </cell>
          <cell r="B1543">
            <v>1</v>
          </cell>
          <cell r="C1543"/>
          <cell r="D1543"/>
          <cell r="E1543"/>
          <cell r="F1543">
            <v>2</v>
          </cell>
          <cell r="G1543">
            <v>5</v>
          </cell>
          <cell r="H1543">
            <v>10</v>
          </cell>
          <cell r="I1543">
            <v>20</v>
          </cell>
          <cell r="J1543">
            <v>30</v>
          </cell>
          <cell r="K1543">
            <v>60</v>
          </cell>
        </row>
        <row r="1544">
          <cell r="A1544" t="str">
            <v>T100</v>
          </cell>
          <cell r="B1544">
            <v>1</v>
          </cell>
          <cell r="C1544"/>
          <cell r="D1544"/>
          <cell r="E1544"/>
          <cell r="F1544">
            <v>2</v>
          </cell>
          <cell r="G1544">
            <v>5</v>
          </cell>
          <cell r="H1544">
            <v>10</v>
          </cell>
          <cell r="I1544">
            <v>20</v>
          </cell>
          <cell r="J1544">
            <v>30</v>
          </cell>
          <cell r="K1544">
            <v>60</v>
          </cell>
        </row>
        <row r="1545">
          <cell r="A1545" t="str">
            <v>T120</v>
          </cell>
          <cell r="B1545">
            <v>1</v>
          </cell>
          <cell r="C1545"/>
          <cell r="D1545"/>
          <cell r="E1545"/>
          <cell r="F1545">
            <v>2</v>
          </cell>
          <cell r="G1545">
            <v>5</v>
          </cell>
          <cell r="H1545">
            <v>10</v>
          </cell>
          <cell r="I1545">
            <v>20</v>
          </cell>
          <cell r="J1545">
            <v>30</v>
          </cell>
          <cell r="K1545">
            <v>60</v>
          </cell>
        </row>
        <row r="1546">
          <cell r="A1546" t="str">
            <v>T140</v>
          </cell>
          <cell r="B1546">
            <v>2</v>
          </cell>
          <cell r="C1546"/>
          <cell r="D1546"/>
          <cell r="E1546">
            <v>31.3</v>
          </cell>
          <cell r="F1546">
            <v>5</v>
          </cell>
          <cell r="G1546">
            <v>10</v>
          </cell>
          <cell r="H1546">
            <v>20</v>
          </cell>
          <cell r="I1546">
            <v>30</v>
          </cell>
          <cell r="J1546">
            <v>60</v>
          </cell>
          <cell r="K1546">
            <v>90</v>
          </cell>
        </row>
        <row r="1547">
          <cell r="A1547" t="str">
            <v>50x30</v>
          </cell>
          <cell r="B1547">
            <v>1</v>
          </cell>
          <cell r="C1547">
            <v>1</v>
          </cell>
          <cell r="D1547"/>
          <cell r="E1547">
            <v>11.8</v>
          </cell>
          <cell r="F1547">
            <v>2</v>
          </cell>
          <cell r="G1547">
            <v>5</v>
          </cell>
          <cell r="H1547">
            <v>10</v>
          </cell>
          <cell r="I1547">
            <v>20</v>
          </cell>
          <cell r="J1547">
            <v>30</v>
          </cell>
          <cell r="K1547">
            <v>60</v>
          </cell>
        </row>
      </sheetData>
      <sheetData sheetId="2"/>
      <sheetData sheetId="3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ksana M" id="{1140A2A6-9DA7-4C75-B3E2-427BC07B7930}" userId="6aeec5c14f3adcc6" providerId="Windows Live"/>
  <person displayName="Oksana Mostovštšikova" id="{42DFB89E-8A98-450E-96CC-891ED64ECCDB}" userId="Oksana Mostovštšikova" providerId="None"/>
  <person displayName="Oksana Pavlova" id="{3A71836D-35FC-49AE-B047-BB10C0042FD6}" userId="S::oksana.pavlova@maru.ee::5eb9ea20-3d6a-4a11-8067-ac336f9b103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sana" refreshedDate="45953.508921527777" createdVersion="8" refreshedVersion="8" minRefreshableVersion="3" recordCount="2693" xr:uid="{143FF5A7-E0CE-4259-BEA1-2645589CF759}">
  <cacheSource type="worksheet">
    <worksheetSource name="Default_10_23_2025_1"/>
  </cacheSource>
  <cacheFields count="4">
    <cacheField name="Product Name" numFmtId="0">
      <sharedItems count="19">
        <s v="(Vind-X-Plade)"/>
        <s v="Afstivning"/>
        <s v="Bardunstrammere"/>
        <s v="Benkile"/>
        <s v="Drager"/>
        <s v="Fladstål"/>
        <s v="Flange"/>
        <s v="Færdigvare"/>
        <s v="HSQ"/>
        <s v="Løsdele"/>
        <s v="Opstik"/>
        <s v="PL15/Ø26(BV20)"/>
        <s v="Plade"/>
        <s v="Portomfatning"/>
        <s v="Rigle"/>
        <s v="Søjle"/>
        <s v="Tagkile"/>
        <s v="Vind-X"/>
        <s v="Vind-X-Plade"/>
      </sharedItems>
    </cacheField>
    <cacheField name="Product Description" numFmtId="0">
      <sharedItems count="85">
        <s v="FL15*120"/>
        <s v="FL15*180"/>
        <s v="FL15*100"/>
        <s v="FL6*50"/>
        <s v="FL15*140"/>
        <s v="FL10*80"/>
        <s v="FL25*300"/>
        <s v="FL15*200"/>
        <s v="PD45*7.5"/>
        <s v="PL8*1697"/>
        <s v="HEB360"/>
        <s v="IPE240"/>
        <s v="IPE400"/>
        <s v="L100*10"/>
        <s v="L60*40*6"/>
        <s v="FL10*90"/>
        <s v="FL12*90"/>
        <s v="FL25*250"/>
        <s v="FL12*120"/>
        <s v="FL15*300"/>
        <s v="FL10*140"/>
        <s v="FL10*70"/>
        <s v="FL10*100"/>
        <s v="FL10*165"/>
        <s v="FL30*120"/>
        <s v="FL15*213"/>
        <s v="FL5*90"/>
        <s v="FL30*150"/>
        <s v="FL20*250"/>
        <s v="FL10*135"/>
        <s v="FL10*200"/>
        <s v="FL12*180"/>
        <s v="FL15*165"/>
        <s v="FL10*120"/>
        <s v="FL15*160"/>
        <s v="FL15*146"/>
        <s v="FL10*130"/>
        <s v="FL15*265"/>
        <s v="FL10*150"/>
        <s v="FL15*125"/>
        <s v="D30"/>
        <s v="FL20*540"/>
        <s v="FL5*215"/>
        <s v="FL35*250"/>
        <s v="FL12*160"/>
        <s v="PL15*170"/>
        <s v="L120*11"/>
        <s v="PL10*80"/>
        <s v="PL10*140"/>
        <s v="PL10*120"/>
        <s v="PL15*140"/>
        <s v="PL10*100"/>
        <s v="FL15*169"/>
        <s v="PL15*200"/>
        <s v="PL10*65"/>
        <s v="PL5*215"/>
        <s v="PL12*275"/>
        <s v="FL15*219"/>
        <s v="FL15*236"/>
        <s v="FL15*199"/>
        <s v="FL15*229"/>
        <s v="PL10*75"/>
        <s v="FL15*184"/>
        <s v="FL15*214"/>
        <s v="PL15*240"/>
        <s v="PL10*72"/>
        <s v="FL15*153"/>
        <s v="PL15*178"/>
        <s v="FL15*207"/>
        <s v="PL15*183"/>
        <s v="PL10*81"/>
        <s v="RHS100X100X6"/>
        <s v="RHS150X100X6"/>
        <s v="RHS150X150X8"/>
        <s v="IPE600"/>
        <s v="RHS180X180X10"/>
        <s v="RHS180X180X8"/>
        <s v="PL6*1698"/>
        <s v="RHS150X150X6"/>
        <s v="RHS120X120X8"/>
        <s v="RHS120X120X10"/>
        <s v="PL15*80"/>
        <s v="FL5*48"/>
        <s v="FL15*88"/>
        <s v="FL5*47"/>
      </sharedItems>
    </cacheField>
    <cacheField name="Length (mm)" numFmtId="0">
      <sharedItems containsSemiMixedTypes="0" containsString="0" containsNumber="1" containsInteger="1" minValue="90" maxValue="21060" count="191">
        <n v="120"/>
        <n v="360"/>
        <n v="140"/>
        <n v="220"/>
        <n v="1341"/>
        <n v="373"/>
        <n v="413"/>
        <n v="211"/>
        <n v="315"/>
        <n v="580"/>
        <n v="300"/>
        <n v="261"/>
        <n v="255"/>
        <n v="5758"/>
        <n v="14891"/>
        <n v="4790"/>
        <n v="4700"/>
        <n v="14841"/>
        <n v="14810"/>
        <n v="130"/>
        <n v="150"/>
        <n v="1260"/>
        <n v="3300"/>
        <n v="500"/>
        <n v="690"/>
        <n v="1090"/>
        <n v="488"/>
        <n v="180"/>
        <n v="403"/>
        <n v="666"/>
        <n v="265"/>
        <n v="340"/>
        <n v="350"/>
        <n v="390"/>
        <n v="1238"/>
        <n v="250"/>
        <n v="2351"/>
        <n v="90"/>
        <n v="190"/>
        <n v="450"/>
        <n v="170"/>
        <n v="270"/>
        <n v="200"/>
        <n v="240"/>
        <n v="100"/>
        <n v="124"/>
        <n v="6064"/>
        <n v="7477"/>
        <n v="4416"/>
        <n v="260"/>
        <n v="5000"/>
        <n v="4800"/>
        <n v="4695"/>
        <n v="5010"/>
        <n v="108"/>
        <n v="210"/>
        <n v="762"/>
        <n v="760"/>
        <n v="750"/>
        <n v="784"/>
        <n v="1000"/>
        <n v="1400"/>
        <n v="761"/>
        <n v="1185"/>
        <n v="597"/>
        <n v="780"/>
        <n v="1196"/>
        <n v="679"/>
        <n v="201"/>
        <n v="230"/>
        <n v="435"/>
        <n v="244"/>
        <n v="280"/>
        <n v="236"/>
        <n v="219"/>
        <n v="257"/>
        <n v="267"/>
        <n v="380"/>
        <n v="146"/>
        <n v="216"/>
        <n v="275"/>
        <n v="229"/>
        <n v="137"/>
        <n v="118"/>
        <n v="1170"/>
        <n v="4730"/>
        <n v="2335"/>
        <n v="4670"/>
        <n v="5402"/>
        <n v="2245"/>
        <n v="2395"/>
        <n v="4645"/>
        <n v="2120"/>
        <n v="2090"/>
        <n v="2350"/>
        <n v="1095"/>
        <n v="21060"/>
        <n v="3194"/>
        <n v="3455"/>
        <n v="3450"/>
        <n v="4960"/>
        <n v="2200"/>
        <n v="2340"/>
        <n v="2345"/>
        <n v="2325"/>
        <n v="1545"/>
        <n v="1896"/>
        <n v="5470"/>
        <n v="2590"/>
        <n v="2864"/>
        <n v="3185"/>
        <n v="3515"/>
        <n v="1200"/>
        <n v="2798"/>
        <n v="4655"/>
        <n v="1960"/>
        <n v="3149"/>
        <n v="1900"/>
        <n v="1190"/>
        <n v="3480"/>
        <n v="2640"/>
        <n v="3033"/>
        <n v="1100"/>
        <n v="2725"/>
        <n v="7531"/>
        <n v="2485"/>
        <n v="5850"/>
        <n v="7062"/>
        <n v="6045"/>
        <n v="3075"/>
        <n v="3400"/>
        <n v="6659"/>
        <n v="7142"/>
        <n v="3957"/>
        <n v="3115"/>
        <n v="5848"/>
        <n v="3677"/>
        <n v="7660"/>
        <n v="6530"/>
        <n v="5922"/>
        <n v="4510"/>
        <n v="5190"/>
        <n v="4600"/>
        <n v="4518"/>
        <n v="4524"/>
        <n v="1675"/>
        <n v="4550"/>
        <n v="5025"/>
        <n v="5250"/>
        <n v="5137"/>
        <n v="4420"/>
        <n v="4808"/>
        <n v="4649"/>
        <n v="5873"/>
        <n v="4318"/>
        <n v="5053"/>
        <n v="5924"/>
        <n v="4742"/>
        <n v="5303"/>
        <n v="1624"/>
        <n v="4390"/>
        <n v="1490"/>
        <n v="5324"/>
        <n v="4950"/>
        <n v="4521"/>
        <n v="4732"/>
        <n v="4650"/>
        <n v="4625"/>
        <n v="4503"/>
        <n v="4942"/>
        <n v="9160"/>
        <n v="5450"/>
        <n v="1750"/>
        <n v="4470"/>
        <n v="5864"/>
        <n v="4460"/>
        <n v="5310"/>
        <n v="4455"/>
        <n v="5817"/>
        <n v="1580"/>
        <n v="4538"/>
        <n v="4450"/>
        <n v="4290"/>
        <n v="5050"/>
        <n v="4434"/>
        <n v="5936"/>
        <n v="6397"/>
        <n v="6289"/>
        <n v="110"/>
        <n v="235"/>
        <n v="215"/>
      </sharedItems>
    </cacheField>
    <cacheField name="Weight (t)" numFmtId="0">
      <sharedItems containsSemiMixedTypes="0" containsString="0" containsNumber="1" minValue="0" maxValue="2.111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3"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0"/>
    <x v="0"/>
    <n v="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1"/>
    <x v="1"/>
    <n v="8.000000000000000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0"/>
    <x v="2"/>
    <x v="2"/>
    <n v="2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4"/>
    <x v="6"/>
    <n v="7.000000000000000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3"/>
    <x v="3"/>
    <n v="1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5"/>
    <x v="5"/>
    <n v="2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7"/>
    <n v="3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6"/>
    <x v="9"/>
    <n v="3.4000000000000002E-2"/>
  </r>
  <r>
    <x v="1"/>
    <x v="7"/>
    <x v="10"/>
    <n v="7.0000000000000001E-3"/>
  </r>
  <r>
    <x v="1"/>
    <x v="7"/>
    <x v="10"/>
    <n v="7.0000000000000001E-3"/>
  </r>
  <r>
    <x v="1"/>
    <x v="7"/>
    <x v="10"/>
    <n v="7.0000000000000001E-3"/>
  </r>
  <r>
    <x v="1"/>
    <x v="7"/>
    <x v="10"/>
    <n v="7.0000000000000001E-3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4"/>
    <n v="2.1999999999999999E-2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4"/>
    <x v="8"/>
    <n v="5.0000000000000001E-3"/>
  </r>
  <r>
    <x v="1"/>
    <x v="5"/>
    <x v="11"/>
    <n v="2E-3"/>
  </r>
  <r>
    <x v="1"/>
    <x v="5"/>
    <x v="11"/>
    <n v="2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2"/>
    <x v="8"/>
    <x v="12"/>
    <n v="1E-3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3"/>
    <x v="9"/>
    <x v="13"/>
    <n v="0.36799999999999999"/>
  </r>
  <r>
    <x v="4"/>
    <x v="10"/>
    <x v="14"/>
    <n v="2.1110000000000002"/>
  </r>
  <r>
    <x v="4"/>
    <x v="11"/>
    <x v="15"/>
    <n v="0.14699999999999999"/>
  </r>
  <r>
    <x v="4"/>
    <x v="11"/>
    <x v="15"/>
    <n v="0.14699999999999999"/>
  </r>
  <r>
    <x v="4"/>
    <x v="11"/>
    <x v="15"/>
    <n v="0.14699999999999999"/>
  </r>
  <r>
    <x v="4"/>
    <x v="10"/>
    <x v="14"/>
    <n v="2.1110000000000002"/>
  </r>
  <r>
    <x v="4"/>
    <x v="11"/>
    <x v="15"/>
    <n v="0.14699999999999999"/>
  </r>
  <r>
    <x v="4"/>
    <x v="11"/>
    <x v="15"/>
    <n v="0.14699999999999999"/>
  </r>
  <r>
    <x v="4"/>
    <x v="10"/>
    <x v="14"/>
    <n v="2.1110000000000002"/>
  </r>
  <r>
    <x v="4"/>
    <x v="11"/>
    <x v="16"/>
    <n v="0.14399999999999999"/>
  </r>
  <r>
    <x v="4"/>
    <x v="11"/>
    <x v="15"/>
    <n v="0.14699999999999999"/>
  </r>
  <r>
    <x v="4"/>
    <x v="11"/>
    <x v="15"/>
    <n v="0.14699999999999999"/>
  </r>
  <r>
    <x v="4"/>
    <x v="11"/>
    <x v="15"/>
    <n v="0.14699999999999999"/>
  </r>
  <r>
    <x v="4"/>
    <x v="11"/>
    <x v="15"/>
    <n v="0.14699999999999999"/>
  </r>
  <r>
    <x v="4"/>
    <x v="11"/>
    <x v="16"/>
    <n v="0.14399999999999999"/>
  </r>
  <r>
    <x v="4"/>
    <x v="11"/>
    <x v="15"/>
    <n v="0.14699999999999999"/>
  </r>
  <r>
    <x v="4"/>
    <x v="11"/>
    <x v="15"/>
    <n v="0.14699999999999999"/>
  </r>
  <r>
    <x v="4"/>
    <x v="12"/>
    <x v="17"/>
    <n v="0.98399999999999999"/>
  </r>
  <r>
    <x v="4"/>
    <x v="10"/>
    <x v="14"/>
    <n v="2.1110000000000002"/>
  </r>
  <r>
    <x v="4"/>
    <x v="10"/>
    <x v="14"/>
    <n v="2.1110000000000002"/>
  </r>
  <r>
    <x v="4"/>
    <x v="12"/>
    <x v="18"/>
    <n v="0.98199999999999998"/>
  </r>
  <r>
    <x v="4"/>
    <x v="12"/>
    <x v="18"/>
    <n v="0.98199999999999998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0"/>
    <x v="14"/>
    <n v="2.1110000000000002"/>
  </r>
  <r>
    <x v="4"/>
    <x v="12"/>
    <x v="17"/>
    <n v="0.98399999999999999"/>
  </r>
  <r>
    <x v="4"/>
    <x v="13"/>
    <x v="19"/>
    <n v="2E-3"/>
  </r>
  <r>
    <x v="4"/>
    <x v="13"/>
    <x v="19"/>
    <n v="2E-3"/>
  </r>
  <r>
    <x v="4"/>
    <x v="13"/>
    <x v="19"/>
    <n v="2E-3"/>
  </r>
  <r>
    <x v="4"/>
    <x v="13"/>
    <x v="19"/>
    <n v="2E-3"/>
  </r>
  <r>
    <x v="4"/>
    <x v="13"/>
    <x v="19"/>
    <n v="2E-3"/>
  </r>
  <r>
    <x v="4"/>
    <x v="13"/>
    <x v="19"/>
    <n v="2E-3"/>
  </r>
  <r>
    <x v="4"/>
    <x v="13"/>
    <x v="19"/>
    <n v="2E-3"/>
  </r>
  <r>
    <x v="4"/>
    <x v="13"/>
    <x v="19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3"/>
    <x v="20"/>
    <n v="2E-3"/>
  </r>
  <r>
    <x v="4"/>
    <x v="14"/>
    <x v="21"/>
    <n v="6.0000000000000001E-3"/>
  </r>
  <r>
    <x v="4"/>
    <x v="14"/>
    <x v="22"/>
    <n v="1.4999999999999999E-2"/>
  </r>
  <r>
    <x v="4"/>
    <x v="14"/>
    <x v="23"/>
    <n v="2E-3"/>
  </r>
  <r>
    <x v="4"/>
    <x v="14"/>
    <x v="24"/>
    <n v="3.0000000000000001E-3"/>
  </r>
  <r>
    <x v="4"/>
    <x v="14"/>
    <x v="25"/>
    <n v="5.0000000000000001E-3"/>
  </r>
  <r>
    <x v="4"/>
    <x v="14"/>
    <x v="25"/>
    <n v="5.0000000000000001E-3"/>
  </r>
  <r>
    <x v="4"/>
    <x v="14"/>
    <x v="22"/>
    <n v="1.4999999999999999E-2"/>
  </r>
  <r>
    <x v="4"/>
    <x v="14"/>
    <x v="23"/>
    <n v="2E-3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6"/>
    <x v="26"/>
    <n v="2.9000000000000001E-2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2"/>
    <n v="2E-3"/>
  </r>
  <r>
    <x v="5"/>
    <x v="0"/>
    <x v="0"/>
    <n v="2E-3"/>
  </r>
  <r>
    <x v="5"/>
    <x v="0"/>
    <x v="0"/>
    <n v="2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5"/>
    <x v="2"/>
    <n v="1E-3"/>
  </r>
  <r>
    <x v="5"/>
    <x v="16"/>
    <x v="27"/>
    <n v="2E-3"/>
  </r>
  <r>
    <x v="5"/>
    <x v="16"/>
    <x v="27"/>
    <n v="2E-3"/>
  </r>
  <r>
    <x v="5"/>
    <x v="16"/>
    <x v="27"/>
    <n v="2E-3"/>
  </r>
  <r>
    <x v="5"/>
    <x v="16"/>
    <x v="27"/>
    <n v="2E-3"/>
  </r>
  <r>
    <x v="5"/>
    <x v="16"/>
    <x v="27"/>
    <n v="2E-3"/>
  </r>
  <r>
    <x v="5"/>
    <x v="16"/>
    <x v="27"/>
    <n v="2E-3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6"/>
    <x v="28"/>
    <n v="2.4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7"/>
    <x v="29"/>
    <n v="3.3000000000000002E-2"/>
  </r>
  <r>
    <x v="5"/>
    <x v="1"/>
    <x v="30"/>
    <n v="6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18"/>
    <x v="31"/>
    <n v="4.0000000000000001E-3"/>
  </r>
  <r>
    <x v="5"/>
    <x v="7"/>
    <x v="32"/>
    <n v="8.0000000000000002E-3"/>
  </r>
  <r>
    <x v="5"/>
    <x v="7"/>
    <x v="32"/>
    <n v="8.0000000000000002E-3"/>
  </r>
  <r>
    <x v="5"/>
    <x v="7"/>
    <x v="32"/>
    <n v="8.0000000000000002E-3"/>
  </r>
  <r>
    <x v="5"/>
    <x v="7"/>
    <x v="32"/>
    <n v="8.0000000000000002E-3"/>
  </r>
  <r>
    <x v="5"/>
    <x v="7"/>
    <x v="32"/>
    <n v="8.0000000000000002E-3"/>
  </r>
  <r>
    <x v="5"/>
    <x v="7"/>
    <x v="32"/>
    <n v="8.0000000000000002E-3"/>
  </r>
  <r>
    <x v="5"/>
    <x v="7"/>
    <x v="32"/>
    <n v="8.0000000000000002E-3"/>
  </r>
  <r>
    <x v="5"/>
    <x v="7"/>
    <x v="32"/>
    <n v="8.0000000000000002E-3"/>
  </r>
  <r>
    <x v="5"/>
    <x v="19"/>
    <x v="33"/>
    <n v="1.4E-2"/>
  </r>
  <r>
    <x v="5"/>
    <x v="19"/>
    <x v="33"/>
    <n v="1.4E-2"/>
  </r>
  <r>
    <x v="5"/>
    <x v="20"/>
    <x v="34"/>
    <n v="1.2999999999999999E-2"/>
  </r>
  <r>
    <x v="5"/>
    <x v="20"/>
    <x v="34"/>
    <n v="1.2999999999999999E-2"/>
  </r>
  <r>
    <x v="5"/>
    <x v="7"/>
    <x v="33"/>
    <n v="8.9999999999999993E-3"/>
  </r>
  <r>
    <x v="5"/>
    <x v="7"/>
    <x v="33"/>
    <n v="8.9999999999999993E-3"/>
  </r>
  <r>
    <x v="5"/>
    <x v="7"/>
    <x v="33"/>
    <n v="8.9999999999999993E-3"/>
  </r>
  <r>
    <x v="5"/>
    <x v="7"/>
    <x v="33"/>
    <n v="8.9999999999999993E-3"/>
  </r>
  <r>
    <x v="5"/>
    <x v="7"/>
    <x v="33"/>
    <n v="8.9999999999999993E-3"/>
  </r>
  <r>
    <x v="5"/>
    <x v="7"/>
    <x v="33"/>
    <n v="8.9999999999999993E-3"/>
  </r>
  <r>
    <x v="5"/>
    <x v="7"/>
    <x v="33"/>
    <n v="8.9999999999999993E-3"/>
  </r>
  <r>
    <x v="5"/>
    <x v="7"/>
    <x v="33"/>
    <n v="8.9999999999999993E-3"/>
  </r>
  <r>
    <x v="5"/>
    <x v="21"/>
    <x v="35"/>
    <n v="1E-3"/>
  </r>
  <r>
    <x v="5"/>
    <x v="21"/>
    <x v="35"/>
    <n v="1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0"/>
    <x v="3"/>
    <n v="2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2"/>
    <x v="20"/>
    <n v="1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3"/>
    <x v="27"/>
    <n v="2E-3"/>
  </r>
  <r>
    <x v="5"/>
    <x v="24"/>
    <x v="20"/>
    <n v="4.0000000000000001E-3"/>
  </r>
  <r>
    <x v="5"/>
    <x v="24"/>
    <x v="20"/>
    <n v="4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25"/>
    <x v="35"/>
    <n v="6.0000000000000001E-3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6"/>
    <x v="36"/>
    <n v="0.13800000000000001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18"/>
    <x v="20"/>
    <n v="2E-3"/>
  </r>
  <r>
    <x v="5"/>
    <x v="26"/>
    <x v="37"/>
    <n v="0"/>
  </r>
  <r>
    <x v="5"/>
    <x v="26"/>
    <x v="37"/>
    <n v="0"/>
  </r>
  <r>
    <x v="5"/>
    <x v="1"/>
    <x v="30"/>
    <n v="6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27"/>
    <x v="38"/>
    <n v="7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15"/>
    <x v="38"/>
    <n v="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8"/>
    <x v="32"/>
    <n v="1.4E-2"/>
  </r>
  <r>
    <x v="5"/>
    <x v="29"/>
    <x v="20"/>
    <n v="2E-3"/>
  </r>
  <r>
    <x v="5"/>
    <x v="29"/>
    <x v="20"/>
    <n v="2E-3"/>
  </r>
  <r>
    <x v="5"/>
    <x v="30"/>
    <x v="10"/>
    <n v="5.0000000000000001E-3"/>
  </r>
  <r>
    <x v="5"/>
    <x v="30"/>
    <x v="10"/>
    <n v="5.0000000000000001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31"/>
    <x v="39"/>
    <n v="8.0000000000000002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7"/>
    <x v="30"/>
    <n v="6.0000000000000001E-3"/>
  </r>
  <r>
    <x v="5"/>
    <x v="32"/>
    <x v="27"/>
    <n v="4.0000000000000001E-3"/>
  </r>
  <r>
    <x v="5"/>
    <x v="1"/>
    <x v="30"/>
    <n v="6.0000000000000001E-3"/>
  </r>
  <r>
    <x v="5"/>
    <x v="28"/>
    <x v="10"/>
    <n v="1.2E-2"/>
  </r>
  <r>
    <x v="5"/>
    <x v="30"/>
    <x v="35"/>
    <n v="4.0000000000000001E-3"/>
  </r>
  <r>
    <x v="5"/>
    <x v="30"/>
    <x v="35"/>
    <n v="4.0000000000000001E-3"/>
  </r>
  <r>
    <x v="5"/>
    <x v="30"/>
    <x v="35"/>
    <n v="4.0000000000000001E-3"/>
  </r>
  <r>
    <x v="5"/>
    <x v="30"/>
    <x v="35"/>
    <n v="4.0000000000000001E-3"/>
  </r>
  <r>
    <x v="5"/>
    <x v="33"/>
    <x v="20"/>
    <n v="1E-3"/>
  </r>
  <r>
    <x v="5"/>
    <x v="33"/>
    <x v="20"/>
    <n v="1E-3"/>
  </r>
  <r>
    <x v="5"/>
    <x v="33"/>
    <x v="20"/>
    <n v="1E-3"/>
  </r>
  <r>
    <x v="5"/>
    <x v="33"/>
    <x v="20"/>
    <n v="1E-3"/>
  </r>
  <r>
    <x v="5"/>
    <x v="34"/>
    <x v="40"/>
    <n v="3.0000000000000001E-3"/>
  </r>
  <r>
    <x v="5"/>
    <x v="34"/>
    <x v="40"/>
    <n v="3.0000000000000001E-3"/>
  </r>
  <r>
    <x v="5"/>
    <x v="34"/>
    <x v="40"/>
    <n v="3.0000000000000001E-3"/>
  </r>
  <r>
    <x v="5"/>
    <x v="35"/>
    <x v="41"/>
    <n v="4.0000000000000001E-3"/>
  </r>
  <r>
    <x v="5"/>
    <x v="35"/>
    <x v="41"/>
    <n v="4.0000000000000001E-3"/>
  </r>
  <r>
    <x v="5"/>
    <x v="35"/>
    <x v="41"/>
    <n v="4.0000000000000001E-3"/>
  </r>
  <r>
    <x v="5"/>
    <x v="35"/>
    <x v="41"/>
    <n v="4.0000000000000001E-3"/>
  </r>
  <r>
    <x v="5"/>
    <x v="28"/>
    <x v="10"/>
    <n v="1.2E-2"/>
  </r>
  <r>
    <x v="5"/>
    <x v="36"/>
    <x v="38"/>
    <n v="2E-3"/>
  </r>
  <r>
    <x v="5"/>
    <x v="36"/>
    <x v="38"/>
    <n v="2E-3"/>
  </r>
  <r>
    <x v="5"/>
    <x v="37"/>
    <x v="10"/>
    <n v="8.9999999999999993E-3"/>
  </r>
  <r>
    <x v="5"/>
    <x v="37"/>
    <x v="10"/>
    <n v="8.9999999999999993E-3"/>
  </r>
  <r>
    <x v="5"/>
    <x v="7"/>
    <x v="42"/>
    <n v="5.0000000000000001E-3"/>
  </r>
  <r>
    <x v="5"/>
    <x v="7"/>
    <x v="42"/>
    <n v="5.0000000000000001E-3"/>
  </r>
  <r>
    <x v="5"/>
    <x v="15"/>
    <x v="43"/>
    <n v="2E-3"/>
  </r>
  <r>
    <x v="5"/>
    <x v="15"/>
    <x v="43"/>
    <n v="2E-3"/>
  </r>
  <r>
    <x v="5"/>
    <x v="15"/>
    <x v="43"/>
    <n v="2E-3"/>
  </r>
  <r>
    <x v="5"/>
    <x v="23"/>
    <x v="27"/>
    <n v="2E-3"/>
  </r>
  <r>
    <x v="5"/>
    <x v="23"/>
    <x v="27"/>
    <n v="2E-3"/>
  </r>
  <r>
    <x v="5"/>
    <x v="38"/>
    <x v="20"/>
    <n v="1E-3"/>
  </r>
  <r>
    <x v="5"/>
    <x v="38"/>
    <x v="20"/>
    <n v="1E-3"/>
  </r>
  <r>
    <x v="5"/>
    <x v="15"/>
    <x v="44"/>
    <n v="1E-3"/>
  </r>
  <r>
    <x v="5"/>
    <x v="15"/>
    <x v="37"/>
    <n v="1E-3"/>
  </r>
  <r>
    <x v="5"/>
    <x v="39"/>
    <x v="2"/>
    <n v="2E-3"/>
  </r>
  <r>
    <x v="5"/>
    <x v="39"/>
    <x v="2"/>
    <n v="2E-3"/>
  </r>
  <r>
    <x v="5"/>
    <x v="39"/>
    <x v="2"/>
    <n v="2E-3"/>
  </r>
  <r>
    <x v="5"/>
    <x v="39"/>
    <x v="2"/>
    <n v="2E-3"/>
  </r>
  <r>
    <x v="5"/>
    <x v="4"/>
    <x v="40"/>
    <n v="3.0000000000000001E-3"/>
  </r>
  <r>
    <x v="5"/>
    <x v="22"/>
    <x v="45"/>
    <n v="1E-3"/>
  </r>
  <r>
    <x v="5"/>
    <x v="22"/>
    <x v="45"/>
    <n v="1E-3"/>
  </r>
  <r>
    <x v="5"/>
    <x v="2"/>
    <x v="0"/>
    <n v="1E-3"/>
  </r>
  <r>
    <x v="5"/>
    <x v="2"/>
    <x v="0"/>
    <n v="1E-3"/>
  </r>
  <r>
    <x v="6"/>
    <x v="6"/>
    <x v="13"/>
    <n v="0.33900000000000002"/>
  </r>
  <r>
    <x v="6"/>
    <x v="6"/>
    <x v="13"/>
    <n v="0.33900000000000002"/>
  </r>
  <r>
    <x v="6"/>
    <x v="6"/>
    <x v="46"/>
    <n v="0.35699999999999998"/>
  </r>
  <r>
    <x v="6"/>
    <x v="6"/>
    <x v="46"/>
    <n v="0.35699999999999998"/>
  </r>
  <r>
    <x v="6"/>
    <x v="6"/>
    <x v="47"/>
    <n v="0.44"/>
  </r>
  <r>
    <x v="6"/>
    <x v="6"/>
    <x v="47"/>
    <n v="0.44"/>
  </r>
  <r>
    <x v="6"/>
    <x v="6"/>
    <x v="47"/>
    <n v="0.44"/>
  </r>
  <r>
    <x v="6"/>
    <x v="6"/>
    <x v="48"/>
    <n v="0.26"/>
  </r>
  <r>
    <x v="6"/>
    <x v="6"/>
    <x v="46"/>
    <n v="0.35699999999999998"/>
  </r>
  <r>
    <x v="6"/>
    <x v="6"/>
    <x v="13"/>
    <n v="0.33900000000000002"/>
  </r>
  <r>
    <x v="6"/>
    <x v="6"/>
    <x v="13"/>
    <n v="0.33900000000000002"/>
  </r>
  <r>
    <x v="6"/>
    <x v="6"/>
    <x v="47"/>
    <n v="0.44"/>
  </r>
  <r>
    <x v="6"/>
    <x v="6"/>
    <x v="47"/>
    <n v="0.44"/>
  </r>
  <r>
    <x v="6"/>
    <x v="6"/>
    <x v="48"/>
    <n v="0.26"/>
  </r>
  <r>
    <x v="6"/>
    <x v="6"/>
    <x v="48"/>
    <n v="0.26"/>
  </r>
  <r>
    <x v="6"/>
    <x v="6"/>
    <x v="46"/>
    <n v="0.35699999999999998"/>
  </r>
  <r>
    <x v="6"/>
    <x v="6"/>
    <x v="13"/>
    <n v="0.33900000000000002"/>
  </r>
  <r>
    <x v="6"/>
    <x v="6"/>
    <x v="48"/>
    <n v="0.26"/>
  </r>
  <r>
    <x v="6"/>
    <x v="6"/>
    <x v="46"/>
    <n v="0.35699999999999998"/>
  </r>
  <r>
    <x v="6"/>
    <x v="6"/>
    <x v="48"/>
    <n v="0.26"/>
  </r>
  <r>
    <x v="6"/>
    <x v="6"/>
    <x v="48"/>
    <n v="0.26"/>
  </r>
  <r>
    <x v="6"/>
    <x v="6"/>
    <x v="47"/>
    <n v="0.44"/>
  </r>
  <r>
    <x v="6"/>
    <x v="6"/>
    <x v="47"/>
    <n v="0.44"/>
  </r>
  <r>
    <x v="6"/>
    <x v="6"/>
    <x v="46"/>
    <n v="0.35699999999999998"/>
  </r>
  <r>
    <x v="6"/>
    <x v="6"/>
    <x v="46"/>
    <n v="0.35699999999999998"/>
  </r>
  <r>
    <x v="6"/>
    <x v="6"/>
    <x v="13"/>
    <n v="0.33900000000000002"/>
  </r>
  <r>
    <x v="6"/>
    <x v="6"/>
    <x v="47"/>
    <n v="0.44"/>
  </r>
  <r>
    <x v="6"/>
    <x v="6"/>
    <x v="13"/>
    <n v="0.33900000000000002"/>
  </r>
  <r>
    <x v="6"/>
    <x v="6"/>
    <x v="46"/>
    <n v="0.35699999999999998"/>
  </r>
  <r>
    <x v="6"/>
    <x v="6"/>
    <x v="46"/>
    <n v="0.35699999999999998"/>
  </r>
  <r>
    <x v="6"/>
    <x v="6"/>
    <x v="46"/>
    <n v="0.35699999999999998"/>
  </r>
  <r>
    <x v="6"/>
    <x v="6"/>
    <x v="46"/>
    <n v="0.35699999999999998"/>
  </r>
  <r>
    <x v="6"/>
    <x v="6"/>
    <x v="47"/>
    <n v="0.44"/>
  </r>
  <r>
    <x v="6"/>
    <x v="6"/>
    <x v="46"/>
    <n v="0.35699999999999998"/>
  </r>
  <r>
    <x v="6"/>
    <x v="6"/>
    <x v="13"/>
    <n v="0.33900000000000002"/>
  </r>
  <r>
    <x v="6"/>
    <x v="6"/>
    <x v="46"/>
    <n v="0.35699999999999998"/>
  </r>
  <r>
    <x v="6"/>
    <x v="6"/>
    <x v="47"/>
    <n v="0.44"/>
  </r>
  <r>
    <x v="6"/>
    <x v="6"/>
    <x v="47"/>
    <n v="0.44"/>
  </r>
  <r>
    <x v="6"/>
    <x v="6"/>
    <x v="47"/>
    <n v="0.44"/>
  </r>
  <r>
    <x v="6"/>
    <x v="6"/>
    <x v="46"/>
    <n v="0.35699999999999998"/>
  </r>
  <r>
    <x v="6"/>
    <x v="6"/>
    <x v="47"/>
    <n v="0.44"/>
  </r>
  <r>
    <x v="6"/>
    <x v="6"/>
    <x v="48"/>
    <n v="0.26"/>
  </r>
  <r>
    <x v="6"/>
    <x v="6"/>
    <x v="13"/>
    <n v="0.33900000000000002"/>
  </r>
  <r>
    <x v="6"/>
    <x v="6"/>
    <x v="13"/>
    <n v="0.33900000000000002"/>
  </r>
  <r>
    <x v="6"/>
    <x v="6"/>
    <x v="48"/>
    <n v="0.26"/>
  </r>
  <r>
    <x v="6"/>
    <x v="6"/>
    <x v="46"/>
    <n v="0.35699999999999998"/>
  </r>
  <r>
    <x v="6"/>
    <x v="6"/>
    <x v="13"/>
    <n v="0.33900000000000002"/>
  </r>
  <r>
    <x v="6"/>
    <x v="6"/>
    <x v="47"/>
    <n v="0.44"/>
  </r>
  <r>
    <x v="6"/>
    <x v="6"/>
    <x v="46"/>
    <n v="0.35699999999999998"/>
  </r>
  <r>
    <x v="6"/>
    <x v="6"/>
    <x v="47"/>
    <n v="0.44"/>
  </r>
  <r>
    <x v="6"/>
    <x v="6"/>
    <x v="47"/>
    <n v="0.44"/>
  </r>
  <r>
    <x v="6"/>
    <x v="6"/>
    <x v="13"/>
    <n v="0.33900000000000002"/>
  </r>
  <r>
    <x v="6"/>
    <x v="6"/>
    <x v="13"/>
    <n v="0.33900000000000002"/>
  </r>
  <r>
    <x v="6"/>
    <x v="6"/>
    <x v="48"/>
    <n v="0.26"/>
  </r>
  <r>
    <x v="6"/>
    <x v="6"/>
    <x v="48"/>
    <n v="0.26"/>
  </r>
  <r>
    <x v="6"/>
    <x v="6"/>
    <x v="48"/>
    <n v="0.26"/>
  </r>
  <r>
    <x v="6"/>
    <x v="6"/>
    <x v="48"/>
    <n v="0.26"/>
  </r>
  <r>
    <x v="6"/>
    <x v="6"/>
    <x v="13"/>
    <n v="0.33900000000000002"/>
  </r>
  <r>
    <x v="6"/>
    <x v="6"/>
    <x v="48"/>
    <n v="0.26"/>
  </r>
  <r>
    <x v="6"/>
    <x v="6"/>
    <x v="13"/>
    <n v="0.33900000000000002"/>
  </r>
  <r>
    <x v="6"/>
    <x v="6"/>
    <x v="48"/>
    <n v="0.26"/>
  </r>
  <r>
    <x v="6"/>
    <x v="6"/>
    <x v="48"/>
    <n v="0.26"/>
  </r>
  <r>
    <x v="6"/>
    <x v="6"/>
    <x v="13"/>
    <n v="0.33900000000000002"/>
  </r>
  <r>
    <x v="6"/>
    <x v="6"/>
    <x v="48"/>
    <n v="0.26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7"/>
    <x v="40"/>
    <x v="49"/>
    <n v="1E-3"/>
  </r>
  <r>
    <x v="8"/>
    <x v="41"/>
    <x v="50"/>
    <n v="0.41899999999999998"/>
  </r>
  <r>
    <x v="8"/>
    <x v="41"/>
    <x v="50"/>
    <n v="0.41899999999999998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1"/>
    <x v="51"/>
    <n v="0.40699999999999997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1"/>
    <n v="4.1000000000000002E-2"/>
  </r>
  <r>
    <x v="8"/>
    <x v="42"/>
    <x v="52"/>
    <n v="0.04"/>
  </r>
  <r>
    <x v="8"/>
    <x v="42"/>
    <x v="52"/>
    <n v="0.04"/>
  </r>
  <r>
    <x v="8"/>
    <x v="42"/>
    <x v="52"/>
    <n v="0.04"/>
  </r>
  <r>
    <x v="8"/>
    <x v="42"/>
    <x v="52"/>
    <n v="0.04"/>
  </r>
  <r>
    <x v="8"/>
    <x v="43"/>
    <x v="51"/>
    <n v="0.33"/>
  </r>
  <r>
    <x v="8"/>
    <x v="43"/>
    <x v="51"/>
    <n v="0.33"/>
  </r>
  <r>
    <x v="8"/>
    <x v="43"/>
    <x v="51"/>
    <n v="0.33"/>
  </r>
  <r>
    <x v="8"/>
    <x v="43"/>
    <x v="51"/>
    <n v="0.33"/>
  </r>
  <r>
    <x v="8"/>
    <x v="43"/>
    <x v="51"/>
    <n v="0.33"/>
  </r>
  <r>
    <x v="8"/>
    <x v="43"/>
    <x v="51"/>
    <n v="0.33"/>
  </r>
  <r>
    <x v="8"/>
    <x v="43"/>
    <x v="51"/>
    <n v="0.33"/>
  </r>
  <r>
    <x v="8"/>
    <x v="43"/>
    <x v="51"/>
    <n v="0.33"/>
  </r>
  <r>
    <x v="8"/>
    <x v="43"/>
    <x v="51"/>
    <n v="0.33"/>
  </r>
  <r>
    <x v="8"/>
    <x v="41"/>
    <x v="52"/>
    <n v="0.39800000000000002"/>
  </r>
  <r>
    <x v="8"/>
    <x v="41"/>
    <x v="52"/>
    <n v="0.39800000000000002"/>
  </r>
  <r>
    <x v="8"/>
    <x v="42"/>
    <x v="50"/>
    <n v="4.2000000000000003E-2"/>
  </r>
  <r>
    <x v="8"/>
    <x v="42"/>
    <x v="50"/>
    <n v="4.2000000000000003E-2"/>
  </r>
  <r>
    <x v="8"/>
    <x v="42"/>
    <x v="50"/>
    <n v="4.2000000000000003E-2"/>
  </r>
  <r>
    <x v="8"/>
    <x v="42"/>
    <x v="50"/>
    <n v="4.2000000000000003E-2"/>
  </r>
  <r>
    <x v="8"/>
    <x v="43"/>
    <x v="52"/>
    <n v="0.32200000000000001"/>
  </r>
  <r>
    <x v="8"/>
    <x v="43"/>
    <x v="52"/>
    <n v="0.32200000000000001"/>
  </r>
  <r>
    <x v="8"/>
    <x v="43"/>
    <x v="53"/>
    <n v="0.34399999999999997"/>
  </r>
  <r>
    <x v="8"/>
    <x v="43"/>
    <x v="53"/>
    <n v="0.34399999999999997"/>
  </r>
  <r>
    <x v="9"/>
    <x v="26"/>
    <x v="54"/>
    <n v="0"/>
  </r>
  <r>
    <x v="9"/>
    <x v="26"/>
    <x v="54"/>
    <n v="0"/>
  </r>
  <r>
    <x v="9"/>
    <x v="26"/>
    <x v="54"/>
    <n v="0"/>
  </r>
  <r>
    <x v="9"/>
    <x v="26"/>
    <x v="54"/>
    <n v="0"/>
  </r>
  <r>
    <x v="9"/>
    <x v="26"/>
    <x v="54"/>
    <n v="0"/>
  </r>
  <r>
    <x v="9"/>
    <x v="26"/>
    <x v="54"/>
    <n v="0"/>
  </r>
  <r>
    <x v="9"/>
    <x v="26"/>
    <x v="54"/>
    <n v="0"/>
  </r>
  <r>
    <x v="9"/>
    <x v="26"/>
    <x v="54"/>
    <n v="0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4"/>
    <x v="55"/>
    <n v="3.0000000000000001E-3"/>
  </r>
  <r>
    <x v="9"/>
    <x v="45"/>
    <x v="23"/>
    <n v="0.01"/>
  </r>
  <r>
    <x v="9"/>
    <x v="45"/>
    <x v="23"/>
    <n v="0.01"/>
  </r>
  <r>
    <x v="9"/>
    <x v="20"/>
    <x v="40"/>
    <n v="2E-3"/>
  </r>
  <r>
    <x v="9"/>
    <x v="20"/>
    <x v="40"/>
    <n v="2E-3"/>
  </r>
  <r>
    <x v="9"/>
    <x v="20"/>
    <x v="40"/>
    <n v="2E-3"/>
  </r>
  <r>
    <x v="9"/>
    <x v="20"/>
    <x v="40"/>
    <n v="2E-3"/>
  </r>
  <r>
    <x v="10"/>
    <x v="46"/>
    <x v="56"/>
    <n v="1.4999999999999999E-2"/>
  </r>
  <r>
    <x v="10"/>
    <x v="46"/>
    <x v="56"/>
    <n v="1.4999999999999999E-2"/>
  </r>
  <r>
    <x v="10"/>
    <x v="46"/>
    <x v="56"/>
    <n v="1.4999999999999999E-2"/>
  </r>
  <r>
    <x v="10"/>
    <x v="46"/>
    <x v="57"/>
    <n v="1.4999999999999999E-2"/>
  </r>
  <r>
    <x v="10"/>
    <x v="47"/>
    <x v="58"/>
    <n v="5.0000000000000001E-3"/>
  </r>
  <r>
    <x v="10"/>
    <x v="47"/>
    <x v="58"/>
    <n v="5.0000000000000001E-3"/>
  </r>
  <r>
    <x v="10"/>
    <x v="47"/>
    <x v="58"/>
    <n v="5.0000000000000001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0"/>
    <n v="8.9999999999999993E-3"/>
  </r>
  <r>
    <x v="10"/>
    <x v="49"/>
    <x v="61"/>
    <n v="1.2999999999999999E-2"/>
  </r>
  <r>
    <x v="10"/>
    <x v="49"/>
    <x v="61"/>
    <n v="1.2999999999999999E-2"/>
  </r>
  <r>
    <x v="10"/>
    <x v="49"/>
    <x v="61"/>
    <n v="1.2999999999999999E-2"/>
  </r>
  <r>
    <x v="10"/>
    <x v="49"/>
    <x v="61"/>
    <n v="1.2999999999999999E-2"/>
  </r>
  <r>
    <x v="10"/>
    <x v="49"/>
    <x v="61"/>
    <n v="1.2999999999999999E-2"/>
  </r>
  <r>
    <x v="10"/>
    <x v="49"/>
    <x v="61"/>
    <n v="1.2999999999999999E-2"/>
  </r>
  <r>
    <x v="10"/>
    <x v="49"/>
    <x v="61"/>
    <n v="1.2999999999999999E-2"/>
  </r>
  <r>
    <x v="10"/>
    <x v="49"/>
    <x v="61"/>
    <n v="1.2999999999999999E-2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2"/>
    <n v="8.0000000000000002E-3"/>
  </r>
  <r>
    <x v="10"/>
    <x v="48"/>
    <x v="63"/>
    <n v="1.2999999999999999E-2"/>
  </r>
  <r>
    <x v="10"/>
    <x v="48"/>
    <x v="63"/>
    <n v="1.2999999999999999E-2"/>
  </r>
  <r>
    <x v="10"/>
    <x v="48"/>
    <x v="64"/>
    <n v="6.0000000000000001E-3"/>
  </r>
  <r>
    <x v="10"/>
    <x v="48"/>
    <x v="65"/>
    <n v="8.9999999999999993E-3"/>
  </r>
  <r>
    <x v="10"/>
    <x v="48"/>
    <x v="65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59"/>
    <n v="8.9999999999999993E-3"/>
  </r>
  <r>
    <x v="10"/>
    <x v="48"/>
    <x v="66"/>
    <n v="1.2999999999999999E-2"/>
  </r>
  <r>
    <x v="10"/>
    <x v="48"/>
    <x v="66"/>
    <n v="1.2999999999999999E-2"/>
  </r>
  <r>
    <x v="10"/>
    <x v="48"/>
    <x v="63"/>
    <n v="1.2999999999999999E-2"/>
  </r>
  <r>
    <x v="10"/>
    <x v="48"/>
    <x v="63"/>
    <n v="1.2999999999999999E-2"/>
  </r>
  <r>
    <x v="10"/>
    <x v="48"/>
    <x v="62"/>
    <n v="8.0000000000000002E-3"/>
  </r>
  <r>
    <x v="10"/>
    <x v="48"/>
    <x v="66"/>
    <n v="1.2999999999999999E-2"/>
  </r>
  <r>
    <x v="10"/>
    <x v="48"/>
    <x v="66"/>
    <n v="1.2999999999999999E-2"/>
  </r>
  <r>
    <x v="10"/>
    <x v="48"/>
    <x v="64"/>
    <n v="6.0000000000000001E-3"/>
  </r>
  <r>
    <x v="10"/>
    <x v="48"/>
    <x v="67"/>
    <n v="7.0000000000000001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1"/>
    <x v="50"/>
    <x v="2"/>
    <n v="2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68"/>
    <n v="1E-3"/>
  </r>
  <r>
    <x v="12"/>
    <x v="51"/>
    <x v="7"/>
    <n v="1E-3"/>
  </r>
  <r>
    <x v="12"/>
    <x v="51"/>
    <x v="68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2"/>
    <x v="35"/>
    <n v="3.000000000000000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7"/>
    <n v="1E-3"/>
  </r>
  <r>
    <x v="12"/>
    <x v="51"/>
    <x v="68"/>
    <n v="1E-3"/>
  </r>
  <r>
    <x v="12"/>
    <x v="51"/>
    <x v="68"/>
    <n v="1E-3"/>
  </r>
  <r>
    <x v="12"/>
    <x v="51"/>
    <x v="68"/>
    <n v="1E-3"/>
  </r>
  <r>
    <x v="12"/>
    <x v="51"/>
    <x v="68"/>
    <n v="1E-3"/>
  </r>
  <r>
    <x v="12"/>
    <x v="51"/>
    <x v="7"/>
    <n v="1E-3"/>
  </r>
  <r>
    <x v="12"/>
    <x v="51"/>
    <x v="7"/>
    <n v="1E-3"/>
  </r>
  <r>
    <x v="12"/>
    <x v="51"/>
    <x v="68"/>
    <n v="1E-3"/>
  </r>
  <r>
    <x v="12"/>
    <x v="51"/>
    <x v="68"/>
    <n v="1E-3"/>
  </r>
  <r>
    <x v="12"/>
    <x v="51"/>
    <x v="68"/>
    <n v="1E-3"/>
  </r>
  <r>
    <x v="12"/>
    <x v="51"/>
    <x v="7"/>
    <n v="1E-3"/>
  </r>
  <r>
    <x v="12"/>
    <x v="51"/>
    <x v="68"/>
    <n v="1E-3"/>
  </r>
  <r>
    <x v="12"/>
    <x v="51"/>
    <x v="7"/>
    <n v="1E-3"/>
  </r>
  <r>
    <x v="12"/>
    <x v="51"/>
    <x v="7"/>
    <n v="1E-3"/>
  </r>
  <r>
    <x v="12"/>
    <x v="51"/>
    <x v="68"/>
    <n v="1E-3"/>
  </r>
  <r>
    <x v="12"/>
    <x v="51"/>
    <x v="7"/>
    <n v="1E-3"/>
  </r>
  <r>
    <x v="12"/>
    <x v="51"/>
    <x v="68"/>
    <n v="1E-3"/>
  </r>
  <r>
    <x v="12"/>
    <x v="4"/>
    <x v="2"/>
    <n v="2E-3"/>
  </r>
  <r>
    <x v="12"/>
    <x v="4"/>
    <x v="2"/>
    <n v="2E-3"/>
  </r>
  <r>
    <x v="12"/>
    <x v="53"/>
    <x v="7"/>
    <n v="4.0000000000000001E-3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26"/>
    <x v="37"/>
    <n v="0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0"/>
    <x v="2"/>
    <n v="2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4"/>
    <x v="44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5"/>
    <x v="69"/>
    <n v="1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56"/>
    <x v="31"/>
    <n v="8.0000000000000002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34"/>
    <x v="70"/>
    <n v="7.0000000000000001E-3"/>
  </r>
  <r>
    <x v="12"/>
    <x v="57"/>
    <x v="71"/>
    <n v="4.0000000000000001E-3"/>
  </r>
  <r>
    <x v="12"/>
    <x v="58"/>
    <x v="72"/>
    <n v="5.0000000000000001E-3"/>
  </r>
  <r>
    <x v="12"/>
    <x v="58"/>
    <x v="72"/>
    <n v="5.0000000000000001E-3"/>
  </r>
  <r>
    <x v="12"/>
    <x v="59"/>
    <x v="73"/>
    <n v="4.0000000000000001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2"/>
    <x v="2"/>
    <n v="2E-3"/>
  </r>
  <r>
    <x v="12"/>
    <x v="60"/>
    <x v="69"/>
    <n v="5.0000000000000001E-3"/>
  </r>
  <r>
    <x v="12"/>
    <x v="57"/>
    <x v="71"/>
    <n v="4.0000000000000001E-3"/>
  </r>
  <r>
    <x v="12"/>
    <x v="4"/>
    <x v="69"/>
    <n v="4.0000000000000001E-3"/>
  </r>
  <r>
    <x v="12"/>
    <x v="4"/>
    <x v="69"/>
    <n v="4.0000000000000001E-3"/>
  </r>
  <r>
    <x v="12"/>
    <x v="7"/>
    <x v="30"/>
    <n v="6.0000000000000001E-3"/>
  </r>
  <r>
    <x v="12"/>
    <x v="7"/>
    <x v="30"/>
    <n v="6.0000000000000001E-3"/>
  </r>
  <r>
    <x v="12"/>
    <x v="7"/>
    <x v="30"/>
    <n v="6.0000000000000001E-3"/>
  </r>
  <r>
    <x v="12"/>
    <x v="7"/>
    <x v="30"/>
    <n v="6.0000000000000001E-3"/>
  </r>
  <r>
    <x v="12"/>
    <x v="7"/>
    <x v="30"/>
    <n v="6.0000000000000001E-3"/>
  </r>
  <r>
    <x v="12"/>
    <x v="7"/>
    <x v="30"/>
    <n v="6.0000000000000001E-3"/>
  </r>
  <r>
    <x v="12"/>
    <x v="7"/>
    <x v="30"/>
    <n v="6.0000000000000001E-3"/>
  </r>
  <r>
    <x v="12"/>
    <x v="61"/>
    <x v="44"/>
    <n v="0"/>
  </r>
  <r>
    <x v="12"/>
    <x v="61"/>
    <x v="44"/>
    <n v="0"/>
  </r>
  <r>
    <x v="12"/>
    <x v="61"/>
    <x v="44"/>
    <n v="0"/>
  </r>
  <r>
    <x v="12"/>
    <x v="60"/>
    <x v="69"/>
    <n v="5.0000000000000001E-3"/>
  </r>
  <r>
    <x v="12"/>
    <x v="62"/>
    <x v="74"/>
    <n v="4.0000000000000001E-3"/>
  </r>
  <r>
    <x v="12"/>
    <x v="62"/>
    <x v="74"/>
    <n v="4.0000000000000001E-3"/>
  </r>
  <r>
    <x v="12"/>
    <x v="62"/>
    <x v="74"/>
    <n v="4.0000000000000001E-3"/>
  </r>
  <r>
    <x v="12"/>
    <x v="57"/>
    <x v="75"/>
    <n v="4.0000000000000001E-3"/>
  </r>
  <r>
    <x v="12"/>
    <x v="59"/>
    <x v="73"/>
    <n v="4.0000000000000001E-3"/>
  </r>
  <r>
    <x v="12"/>
    <x v="63"/>
    <x v="76"/>
    <n v="5.0000000000000001E-3"/>
  </r>
  <r>
    <x v="12"/>
    <x v="63"/>
    <x v="76"/>
    <n v="5.0000000000000001E-3"/>
  </r>
  <r>
    <x v="12"/>
    <x v="57"/>
    <x v="75"/>
    <n v="4.0000000000000001E-3"/>
  </r>
  <r>
    <x v="12"/>
    <x v="60"/>
    <x v="69"/>
    <n v="5.0000000000000001E-3"/>
  </r>
  <r>
    <x v="12"/>
    <x v="63"/>
    <x v="76"/>
    <n v="5.0000000000000001E-3"/>
  </r>
  <r>
    <x v="12"/>
    <x v="63"/>
    <x v="76"/>
    <n v="5.0000000000000001E-3"/>
  </r>
  <r>
    <x v="12"/>
    <x v="64"/>
    <x v="77"/>
    <n v="0.01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1"/>
    <x v="44"/>
    <n v="1E-3"/>
  </r>
  <r>
    <x v="12"/>
    <x v="65"/>
    <x v="54"/>
    <n v="0"/>
  </r>
  <r>
    <x v="12"/>
    <x v="65"/>
    <x v="54"/>
    <n v="0"/>
  </r>
  <r>
    <x v="12"/>
    <x v="50"/>
    <x v="78"/>
    <n v="2E-3"/>
  </r>
  <r>
    <x v="12"/>
    <x v="66"/>
    <x v="79"/>
    <n v="3.0000000000000001E-3"/>
  </r>
  <r>
    <x v="12"/>
    <x v="67"/>
    <x v="80"/>
    <n v="4.0000000000000001E-3"/>
  </r>
  <r>
    <x v="12"/>
    <x v="67"/>
    <x v="80"/>
    <n v="4.0000000000000001E-3"/>
  </r>
  <r>
    <x v="12"/>
    <x v="67"/>
    <x v="80"/>
    <n v="4.0000000000000001E-3"/>
  </r>
  <r>
    <x v="12"/>
    <x v="67"/>
    <x v="80"/>
    <n v="4.0000000000000001E-3"/>
  </r>
  <r>
    <x v="12"/>
    <x v="60"/>
    <x v="69"/>
    <n v="5.0000000000000001E-3"/>
  </r>
  <r>
    <x v="12"/>
    <x v="68"/>
    <x v="81"/>
    <n v="4.0000000000000001E-3"/>
  </r>
  <r>
    <x v="12"/>
    <x v="69"/>
    <x v="7"/>
    <n v="4.0000000000000001E-3"/>
  </r>
  <r>
    <x v="12"/>
    <x v="69"/>
    <x v="7"/>
    <n v="4.0000000000000001E-3"/>
  </r>
  <r>
    <x v="12"/>
    <x v="58"/>
    <x v="72"/>
    <n v="5.0000000000000001E-3"/>
  </r>
  <r>
    <x v="12"/>
    <x v="58"/>
    <x v="72"/>
    <n v="5.0000000000000001E-3"/>
  </r>
  <r>
    <x v="12"/>
    <x v="59"/>
    <x v="73"/>
    <n v="4.0000000000000001E-3"/>
  </r>
  <r>
    <x v="12"/>
    <x v="0"/>
    <x v="82"/>
    <n v="2E-3"/>
  </r>
  <r>
    <x v="12"/>
    <x v="0"/>
    <x v="82"/>
    <n v="2E-3"/>
  </r>
  <r>
    <x v="12"/>
    <x v="62"/>
    <x v="74"/>
    <n v="4.0000000000000001E-3"/>
  </r>
  <r>
    <x v="12"/>
    <x v="53"/>
    <x v="7"/>
    <n v="4.0000000000000001E-3"/>
  </r>
  <r>
    <x v="12"/>
    <x v="69"/>
    <x v="7"/>
    <n v="4.0000000000000001E-3"/>
  </r>
  <r>
    <x v="12"/>
    <x v="69"/>
    <x v="7"/>
    <n v="4.0000000000000001E-3"/>
  </r>
  <r>
    <x v="12"/>
    <x v="53"/>
    <x v="7"/>
    <n v="4.0000000000000001E-3"/>
  </r>
  <r>
    <x v="12"/>
    <x v="62"/>
    <x v="74"/>
    <n v="4.0000000000000001E-3"/>
  </r>
  <r>
    <x v="12"/>
    <x v="62"/>
    <x v="74"/>
    <n v="4.0000000000000001E-3"/>
  </r>
  <r>
    <x v="12"/>
    <x v="62"/>
    <x v="74"/>
    <n v="4.0000000000000001E-3"/>
  </r>
  <r>
    <x v="12"/>
    <x v="57"/>
    <x v="71"/>
    <n v="4.0000000000000001E-3"/>
  </r>
  <r>
    <x v="12"/>
    <x v="68"/>
    <x v="81"/>
    <n v="4.0000000000000001E-3"/>
  </r>
  <r>
    <x v="12"/>
    <x v="53"/>
    <x v="7"/>
    <n v="4.0000000000000001E-3"/>
  </r>
  <r>
    <x v="12"/>
    <x v="59"/>
    <x v="73"/>
    <n v="4.0000000000000001E-3"/>
  </r>
  <r>
    <x v="12"/>
    <x v="70"/>
    <x v="83"/>
    <n v="0"/>
  </r>
  <r>
    <x v="12"/>
    <x v="70"/>
    <x v="83"/>
    <n v="0"/>
  </r>
  <r>
    <x v="12"/>
    <x v="68"/>
    <x v="81"/>
    <n v="4.0000000000000001E-3"/>
  </r>
  <r>
    <x v="12"/>
    <x v="57"/>
    <x v="71"/>
    <n v="4.0000000000000001E-3"/>
  </r>
  <r>
    <x v="12"/>
    <x v="68"/>
    <x v="81"/>
    <n v="4.0000000000000001E-3"/>
  </r>
  <r>
    <x v="12"/>
    <x v="57"/>
    <x v="75"/>
    <n v="4.0000000000000001E-3"/>
  </r>
  <r>
    <x v="12"/>
    <x v="62"/>
    <x v="74"/>
    <n v="4.0000000000000001E-3"/>
  </r>
  <r>
    <x v="12"/>
    <x v="57"/>
    <x v="75"/>
    <n v="4.0000000000000001E-3"/>
  </r>
  <r>
    <x v="13"/>
    <x v="71"/>
    <x v="84"/>
    <n v="0.02"/>
  </r>
  <r>
    <x v="13"/>
    <x v="71"/>
    <x v="85"/>
    <n v="0.08"/>
  </r>
  <r>
    <x v="13"/>
    <x v="71"/>
    <x v="86"/>
    <n v="3.9E-2"/>
  </r>
  <r>
    <x v="13"/>
    <x v="71"/>
    <x v="84"/>
    <n v="0.02"/>
  </r>
  <r>
    <x v="13"/>
    <x v="71"/>
    <x v="15"/>
    <n v="8.1000000000000003E-2"/>
  </r>
  <r>
    <x v="13"/>
    <x v="71"/>
    <x v="84"/>
    <n v="0.02"/>
  </r>
  <r>
    <x v="13"/>
    <x v="71"/>
    <x v="84"/>
    <n v="0.02"/>
  </r>
  <r>
    <x v="13"/>
    <x v="71"/>
    <x v="87"/>
    <n v="7.9000000000000001E-2"/>
  </r>
  <r>
    <x v="13"/>
    <x v="71"/>
    <x v="84"/>
    <n v="0.02"/>
  </r>
  <r>
    <x v="13"/>
    <x v="71"/>
    <x v="84"/>
    <n v="0.02"/>
  </r>
  <r>
    <x v="13"/>
    <x v="72"/>
    <x v="88"/>
    <n v="0.11700000000000001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9"/>
    <n v="3.7999999999999999E-2"/>
  </r>
  <r>
    <x v="13"/>
    <x v="71"/>
    <x v="90"/>
    <n v="4.1000000000000002E-2"/>
  </r>
  <r>
    <x v="13"/>
    <x v="71"/>
    <x v="91"/>
    <n v="7.9000000000000001E-2"/>
  </r>
  <r>
    <x v="13"/>
    <x v="71"/>
    <x v="84"/>
    <n v="0.02"/>
  </r>
  <r>
    <x v="13"/>
    <x v="71"/>
    <x v="87"/>
    <n v="7.9000000000000001E-2"/>
  </r>
  <r>
    <x v="13"/>
    <x v="71"/>
    <x v="84"/>
    <n v="0.02"/>
  </r>
  <r>
    <x v="13"/>
    <x v="71"/>
    <x v="87"/>
    <n v="7.9000000000000001E-2"/>
  </r>
  <r>
    <x v="13"/>
    <x v="71"/>
    <x v="92"/>
    <n v="3.5999999999999997E-2"/>
  </r>
  <r>
    <x v="13"/>
    <x v="71"/>
    <x v="85"/>
    <n v="0.08"/>
  </r>
  <r>
    <x v="13"/>
    <x v="71"/>
    <x v="86"/>
    <n v="3.9E-2"/>
  </r>
  <r>
    <x v="13"/>
    <x v="71"/>
    <x v="86"/>
    <n v="3.9E-2"/>
  </r>
  <r>
    <x v="13"/>
    <x v="71"/>
    <x v="84"/>
    <n v="0.02"/>
  </r>
  <r>
    <x v="13"/>
    <x v="71"/>
    <x v="92"/>
    <n v="3.5999999999999997E-2"/>
  </r>
  <r>
    <x v="13"/>
    <x v="71"/>
    <x v="93"/>
    <n v="3.5000000000000003E-2"/>
  </r>
  <r>
    <x v="13"/>
    <x v="71"/>
    <x v="84"/>
    <n v="0.02"/>
  </r>
  <r>
    <x v="13"/>
    <x v="71"/>
    <x v="15"/>
    <n v="8.1000000000000003E-2"/>
  </r>
  <r>
    <x v="13"/>
    <x v="71"/>
    <x v="15"/>
    <n v="8.1000000000000003E-2"/>
  </r>
  <r>
    <x v="13"/>
    <x v="71"/>
    <x v="84"/>
    <n v="0.02"/>
  </r>
  <r>
    <x v="13"/>
    <x v="71"/>
    <x v="85"/>
    <n v="0.08"/>
  </r>
  <r>
    <x v="13"/>
    <x v="71"/>
    <x v="87"/>
    <n v="7.9000000000000001E-2"/>
  </r>
  <r>
    <x v="13"/>
    <x v="71"/>
    <x v="84"/>
    <n v="0.02"/>
  </r>
  <r>
    <x v="13"/>
    <x v="71"/>
    <x v="91"/>
    <n v="7.9000000000000001E-2"/>
  </r>
  <r>
    <x v="13"/>
    <x v="71"/>
    <x v="84"/>
    <n v="0.02"/>
  </r>
  <r>
    <x v="13"/>
    <x v="71"/>
    <x v="84"/>
    <n v="0.02"/>
  </r>
  <r>
    <x v="13"/>
    <x v="71"/>
    <x v="94"/>
    <n v="0.04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15"/>
    <n v="8.1000000000000003E-2"/>
  </r>
  <r>
    <x v="13"/>
    <x v="71"/>
    <x v="84"/>
    <n v="0.02"/>
  </r>
  <r>
    <x v="13"/>
    <x v="71"/>
    <x v="84"/>
    <n v="0.02"/>
  </r>
  <r>
    <x v="13"/>
    <x v="71"/>
    <x v="86"/>
    <n v="3.9E-2"/>
  </r>
  <r>
    <x v="13"/>
    <x v="71"/>
    <x v="84"/>
    <n v="0.02"/>
  </r>
  <r>
    <x v="13"/>
    <x v="71"/>
    <x v="95"/>
    <n v="1.9E-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84"/>
    <n v="0.02"/>
  </r>
  <r>
    <x v="13"/>
    <x v="71"/>
    <x v="96"/>
    <n v="0.35599999999999998"/>
  </r>
  <r>
    <x v="13"/>
    <x v="71"/>
    <x v="97"/>
    <n v="5.3999999999999999E-2"/>
  </r>
  <r>
    <x v="13"/>
    <x v="71"/>
    <x v="15"/>
    <n v="8.1000000000000003E-2"/>
  </r>
  <r>
    <x v="13"/>
    <x v="71"/>
    <x v="87"/>
    <n v="7.9000000000000001E-2"/>
  </r>
  <r>
    <x v="13"/>
    <x v="71"/>
    <x v="15"/>
    <n v="8.1000000000000003E-2"/>
  </r>
  <r>
    <x v="13"/>
    <x v="71"/>
    <x v="92"/>
    <n v="3.5999999999999997E-2"/>
  </r>
  <r>
    <x v="13"/>
    <x v="71"/>
    <x v="15"/>
    <n v="8.1000000000000003E-2"/>
  </r>
  <r>
    <x v="13"/>
    <x v="71"/>
    <x v="87"/>
    <n v="7.9000000000000001E-2"/>
  </r>
  <r>
    <x v="13"/>
    <x v="71"/>
    <x v="87"/>
    <n v="7.9000000000000001E-2"/>
  </r>
  <r>
    <x v="13"/>
    <x v="71"/>
    <x v="15"/>
    <n v="8.1000000000000003E-2"/>
  </r>
  <r>
    <x v="13"/>
    <x v="71"/>
    <x v="15"/>
    <n v="8.1000000000000003E-2"/>
  </r>
  <r>
    <x v="13"/>
    <x v="71"/>
    <x v="85"/>
    <n v="0.08"/>
  </r>
  <r>
    <x v="13"/>
    <x v="71"/>
    <x v="85"/>
    <n v="0.08"/>
  </r>
  <r>
    <x v="13"/>
    <x v="71"/>
    <x v="98"/>
    <n v="5.8000000000000003E-2"/>
  </r>
  <r>
    <x v="13"/>
    <x v="71"/>
    <x v="85"/>
    <n v="0.08"/>
  </r>
  <r>
    <x v="13"/>
    <x v="71"/>
    <x v="15"/>
    <n v="8.1000000000000003E-2"/>
  </r>
  <r>
    <x v="13"/>
    <x v="71"/>
    <x v="15"/>
    <n v="8.1000000000000003E-2"/>
  </r>
  <r>
    <x v="13"/>
    <x v="71"/>
    <x v="90"/>
    <n v="4.1000000000000002E-2"/>
  </r>
  <r>
    <x v="13"/>
    <x v="71"/>
    <x v="92"/>
    <n v="3.5999999999999997E-2"/>
  </r>
  <r>
    <x v="13"/>
    <x v="71"/>
    <x v="87"/>
    <n v="7.9000000000000001E-2"/>
  </r>
  <r>
    <x v="13"/>
    <x v="71"/>
    <x v="87"/>
    <n v="7.9000000000000001E-2"/>
  </r>
  <r>
    <x v="13"/>
    <x v="71"/>
    <x v="87"/>
    <n v="7.9000000000000001E-2"/>
  </r>
  <r>
    <x v="13"/>
    <x v="71"/>
    <x v="87"/>
    <n v="7.9000000000000001E-2"/>
  </r>
  <r>
    <x v="13"/>
    <x v="71"/>
    <x v="87"/>
    <n v="7.9000000000000001E-2"/>
  </r>
  <r>
    <x v="13"/>
    <x v="71"/>
    <x v="85"/>
    <n v="0.08"/>
  </r>
  <r>
    <x v="13"/>
    <x v="71"/>
    <x v="85"/>
    <n v="0.08"/>
  </r>
  <r>
    <x v="13"/>
    <x v="71"/>
    <x v="99"/>
    <n v="5.8000000000000003E-2"/>
  </r>
  <r>
    <x v="13"/>
    <x v="71"/>
    <x v="100"/>
    <n v="8.3000000000000004E-2"/>
  </r>
  <r>
    <x v="13"/>
    <x v="71"/>
    <x v="101"/>
    <n v="3.6999999999999998E-2"/>
  </r>
  <r>
    <x v="13"/>
    <x v="71"/>
    <x v="93"/>
    <n v="3.5000000000000003E-2"/>
  </r>
  <r>
    <x v="13"/>
    <x v="71"/>
    <x v="101"/>
    <n v="3.6999999999999998E-2"/>
  </r>
  <r>
    <x v="13"/>
    <x v="71"/>
    <x v="102"/>
    <n v="0.04"/>
  </r>
  <r>
    <x v="13"/>
    <x v="71"/>
    <x v="93"/>
    <n v="3.5000000000000003E-2"/>
  </r>
  <r>
    <x v="13"/>
    <x v="71"/>
    <x v="99"/>
    <n v="5.8000000000000003E-2"/>
  </r>
  <r>
    <x v="13"/>
    <x v="71"/>
    <x v="92"/>
    <n v="3.5999999999999997E-2"/>
  </r>
  <r>
    <x v="13"/>
    <x v="71"/>
    <x v="103"/>
    <n v="0.04"/>
  </r>
  <r>
    <x v="13"/>
    <x v="71"/>
    <x v="101"/>
    <n v="3.6999999999999998E-2"/>
  </r>
  <r>
    <x v="13"/>
    <x v="71"/>
    <x v="86"/>
    <n v="3.9E-2"/>
  </r>
  <r>
    <x v="13"/>
    <x v="71"/>
    <x v="91"/>
    <n v="7.9000000000000001E-2"/>
  </r>
  <r>
    <x v="13"/>
    <x v="71"/>
    <x v="86"/>
    <n v="3.9E-2"/>
  </r>
  <r>
    <x v="13"/>
    <x v="71"/>
    <x v="86"/>
    <n v="3.9E-2"/>
  </r>
  <r>
    <x v="13"/>
    <x v="71"/>
    <x v="86"/>
    <n v="3.9E-2"/>
  </r>
  <r>
    <x v="13"/>
    <x v="71"/>
    <x v="104"/>
    <n v="3.9E-2"/>
  </r>
  <r>
    <x v="13"/>
    <x v="71"/>
    <x v="86"/>
    <n v="3.9E-2"/>
  </r>
  <r>
    <x v="13"/>
    <x v="71"/>
    <x v="92"/>
    <n v="3.5999999999999997E-2"/>
  </r>
  <r>
    <x v="13"/>
    <x v="72"/>
    <x v="105"/>
    <n v="3.3000000000000002E-2"/>
  </r>
  <r>
    <x v="13"/>
    <x v="71"/>
    <x v="94"/>
    <n v="0.04"/>
  </r>
  <r>
    <x v="13"/>
    <x v="71"/>
    <x v="94"/>
    <n v="0.04"/>
  </r>
  <r>
    <x v="13"/>
    <x v="71"/>
    <x v="94"/>
    <n v="0.04"/>
  </r>
  <r>
    <x v="13"/>
    <x v="72"/>
    <x v="105"/>
    <n v="3.3000000000000002E-2"/>
  </r>
  <r>
    <x v="13"/>
    <x v="72"/>
    <x v="106"/>
    <n v="4.1000000000000002E-2"/>
  </r>
  <r>
    <x v="13"/>
    <x v="71"/>
    <x v="97"/>
    <n v="5.3999999999999999E-2"/>
  </r>
  <r>
    <x v="13"/>
    <x v="71"/>
    <x v="92"/>
    <n v="3.5999999999999997E-2"/>
  </r>
  <r>
    <x v="13"/>
    <x v="71"/>
    <x v="15"/>
    <n v="8.1000000000000003E-2"/>
  </r>
  <r>
    <x v="13"/>
    <x v="71"/>
    <x v="15"/>
    <n v="8.1000000000000003E-2"/>
  </r>
  <r>
    <x v="13"/>
    <x v="72"/>
    <x v="88"/>
    <n v="0.11700000000000001"/>
  </r>
  <r>
    <x v="13"/>
    <x v="71"/>
    <x v="87"/>
    <n v="7.9000000000000001E-2"/>
  </r>
  <r>
    <x v="13"/>
    <x v="71"/>
    <x v="91"/>
    <n v="7.9000000000000001E-2"/>
  </r>
  <r>
    <x v="13"/>
    <x v="71"/>
    <x v="107"/>
    <n v="9.2999999999999999E-2"/>
  </r>
  <r>
    <x v="13"/>
    <x v="71"/>
    <x v="87"/>
    <n v="7.9000000000000001E-2"/>
  </r>
  <r>
    <x v="13"/>
    <x v="71"/>
    <x v="107"/>
    <n v="9.2999999999999999E-2"/>
  </r>
  <r>
    <x v="13"/>
    <x v="71"/>
    <x v="87"/>
    <n v="7.9000000000000001E-2"/>
  </r>
  <r>
    <x v="13"/>
    <x v="71"/>
    <x v="15"/>
    <n v="8.1000000000000003E-2"/>
  </r>
  <r>
    <x v="13"/>
    <x v="71"/>
    <x v="108"/>
    <n v="4.3999999999999997E-2"/>
  </r>
  <r>
    <x v="13"/>
    <x v="71"/>
    <x v="108"/>
    <n v="4.3999999999999997E-2"/>
  </r>
  <r>
    <x v="13"/>
    <x v="71"/>
    <x v="109"/>
    <n v="4.8000000000000001E-2"/>
  </r>
  <r>
    <x v="13"/>
    <x v="71"/>
    <x v="110"/>
    <n v="5.3999999999999999E-2"/>
  </r>
  <r>
    <x v="13"/>
    <x v="71"/>
    <x v="110"/>
    <n v="5.3999999999999999E-2"/>
  </r>
  <r>
    <x v="13"/>
    <x v="71"/>
    <x v="110"/>
    <n v="5.3999999999999999E-2"/>
  </r>
  <r>
    <x v="13"/>
    <x v="71"/>
    <x v="111"/>
    <n v="5.8999999999999997E-2"/>
  </r>
  <r>
    <x v="13"/>
    <x v="71"/>
    <x v="111"/>
    <n v="5.8999999999999997E-2"/>
  </r>
  <r>
    <x v="13"/>
    <x v="71"/>
    <x v="111"/>
    <n v="5.8999999999999997E-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2"/>
    <n v="0.02"/>
  </r>
  <r>
    <x v="13"/>
    <x v="71"/>
    <x v="113"/>
    <n v="4.7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4"/>
    <n v="7.9000000000000001E-2"/>
  </r>
  <r>
    <x v="13"/>
    <x v="71"/>
    <x v="115"/>
    <n v="3.3000000000000002E-2"/>
  </r>
  <r>
    <x v="13"/>
    <x v="71"/>
    <x v="115"/>
    <n v="3.3000000000000002E-2"/>
  </r>
  <r>
    <x v="13"/>
    <x v="71"/>
    <x v="116"/>
    <n v="5.2999999999999999E-2"/>
  </r>
  <r>
    <x v="13"/>
    <x v="71"/>
    <x v="117"/>
    <n v="3.2000000000000001E-2"/>
  </r>
  <r>
    <x v="13"/>
    <x v="71"/>
    <x v="118"/>
    <n v="0.02"/>
  </r>
  <r>
    <x v="13"/>
    <x v="71"/>
    <x v="118"/>
    <n v="0.02"/>
  </r>
  <r>
    <x v="13"/>
    <x v="71"/>
    <x v="118"/>
    <n v="0.02"/>
  </r>
  <r>
    <x v="13"/>
    <x v="71"/>
    <x v="118"/>
    <n v="0.02"/>
  </r>
  <r>
    <x v="13"/>
    <x v="71"/>
    <x v="119"/>
    <n v="5.8999999999999997E-2"/>
  </r>
  <r>
    <x v="13"/>
    <x v="71"/>
    <x v="120"/>
    <n v="4.4999999999999998E-2"/>
  </r>
  <r>
    <x v="13"/>
    <x v="73"/>
    <x v="121"/>
    <n v="0.10199999999999999"/>
  </r>
  <r>
    <x v="13"/>
    <x v="71"/>
    <x v="122"/>
    <n v="1.9E-2"/>
  </r>
  <r>
    <x v="13"/>
    <x v="71"/>
    <x v="122"/>
    <n v="1.9E-2"/>
  </r>
  <r>
    <x v="13"/>
    <x v="71"/>
    <x v="122"/>
    <n v="1.9E-2"/>
  </r>
  <r>
    <x v="13"/>
    <x v="71"/>
    <x v="122"/>
    <n v="1.9E-2"/>
  </r>
  <r>
    <x v="13"/>
    <x v="71"/>
    <x v="123"/>
    <n v="4.5999999999999999E-2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4"/>
    <x v="74"/>
    <x v="124"/>
    <n v="0.92200000000000004"/>
  </r>
  <r>
    <x v="15"/>
    <x v="71"/>
    <x v="125"/>
    <n v="4.2000000000000003E-2"/>
  </r>
  <r>
    <x v="15"/>
    <x v="71"/>
    <x v="125"/>
    <n v="4.2000000000000003E-2"/>
  </r>
  <r>
    <x v="15"/>
    <x v="75"/>
    <x v="126"/>
    <n v="0.29399999999999998"/>
  </r>
  <r>
    <x v="15"/>
    <x v="73"/>
    <x v="127"/>
    <n v="0.23799999999999999"/>
  </r>
  <r>
    <x v="15"/>
    <x v="71"/>
    <x v="125"/>
    <n v="4.2000000000000003E-2"/>
  </r>
  <r>
    <x v="15"/>
    <x v="76"/>
    <x v="128"/>
    <n v="0.252"/>
  </r>
  <r>
    <x v="15"/>
    <x v="75"/>
    <x v="126"/>
    <n v="0.29399999999999998"/>
  </r>
  <r>
    <x v="15"/>
    <x v="75"/>
    <x v="126"/>
    <n v="0.29399999999999998"/>
  </r>
  <r>
    <x v="15"/>
    <x v="73"/>
    <x v="127"/>
    <n v="0.23799999999999999"/>
  </r>
  <r>
    <x v="15"/>
    <x v="71"/>
    <x v="125"/>
    <n v="4.2000000000000003E-2"/>
  </r>
  <r>
    <x v="15"/>
    <x v="75"/>
    <x v="126"/>
    <n v="0.29399999999999998"/>
  </r>
  <r>
    <x v="15"/>
    <x v="71"/>
    <x v="129"/>
    <n v="5.1999999999999998E-2"/>
  </r>
  <r>
    <x v="15"/>
    <x v="71"/>
    <x v="125"/>
    <n v="4.2000000000000003E-2"/>
  </r>
  <r>
    <x v="15"/>
    <x v="76"/>
    <x v="128"/>
    <n v="0.252"/>
  </r>
  <r>
    <x v="15"/>
    <x v="75"/>
    <x v="126"/>
    <n v="0.29399999999999998"/>
  </r>
  <r>
    <x v="15"/>
    <x v="75"/>
    <x v="126"/>
    <n v="0.29399999999999998"/>
  </r>
  <r>
    <x v="15"/>
    <x v="75"/>
    <x v="130"/>
    <n v="0.17100000000000001"/>
  </r>
  <r>
    <x v="15"/>
    <x v="76"/>
    <x v="131"/>
    <n v="0.27800000000000002"/>
  </r>
  <r>
    <x v="15"/>
    <x v="76"/>
    <x v="128"/>
    <n v="0.252"/>
  </r>
  <r>
    <x v="15"/>
    <x v="73"/>
    <x v="132"/>
    <n v="0.24099999999999999"/>
  </r>
  <r>
    <x v="15"/>
    <x v="71"/>
    <x v="125"/>
    <n v="4.2000000000000003E-2"/>
  </r>
  <r>
    <x v="15"/>
    <x v="71"/>
    <x v="125"/>
    <n v="4.2000000000000003E-2"/>
  </r>
  <r>
    <x v="15"/>
    <x v="71"/>
    <x v="125"/>
    <n v="4.2000000000000003E-2"/>
  </r>
  <r>
    <x v="15"/>
    <x v="71"/>
    <x v="125"/>
    <n v="4.2000000000000003E-2"/>
  </r>
  <r>
    <x v="15"/>
    <x v="71"/>
    <x v="125"/>
    <n v="4.2000000000000003E-2"/>
  </r>
  <r>
    <x v="15"/>
    <x v="71"/>
    <x v="125"/>
    <n v="4.2000000000000003E-2"/>
  </r>
  <r>
    <x v="15"/>
    <x v="71"/>
    <x v="125"/>
    <n v="4.2000000000000003E-2"/>
  </r>
  <r>
    <x v="15"/>
    <x v="71"/>
    <x v="125"/>
    <n v="4.2000000000000003E-2"/>
  </r>
  <r>
    <x v="15"/>
    <x v="73"/>
    <x v="127"/>
    <n v="0.23799999999999999"/>
  </r>
  <r>
    <x v="15"/>
    <x v="75"/>
    <x v="126"/>
    <n v="0.29399999999999998"/>
  </r>
  <r>
    <x v="15"/>
    <x v="73"/>
    <x v="133"/>
    <n v="0.13300000000000001"/>
  </r>
  <r>
    <x v="15"/>
    <x v="75"/>
    <x v="131"/>
    <n v="0.33500000000000002"/>
  </r>
  <r>
    <x v="15"/>
    <x v="75"/>
    <x v="134"/>
    <n v="0.157"/>
  </r>
  <r>
    <x v="15"/>
    <x v="76"/>
    <x v="128"/>
    <n v="0.252"/>
  </r>
  <r>
    <x v="15"/>
    <x v="73"/>
    <x v="127"/>
    <n v="0.23799999999999999"/>
  </r>
  <r>
    <x v="15"/>
    <x v="73"/>
    <x v="135"/>
    <n v="0.19700000000000001"/>
  </r>
  <r>
    <x v="15"/>
    <x v="75"/>
    <x v="126"/>
    <n v="0.29399999999999998"/>
  </r>
  <r>
    <x v="15"/>
    <x v="73"/>
    <x v="127"/>
    <n v="0.23799999999999999"/>
  </r>
  <r>
    <x v="15"/>
    <x v="75"/>
    <x v="126"/>
    <n v="0.29399999999999998"/>
  </r>
  <r>
    <x v="15"/>
    <x v="75"/>
    <x v="126"/>
    <n v="0.29399999999999998"/>
  </r>
  <r>
    <x v="15"/>
    <x v="75"/>
    <x v="126"/>
    <n v="0.29399999999999998"/>
  </r>
  <r>
    <x v="15"/>
    <x v="73"/>
    <x v="135"/>
    <n v="0.19700000000000001"/>
  </r>
  <r>
    <x v="15"/>
    <x v="75"/>
    <x v="130"/>
    <n v="0.17100000000000001"/>
  </r>
  <r>
    <x v="15"/>
    <x v="75"/>
    <x v="131"/>
    <n v="0.33500000000000002"/>
  </r>
  <r>
    <x v="15"/>
    <x v="75"/>
    <x v="134"/>
    <n v="0.157"/>
  </r>
  <r>
    <x v="15"/>
    <x v="73"/>
    <x v="127"/>
    <n v="0.23799999999999999"/>
  </r>
  <r>
    <x v="15"/>
    <x v="73"/>
    <x v="127"/>
    <n v="0.23799999999999999"/>
  </r>
  <r>
    <x v="15"/>
    <x v="73"/>
    <x v="127"/>
    <n v="0.23799999999999999"/>
  </r>
  <r>
    <x v="15"/>
    <x v="73"/>
    <x v="136"/>
    <n v="0.124"/>
  </r>
  <r>
    <x v="15"/>
    <x v="73"/>
    <x v="132"/>
    <n v="0.24099999999999999"/>
  </r>
  <r>
    <x v="15"/>
    <x v="73"/>
    <x v="133"/>
    <n v="0.13300000000000001"/>
  </r>
  <r>
    <x v="15"/>
    <x v="73"/>
    <x v="136"/>
    <n v="0.124"/>
  </r>
  <r>
    <x v="15"/>
    <x v="73"/>
    <x v="132"/>
    <n v="0.24099999999999999"/>
  </r>
  <r>
    <x v="15"/>
    <x v="72"/>
    <x v="129"/>
    <n v="6.6000000000000003E-2"/>
  </r>
  <r>
    <x v="15"/>
    <x v="73"/>
    <x v="132"/>
    <n v="0.24099999999999999"/>
  </r>
  <r>
    <x v="15"/>
    <x v="76"/>
    <x v="137"/>
    <n v="0.31900000000000001"/>
  </r>
  <r>
    <x v="15"/>
    <x v="76"/>
    <x v="137"/>
    <n v="0.31900000000000001"/>
  </r>
  <r>
    <x v="15"/>
    <x v="75"/>
    <x v="126"/>
    <n v="0.29399999999999998"/>
  </r>
  <r>
    <x v="15"/>
    <x v="75"/>
    <x v="126"/>
    <n v="0.29399999999999998"/>
  </r>
  <r>
    <x v="15"/>
    <x v="75"/>
    <x v="126"/>
    <n v="0.29399999999999998"/>
  </r>
  <r>
    <x v="15"/>
    <x v="76"/>
    <x v="131"/>
    <n v="0.27800000000000002"/>
  </r>
  <r>
    <x v="15"/>
    <x v="73"/>
    <x v="138"/>
    <n v="0.221"/>
  </r>
  <r>
    <x v="16"/>
    <x v="77"/>
    <x v="47"/>
    <n v="0.372"/>
  </r>
  <r>
    <x v="16"/>
    <x v="77"/>
    <x v="47"/>
    <n v="0.375"/>
  </r>
  <r>
    <x v="16"/>
    <x v="77"/>
    <x v="47"/>
    <n v="0.372"/>
  </r>
  <r>
    <x v="16"/>
    <x v="77"/>
    <x v="47"/>
    <n v="0.372"/>
  </r>
  <r>
    <x v="16"/>
    <x v="77"/>
    <x v="47"/>
    <n v="0.375"/>
  </r>
  <r>
    <x v="16"/>
    <x v="77"/>
    <x v="47"/>
    <n v="0.375"/>
  </r>
  <r>
    <x v="16"/>
    <x v="77"/>
    <x v="47"/>
    <n v="0.375"/>
  </r>
  <r>
    <x v="16"/>
    <x v="77"/>
    <x v="47"/>
    <n v="0.375"/>
  </r>
  <r>
    <x v="16"/>
    <x v="77"/>
    <x v="47"/>
    <n v="0.375"/>
  </r>
  <r>
    <x v="16"/>
    <x v="77"/>
    <x v="47"/>
    <n v="0.372"/>
  </r>
  <r>
    <x v="16"/>
    <x v="77"/>
    <x v="47"/>
    <n v="0.372"/>
  </r>
  <r>
    <x v="16"/>
    <x v="77"/>
    <x v="47"/>
    <n v="0.372"/>
  </r>
  <r>
    <x v="16"/>
    <x v="77"/>
    <x v="47"/>
    <n v="0.372"/>
  </r>
  <r>
    <x v="16"/>
    <x v="77"/>
    <x v="47"/>
    <n v="0.375"/>
  </r>
  <r>
    <x v="16"/>
    <x v="77"/>
    <x v="47"/>
    <n v="0.372"/>
  </r>
  <r>
    <x v="16"/>
    <x v="77"/>
    <x v="47"/>
    <n v="0.375"/>
  </r>
  <r>
    <x v="17"/>
    <x v="40"/>
    <x v="139"/>
    <n v="3.1E-2"/>
  </r>
  <r>
    <x v="17"/>
    <x v="71"/>
    <x v="140"/>
    <n v="7.5999999999999998E-2"/>
  </r>
  <r>
    <x v="17"/>
    <x v="71"/>
    <x v="141"/>
    <n v="8.7999999999999995E-2"/>
  </r>
  <r>
    <x v="17"/>
    <x v="71"/>
    <x v="142"/>
    <n v="7.8E-2"/>
  </r>
  <r>
    <x v="17"/>
    <x v="71"/>
    <x v="143"/>
    <n v="7.5999999999999998E-2"/>
  </r>
  <r>
    <x v="17"/>
    <x v="78"/>
    <x v="144"/>
    <n v="0.11899999999999999"/>
  </r>
  <r>
    <x v="17"/>
    <x v="40"/>
    <x v="145"/>
    <n v="8.9999999999999993E-3"/>
  </r>
  <r>
    <x v="17"/>
    <x v="40"/>
    <x v="139"/>
    <n v="3.1E-2"/>
  </r>
  <r>
    <x v="17"/>
    <x v="71"/>
    <x v="146"/>
    <n v="7.6999999999999999E-2"/>
  </r>
  <r>
    <x v="17"/>
    <x v="71"/>
    <x v="140"/>
    <n v="7.5999999999999998E-2"/>
  </r>
  <r>
    <x v="17"/>
    <x v="78"/>
    <x v="144"/>
    <n v="0.11899999999999999"/>
  </r>
  <r>
    <x v="17"/>
    <x v="40"/>
    <x v="147"/>
    <n v="2.7E-2"/>
  </r>
  <r>
    <x v="17"/>
    <x v="40"/>
    <x v="148"/>
    <n v="2.8000000000000001E-2"/>
  </r>
  <r>
    <x v="17"/>
    <x v="40"/>
    <x v="149"/>
    <n v="2.7E-2"/>
  </r>
  <r>
    <x v="17"/>
    <x v="40"/>
    <x v="149"/>
    <n v="2.7E-2"/>
  </r>
  <r>
    <x v="17"/>
    <x v="71"/>
    <x v="142"/>
    <n v="7.8E-2"/>
  </r>
  <r>
    <x v="17"/>
    <x v="40"/>
    <x v="149"/>
    <n v="2.7E-2"/>
  </r>
  <r>
    <x v="17"/>
    <x v="71"/>
    <x v="150"/>
    <n v="7.4999999999999997E-2"/>
  </r>
  <r>
    <x v="17"/>
    <x v="78"/>
    <x v="144"/>
    <n v="0.11899999999999999"/>
  </r>
  <r>
    <x v="17"/>
    <x v="71"/>
    <x v="142"/>
    <n v="7.8E-2"/>
  </r>
  <r>
    <x v="17"/>
    <x v="40"/>
    <x v="151"/>
    <n v="2.5000000000000001E-2"/>
  </r>
  <r>
    <x v="17"/>
    <x v="40"/>
    <x v="152"/>
    <n v="2.5000000000000001E-2"/>
  </r>
  <r>
    <x v="17"/>
    <x v="40"/>
    <x v="153"/>
    <n v="3.1E-2"/>
  </r>
  <r>
    <x v="17"/>
    <x v="71"/>
    <x v="154"/>
    <n v="7.2999999999999995E-2"/>
  </r>
  <r>
    <x v="17"/>
    <x v="71"/>
    <x v="140"/>
    <n v="7.5999999999999998E-2"/>
  </r>
  <r>
    <x v="17"/>
    <x v="40"/>
    <x v="148"/>
    <n v="2.8000000000000001E-2"/>
  </r>
  <r>
    <x v="17"/>
    <x v="40"/>
    <x v="155"/>
    <n v="2.7E-2"/>
  </r>
  <r>
    <x v="17"/>
    <x v="40"/>
    <x v="151"/>
    <n v="2.5000000000000001E-2"/>
  </r>
  <r>
    <x v="17"/>
    <x v="78"/>
    <x v="140"/>
    <n v="0.11899999999999999"/>
  </r>
  <r>
    <x v="17"/>
    <x v="40"/>
    <x v="145"/>
    <n v="8.9999999999999993E-3"/>
  </r>
  <r>
    <x v="17"/>
    <x v="40"/>
    <x v="156"/>
    <n v="3.1E-2"/>
  </r>
  <r>
    <x v="17"/>
    <x v="40"/>
    <x v="157"/>
    <n v="2.5000000000000001E-2"/>
  </r>
  <r>
    <x v="17"/>
    <x v="40"/>
    <x v="144"/>
    <n v="2.4E-2"/>
  </r>
  <r>
    <x v="17"/>
    <x v="40"/>
    <x v="158"/>
    <n v="2.8000000000000001E-2"/>
  </r>
  <r>
    <x v="17"/>
    <x v="78"/>
    <x v="159"/>
    <n v="4.2999999999999997E-2"/>
  </r>
  <r>
    <x v="17"/>
    <x v="40"/>
    <x v="145"/>
    <n v="8.9999999999999993E-3"/>
  </r>
  <r>
    <x v="17"/>
    <x v="78"/>
    <x v="144"/>
    <n v="0.11899999999999999"/>
  </r>
  <r>
    <x v="17"/>
    <x v="71"/>
    <x v="160"/>
    <n v="7.3999999999999996E-2"/>
  </r>
  <r>
    <x v="17"/>
    <x v="71"/>
    <x v="160"/>
    <n v="7.3999999999999996E-2"/>
  </r>
  <r>
    <x v="17"/>
    <x v="40"/>
    <x v="148"/>
    <n v="2.8000000000000001E-2"/>
  </r>
  <r>
    <x v="17"/>
    <x v="71"/>
    <x v="161"/>
    <n v="2.5000000000000001E-2"/>
  </r>
  <r>
    <x v="17"/>
    <x v="71"/>
    <x v="143"/>
    <n v="7.5999999999999998E-2"/>
  </r>
  <r>
    <x v="17"/>
    <x v="71"/>
    <x v="140"/>
    <n v="7.5999999999999998E-2"/>
  </r>
  <r>
    <x v="17"/>
    <x v="40"/>
    <x v="144"/>
    <n v="2.4E-2"/>
  </r>
  <r>
    <x v="17"/>
    <x v="78"/>
    <x v="144"/>
    <n v="0.11899999999999999"/>
  </r>
  <r>
    <x v="17"/>
    <x v="71"/>
    <x v="142"/>
    <n v="7.8E-2"/>
  </r>
  <r>
    <x v="17"/>
    <x v="78"/>
    <x v="162"/>
    <n v="0.14000000000000001"/>
  </r>
  <r>
    <x v="17"/>
    <x v="40"/>
    <x v="163"/>
    <n v="2.5999999999999999E-2"/>
  </r>
  <r>
    <x v="17"/>
    <x v="71"/>
    <x v="164"/>
    <n v="7.5999999999999998E-2"/>
  </r>
  <r>
    <x v="17"/>
    <x v="40"/>
    <x v="144"/>
    <n v="2.4E-2"/>
  </r>
  <r>
    <x v="17"/>
    <x v="71"/>
    <x v="150"/>
    <n v="7.4999999999999997E-2"/>
  </r>
  <r>
    <x v="17"/>
    <x v="40"/>
    <x v="145"/>
    <n v="8.9999999999999993E-3"/>
  </r>
  <r>
    <x v="17"/>
    <x v="40"/>
    <x v="165"/>
    <n v="2.5000000000000001E-2"/>
  </r>
  <r>
    <x v="17"/>
    <x v="71"/>
    <x v="166"/>
    <n v="7.9000000000000001E-2"/>
  </r>
  <r>
    <x v="17"/>
    <x v="71"/>
    <x v="154"/>
    <n v="7.2999999999999995E-2"/>
  </r>
  <r>
    <x v="17"/>
    <x v="71"/>
    <x v="140"/>
    <n v="7.5999999999999998E-2"/>
  </r>
  <r>
    <x v="17"/>
    <x v="71"/>
    <x v="167"/>
    <n v="7.8E-2"/>
  </r>
  <r>
    <x v="17"/>
    <x v="40"/>
    <x v="144"/>
    <n v="2.4E-2"/>
  </r>
  <r>
    <x v="17"/>
    <x v="40"/>
    <x v="148"/>
    <n v="2.8000000000000001E-2"/>
  </r>
  <r>
    <x v="17"/>
    <x v="71"/>
    <x v="160"/>
    <n v="7.3999999999999996E-2"/>
  </r>
  <r>
    <x v="17"/>
    <x v="71"/>
    <x v="143"/>
    <n v="7.5999999999999998E-2"/>
  </r>
  <r>
    <x v="17"/>
    <x v="40"/>
    <x v="168"/>
    <n v="2.4E-2"/>
  </r>
  <r>
    <x v="17"/>
    <x v="40"/>
    <x v="168"/>
    <n v="2.4E-2"/>
  </r>
  <r>
    <x v="17"/>
    <x v="78"/>
    <x v="140"/>
    <n v="0.11899999999999999"/>
  </r>
  <r>
    <x v="17"/>
    <x v="40"/>
    <x v="169"/>
    <n v="2.5999999999999999E-2"/>
  </r>
  <r>
    <x v="17"/>
    <x v="78"/>
    <x v="144"/>
    <n v="0.11899999999999999"/>
  </r>
  <r>
    <x v="17"/>
    <x v="78"/>
    <x v="144"/>
    <n v="0.11899999999999999"/>
  </r>
  <r>
    <x v="17"/>
    <x v="78"/>
    <x v="144"/>
    <n v="0.11899999999999999"/>
  </r>
  <r>
    <x v="17"/>
    <x v="79"/>
    <x v="170"/>
    <n v="0.24"/>
  </r>
  <r>
    <x v="17"/>
    <x v="78"/>
    <x v="162"/>
    <n v="0.14000000000000001"/>
  </r>
  <r>
    <x v="17"/>
    <x v="78"/>
    <x v="144"/>
    <n v="0.11899999999999999"/>
  </r>
  <r>
    <x v="17"/>
    <x v="78"/>
    <x v="144"/>
    <n v="0.11899999999999999"/>
  </r>
  <r>
    <x v="17"/>
    <x v="78"/>
    <x v="159"/>
    <n v="4.2999999999999997E-2"/>
  </r>
  <r>
    <x v="17"/>
    <x v="71"/>
    <x v="171"/>
    <n v="9.1999999999999998E-2"/>
  </r>
  <r>
    <x v="17"/>
    <x v="71"/>
    <x v="172"/>
    <n v="0.03"/>
  </r>
  <r>
    <x v="17"/>
    <x v="71"/>
    <x v="166"/>
    <n v="7.9000000000000001E-2"/>
  </r>
  <r>
    <x v="17"/>
    <x v="71"/>
    <x v="166"/>
    <n v="7.9000000000000001E-2"/>
  </r>
  <r>
    <x v="17"/>
    <x v="71"/>
    <x v="166"/>
    <n v="7.9000000000000001E-2"/>
  </r>
  <r>
    <x v="17"/>
    <x v="71"/>
    <x v="142"/>
    <n v="7.8E-2"/>
  </r>
  <r>
    <x v="17"/>
    <x v="71"/>
    <x v="166"/>
    <n v="7.9000000000000001E-2"/>
  </r>
  <r>
    <x v="17"/>
    <x v="40"/>
    <x v="158"/>
    <n v="2.8000000000000001E-2"/>
  </r>
  <r>
    <x v="17"/>
    <x v="71"/>
    <x v="140"/>
    <n v="7.5999999999999998E-2"/>
  </r>
  <r>
    <x v="17"/>
    <x v="71"/>
    <x v="173"/>
    <n v="7.5999999999999998E-2"/>
  </r>
  <r>
    <x v="17"/>
    <x v="40"/>
    <x v="174"/>
    <n v="3.1E-2"/>
  </r>
  <r>
    <x v="17"/>
    <x v="71"/>
    <x v="160"/>
    <n v="7.3999999999999996E-2"/>
  </r>
  <r>
    <x v="17"/>
    <x v="71"/>
    <x v="175"/>
    <n v="7.4999999999999997E-2"/>
  </r>
  <r>
    <x v="17"/>
    <x v="71"/>
    <x v="146"/>
    <n v="7.6999999999999999E-2"/>
  </r>
  <r>
    <x v="17"/>
    <x v="71"/>
    <x v="146"/>
    <n v="7.6999999999999999E-2"/>
  </r>
  <r>
    <x v="17"/>
    <x v="71"/>
    <x v="175"/>
    <n v="7.4999999999999997E-2"/>
  </r>
  <r>
    <x v="17"/>
    <x v="78"/>
    <x v="140"/>
    <n v="0.11899999999999999"/>
  </r>
  <r>
    <x v="17"/>
    <x v="78"/>
    <x v="140"/>
    <n v="0.11899999999999999"/>
  </r>
  <r>
    <x v="17"/>
    <x v="78"/>
    <x v="176"/>
    <n v="0.14000000000000001"/>
  </r>
  <r>
    <x v="17"/>
    <x v="40"/>
    <x v="139"/>
    <n v="3.1E-2"/>
  </r>
  <r>
    <x v="17"/>
    <x v="78"/>
    <x v="176"/>
    <n v="0.14000000000000001"/>
  </r>
  <r>
    <x v="17"/>
    <x v="78"/>
    <x v="140"/>
    <n v="0.11899999999999999"/>
  </r>
  <r>
    <x v="17"/>
    <x v="78"/>
    <x v="140"/>
    <n v="0.11899999999999999"/>
  </r>
  <r>
    <x v="17"/>
    <x v="40"/>
    <x v="153"/>
    <n v="3.1E-2"/>
  </r>
  <r>
    <x v="17"/>
    <x v="71"/>
    <x v="177"/>
    <n v="7.4999999999999997E-2"/>
  </r>
  <r>
    <x v="17"/>
    <x v="71"/>
    <x v="160"/>
    <n v="7.3999999999999996E-2"/>
  </r>
  <r>
    <x v="17"/>
    <x v="40"/>
    <x v="149"/>
    <n v="2.7E-2"/>
  </r>
  <r>
    <x v="17"/>
    <x v="71"/>
    <x v="143"/>
    <n v="7.5999999999999998E-2"/>
  </r>
  <r>
    <x v="17"/>
    <x v="71"/>
    <x v="143"/>
    <n v="7.5999999999999998E-2"/>
  </r>
  <r>
    <x v="17"/>
    <x v="40"/>
    <x v="178"/>
    <n v="3.1E-2"/>
  </r>
  <r>
    <x v="17"/>
    <x v="40"/>
    <x v="139"/>
    <n v="3.1E-2"/>
  </r>
  <r>
    <x v="17"/>
    <x v="71"/>
    <x v="142"/>
    <n v="7.8E-2"/>
  </r>
  <r>
    <x v="17"/>
    <x v="71"/>
    <x v="142"/>
    <n v="7.8E-2"/>
  </r>
  <r>
    <x v="17"/>
    <x v="71"/>
    <x v="179"/>
    <n v="2.7E-2"/>
  </r>
  <r>
    <x v="17"/>
    <x v="71"/>
    <x v="140"/>
    <n v="7.5999999999999998E-2"/>
  </r>
  <r>
    <x v="17"/>
    <x v="71"/>
    <x v="161"/>
    <n v="2.5000000000000001E-2"/>
  </r>
  <r>
    <x v="17"/>
    <x v="71"/>
    <x v="141"/>
    <n v="8.7999999999999995E-2"/>
  </r>
  <r>
    <x v="17"/>
    <x v="71"/>
    <x v="140"/>
    <n v="7.5999999999999998E-2"/>
  </r>
  <r>
    <x v="17"/>
    <x v="71"/>
    <x v="143"/>
    <n v="7.5999999999999998E-2"/>
  </r>
  <r>
    <x v="17"/>
    <x v="71"/>
    <x v="180"/>
    <n v="7.6999999999999999E-2"/>
  </r>
  <r>
    <x v="17"/>
    <x v="71"/>
    <x v="160"/>
    <n v="7.3999999999999996E-2"/>
  </r>
  <r>
    <x v="17"/>
    <x v="40"/>
    <x v="139"/>
    <n v="3.1E-2"/>
  </r>
  <r>
    <x v="17"/>
    <x v="71"/>
    <x v="140"/>
    <n v="7.5999999999999998E-2"/>
  </r>
  <r>
    <x v="17"/>
    <x v="71"/>
    <x v="140"/>
    <n v="7.5999999999999998E-2"/>
  </r>
  <r>
    <x v="17"/>
    <x v="71"/>
    <x v="160"/>
    <n v="7.3999999999999996E-2"/>
  </r>
  <r>
    <x v="17"/>
    <x v="71"/>
    <x v="140"/>
    <n v="7.5999999999999998E-2"/>
  </r>
  <r>
    <x v="17"/>
    <x v="71"/>
    <x v="140"/>
    <n v="7.5999999999999998E-2"/>
  </r>
  <r>
    <x v="17"/>
    <x v="71"/>
    <x v="140"/>
    <n v="7.5999999999999998E-2"/>
  </r>
  <r>
    <x v="17"/>
    <x v="71"/>
    <x v="181"/>
    <n v="7.4999999999999997E-2"/>
  </r>
  <r>
    <x v="17"/>
    <x v="71"/>
    <x v="182"/>
    <n v="7.2999999999999995E-2"/>
  </r>
  <r>
    <x v="17"/>
    <x v="71"/>
    <x v="161"/>
    <n v="2.5000000000000001E-2"/>
  </r>
  <r>
    <x v="17"/>
    <x v="71"/>
    <x v="160"/>
    <n v="7.3999999999999996E-2"/>
  </r>
  <r>
    <x v="17"/>
    <x v="71"/>
    <x v="160"/>
    <n v="7.3999999999999996E-2"/>
  </r>
  <r>
    <x v="17"/>
    <x v="71"/>
    <x v="160"/>
    <n v="7.3999999999999996E-2"/>
  </r>
  <r>
    <x v="17"/>
    <x v="40"/>
    <x v="139"/>
    <n v="3.1E-2"/>
  </r>
  <r>
    <x v="17"/>
    <x v="40"/>
    <x v="158"/>
    <n v="2.8000000000000001E-2"/>
  </r>
  <r>
    <x v="17"/>
    <x v="71"/>
    <x v="161"/>
    <n v="2.5000000000000001E-2"/>
  </r>
  <r>
    <x v="17"/>
    <x v="40"/>
    <x v="153"/>
    <n v="3.1E-2"/>
  </r>
  <r>
    <x v="17"/>
    <x v="71"/>
    <x v="143"/>
    <n v="7.5999999999999998E-2"/>
  </r>
  <r>
    <x v="17"/>
    <x v="71"/>
    <x v="143"/>
    <n v="7.5999999999999998E-2"/>
  </r>
  <r>
    <x v="17"/>
    <x v="71"/>
    <x v="143"/>
    <n v="7.5999999999999998E-2"/>
  </r>
  <r>
    <x v="17"/>
    <x v="80"/>
    <x v="183"/>
    <n v="0.16300000000000001"/>
  </r>
  <r>
    <x v="17"/>
    <x v="79"/>
    <x v="170"/>
    <n v="0.24"/>
  </r>
  <r>
    <x v="17"/>
    <x v="40"/>
    <x v="139"/>
    <n v="3.1E-2"/>
  </r>
  <r>
    <x v="17"/>
    <x v="79"/>
    <x v="170"/>
    <n v="0.24"/>
  </r>
  <r>
    <x v="17"/>
    <x v="79"/>
    <x v="170"/>
    <n v="0.24"/>
  </r>
  <r>
    <x v="17"/>
    <x v="71"/>
    <x v="140"/>
    <n v="7.5999999999999998E-2"/>
  </r>
  <r>
    <x v="17"/>
    <x v="40"/>
    <x v="149"/>
    <n v="2.7E-2"/>
  </r>
  <r>
    <x v="17"/>
    <x v="79"/>
    <x v="170"/>
    <n v="0.24"/>
  </r>
  <r>
    <x v="17"/>
    <x v="79"/>
    <x v="170"/>
    <n v="0.24"/>
  </r>
  <r>
    <x v="17"/>
    <x v="79"/>
    <x v="170"/>
    <n v="0.24"/>
  </r>
  <r>
    <x v="17"/>
    <x v="79"/>
    <x v="170"/>
    <n v="0.24"/>
  </r>
  <r>
    <x v="17"/>
    <x v="71"/>
    <x v="143"/>
    <n v="7.5999999999999998E-2"/>
  </r>
  <r>
    <x v="17"/>
    <x v="40"/>
    <x v="139"/>
    <n v="3.1E-2"/>
  </r>
  <r>
    <x v="17"/>
    <x v="40"/>
    <x v="139"/>
    <n v="3.1E-2"/>
  </r>
  <r>
    <x v="17"/>
    <x v="40"/>
    <x v="139"/>
    <n v="3.1E-2"/>
  </r>
  <r>
    <x v="17"/>
    <x v="71"/>
    <x v="143"/>
    <n v="7.5999999999999998E-2"/>
  </r>
  <r>
    <x v="17"/>
    <x v="40"/>
    <x v="139"/>
    <n v="3.1E-2"/>
  </r>
  <r>
    <x v="17"/>
    <x v="40"/>
    <x v="169"/>
    <n v="2.5999999999999999E-2"/>
  </r>
  <r>
    <x v="17"/>
    <x v="71"/>
    <x v="143"/>
    <n v="7.5999999999999998E-2"/>
  </r>
  <r>
    <x v="17"/>
    <x v="40"/>
    <x v="174"/>
    <n v="3.1E-2"/>
  </r>
  <r>
    <x v="17"/>
    <x v="71"/>
    <x v="143"/>
    <n v="7.5999999999999998E-2"/>
  </r>
  <r>
    <x v="17"/>
    <x v="71"/>
    <x v="184"/>
    <n v="7.4999999999999997E-2"/>
  </r>
  <r>
    <x v="17"/>
    <x v="71"/>
    <x v="143"/>
    <n v="7.5999999999999998E-2"/>
  </r>
  <r>
    <x v="17"/>
    <x v="71"/>
    <x v="143"/>
    <n v="7.5999999999999998E-2"/>
  </r>
  <r>
    <x v="17"/>
    <x v="71"/>
    <x v="184"/>
    <n v="7.4999999999999997E-2"/>
  </r>
  <r>
    <x v="17"/>
    <x v="40"/>
    <x v="139"/>
    <n v="3.1E-2"/>
  </r>
  <r>
    <x v="17"/>
    <x v="40"/>
    <x v="139"/>
    <n v="3.1E-2"/>
  </r>
  <r>
    <x v="17"/>
    <x v="40"/>
    <x v="139"/>
    <n v="3.1E-2"/>
  </r>
  <r>
    <x v="17"/>
    <x v="40"/>
    <x v="139"/>
    <n v="3.1E-2"/>
  </r>
  <r>
    <x v="17"/>
    <x v="71"/>
    <x v="143"/>
    <n v="7.5999999999999998E-2"/>
  </r>
  <r>
    <x v="17"/>
    <x v="40"/>
    <x v="139"/>
    <n v="3.1E-2"/>
  </r>
  <r>
    <x v="17"/>
    <x v="40"/>
    <x v="185"/>
    <n v="3.1E-2"/>
  </r>
  <r>
    <x v="17"/>
    <x v="40"/>
    <x v="153"/>
    <n v="3.1E-2"/>
  </r>
  <r>
    <x v="17"/>
    <x v="40"/>
    <x v="178"/>
    <n v="3.1E-2"/>
  </r>
  <r>
    <x v="17"/>
    <x v="40"/>
    <x v="149"/>
    <n v="2.7E-2"/>
  </r>
  <r>
    <x v="17"/>
    <x v="40"/>
    <x v="178"/>
    <n v="3.1E-2"/>
  </r>
  <r>
    <x v="17"/>
    <x v="40"/>
    <x v="186"/>
    <n v="3.4000000000000002E-2"/>
  </r>
  <r>
    <x v="17"/>
    <x v="40"/>
    <x v="151"/>
    <n v="2.5000000000000001E-2"/>
  </r>
  <r>
    <x v="17"/>
    <x v="40"/>
    <x v="151"/>
    <n v="2.5000000000000001E-2"/>
  </r>
  <r>
    <x v="17"/>
    <x v="40"/>
    <x v="149"/>
    <n v="2.7E-2"/>
  </r>
  <r>
    <x v="17"/>
    <x v="40"/>
    <x v="149"/>
    <n v="2.7E-2"/>
  </r>
  <r>
    <x v="17"/>
    <x v="40"/>
    <x v="158"/>
    <n v="2.8000000000000001E-2"/>
  </r>
  <r>
    <x v="17"/>
    <x v="71"/>
    <x v="181"/>
    <n v="7.4999999999999997E-2"/>
  </r>
  <r>
    <x v="17"/>
    <x v="40"/>
    <x v="187"/>
    <n v="3.3000000000000002E-2"/>
  </r>
  <r>
    <x v="17"/>
    <x v="40"/>
    <x v="187"/>
    <n v="3.3000000000000002E-2"/>
  </r>
  <r>
    <x v="17"/>
    <x v="40"/>
    <x v="187"/>
    <n v="3.3000000000000002E-2"/>
  </r>
  <r>
    <x v="17"/>
    <x v="40"/>
    <x v="187"/>
    <n v="3.3000000000000002E-2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82"/>
    <x v="188"/>
    <n v="0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0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2"/>
    <x v="2"/>
    <n v="2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0"/>
    <n v="2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83"/>
    <x v="2"/>
    <n v="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34"/>
    <x v="189"/>
    <n v="4.0000000000000001E-3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84"/>
    <x v="188"/>
    <n v="0"/>
  </r>
  <r>
    <x v="18"/>
    <x v="4"/>
    <x v="190"/>
    <n v="4.0000000000000001E-3"/>
  </r>
  <r>
    <x v="18"/>
    <x v="4"/>
    <x v="190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4"/>
    <x v="49"/>
    <n v="4.0000000000000001E-3"/>
  </r>
  <r>
    <x v="18"/>
    <x v="81"/>
    <x v="43"/>
    <n v="2E-3"/>
  </r>
  <r>
    <x v="18"/>
    <x v="81"/>
    <x v="43"/>
    <n v="2E-3"/>
  </r>
  <r>
    <x v="18"/>
    <x v="81"/>
    <x v="43"/>
    <n v="2E-3"/>
  </r>
  <r>
    <x v="18"/>
    <x v="81"/>
    <x v="43"/>
    <n v="2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38E03-C35C-45CA-AF1F-77EE95BB75EC}" name="PivotTable2" cacheId="14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4:J388" firstHeaderRow="0" firstDataRow="1" firstDataCol="1"/>
  <pivotFields count="4">
    <pivotField axis="axisRow" showAll="0">
      <items count="20">
        <item x="0"/>
        <item x="1"/>
        <item x="2"/>
        <item x="3"/>
        <item x="4"/>
        <item x="7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Row" showAll="0">
      <items count="86">
        <item x="40"/>
        <item x="22"/>
        <item x="33"/>
        <item x="36"/>
        <item x="29"/>
        <item x="20"/>
        <item x="38"/>
        <item x="23"/>
        <item x="30"/>
        <item x="21"/>
        <item x="5"/>
        <item x="15"/>
        <item x="18"/>
        <item x="44"/>
        <item x="31"/>
        <item x="16"/>
        <item x="2"/>
        <item x="0"/>
        <item x="39"/>
        <item x="4"/>
        <item x="35"/>
        <item x="66"/>
        <item x="34"/>
        <item x="32"/>
        <item x="52"/>
        <item x="1"/>
        <item x="62"/>
        <item x="59"/>
        <item x="7"/>
        <item x="68"/>
        <item x="25"/>
        <item x="63"/>
        <item x="57"/>
        <item x="60"/>
        <item x="58"/>
        <item x="37"/>
        <item x="19"/>
        <item x="83"/>
        <item x="28"/>
        <item x="41"/>
        <item x="17"/>
        <item x="6"/>
        <item x="24"/>
        <item x="27"/>
        <item x="43"/>
        <item x="42"/>
        <item x="84"/>
        <item x="82"/>
        <item x="26"/>
        <item x="3"/>
        <item x="10"/>
        <item x="11"/>
        <item x="12"/>
        <item x="74"/>
        <item x="13"/>
        <item x="46"/>
        <item x="14"/>
        <item x="8"/>
        <item x="51"/>
        <item x="49"/>
        <item x="48"/>
        <item x="54"/>
        <item x="65"/>
        <item x="61"/>
        <item x="47"/>
        <item x="70"/>
        <item x="56"/>
        <item x="50"/>
        <item x="45"/>
        <item x="67"/>
        <item x="69"/>
        <item x="53"/>
        <item x="64"/>
        <item x="81"/>
        <item x="55"/>
        <item x="77"/>
        <item x="9"/>
        <item x="71"/>
        <item x="80"/>
        <item x="79"/>
        <item x="72"/>
        <item x="78"/>
        <item x="73"/>
        <item x="75"/>
        <item x="76"/>
        <item t="default"/>
      </items>
    </pivotField>
    <pivotField axis="axisRow" dataField="1" showAll="0">
      <items count="192">
        <item x="37"/>
        <item x="44"/>
        <item x="54"/>
        <item x="188"/>
        <item x="83"/>
        <item x="0"/>
        <item x="45"/>
        <item x="19"/>
        <item x="82"/>
        <item x="2"/>
        <item x="78"/>
        <item x="20"/>
        <item x="40"/>
        <item x="27"/>
        <item x="38"/>
        <item x="42"/>
        <item x="68"/>
        <item x="55"/>
        <item x="7"/>
        <item x="190"/>
        <item x="79"/>
        <item x="74"/>
        <item x="3"/>
        <item x="81"/>
        <item x="69"/>
        <item x="189"/>
        <item x="73"/>
        <item x="43"/>
        <item x="71"/>
        <item x="35"/>
        <item x="12"/>
        <item x="75"/>
        <item x="49"/>
        <item x="11"/>
        <item x="30"/>
        <item x="76"/>
        <item x="41"/>
        <item x="80"/>
        <item x="72"/>
        <item x="10"/>
        <item x="8"/>
        <item x="31"/>
        <item x="32"/>
        <item x="1"/>
        <item x="5"/>
        <item x="77"/>
        <item x="33"/>
        <item x="28"/>
        <item x="6"/>
        <item x="70"/>
        <item x="39"/>
        <item x="26"/>
        <item x="23"/>
        <item x="9"/>
        <item x="64"/>
        <item x="29"/>
        <item x="67"/>
        <item x="24"/>
        <item x="58"/>
        <item x="57"/>
        <item x="62"/>
        <item x="56"/>
        <item x="65"/>
        <item x="59"/>
        <item x="60"/>
        <item x="25"/>
        <item x="95"/>
        <item x="122"/>
        <item x="84"/>
        <item x="63"/>
        <item x="118"/>
        <item x="66"/>
        <item x="112"/>
        <item x="34"/>
        <item x="21"/>
        <item x="4"/>
        <item x="61"/>
        <item x="161"/>
        <item x="105"/>
        <item x="179"/>
        <item x="159"/>
        <item x="145"/>
        <item x="172"/>
        <item x="106"/>
        <item x="117"/>
        <item x="115"/>
        <item x="93"/>
        <item x="92"/>
        <item x="101"/>
        <item x="89"/>
        <item x="104"/>
        <item x="86"/>
        <item x="102"/>
        <item x="103"/>
        <item x="94"/>
        <item x="36"/>
        <item x="90"/>
        <item x="125"/>
        <item x="108"/>
        <item x="120"/>
        <item x="123"/>
        <item x="113"/>
        <item x="109"/>
        <item x="121"/>
        <item x="129"/>
        <item x="134"/>
        <item x="116"/>
        <item x="110"/>
        <item x="97"/>
        <item x="22"/>
        <item x="130"/>
        <item x="99"/>
        <item x="98"/>
        <item x="119"/>
        <item x="111"/>
        <item x="136"/>
        <item x="133"/>
        <item x="182"/>
        <item x="154"/>
        <item x="160"/>
        <item x="48"/>
        <item x="150"/>
        <item x="184"/>
        <item x="181"/>
        <item x="177"/>
        <item x="175"/>
        <item x="173"/>
        <item x="168"/>
        <item x="140"/>
        <item x="143"/>
        <item x="164"/>
        <item x="144"/>
        <item x="180"/>
        <item x="146"/>
        <item x="142"/>
        <item x="167"/>
        <item x="91"/>
        <item x="152"/>
        <item x="166"/>
        <item x="114"/>
        <item x="87"/>
        <item x="52"/>
        <item x="16"/>
        <item x="85"/>
        <item x="165"/>
        <item x="157"/>
        <item x="15"/>
        <item x="51"/>
        <item x="151"/>
        <item x="169"/>
        <item x="163"/>
        <item x="100"/>
        <item x="50"/>
        <item x="53"/>
        <item x="147"/>
        <item x="183"/>
        <item x="155"/>
        <item x="149"/>
        <item x="141"/>
        <item x="148"/>
        <item x="158"/>
        <item x="176"/>
        <item x="162"/>
        <item x="88"/>
        <item x="171"/>
        <item x="107"/>
        <item x="13"/>
        <item x="178"/>
        <item x="135"/>
        <item x="126"/>
        <item x="174"/>
        <item x="153"/>
        <item x="139"/>
        <item x="156"/>
        <item x="185"/>
        <item x="128"/>
        <item x="46"/>
        <item x="187"/>
        <item x="186"/>
        <item x="138"/>
        <item x="131"/>
        <item x="127"/>
        <item x="132"/>
        <item x="47"/>
        <item x="124"/>
        <item x="137"/>
        <item x="170"/>
        <item x="18"/>
        <item x="17"/>
        <item x="14"/>
        <item x="96"/>
        <item t="default"/>
      </items>
    </pivotField>
    <pivotField dataField="1" showAll="0"/>
  </pivotFields>
  <rowFields count="3">
    <field x="0"/>
    <field x="1"/>
    <field x="2"/>
  </rowFields>
  <rowItems count="384">
    <i>
      <x/>
    </i>
    <i r="1">
      <x v="16"/>
    </i>
    <i r="2">
      <x v="9"/>
    </i>
    <i r="1">
      <x v="17"/>
    </i>
    <i r="2">
      <x v="5"/>
    </i>
    <i r="1">
      <x v="25"/>
    </i>
    <i r="2">
      <x v="43"/>
    </i>
    <i>
      <x v="1"/>
    </i>
    <i r="1">
      <x v="10"/>
    </i>
    <i r="2">
      <x v="33"/>
    </i>
    <i r="2">
      <x v="44"/>
    </i>
    <i r="1">
      <x v="19"/>
    </i>
    <i r="2">
      <x v="18"/>
    </i>
    <i r="2">
      <x v="40"/>
    </i>
    <i r="2">
      <x v="48"/>
    </i>
    <i r="2">
      <x v="75"/>
    </i>
    <i r="1">
      <x v="28"/>
    </i>
    <i r="2">
      <x v="39"/>
    </i>
    <i r="1">
      <x v="41"/>
    </i>
    <i r="2">
      <x v="53"/>
    </i>
    <i r="1">
      <x v="49"/>
    </i>
    <i r="2">
      <x v="22"/>
    </i>
    <i>
      <x v="2"/>
    </i>
    <i r="1">
      <x v="57"/>
    </i>
    <i r="2">
      <x v="30"/>
    </i>
    <i>
      <x v="3"/>
    </i>
    <i r="1">
      <x v="76"/>
    </i>
    <i r="2">
      <x v="166"/>
    </i>
    <i>
      <x v="4"/>
    </i>
    <i r="1">
      <x v="50"/>
    </i>
    <i r="2">
      <x v="189"/>
    </i>
    <i r="1">
      <x v="51"/>
    </i>
    <i r="2">
      <x v="142"/>
    </i>
    <i r="2">
      <x v="146"/>
    </i>
    <i r="1">
      <x v="52"/>
    </i>
    <i r="2">
      <x v="187"/>
    </i>
    <i r="2">
      <x v="188"/>
    </i>
    <i r="1">
      <x v="54"/>
    </i>
    <i r="2">
      <x v="7"/>
    </i>
    <i r="2">
      <x v="11"/>
    </i>
    <i r="1">
      <x v="56"/>
    </i>
    <i r="2">
      <x v="52"/>
    </i>
    <i r="2">
      <x v="57"/>
    </i>
    <i r="2">
      <x v="65"/>
    </i>
    <i r="2">
      <x v="74"/>
    </i>
    <i r="2">
      <x v="109"/>
    </i>
    <i>
      <x v="5"/>
    </i>
    <i r="1">
      <x/>
    </i>
    <i r="2">
      <x v="32"/>
    </i>
    <i>
      <x v="6"/>
    </i>
    <i r="1">
      <x v="1"/>
    </i>
    <i r="2">
      <x v="6"/>
    </i>
    <i r="2">
      <x v="11"/>
    </i>
    <i r="1">
      <x v="2"/>
    </i>
    <i r="2">
      <x v="11"/>
    </i>
    <i r="1">
      <x v="3"/>
    </i>
    <i r="2">
      <x v="14"/>
    </i>
    <i r="1">
      <x v="4"/>
    </i>
    <i r="2">
      <x v="11"/>
    </i>
    <i r="1">
      <x v="5"/>
    </i>
    <i r="2">
      <x v="22"/>
    </i>
    <i r="2">
      <x v="73"/>
    </i>
    <i r="1">
      <x v="6"/>
    </i>
    <i r="2">
      <x v="11"/>
    </i>
    <i r="1">
      <x v="7"/>
    </i>
    <i r="2">
      <x v="13"/>
    </i>
    <i r="1">
      <x v="8"/>
    </i>
    <i r="2">
      <x v="29"/>
    </i>
    <i r="2">
      <x v="39"/>
    </i>
    <i r="1">
      <x v="9"/>
    </i>
    <i r="2">
      <x v="29"/>
    </i>
    <i r="1">
      <x v="11"/>
    </i>
    <i r="2">
      <x/>
    </i>
    <i r="2">
      <x v="1"/>
    </i>
    <i r="2">
      <x v="9"/>
    </i>
    <i r="2">
      <x v="14"/>
    </i>
    <i r="2">
      <x v="27"/>
    </i>
    <i r="1">
      <x v="12"/>
    </i>
    <i r="2">
      <x v="11"/>
    </i>
    <i r="2">
      <x v="41"/>
    </i>
    <i r="1">
      <x v="14"/>
    </i>
    <i r="2">
      <x v="50"/>
    </i>
    <i r="1">
      <x v="15"/>
    </i>
    <i r="2">
      <x v="13"/>
    </i>
    <i r="1">
      <x v="16"/>
    </i>
    <i r="2">
      <x v="5"/>
    </i>
    <i r="1">
      <x v="17"/>
    </i>
    <i r="2">
      <x v="5"/>
    </i>
    <i r="2">
      <x v="9"/>
    </i>
    <i r="1">
      <x v="18"/>
    </i>
    <i r="2">
      <x v="9"/>
    </i>
    <i r="1">
      <x v="19"/>
    </i>
    <i r="2">
      <x v="12"/>
    </i>
    <i r="1">
      <x v="20"/>
    </i>
    <i r="2">
      <x v="36"/>
    </i>
    <i r="1">
      <x v="22"/>
    </i>
    <i r="2">
      <x v="12"/>
    </i>
    <i r="1">
      <x v="23"/>
    </i>
    <i r="2">
      <x v="13"/>
    </i>
    <i r="1">
      <x v="25"/>
    </i>
    <i r="2">
      <x v="34"/>
    </i>
    <i r="1">
      <x v="28"/>
    </i>
    <i r="2">
      <x v="15"/>
    </i>
    <i r="2">
      <x v="34"/>
    </i>
    <i r="2">
      <x v="42"/>
    </i>
    <i r="2">
      <x v="46"/>
    </i>
    <i r="1">
      <x v="30"/>
    </i>
    <i r="2">
      <x v="29"/>
    </i>
    <i r="1">
      <x v="35"/>
    </i>
    <i r="2">
      <x v="39"/>
    </i>
    <i r="1">
      <x v="36"/>
    </i>
    <i r="2">
      <x v="46"/>
    </i>
    <i r="1">
      <x v="38"/>
    </i>
    <i r="2">
      <x v="39"/>
    </i>
    <i r="2">
      <x v="42"/>
    </i>
    <i r="1">
      <x v="40"/>
    </i>
    <i r="2">
      <x v="55"/>
    </i>
    <i r="1">
      <x v="41"/>
    </i>
    <i r="2">
      <x v="47"/>
    </i>
    <i r="2">
      <x v="51"/>
    </i>
    <i r="2">
      <x v="95"/>
    </i>
    <i r="1">
      <x v="42"/>
    </i>
    <i r="2">
      <x v="11"/>
    </i>
    <i r="1">
      <x v="43"/>
    </i>
    <i r="2">
      <x v="14"/>
    </i>
    <i r="1">
      <x v="48"/>
    </i>
    <i r="2">
      <x/>
    </i>
    <i>
      <x v="7"/>
    </i>
    <i r="1">
      <x v="41"/>
    </i>
    <i r="2">
      <x v="120"/>
    </i>
    <i r="2">
      <x v="166"/>
    </i>
    <i r="2">
      <x v="176"/>
    </i>
    <i r="2">
      <x v="183"/>
    </i>
    <i>
      <x v="8"/>
    </i>
    <i r="1">
      <x v="39"/>
    </i>
    <i r="2">
      <x v="141"/>
    </i>
    <i r="2">
      <x v="147"/>
    </i>
    <i r="2">
      <x v="152"/>
    </i>
    <i r="1">
      <x v="44"/>
    </i>
    <i r="2">
      <x v="141"/>
    </i>
    <i r="2">
      <x v="147"/>
    </i>
    <i r="2">
      <x v="153"/>
    </i>
    <i r="1">
      <x v="45"/>
    </i>
    <i r="2">
      <x v="141"/>
    </i>
    <i r="2">
      <x v="147"/>
    </i>
    <i r="2">
      <x v="152"/>
    </i>
    <i>
      <x v="9"/>
    </i>
    <i r="1">
      <x v="5"/>
    </i>
    <i r="2">
      <x v="12"/>
    </i>
    <i r="1">
      <x v="13"/>
    </i>
    <i r="2">
      <x v="17"/>
    </i>
    <i r="1">
      <x v="48"/>
    </i>
    <i r="2">
      <x v="2"/>
    </i>
    <i r="1">
      <x v="68"/>
    </i>
    <i r="2">
      <x v="52"/>
    </i>
    <i>
      <x v="10"/>
    </i>
    <i r="1">
      <x v="55"/>
    </i>
    <i r="2">
      <x v="59"/>
    </i>
    <i r="2">
      <x v="61"/>
    </i>
    <i r="1">
      <x v="59"/>
    </i>
    <i r="2">
      <x v="64"/>
    </i>
    <i r="2">
      <x v="76"/>
    </i>
    <i r="1">
      <x v="60"/>
    </i>
    <i r="2">
      <x v="54"/>
    </i>
    <i r="2">
      <x v="56"/>
    </i>
    <i r="2">
      <x v="60"/>
    </i>
    <i r="2">
      <x v="62"/>
    </i>
    <i r="2">
      <x v="63"/>
    </i>
    <i r="2">
      <x v="69"/>
    </i>
    <i r="2">
      <x v="71"/>
    </i>
    <i r="1">
      <x v="64"/>
    </i>
    <i r="2">
      <x v="58"/>
    </i>
    <i>
      <x v="11"/>
    </i>
    <i r="1">
      <x v="67"/>
    </i>
    <i r="2">
      <x v="9"/>
    </i>
    <i>
      <x v="12"/>
    </i>
    <i r="1">
      <x v="16"/>
    </i>
    <i r="2">
      <x v="9"/>
    </i>
    <i r="1">
      <x v="17"/>
    </i>
    <i r="2">
      <x v="8"/>
    </i>
    <i r="2">
      <x v="9"/>
    </i>
    <i r="1">
      <x v="19"/>
    </i>
    <i r="2">
      <x v="9"/>
    </i>
    <i r="2">
      <x v="24"/>
    </i>
    <i r="1">
      <x v="21"/>
    </i>
    <i r="2">
      <x v="20"/>
    </i>
    <i r="1">
      <x v="22"/>
    </i>
    <i r="2">
      <x v="49"/>
    </i>
    <i r="1">
      <x v="24"/>
    </i>
    <i r="2">
      <x v="29"/>
    </i>
    <i r="1">
      <x v="26"/>
    </i>
    <i r="2">
      <x v="21"/>
    </i>
    <i r="1">
      <x v="27"/>
    </i>
    <i r="2">
      <x v="26"/>
    </i>
    <i r="1">
      <x v="28"/>
    </i>
    <i r="2">
      <x v="34"/>
    </i>
    <i r="1">
      <x v="29"/>
    </i>
    <i r="2">
      <x v="23"/>
    </i>
    <i r="1">
      <x v="31"/>
    </i>
    <i r="2">
      <x v="35"/>
    </i>
    <i r="1">
      <x v="32"/>
    </i>
    <i r="2">
      <x v="28"/>
    </i>
    <i r="2">
      <x v="31"/>
    </i>
    <i r="1">
      <x v="33"/>
    </i>
    <i r="2">
      <x v="24"/>
    </i>
    <i r="1">
      <x v="34"/>
    </i>
    <i r="2">
      <x v="38"/>
    </i>
    <i r="1">
      <x v="48"/>
    </i>
    <i r="2">
      <x/>
    </i>
    <i r="1">
      <x v="58"/>
    </i>
    <i r="2">
      <x v="16"/>
    </i>
    <i r="2">
      <x v="18"/>
    </i>
    <i r="1">
      <x v="61"/>
    </i>
    <i r="2">
      <x v="1"/>
    </i>
    <i r="1">
      <x v="62"/>
    </i>
    <i r="2">
      <x v="2"/>
    </i>
    <i r="1">
      <x v="63"/>
    </i>
    <i r="2">
      <x v="1"/>
    </i>
    <i r="1">
      <x v="65"/>
    </i>
    <i r="2">
      <x v="4"/>
    </i>
    <i r="1">
      <x v="66"/>
    </i>
    <i r="2">
      <x v="41"/>
    </i>
    <i r="1">
      <x v="67"/>
    </i>
    <i r="2">
      <x v="10"/>
    </i>
    <i r="1">
      <x v="69"/>
    </i>
    <i r="2">
      <x v="37"/>
    </i>
    <i r="1">
      <x v="70"/>
    </i>
    <i r="2">
      <x v="18"/>
    </i>
    <i r="1">
      <x v="71"/>
    </i>
    <i r="2">
      <x v="18"/>
    </i>
    <i r="1">
      <x v="72"/>
    </i>
    <i r="2">
      <x v="45"/>
    </i>
    <i r="1">
      <x v="74"/>
    </i>
    <i r="2">
      <x v="24"/>
    </i>
    <i>
      <x v="13"/>
    </i>
    <i r="1">
      <x v="77"/>
    </i>
    <i r="2">
      <x v="66"/>
    </i>
    <i r="2">
      <x v="67"/>
    </i>
    <i r="2">
      <x v="68"/>
    </i>
    <i r="2">
      <x v="70"/>
    </i>
    <i r="2">
      <x v="72"/>
    </i>
    <i r="2">
      <x v="84"/>
    </i>
    <i r="2">
      <x v="85"/>
    </i>
    <i r="2">
      <x v="86"/>
    </i>
    <i r="2"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6"/>
    </i>
    <i r="2">
      <x v="98"/>
    </i>
    <i r="2">
      <x v="99"/>
    </i>
    <i r="2">
      <x v="100"/>
    </i>
    <i r="2">
      <x v="101"/>
    </i>
    <i r="2">
      <x v="102"/>
    </i>
    <i r="2">
      <x v="106"/>
    </i>
    <i r="2">
      <x v="107"/>
    </i>
    <i r="2">
      <x v="108"/>
    </i>
    <i r="2">
      <x v="111"/>
    </i>
    <i r="2">
      <x v="112"/>
    </i>
    <i r="2">
      <x v="113"/>
    </i>
    <i r="2">
      <x v="114"/>
    </i>
    <i r="2">
      <x v="136"/>
    </i>
    <i r="2">
      <x v="139"/>
    </i>
    <i r="2">
      <x v="140"/>
    </i>
    <i r="2">
      <x v="143"/>
    </i>
    <i r="2">
      <x v="146"/>
    </i>
    <i r="2">
      <x v="151"/>
    </i>
    <i r="2">
      <x v="165"/>
    </i>
    <i r="2">
      <x v="190"/>
    </i>
    <i r="1">
      <x v="80"/>
    </i>
    <i r="2">
      <x v="78"/>
    </i>
    <i r="2">
      <x v="83"/>
    </i>
    <i r="2">
      <x v="163"/>
    </i>
    <i r="1">
      <x v="82"/>
    </i>
    <i r="2">
      <x v="103"/>
    </i>
    <i>
      <x v="14"/>
    </i>
    <i r="1">
      <x v="53"/>
    </i>
    <i r="2">
      <x v="184"/>
    </i>
    <i>
      <x v="15"/>
    </i>
    <i r="1">
      <x v="77"/>
    </i>
    <i r="2">
      <x v="97"/>
    </i>
    <i r="2">
      <x v="104"/>
    </i>
    <i r="1">
      <x v="80"/>
    </i>
    <i r="2">
      <x v="104"/>
    </i>
    <i r="1">
      <x v="82"/>
    </i>
    <i r="2">
      <x v="115"/>
    </i>
    <i r="2">
      <x v="116"/>
    </i>
    <i r="2">
      <x v="168"/>
    </i>
    <i r="2">
      <x v="179"/>
    </i>
    <i r="2">
      <x v="181"/>
    </i>
    <i r="2">
      <x v="182"/>
    </i>
    <i r="1">
      <x v="83"/>
    </i>
    <i r="2">
      <x v="105"/>
    </i>
    <i r="2">
      <x v="110"/>
    </i>
    <i r="2">
      <x v="169"/>
    </i>
    <i r="2">
      <x v="180"/>
    </i>
    <i r="1">
      <x v="84"/>
    </i>
    <i r="2">
      <x v="175"/>
    </i>
    <i r="2">
      <x v="180"/>
    </i>
    <i r="2">
      <x v="185"/>
    </i>
    <i>
      <x v="16"/>
    </i>
    <i r="1">
      <x v="75"/>
    </i>
    <i r="2">
      <x v="183"/>
    </i>
    <i>
      <x v="17"/>
    </i>
    <i r="1">
      <x/>
    </i>
    <i r="2">
      <x v="81"/>
    </i>
    <i r="2">
      <x v="127"/>
    </i>
    <i r="2">
      <x v="131"/>
    </i>
    <i r="2">
      <x v="137"/>
    </i>
    <i r="2">
      <x v="144"/>
    </i>
    <i r="2">
      <x v="145"/>
    </i>
    <i r="2">
      <x v="148"/>
    </i>
    <i r="2">
      <x v="149"/>
    </i>
    <i r="2">
      <x v="150"/>
    </i>
    <i r="2">
      <x v="154"/>
    </i>
    <i r="2">
      <x v="156"/>
    </i>
    <i r="2">
      <x v="157"/>
    </i>
    <i r="2">
      <x v="159"/>
    </i>
    <i r="2">
      <x v="160"/>
    </i>
    <i r="2">
      <x v="167"/>
    </i>
    <i r="2">
      <x v="170"/>
    </i>
    <i r="2">
      <x v="171"/>
    </i>
    <i r="2">
      <x v="172"/>
    </i>
    <i r="2">
      <x v="173"/>
    </i>
    <i r="2">
      <x v="174"/>
    </i>
    <i r="2">
      <x v="177"/>
    </i>
    <i r="2">
      <x v="178"/>
    </i>
    <i r="1">
      <x v="77"/>
    </i>
    <i r="2">
      <x v="77"/>
    </i>
    <i r="2">
      <x v="79"/>
    </i>
    <i r="2">
      <x v="82"/>
    </i>
    <i r="2">
      <x v="117"/>
    </i>
    <i r="2">
      <x v="118"/>
    </i>
    <i r="2">
      <x v="119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8"/>
    </i>
    <i r="2">
      <x v="129"/>
    </i>
    <i r="2">
      <x v="130"/>
    </i>
    <i r="2">
      <x v="132"/>
    </i>
    <i r="2">
      <x v="133"/>
    </i>
    <i r="2">
      <x v="134"/>
    </i>
    <i r="2">
      <x v="135"/>
    </i>
    <i r="2">
      <x v="138"/>
    </i>
    <i r="2">
      <x v="158"/>
    </i>
    <i r="2">
      <x v="164"/>
    </i>
    <i r="1">
      <x v="78"/>
    </i>
    <i r="2">
      <x v="155"/>
    </i>
    <i r="1">
      <x v="79"/>
    </i>
    <i r="2">
      <x v="186"/>
    </i>
    <i r="1">
      <x v="81"/>
    </i>
    <i r="2">
      <x v="80"/>
    </i>
    <i r="2">
      <x v="128"/>
    </i>
    <i r="2">
      <x v="131"/>
    </i>
    <i r="2">
      <x v="161"/>
    </i>
    <i r="2">
      <x v="162"/>
    </i>
    <i>
      <x v="18"/>
    </i>
    <i r="1">
      <x v="16"/>
    </i>
    <i r="2">
      <x v="9"/>
    </i>
    <i r="1">
      <x v="17"/>
    </i>
    <i r="2">
      <x v="9"/>
    </i>
    <i r="1">
      <x v="19"/>
    </i>
    <i r="2">
      <x v="19"/>
    </i>
    <i r="2">
      <x v="32"/>
    </i>
    <i r="1">
      <x v="22"/>
    </i>
    <i r="2">
      <x v="25"/>
    </i>
    <i r="1">
      <x v="37"/>
    </i>
    <i r="2">
      <x v="9"/>
    </i>
    <i r="2">
      <x v="11"/>
    </i>
    <i r="1">
      <x v="46"/>
    </i>
    <i r="2">
      <x v="3"/>
    </i>
    <i r="1">
      <x v="47"/>
    </i>
    <i r="2">
      <x v="3"/>
    </i>
    <i r="1">
      <x v="73"/>
    </i>
    <i r="2"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Length (mm)2" fld="2" subtotal="count" baseField="0" baseItem="0"/>
    <dataField name="Sum of Length (mm)" fld="2" baseField="0" baseItem="0"/>
    <dataField name="Sum of Weight (t)" fld="3" baseField="0" baseItem="0"/>
  </dataFields>
  <formats count="131">
    <format dxfId="4">
      <pivotArea collapsedLevelsAreSubtotals="1" fieldPosition="0">
        <references count="2">
          <reference field="0" count="1" selected="0">
            <x v="15"/>
          </reference>
          <reference field="1" count="1">
            <x v="77"/>
          </reference>
        </references>
      </pivotArea>
    </format>
    <format dxfId="5">
      <pivotArea collapsedLevelsAreSubtotals="1" fieldPosition="0">
        <references count="3">
          <reference field="0" count="1" selected="0">
            <x v="15"/>
          </reference>
          <reference field="1" count="1" selected="0">
            <x v="77"/>
          </reference>
          <reference field="2" count="2">
            <x v="97"/>
            <x v="104"/>
          </reference>
        </references>
      </pivotArea>
    </format>
    <format dxfId="6">
      <pivotArea dataOnly="0" labelOnly="1" fieldPosition="0">
        <references count="2">
          <reference field="0" count="1" selected="0">
            <x v="15"/>
          </reference>
          <reference field="1" count="1">
            <x v="77"/>
          </reference>
        </references>
      </pivotArea>
    </format>
    <format dxfId="7">
      <pivotArea dataOnly="0" labelOnly="1" fieldPosition="0">
        <references count="3">
          <reference field="0" count="1" selected="0">
            <x v="15"/>
          </reference>
          <reference field="1" count="1" selected="0">
            <x v="77"/>
          </reference>
          <reference field="2" count="2">
            <x v="97"/>
            <x v="104"/>
          </reference>
        </references>
      </pivotArea>
    </format>
    <format dxfId="8">
      <pivotArea collapsedLevelsAreSubtotals="1" fieldPosition="0">
        <references count="2">
          <reference field="0" count="1" selected="0">
            <x v="15"/>
          </reference>
          <reference field="1" count="1">
            <x v="80"/>
          </reference>
        </references>
      </pivotArea>
    </format>
    <format dxfId="9">
      <pivotArea collapsedLevelsAreSubtotals="1" fieldPosition="0">
        <references count="3">
          <reference field="0" count="1" selected="0">
            <x v="15"/>
          </reference>
          <reference field="1" count="1" selected="0">
            <x v="80"/>
          </reference>
          <reference field="2" count="1">
            <x v="104"/>
          </reference>
        </references>
      </pivotArea>
    </format>
    <format dxfId="10">
      <pivotArea dataOnly="0" labelOnly="1" fieldPosition="0">
        <references count="2">
          <reference field="0" count="1" selected="0">
            <x v="15"/>
          </reference>
          <reference field="1" count="1">
            <x v="80"/>
          </reference>
        </references>
      </pivotArea>
    </format>
    <format dxfId="11">
      <pivotArea dataOnly="0" labelOnly="1" fieldPosition="0">
        <references count="3">
          <reference field="0" count="1" selected="0">
            <x v="15"/>
          </reference>
          <reference field="1" count="1" selected="0">
            <x v="80"/>
          </reference>
          <reference field="2" count="1">
            <x v="104"/>
          </reference>
        </references>
      </pivotArea>
    </format>
    <format dxfId="12">
      <pivotArea collapsedLevelsAreSubtotals="1" fieldPosition="0">
        <references count="2">
          <reference field="0" count="1" selected="0">
            <x v="15"/>
          </reference>
          <reference field="1" count="1">
            <x v="82"/>
          </reference>
        </references>
      </pivotArea>
    </format>
    <format dxfId="13">
      <pivotArea collapsedLevelsAreSubtotals="1" fieldPosition="0">
        <references count="3">
          <reference field="0" count="1" selected="0">
            <x v="15"/>
          </reference>
          <reference field="1" count="1" selected="0">
            <x v="82"/>
          </reference>
          <reference field="2" count="6">
            <x v="115"/>
            <x v="116"/>
            <x v="168"/>
            <x v="179"/>
            <x v="181"/>
            <x v="182"/>
          </reference>
        </references>
      </pivotArea>
    </format>
    <format dxfId="14">
      <pivotArea dataOnly="0" labelOnly="1" fieldPosition="0">
        <references count="2">
          <reference field="0" count="1" selected="0">
            <x v="15"/>
          </reference>
          <reference field="1" count="1">
            <x v="82"/>
          </reference>
        </references>
      </pivotArea>
    </format>
    <format dxfId="15">
      <pivotArea dataOnly="0" labelOnly="1" fieldPosition="0">
        <references count="3">
          <reference field="0" count="1" selected="0">
            <x v="15"/>
          </reference>
          <reference field="1" count="1" selected="0">
            <x v="82"/>
          </reference>
          <reference field="2" count="6">
            <x v="115"/>
            <x v="116"/>
            <x v="168"/>
            <x v="179"/>
            <x v="181"/>
            <x v="182"/>
          </reference>
        </references>
      </pivotArea>
    </format>
    <format dxfId="16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5"/>
          </reference>
          <reference field="1" count="1">
            <x v="83"/>
          </reference>
        </references>
      </pivotArea>
    </format>
    <format dxfId="17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5"/>
          </reference>
          <reference field="1" count="1" selected="0">
            <x v="83"/>
          </reference>
          <reference field="2" count="4">
            <x v="105"/>
            <x v="110"/>
            <x v="169"/>
            <x v="180"/>
          </reference>
        </references>
      </pivotArea>
    </format>
    <format dxfId="18">
      <pivotArea dataOnly="0" labelOnly="1" fieldPosition="0">
        <references count="2">
          <reference field="0" count="1" selected="0">
            <x v="15"/>
          </reference>
          <reference field="1" count="1">
            <x v="83"/>
          </reference>
        </references>
      </pivotArea>
    </format>
    <format dxfId="19">
      <pivotArea dataOnly="0" labelOnly="1" fieldPosition="0">
        <references count="3">
          <reference field="0" count="1" selected="0">
            <x v="15"/>
          </reference>
          <reference field="1" count="1" selected="0">
            <x v="83"/>
          </reference>
          <reference field="2" count="4">
            <x v="105"/>
            <x v="110"/>
            <x v="169"/>
            <x v="180"/>
          </reference>
        </references>
      </pivotArea>
    </format>
    <format dxfId="20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5"/>
          </reference>
          <reference field="1" count="1">
            <x v="84"/>
          </reference>
        </references>
      </pivotArea>
    </format>
    <format dxfId="21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5"/>
          </reference>
          <reference field="1" count="1" selected="0">
            <x v="84"/>
          </reference>
          <reference field="2" count="3">
            <x v="175"/>
            <x v="180"/>
            <x v="185"/>
          </reference>
        </references>
      </pivotArea>
    </format>
    <format dxfId="22">
      <pivotArea dataOnly="0" labelOnly="1" fieldPosition="0">
        <references count="2">
          <reference field="0" count="1" selected="0">
            <x v="15"/>
          </reference>
          <reference field="1" count="1">
            <x v="84"/>
          </reference>
        </references>
      </pivotArea>
    </format>
    <format dxfId="23">
      <pivotArea dataOnly="0" labelOnly="1" fieldPosition="0">
        <references count="3">
          <reference field="0" count="1" selected="0">
            <x v="15"/>
          </reference>
          <reference field="1" count="1" selected="0">
            <x v="84"/>
          </reference>
          <reference field="2" count="3">
            <x v="175"/>
            <x v="180"/>
            <x v="185"/>
          </reference>
        </references>
      </pivotArea>
    </format>
    <format dxfId="24">
      <pivotArea collapsedLevelsAreSubtotals="1" fieldPosition="0">
        <references count="2">
          <reference field="4294967294" count="2" selected="0">
            <x v="0"/>
            <x v="1"/>
          </reference>
          <reference field="0" count="1">
            <x v="8"/>
          </reference>
        </references>
      </pivotArea>
    </format>
    <format dxfId="25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8"/>
          </reference>
          <reference field="1" count="1">
            <x v="39"/>
          </reference>
        </references>
      </pivotArea>
    </format>
    <format dxfId="26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8"/>
          </reference>
          <reference field="1" count="1" selected="0">
            <x v="39"/>
          </reference>
          <reference field="2" count="3">
            <x v="141"/>
            <x v="147"/>
            <x v="152"/>
          </reference>
        </references>
      </pivotArea>
    </format>
    <format dxfId="27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8"/>
          </reference>
          <reference field="1" count="1">
            <x v="44"/>
          </reference>
        </references>
      </pivotArea>
    </format>
    <format dxfId="28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8"/>
          </reference>
          <reference field="1" count="1" selected="0">
            <x v="44"/>
          </reference>
          <reference field="2" count="3">
            <x v="141"/>
            <x v="147"/>
            <x v="153"/>
          </reference>
        </references>
      </pivotArea>
    </format>
    <format dxfId="29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8"/>
          </reference>
          <reference field="1" count="1">
            <x v="45"/>
          </reference>
        </references>
      </pivotArea>
    </format>
    <format dxfId="30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8"/>
          </reference>
          <reference field="1" count="1" selected="0">
            <x v="45"/>
          </reference>
          <reference field="2" count="3">
            <x v="141"/>
            <x v="147"/>
            <x v="152"/>
          </reference>
        </references>
      </pivotArea>
    </format>
    <format dxfId="31">
      <pivotArea dataOnly="0" labelOnly="1" fieldPosition="0">
        <references count="1">
          <reference field="0" count="1">
            <x v="8"/>
          </reference>
        </references>
      </pivotArea>
    </format>
    <format dxfId="32">
      <pivotArea dataOnly="0" labelOnly="1" fieldPosition="0">
        <references count="2">
          <reference field="0" count="1" selected="0">
            <x v="8"/>
          </reference>
          <reference field="1" count="3">
            <x v="39"/>
            <x v="44"/>
            <x v="45"/>
          </reference>
        </references>
      </pivotArea>
    </format>
    <format dxfId="33">
      <pivotArea dataOnly="0" labelOnly="1" fieldPosition="0">
        <references count="3">
          <reference field="0" count="1" selected="0">
            <x v="8"/>
          </reference>
          <reference field="1" count="1" selected="0">
            <x v="39"/>
          </reference>
          <reference field="2" count="3">
            <x v="141"/>
            <x v="147"/>
            <x v="152"/>
          </reference>
        </references>
      </pivotArea>
    </format>
    <format dxfId="34">
      <pivotArea dataOnly="0" labelOnly="1" fieldPosition="0">
        <references count="3">
          <reference field="0" count="1" selected="0">
            <x v="8"/>
          </reference>
          <reference field="1" count="1" selected="0">
            <x v="44"/>
          </reference>
          <reference field="2" count="3">
            <x v="141"/>
            <x v="147"/>
            <x v="153"/>
          </reference>
        </references>
      </pivotArea>
    </format>
    <format dxfId="35">
      <pivotArea dataOnly="0" labelOnly="1" fieldPosition="0">
        <references count="3">
          <reference field="0" count="1" selected="0">
            <x v="8"/>
          </reference>
          <reference field="1" count="1" selected="0">
            <x v="45"/>
          </reference>
          <reference field="2" count="3">
            <x v="141"/>
            <x v="147"/>
            <x v="152"/>
          </reference>
        </references>
      </pivotArea>
    </format>
    <format dxfId="36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4"/>
          </reference>
          <reference field="1" count="1">
            <x v="50"/>
          </reference>
        </references>
      </pivotArea>
    </format>
    <format dxfId="37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4"/>
          </reference>
          <reference field="1" count="1" selected="0">
            <x v="50"/>
          </reference>
          <reference field="2" count="1">
            <x v="189"/>
          </reference>
        </references>
      </pivotArea>
    </format>
    <format dxfId="38">
      <pivotArea dataOnly="0" labelOnly="1" fieldPosition="0">
        <references count="2">
          <reference field="0" count="1" selected="0">
            <x v="4"/>
          </reference>
          <reference field="1" count="1">
            <x v="50"/>
          </reference>
        </references>
      </pivotArea>
    </format>
    <format dxfId="39">
      <pivotArea dataOnly="0" labelOnly="1" fieldPosition="0">
        <references count="3">
          <reference field="0" count="1" selected="0">
            <x v="4"/>
          </reference>
          <reference field="1" count="1" selected="0">
            <x v="50"/>
          </reference>
          <reference field="2" count="1">
            <x v="189"/>
          </reference>
        </references>
      </pivotArea>
    </format>
    <format dxfId="40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4"/>
          </reference>
          <reference field="1" count="1">
            <x v="51"/>
          </reference>
        </references>
      </pivotArea>
    </format>
    <format dxfId="41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4"/>
          </reference>
          <reference field="1" count="1" selected="0">
            <x v="51"/>
          </reference>
          <reference field="2" count="2">
            <x v="142"/>
            <x v="146"/>
          </reference>
        </references>
      </pivotArea>
    </format>
    <format dxfId="42">
      <pivotArea dataOnly="0" labelOnly="1" fieldPosition="0">
        <references count="2">
          <reference field="0" count="1" selected="0">
            <x v="4"/>
          </reference>
          <reference field="1" count="1">
            <x v="51"/>
          </reference>
        </references>
      </pivotArea>
    </format>
    <format dxfId="43">
      <pivotArea dataOnly="0" labelOnly="1" fieldPosition="0">
        <references count="3">
          <reference field="0" count="1" selected="0">
            <x v="4"/>
          </reference>
          <reference field="1" count="1" selected="0">
            <x v="51"/>
          </reference>
          <reference field="2" count="2">
            <x v="142"/>
            <x v="146"/>
          </reference>
        </references>
      </pivotArea>
    </format>
    <format dxfId="44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4"/>
          </reference>
          <reference field="1" count="1">
            <x v="52"/>
          </reference>
        </references>
      </pivotArea>
    </format>
    <format dxfId="45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4"/>
          </reference>
          <reference field="1" count="1" selected="0">
            <x v="52"/>
          </reference>
          <reference field="2" count="2">
            <x v="187"/>
            <x v="188"/>
          </reference>
        </references>
      </pivotArea>
    </format>
    <format dxfId="46">
      <pivotArea dataOnly="0" labelOnly="1" fieldPosition="0">
        <references count="2">
          <reference field="0" count="1" selected="0">
            <x v="4"/>
          </reference>
          <reference field="1" count="1">
            <x v="52"/>
          </reference>
        </references>
      </pivotArea>
    </format>
    <format dxfId="47">
      <pivotArea dataOnly="0" labelOnly="1" fieldPosition="0">
        <references count="3">
          <reference field="0" count="1" selected="0">
            <x v="4"/>
          </reference>
          <reference field="1" count="1" selected="0">
            <x v="52"/>
          </reference>
          <reference field="2" count="2">
            <x v="187"/>
            <x v="188"/>
          </reference>
        </references>
      </pivotArea>
    </format>
    <format dxfId="48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7"/>
          </reference>
          <reference field="1" count="1">
            <x v="81"/>
          </reference>
        </references>
      </pivotArea>
    </format>
    <format dxfId="49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7"/>
          </reference>
          <reference field="1" count="1" selected="0">
            <x v="81"/>
          </reference>
          <reference field="2" count="5">
            <x v="80"/>
            <x v="128"/>
            <x v="131"/>
            <x v="161"/>
            <x v="162"/>
          </reference>
        </references>
      </pivotArea>
    </format>
    <format dxfId="50">
      <pivotArea dataOnly="0" labelOnly="1" fieldPosition="0">
        <references count="2">
          <reference field="0" count="1" selected="0">
            <x v="17"/>
          </reference>
          <reference field="1" count="1">
            <x v="81"/>
          </reference>
        </references>
      </pivotArea>
    </format>
    <format dxfId="51">
      <pivotArea dataOnly="0" labelOnly="1" fieldPosition="0">
        <references count="3">
          <reference field="0" count="1" selected="0">
            <x v="17"/>
          </reference>
          <reference field="1" count="1" selected="0">
            <x v="81"/>
          </reference>
          <reference field="2" count="5">
            <x v="80"/>
            <x v="128"/>
            <x v="131"/>
            <x v="161"/>
            <x v="162"/>
          </reference>
        </references>
      </pivotArea>
    </format>
    <format dxfId="52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0"/>
          </reference>
          <reference field="1" count="1">
            <x v="16"/>
          </reference>
        </references>
      </pivotArea>
    </format>
    <format dxfId="53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0"/>
          </reference>
          <reference field="1" count="1" selected="0">
            <x v="16"/>
          </reference>
          <reference field="2" count="1">
            <x v="9"/>
          </reference>
        </references>
      </pivotArea>
    </format>
    <format dxfId="54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0"/>
          </reference>
          <reference field="1" count="1">
            <x v="17"/>
          </reference>
        </references>
      </pivotArea>
    </format>
    <format dxfId="55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0"/>
          </reference>
          <reference field="1" count="1" selected="0">
            <x v="17"/>
          </reference>
          <reference field="2" count="1">
            <x v="5"/>
          </reference>
        </references>
      </pivotArea>
    </format>
    <format dxfId="56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0"/>
          </reference>
          <reference field="1" count="1">
            <x v="25"/>
          </reference>
        </references>
      </pivotArea>
    </format>
    <format dxfId="57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0"/>
          </reference>
          <reference field="1" count="1" selected="0">
            <x v="25"/>
          </reference>
          <reference field="2" count="1">
            <x v="43"/>
          </reference>
        </references>
      </pivotArea>
    </format>
    <format dxfId="58">
      <pivotArea dataOnly="0" labelOnly="1" fieldPosition="0">
        <references count="2">
          <reference field="0" count="1" selected="0">
            <x v="0"/>
          </reference>
          <reference field="1" count="3">
            <x v="16"/>
            <x v="17"/>
            <x v="25"/>
          </reference>
        </references>
      </pivotArea>
    </format>
    <format dxfId="59">
      <pivotArea dataOnly="0" labelOnly="1" fieldPosition="0">
        <references count="3">
          <reference field="0" count="1" selected="0">
            <x v="0"/>
          </reference>
          <reference field="1" count="1" selected="0">
            <x v="16"/>
          </reference>
          <reference field="2" count="1">
            <x v="9"/>
          </reference>
        </references>
      </pivotArea>
    </format>
    <format dxfId="60">
      <pivotArea dataOnly="0" labelOnly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5"/>
          </reference>
        </references>
      </pivotArea>
    </format>
    <format dxfId="61">
      <pivotArea dataOnly="0" labelOnly="1" fieldPosition="0">
        <references count="3">
          <reference field="0" count="1" selected="0">
            <x v="0"/>
          </reference>
          <reference field="1" count="1" selected="0">
            <x v="25"/>
          </reference>
          <reference field="2" count="1">
            <x v="43"/>
          </reference>
        </references>
      </pivotArea>
    </format>
    <format dxfId="62">
      <pivotArea dataOnly="0" labelOnly="1" fieldPosition="0">
        <references count="1">
          <reference field="0" count="1">
            <x v="3"/>
          </reference>
        </references>
      </pivotArea>
    </format>
    <format dxfId="63">
      <pivotArea dataOnly="0" labelOnly="1" fieldPosition="0">
        <references count="2">
          <reference field="0" count="1" selected="0">
            <x v="3"/>
          </reference>
          <reference field="1" count="1">
            <x v="76"/>
          </reference>
        </references>
      </pivotArea>
    </format>
    <format dxfId="64">
      <pivotArea dataOnly="0" labelOnly="1" fieldPosition="0">
        <references count="3">
          <reference field="0" count="1" selected="0">
            <x v="3"/>
          </reference>
          <reference field="1" count="1" selected="0">
            <x v="76"/>
          </reference>
          <reference field="2" count="1">
            <x v="166"/>
          </reference>
        </references>
      </pivotArea>
    </format>
    <format dxfId="65">
      <pivotArea dataOnly="0" labelOnly="1" fieldPosition="0">
        <references count="1">
          <reference field="0" count="1">
            <x v="3"/>
          </reference>
        </references>
      </pivotArea>
    </format>
    <format dxfId="66">
      <pivotArea dataOnly="0" labelOnly="1" fieldPosition="0">
        <references count="2">
          <reference field="0" count="1" selected="0">
            <x v="3"/>
          </reference>
          <reference field="1" count="1">
            <x v="76"/>
          </reference>
        </references>
      </pivotArea>
    </format>
    <format dxfId="67">
      <pivotArea dataOnly="0" labelOnly="1" fieldPosition="0">
        <references count="3">
          <reference field="0" count="1" selected="0">
            <x v="3"/>
          </reference>
          <reference field="1" count="1" selected="0">
            <x v="76"/>
          </reference>
          <reference field="2" count="1">
            <x v="166"/>
          </reference>
        </references>
      </pivotArea>
    </format>
    <format dxfId="68">
      <pivotArea dataOnly="0" labelOnly="1" fieldPosition="0">
        <references count="2">
          <reference field="0" count="1" selected="0">
            <x v="4"/>
          </reference>
          <reference field="1" count="1">
            <x v="56"/>
          </reference>
        </references>
      </pivotArea>
    </format>
    <format dxfId="69">
      <pivotArea dataOnly="0" labelOnly="1" fieldPosition="0">
        <references count="3">
          <reference field="0" count="1" selected="0">
            <x v="4"/>
          </reference>
          <reference field="1" count="1" selected="0">
            <x v="56"/>
          </reference>
          <reference field="2" count="5">
            <x v="52"/>
            <x v="57"/>
            <x v="65"/>
            <x v="74"/>
            <x v="109"/>
          </reference>
        </references>
      </pivotArea>
    </format>
    <format dxfId="70">
      <pivotArea dataOnly="0" labelOnly="1" fieldPosition="0">
        <references count="1">
          <reference field="0" count="1">
            <x v="7"/>
          </reference>
        </references>
      </pivotArea>
    </format>
    <format dxfId="71">
      <pivotArea dataOnly="0" labelOnly="1" fieldPosition="0">
        <references count="2">
          <reference field="0" count="1" selected="0">
            <x v="7"/>
          </reference>
          <reference field="1" count="1">
            <x v="41"/>
          </reference>
        </references>
      </pivotArea>
    </format>
    <format dxfId="72">
      <pivotArea dataOnly="0" labelOnly="1" fieldPosition="0">
        <references count="3">
          <reference field="0" count="1" selected="0">
            <x v="7"/>
          </reference>
          <reference field="1" count="1" selected="0">
            <x v="41"/>
          </reference>
          <reference field="2" count="4">
            <x v="120"/>
            <x v="166"/>
            <x v="176"/>
            <x v="183"/>
          </reference>
        </references>
      </pivotArea>
    </format>
    <format dxfId="73">
      <pivotArea collapsedLevelsAreSubtotals="1" fieldPosition="0">
        <references count="1">
          <reference field="0" count="1">
            <x v="10"/>
          </reference>
        </references>
      </pivotArea>
    </format>
    <format dxfId="74">
      <pivotArea collapsedLevelsAreSubtotals="1" fieldPosition="0">
        <references count="2">
          <reference field="0" count="1" selected="0">
            <x v="10"/>
          </reference>
          <reference field="1" count="1">
            <x v="55"/>
          </reference>
        </references>
      </pivotArea>
    </format>
    <format dxfId="75">
      <pivotArea collapsedLevelsAreSubtotals="1" fieldPosition="0">
        <references count="3">
          <reference field="0" count="1" selected="0">
            <x v="10"/>
          </reference>
          <reference field="1" count="1" selected="0">
            <x v="55"/>
          </reference>
          <reference field="2" count="2">
            <x v="59"/>
            <x v="61"/>
          </reference>
        </references>
      </pivotArea>
    </format>
    <format dxfId="76">
      <pivotArea collapsedLevelsAreSubtotals="1" fieldPosition="0">
        <references count="2">
          <reference field="0" count="1" selected="0">
            <x v="10"/>
          </reference>
          <reference field="1" count="1">
            <x v="59"/>
          </reference>
        </references>
      </pivotArea>
    </format>
    <format dxfId="77">
      <pivotArea collapsedLevelsAreSubtotals="1" fieldPosition="0">
        <references count="3">
          <reference field="0" count="1" selected="0">
            <x v="10"/>
          </reference>
          <reference field="1" count="1" selected="0">
            <x v="59"/>
          </reference>
          <reference field="2" count="2">
            <x v="64"/>
            <x v="76"/>
          </reference>
        </references>
      </pivotArea>
    </format>
    <format dxfId="78">
      <pivotArea collapsedLevelsAreSubtotals="1" fieldPosition="0">
        <references count="2">
          <reference field="0" count="1" selected="0">
            <x v="10"/>
          </reference>
          <reference field="1" count="1">
            <x v="60"/>
          </reference>
        </references>
      </pivotArea>
    </format>
    <format dxfId="79">
      <pivotArea collapsedLevelsAreSubtotals="1" fieldPosition="0">
        <references count="3">
          <reference field="0" count="1" selected="0">
            <x v="10"/>
          </reference>
          <reference field="1" count="1" selected="0">
            <x v="60"/>
          </reference>
          <reference field="2" count="7">
            <x v="54"/>
            <x v="56"/>
            <x v="60"/>
            <x v="62"/>
            <x v="63"/>
            <x v="69"/>
            <x v="71"/>
          </reference>
        </references>
      </pivotArea>
    </format>
    <format dxfId="80">
      <pivotArea collapsedLevelsAreSubtotals="1" fieldPosition="0">
        <references count="2">
          <reference field="0" count="1" selected="0">
            <x v="10"/>
          </reference>
          <reference field="1" count="1">
            <x v="64"/>
          </reference>
        </references>
      </pivotArea>
    </format>
    <format dxfId="81">
      <pivotArea collapsedLevelsAreSubtotals="1" fieldPosition="0">
        <references count="3">
          <reference field="0" count="1" selected="0">
            <x v="10"/>
          </reference>
          <reference field="1" count="1" selected="0">
            <x v="64"/>
          </reference>
          <reference field="2" count="1">
            <x v="58"/>
          </reference>
        </references>
      </pivotArea>
    </format>
    <format dxfId="82">
      <pivotArea dataOnly="0" labelOnly="1" fieldPosition="0">
        <references count="1">
          <reference field="0" count="1">
            <x v="10"/>
          </reference>
        </references>
      </pivotArea>
    </format>
    <format dxfId="83">
      <pivotArea dataOnly="0" labelOnly="1" fieldPosition="0">
        <references count="2">
          <reference field="0" count="1" selected="0">
            <x v="10"/>
          </reference>
          <reference field="1" count="4">
            <x v="55"/>
            <x v="59"/>
            <x v="60"/>
            <x v="64"/>
          </reference>
        </references>
      </pivotArea>
    </format>
    <format dxfId="84">
      <pivotArea dataOnly="0" labelOnly="1" fieldPosition="0">
        <references count="3">
          <reference field="0" count="1" selected="0">
            <x v="10"/>
          </reference>
          <reference field="1" count="1" selected="0">
            <x v="55"/>
          </reference>
          <reference field="2" count="2">
            <x v="59"/>
            <x v="61"/>
          </reference>
        </references>
      </pivotArea>
    </format>
    <format dxfId="85">
      <pivotArea dataOnly="0" labelOnly="1" fieldPosition="0">
        <references count="3">
          <reference field="0" count="1" selected="0">
            <x v="10"/>
          </reference>
          <reference field="1" count="1" selected="0">
            <x v="59"/>
          </reference>
          <reference field="2" count="2">
            <x v="64"/>
            <x v="76"/>
          </reference>
        </references>
      </pivotArea>
    </format>
    <format dxfId="86">
      <pivotArea dataOnly="0" labelOnly="1" fieldPosition="0">
        <references count="3">
          <reference field="0" count="1" selected="0">
            <x v="10"/>
          </reference>
          <reference field="1" count="1" selected="0">
            <x v="60"/>
          </reference>
          <reference field="2" count="7">
            <x v="54"/>
            <x v="56"/>
            <x v="60"/>
            <x v="62"/>
            <x v="63"/>
            <x v="69"/>
            <x v="71"/>
          </reference>
        </references>
      </pivotArea>
    </format>
    <format dxfId="87">
      <pivotArea dataOnly="0" labelOnly="1" fieldPosition="0">
        <references count="3">
          <reference field="0" count="1" selected="0">
            <x v="10"/>
          </reference>
          <reference field="1" count="1" selected="0">
            <x v="64"/>
          </reference>
          <reference field="2" count="1">
            <x v="58"/>
          </reference>
        </references>
      </pivotArea>
    </format>
    <format dxfId="88">
      <pivotArea collapsedLevelsAreSubtotals="1" fieldPosition="0">
        <references count="2">
          <reference field="0" count="1" selected="0">
            <x v="17"/>
          </reference>
          <reference field="1" count="1">
            <x v="79"/>
          </reference>
        </references>
      </pivotArea>
    </format>
    <format dxfId="89">
      <pivotArea collapsedLevelsAreSubtotals="1" fieldPosition="0">
        <references count="3">
          <reference field="0" count="1" selected="0">
            <x v="17"/>
          </reference>
          <reference field="1" count="1" selected="0">
            <x v="79"/>
          </reference>
          <reference field="2" count="1">
            <x v="186"/>
          </reference>
        </references>
      </pivotArea>
    </format>
    <format dxfId="90">
      <pivotArea dataOnly="0" labelOnly="1" fieldPosition="0">
        <references count="2">
          <reference field="0" count="1" selected="0">
            <x v="17"/>
          </reference>
          <reference field="1" count="1">
            <x v="79"/>
          </reference>
        </references>
      </pivotArea>
    </format>
    <format dxfId="91">
      <pivotArea dataOnly="0" labelOnly="1" fieldPosition="0">
        <references count="3">
          <reference field="0" count="1" selected="0">
            <x v="17"/>
          </reference>
          <reference field="1" count="1" selected="0">
            <x v="79"/>
          </reference>
          <reference field="2" count="1">
            <x v="186"/>
          </reference>
        </references>
      </pivotArea>
    </format>
    <format dxfId="92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3"/>
          </reference>
          <reference field="1" count="1">
            <x v="77"/>
          </reference>
        </references>
      </pivotArea>
    </format>
    <format dxfId="93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3"/>
          </reference>
          <reference field="1" count="1" selected="0">
            <x v="77"/>
          </reference>
          <reference field="2" count="37">
            <x v="66"/>
            <x v="67"/>
            <x v="68"/>
            <x v="70"/>
            <x v="72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6"/>
            <x v="98"/>
            <x v="99"/>
            <x v="100"/>
            <x v="101"/>
            <x v="102"/>
            <x v="106"/>
            <x v="107"/>
            <x v="108"/>
            <x v="111"/>
            <x v="112"/>
            <x v="113"/>
            <x v="114"/>
            <x v="136"/>
            <x v="139"/>
            <x v="140"/>
            <x v="143"/>
            <x v="146"/>
            <x v="151"/>
            <x v="165"/>
            <x v="190"/>
          </reference>
        </references>
      </pivotArea>
    </format>
    <format dxfId="94">
      <pivotArea dataOnly="0" labelOnly="1" fieldPosition="0">
        <references count="2">
          <reference field="0" count="1" selected="0">
            <x v="13"/>
          </reference>
          <reference field="1" count="1">
            <x v="77"/>
          </reference>
        </references>
      </pivotArea>
    </format>
    <format dxfId="95">
      <pivotArea dataOnly="0" labelOnly="1" fieldPosition="0">
        <references count="3">
          <reference field="0" count="1" selected="0">
            <x v="13"/>
          </reference>
          <reference field="1" count="1" selected="0">
            <x v="77"/>
          </reference>
          <reference field="2" count="37">
            <x v="66"/>
            <x v="67"/>
            <x v="68"/>
            <x v="70"/>
            <x v="72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6"/>
            <x v="98"/>
            <x v="99"/>
            <x v="100"/>
            <x v="101"/>
            <x v="102"/>
            <x v="106"/>
            <x v="107"/>
            <x v="108"/>
            <x v="111"/>
            <x v="112"/>
            <x v="113"/>
            <x v="114"/>
            <x v="136"/>
            <x v="139"/>
            <x v="140"/>
            <x v="143"/>
            <x v="146"/>
            <x v="151"/>
            <x v="165"/>
            <x v="190"/>
          </reference>
        </references>
      </pivotArea>
    </format>
    <format dxfId="96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3"/>
          </reference>
          <reference field="1" count="1">
            <x v="80"/>
          </reference>
        </references>
      </pivotArea>
    </format>
    <format dxfId="97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3"/>
          </reference>
          <reference field="1" count="1" selected="0">
            <x v="80"/>
          </reference>
          <reference field="2" count="3">
            <x v="78"/>
            <x v="83"/>
            <x v="163"/>
          </reference>
        </references>
      </pivotArea>
    </format>
    <format dxfId="98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3"/>
          </reference>
          <reference field="1" count="1">
            <x v="82"/>
          </reference>
        </references>
      </pivotArea>
    </format>
    <format dxfId="99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3"/>
          </reference>
          <reference field="1" count="1" selected="0">
            <x v="82"/>
          </reference>
          <reference field="2" count="1">
            <x v="103"/>
          </reference>
        </references>
      </pivotArea>
    </format>
    <format dxfId="100">
      <pivotArea dataOnly="0" labelOnly="1" fieldPosition="0">
        <references count="2">
          <reference field="0" count="1" selected="0">
            <x v="13"/>
          </reference>
          <reference field="1" count="2">
            <x v="80"/>
            <x v="82"/>
          </reference>
        </references>
      </pivotArea>
    </format>
    <format dxfId="101">
      <pivotArea dataOnly="0" labelOnly="1" fieldPosition="0">
        <references count="3">
          <reference field="0" count="1" selected="0">
            <x v="13"/>
          </reference>
          <reference field="1" count="1" selected="0">
            <x v="80"/>
          </reference>
          <reference field="2" count="3">
            <x v="78"/>
            <x v="83"/>
            <x v="163"/>
          </reference>
        </references>
      </pivotArea>
    </format>
    <format dxfId="102">
      <pivotArea dataOnly="0" labelOnly="1" fieldPosition="0">
        <references count="3">
          <reference field="0" count="1" selected="0">
            <x v="13"/>
          </reference>
          <reference field="1" count="1" selected="0">
            <x v="82"/>
          </reference>
          <reference field="2" count="1">
            <x v="103"/>
          </reference>
        </references>
      </pivotArea>
    </format>
    <format dxfId="103">
      <pivotArea collapsedLevelsAreSubtotals="1" fieldPosition="0">
        <references count="2">
          <reference field="4294967294" count="2" selected="0">
            <x v="0"/>
            <x v="1"/>
          </reference>
          <reference field="0" count="1">
            <x v="14"/>
          </reference>
        </references>
      </pivotArea>
    </format>
    <format dxfId="104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4"/>
          </reference>
          <reference field="1" count="1">
            <x v="53"/>
          </reference>
        </references>
      </pivotArea>
    </format>
    <format dxfId="105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4"/>
          </reference>
          <reference field="1" count="1" selected="0">
            <x v="53"/>
          </reference>
          <reference field="2" count="1">
            <x v="184"/>
          </reference>
        </references>
      </pivotArea>
    </format>
    <format dxfId="106">
      <pivotArea dataOnly="0" labelOnly="1" fieldPosition="0">
        <references count="1">
          <reference field="0" count="1">
            <x v="14"/>
          </reference>
        </references>
      </pivotArea>
    </format>
    <format dxfId="107">
      <pivotArea dataOnly="0" labelOnly="1" fieldPosition="0">
        <references count="2">
          <reference field="0" count="1" selected="0">
            <x v="14"/>
          </reference>
          <reference field="1" count="1">
            <x v="53"/>
          </reference>
        </references>
      </pivotArea>
    </format>
    <format dxfId="108">
      <pivotArea dataOnly="0" labelOnly="1" fieldPosition="0">
        <references count="3">
          <reference field="0" count="1" selected="0">
            <x v="14"/>
          </reference>
          <reference field="1" count="1" selected="0">
            <x v="53"/>
          </reference>
          <reference field="2" count="1">
            <x v="184"/>
          </reference>
        </references>
      </pivotArea>
    </format>
    <format dxfId="10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>
            <x v="54"/>
          </reference>
        </references>
      </pivotArea>
    </format>
    <format dxfId="110">
      <pivotArea collapsedLevelsAreSubtotals="1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4"/>
          </reference>
          <reference field="2" count="2">
            <x v="7"/>
            <x v="11"/>
          </reference>
        </references>
      </pivotArea>
    </format>
    <format dxfId="111">
      <pivotArea dataOnly="0" labelOnly="1" fieldPosition="0">
        <references count="2">
          <reference field="0" count="1" selected="0">
            <x v="4"/>
          </reference>
          <reference field="1" count="1">
            <x v="54"/>
          </reference>
        </references>
      </pivotArea>
    </format>
    <format dxfId="112">
      <pivotArea dataOnly="0" labelOnly="1" fieldPosition="0">
        <references count="3">
          <reference field="0" count="1" selected="0">
            <x v="4"/>
          </reference>
          <reference field="1" count="1" selected="0">
            <x v="54"/>
          </reference>
          <reference field="2" count="2">
            <x v="7"/>
            <x v="11"/>
          </reference>
        </references>
      </pivotArea>
    </format>
    <format dxfId="113">
      <pivotArea dataOnly="0" labelOnly="1" fieldPosition="0">
        <references count="2">
          <reference field="0" count="1" selected="0">
            <x v="4"/>
          </reference>
          <reference field="1" count="1">
            <x v="56"/>
          </reference>
        </references>
      </pivotArea>
    </format>
    <format dxfId="114">
      <pivotArea dataOnly="0" labelOnly="1" fieldPosition="0">
        <references count="3">
          <reference field="0" count="1" selected="0">
            <x v="4"/>
          </reference>
          <reference field="1" count="1" selected="0">
            <x v="56"/>
          </reference>
          <reference field="2" count="5">
            <x v="52"/>
            <x v="57"/>
            <x v="65"/>
            <x v="74"/>
            <x v="109"/>
          </reference>
        </references>
      </pivotArea>
    </format>
    <format dxfId="115">
      <pivotArea collapsedLevelsAreSubtotals="1" fieldPosition="0">
        <references count="1">
          <reference field="0" count="1">
            <x v="5"/>
          </reference>
        </references>
      </pivotArea>
    </format>
    <format dxfId="116">
      <pivotArea collapsedLevelsAreSubtotals="1" fieldPosition="0">
        <references count="2">
          <reference field="0" count="1" selected="0">
            <x v="5"/>
          </reference>
          <reference field="1" count="1">
            <x v="0"/>
          </reference>
        </references>
      </pivotArea>
    </format>
    <format dxfId="117">
      <pivotArea collapsedLevelsAreSubtotals="1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2" count="1">
            <x v="32"/>
          </reference>
        </references>
      </pivotArea>
    </format>
    <format dxfId="118">
      <pivotArea dataOnly="0" labelOnly="1" fieldPosition="0">
        <references count="1">
          <reference field="0" count="1">
            <x v="5"/>
          </reference>
        </references>
      </pivotArea>
    </format>
    <format dxfId="119">
      <pivotArea dataOnly="0" labelOnly="1" fieldPosition="0">
        <references count="2">
          <reference field="0" count="1" selected="0">
            <x v="5"/>
          </reference>
          <reference field="1" count="1">
            <x v="0"/>
          </reference>
        </references>
      </pivotArea>
    </format>
    <format dxfId="120">
      <pivotArea dataOnly="0" labelOnly="1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2" count="1">
            <x v="32"/>
          </reference>
        </references>
      </pivotArea>
    </format>
    <format dxfId="121">
      <pivotArea collapsedLevelsAreSubtotals="1" fieldPosition="0">
        <references count="1">
          <reference field="0" count="1">
            <x v="16"/>
          </reference>
        </references>
      </pivotArea>
    </format>
    <format dxfId="122">
      <pivotArea collapsedLevelsAreSubtotals="1" fieldPosition="0">
        <references count="2">
          <reference field="0" count="1" selected="0">
            <x v="16"/>
          </reference>
          <reference field="1" count="1">
            <x v="75"/>
          </reference>
        </references>
      </pivotArea>
    </format>
    <format dxfId="123">
      <pivotArea collapsedLevelsAreSubtotals="1" fieldPosition="0">
        <references count="3">
          <reference field="0" count="1" selected="0">
            <x v="16"/>
          </reference>
          <reference field="1" count="1" selected="0">
            <x v="75"/>
          </reference>
          <reference field="2" count="1">
            <x v="183"/>
          </reference>
        </references>
      </pivotArea>
    </format>
    <format dxfId="124">
      <pivotArea dataOnly="0" labelOnly="1" fieldPosition="0">
        <references count="1">
          <reference field="0" count="1">
            <x v="16"/>
          </reference>
        </references>
      </pivotArea>
    </format>
    <format dxfId="125">
      <pivotArea dataOnly="0" labelOnly="1" fieldPosition="0">
        <references count="2">
          <reference field="0" count="1" selected="0">
            <x v="16"/>
          </reference>
          <reference field="1" count="1">
            <x v="75"/>
          </reference>
        </references>
      </pivotArea>
    </format>
    <format dxfId="126">
      <pivotArea dataOnly="0" labelOnly="1" fieldPosition="0">
        <references count="3">
          <reference field="0" count="1" selected="0">
            <x v="16"/>
          </reference>
          <reference field="1" count="1" selected="0">
            <x v="75"/>
          </reference>
          <reference field="2" count="1">
            <x v="183"/>
          </reference>
        </references>
      </pivotArea>
    </format>
    <format dxfId="127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7"/>
          </reference>
          <reference field="1" count="1">
            <x v="78"/>
          </reference>
        </references>
      </pivotArea>
    </format>
    <format dxfId="128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7"/>
          </reference>
          <reference field="1" count="1" selected="0">
            <x v="78"/>
          </reference>
          <reference field="2" count="1">
            <x v="155"/>
          </reference>
        </references>
      </pivotArea>
    </format>
    <format dxfId="129">
      <pivotArea dataOnly="0" labelOnly="1" fieldPosition="0">
        <references count="2">
          <reference field="0" count="1" selected="0">
            <x v="17"/>
          </reference>
          <reference field="1" count="1">
            <x v="78"/>
          </reference>
        </references>
      </pivotArea>
    </format>
    <format dxfId="130">
      <pivotArea dataOnly="0" labelOnly="1" fieldPosition="0">
        <references count="3">
          <reference field="0" count="1" selected="0">
            <x v="17"/>
          </reference>
          <reference field="1" count="1" selected="0">
            <x v="78"/>
          </reference>
          <reference field="2" count="1">
            <x v="155"/>
          </reference>
        </references>
      </pivotArea>
    </format>
    <format dxfId="131">
      <pivotArea collapsedLevelsAreSubtotals="1" fieldPosition="0">
        <references count="3">
          <reference field="4294967294" count="2" selected="0">
            <x v="0"/>
            <x v="1"/>
          </reference>
          <reference field="0" count="1" selected="0">
            <x v="17"/>
          </reference>
          <reference field="1" count="1">
            <x v="77"/>
          </reference>
        </references>
      </pivotArea>
    </format>
    <format dxfId="132">
      <pivotArea collapsedLevelsAreSubtotals="1" fieldPosition="0">
        <references count="4">
          <reference field="4294967294" count="2" selected="0">
            <x v="0"/>
            <x v="1"/>
          </reference>
          <reference field="0" count="1" selected="0">
            <x v="17"/>
          </reference>
          <reference field="1" count="1" selected="0">
            <x v="77"/>
          </reference>
          <reference field="2" count="22">
            <x v="77"/>
            <x v="79"/>
            <x v="82"/>
            <x v="117"/>
            <x v="118"/>
            <x v="119"/>
            <x v="121"/>
            <x v="122"/>
            <x v="123"/>
            <x v="124"/>
            <x v="125"/>
            <x v="126"/>
            <x v="128"/>
            <x v="129"/>
            <x v="130"/>
            <x v="132"/>
            <x v="133"/>
            <x v="134"/>
            <x v="135"/>
            <x v="138"/>
            <x v="158"/>
            <x v="164"/>
          </reference>
        </references>
      </pivotArea>
    </format>
    <format dxfId="133">
      <pivotArea dataOnly="0" labelOnly="1" fieldPosition="0">
        <references count="2">
          <reference field="0" count="1" selected="0">
            <x v="17"/>
          </reference>
          <reference field="1" count="1">
            <x v="77"/>
          </reference>
        </references>
      </pivotArea>
    </format>
    <format dxfId="134">
      <pivotArea dataOnly="0" labelOnly="1" fieldPosition="0">
        <references count="3">
          <reference field="0" count="1" selected="0">
            <x v="17"/>
          </reference>
          <reference field="1" count="1" selected="0">
            <x v="77"/>
          </reference>
          <reference field="2" count="22">
            <x v="77"/>
            <x v="79"/>
            <x v="82"/>
            <x v="117"/>
            <x v="118"/>
            <x v="119"/>
            <x v="121"/>
            <x v="122"/>
            <x v="123"/>
            <x v="124"/>
            <x v="125"/>
            <x v="126"/>
            <x v="128"/>
            <x v="129"/>
            <x v="130"/>
            <x v="132"/>
            <x v="133"/>
            <x v="134"/>
            <x v="135"/>
            <x v="138"/>
            <x v="158"/>
            <x v="16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F08AFC3-2A43-4436-8ACE-BF246D98E5AB}" autoFormatId="16" applyNumberFormats="0" applyBorderFormats="0" applyFontFormats="0" applyPatternFormats="0" applyAlignmentFormats="0" applyWidthHeightFormats="0">
  <queryTableRefresh nextId="5">
    <queryTableFields count="4">
      <queryTableField id="1" name="Product Name" tableColumnId="1"/>
      <queryTableField id="2" name="Product Description" tableColumnId="2"/>
      <queryTableField id="3" name="Length (mm)" tableColumnId="3"/>
      <queryTableField id="4" name="Weight (t)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5E8909-BCEA-47FC-A36B-0912B19DBE2B}" name="Default_10_23_2025_1" displayName="Default_10_23_2025_1" ref="A1:D2694" tableType="queryTable" totalsRowShown="0">
  <autoFilter ref="A1:D2694" xr:uid="{DA5E8909-BCEA-47FC-A36B-0912B19DBE2B}"/>
  <tableColumns count="4">
    <tableColumn id="1" xr3:uid="{E0B07DFE-7DE5-4A15-85D0-ED95165D9C22}" uniqueName="1" name="Product Name" queryTableFieldId="1" dataDxfId="3"/>
    <tableColumn id="2" xr3:uid="{E34238D8-2033-4CD8-97BA-90E447321A74}" uniqueName="2" name="Product Description" queryTableFieldId="2" dataDxfId="2"/>
    <tableColumn id="3" xr3:uid="{4B4C4435-E4FC-4492-88AE-FC80AFBB9208}" uniqueName="3" name="Length (mm)" queryTableFieldId="3" dataDxfId="1"/>
    <tableColumn id="4" xr3:uid="{BD1600AC-5134-48C3-92AB-0E2F80CE0C87}" uniqueName="4" name="Weight (t)" queryTableFieldId="4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" dT="2022-03-14T08:54:45.84" personId="{1140A2A6-9DA7-4C75-B3E2-427BC07B7930}" id="{36229238-CA13-4B76-B895-191CE44F252A}">
    <text>Muudata koos. Erandis ainult muuta!!!</text>
  </threadedComment>
  <threadedComment ref="AR3" dT="2022-03-14T08:55:15.15" personId="{1140A2A6-9DA7-4C75-B3E2-427BC07B7930}" id="{0A055715-2C96-4155-9C2C-609A63D85200}">
    <text>Materjalide osakaal projektis.</text>
  </threadedComment>
  <threadedComment ref="AF6" dT="2022-03-10T13:21:13.57" personId="{1140A2A6-9DA7-4C75-B3E2-427BC07B7930}" id="{9A16F476-92A4-4617-9179-A324CD2F5B41}">
    <text>Faasimine-20 min/jm;
välalõike, käsipl-5 min/jm.</text>
  </threadedComment>
  <threadedComment ref="AH6" dT="2022-03-10T13:15:01.09" personId="{1140A2A6-9DA7-4C75-B3E2-427BC07B7930}" id="{A66F8036-8EE0-45C3-992A-3B5FBD164B25}">
    <text>Ettevalmistus</text>
  </threadedComment>
  <threadedComment ref="AK6" dT="2022-03-11T11:27:39.81" personId="{1140A2A6-9DA7-4C75-B3E2-427BC07B7930}" id="{36398D14-1C0B-4FEF-86DC-E1AEEA65C65C}">
    <text>Keevitus - makroses - 10 min/jm</text>
  </threadedComment>
  <threadedComment ref="BA6" dT="2020-01-20T15:08:08.66" personId="{42DFB89E-8A98-450E-96CC-891ED64ECCDB}" id="{C26BD28E-03CF-446C-ADED-4DC937817AB4}">
    <text>Preparation grade P3</text>
  </threadedComment>
  <threadedComment ref="Y7" dT="2022-03-10T12:26:50.21" personId="{1140A2A6-9DA7-4C75-B3E2-427BC07B7930}" id="{AA12C11F-AAC7-442B-949C-2544555FFFA2}">
    <text>Alamkoostu kontroll???</text>
  </threadedComment>
  <threadedComment ref="AS11" dT="2022-09-20T07:54:26.54" personId="{3A71836D-35FC-49AE-B047-BB10C0042FD6}" id="{95A5653E-7EA2-4177-BF09-B2FA7B529EF4}">
    <text xml:space="preserve">Materiali kasum
</text>
  </threadedComment>
  <threadedComment ref="AS16" dT="2022-09-20T07:54:26.54" personId="{3A71836D-35FC-49AE-B047-BB10C0042FD6}" id="{4937F846-21DE-438C-81B1-8465F393EC6E}">
    <text xml:space="preserve">Materiali kasum
</text>
  </threadedComment>
  <threadedComment ref="AK21" dT="2022-07-06T08:03:41.99" personId="{3A71836D-35FC-49AE-B047-BB10C0042FD6}" id="{D2740D35-542A-459E-B3D3-5EC1BF304913}">
    <text>profiili tüüp 1 või 2 (vaata "abifalis")</text>
  </threadedComment>
  <threadedComment ref="AG22" dT="2025-01-03T09:24:34.55" personId="{3A71836D-35FC-49AE-B047-BB10C0042FD6}" id="{8ED05DBB-5EEE-4099-85BC-7A2C7FF840D7}">
    <text>Alates pl35-lisaaeg avade tegemiseks</text>
  </threadedComment>
  <threadedComment ref="AG23" dT="2025-01-03T09:24:34.55" personId="{3A71836D-35FC-49AE-B047-BB10C0042FD6}" id="{DBB99EBD-6697-4195-9691-B71F5046E9B0}">
    <text>Alates pl35-lisaaeg avade tegemiseks</text>
  </threadedComment>
  <threadedComment ref="AK26" dT="2022-07-06T08:03:41.99" personId="{3A71836D-35FC-49AE-B047-BB10C0042FD6}" id="{0597CF70-4250-49EB-99A5-EEC44AC64D93}">
    <text>profiili tüüp 1 või 2 (vaata "abifalis")</text>
  </threadedComment>
  <threadedComment ref="AG27" dT="2025-01-03T09:24:34.55" personId="{3A71836D-35FC-49AE-B047-BB10C0042FD6}" id="{144E746E-6DCF-4558-9F23-AEE92DB484F8}">
    <text>Alates pl35-lisaaeg avade tegemiseks</text>
  </threadedComment>
  <threadedComment ref="AG28" dT="2025-01-03T09:24:34.55" personId="{3A71836D-35FC-49AE-B047-BB10C0042FD6}" id="{045689F8-6DEA-4373-ACD6-6F5CC8556817}">
    <text>Alates pl35-lisaaeg avade tegemiseks</text>
  </threadedComment>
  <threadedComment ref="AK31" dT="2022-07-06T08:03:41.99" personId="{3A71836D-35FC-49AE-B047-BB10C0042FD6}" id="{2CE799AB-C736-402F-A399-F3ED23B5796D}">
    <text>profiili tüüp 1 või 2 (vaata "abifalis")</text>
  </threadedComment>
  <threadedComment ref="AG32" dT="2025-01-03T09:24:34.55" personId="{3A71836D-35FC-49AE-B047-BB10C0042FD6}" id="{AA859E16-0F95-48E2-A704-27544A17A5D6}">
    <text>Alates pl35-lisaaeg avade tegemiseks</text>
  </threadedComment>
  <threadedComment ref="AG33" dT="2025-01-03T09:24:34.55" personId="{3A71836D-35FC-49AE-B047-BB10C0042FD6}" id="{FAE41244-6DB4-4769-B033-714CF8E583B7}">
    <text>Alates pl35-lisaaeg avade tegemiseks</text>
  </threadedComment>
  <threadedComment ref="AG34" dT="2025-01-03T09:24:34.55" personId="{3A71836D-35FC-49AE-B047-BB10C0042FD6}" id="{ADD39CF1-B9CF-411A-8E83-14D6A411DA2F}">
    <text>Alates pl35-lisaaeg avade tegemiseks</text>
  </threadedComment>
  <threadedComment ref="AK37" dT="2022-07-06T08:03:41.99" personId="{3A71836D-35FC-49AE-B047-BB10C0042FD6}" id="{15FF5B94-B267-4EFD-A9F5-FC7ED31F0DAC}">
    <text>profiili tüüp 1 või 2 (vaata "abifalis")</text>
  </threadedComment>
  <threadedComment ref="AG38" dT="2025-01-03T09:24:34.55" personId="{3A71836D-35FC-49AE-B047-BB10C0042FD6}" id="{32082B57-5A0A-413B-85CD-AABEEF621437}">
    <text>Alates pl35-lisaaeg avade tegemiseks</text>
  </threadedComment>
  <threadedComment ref="AG39" dT="2025-01-03T09:24:34.55" personId="{3A71836D-35FC-49AE-B047-BB10C0042FD6}" id="{3A163FEA-32A7-4A6B-8458-39674AB7FEE4}">
    <text>Alates pl35-lisaaeg avade tegemiseks</text>
  </threadedComment>
  <threadedComment ref="AG40" dT="2025-01-03T09:24:34.55" personId="{3A71836D-35FC-49AE-B047-BB10C0042FD6}" id="{6BF8B1DB-BCD2-4166-AFCC-584B96023B5F}">
    <text>Alates pl35-lisaaeg avade tegemiseks</text>
  </threadedComment>
  <threadedComment ref="AG41" dT="2025-01-03T09:24:34.55" personId="{3A71836D-35FC-49AE-B047-BB10C0042FD6}" id="{9687BBAB-9A3A-41CE-B2BE-9475906B7170}">
    <text>Alates pl35-lisaaeg avade tegemiseks</text>
  </threadedComment>
  <threadedComment ref="AG42" dT="2025-01-03T09:24:34.55" personId="{3A71836D-35FC-49AE-B047-BB10C0042FD6}" id="{8DC83E05-8C3B-41AE-BB4D-0A77FBA43F29}">
    <text>Alates pl35-lisaaeg avade tegemiseks</text>
  </threadedComment>
  <threadedComment ref="AG43" dT="2025-01-03T09:24:34.55" personId="{3A71836D-35FC-49AE-B047-BB10C0042FD6}" id="{9636C55A-F35B-4555-81A0-C3D8B89AA760}">
    <text>Alates pl35-lisaaeg avade tegemiseks</text>
  </threadedComment>
  <threadedComment ref="AG44" dT="2025-01-03T09:24:34.55" personId="{3A71836D-35FC-49AE-B047-BB10C0042FD6}" id="{17B6B3EA-257D-4C53-9C8E-3649E395345A}">
    <text>Alates pl35-lisaaeg avade tegemiseks</text>
  </threadedComment>
  <threadedComment ref="AK47" dT="2022-07-06T08:03:41.99" personId="{3A71836D-35FC-49AE-B047-BB10C0042FD6}" id="{6036A650-E7A5-4305-A1A8-71CE07D8E054}">
    <text>profiili tüüp 1 või 2 (vaata "abifalis")</text>
  </threadedComment>
  <threadedComment ref="AG48" dT="2025-01-03T09:24:34.55" personId="{3A71836D-35FC-49AE-B047-BB10C0042FD6}" id="{41D0BF93-9F26-456F-AA5B-E37C7BC25BE2}">
    <text>Alates pl35-lisaaeg avade tegemiseks</text>
  </threadedComment>
  <threadedComment ref="AG49" dT="2025-01-03T09:24:34.55" personId="{3A71836D-35FC-49AE-B047-BB10C0042FD6}" id="{6D7FA58D-6088-4B32-8118-60D793AE4002}">
    <text>Alates pl35-lisaaeg avade tegemiseks</text>
  </threadedComment>
  <threadedComment ref="AG50" dT="2025-01-03T09:24:34.55" personId="{3A71836D-35FC-49AE-B047-BB10C0042FD6}" id="{C2DA2B45-6CAB-41F1-AD88-19D91753F8A9}">
    <text>Alates pl35-lisaaeg avade tegemiseks</text>
  </threadedComment>
  <threadedComment ref="AG51" dT="2025-01-03T09:24:34.55" personId="{3A71836D-35FC-49AE-B047-BB10C0042FD6}" id="{4A0B075A-83A4-4FB1-9E2D-F96019787155}">
    <text>Alates pl35-lisaaeg avade tegemiseks</text>
  </threadedComment>
  <threadedComment ref="AG52" dT="2025-01-03T09:24:34.55" personId="{3A71836D-35FC-49AE-B047-BB10C0042FD6}" id="{DBF6EFA6-E3FF-4783-9285-66A97391E608}">
    <text>Alates pl35-lisaaeg avade tegemiseks</text>
  </threadedComment>
  <threadedComment ref="AK55" dT="2022-07-06T08:03:41.99" personId="{3A71836D-35FC-49AE-B047-BB10C0042FD6}" id="{EDEACD2D-2C0C-4344-BA7D-5BC1EF3840D6}">
    <text>profiili tüüp 1 või 2 (vaata "abifalis")</text>
  </threadedComment>
  <threadedComment ref="AG56" dT="2025-01-03T09:24:34.55" personId="{3A71836D-35FC-49AE-B047-BB10C0042FD6}" id="{8C18C5E5-7C79-479B-8C9D-EEEF9F6F6F82}">
    <text>Alates pl35-lisaaeg avade tegemiseks</text>
  </threadedComment>
  <threadedComment ref="AG57" dT="2025-01-03T09:24:34.55" personId="{3A71836D-35FC-49AE-B047-BB10C0042FD6}" id="{04CDACE3-CDCA-4399-BAF7-CEB56875C3FA}">
    <text>Alates pl35-lisaaeg avade tegemiseks</text>
  </threadedComment>
  <threadedComment ref="AG58" dT="2025-01-03T09:24:34.55" personId="{3A71836D-35FC-49AE-B047-BB10C0042FD6}" id="{1F309A30-4815-48E4-800C-9119131FC4E7}">
    <text>Alates pl35-lisaaeg avade tegemiseks</text>
  </threadedComment>
  <threadedComment ref="AG59" dT="2025-01-03T09:24:34.55" personId="{3A71836D-35FC-49AE-B047-BB10C0042FD6}" id="{80D4AA91-505E-426A-9A3A-E5CC61629524}">
    <text>Alates pl35-lisaaeg avade tegemiseks</text>
  </threadedComment>
  <threadedComment ref="AG60" dT="2025-01-03T09:24:34.55" personId="{3A71836D-35FC-49AE-B047-BB10C0042FD6}" id="{E16FF802-F545-499B-B3E6-95C774C2A30B}">
    <text>Alates pl35-lisaaeg avade tegemiseks</text>
  </threadedComment>
  <threadedComment ref="AG64" dT="2025-01-03T09:24:34.55" personId="{3A71836D-35FC-49AE-B047-BB10C0042FD6}" id="{7A985759-1CED-4D52-AADE-C99362248005}">
    <text>Alates pl35-lisaaeg avade tegemiseks</text>
  </threadedComment>
  <threadedComment ref="AG65" dT="2025-01-03T09:24:34.55" personId="{3A71836D-35FC-49AE-B047-BB10C0042FD6}" id="{E50B6BAB-B5E9-424B-AD68-5BCE4421F0ED}">
    <text>Alates pl35-lisaaeg avade tegemiseks</text>
  </threadedComment>
  <threadedComment ref="AG68" dT="2025-01-03T09:24:34.55" personId="{3A71836D-35FC-49AE-B047-BB10C0042FD6}" id="{B0BD743E-A79A-4D7E-9A7B-DFA5D5291535}">
    <text>Alates pl35-lisaaeg avade tegemiseks</text>
  </threadedComment>
  <threadedComment ref="AG69" dT="2025-01-03T09:24:34.55" personId="{3A71836D-35FC-49AE-B047-BB10C0042FD6}" id="{91B941D7-FFCA-4748-B9E7-2A18D245F031}">
    <text>Alates pl35-lisaaeg avade tegemiseks</text>
  </threadedComment>
  <threadedComment ref="AG70" dT="2025-01-03T09:24:34.55" personId="{3A71836D-35FC-49AE-B047-BB10C0042FD6}" id="{4684F200-F250-43FB-8C2A-3131D53A646F}">
    <text>Alates pl35-lisaaeg avade tegemiseks</text>
  </threadedComment>
  <threadedComment ref="AG71" dT="2025-01-03T09:24:34.55" personId="{3A71836D-35FC-49AE-B047-BB10C0042FD6}" id="{06732494-9790-4738-8541-DCE3C0A94FB4}">
    <text>Alates pl35-lisaaeg avade tegemiseks</text>
  </threadedComment>
  <threadedComment ref="AG72" dT="2025-01-03T09:24:34.55" personId="{3A71836D-35FC-49AE-B047-BB10C0042FD6}" id="{84A74EA1-BEB0-4534-9766-68BE2EE0A26A}">
    <text>Alates pl35-lisaaeg avade tegemiseks</text>
  </threadedComment>
  <threadedComment ref="AG73" dT="2025-01-03T09:24:34.55" personId="{3A71836D-35FC-49AE-B047-BB10C0042FD6}" id="{0D9ACC19-AC8D-437E-A64E-32B342B3573F}">
    <text>Alates pl35-lisaaeg avade tegemiseks</text>
  </threadedComment>
  <threadedComment ref="AG74" dT="2025-01-03T09:24:34.55" personId="{3A71836D-35FC-49AE-B047-BB10C0042FD6}" id="{7B16F472-4CD6-43C3-933D-A1B1D85425F9}">
    <text>Alates pl35-lisaaeg avade tegemiseks</text>
  </threadedComment>
  <threadedComment ref="AK77" dT="2022-07-06T08:03:41.99" personId="{3A71836D-35FC-49AE-B047-BB10C0042FD6}" id="{9224DE49-727B-4B1D-9498-EC709DFF9868}">
    <text>profiili tüüp 1 või 2 (vaata "abifalis")</text>
  </threadedComment>
  <threadedComment ref="AS82" dT="2022-09-20T07:54:26.54" personId="{3A71836D-35FC-49AE-B047-BB10C0042FD6}" id="{7FCF0B73-C5B6-42AF-BEC4-A78DC5451BE6}">
    <text xml:space="preserve">Materiali kasum
</text>
  </threadedComment>
  <threadedComment ref="AG87" dT="2025-01-03T09:24:34.55" personId="{3A71836D-35FC-49AE-B047-BB10C0042FD6}" id="{7C4097A0-7AA8-4FC8-A9F1-58F2637BA1DB}">
    <text>Alates pl35-lisaaeg avade tegemiseks</text>
  </threadedComment>
  <threadedComment ref="AG88" dT="2025-01-03T09:24:34.55" personId="{3A71836D-35FC-49AE-B047-BB10C0042FD6}" id="{21F1EC1B-EEF1-42D9-A3C0-7F8C239AC2B6}">
    <text>Alates pl35-lisaaeg avade tegemiseks</text>
  </threadedComment>
  <threadedComment ref="AG89" dT="2025-01-03T09:24:34.55" personId="{3A71836D-35FC-49AE-B047-BB10C0042FD6}" id="{02854156-A745-4227-975B-E7FE4F421197}">
    <text>Alates pl35-lisaaeg avade tegemiseks</text>
  </threadedComment>
  <threadedComment ref="AG90" dT="2025-01-03T09:24:34.55" personId="{3A71836D-35FC-49AE-B047-BB10C0042FD6}" id="{A3FB4677-B905-4B41-9831-E4070A3F91D2}">
    <text>Alates pl35-lisaaeg avade tegemiseks</text>
  </threadedComment>
  <threadedComment ref="AG91" dT="2025-01-03T09:24:34.55" personId="{3A71836D-35FC-49AE-B047-BB10C0042FD6}" id="{33A08092-C585-444B-929F-DFBC69356EBB}">
    <text>Alates pl35-lisaaeg avade tegemiseks</text>
  </threadedComment>
  <threadedComment ref="AG92" dT="2025-01-03T09:24:34.55" personId="{3A71836D-35FC-49AE-B047-BB10C0042FD6}" id="{CDBBFC38-7AA4-46DF-B670-F4BA4483011A}">
    <text>Alates pl35-lisaaeg avade tegemiseks</text>
  </threadedComment>
  <threadedComment ref="AS95" dT="2022-09-20T07:54:26.54" personId="{3A71836D-35FC-49AE-B047-BB10C0042FD6}" id="{3D97D5F1-D63F-43A0-841F-4CF6765EFE6C}">
    <text xml:space="preserve">Materiali kasum
</text>
  </threadedComment>
  <threadedComment ref="AG99" dT="2025-01-03T09:24:34.55" personId="{3A71836D-35FC-49AE-B047-BB10C0042FD6}" id="{A38AFD7C-6B5B-4615-BFBB-049CCAAC5EC4}">
    <text>Alates pl35-lisaaeg avade tegemiseks</text>
  </threadedComment>
  <threadedComment ref="AG100" dT="2025-01-03T09:24:34.55" personId="{3A71836D-35FC-49AE-B047-BB10C0042FD6}" id="{B8CDF50E-CBC7-41CA-9A5B-6516DFB241BE}">
    <text>Alates pl35-lisaaeg avade tegemiseks</text>
  </threadedComment>
  <threadedComment ref="AG101" dT="2025-01-03T09:24:34.55" personId="{3A71836D-35FC-49AE-B047-BB10C0042FD6}" id="{E00F5AD1-BFAB-4CC6-8735-4224735072AE}">
    <text>Alates pl35-lisaaeg avade tegemiseks</text>
  </threadedComment>
  <threadedComment ref="AG102" dT="2025-01-03T09:24:34.55" personId="{3A71836D-35FC-49AE-B047-BB10C0042FD6}" id="{D26CB185-7432-4534-B094-09A93C4EA92F}">
    <text>Alates pl35-lisaaeg avade tegemiseks</text>
  </threadedComment>
  <threadedComment ref="AG103" dT="2025-01-03T09:24:34.55" personId="{3A71836D-35FC-49AE-B047-BB10C0042FD6}" id="{2452B9DA-F36F-45C1-A509-EDDEE60B6768}">
    <text>Alates pl35-lisaaeg avade tegemiseks</text>
  </threadedComment>
  <threadedComment ref="AG104" dT="2025-01-03T09:24:34.55" personId="{3A71836D-35FC-49AE-B047-BB10C0042FD6}" id="{932A8C41-7A52-469B-BBF8-0D0440EF6378}">
    <text>Alates pl35-lisaaeg avade tegemiseks</text>
  </threadedComment>
  <threadedComment ref="AG105" dT="2025-01-03T09:24:34.55" personId="{3A71836D-35FC-49AE-B047-BB10C0042FD6}" id="{426F19BA-FDD2-43DE-899B-92DD18E4C688}">
    <text>Alates pl35-lisaaeg avade tegemiseks</text>
  </threadedComment>
  <threadedComment ref="AG106" dT="2025-01-03T09:24:34.55" personId="{3A71836D-35FC-49AE-B047-BB10C0042FD6}" id="{3CE35DC2-E317-40C2-A110-4CD2AD08CBD3}">
    <text>Alates pl35-lisaaeg avade tegemiseks</text>
  </threadedComment>
  <threadedComment ref="AK109" dT="2022-07-06T08:03:41.99" personId="{3A71836D-35FC-49AE-B047-BB10C0042FD6}" id="{72E8EAF3-64E6-492C-B4F2-35A458F72EF1}">
    <text>profiili tüüp 1 või 2 (vaata "abifalis")</text>
  </threadedComment>
  <threadedComment ref="AK110" dT="2022-07-06T08:03:41.99" personId="{3A71836D-35FC-49AE-B047-BB10C0042FD6}" id="{416CC078-7713-4F23-9F9A-AC3CADEA513D}">
    <text>profiili tüüp 1 või 2 (vaata "abifalis")</text>
  </threadedComment>
  <threadedComment ref="AG111" dT="2025-01-03T09:24:34.55" personId="{3A71836D-35FC-49AE-B047-BB10C0042FD6}" id="{1BD92D68-297D-4E76-A2BE-422055978F68}">
    <text>Alates pl35-lisaaeg avade tegemiseks</text>
  </threadedComment>
  <threadedComment ref="AG112" dT="2025-01-03T09:24:34.55" personId="{3A71836D-35FC-49AE-B047-BB10C0042FD6}" id="{88D147EF-E10A-4821-B60B-A71D92557E55}">
    <text>Alates pl35-lisaaeg avade tegemiseks</text>
  </threadedComment>
  <threadedComment ref="AK115" dT="2022-07-06T08:03:41.99" personId="{3A71836D-35FC-49AE-B047-BB10C0042FD6}" id="{82AFD874-3E7C-4AB9-B409-E1A38CCFDB6A}">
    <text>profiili tüüp 1 või 2 (vaata "abifalis")</text>
  </threadedComment>
  <threadedComment ref="AK116" dT="2022-07-06T08:03:41.99" personId="{3A71836D-35FC-49AE-B047-BB10C0042FD6}" id="{29C7BCA3-0EBE-4FE6-A98C-BF151D42F9DF}">
    <text>profiili tüüp 1 või 2 (vaata "abifalis")</text>
  </threadedComment>
  <threadedComment ref="AG117" dT="2025-01-03T09:24:34.55" personId="{3A71836D-35FC-49AE-B047-BB10C0042FD6}" id="{78D012F8-FC04-4A53-BB10-492D94714268}">
    <text>Alates pl35-lisaaeg avade tegemiseks</text>
  </threadedComment>
  <threadedComment ref="AK120" dT="2022-07-06T08:03:41.99" personId="{3A71836D-35FC-49AE-B047-BB10C0042FD6}" id="{D9978870-E405-42AE-81EC-6F27735CE7AE}">
    <text>profiili tüüp 1 või 2 (vaata "abifalis")</text>
  </threadedComment>
  <threadedComment ref="AG121" dT="2025-01-03T09:24:34.55" personId="{3A71836D-35FC-49AE-B047-BB10C0042FD6}" id="{4DC90E0B-3FC2-4529-8398-42718C044CB1}">
    <text>Alates pl35-lisaaeg avade tegemiseks</text>
  </threadedComment>
  <threadedComment ref="AG122" dT="2025-01-03T09:24:34.55" personId="{3A71836D-35FC-49AE-B047-BB10C0042FD6}" id="{A47583E5-1BB6-4386-98C8-35360D0F0FDC}">
    <text>Alates pl35-lisaaeg avade tegemiseks</text>
  </threadedComment>
  <threadedComment ref="AK125" dT="2022-07-06T08:03:41.99" personId="{3A71836D-35FC-49AE-B047-BB10C0042FD6}" id="{8EF44855-F82A-4CD2-B35A-7C403FDC02C0}">
    <text>profiili tüüp 1 või 2 (vaata "abifalis")</text>
  </threadedComment>
  <threadedComment ref="AG126" dT="2025-01-03T09:24:34.55" personId="{3A71836D-35FC-49AE-B047-BB10C0042FD6}" id="{6476C678-7778-4551-9DF1-0151D936A582}">
    <text>Alates pl35-lisaaeg avade tegemiseks</text>
  </threadedComment>
  <threadedComment ref="AG127" dT="2025-01-03T09:24:34.55" personId="{3A71836D-35FC-49AE-B047-BB10C0042FD6}" id="{88806B5A-F572-45A1-817B-A1E5C1152D37}">
    <text>Alates pl35-lisaaeg avade tegemiseks</text>
  </threadedComment>
  <threadedComment ref="AK130" dT="2022-07-06T08:03:41.99" personId="{3A71836D-35FC-49AE-B047-BB10C0042FD6}" id="{FEF85BE6-33FC-49DE-9FB8-3E7B95BDFC8A}">
    <text>profiili tüüp 1 või 2 (vaata "abifalis")</text>
  </threadedComment>
  <threadedComment ref="AK131" dT="2022-07-06T08:03:41.99" personId="{3A71836D-35FC-49AE-B047-BB10C0042FD6}" id="{2AB7BADB-0C85-4084-8CC8-A56C03EE4DBC}">
    <text>profiili tüüp 1 või 2 (vaata "abifalis")</text>
  </threadedComment>
  <threadedComment ref="AG132" dT="2025-01-03T09:24:34.55" personId="{3A71836D-35FC-49AE-B047-BB10C0042FD6}" id="{AA3E9A08-062B-4996-B9CF-DA4178ED4AFD}">
    <text>Alates pl35-lisaaeg avade tegemiseks</text>
  </threadedComment>
  <threadedComment ref="AG133" dT="2025-01-03T09:24:34.55" personId="{3A71836D-35FC-49AE-B047-BB10C0042FD6}" id="{4D7BFFA2-8AD5-413B-8A18-F4BF8098908B}">
    <text>Alates pl35-lisaaeg avade tegemiseks</text>
  </threadedComment>
  <threadedComment ref="AS136" dT="2022-09-20T07:54:26.54" personId="{3A71836D-35FC-49AE-B047-BB10C0042FD6}" id="{A4A9599B-B0CD-4944-8AE9-2DDD50F17989}">
    <text xml:space="preserve">Materiali kasum
</text>
  </threadedComment>
  <threadedComment ref="AK140" dT="2022-07-06T08:03:41.99" personId="{3A71836D-35FC-49AE-B047-BB10C0042FD6}" id="{FBDF1C5B-52F2-4684-9122-197CC433AD3F}">
    <text>profiili tüüp 1 või 2 (vaata "abifalis")</text>
  </threadedComment>
  <threadedComment ref="AG141" dT="2025-01-03T09:24:34.55" personId="{3A71836D-35FC-49AE-B047-BB10C0042FD6}" id="{C4938384-0762-4682-A247-074CB555CB89}">
    <text>Alates pl35-lisaaeg avade tegemiseks</text>
  </threadedComment>
  <threadedComment ref="AG142" dT="2025-01-03T09:24:34.55" personId="{3A71836D-35FC-49AE-B047-BB10C0042FD6}" id="{59FAE23F-1E02-4DDC-AEBF-1D50207E0435}">
    <text>Alates pl35-lisaaeg avade tegemiseks</text>
  </threadedComment>
  <threadedComment ref="AG143" dT="2025-01-03T09:24:34.55" personId="{3A71836D-35FC-49AE-B047-BB10C0042FD6}" id="{A1D0C791-4D1B-42CC-9A6B-3FD1E650B820}">
    <text>Alates pl35-lisaaeg avade tegemiseks</text>
  </threadedComment>
  <threadedComment ref="AK146" dT="2022-07-06T08:03:41.99" personId="{3A71836D-35FC-49AE-B047-BB10C0042FD6}" id="{DB0D9562-C424-4169-A77A-C76B401F470E}">
    <text>profiili tüüp 1 või 2 (vaata "abifalis")</text>
  </threadedComment>
  <threadedComment ref="AG147" dT="2025-01-03T09:24:34.55" personId="{3A71836D-35FC-49AE-B047-BB10C0042FD6}" id="{0FEC6AB8-0460-43F4-B162-14EACEC46575}">
    <text>Alates pl35-lisaaeg avade tegemiseks</text>
  </threadedComment>
  <threadedComment ref="AG148" dT="2025-01-03T09:24:34.55" personId="{3A71836D-35FC-49AE-B047-BB10C0042FD6}" id="{57B18D2A-DC30-482B-AF06-B6C79CFC7FC3}">
    <text>Alates pl35-lisaaeg avade tegemiseks</text>
  </threadedComment>
  <threadedComment ref="AG149" dT="2025-01-03T09:24:34.55" personId="{3A71836D-35FC-49AE-B047-BB10C0042FD6}" id="{579A5E83-E2B8-4BE9-B689-1CAB5809FF53}">
    <text>Alates pl35-lisaaeg avade tegemiseks</text>
  </threadedComment>
  <threadedComment ref="AK153" dT="2022-07-06T08:03:41.99" personId="{3A71836D-35FC-49AE-B047-BB10C0042FD6}" id="{67F3CE56-BE31-4F70-A4A8-8950C4C7BB64}">
    <text>profiili tüüp 1 või 2 (vaata "abifalis")</text>
  </threadedComment>
  <threadedComment ref="AG154" dT="2025-01-03T09:24:34.55" personId="{3A71836D-35FC-49AE-B047-BB10C0042FD6}" id="{51612964-E675-4251-A4C9-EC824898763A}">
    <text>Alates pl35-lisaaeg avade tegemiseks</text>
  </threadedComment>
  <threadedComment ref="AG155" dT="2025-01-03T09:24:34.55" personId="{3A71836D-35FC-49AE-B047-BB10C0042FD6}" id="{A0249CED-E585-4D30-B35B-0428EDD5BE11}">
    <text>Alates pl35-lisaaeg avade tegemiseks</text>
  </threadedComment>
  <threadedComment ref="AK158" dT="2022-07-06T08:03:41.99" personId="{3A71836D-35FC-49AE-B047-BB10C0042FD6}" id="{44813BA1-DE87-4B69-8D76-C1CEF217561C}">
    <text>profiili tüüp 1 või 2 (vaata "abifalis")</text>
  </threadedComment>
  <threadedComment ref="AG159" dT="2025-01-03T09:24:34.55" personId="{3A71836D-35FC-49AE-B047-BB10C0042FD6}" id="{89880EE8-ADFE-4B6B-B89D-04A99BFC7541}">
    <text>Alates pl35-lisaaeg avade tegemiseks</text>
  </threadedComment>
  <threadedComment ref="AG160" dT="2025-01-03T09:24:34.55" personId="{3A71836D-35FC-49AE-B047-BB10C0042FD6}" id="{BAF7E403-24A4-4B87-A55E-0102EE72B804}">
    <text>Alates pl35-lisaaeg avade tegemiseks</text>
  </threadedComment>
  <threadedComment ref="AS163" dT="2022-09-20T07:54:26.54" personId="{3A71836D-35FC-49AE-B047-BB10C0042FD6}" id="{594D05FA-DE65-483F-B370-F5A210AB098D}">
    <text xml:space="preserve">Materiali kasum
</text>
  </threadedComment>
  <threadedComment ref="AK168" dT="2022-07-06T08:03:41.99" personId="{3A71836D-35FC-49AE-B047-BB10C0042FD6}" id="{AEBCBFBA-1A64-4B5C-9487-E05B524BFA04}">
    <text>profiili tüüp 1 või 2 (vaata "abifalis")</text>
  </threadedComment>
  <threadedComment ref="AG169" dT="2025-01-03T09:24:34.55" personId="{3A71836D-35FC-49AE-B047-BB10C0042FD6}" id="{F4B0672B-A03D-4126-B97F-43ABAF91F0BD}">
    <text>Alates pl35-lisaaeg avade tegemiseks</text>
  </threadedComment>
  <threadedComment ref="AK173" dT="2022-07-06T08:03:41.99" personId="{3A71836D-35FC-49AE-B047-BB10C0042FD6}" id="{F4B69410-9783-48FE-AC6D-68B7E78D124A}">
    <text>profiili tüüp 1 või 2 (vaata "abifalis")</text>
  </threadedComment>
  <threadedComment ref="AG174" dT="2025-01-03T09:24:34.55" personId="{3A71836D-35FC-49AE-B047-BB10C0042FD6}" id="{87D992AD-4BDD-4796-B9C5-2F7449BAC2B6}">
    <text>Alates pl35-lisaaeg avade tegemiseks</text>
  </threadedComment>
  <threadedComment ref="AK177" dT="2022-07-06T08:03:41.99" personId="{3A71836D-35FC-49AE-B047-BB10C0042FD6}" id="{85B6C5FD-F5AF-41C6-9581-444BCBCE63B2}">
    <text>profiili tüüp 1 või 2 (vaata "abifalis")</text>
  </threadedComment>
  <threadedComment ref="AG178" dT="2025-01-03T09:24:34.55" personId="{3A71836D-35FC-49AE-B047-BB10C0042FD6}" id="{DBE38F4F-C3B4-46A0-AD74-DCDEE5467C05}">
    <text>Alates pl35-lisaaeg avade tegemiseks</text>
  </threadedComment>
  <threadedComment ref="AK181" dT="2022-07-06T08:03:41.99" personId="{3A71836D-35FC-49AE-B047-BB10C0042FD6}" id="{C7B1E236-5F3E-4739-807E-48A5A8DE9D99}">
    <text>profiili tüüp 1 või 2 (vaata "abifalis")</text>
  </threadedComment>
  <threadedComment ref="AS183" dT="2022-09-20T07:54:26.54" personId="{3A71836D-35FC-49AE-B047-BB10C0042FD6}" id="{45B7B5E9-48E1-49FD-96C0-61CAA0C163D0}">
    <text xml:space="preserve">Materiali kasum
</text>
  </threadedComment>
  <threadedComment ref="AS186" dT="2022-09-20T07:54:26.54" personId="{3A71836D-35FC-49AE-B047-BB10C0042FD6}" id="{AB064B74-186B-4DD5-8A78-ACC46C6510DD}">
    <text xml:space="preserve">Materiali kasum
</text>
  </threadedComment>
  <threadedComment ref="AK191" dT="2022-07-06T08:03:41.99" personId="{3A71836D-35FC-49AE-B047-BB10C0042FD6}" id="{9001F3E6-1E10-4C92-8D8F-47E9F4C81D72}">
    <text>profiili tüüp 1 või 2 (vaata "abifalis")</text>
  </threadedComment>
  <threadedComment ref="AG192" dT="2025-01-03T09:24:34.55" personId="{3A71836D-35FC-49AE-B047-BB10C0042FD6}" id="{16EC947D-24FA-4131-9335-299D8BAC01A9}">
    <text>Alates pl35-lisaaeg avade tegemiseks</text>
  </threadedComment>
  <threadedComment ref="AK195" dT="2022-07-06T08:03:41.99" personId="{3A71836D-35FC-49AE-B047-BB10C0042FD6}" id="{F2A4C981-8AFD-455C-A201-9CA64976F530}">
    <text>profiili tüüp 1 või 2 (vaata "abifalis")</text>
  </threadedComment>
  <threadedComment ref="AG196" dT="2025-01-03T09:24:34.55" personId="{3A71836D-35FC-49AE-B047-BB10C0042FD6}" id="{3255A867-793A-4378-B51D-18208906BF82}">
    <text>Alates pl35-lisaaeg avade tegemiseks</text>
  </threadedComment>
  <threadedComment ref="AK199" dT="2022-07-06T08:03:41.99" personId="{3A71836D-35FC-49AE-B047-BB10C0042FD6}" id="{E59F2377-F2FC-4170-8826-01DD351D99CE}">
    <text>profiili tüüp 1 või 2 (vaata "abifalis")</text>
  </threadedComment>
  <threadedComment ref="AG200" dT="2025-01-03T09:24:34.55" personId="{3A71836D-35FC-49AE-B047-BB10C0042FD6}" id="{80311D9C-0F8E-4304-BC85-4661327618C6}">
    <text>Alates pl35-lisaaeg avade tegemiseks</text>
  </threadedComment>
  <threadedComment ref="AK203" dT="2022-07-06T08:03:41.99" personId="{3A71836D-35FC-49AE-B047-BB10C0042FD6}" id="{2626F9FB-0D0B-4477-AF78-FD74A0B1689B}">
    <text>profiili tüüp 1 või 2 (vaata "abifalis")</text>
  </threadedComment>
  <threadedComment ref="AS205" dT="2022-09-20T07:54:26.54" personId="{3A71836D-35FC-49AE-B047-BB10C0042FD6}" id="{474B967A-0F61-407B-B7BE-B0E5ABDE6C82}">
    <text xml:space="preserve">Materiali kasum
</text>
  </threadedComment>
  <threadedComment ref="AK209" dT="2022-07-06T08:03:41.99" personId="{3A71836D-35FC-49AE-B047-BB10C0042FD6}" id="{4C2A6A84-5615-4D27-8BF0-6817EB7FE248}">
    <text>profiili tüüp 1 või 2 (vaata "abifalis")</text>
  </threadedComment>
  <threadedComment ref="AG210" dT="2025-01-03T09:24:34.55" personId="{3A71836D-35FC-49AE-B047-BB10C0042FD6}" id="{212821E0-3D7B-4FBA-96EF-48F780269856}">
    <text>Alates pl35-lisaaeg avade tegemiseks</text>
  </threadedComment>
  <threadedComment ref="AG211" dT="2025-01-03T09:24:34.55" personId="{3A71836D-35FC-49AE-B047-BB10C0042FD6}" id="{2370D503-1CA5-4B92-91EE-CA8D0BFE552E}">
    <text>Alates pl35-lisaaeg avade tegemiseks</text>
  </threadedComment>
  <threadedComment ref="AS214" dT="2022-09-20T07:54:26.54" personId="{3A71836D-35FC-49AE-B047-BB10C0042FD6}" id="{6A954133-0042-4AF1-A8E0-F07F4CB7CA05}">
    <text xml:space="preserve">Materiali kasum
</text>
  </threadedComment>
  <threadedComment ref="AK218" dT="2022-07-06T08:03:41.99" personId="{3A71836D-35FC-49AE-B047-BB10C0042FD6}" id="{8E2854D8-5925-44FB-A9A7-BB2FD1D1810C}">
    <text>profiili tüüp 1 või 2 (vaata "abifalis")</text>
  </threadedComment>
  <threadedComment ref="AK219" dT="2022-07-06T08:03:41.99" personId="{3A71836D-35FC-49AE-B047-BB10C0042FD6}" id="{2AB0F499-BD81-4603-AFAE-F016FA39C86D}">
    <text>profiili tüüp 1 või 2 (vaata "abifalis")</text>
  </threadedComment>
  <threadedComment ref="AG220" dT="2025-01-03T09:24:34.55" personId="{3A71836D-35FC-49AE-B047-BB10C0042FD6}" id="{62A09D8B-7266-4356-AA96-33D3D83DB3F0}">
    <text>Alates pl35-lisaaeg avade tegemiseks</text>
  </threadedComment>
  <threadedComment ref="AG221" dT="2025-01-03T09:24:34.55" personId="{3A71836D-35FC-49AE-B047-BB10C0042FD6}" id="{DD9241BF-3E2B-4F35-8A18-0CD3290B17BF}">
    <text>Alates pl35-lisaaeg avade tegemiseks</text>
  </threadedComment>
  <threadedComment ref="AG222" dT="2025-01-03T09:24:34.55" personId="{3A71836D-35FC-49AE-B047-BB10C0042FD6}" id="{33D28E2A-B997-487E-B16A-133B1C98028E}">
    <text>Alates pl35-lisaaeg avade tegemiseks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workbookViewId="0"/>
  </sheetViews>
  <sheetFormatPr defaultRowHeight="14.25"/>
  <cols>
    <col min="1" max="1" width="16.7109375" bestFit="1" customWidth="1"/>
    <col min="2" max="2" width="5" bestFit="1" customWidth="1"/>
    <col min="3" max="3" width="6" bestFit="1" customWidth="1"/>
    <col min="4" max="4" width="4" bestFit="1" customWidth="1"/>
    <col min="5" max="5" width="7.7109375" bestFit="1" customWidth="1"/>
    <col min="6" max="6" width="8.85546875" bestFit="1" customWidth="1"/>
    <col min="7" max="7" width="11.140625" customWidth="1"/>
  </cols>
  <sheetData>
    <row r="1" spans="1:6">
      <c r="A1" s="63" t="s">
        <v>0</v>
      </c>
      <c r="B1" s="63" t="s">
        <v>1</v>
      </c>
      <c r="C1" s="63" t="s">
        <v>2</v>
      </c>
      <c r="D1" s="63" t="s">
        <v>3</v>
      </c>
      <c r="E1" s="63" t="s">
        <v>4</v>
      </c>
      <c r="F1" s="63" t="s">
        <v>5</v>
      </c>
    </row>
    <row r="2" spans="1:6">
      <c r="A2" t="s">
        <v>6</v>
      </c>
      <c r="B2">
        <v>31.8</v>
      </c>
      <c r="C2">
        <v>0.437</v>
      </c>
      <c r="D2">
        <v>120</v>
      </c>
      <c r="E2" t="s">
        <v>7</v>
      </c>
      <c r="F2" t="s">
        <v>8</v>
      </c>
    </row>
  </sheetData>
  <dataConsolidate link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ht1">
    <tabColor rgb="FFE698B9"/>
  </sheetPr>
  <dimension ref="A1:CE222"/>
  <sheetViews>
    <sheetView tabSelected="1" zoomScale="90" zoomScaleNormal="90" workbookViewId="0">
      <pane ySplit="7" topLeftCell="AN20" activePane="bottomLeft" state="frozen"/>
      <selection pane="bottomLeft" activeCell="BD5" sqref="BD5"/>
    </sheetView>
  </sheetViews>
  <sheetFormatPr defaultColWidth="9.140625" defaultRowHeight="14.25"/>
  <cols>
    <col min="1" max="1" width="10.140625" style="176" customWidth="1"/>
    <col min="2" max="2" width="10.5703125" style="176" customWidth="1"/>
    <col min="3" max="3" width="8.28515625" style="101" customWidth="1"/>
    <col min="4" max="4" width="7" style="177" customWidth="1"/>
    <col min="5" max="5" width="2.85546875" style="177" customWidth="1"/>
    <col min="6" max="6" width="24.7109375" style="113" customWidth="1"/>
    <col min="7" max="7" width="10.140625" style="101" customWidth="1"/>
    <col min="8" max="8" width="7.5703125" style="178" bestFit="1" customWidth="1"/>
    <col min="9" max="9" width="4.7109375" style="113" customWidth="1"/>
    <col min="10" max="10" width="9.42578125" style="178" customWidth="1"/>
    <col min="11" max="11" width="8.7109375" style="178" bestFit="1" customWidth="1"/>
    <col min="12" max="12" width="10.28515625" style="178" bestFit="1" customWidth="1"/>
    <col min="13" max="13" width="11.85546875" style="113" bestFit="1" customWidth="1"/>
    <col min="14" max="14" width="3" style="113" hidden="1" customWidth="1"/>
    <col min="15" max="15" width="3" style="179" hidden="1" customWidth="1"/>
    <col min="16" max="17" width="3.5703125" style="113" customWidth="1"/>
    <col min="18" max="19" width="3.5703125" style="179" hidden="1" customWidth="1"/>
    <col min="20" max="20" width="4.42578125" style="179" hidden="1" customWidth="1"/>
    <col min="21" max="22" width="3.5703125" style="179" hidden="1" customWidth="1"/>
    <col min="23" max="23" width="3.140625" style="113" customWidth="1"/>
    <col min="24" max="25" width="3.7109375" style="113" customWidth="1"/>
    <col min="26" max="26" width="3" style="179" hidden="1" customWidth="1"/>
    <col min="27" max="27" width="3.7109375" style="113" bestFit="1" customWidth="1"/>
    <col min="28" max="28" width="4.5703125" style="113" customWidth="1"/>
    <col min="29" max="29" width="7.140625" style="105" customWidth="1"/>
    <col min="30" max="30" width="5.28515625" style="105" customWidth="1"/>
    <col min="31" max="31" width="6" style="105" customWidth="1"/>
    <col min="32" max="32" width="7" style="105" customWidth="1"/>
    <col min="33" max="33" width="9" style="105" customWidth="1"/>
    <col min="34" max="34" width="7.5703125" style="105" customWidth="1"/>
    <col min="35" max="35" width="8.140625" style="105" bestFit="1" customWidth="1"/>
    <col min="36" max="36" width="9" style="77" customWidth="1"/>
    <col min="37" max="37" width="7" style="77" customWidth="1"/>
    <col min="38" max="38" width="7.42578125" style="77" customWidth="1"/>
    <col min="39" max="39" width="8.7109375" style="77" bestFit="1" customWidth="1"/>
    <col min="40" max="40" width="9" style="77" customWidth="1"/>
    <col min="41" max="41" width="6.85546875" style="77" customWidth="1"/>
    <col min="42" max="43" width="7.5703125" style="105" customWidth="1"/>
    <col min="44" max="44" width="10.85546875" style="105" customWidth="1"/>
    <col min="45" max="45" width="6.28515625" style="105" customWidth="1"/>
    <col min="46" max="46" width="11.42578125" style="105" customWidth="1"/>
    <col min="47" max="47" width="10" style="105" customWidth="1"/>
    <col min="48" max="48" width="7.85546875" style="105" customWidth="1"/>
    <col min="49" max="49" width="11.7109375" style="105" customWidth="1"/>
    <col min="50" max="50" width="10.5703125" style="105" customWidth="1"/>
    <col min="51" max="51" width="9.7109375" style="105" customWidth="1"/>
    <col min="52" max="52" width="9" style="105" customWidth="1"/>
    <col min="53" max="53" width="11.7109375" style="222" customWidth="1"/>
    <col min="54" max="54" width="6.5703125" style="105" customWidth="1"/>
    <col min="55" max="55" width="15.28515625" style="222" customWidth="1"/>
    <col min="56" max="56" width="14" style="105" customWidth="1"/>
    <col min="57" max="57" width="12.5703125" style="105" customWidth="1"/>
    <col min="58" max="58" width="11.5703125" style="105" bestFit="1" customWidth="1"/>
    <col min="59" max="59" width="11.85546875" style="105" bestFit="1" customWidth="1"/>
    <col min="60" max="60" width="11.85546875" style="105" customWidth="1"/>
    <col min="61" max="61" width="15.5703125" style="105" bestFit="1" customWidth="1"/>
    <col min="62" max="62" width="13" style="105" customWidth="1"/>
    <col min="63" max="63" width="18.5703125" style="105" bestFit="1" customWidth="1"/>
    <col min="64" max="64" width="6" style="105" bestFit="1" customWidth="1"/>
    <col min="65" max="65" width="8.5703125" style="105" bestFit="1" customWidth="1"/>
    <col min="66" max="71" width="6" style="105" bestFit="1" customWidth="1"/>
    <col min="72" max="76" width="7" style="105" bestFit="1" customWidth="1"/>
    <col min="77" max="77" width="7.5703125" style="105" bestFit="1" customWidth="1"/>
    <col min="78" max="82" width="7" style="105" bestFit="1" customWidth="1"/>
    <col min="83" max="16384" width="9.140625" style="105"/>
  </cols>
  <sheetData>
    <row r="1" spans="1:83" ht="33.75" customHeight="1" thickBot="1">
      <c r="A1" s="99"/>
      <c r="B1" s="100"/>
      <c r="D1" s="102" t="s">
        <v>9</v>
      </c>
      <c r="E1" s="103"/>
      <c r="F1" s="104" t="s">
        <v>10</v>
      </c>
      <c r="H1" s="101"/>
      <c r="I1" s="101"/>
      <c r="J1" s="427" t="s">
        <v>11</v>
      </c>
      <c r="K1" s="428"/>
      <c r="L1" s="101"/>
      <c r="M1" s="101"/>
      <c r="N1" s="105"/>
      <c r="O1" s="101"/>
      <c r="P1" s="101"/>
      <c r="Q1" s="101"/>
      <c r="R1" s="101"/>
      <c r="S1" s="101"/>
      <c r="T1" s="101"/>
      <c r="U1" s="101"/>
      <c r="V1" s="101"/>
      <c r="W1" s="101"/>
      <c r="X1" s="422" t="s">
        <v>12</v>
      </c>
      <c r="Y1" s="423"/>
      <c r="Z1" s="101"/>
      <c r="AA1" s="433" t="s">
        <v>13</v>
      </c>
      <c r="AB1" s="106" t="s">
        <v>14</v>
      </c>
      <c r="AC1" s="206" t="s">
        <v>15</v>
      </c>
      <c r="AD1" s="213" t="s">
        <v>16</v>
      </c>
      <c r="AE1" s="213" t="s">
        <v>17</v>
      </c>
      <c r="AF1" s="214" t="s">
        <v>18</v>
      </c>
      <c r="AG1" s="214" t="s">
        <v>19</v>
      </c>
      <c r="AH1" s="215" t="s">
        <v>20</v>
      </c>
      <c r="AI1" s="215" t="s">
        <v>21</v>
      </c>
      <c r="AJ1" s="216" t="s">
        <v>22</v>
      </c>
      <c r="AK1" s="216" t="s">
        <v>23</v>
      </c>
      <c r="AL1" s="424" t="s">
        <v>24</v>
      </c>
      <c r="AQ1" s="78"/>
      <c r="AR1" s="208"/>
      <c r="AT1" s="420" t="s">
        <v>25</v>
      </c>
      <c r="AU1" s="107" t="s">
        <v>26</v>
      </c>
      <c r="AV1" s="108" t="s">
        <v>27</v>
      </c>
      <c r="AW1" s="109" t="s">
        <v>28</v>
      </c>
      <c r="AX1" s="110" t="s">
        <v>29</v>
      </c>
      <c r="BC1" s="232" t="s">
        <v>30</v>
      </c>
      <c r="BD1" s="232" t="s">
        <v>31</v>
      </c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</row>
    <row r="2" spans="1:83" ht="18.75" customHeight="1" thickBot="1">
      <c r="A2" s="100"/>
      <c r="B2" s="100"/>
      <c r="C2" s="112"/>
      <c r="D2" s="102" t="s">
        <v>32</v>
      </c>
      <c r="E2" s="112"/>
      <c r="F2" s="104" t="s">
        <v>33</v>
      </c>
      <c r="H2" s="101"/>
      <c r="I2" s="101"/>
      <c r="J2" s="429" t="s">
        <v>34</v>
      </c>
      <c r="K2" s="430"/>
      <c r="L2" s="101"/>
      <c r="N2" s="105"/>
      <c r="O2" s="101"/>
      <c r="P2" s="101"/>
      <c r="Q2" s="101"/>
      <c r="R2" s="101"/>
      <c r="S2" s="101"/>
      <c r="T2" s="101"/>
      <c r="U2" s="101"/>
      <c r="V2" s="101"/>
      <c r="W2" s="101"/>
      <c r="X2" s="422"/>
      <c r="Y2" s="423"/>
      <c r="Z2" s="101"/>
      <c r="AA2" s="433"/>
      <c r="AB2" s="114">
        <v>0</v>
      </c>
      <c r="AC2" s="207">
        <v>9</v>
      </c>
      <c r="AD2" s="217">
        <v>13</v>
      </c>
      <c r="AE2" s="217">
        <v>15.5</v>
      </c>
      <c r="AF2" s="218">
        <v>15.5</v>
      </c>
      <c r="AG2" s="218">
        <v>18.5</v>
      </c>
      <c r="AH2" s="219">
        <v>18.5</v>
      </c>
      <c r="AI2" s="219">
        <v>21.5</v>
      </c>
      <c r="AJ2" s="220">
        <v>25</v>
      </c>
      <c r="AK2" s="220">
        <v>0.72</v>
      </c>
      <c r="AL2" s="424"/>
      <c r="AQ2" s="78"/>
      <c r="AR2" s="208"/>
      <c r="AT2" s="420"/>
      <c r="AU2" s="331">
        <v>1.05</v>
      </c>
      <c r="AV2" s="115">
        <v>1.05</v>
      </c>
      <c r="AW2" s="116">
        <v>1.08</v>
      </c>
      <c r="AX2" s="117">
        <v>1.1499999999999999</v>
      </c>
      <c r="BC2" s="233">
        <v>1.1499999999999999</v>
      </c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</row>
    <row r="3" spans="1:83" ht="20.25" customHeight="1" thickBot="1">
      <c r="A3" s="100"/>
      <c r="B3" s="100"/>
      <c r="C3" s="118"/>
      <c r="D3" s="102" t="s">
        <v>35</v>
      </c>
      <c r="E3" s="122"/>
      <c r="F3" s="253" t="s">
        <v>36</v>
      </c>
      <c r="H3" s="101"/>
      <c r="I3" s="101"/>
      <c r="J3" s="431" t="s">
        <v>37</v>
      </c>
      <c r="K3" s="432"/>
      <c r="L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421" t="s">
        <v>38</v>
      </c>
      <c r="AD3" s="421"/>
      <c r="AE3" s="421"/>
      <c r="AF3" s="421"/>
      <c r="AG3" s="421"/>
      <c r="AH3" s="421"/>
      <c r="AI3" s="421"/>
      <c r="AJ3" s="421"/>
      <c r="AK3" s="77" t="e">
        <f>((#REF!/20000)*250)/#REF!</f>
        <v>#REF!</v>
      </c>
      <c r="AL3" s="279" t="s">
        <v>39</v>
      </c>
      <c r="AQ3" s="78"/>
      <c r="AR3" s="208"/>
      <c r="AU3" s="119"/>
      <c r="BB3" s="120"/>
      <c r="BC3" s="223">
        <v>3300</v>
      </c>
      <c r="BD3" s="120">
        <v>4000</v>
      </c>
      <c r="BE3" s="120"/>
      <c r="BG3" s="79" t="s">
        <v>40</v>
      </c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</row>
    <row r="4" spans="1:83" ht="15" thickBot="1">
      <c r="A4" s="121"/>
      <c r="B4" s="121"/>
      <c r="C4" s="122"/>
      <c r="D4" s="102" t="s">
        <v>41</v>
      </c>
      <c r="E4" s="122"/>
      <c r="F4" s="253" t="s">
        <v>42</v>
      </c>
      <c r="H4" s="101"/>
      <c r="I4" s="101"/>
      <c r="J4" s="425" t="s">
        <v>43</v>
      </c>
      <c r="K4" s="426"/>
      <c r="L4" s="196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F4" s="105" t="s">
        <v>44</v>
      </c>
      <c r="AK4" s="105" t="s">
        <v>44</v>
      </c>
      <c r="AV4" s="100" t="s">
        <v>45</v>
      </c>
      <c r="BB4" s="80"/>
      <c r="BC4" s="224">
        <f>BC3*BC8*$BC$2</f>
        <v>18975</v>
      </c>
      <c r="BD4" s="80">
        <f>BD3*BD8*$BC$2</f>
        <v>18400</v>
      </c>
      <c r="BE4" s="80">
        <f>BE3*BE8*$BC$2</f>
        <v>0</v>
      </c>
      <c r="BF4" s="80"/>
      <c r="BI4" s="111"/>
      <c r="BJ4" s="111"/>
      <c r="BK4" s="111"/>
      <c r="BL4" s="111"/>
      <c r="BM4" s="111"/>
      <c r="BN4" s="111"/>
      <c r="BO4" s="111"/>
      <c r="BP4" s="111"/>
      <c r="BQ4" s="111"/>
      <c r="BR4" s="111"/>
      <c r="BS4" s="111"/>
      <c r="BT4" s="111"/>
      <c r="BU4" s="111"/>
      <c r="BV4" s="111"/>
      <c r="BW4" s="111"/>
      <c r="BX4" s="111"/>
      <c r="BY4" s="111"/>
      <c r="BZ4" s="111"/>
      <c r="CA4" s="111"/>
      <c r="CB4" s="111"/>
      <c r="CC4" s="111"/>
      <c r="CD4" s="111"/>
      <c r="CE4" s="111"/>
    </row>
    <row r="5" spans="1:83">
      <c r="A5" s="121"/>
      <c r="B5" s="263">
        <f>C12</f>
        <v>0.4156850817410741</v>
      </c>
      <c r="C5" s="122"/>
      <c r="D5" s="122"/>
      <c r="E5" s="122"/>
      <c r="F5" s="248" t="s">
        <v>46</v>
      </c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0"/>
      <c r="AD5" s="100"/>
      <c r="AE5" s="100"/>
      <c r="AF5" s="100" t="s">
        <v>47</v>
      </c>
      <c r="AG5" s="100"/>
      <c r="AH5" s="100"/>
      <c r="AI5" s="100"/>
      <c r="AK5" s="100">
        <v>10</v>
      </c>
      <c r="AN5" s="123"/>
      <c r="AP5" s="77"/>
      <c r="AQ5" s="77"/>
      <c r="AR5" s="77"/>
      <c r="AT5" s="81"/>
      <c r="AV5" s="77">
        <v>0.03</v>
      </c>
      <c r="AY5" s="77"/>
      <c r="AZ5" s="77"/>
      <c r="BA5" s="234"/>
      <c r="BB5" s="80"/>
      <c r="BC5" s="225" t="s">
        <v>48</v>
      </c>
      <c r="BD5" s="83" t="s">
        <v>48</v>
      </c>
      <c r="BE5" s="83" t="s">
        <v>48</v>
      </c>
      <c r="BF5" s="84" t="s">
        <v>49</v>
      </c>
      <c r="BG5" s="84"/>
      <c r="BH5" s="84" t="s">
        <v>49</v>
      </c>
      <c r="BI5" s="111"/>
      <c r="BJ5" s="111"/>
      <c r="BK5" s="111"/>
      <c r="BL5" s="111"/>
      <c r="BM5" s="111"/>
      <c r="BN5" s="111"/>
      <c r="BO5" s="111"/>
      <c r="BP5" s="111"/>
      <c r="BQ5" s="111"/>
      <c r="BR5" s="111"/>
      <c r="BS5" s="111"/>
      <c r="BT5" s="111"/>
      <c r="BU5" s="111"/>
      <c r="BV5" s="111"/>
      <c r="BW5" s="111"/>
      <c r="BX5" s="111"/>
      <c r="BY5" s="111"/>
      <c r="BZ5" s="111"/>
      <c r="CA5" s="111"/>
      <c r="CB5" s="111"/>
      <c r="CC5" s="111"/>
      <c r="CD5" s="111"/>
      <c r="CE5" s="111"/>
    </row>
    <row r="6" spans="1:83" s="135" customFormat="1" ht="117.75" customHeight="1">
      <c r="A6" s="124" t="s">
        <v>50</v>
      </c>
      <c r="B6" s="125" t="s">
        <v>51</v>
      </c>
      <c r="C6" s="125" t="s">
        <v>52</v>
      </c>
      <c r="D6" s="125" t="s">
        <v>53</v>
      </c>
      <c r="E6" s="125" t="s">
        <v>54</v>
      </c>
      <c r="F6" s="124" t="s">
        <v>55</v>
      </c>
      <c r="G6" s="124" t="s">
        <v>56</v>
      </c>
      <c r="H6" s="124" t="s">
        <v>57</v>
      </c>
      <c r="I6" s="124" t="s">
        <v>58</v>
      </c>
      <c r="J6" s="124" t="s">
        <v>59</v>
      </c>
      <c r="K6" s="124" t="s">
        <v>60</v>
      </c>
      <c r="L6" s="124" t="s">
        <v>61</v>
      </c>
      <c r="M6" s="124" t="s">
        <v>62</v>
      </c>
      <c r="N6" s="124">
        <v>14</v>
      </c>
      <c r="O6" s="124">
        <v>15</v>
      </c>
      <c r="P6" s="124" t="s">
        <v>63</v>
      </c>
      <c r="Q6" s="199" t="s">
        <v>64</v>
      </c>
      <c r="R6" s="124">
        <v>18</v>
      </c>
      <c r="S6" s="124">
        <v>19</v>
      </c>
      <c r="T6" s="124">
        <v>20</v>
      </c>
      <c r="U6" s="124">
        <v>21</v>
      </c>
      <c r="V6" s="124">
        <v>22</v>
      </c>
      <c r="W6" s="124">
        <v>23</v>
      </c>
      <c r="X6" s="124">
        <v>24</v>
      </c>
      <c r="Y6" s="126" t="s">
        <v>65</v>
      </c>
      <c r="Z6" s="124">
        <v>26</v>
      </c>
      <c r="AA6" s="124">
        <v>27</v>
      </c>
      <c r="AB6" s="124">
        <v>28</v>
      </c>
      <c r="AC6" s="125" t="s">
        <v>66</v>
      </c>
      <c r="AD6" s="125" t="s">
        <v>67</v>
      </c>
      <c r="AE6" s="125" t="s">
        <v>68</v>
      </c>
      <c r="AF6" s="125" t="s">
        <v>69</v>
      </c>
      <c r="AG6" s="125" t="s">
        <v>70</v>
      </c>
      <c r="AH6" s="127" t="s">
        <v>71</v>
      </c>
      <c r="AI6" s="127" t="s">
        <v>72</v>
      </c>
      <c r="AJ6" s="200" t="s">
        <v>73</v>
      </c>
      <c r="AK6" s="128" t="s">
        <v>74</v>
      </c>
      <c r="AL6" s="129" t="s">
        <v>75</v>
      </c>
      <c r="AM6" s="125" t="s">
        <v>76</v>
      </c>
      <c r="AN6" s="125" t="s">
        <v>77</v>
      </c>
      <c r="AO6" s="125" t="s">
        <v>78</v>
      </c>
      <c r="AP6" s="181" t="s">
        <v>79</v>
      </c>
      <c r="AQ6" s="125" t="s">
        <v>80</v>
      </c>
      <c r="AR6" s="130" t="s">
        <v>81</v>
      </c>
      <c r="AS6" s="125" t="s">
        <v>82</v>
      </c>
      <c r="AT6" s="125" t="s">
        <v>83</v>
      </c>
      <c r="AU6" s="125" t="s">
        <v>84</v>
      </c>
      <c r="AV6" s="125" t="s">
        <v>85</v>
      </c>
      <c r="AW6" s="125" t="s">
        <v>86</v>
      </c>
      <c r="AX6" s="125" t="s">
        <v>87</v>
      </c>
      <c r="AY6" s="131" t="s">
        <v>88</v>
      </c>
      <c r="AZ6" s="231" t="s">
        <v>89</v>
      </c>
      <c r="BA6" s="235" t="s">
        <v>90</v>
      </c>
      <c r="BB6" s="221" t="s">
        <v>91</v>
      </c>
      <c r="BC6" s="226" t="s">
        <v>92</v>
      </c>
      <c r="BD6" s="132" t="s">
        <v>93</v>
      </c>
      <c r="BE6" s="132" t="s">
        <v>94</v>
      </c>
      <c r="BF6" s="133" t="s">
        <v>95</v>
      </c>
      <c r="BG6" s="79" t="s">
        <v>96</v>
      </c>
      <c r="BH6" s="134" t="s">
        <v>97</v>
      </c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  <c r="BW6" s="111"/>
      <c r="BX6" s="111"/>
      <c r="BY6" s="111"/>
      <c r="BZ6" s="111"/>
      <c r="CA6" s="111"/>
      <c r="CB6" s="111"/>
      <c r="CC6" s="111"/>
      <c r="CD6" s="111"/>
      <c r="CE6" s="111"/>
    </row>
    <row r="7" spans="1:83" s="243" customFormat="1" ht="16.5" customHeight="1">
      <c r="A7" s="237">
        <f>B7/L7</f>
        <v>157845.86818038</v>
      </c>
      <c r="B7" s="238">
        <f>B$214+B$183+B$11</f>
        <v>157845.86818038</v>
      </c>
      <c r="C7" s="237"/>
      <c r="D7" s="237"/>
      <c r="E7" s="237"/>
      <c r="F7" s="239"/>
      <c r="G7" s="239"/>
      <c r="H7" s="237"/>
      <c r="I7" s="237"/>
      <c r="J7" s="237"/>
      <c r="K7" s="237"/>
      <c r="L7" s="238">
        <v>1</v>
      </c>
      <c r="M7" s="238">
        <f>M$214+M$183+M$11</f>
        <v>3017.9328069999997</v>
      </c>
      <c r="N7" s="238"/>
      <c r="O7" s="238"/>
      <c r="P7" s="240"/>
      <c r="Q7" s="238"/>
      <c r="R7" s="238"/>
      <c r="S7" s="238"/>
      <c r="T7" s="238"/>
      <c r="U7" s="238"/>
      <c r="V7" s="238"/>
      <c r="W7" s="240"/>
      <c r="X7" s="241"/>
      <c r="Y7" s="242">
        <v>1</v>
      </c>
      <c r="Z7" s="242"/>
      <c r="AB7" s="242"/>
      <c r="AC7" s="238">
        <f>AC$214+AC$183+AC$11</f>
        <v>270.01942361111111</v>
      </c>
      <c r="AD7" s="238">
        <f>AD$214+AD$183+AD$11</f>
        <v>49.72392</v>
      </c>
      <c r="AE7" s="238">
        <f>AE$214+AE$183+AE$11</f>
        <v>135.00466666666668</v>
      </c>
      <c r="AF7" s="238">
        <f>AF$214+AF$183+AF$11</f>
        <v>110.67333333333332</v>
      </c>
      <c r="AG7" s="238">
        <f>AG$214+AG$183+AG$11</f>
        <v>23.666666666666664</v>
      </c>
      <c r="AH7" s="244">
        <f>SUM(AC7:AG7)</f>
        <v>589.0880102777777</v>
      </c>
      <c r="AI7" s="244">
        <f>AI$214+AI$183+AI$11</f>
        <v>534.7833333333333</v>
      </c>
      <c r="AJ7" s="238">
        <f>AJ$214+AJ$183+AJ$11</f>
        <v>4743.0317840000007</v>
      </c>
      <c r="AK7" s="244">
        <f>AJ7*10/60</f>
        <v>790.50529733333337</v>
      </c>
      <c r="AL7" s="245">
        <f>AH7+AI7+AK7</f>
        <v>1914.3766409444445</v>
      </c>
      <c r="AM7" s="238">
        <f>B7/AL7</f>
        <v>82.452880381212665</v>
      </c>
      <c r="AN7" s="238">
        <f>AL7*46</f>
        <v>88061.325483444452</v>
      </c>
      <c r="AO7" s="246">
        <f>AN7/B7</f>
        <v>0.55789439722813305</v>
      </c>
      <c r="AP7" s="246">
        <f>AR7/B7</f>
        <v>0.92670376517304853</v>
      </c>
      <c r="AQ7" s="238"/>
      <c r="AR7" s="238">
        <f>AR$214+AR$183+AR$11</f>
        <v>146276.36035976684</v>
      </c>
      <c r="AS7" s="238"/>
      <c r="AT7" s="238"/>
      <c r="AU7" s="238">
        <f>AU$214+AU$183+AU$11</f>
        <v>40259.89319499999</v>
      </c>
      <c r="AV7" s="238">
        <f>AV$214+AV$183+AV$11</f>
        <v>4735.3760454113999</v>
      </c>
      <c r="AW7" s="238">
        <f>AW$214+AW$183+AW$11</f>
        <v>133056.59472385584</v>
      </c>
      <c r="AX7" s="238"/>
      <c r="AY7" s="238">
        <f>AY$214+AY$183+AY$11</f>
        <v>293299.60283780383</v>
      </c>
      <c r="AZ7" s="163">
        <f>AY7/B7</f>
        <v>1.8581392482357073</v>
      </c>
      <c r="BB7" s="238"/>
      <c r="BC7" s="275">
        <f>BC$214+BC$183+BC$11</f>
        <v>4.4491677525134445</v>
      </c>
      <c r="BD7" s="275">
        <f>BD$214+BD$183+BD$11</f>
        <v>3.8499963849499999</v>
      </c>
      <c r="BE7" s="238"/>
      <c r="BF7" s="245">
        <f>SUM(BC4:BE4)</f>
        <v>37375</v>
      </c>
      <c r="BG7" s="86">
        <f>3*5*8*firmakulu*1.1</f>
        <v>0</v>
      </c>
      <c r="BH7" s="245">
        <f>AY7+BF7+BG7</f>
        <v>330674.60283780383</v>
      </c>
    </row>
    <row r="8" spans="1:83" s="92" customFormat="1">
      <c r="A8" s="178"/>
      <c r="B8" s="196">
        <f>SUMIF(F10:F847,"leht*",B10:B847)</f>
        <v>61457.212180380004</v>
      </c>
      <c r="C8" s="198">
        <f>B8/B7</f>
        <v>0.38934951474402318</v>
      </c>
      <c r="D8" s="197" t="s">
        <v>98</v>
      </c>
      <c r="E8" s="141"/>
      <c r="G8" s="142"/>
      <c r="H8" s="140"/>
      <c r="I8" s="143"/>
      <c r="J8" s="140"/>
      <c r="K8" s="140"/>
      <c r="L8" s="77"/>
      <c r="M8" s="144"/>
      <c r="N8" s="136"/>
      <c r="O8" s="145"/>
      <c r="P8" s="136"/>
      <c r="Q8" s="136"/>
      <c r="R8" s="145"/>
      <c r="S8" s="145"/>
      <c r="T8" s="145"/>
      <c r="U8" s="145"/>
      <c r="V8" s="145"/>
      <c r="W8" s="136"/>
      <c r="X8" s="111"/>
      <c r="Y8" s="77"/>
      <c r="Z8" s="87"/>
      <c r="AA8" s="77"/>
      <c r="AB8" s="77"/>
      <c r="AC8" s="146"/>
      <c r="AD8" s="146"/>
      <c r="AE8" s="146"/>
      <c r="AF8" s="146"/>
      <c r="AG8" s="146"/>
      <c r="AH8" s="88"/>
      <c r="AI8" s="88"/>
      <c r="AJ8" s="88"/>
      <c r="AK8" s="88"/>
      <c r="AL8" s="88">
        <f>AL7-AH7</f>
        <v>1325.2886306666669</v>
      </c>
      <c r="AM8" s="88"/>
      <c r="AN8" s="88"/>
      <c r="AO8" s="89"/>
      <c r="AP8" s="77"/>
      <c r="AQ8" s="77"/>
      <c r="AR8" s="81"/>
      <c r="AT8" s="147"/>
      <c r="AU8" s="90"/>
      <c r="AV8" s="90"/>
      <c r="AW8" s="90"/>
      <c r="AX8" s="93"/>
      <c r="AY8" s="85"/>
      <c r="AZ8" s="230" t="s">
        <v>99</v>
      </c>
      <c r="BA8" s="230"/>
      <c r="BB8" s="139"/>
      <c r="BC8" s="227">
        <v>5</v>
      </c>
      <c r="BD8" s="91">
        <v>4</v>
      </c>
      <c r="BE8" s="91"/>
      <c r="BF8" s="85">
        <f>SUM(BC8:BE8)</f>
        <v>9</v>
      </c>
      <c r="BG8" s="85"/>
      <c r="BH8" s="81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</row>
    <row r="9" spans="1:83" s="92" customFormat="1">
      <c r="A9" s="178"/>
      <c r="B9" s="196"/>
      <c r="C9" s="198"/>
      <c r="D9" s="197"/>
      <c r="E9" s="197"/>
      <c r="F9" s="197"/>
      <c r="G9" s="197"/>
      <c r="H9" s="197"/>
      <c r="I9" s="197"/>
      <c r="J9" s="140"/>
      <c r="K9" s="140"/>
      <c r="L9" s="77"/>
      <c r="M9" s="144"/>
      <c r="N9" s="136"/>
      <c r="O9" s="145"/>
      <c r="P9" s="136"/>
      <c r="Q9" s="136"/>
      <c r="R9" s="145"/>
      <c r="S9" s="145"/>
      <c r="T9" s="145"/>
      <c r="U9" s="145"/>
      <c r="V9" s="145"/>
      <c r="W9" s="136"/>
      <c r="X9" s="111"/>
      <c r="Y9" s="77"/>
      <c r="Z9" s="87"/>
      <c r="AA9" s="77"/>
      <c r="AB9" s="77"/>
      <c r="AC9" s="146"/>
      <c r="AD9" s="146"/>
      <c r="AE9" s="146"/>
      <c r="AF9" s="146"/>
      <c r="AG9" s="146"/>
      <c r="AH9" s="88"/>
      <c r="AI9" s="88"/>
      <c r="AJ9" s="88"/>
      <c r="AK9" s="88"/>
      <c r="AL9" s="88"/>
      <c r="AM9" s="88"/>
      <c r="AN9" s="88"/>
      <c r="AO9" s="89"/>
      <c r="AP9" s="77"/>
      <c r="AQ9" s="77"/>
      <c r="AR9" s="81"/>
      <c r="AT9" s="147"/>
      <c r="AU9" s="90"/>
      <c r="AV9" s="90"/>
      <c r="AW9" s="90"/>
      <c r="AX9" s="93"/>
      <c r="AY9" s="85"/>
      <c r="AZ9" s="139"/>
      <c r="BA9" s="230"/>
      <c r="BB9" s="139"/>
      <c r="BC9" s="228"/>
      <c r="BD9" s="85"/>
      <c r="BE9" s="85"/>
      <c r="BF9" s="85"/>
      <c r="BG9" s="85"/>
      <c r="BH9" s="81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</row>
    <row r="10" spans="1:83" s="77" customFormat="1" ht="15" thickBot="1">
      <c r="A10" s="148"/>
      <c r="B10" s="148"/>
      <c r="C10" s="148"/>
      <c r="D10" s="149"/>
      <c r="E10" s="149"/>
      <c r="F10" s="149"/>
      <c r="G10" s="149"/>
      <c r="H10" s="149"/>
      <c r="I10" s="149"/>
      <c r="J10" s="151"/>
      <c r="K10" s="151"/>
      <c r="L10" s="151"/>
      <c r="M10" s="144"/>
      <c r="N10" s="150"/>
      <c r="O10" s="152"/>
      <c r="P10" s="150"/>
      <c r="Q10" s="150"/>
      <c r="R10" s="152"/>
      <c r="S10" s="152"/>
      <c r="T10" s="152"/>
      <c r="U10" s="152"/>
      <c r="V10" s="152"/>
      <c r="W10" s="150"/>
      <c r="X10" s="150"/>
      <c r="Y10" s="150"/>
      <c r="Z10" s="152"/>
      <c r="AA10" s="150"/>
      <c r="AB10" s="150"/>
      <c r="AD10" s="111"/>
      <c r="AE10" s="111"/>
      <c r="AF10" s="146"/>
      <c r="AG10" s="146"/>
      <c r="AH10" s="111"/>
      <c r="AI10" s="111"/>
      <c r="AJ10" s="88"/>
      <c r="AK10" s="88"/>
      <c r="AL10" s="88"/>
      <c r="AM10" s="88"/>
      <c r="AN10" s="94"/>
      <c r="AO10" s="111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234"/>
      <c r="BB10" s="85"/>
      <c r="BC10" s="228"/>
      <c r="BD10" s="85"/>
      <c r="BE10" s="85"/>
      <c r="BF10" s="85"/>
      <c r="BG10" s="85"/>
    </row>
    <row r="11" spans="1:83" s="77" customFormat="1" ht="15" thickBot="1">
      <c r="A11" s="154">
        <f>B11/L11</f>
        <v>147062.42698038</v>
      </c>
      <c r="B11" s="154">
        <f>B$163+B$136+B$95+B$82+B$16</f>
        <v>147062.42698038</v>
      </c>
      <c r="C11" s="155"/>
      <c r="D11" s="155" t="s">
        <v>100</v>
      </c>
      <c r="E11" s="155"/>
      <c r="F11" s="156" t="s">
        <v>101</v>
      </c>
      <c r="G11" s="213" t="s">
        <v>16</v>
      </c>
      <c r="H11" s="157">
        <v>100</v>
      </c>
      <c r="I11" s="158" t="s">
        <v>102</v>
      </c>
      <c r="J11" s="157">
        <v>100</v>
      </c>
      <c r="K11" s="157">
        <v>1</v>
      </c>
      <c r="L11" s="157">
        <f>$L$7*$K$11</f>
        <v>1</v>
      </c>
      <c r="M11" s="154">
        <f>M$163+M$136+M$95+M$82+M$16</f>
        <v>2774.8288869999997</v>
      </c>
      <c r="N11" s="150"/>
      <c r="O11" s="152"/>
      <c r="P11" s="150"/>
      <c r="Q11" s="158"/>
      <c r="R11" s="158"/>
      <c r="S11" s="158"/>
      <c r="T11" s="158"/>
      <c r="U11" s="158"/>
      <c r="V11" s="158"/>
      <c r="W11" s="150"/>
      <c r="X11" s="158"/>
      <c r="Y11" s="158">
        <v>2</v>
      </c>
      <c r="Z11" s="158"/>
      <c r="AA11" s="158"/>
      <c r="AB11" s="158"/>
      <c r="AC11" s="154">
        <f>AC$163+AC$136+AC$95+AC$82+AC$16</f>
        <v>254.72046064814813</v>
      </c>
      <c r="AD11" s="154">
        <f>AD$163+AD$136+AD$95+AD$82+AD$16</f>
        <v>47.694479999999999</v>
      </c>
      <c r="AE11" s="154">
        <f>AE$163+AE$136+AE$95+AE$82+AE$16</f>
        <v>123.71666666666667</v>
      </c>
      <c r="AF11" s="154">
        <f>AF$163+AF$136+AF$95+AF$82+AF$16</f>
        <v>110.67333333333332</v>
      </c>
      <c r="AG11" s="154">
        <f>AG$163+AG$136+AG$95+AG$82+AG$16</f>
        <v>17.933333333333334</v>
      </c>
      <c r="AH11" s="137">
        <f>SUM(AC11:AG11)</f>
        <v>554.73827398148137</v>
      </c>
      <c r="AI11" s="137">
        <f>AI$163+AI$136+AI$95+AI$82+AI$16</f>
        <v>471.18333333333328</v>
      </c>
      <c r="AJ11" s="154">
        <f>AJ$163+AJ$136+AJ$95+AJ$82+AJ$16</f>
        <v>4585.9610000000002</v>
      </c>
      <c r="AK11" s="137">
        <f>AJ11*10/60</f>
        <v>764.3268333333333</v>
      </c>
      <c r="AL11" s="205">
        <f>AH11+AI11+AK11</f>
        <v>1790.2484406481478</v>
      </c>
      <c r="AM11" s="209">
        <f>B11/AL11</f>
        <v>82.146379039513093</v>
      </c>
      <c r="AN11" s="159">
        <f>AL11*46</f>
        <v>82351.428269814802</v>
      </c>
      <c r="AO11" s="160">
        <f>AN11/B11</f>
        <v>0.5599759908817602</v>
      </c>
      <c r="AP11" s="160">
        <f>AR11/B11</f>
        <v>0.89912788479009487</v>
      </c>
      <c r="AQ11" s="95"/>
      <c r="AR11" s="160">
        <f>AR$163+AR$136+AR$95+AR$82+AR$16</f>
        <v>132227.92890296684</v>
      </c>
      <c r="AS11" s="203">
        <f>$AU$2</f>
        <v>1.05</v>
      </c>
      <c r="AT11" s="161">
        <f>HLOOKUP(G11,$AB$1:$AK$2,2,FALSE)</f>
        <v>13</v>
      </c>
      <c r="AU11" s="202">
        <f>IF(AND(G11="HDG"),B11*AT11,M11*AT11)</f>
        <v>36072.775530999992</v>
      </c>
      <c r="AV11" s="96">
        <f>B11*pakendus</f>
        <v>4411.8728094113994</v>
      </c>
      <c r="AW11" s="160">
        <f>(AN11+AU11+AV11)</f>
        <v>122836.0766102262</v>
      </c>
      <c r="AX11" s="162">
        <f>$AV$2</f>
        <v>1.05</v>
      </c>
      <c r="AY11" s="138">
        <f>(AR11*AS11)+(AW11*AX11)</f>
        <v>267817.20578885271</v>
      </c>
      <c r="AZ11" s="163">
        <f>ROUND(AY11/B11,3)</f>
        <v>1.821</v>
      </c>
      <c r="BA11" s="234"/>
      <c r="BB11" s="85"/>
      <c r="BC11" s="160">
        <f>BC$163+BC$136+BC$95+BC$82+BC$16</f>
        <v>3.7302716725134442</v>
      </c>
      <c r="BD11" s="160">
        <f>BD$163+BD$136+BD$95+BD$82+BD$16</f>
        <v>3.8499963849499999</v>
      </c>
      <c r="BE11" s="160">
        <f>BE$163+BE$136+BE$95+BE$82+BE$16</f>
        <v>0</v>
      </c>
      <c r="BF11" s="85"/>
      <c r="BG11" s="85"/>
    </row>
    <row r="12" spans="1:83" s="82" customFormat="1">
      <c r="A12" s="148"/>
      <c r="B12" s="196">
        <f>SUMIF(F14:F212,"leht*",B14:B212)</f>
        <v>61131.656980380001</v>
      </c>
      <c r="C12" s="247">
        <f>(B12-B14)/B11</f>
        <v>0.4156850817410741</v>
      </c>
      <c r="D12" s="197" t="s">
        <v>98</v>
      </c>
      <c r="E12" s="149"/>
      <c r="F12" s="150"/>
      <c r="G12" s="149"/>
      <c r="H12" s="151"/>
      <c r="I12" s="150"/>
      <c r="J12" s="151"/>
      <c r="K12" s="151"/>
      <c r="L12" s="151"/>
      <c r="M12" s="164"/>
      <c r="N12" s="77"/>
      <c r="O12" s="87"/>
      <c r="P12" s="150"/>
      <c r="Q12" s="150"/>
      <c r="R12" s="152"/>
      <c r="S12" s="152"/>
      <c r="T12" s="152"/>
      <c r="U12" s="152"/>
      <c r="V12" s="152"/>
      <c r="W12" s="150"/>
      <c r="X12" s="150"/>
      <c r="Y12" s="150"/>
      <c r="Z12" s="152"/>
      <c r="AA12" s="150"/>
      <c r="AB12" s="150"/>
      <c r="AC12" s="148"/>
      <c r="AD12" s="111"/>
      <c r="AE12" s="165"/>
      <c r="AF12" s="165"/>
      <c r="AG12" s="111"/>
      <c r="AH12" s="111"/>
      <c r="AI12" s="144"/>
      <c r="AJ12" s="88"/>
      <c r="AK12" s="92"/>
      <c r="AL12" s="77"/>
      <c r="AM12" s="77"/>
      <c r="AN12" s="77"/>
      <c r="AO12" s="77"/>
      <c r="AP12" s="77"/>
      <c r="AQ12" s="77"/>
      <c r="AR12" s="77"/>
      <c r="AT12" s="88"/>
      <c r="AU12" s="85"/>
      <c r="AV12" s="90"/>
      <c r="AW12" s="90"/>
      <c r="AX12" s="93"/>
      <c r="AY12" s="93"/>
      <c r="AZ12" s="93"/>
      <c r="BA12" s="234"/>
      <c r="BB12" s="85"/>
      <c r="BC12" s="228"/>
      <c r="BD12" s="85"/>
      <c r="BE12" s="85"/>
      <c r="BF12" s="85"/>
      <c r="BG12" s="85"/>
      <c r="BH12" s="77"/>
      <c r="BI12" s="77"/>
      <c r="BJ12" s="77"/>
      <c r="BK12" s="77"/>
      <c r="BL12" s="77"/>
      <c r="BM12" s="77"/>
      <c r="BN12" s="77"/>
      <c r="BO12" s="77"/>
      <c r="BP12" s="77"/>
    </row>
    <row r="13" spans="1:83" s="82" customFormat="1">
      <c r="A13" s="148"/>
      <c r="B13" s="196"/>
      <c r="C13" s="247"/>
      <c r="D13" s="197"/>
      <c r="E13" s="149"/>
      <c r="F13" s="150"/>
      <c r="G13" s="149"/>
      <c r="H13" s="151"/>
      <c r="I13" s="150"/>
      <c r="J13" s="151"/>
      <c r="K13" s="151"/>
      <c r="L13" s="151"/>
      <c r="M13" s="164"/>
      <c r="N13" s="77"/>
      <c r="O13" s="87"/>
      <c r="P13" s="150"/>
      <c r="Q13" s="150"/>
      <c r="R13" s="152"/>
      <c r="S13" s="152"/>
      <c r="T13" s="152"/>
      <c r="U13" s="152"/>
      <c r="V13" s="152"/>
      <c r="W13" s="150"/>
      <c r="X13" s="150"/>
      <c r="Y13" s="150"/>
      <c r="Z13" s="152"/>
      <c r="AA13" s="150"/>
      <c r="AB13" s="150"/>
      <c r="AC13" s="148"/>
      <c r="AD13" s="111"/>
      <c r="AE13" s="165"/>
      <c r="AF13" s="165"/>
      <c r="AG13" s="111"/>
      <c r="AH13" s="111"/>
      <c r="AI13" s="144"/>
      <c r="AJ13" s="88"/>
      <c r="AK13" s="92"/>
      <c r="AL13" s="77"/>
      <c r="AM13" s="77"/>
      <c r="AN13" s="77"/>
      <c r="AO13" s="77"/>
      <c r="AP13" s="77"/>
      <c r="AQ13" s="77"/>
      <c r="AR13" s="77"/>
      <c r="AT13" s="88"/>
      <c r="AU13" s="85"/>
      <c r="AV13" s="90"/>
      <c r="AW13" s="90"/>
      <c r="AX13" s="93"/>
      <c r="AY13" s="93"/>
      <c r="AZ13" s="93"/>
      <c r="BA13" s="234"/>
      <c r="BB13" s="85"/>
      <c r="BC13" s="228"/>
      <c r="BD13" s="85"/>
      <c r="BE13" s="85"/>
      <c r="BF13" s="85"/>
      <c r="BG13" s="85"/>
      <c r="BH13" s="77"/>
      <c r="BI13" s="77"/>
      <c r="BJ13" s="77"/>
      <c r="BK13" s="77"/>
      <c r="BL13" s="77"/>
      <c r="BM13" s="77"/>
      <c r="BN13" s="77"/>
      <c r="BO13" s="77"/>
      <c r="BP13" s="77"/>
    </row>
    <row r="14" spans="1:83" s="77" customFormat="1">
      <c r="A14" s="148"/>
      <c r="B14" s="196"/>
      <c r="C14"/>
      <c r="D14"/>
      <c r="E14"/>
      <c r="F14"/>
      <c r="G14"/>
      <c r="H14" s="151"/>
      <c r="I14" s="150"/>
      <c r="J14" s="151"/>
      <c r="K14" s="151"/>
      <c r="L14" s="151"/>
      <c r="N14" s="150"/>
      <c r="O14" s="152"/>
      <c r="P14" s="150"/>
      <c r="Q14" s="150"/>
      <c r="R14" s="152"/>
      <c r="S14" s="152"/>
      <c r="T14" s="152"/>
      <c r="U14" s="152"/>
      <c r="V14" s="152"/>
      <c r="W14" s="150"/>
      <c r="X14" s="150"/>
      <c r="Y14" s="150"/>
      <c r="Z14" s="152"/>
      <c r="AA14" s="150"/>
      <c r="AB14" s="150"/>
      <c r="AD14" s="111"/>
      <c r="AE14" s="111"/>
      <c r="AF14" s="146"/>
      <c r="AG14" s="146"/>
      <c r="AH14" s="111"/>
      <c r="AI14" s="111"/>
      <c r="AJ14" s="88"/>
      <c r="AK14" s="111"/>
      <c r="AL14" s="111"/>
      <c r="AM14" s="111"/>
      <c r="AN14" s="111"/>
      <c r="AO14" s="111"/>
      <c r="AP14" s="90"/>
      <c r="AQ14" s="90"/>
      <c r="AT14" s="88"/>
      <c r="AU14" s="105"/>
      <c r="AV14" s="105"/>
      <c r="AW14" s="105"/>
      <c r="AX14" s="153"/>
      <c r="AY14" s="105"/>
      <c r="AZ14" s="249"/>
      <c r="BA14" s="234"/>
      <c r="BB14" s="164"/>
      <c r="BC14" s="229"/>
      <c r="BD14" s="164"/>
      <c r="BE14" s="164"/>
      <c r="BF14" s="85"/>
      <c r="BG14" s="85"/>
      <c r="BH14" s="85"/>
      <c r="BI14" s="111"/>
    </row>
    <row r="15" spans="1:83" s="77" customFormat="1" ht="15" thickBot="1">
      <c r="A15" s="148"/>
      <c r="B15" s="148"/>
      <c r="C15" s="148"/>
      <c r="D15" s="149"/>
      <c r="E15" s="149"/>
      <c r="F15" s="149"/>
      <c r="G15" s="149"/>
      <c r="H15" s="149"/>
      <c r="I15" s="149"/>
      <c r="J15" s="149"/>
      <c r="K15" s="149"/>
      <c r="L15" s="149"/>
      <c r="M15" s="274"/>
      <c r="N15" s="149"/>
      <c r="O15" s="149"/>
      <c r="P15" s="149"/>
      <c r="Q15" s="149"/>
      <c r="R15" s="149"/>
      <c r="S15" s="149"/>
      <c r="T15" s="149"/>
      <c r="U15" s="149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  <c r="AW15" s="149"/>
      <c r="AX15" s="149"/>
      <c r="AY15" s="149"/>
      <c r="AZ15" s="149"/>
      <c r="BA15" s="234"/>
      <c r="BB15" s="164"/>
      <c r="BC15" s="229"/>
      <c r="BD15" s="164"/>
      <c r="BE15" s="164"/>
      <c r="BF15" s="164"/>
      <c r="BG15" s="85"/>
      <c r="BH15" s="85"/>
      <c r="BI15" s="85"/>
      <c r="BJ15" s="111"/>
    </row>
    <row r="16" spans="1:83" s="77" customFormat="1" ht="15" thickBot="1">
      <c r="A16" s="189">
        <f>B16/L16</f>
        <v>34796.725283879998</v>
      </c>
      <c r="B16" s="189">
        <f>B$76+B$67+B$63+B$54+B$46+B$36+B$30+B$25+B$20</f>
        <v>34796.725283879998</v>
      </c>
      <c r="C16" s="190"/>
      <c r="D16" s="190" t="s">
        <v>100</v>
      </c>
      <c r="E16" s="190"/>
      <c r="F16" s="191" t="s">
        <v>103</v>
      </c>
      <c r="G16" s="213" t="s">
        <v>16</v>
      </c>
      <c r="H16" s="192">
        <v>150</v>
      </c>
      <c r="I16" s="193" t="s">
        <v>102</v>
      </c>
      <c r="J16" s="192">
        <v>7500</v>
      </c>
      <c r="K16" s="192">
        <v>1</v>
      </c>
      <c r="L16" s="192">
        <f>$L$11*$K$16</f>
        <v>1</v>
      </c>
      <c r="M16" s="189">
        <f>M$76+M$67+M$63+M$54+M$46+M$36+M$30+M$25+M$20</f>
        <v>709.41356899999994</v>
      </c>
      <c r="N16" s="193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193">
        <v>3</v>
      </c>
      <c r="Z16" s="193"/>
      <c r="AA16" s="193"/>
      <c r="AB16" s="193"/>
      <c r="AC16" s="189">
        <f>AC$76+AC$67+AC$63+AC$54+AC$46+AC$36+AC$30+AC$25+AC$20</f>
        <v>93.482650793650777</v>
      </c>
      <c r="AD16" s="189">
        <f>AD$76+AD$67+AD$63+AD$54+AD$46+AD$36+AD$30+AD$25+AD$20</f>
        <v>17.016839999999995</v>
      </c>
      <c r="AE16" s="189">
        <f>AE$76+AE$67+AE$63+AE$54+AE$46+AE$36+AE$30+AE$25+AE$20</f>
        <v>16.533333333333331</v>
      </c>
      <c r="AF16" s="189">
        <f>AF$76+AF$67+AF$63+AF$54+AF$46+AF$36+AF$30+AF$25+AF$20</f>
        <v>43.26</v>
      </c>
      <c r="AG16" s="189">
        <f>AG$76+AG$67+AG$63+AG$54+AG$46+AG$36+AG$30+AG$25+AG$20</f>
        <v>2.2333333333333334</v>
      </c>
      <c r="AH16" s="137">
        <f>SUM(AC16:AG16)</f>
        <v>172.52615746031742</v>
      </c>
      <c r="AI16" s="137">
        <f>AI$76+AI$67+AI$63+AI$54+AI$46+AI$36+AI$30+AI$25+AI$20</f>
        <v>155.58333333333331</v>
      </c>
      <c r="AJ16" s="189">
        <f>AJ$76+AJ$67+AJ$63+AJ$54+AJ$46+AJ$36+AJ$30+AJ$25+AJ$20</f>
        <v>1327.58</v>
      </c>
      <c r="AK16" s="137">
        <f>AJ16*10/60</f>
        <v>221.26333333333332</v>
      </c>
      <c r="AL16" s="167">
        <f>AH16+AI16+AK16</f>
        <v>549.37282412698403</v>
      </c>
      <c r="AM16" s="209">
        <f>B16/AL16</f>
        <v>63.338999957225688</v>
      </c>
      <c r="AN16" s="194">
        <f>AL16*46</f>
        <v>25271.149909841264</v>
      </c>
      <c r="AO16" s="195">
        <f>AN16/B16</f>
        <v>0.7262508096285839</v>
      </c>
      <c r="AP16" s="195">
        <f>AR16/B16</f>
        <v>0.83030853890331169</v>
      </c>
      <c r="AQ16" s="95"/>
      <c r="AR16" s="195">
        <f>AR$76+AR$67+AR$63+AR$54+AR$46+AR$36+AR$30+AR$25+AR$20</f>
        <v>28892.018129078326</v>
      </c>
      <c r="AS16" s="204">
        <f>$AU$2</f>
        <v>1.05</v>
      </c>
      <c r="AT16" s="161">
        <f>HLOOKUP(G16,$AB$1:$AK$2,2,FALSE)</f>
        <v>13</v>
      </c>
      <c r="AU16" s="202">
        <f>IF(AND(G16="HDG"),B16*AT16,M16*AT16)</f>
        <v>9222.376397</v>
      </c>
      <c r="AV16" s="96">
        <f>B16*pakendus</f>
        <v>1043.9017585163999</v>
      </c>
      <c r="AW16" s="195">
        <f>(AN16+AU16+AV16)</f>
        <v>35537.428065357657</v>
      </c>
      <c r="AX16" s="162">
        <f>$AV$2</f>
        <v>1.05</v>
      </c>
      <c r="AY16" s="138">
        <f>(AR16*AS16)+(AW16*AX16)</f>
        <v>67650.918504157788</v>
      </c>
      <c r="AZ16" s="163">
        <f>ROUND(AY16/B16,3)</f>
        <v>1.944</v>
      </c>
      <c r="BA16" s="234"/>
      <c r="BB16" s="164"/>
      <c r="BC16" s="160">
        <f>B16/20000</f>
        <v>1.7398362641939999</v>
      </c>
      <c r="BD16" s="212"/>
      <c r="BE16" s="212"/>
      <c r="BF16" s="85"/>
      <c r="BG16" s="85"/>
      <c r="BH16" s="85"/>
      <c r="BI16" s="85"/>
      <c r="BJ16" s="111"/>
    </row>
    <row r="17" spans="1:70" s="77" customFormat="1">
      <c r="A17" s="148"/>
      <c r="B17" s="196">
        <f>SUMIF(F20:F212,"leht*",B20:B212)</f>
        <v>61131.656980380001</v>
      </c>
      <c r="C17" s="247">
        <f>(B17-B18)/B16</f>
        <v>1.7568221285667929</v>
      </c>
      <c r="D17" s="197" t="s">
        <v>98</v>
      </c>
      <c r="E17" s="149"/>
      <c r="F17" s="150"/>
      <c r="G17" s="149"/>
      <c r="H17" s="151"/>
      <c r="I17" s="150"/>
      <c r="J17" s="151"/>
      <c r="K17" s="151"/>
      <c r="L17" s="151"/>
      <c r="M17" s="144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D17" s="111"/>
      <c r="AE17" s="111"/>
      <c r="AF17" s="146"/>
      <c r="AG17" s="146"/>
      <c r="AH17" s="111"/>
      <c r="AI17" s="111"/>
      <c r="AJ17" s="111"/>
      <c r="AK17" s="111"/>
      <c r="AL17" s="111"/>
      <c r="AM17" s="88"/>
      <c r="AN17" s="94"/>
      <c r="AO17" s="89"/>
      <c r="AP17" s="90"/>
      <c r="AQ17" s="90"/>
      <c r="AT17" s="88"/>
      <c r="AU17" s="105"/>
      <c r="AV17" s="105"/>
      <c r="AW17" s="105"/>
      <c r="AX17" s="153"/>
      <c r="AY17" s="105"/>
      <c r="AZ17" s="105"/>
      <c r="BA17" s="234"/>
      <c r="BB17" s="164"/>
      <c r="BC17" s="229"/>
      <c r="BD17" s="164"/>
      <c r="BE17" s="164"/>
      <c r="BF17" s="164"/>
      <c r="BG17" s="85"/>
      <c r="BH17" s="85"/>
      <c r="BI17" s="85"/>
      <c r="BJ17" s="85"/>
      <c r="BK17" s="85"/>
      <c r="BL17" s="111"/>
      <c r="BM17" s="139"/>
      <c r="BO17" s="85"/>
      <c r="BP17" s="88"/>
    </row>
    <row r="18" spans="1:70" s="77" customFormat="1">
      <c r="A18" s="148"/>
      <c r="B18" s="196"/>
      <c r="C18"/>
      <c r="D18"/>
      <c r="E18" s="149"/>
      <c r="F18" s="150"/>
      <c r="G18" s="149"/>
      <c r="H18" s="151"/>
      <c r="I18" s="150"/>
      <c r="J18" s="151"/>
      <c r="K18" s="151"/>
      <c r="L18" s="151"/>
      <c r="M18" s="144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D18" s="111"/>
      <c r="AE18" s="111"/>
      <c r="AF18" s="146"/>
      <c r="AG18" s="146"/>
      <c r="AH18" s="111"/>
      <c r="AI18" s="111"/>
      <c r="AJ18" s="111"/>
      <c r="AK18" s="111"/>
      <c r="AL18" s="111"/>
      <c r="AM18" s="88"/>
      <c r="AN18" s="94"/>
      <c r="AO18" s="89"/>
      <c r="AP18" s="90"/>
      <c r="AQ18" s="90"/>
      <c r="AT18" s="88"/>
      <c r="AU18" s="105"/>
      <c r="AV18" s="105"/>
      <c r="AW18" s="105"/>
      <c r="AX18" s="153"/>
      <c r="AY18" s="105"/>
      <c r="AZ18" s="105"/>
      <c r="BA18" s="234"/>
      <c r="BB18" s="164"/>
      <c r="BC18" s="229"/>
      <c r="BD18" s="164"/>
      <c r="BE18" s="164"/>
      <c r="BF18" s="164"/>
      <c r="BG18" s="85"/>
      <c r="BH18" s="85"/>
      <c r="BI18" s="85"/>
      <c r="BJ18" s="85"/>
      <c r="BK18" s="85"/>
      <c r="BL18" s="111"/>
      <c r="BM18" s="139"/>
      <c r="BO18" s="85"/>
      <c r="BP18" s="88"/>
    </row>
    <row r="19" spans="1:70" s="77" customFormat="1">
      <c r="A19" s="148"/>
      <c r="B19" s="148"/>
      <c r="C19" s="150"/>
      <c r="D19" s="149"/>
      <c r="E19" s="149"/>
      <c r="F19" s="261"/>
      <c r="G19" s="149"/>
      <c r="H19" s="151"/>
      <c r="I19" s="150"/>
      <c r="J19" s="151"/>
      <c r="K19" s="151"/>
      <c r="L19" s="151"/>
      <c r="M19" s="148"/>
      <c r="N19" s="150"/>
      <c r="P19" s="150"/>
      <c r="Q19" s="211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70"/>
      <c r="AD19" s="170"/>
      <c r="AE19" s="170"/>
      <c r="AF19" s="170"/>
      <c r="AG19" s="170"/>
      <c r="AH19" s="170"/>
      <c r="AI19" s="165"/>
      <c r="AJ19" s="88"/>
      <c r="AN19" s="94"/>
      <c r="AP19" s="180"/>
      <c r="AR19" s="172"/>
      <c r="AT19" s="90"/>
      <c r="AU19" s="90"/>
      <c r="AV19" s="90"/>
      <c r="AW19" s="90"/>
      <c r="AX19" s="90"/>
      <c r="AY19" s="90"/>
      <c r="AZ19" s="90"/>
      <c r="BA19" s="236"/>
      <c r="BB19" s="164"/>
      <c r="BC19" s="229"/>
      <c r="BD19" s="164"/>
      <c r="BE19" s="164"/>
      <c r="BF19" s="85"/>
      <c r="BG19" s="85"/>
      <c r="BH19" s="85"/>
      <c r="BI19" s="85"/>
      <c r="BJ19" s="85"/>
      <c r="BK19" s="139"/>
      <c r="BL19" s="139"/>
      <c r="BM19" s="139"/>
      <c r="BN19" s="111"/>
      <c r="BP19" s="111"/>
      <c r="BQ19" s="111"/>
    </row>
    <row r="20" spans="1:70" s="77" customFormat="1">
      <c r="A20" s="182">
        <f>B20/L20</f>
        <v>71.57068000000001</v>
      </c>
      <c r="B20" s="182">
        <f>SUM(B23,B22,B21,0)</f>
        <v>1001.9895200000001</v>
      </c>
      <c r="C20" s="187"/>
      <c r="D20" s="183" t="s">
        <v>100</v>
      </c>
      <c r="E20" s="183"/>
      <c r="F20" s="184" t="str">
        <f>"Post "&amp;F21</f>
        <v>Post CFRHS100x100x6</v>
      </c>
      <c r="G20" s="166"/>
      <c r="H20" s="185">
        <v>160</v>
      </c>
      <c r="I20" s="186" t="s">
        <v>102</v>
      </c>
      <c r="J20" s="185">
        <f>J21</f>
        <v>2527</v>
      </c>
      <c r="K20" s="168">
        <v>14</v>
      </c>
      <c r="L20" s="185">
        <f>$L$16*$K$20</f>
        <v>14</v>
      </c>
      <c r="M20" s="182">
        <f>SUM(M23,M22,M21,0)</f>
        <v>19.630982000000003</v>
      </c>
      <c r="N20" s="186"/>
      <c r="O20" s="186"/>
      <c r="P20" s="186"/>
      <c r="Q20" s="186"/>
      <c r="R20" s="152"/>
      <c r="S20" s="152"/>
      <c r="T20" s="152"/>
      <c r="U20" s="152"/>
      <c r="V20" s="152"/>
      <c r="W20" s="150"/>
      <c r="X20" s="150" t="s">
        <v>104</v>
      </c>
      <c r="Y20" s="186">
        <v>4</v>
      </c>
      <c r="Z20" s="186"/>
      <c r="AA20" s="186"/>
      <c r="AB20" s="186"/>
      <c r="AC20" s="182">
        <f>SUM(AC23,AC22,AC21,0)</f>
        <v>6.1561111111111106</v>
      </c>
      <c r="AD20" s="182">
        <f>SUM(AD23,AD22,AD21,0)</f>
        <v>0.79833600000000005</v>
      </c>
      <c r="AE20" s="182">
        <f>SUM(AE23,AE22,AE21,0)</f>
        <v>2.333333333333333</v>
      </c>
      <c r="AF20" s="182">
        <f>SUM(AF23,AF22,AF21,0)</f>
        <v>0</v>
      </c>
      <c r="AG20" s="182">
        <f>SUM(AG23,AG22,AG21,0)</f>
        <v>0.93333333333333335</v>
      </c>
      <c r="AH20" s="137">
        <f>SUM(AC20:AG20)</f>
        <v>10.221113777777777</v>
      </c>
      <c r="AI20" s="137">
        <f>SUM(AI23,AI22,AI21,0)</f>
        <v>16.100000000000001</v>
      </c>
      <c r="AJ20" s="182">
        <f>SUM(AJ23,AJ22,AJ21,0)</f>
        <v>26.88</v>
      </c>
      <c r="AK20" s="137">
        <f>AJ20*10/60</f>
        <v>4.4800000000000004</v>
      </c>
      <c r="AL20" s="182">
        <f>AH20+AI20+AK20</f>
        <v>30.801113777777779</v>
      </c>
      <c r="AM20" s="182">
        <f>B20/AL20</f>
        <v>32.530950900967419</v>
      </c>
      <c r="AN20" s="182">
        <f>AL20*46</f>
        <v>1416.8512337777779</v>
      </c>
      <c r="AO20" s="182">
        <f>AN20/B20</f>
        <v>1.4140379769418923</v>
      </c>
      <c r="AP20" s="182">
        <f>AR20/B20</f>
        <v>0.79179142240928835</v>
      </c>
      <c r="AQ20" s="95"/>
      <c r="AR20" s="182">
        <f>SUM(AR23,AR22,AR21,0)</f>
        <v>793.36670728000013</v>
      </c>
      <c r="AT20" s="82"/>
      <c r="AU20" s="82"/>
      <c r="AV20" s="82"/>
      <c r="AW20" s="82"/>
      <c r="AX20" s="93"/>
      <c r="AY20" s="82"/>
      <c r="AZ20" s="82"/>
      <c r="BA20" s="234"/>
      <c r="BB20" s="164"/>
      <c r="BC20" s="229"/>
      <c r="BD20" s="85"/>
      <c r="BE20" s="85"/>
      <c r="BF20" s="85"/>
      <c r="BG20" s="85"/>
      <c r="BH20" s="85"/>
      <c r="BI20" s="85"/>
      <c r="BJ20" s="88"/>
    </row>
    <row r="21" spans="1:70" s="77" customFormat="1">
      <c r="A21" s="148">
        <f xml:space="preserve"> 17*J21/10^3</f>
        <v>42.959000000000003</v>
      </c>
      <c r="B21" s="148">
        <f>A21*L21</f>
        <v>601.42600000000004</v>
      </c>
      <c r="C21" s="173" t="s">
        <v>105</v>
      </c>
      <c r="D21" s="149" t="s">
        <v>100</v>
      </c>
      <c r="E21" s="149"/>
      <c r="F21" s="150" t="s">
        <v>106</v>
      </c>
      <c r="G21" s="174" t="s">
        <v>107</v>
      </c>
      <c r="H21" s="151">
        <v>100</v>
      </c>
      <c r="I21" s="150" t="s">
        <v>102</v>
      </c>
      <c r="J21" s="151">
        <v>2527</v>
      </c>
      <c r="K21" s="77">
        <v>1</v>
      </c>
      <c r="L21" s="151">
        <f>K$21*L$20</f>
        <v>14</v>
      </c>
      <c r="M21" s="164">
        <f xml:space="preserve"> 0.379*J21*L21/10^3</f>
        <v>13.408262000000001</v>
      </c>
      <c r="N21" s="150"/>
      <c r="O21" s="150"/>
      <c r="P21" s="150" t="s">
        <v>104</v>
      </c>
      <c r="Q21" s="169">
        <v>8</v>
      </c>
      <c r="R21" s="150"/>
      <c r="S21" s="150"/>
      <c r="T21" s="150"/>
      <c r="U21" s="150"/>
      <c r="V21" s="150"/>
      <c r="W21" s="150"/>
      <c r="Y21" s="150"/>
      <c r="Z21" s="150"/>
      <c r="AA21" s="150"/>
      <c r="AB21" s="150" t="s">
        <v>104</v>
      </c>
      <c r="AC21" s="148"/>
      <c r="AD21" s="111"/>
      <c r="AE21" s="170">
        <f>(H21/20/60)*2*L21</f>
        <v>2.333333333333333</v>
      </c>
      <c r="AF21" s="171"/>
      <c r="AG21" s="165">
        <f>Q21*L21*0.5/60</f>
        <v>0.93333333333333335</v>
      </c>
      <c r="AH21" s="111"/>
      <c r="AI21" s="165">
        <f>AL21*L21/60</f>
        <v>1.1666666666666667</v>
      </c>
      <c r="AJ21" s="98">
        <f>(H21*4*AK21)*2*L21/1000</f>
        <v>11.2</v>
      </c>
      <c r="AK21" s="77">
        <f>(VLOOKUP(F21,[1]Koostamine!$A$12:$E$1603,3,FALSE))</f>
        <v>1</v>
      </c>
      <c r="AL21" s="97">
        <f>VLOOKUP(F21,[1]Koostamine!$A$12:$K$1603,IF(J21&lt;1499,6,IF(J21&lt;2999,7,IF(J21&lt;5999,8,IF(J21&lt;9999,9,IF(J21&lt;12999,10,IF(J21&gt;13000,11)))))),FALSE)</f>
        <v>5</v>
      </c>
      <c r="AP21" s="180">
        <f>(VLOOKUP(F21,Terasehind!$A$2:$B$157,2,FALSE))</f>
        <v>0.74</v>
      </c>
      <c r="AQ21" s="77">
        <f>(VLOOKUP(F21,Terasehind!$A$2:$C$157,3,FALSE))</f>
        <v>1.05</v>
      </c>
      <c r="AR21" s="172">
        <f>AP21*AQ21*B21</f>
        <v>467.30800200000004</v>
      </c>
      <c r="AT21" s="90"/>
      <c r="AU21" s="90"/>
      <c r="AV21" s="90"/>
      <c r="AW21" s="90"/>
      <c r="AX21" s="90"/>
      <c r="AY21" s="90"/>
      <c r="AZ21" s="90"/>
      <c r="BA21" s="236"/>
      <c r="BB21" s="164"/>
      <c r="BC21" s="229"/>
      <c r="BD21" s="164"/>
      <c r="BE21" s="164"/>
      <c r="BF21" s="85"/>
      <c r="BG21" s="85"/>
      <c r="BH21" s="85"/>
      <c r="BI21" s="85"/>
      <c r="BJ21" s="85"/>
      <c r="BK21" s="88"/>
      <c r="BL21" s="85"/>
      <c r="BM21" s="88"/>
      <c r="BN21" s="111"/>
      <c r="BP21" s="139"/>
    </row>
    <row r="22" spans="1:70" s="77" customFormat="1">
      <c r="A22" s="148">
        <f t="shared" ref="A22:A23" si="0">H22*J22*(RIGHT(F22,2))*7.85/(10^6)</f>
        <v>3.14</v>
      </c>
      <c r="B22" s="148">
        <f t="shared" ref="B22:B23" si="1">A22*L22</f>
        <v>87.92</v>
      </c>
      <c r="C22" s="150" t="s">
        <v>108</v>
      </c>
      <c r="D22" s="149" t="s">
        <v>109</v>
      </c>
      <c r="E22" s="149"/>
      <c r="F22" s="150" t="s">
        <v>110</v>
      </c>
      <c r="G22" s="149" t="s">
        <v>111</v>
      </c>
      <c r="H22" s="151">
        <v>200</v>
      </c>
      <c r="I22" s="150" t="s">
        <v>102</v>
      </c>
      <c r="J22" s="151">
        <v>200</v>
      </c>
      <c r="K22" s="151">
        <v>2</v>
      </c>
      <c r="L22" s="151">
        <f>K$22*L$20</f>
        <v>28</v>
      </c>
      <c r="M22" s="148">
        <f t="shared" ref="M22:M23" si="2">2*H22*J22/10^6*L22</f>
        <v>2.2400000000000002</v>
      </c>
      <c r="N22" s="150" t="s">
        <v>112</v>
      </c>
      <c r="P22" s="150"/>
      <c r="Q22" s="169">
        <v>4</v>
      </c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 t="s">
        <v>104</v>
      </c>
      <c r="AC22" s="170">
        <f>((((H22+J22)*2/1000)*L22*(5/(VLOOKUP(F22,[1]Plasmalõikus!$A$7:$E$46,2,FALSE)/1000*60)))+(Q22*L22*(5*(VLOOKUP(F22,[1]Plasmalõikus!$A$7:$E$48,3,FALSE))/60/60)))</f>
        <v>1.9911111111111111</v>
      </c>
      <c r="AD22" s="170">
        <f t="shared" ref="AD22:AD23" si="3">0.012*((H22+J22)*2/1000*L22)</f>
        <v>0.26880000000000004</v>
      </c>
      <c r="AE22" s="170"/>
      <c r="AF22" s="171"/>
      <c r="AG22" s="171">
        <f t="shared" ref="AG22:AG23" si="4">IF(VALUE(MID(F22,SEARCH(" ",F22)+1,LEN(F22)))&lt;35,0,IF(VALUE(MID(F22,SEARCH(" ",F22)+1,LEN(F22)))&lt;40,3,IF(VALUE(MID(F22,SEARCH(" ",F22)+1,LEN(F22)))&lt;50,4,IF(VALUE(MID(F22,SEARCH(" ",F22)+1,LEN(F22)))&lt;60,5,IF(VALUE(MID(F22,SEARCH(" ",F22)+1,LEN(F22)))&lt;70,6,IF(VALUE(MID(F22,SEARCH(" ",F22)+1,LEN(F22)))&lt;80,7,IF(VALUE(MID(F22,SEARCH(" ",F22)+1,LEN(F22)))&lt;90,8,IF(VALUE(MID(F22,SEARCH(" ",F22)+1,LEN(F22)))&lt;100,9,10))))))))/60*Q22*L22</f>
        <v>0</v>
      </c>
      <c r="AH22" s="170"/>
      <c r="AI22" s="165">
        <f t="shared" ref="AI22:AI23" si="5">AL22*L22/60</f>
        <v>0.93333333333333335</v>
      </c>
      <c r="AJ22" s="98"/>
      <c r="AK22" s="77">
        <v>6</v>
      </c>
      <c r="AL22" s="201" t="str">
        <f t="shared" ref="AL22" si="6">IF(A22&gt;40,"30",IF(A22&gt;10,"10",IF(A22&gt;20,"20","2")))</f>
        <v>2</v>
      </c>
      <c r="AN22" s="94"/>
      <c r="AP22" s="180">
        <f>(VLOOKUP(F22,Terasehind!$A$2:$B$157,2,FALSE))</f>
        <v>0.74</v>
      </c>
      <c r="AQ22" s="77">
        <v>1.1000000000000001</v>
      </c>
      <c r="AR22" s="172">
        <f t="shared" ref="AR22:AR23" si="7">AP22*AQ22*B22</f>
        <v>71.566880000000012</v>
      </c>
      <c r="AT22" s="90"/>
      <c r="AU22" s="90"/>
      <c r="AV22" s="90"/>
      <c r="AW22" s="90"/>
      <c r="AX22" s="90"/>
      <c r="AY22" s="90"/>
      <c r="AZ22" s="90"/>
      <c r="BA22" s="236"/>
      <c r="BB22" s="164"/>
      <c r="BC22" s="229"/>
      <c r="BD22" s="164"/>
      <c r="BE22" s="164"/>
      <c r="BF22" s="164"/>
      <c r="BG22" s="85"/>
      <c r="BH22" s="85"/>
      <c r="BI22" s="85"/>
      <c r="BJ22" s="85"/>
      <c r="BK22" s="85"/>
      <c r="BL22" s="139"/>
      <c r="BM22" s="139"/>
      <c r="BN22" s="139"/>
      <c r="BO22" s="111"/>
      <c r="BQ22" s="111"/>
      <c r="BR22" s="111"/>
    </row>
    <row r="23" spans="1:70" s="77" customFormat="1" ht="16.5" customHeight="1">
      <c r="A23" s="148">
        <f t="shared" si="0"/>
        <v>5.5829199999999997</v>
      </c>
      <c r="B23" s="148">
        <f t="shared" si="1"/>
        <v>312.64351999999997</v>
      </c>
      <c r="C23" s="150" t="s">
        <v>113</v>
      </c>
      <c r="D23" s="149" t="s">
        <v>114</v>
      </c>
      <c r="E23" s="149"/>
      <c r="F23" s="150" t="s">
        <v>115</v>
      </c>
      <c r="G23" s="149" t="s">
        <v>111</v>
      </c>
      <c r="H23" s="151">
        <v>254</v>
      </c>
      <c r="I23" s="150" t="s">
        <v>102</v>
      </c>
      <c r="J23" s="151">
        <f>H21+20*2</f>
        <v>140</v>
      </c>
      <c r="K23" s="151">
        <v>4</v>
      </c>
      <c r="L23" s="151">
        <f>K$23*L$20</f>
        <v>56</v>
      </c>
      <c r="M23" s="148">
        <f t="shared" si="2"/>
        <v>3.98272</v>
      </c>
      <c r="N23" s="150" t="s">
        <v>112</v>
      </c>
      <c r="P23" s="150"/>
      <c r="Q23" s="175">
        <v>2</v>
      </c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 t="s">
        <v>104</v>
      </c>
      <c r="AC23" s="170">
        <f>((((H23+J23)*2/1000)*L23*(5/(VLOOKUP(F23,[1]Plasmalõikus!$A$7:$E$46,2,FALSE)/1000*60)))+(Q23*L23*(5*(VLOOKUP(F23,[1]Plasmalõikus!$A$7:$E$48,3,FALSE))/60/60)))</f>
        <v>4.165</v>
      </c>
      <c r="AD23" s="170">
        <f t="shared" si="3"/>
        <v>0.52953600000000001</v>
      </c>
      <c r="AE23" s="170"/>
      <c r="AF23" s="171"/>
      <c r="AG23" s="171">
        <f t="shared" si="4"/>
        <v>0</v>
      </c>
      <c r="AH23" s="170"/>
      <c r="AI23" s="165">
        <f t="shared" si="5"/>
        <v>14</v>
      </c>
      <c r="AJ23" s="98">
        <f>(J23*2*AK23)*1*L23/1000</f>
        <v>15.68</v>
      </c>
      <c r="AK23" s="77">
        <v>1</v>
      </c>
      <c r="AL23" s="201" t="str">
        <f>IF(AND(Q23&gt;0,A23&lt;3),"10",IF(AND(Q23&gt;0,A23&lt;10),"15",IF(AND(Q23&gt;0,A23&lt;20),"20",IF(AND(Q23&gt;0,A23&lt;500),"30",IF(AND(Q23=0,A23&lt;3),"2",IF(AND(Q23=0,A23&lt;10),"5",IF(AND(Q23=0,A23&lt;20),"10",IF(AND(Q23=0,A23&lt;500),"20","2"))))))))</f>
        <v>15</v>
      </c>
      <c r="AN23" s="94"/>
      <c r="AP23" s="180">
        <f>(VLOOKUP(F23,Terasehind!$A$2:$B$157,2,FALSE))</f>
        <v>0.74</v>
      </c>
      <c r="AQ23" s="77">
        <v>1.1000000000000001</v>
      </c>
      <c r="AR23" s="172">
        <f t="shared" si="7"/>
        <v>254.49182528</v>
      </c>
      <c r="AT23" s="90"/>
      <c r="AU23" s="90"/>
      <c r="AV23" s="90"/>
      <c r="AW23" s="90"/>
      <c r="AX23" s="90"/>
      <c r="AY23" s="90"/>
      <c r="AZ23" s="90"/>
      <c r="BA23" s="230"/>
      <c r="BB23" s="139"/>
      <c r="BC23" s="230"/>
      <c r="BD23" s="85"/>
      <c r="BE23" s="85"/>
      <c r="BF23" s="85"/>
      <c r="BG23" s="85"/>
      <c r="BH23" s="85"/>
      <c r="BK23" s="85"/>
      <c r="BL23" s="85"/>
      <c r="BN23" s="139"/>
      <c r="BO23" s="111"/>
      <c r="BQ23" s="111"/>
      <c r="BR23" s="111"/>
    </row>
    <row r="24" spans="1:70" s="77" customFormat="1">
      <c r="A24" s="148"/>
      <c r="B24" s="148"/>
      <c r="C24" s="150"/>
      <c r="D24" s="149"/>
      <c r="E24" s="149"/>
      <c r="F24" s="150"/>
      <c r="G24" s="149"/>
      <c r="H24" s="151"/>
      <c r="I24" s="150"/>
      <c r="J24" s="151"/>
      <c r="K24" s="151"/>
      <c r="L24" s="151"/>
      <c r="M24" s="148"/>
      <c r="N24" s="150"/>
      <c r="P24" s="150"/>
      <c r="Q24" s="211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70"/>
      <c r="AD24" s="170"/>
      <c r="AE24" s="170"/>
      <c r="AF24" s="170"/>
      <c r="AG24" s="170"/>
      <c r="AH24" s="170"/>
      <c r="AI24" s="165"/>
      <c r="AJ24" s="88"/>
      <c r="AN24" s="94"/>
      <c r="AP24" s="180"/>
      <c r="AR24" s="172"/>
      <c r="AT24" s="90"/>
      <c r="AU24" s="90"/>
      <c r="AV24" s="90"/>
      <c r="AW24" s="90"/>
      <c r="AX24" s="90"/>
      <c r="AY24" s="90"/>
      <c r="AZ24" s="90"/>
      <c r="BA24" s="236"/>
      <c r="BB24" s="164"/>
      <c r="BC24" s="229"/>
      <c r="BD24" s="164"/>
      <c r="BE24" s="164"/>
      <c r="BF24" s="85"/>
      <c r="BG24" s="85"/>
      <c r="BH24" s="85"/>
      <c r="BI24" s="85"/>
      <c r="BJ24" s="85"/>
      <c r="BK24" s="139"/>
      <c r="BL24" s="139"/>
      <c r="BM24" s="139"/>
      <c r="BN24" s="111"/>
      <c r="BP24" s="111"/>
      <c r="BQ24" s="111"/>
    </row>
    <row r="25" spans="1:70" s="77" customFormat="1">
      <c r="A25" s="182">
        <f>B25/L25</f>
        <v>97.091300000000004</v>
      </c>
      <c r="B25" s="182">
        <f>SUM(B28,B27,B26,0)</f>
        <v>97.091300000000004</v>
      </c>
      <c r="C25" s="187"/>
      <c r="D25" s="183" t="s">
        <v>100</v>
      </c>
      <c r="E25" s="183"/>
      <c r="F25" s="184" t="str">
        <f>"Post "&amp;F26</f>
        <v>Post CFRHS150x100x6</v>
      </c>
      <c r="G25" s="166"/>
      <c r="H25" s="185">
        <v>160</v>
      </c>
      <c r="I25" s="186" t="s">
        <v>102</v>
      </c>
      <c r="J25" s="185">
        <f>J26</f>
        <v>3075</v>
      </c>
      <c r="K25" s="168">
        <v>1</v>
      </c>
      <c r="L25" s="185">
        <f>$L$16*$K$25</f>
        <v>1</v>
      </c>
      <c r="M25" s="182">
        <f>SUM(M28,M27,M26,0)</f>
        <v>1.9053249999999999</v>
      </c>
      <c r="N25" s="186"/>
      <c r="O25" s="186"/>
      <c r="P25" s="186"/>
      <c r="Q25" s="186"/>
      <c r="R25" s="152"/>
      <c r="S25" s="152"/>
      <c r="T25" s="152"/>
      <c r="U25" s="152"/>
      <c r="V25" s="152"/>
      <c r="W25" s="150"/>
      <c r="X25" s="150" t="s">
        <v>104</v>
      </c>
      <c r="Y25" s="186">
        <v>4</v>
      </c>
      <c r="Z25" s="186"/>
      <c r="AA25" s="186"/>
      <c r="AB25" s="186"/>
      <c r="AC25" s="182">
        <f>SUM(AC28,AC27,AC26,0)</f>
        <v>0.39490740740740737</v>
      </c>
      <c r="AD25" s="182">
        <f>SUM(AD28,AD27,AD26,0)</f>
        <v>3.8879999999999998E-2</v>
      </c>
      <c r="AE25" s="182">
        <f>SUM(AE28,AE27,AE26,0)</f>
        <v>0.25</v>
      </c>
      <c r="AF25" s="182">
        <f>SUM(AF28,AF27,AF26,0)</f>
        <v>0.32</v>
      </c>
      <c r="AG25" s="182">
        <f>SUM(AG28,AG27,AG26,0)</f>
        <v>3.3333333333333333E-2</v>
      </c>
      <c r="AH25" s="137">
        <f>SUM(AC25:AG25)</f>
        <v>1.0371207407407408</v>
      </c>
      <c r="AI25" s="137">
        <f>SUM(AI28,AI27,AI26,0)</f>
        <v>0.73333333333333328</v>
      </c>
      <c r="AJ25" s="182">
        <f>SUM(AJ28,AJ27,AJ26,0)</f>
        <v>3.36</v>
      </c>
      <c r="AK25" s="137">
        <f>AJ25*10/60</f>
        <v>0.56000000000000005</v>
      </c>
      <c r="AL25" s="182">
        <f>AH25+AI25+AK25</f>
        <v>2.330454074074074</v>
      </c>
      <c r="AM25" s="182">
        <f>B25/AL25</f>
        <v>41.661966687146965</v>
      </c>
      <c r="AN25" s="182">
        <f>AL25*46</f>
        <v>107.20088740740741</v>
      </c>
      <c r="AO25" s="182">
        <f>AN25/B25</f>
        <v>1.1041245447059356</v>
      </c>
      <c r="AP25" s="182">
        <f>AR25/B25</f>
        <v>0.81400000000000017</v>
      </c>
      <c r="AQ25" s="95"/>
      <c r="AR25" s="182">
        <f>SUM(AR28,AR27,AR26,0)</f>
        <v>79.03231820000002</v>
      </c>
      <c r="AT25" s="82"/>
      <c r="AU25" s="82"/>
      <c r="AV25" s="82"/>
      <c r="AW25" s="82"/>
      <c r="AX25" s="93"/>
      <c r="AY25" s="82"/>
      <c r="AZ25" s="82"/>
      <c r="BA25" s="234"/>
      <c r="BB25" s="164"/>
      <c r="BC25" s="229"/>
      <c r="BD25" s="85"/>
      <c r="BE25" s="85"/>
      <c r="BF25" s="85"/>
      <c r="BG25" s="85"/>
      <c r="BH25" s="85"/>
      <c r="BI25" s="85"/>
      <c r="BJ25" s="88"/>
    </row>
    <row r="26" spans="1:70" s="77" customFormat="1">
      <c r="A26" s="148">
        <f xml:space="preserve"> 21.7*J26/10^3</f>
        <v>66.727500000000006</v>
      </c>
      <c r="B26" s="148">
        <f>A26*L26</f>
        <v>66.727500000000006</v>
      </c>
      <c r="C26" s="173" t="s">
        <v>105</v>
      </c>
      <c r="D26" s="149" t="s">
        <v>100</v>
      </c>
      <c r="E26" s="149"/>
      <c r="F26" s="150" t="s">
        <v>116</v>
      </c>
      <c r="G26" s="174" t="s">
        <v>107</v>
      </c>
      <c r="H26" s="151">
        <v>150</v>
      </c>
      <c r="I26" s="150" t="s">
        <v>102</v>
      </c>
      <c r="J26" s="151">
        <v>3075</v>
      </c>
      <c r="K26" s="77">
        <v>1</v>
      </c>
      <c r="L26" s="151">
        <f>K$26*L$25</f>
        <v>1</v>
      </c>
      <c r="M26" s="164">
        <f xml:space="preserve"> 0.479*J26*L26/10^3</f>
        <v>1.472925</v>
      </c>
      <c r="N26" s="150"/>
      <c r="O26" s="150"/>
      <c r="P26" s="150" t="s">
        <v>104</v>
      </c>
      <c r="Q26" s="169">
        <v>4</v>
      </c>
      <c r="R26" s="150"/>
      <c r="S26" s="150"/>
      <c r="T26" s="150"/>
      <c r="U26" s="150"/>
      <c r="V26" s="150"/>
      <c r="W26" s="150"/>
      <c r="Y26" s="150"/>
      <c r="Z26" s="150"/>
      <c r="AA26" s="150"/>
      <c r="AB26" s="150" t="s">
        <v>104</v>
      </c>
      <c r="AC26" s="148"/>
      <c r="AD26" s="111"/>
      <c r="AE26" s="170">
        <f>(H26/20/60)*2*L26</f>
        <v>0.25</v>
      </c>
      <c r="AF26" s="171">
        <f>(H28*4)*20/60/1000*L26</f>
        <v>0.32</v>
      </c>
      <c r="AG26" s="165">
        <f>Q26*L26*0.5/60</f>
        <v>3.3333333333333333E-2</v>
      </c>
      <c r="AH26" s="111"/>
      <c r="AI26" s="165">
        <f>AL26*L26/60</f>
        <v>0.33333333333333331</v>
      </c>
      <c r="AJ26" s="98">
        <f>(H26*4*AK26)*2*L26/1000</f>
        <v>2.4</v>
      </c>
      <c r="AK26" s="77">
        <f>(VLOOKUP(F26,[1]Koostamine!$A$12:$E$1603,3,FALSE))</f>
        <v>2</v>
      </c>
      <c r="AL26" s="97">
        <f>VLOOKUP(F26,[1]Koostamine!$A$12:$K$1603,IF(J26&lt;1499,6,IF(J26&lt;2999,7,IF(J26&lt;5999,8,IF(J26&lt;9999,9,IF(J26&lt;12999,10,IF(J26&gt;13000,11)))))),FALSE)</f>
        <v>20</v>
      </c>
      <c r="AP26" s="180">
        <f>(VLOOKUP(F26,Terasehind!$A$2:$B$157,2,FALSE))</f>
        <v>0.74</v>
      </c>
      <c r="AQ26" s="77">
        <f>(VLOOKUP(F26,Terasehind!$A$2:$C$157,3,FALSE))</f>
        <v>1.1000000000000001</v>
      </c>
      <c r="AR26" s="172">
        <f>AP26*AQ26*B26</f>
        <v>54.316185000000011</v>
      </c>
      <c r="AT26" s="90"/>
      <c r="AU26" s="90"/>
      <c r="AV26" s="90"/>
      <c r="AW26" s="90"/>
      <c r="AX26" s="90"/>
      <c r="AY26" s="90"/>
      <c r="AZ26" s="90"/>
      <c r="BA26" s="236"/>
      <c r="BB26" s="164"/>
      <c r="BC26" s="229"/>
      <c r="BD26" s="164"/>
      <c r="BE26" s="164"/>
      <c r="BF26" s="85"/>
      <c r="BG26" s="85"/>
      <c r="BH26" s="85"/>
      <c r="BI26" s="85"/>
      <c r="BJ26" s="85"/>
      <c r="BK26" s="88"/>
      <c r="BL26" s="85"/>
      <c r="BM26" s="88"/>
      <c r="BN26" s="111"/>
      <c r="BP26" s="139"/>
    </row>
    <row r="27" spans="1:70" s="77" customFormat="1">
      <c r="A27" s="148">
        <f t="shared" ref="A27:A28" si="8">H27*J27*(RIGHT(F27,2))*7.85/(10^6)</f>
        <v>9.8125</v>
      </c>
      <c r="B27" s="148">
        <f t="shared" ref="B27:B28" si="9">A27*L27</f>
        <v>19.625</v>
      </c>
      <c r="C27" s="150" t="s">
        <v>108</v>
      </c>
      <c r="D27" s="149" t="s">
        <v>109</v>
      </c>
      <c r="E27" s="149"/>
      <c r="F27" s="150" t="s">
        <v>115</v>
      </c>
      <c r="G27" s="149" t="s">
        <v>111</v>
      </c>
      <c r="H27" s="151">
        <v>250</v>
      </c>
      <c r="I27" s="150" t="s">
        <v>102</v>
      </c>
      <c r="J27" s="151">
        <v>250</v>
      </c>
      <c r="K27" s="151">
        <v>2</v>
      </c>
      <c r="L27" s="151">
        <f>K$27*L$25</f>
        <v>2</v>
      </c>
      <c r="M27" s="148">
        <f t="shared" ref="M27:M28" si="10">2*H27*J27/10^6*L27</f>
        <v>0.25</v>
      </c>
      <c r="N27" s="150" t="s">
        <v>112</v>
      </c>
      <c r="P27" s="150"/>
      <c r="Q27" s="169">
        <v>4</v>
      </c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 t="s">
        <v>104</v>
      </c>
      <c r="AC27" s="170">
        <f>((((H27+J27)*2/1000)*L27*(5/(VLOOKUP(F27,[1]Plasmalõikus!$A$7:$E$46,2,FALSE)/1000*60)))+(Q27*L27*(5*(VLOOKUP(F27,[1]Plasmalõikus!$A$7:$E$48,3,FALSE))/60/60)))</f>
        <v>0.23749999999999999</v>
      </c>
      <c r="AD27" s="170">
        <f t="shared" ref="AD27:AD28" si="11">0.012*((H27+J27)*2/1000*L27)</f>
        <v>2.4E-2</v>
      </c>
      <c r="AE27" s="170"/>
      <c r="AF27" s="171"/>
      <c r="AG27" s="171">
        <f t="shared" ref="AG27:AG28" si="12">IF(VALUE(MID(F27,SEARCH(" ",F27)+1,LEN(F27)))&lt;35,0,IF(VALUE(MID(F27,SEARCH(" ",F27)+1,LEN(F27)))&lt;40,3,IF(VALUE(MID(F27,SEARCH(" ",F27)+1,LEN(F27)))&lt;50,4,IF(VALUE(MID(F27,SEARCH(" ",F27)+1,LEN(F27)))&lt;60,5,IF(VALUE(MID(F27,SEARCH(" ",F27)+1,LEN(F27)))&lt;70,6,IF(VALUE(MID(F27,SEARCH(" ",F27)+1,LEN(F27)))&lt;80,7,IF(VALUE(MID(F27,SEARCH(" ",F27)+1,LEN(F27)))&lt;90,8,IF(VALUE(MID(F27,SEARCH(" ",F27)+1,LEN(F27)))&lt;100,9,10))))))))/60*Q27*L27</f>
        <v>0</v>
      </c>
      <c r="AH27" s="170"/>
      <c r="AI27" s="165">
        <f t="shared" ref="AI27:AI28" si="13">AL27*L27/60</f>
        <v>6.6666666666666666E-2</v>
      </c>
      <c r="AJ27" s="98"/>
      <c r="AK27" s="77">
        <v>6</v>
      </c>
      <c r="AL27" s="201" t="str">
        <f t="shared" ref="AL27" si="14">IF(A27&gt;40,"30",IF(A27&gt;10,"10",IF(A27&gt;20,"20","2")))</f>
        <v>2</v>
      </c>
      <c r="AN27" s="94"/>
      <c r="AP27" s="180">
        <f>(VLOOKUP(F27,Terasehind!$A$2:$B$157,2,FALSE))</f>
        <v>0.74</v>
      </c>
      <c r="AQ27" s="77">
        <v>1.1000000000000001</v>
      </c>
      <c r="AR27" s="172">
        <f t="shared" ref="AR27:AR28" si="15">AP27*AQ27*B27</f>
        <v>15.97475</v>
      </c>
      <c r="AT27" s="90"/>
      <c r="AU27" s="90"/>
      <c r="AV27" s="90"/>
      <c r="AW27" s="90"/>
      <c r="AX27" s="90"/>
      <c r="AY27" s="90"/>
      <c r="AZ27" s="90"/>
      <c r="BA27" s="236"/>
      <c r="BB27" s="164"/>
      <c r="BC27" s="229"/>
      <c r="BD27" s="164"/>
      <c r="BE27" s="164"/>
      <c r="BF27" s="164"/>
      <c r="BG27" s="85"/>
      <c r="BH27" s="85"/>
      <c r="BI27" s="85"/>
      <c r="BJ27" s="85"/>
      <c r="BK27" s="85"/>
      <c r="BL27" s="139"/>
      <c r="BM27" s="139"/>
      <c r="BN27" s="139"/>
      <c r="BO27" s="111"/>
      <c r="BQ27" s="111"/>
      <c r="BR27" s="111"/>
    </row>
    <row r="28" spans="1:70" s="77" customFormat="1" ht="16.5" customHeight="1">
      <c r="A28" s="148">
        <f t="shared" si="8"/>
        <v>10.738799999999999</v>
      </c>
      <c r="B28" s="148">
        <f t="shared" si="9"/>
        <v>10.738799999999999</v>
      </c>
      <c r="C28" s="150" t="s">
        <v>113</v>
      </c>
      <c r="D28" s="149" t="s">
        <v>114</v>
      </c>
      <c r="E28" s="149"/>
      <c r="F28" s="150" t="s">
        <v>117</v>
      </c>
      <c r="G28" s="149" t="s">
        <v>111</v>
      </c>
      <c r="H28" s="151">
        <v>240</v>
      </c>
      <c r="I28" s="150" t="s">
        <v>102</v>
      </c>
      <c r="J28" s="151">
        <v>380</v>
      </c>
      <c r="K28" s="151">
        <v>1</v>
      </c>
      <c r="L28" s="151">
        <f>K$28*L$25</f>
        <v>1</v>
      </c>
      <c r="M28" s="148">
        <f t="shared" si="10"/>
        <v>0.18240000000000001</v>
      </c>
      <c r="N28" s="150" t="s">
        <v>112</v>
      </c>
      <c r="P28" s="150"/>
      <c r="Q28" s="175">
        <v>8</v>
      </c>
      <c r="R28" s="150"/>
      <c r="S28" s="150"/>
      <c r="T28" s="150"/>
      <c r="U28" s="150"/>
      <c r="V28" s="150"/>
      <c r="W28" s="150"/>
      <c r="X28" s="150"/>
      <c r="Y28" s="150"/>
      <c r="Z28" s="150"/>
      <c r="AA28" s="150"/>
      <c r="AB28" s="150" t="s">
        <v>104</v>
      </c>
      <c r="AC28" s="170">
        <f>((((H28+J28)*2/1000)*L28*(5/(VLOOKUP(F28,[1]Plasmalõikus!$A$7:$E$46,2,FALSE)/1000*60)))+(Q28*L28*(5*(VLOOKUP(F28,[1]Plasmalõikus!$A$7:$E$48,3,FALSE))/60/60)))</f>
        <v>0.15740740740740741</v>
      </c>
      <c r="AD28" s="170">
        <f t="shared" si="11"/>
        <v>1.4880000000000001E-2</v>
      </c>
      <c r="AE28" s="170"/>
      <c r="AF28" s="171"/>
      <c r="AG28" s="171">
        <f t="shared" si="12"/>
        <v>0</v>
      </c>
      <c r="AH28" s="170"/>
      <c r="AI28" s="165">
        <f t="shared" si="13"/>
        <v>0.33333333333333331</v>
      </c>
      <c r="AJ28" s="98">
        <f>(H28*2*AK28)*2*L28/1000</f>
        <v>0.96</v>
      </c>
      <c r="AK28" s="77">
        <v>1</v>
      </c>
      <c r="AL28" s="201" t="str">
        <f>IF(AND(Q28&gt;0,A28&lt;3),"10",IF(AND(Q28&gt;0,A28&lt;10),"15",IF(AND(Q28&gt;0,A28&lt;20),"20",IF(AND(Q28&gt;0,A28&lt;500),"30",IF(AND(Q28=0,A28&lt;3),"2",IF(AND(Q28=0,A28&lt;10),"5",IF(AND(Q28=0,A28&lt;20),"10",IF(AND(Q28=0,A28&lt;500),"20","2"))))))))</f>
        <v>20</v>
      </c>
      <c r="AN28" s="94"/>
      <c r="AP28" s="180">
        <f>(VLOOKUP(F28,Terasehind!$A$2:$B$157,2,FALSE))</f>
        <v>0.74</v>
      </c>
      <c r="AQ28" s="77">
        <v>1.1000000000000001</v>
      </c>
      <c r="AR28" s="172">
        <f t="shared" si="15"/>
        <v>8.7413831999999996</v>
      </c>
      <c r="AT28" s="90"/>
      <c r="AU28" s="90"/>
      <c r="AV28" s="90"/>
      <c r="AW28" s="90"/>
      <c r="AX28" s="90"/>
      <c r="AY28" s="90"/>
      <c r="AZ28" s="90"/>
      <c r="BA28" s="230"/>
      <c r="BB28" s="139"/>
      <c r="BC28" s="230"/>
      <c r="BD28" s="85"/>
      <c r="BE28" s="85"/>
      <c r="BF28" s="85"/>
      <c r="BG28" s="85"/>
      <c r="BH28" s="85"/>
      <c r="BK28" s="85"/>
      <c r="BL28" s="85"/>
      <c r="BN28" s="139"/>
      <c r="BO28" s="111"/>
      <c r="BQ28" s="111"/>
      <c r="BR28" s="111"/>
    </row>
    <row r="29" spans="1:70" s="77" customFormat="1">
      <c r="A29" s="148"/>
      <c r="B29" s="148"/>
      <c r="C29" s="150"/>
      <c r="D29" s="149"/>
      <c r="E29" s="149"/>
      <c r="F29" s="150"/>
      <c r="G29" s="149"/>
      <c r="H29" s="151"/>
      <c r="I29" s="150"/>
      <c r="J29" s="151"/>
      <c r="K29" s="151"/>
      <c r="L29" s="151"/>
      <c r="M29" s="148"/>
      <c r="N29" s="150"/>
      <c r="P29" s="150"/>
      <c r="Q29" s="211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150"/>
      <c r="AC29" s="170"/>
      <c r="AD29" s="170"/>
      <c r="AE29" s="170"/>
      <c r="AF29" s="170"/>
      <c r="AG29" s="170"/>
      <c r="AH29" s="170"/>
      <c r="AI29" s="165"/>
      <c r="AJ29" s="88"/>
      <c r="AN29" s="94"/>
      <c r="AP29" s="180"/>
      <c r="AR29" s="172"/>
      <c r="AT29" s="90"/>
      <c r="AU29" s="90"/>
      <c r="AV29" s="90"/>
      <c r="AW29" s="90"/>
      <c r="AX29" s="90"/>
      <c r="AY29" s="90"/>
      <c r="AZ29" s="90"/>
      <c r="BA29" s="236"/>
      <c r="BB29" s="164"/>
      <c r="BC29" s="229"/>
      <c r="BD29" s="164"/>
      <c r="BE29" s="164"/>
      <c r="BF29" s="85"/>
      <c r="BG29" s="85"/>
      <c r="BH29" s="85"/>
      <c r="BI29" s="85"/>
      <c r="BJ29" s="85"/>
      <c r="BK29" s="139"/>
      <c r="BL29" s="139"/>
      <c r="BM29" s="139"/>
      <c r="BN29" s="111"/>
      <c r="BP29" s="111"/>
      <c r="BQ29" s="111"/>
    </row>
    <row r="30" spans="1:70" s="77" customFormat="1">
      <c r="A30" s="182">
        <f>B30/L30</f>
        <v>190.31767500000001</v>
      </c>
      <c r="B30" s="182">
        <f>SUM(B34,B33,B32,B31,0)</f>
        <v>1141.9060500000001</v>
      </c>
      <c r="C30" s="187"/>
      <c r="D30" s="183" t="s">
        <v>100</v>
      </c>
      <c r="E30" s="183"/>
      <c r="F30" s="184" t="str">
        <f>"Post "&amp;F31</f>
        <v>Post CFRHS150x150x8</v>
      </c>
      <c r="G30" s="166"/>
      <c r="H30" s="185">
        <v>160</v>
      </c>
      <c r="I30" s="186" t="s">
        <v>102</v>
      </c>
      <c r="J30" s="185">
        <f>J31</f>
        <v>4495</v>
      </c>
      <c r="K30" s="168">
        <v>6</v>
      </c>
      <c r="L30" s="185">
        <f>$L$16*$K$30</f>
        <v>6</v>
      </c>
      <c r="M30" s="182">
        <f>SUM(M34,M33,M32,M31,0)</f>
        <v>18.735419999999998</v>
      </c>
      <c r="N30" s="186"/>
      <c r="O30" s="186"/>
      <c r="P30" s="186"/>
      <c r="Q30" s="186"/>
      <c r="R30" s="152"/>
      <c r="S30" s="152"/>
      <c r="T30" s="152"/>
      <c r="U30" s="152"/>
      <c r="V30" s="152"/>
      <c r="W30" s="150"/>
      <c r="X30" s="150" t="s">
        <v>104</v>
      </c>
      <c r="Y30" s="186">
        <v>4</v>
      </c>
      <c r="Z30" s="186"/>
      <c r="AA30" s="186"/>
      <c r="AB30" s="186"/>
      <c r="AC30" s="182">
        <f>SUM(AC34,AC33,AC32,AC31,0)</f>
        <v>2.3138888888888891</v>
      </c>
      <c r="AD30" s="182">
        <f>SUM(AD34,AD33,AD32,AD31,0)</f>
        <v>0.32976</v>
      </c>
      <c r="AE30" s="182">
        <f>SUM(AE34,AE33,AE32,AE31,0)</f>
        <v>1.5</v>
      </c>
      <c r="AF30" s="182">
        <f>SUM(AF34,AF33,AF32,AF31,0)</f>
        <v>0</v>
      </c>
      <c r="AG30" s="182">
        <f>SUM(AG34,AG33,AG32,AG31,0)</f>
        <v>0.4</v>
      </c>
      <c r="AH30" s="137">
        <f>SUM(AC30:AG30)</f>
        <v>4.5436488888888888</v>
      </c>
      <c r="AI30" s="137">
        <f>SUM(AI34,AI33,AI32,AI31,0)</f>
        <v>6.2</v>
      </c>
      <c r="AJ30" s="182">
        <f>SUM(AJ34,AJ33,AJ32,AJ31,0)</f>
        <v>39.72</v>
      </c>
      <c r="AK30" s="137">
        <f>AJ30*10/60</f>
        <v>6.62</v>
      </c>
      <c r="AL30" s="182">
        <f>AH30+AI30+AK30</f>
        <v>17.363648888888889</v>
      </c>
      <c r="AM30" s="182">
        <f>B30/AL30</f>
        <v>65.764175335906103</v>
      </c>
      <c r="AN30" s="182">
        <f>AL30*46</f>
        <v>798.72784888888896</v>
      </c>
      <c r="AO30" s="182">
        <f>AN30/B30</f>
        <v>0.69946897022648136</v>
      </c>
      <c r="AP30" s="182">
        <f>AR30/B30</f>
        <v>0.84933313445532588</v>
      </c>
      <c r="AQ30" s="95"/>
      <c r="AR30" s="182">
        <f>SUM(AR34,AR33,AR32,AR31,0)</f>
        <v>969.85864470000013</v>
      </c>
      <c r="AT30" s="82"/>
      <c r="AU30" s="82"/>
      <c r="AV30" s="82"/>
      <c r="AW30" s="82"/>
      <c r="AX30" s="93"/>
      <c r="AY30" s="82"/>
      <c r="AZ30" s="82"/>
      <c r="BA30" s="234"/>
      <c r="BB30" s="164"/>
      <c r="BC30" s="229"/>
      <c r="BD30" s="85"/>
      <c r="BE30" s="85"/>
      <c r="BF30" s="85"/>
      <c r="BG30" s="85"/>
      <c r="BH30" s="85"/>
      <c r="BI30" s="85"/>
      <c r="BJ30" s="88"/>
    </row>
    <row r="31" spans="1:70" s="77" customFormat="1">
      <c r="A31" s="148">
        <f xml:space="preserve"> 34*J31/10^3</f>
        <v>152.83000000000001</v>
      </c>
      <c r="B31" s="148">
        <f>A31*L31</f>
        <v>916.98</v>
      </c>
      <c r="C31" s="173" t="s">
        <v>105</v>
      </c>
      <c r="D31" s="149" t="s">
        <v>100</v>
      </c>
      <c r="E31" s="149"/>
      <c r="F31" s="150" t="s">
        <v>118</v>
      </c>
      <c r="G31" s="174" t="s">
        <v>107</v>
      </c>
      <c r="H31" s="151">
        <v>150</v>
      </c>
      <c r="I31" s="150" t="s">
        <v>102</v>
      </c>
      <c r="J31" s="151">
        <v>4495</v>
      </c>
      <c r="K31" s="77">
        <v>1</v>
      </c>
      <c r="L31" s="151">
        <f>K$31*L$30</f>
        <v>6</v>
      </c>
      <c r="M31" s="164">
        <f xml:space="preserve"> 0.566*J31*L31/10^3</f>
        <v>15.265019999999996</v>
      </c>
      <c r="N31" s="150"/>
      <c r="O31" s="150"/>
      <c r="P31" s="150" t="s">
        <v>104</v>
      </c>
      <c r="Q31" s="169">
        <v>8</v>
      </c>
      <c r="R31" s="150"/>
      <c r="S31" s="150"/>
      <c r="T31" s="150"/>
      <c r="U31" s="150"/>
      <c r="V31" s="150"/>
      <c r="W31" s="150"/>
      <c r="Y31" s="150"/>
      <c r="Z31" s="150"/>
      <c r="AA31" s="150"/>
      <c r="AB31" s="150" t="s">
        <v>104</v>
      </c>
      <c r="AC31" s="148"/>
      <c r="AD31" s="111"/>
      <c r="AE31" s="170">
        <f>(H31/20/60)*2*L31</f>
        <v>1.5</v>
      </c>
      <c r="AF31" s="171"/>
      <c r="AG31" s="165">
        <f>Q31*L31*0.5/60</f>
        <v>0.4</v>
      </c>
      <c r="AH31" s="111"/>
      <c r="AI31" s="165">
        <f>AL31*L31/60</f>
        <v>2</v>
      </c>
      <c r="AJ31" s="98">
        <f>(H31*4*AK31)*2*L31/1000</f>
        <v>21.6</v>
      </c>
      <c r="AK31" s="77">
        <f>(VLOOKUP(F31,[1]Koostamine!$A$12:$E$1603,3,FALSE))</f>
        <v>3</v>
      </c>
      <c r="AL31" s="97">
        <f>VLOOKUP(F31,[1]Koostamine!$A$12:$K$1603,IF(J31&lt;1499,6,IF(J31&lt;2999,7,IF(J31&lt;5999,8,IF(J31&lt;9999,9,IF(J31&lt;12999,10,IF(J31&gt;13000,11)))))),FALSE)</f>
        <v>20</v>
      </c>
      <c r="AP31" s="180">
        <f>(VLOOKUP(F31,Terasehind!$A$2:$B$157,2,FALSE))</f>
        <v>0.78</v>
      </c>
      <c r="AQ31" s="77">
        <f>(VLOOKUP(F31,Terasehind!$A$2:$C$157,3,FALSE))</f>
        <v>1.1000000000000001</v>
      </c>
      <c r="AR31" s="172">
        <f>AP31*AQ31*B31</f>
        <v>786.76884000000007</v>
      </c>
      <c r="AT31" s="90"/>
      <c r="AU31" s="90"/>
      <c r="AV31" s="90"/>
      <c r="AW31" s="90"/>
      <c r="AX31" s="90"/>
      <c r="AY31" s="90"/>
      <c r="AZ31" s="90"/>
      <c r="BA31" s="236"/>
      <c r="BB31" s="164"/>
      <c r="BC31" s="229"/>
      <c r="BD31" s="164"/>
      <c r="BE31" s="164"/>
      <c r="BF31" s="85"/>
      <c r="BG31" s="85"/>
      <c r="BH31" s="85"/>
      <c r="BI31" s="85"/>
      <c r="BJ31" s="85"/>
      <c r="BK31" s="88"/>
      <c r="BL31" s="85"/>
      <c r="BM31" s="88"/>
      <c r="BN31" s="111"/>
      <c r="BP31" s="139"/>
    </row>
    <row r="32" spans="1:70" s="77" customFormat="1">
      <c r="A32" s="148">
        <f t="shared" ref="A32:A34" si="16">H32*J32*(RIGHT(F32,2))*7.85/(10^6)</f>
        <v>7.359375</v>
      </c>
      <c r="B32" s="148">
        <f t="shared" ref="B32:B34" si="17">A32*L32</f>
        <v>44.15625</v>
      </c>
      <c r="C32" s="150" t="s">
        <v>108</v>
      </c>
      <c r="D32" s="149" t="s">
        <v>109</v>
      </c>
      <c r="E32" s="149"/>
      <c r="F32" s="150" t="s">
        <v>117</v>
      </c>
      <c r="G32" s="149" t="s">
        <v>111</v>
      </c>
      <c r="H32" s="151">
        <v>250</v>
      </c>
      <c r="I32" s="150" t="s">
        <v>102</v>
      </c>
      <c r="J32" s="151">
        <v>250</v>
      </c>
      <c r="K32" s="151">
        <v>1</v>
      </c>
      <c r="L32" s="151">
        <f>K$32*L$30</f>
        <v>6</v>
      </c>
      <c r="M32" s="148">
        <f t="shared" ref="M32:M34" si="18">2*H32*J32/10^6*L32</f>
        <v>0.75</v>
      </c>
      <c r="N32" s="150" t="s">
        <v>112</v>
      </c>
      <c r="P32" s="150"/>
      <c r="Q32" s="169">
        <v>4</v>
      </c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 t="s">
        <v>104</v>
      </c>
      <c r="AC32" s="170">
        <f>((((H32+J32)*2/1000)*L32*(5/(VLOOKUP(F32,[1]Plasmalõikus!$A$7:$E$46,2,FALSE)/1000*60)))+(Q32*L32*(5*(VLOOKUP(F32,[1]Plasmalõikus!$A$7:$E$48,3,FALSE))/60/60)))</f>
        <v>0.57777777777777783</v>
      </c>
      <c r="AD32" s="170">
        <f t="shared" ref="AD32:AD34" si="19">0.012*((H32+J32)*2/1000*L32)</f>
        <v>7.2000000000000008E-2</v>
      </c>
      <c r="AE32" s="170"/>
      <c r="AF32" s="171"/>
      <c r="AG32" s="171">
        <f t="shared" ref="AG32:AG34" si="20">IF(VALUE(MID(F32,SEARCH(" ",F32)+1,LEN(F32)))&lt;35,0,IF(VALUE(MID(F32,SEARCH(" ",F32)+1,LEN(F32)))&lt;40,3,IF(VALUE(MID(F32,SEARCH(" ",F32)+1,LEN(F32)))&lt;50,4,IF(VALUE(MID(F32,SEARCH(" ",F32)+1,LEN(F32)))&lt;60,5,IF(VALUE(MID(F32,SEARCH(" ",F32)+1,LEN(F32)))&lt;70,6,IF(VALUE(MID(F32,SEARCH(" ",F32)+1,LEN(F32)))&lt;80,7,IF(VALUE(MID(F32,SEARCH(" ",F32)+1,LEN(F32)))&lt;90,8,IF(VALUE(MID(F32,SEARCH(" ",F32)+1,LEN(F32)))&lt;100,9,10))))))))/60*Q32*L32</f>
        <v>0</v>
      </c>
      <c r="AH32" s="170"/>
      <c r="AI32" s="165">
        <f t="shared" ref="AI32:AI34" si="21">AL32*L32/60</f>
        <v>0.2</v>
      </c>
      <c r="AJ32" s="98"/>
      <c r="AK32" s="77">
        <v>6</v>
      </c>
      <c r="AL32" s="201" t="str">
        <f t="shared" ref="AL32" si="22">IF(A32&gt;40,"30",IF(A32&gt;10,"10",IF(A32&gt;20,"20","2")))</f>
        <v>2</v>
      </c>
      <c r="AN32" s="94"/>
      <c r="AP32" s="180">
        <f>(VLOOKUP(F32,Terasehind!$A$2:$B$157,2,FALSE))</f>
        <v>0.74</v>
      </c>
      <c r="AQ32" s="77">
        <v>1.1000000000000001</v>
      </c>
      <c r="AR32" s="172">
        <f t="shared" ref="AR32:AR34" si="23">AP32*AQ32*B32</f>
        <v>35.943187500000001</v>
      </c>
      <c r="AT32" s="90"/>
      <c r="AU32" s="90"/>
      <c r="AV32" s="90"/>
      <c r="AW32" s="90"/>
      <c r="AX32" s="90"/>
      <c r="AY32" s="90"/>
      <c r="AZ32" s="90"/>
      <c r="BA32" s="236"/>
      <c r="BB32" s="164"/>
      <c r="BC32" s="229"/>
      <c r="BD32" s="164"/>
      <c r="BE32" s="164"/>
      <c r="BF32" s="164"/>
      <c r="BG32" s="85"/>
      <c r="BH32" s="85"/>
      <c r="BI32" s="85"/>
      <c r="BJ32" s="85"/>
      <c r="BK32" s="85"/>
      <c r="BL32" s="139"/>
      <c r="BM32" s="139"/>
      <c r="BN32" s="139"/>
      <c r="BO32" s="111"/>
      <c r="BQ32" s="111"/>
      <c r="BR32" s="111"/>
    </row>
    <row r="33" spans="1:70" s="77" customFormat="1">
      <c r="A33" s="148">
        <f t="shared" ref="A33" si="24">H33*J33*(RIGHT(F33,2))*7.85/(10^6)</f>
        <v>13.737500000000001</v>
      </c>
      <c r="B33" s="148">
        <f t="shared" ref="B33" si="25">A33*L33</f>
        <v>82.425000000000011</v>
      </c>
      <c r="C33" s="150" t="s">
        <v>108</v>
      </c>
      <c r="D33" s="149" t="s">
        <v>114</v>
      </c>
      <c r="E33" s="149"/>
      <c r="F33" s="150" t="s">
        <v>115</v>
      </c>
      <c r="G33" s="149" t="s">
        <v>111</v>
      </c>
      <c r="H33" s="151">
        <v>250</v>
      </c>
      <c r="I33" s="150" t="s">
        <v>102</v>
      </c>
      <c r="J33" s="151">
        <v>350</v>
      </c>
      <c r="K33" s="151">
        <v>1</v>
      </c>
      <c r="L33" s="151">
        <f>K$33*L$30</f>
        <v>6</v>
      </c>
      <c r="M33" s="148">
        <f t="shared" ref="M33" si="26">2*H33*J33/10^6*L33</f>
        <v>1.0499999999999998</v>
      </c>
      <c r="N33" s="150" t="s">
        <v>112</v>
      </c>
      <c r="P33" s="150"/>
      <c r="Q33" s="169">
        <v>4</v>
      </c>
      <c r="R33" s="150"/>
      <c r="S33" s="150"/>
      <c r="T33" s="150"/>
      <c r="U33" s="150"/>
      <c r="V33" s="150"/>
      <c r="W33" s="150"/>
      <c r="X33" s="150"/>
      <c r="Y33" s="150"/>
      <c r="Z33" s="150"/>
      <c r="AA33" s="150"/>
      <c r="AB33" s="150" t="s">
        <v>104</v>
      </c>
      <c r="AC33" s="170">
        <f>((((H33+J33)*2/1000)*L33*(5/(VLOOKUP(F33,[1]Plasmalõikus!$A$7:$E$46,2,FALSE)/1000*60)))+(Q33*L33*(5*(VLOOKUP(F33,[1]Plasmalõikus!$A$7:$E$48,3,FALSE))/60/60)))</f>
        <v>0.77500000000000002</v>
      </c>
      <c r="AD33" s="170">
        <f t="shared" ref="AD33" si="27">0.012*((H33+J33)*2/1000*L33)</f>
        <v>8.6399999999999991E-2</v>
      </c>
      <c r="AE33" s="170"/>
      <c r="AF33" s="171"/>
      <c r="AG33" s="171">
        <f t="shared" ref="AG33" si="28">IF(VALUE(MID(F33,SEARCH(" ",F33)+1,LEN(F33)))&lt;35,0,IF(VALUE(MID(F33,SEARCH(" ",F33)+1,LEN(F33)))&lt;40,3,IF(VALUE(MID(F33,SEARCH(" ",F33)+1,LEN(F33)))&lt;50,4,IF(VALUE(MID(F33,SEARCH(" ",F33)+1,LEN(F33)))&lt;60,5,IF(VALUE(MID(F33,SEARCH(" ",F33)+1,LEN(F33)))&lt;70,6,IF(VALUE(MID(F33,SEARCH(" ",F33)+1,LEN(F33)))&lt;80,7,IF(VALUE(MID(F33,SEARCH(" ",F33)+1,LEN(F33)))&lt;90,8,IF(VALUE(MID(F33,SEARCH(" ",F33)+1,LEN(F33)))&lt;100,9,10))))))))/60*Q33*L33</f>
        <v>0</v>
      </c>
      <c r="AH33" s="170"/>
      <c r="AI33" s="165">
        <f t="shared" ref="AI33" si="29">AL33*L33/60</f>
        <v>1</v>
      </c>
      <c r="AJ33" s="98"/>
      <c r="AK33" s="77">
        <v>6</v>
      </c>
      <c r="AL33" s="201" t="str">
        <f t="shared" ref="AL33" si="30">IF(A33&gt;40,"30",IF(A33&gt;10,"10",IF(A33&gt;20,"20","2")))</f>
        <v>10</v>
      </c>
      <c r="AN33" s="94"/>
      <c r="AP33" s="180">
        <f>(VLOOKUP(F33,Terasehind!$A$2:$B$157,2,FALSE))</f>
        <v>0.74</v>
      </c>
      <c r="AQ33" s="77">
        <v>1.1000000000000001</v>
      </c>
      <c r="AR33" s="172">
        <f t="shared" ref="AR33" si="31">AP33*AQ33*B33</f>
        <v>67.093950000000021</v>
      </c>
      <c r="AT33" s="90"/>
      <c r="AU33" s="90"/>
      <c r="AV33" s="90"/>
      <c r="AW33" s="90"/>
      <c r="AX33" s="90"/>
      <c r="AY33" s="90"/>
      <c r="AZ33" s="90"/>
      <c r="BA33" s="236"/>
      <c r="BB33" s="164"/>
      <c r="BC33" s="229"/>
      <c r="BD33" s="164"/>
      <c r="BE33" s="164"/>
      <c r="BF33" s="164"/>
      <c r="BG33" s="85"/>
      <c r="BH33" s="85"/>
      <c r="BI33" s="85"/>
      <c r="BJ33" s="85"/>
      <c r="BK33" s="85"/>
      <c r="BL33" s="139"/>
      <c r="BM33" s="139"/>
      <c r="BN33" s="139"/>
      <c r="BO33" s="111"/>
      <c r="BQ33" s="111"/>
      <c r="BR33" s="111"/>
    </row>
    <row r="34" spans="1:70" s="77" customFormat="1" ht="16.5" customHeight="1">
      <c r="A34" s="148">
        <f t="shared" si="16"/>
        <v>8.1953999999999994</v>
      </c>
      <c r="B34" s="148">
        <f t="shared" si="17"/>
        <v>98.344799999999992</v>
      </c>
      <c r="C34" s="150" t="s">
        <v>113</v>
      </c>
      <c r="D34" s="149" t="s">
        <v>119</v>
      </c>
      <c r="E34" s="149"/>
      <c r="F34" s="150" t="s">
        <v>117</v>
      </c>
      <c r="G34" s="149" t="s">
        <v>111</v>
      </c>
      <c r="H34" s="151">
        <v>160</v>
      </c>
      <c r="I34" s="150" t="s">
        <v>102</v>
      </c>
      <c r="J34" s="151">
        <v>435</v>
      </c>
      <c r="K34" s="151">
        <v>2</v>
      </c>
      <c r="L34" s="151">
        <f>K$34*L$30</f>
        <v>12</v>
      </c>
      <c r="M34" s="148">
        <f t="shared" si="18"/>
        <v>1.6703999999999999</v>
      </c>
      <c r="N34" s="150" t="s">
        <v>112</v>
      </c>
      <c r="P34" s="150"/>
      <c r="Q34" s="175">
        <v>2</v>
      </c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 t="s">
        <v>104</v>
      </c>
      <c r="AC34" s="170">
        <f>((((H34+J34)*2/1000)*L34*(5/(VLOOKUP(F34,[1]Plasmalõikus!$A$7:$E$46,2,FALSE)/1000*60)))+(Q34*L34*(5*(VLOOKUP(F34,[1]Plasmalõikus!$A$7:$E$48,3,FALSE))/60/60)))</f>
        <v>0.96111111111111114</v>
      </c>
      <c r="AD34" s="170">
        <f t="shared" si="19"/>
        <v>0.17135999999999998</v>
      </c>
      <c r="AE34" s="170"/>
      <c r="AF34" s="171"/>
      <c r="AG34" s="171">
        <f t="shared" si="20"/>
        <v>0</v>
      </c>
      <c r="AH34" s="170"/>
      <c r="AI34" s="165">
        <f t="shared" si="21"/>
        <v>3</v>
      </c>
      <c r="AJ34" s="98">
        <f>(H34*4*AK34+J34*2*AK34)*L34/1000</f>
        <v>18.12</v>
      </c>
      <c r="AK34" s="77">
        <v>1</v>
      </c>
      <c r="AL34" s="201" t="str">
        <f>IF(AND(Q34&gt;0,A34&lt;3),"10",IF(AND(Q34&gt;0,A34&lt;10),"15",IF(AND(Q34&gt;0,A34&lt;20),"20",IF(AND(Q34&gt;0,A34&lt;500),"30",IF(AND(Q34=0,A34&lt;3),"2",IF(AND(Q34=0,A34&lt;10),"5",IF(AND(Q34=0,A34&lt;20),"10",IF(AND(Q34=0,A34&lt;500),"20","2"))))))))</f>
        <v>15</v>
      </c>
      <c r="AN34" s="94"/>
      <c r="AP34" s="180">
        <f>(VLOOKUP(F34,Terasehind!$A$2:$B$157,2,FALSE))</f>
        <v>0.74</v>
      </c>
      <c r="AQ34" s="77">
        <v>1.1000000000000001</v>
      </c>
      <c r="AR34" s="172">
        <f t="shared" si="23"/>
        <v>80.052667200000002</v>
      </c>
      <c r="AT34" s="90"/>
      <c r="AU34" s="90"/>
      <c r="AV34" s="90"/>
      <c r="AW34" s="90"/>
      <c r="AX34" s="90"/>
      <c r="AY34" s="90"/>
      <c r="AZ34" s="90"/>
      <c r="BA34" s="230"/>
      <c r="BB34" s="139"/>
      <c r="BC34" s="230"/>
      <c r="BD34" s="85"/>
      <c r="BE34" s="85"/>
      <c r="BF34" s="85"/>
      <c r="BG34" s="85"/>
      <c r="BH34" s="85"/>
      <c r="BK34" s="85"/>
      <c r="BL34" s="85"/>
      <c r="BN34" s="139"/>
      <c r="BO34" s="111"/>
      <c r="BQ34" s="111"/>
      <c r="BR34" s="111"/>
    </row>
    <row r="35" spans="1:70" s="77" customFormat="1">
      <c r="A35" s="148"/>
      <c r="B35" s="148"/>
      <c r="C35" s="150"/>
      <c r="D35" s="149"/>
      <c r="E35" s="149"/>
      <c r="F35" s="150"/>
      <c r="G35" s="149"/>
      <c r="H35" s="151"/>
      <c r="I35" s="150"/>
      <c r="J35" s="151"/>
      <c r="K35" s="151"/>
      <c r="L35" s="151"/>
      <c r="M35" s="148"/>
      <c r="N35" s="150"/>
      <c r="P35" s="150"/>
      <c r="Q35" s="211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70"/>
      <c r="AD35" s="170"/>
      <c r="AE35" s="170"/>
      <c r="AF35" s="170"/>
      <c r="AG35" s="170"/>
      <c r="AH35" s="170"/>
      <c r="AI35" s="165"/>
      <c r="AJ35" s="88"/>
      <c r="AN35" s="94"/>
      <c r="AP35" s="180"/>
      <c r="AR35" s="172"/>
      <c r="AT35" s="90"/>
      <c r="AU35" s="90"/>
      <c r="AV35" s="90"/>
      <c r="AW35" s="90"/>
      <c r="AX35" s="90"/>
      <c r="AY35" s="90"/>
      <c r="AZ35" s="90"/>
      <c r="BA35" s="236"/>
      <c r="BB35" s="164"/>
      <c r="BC35" s="229"/>
      <c r="BD35" s="164"/>
      <c r="BE35" s="164"/>
      <c r="BF35" s="85"/>
      <c r="BG35" s="85"/>
      <c r="BH35" s="85"/>
      <c r="BI35" s="85"/>
      <c r="BJ35" s="85"/>
      <c r="BK35" s="139"/>
      <c r="BL35" s="139"/>
      <c r="BM35" s="139"/>
      <c r="BN35" s="111"/>
      <c r="BP35" s="111"/>
      <c r="BQ35" s="111"/>
    </row>
    <row r="36" spans="1:70" s="77" customFormat="1">
      <c r="A36" s="182">
        <f>B36/L36</f>
        <v>295.678695</v>
      </c>
      <c r="B36" s="182">
        <f>SUM(B44,B43,B42,B41,B40,B39,B38,B37,0)</f>
        <v>3843.8230349999999</v>
      </c>
      <c r="C36" s="187"/>
      <c r="D36" s="183" t="s">
        <v>100</v>
      </c>
      <c r="E36" s="183"/>
      <c r="F36" s="184" t="str">
        <f>"Post "&amp;F37</f>
        <v>Post CFRHS150x150x8</v>
      </c>
      <c r="G36" s="166"/>
      <c r="H36" s="185">
        <v>160</v>
      </c>
      <c r="I36" s="186" t="s">
        <v>102</v>
      </c>
      <c r="J36" s="185">
        <f>J37</f>
        <v>7045</v>
      </c>
      <c r="K36" s="168">
        <v>13</v>
      </c>
      <c r="L36" s="185">
        <f>$L$16*$K$36</f>
        <v>13</v>
      </c>
      <c r="M36" s="182">
        <f>SUM(M44,M43,M42,M41,M40,M39,M38,M37,0)</f>
        <v>62.866309999999999</v>
      </c>
      <c r="N36" s="186"/>
      <c r="O36" s="186"/>
      <c r="P36" s="186"/>
      <c r="Q36" s="186"/>
      <c r="R36" s="152"/>
      <c r="S36" s="152"/>
      <c r="T36" s="152"/>
      <c r="U36" s="152"/>
      <c r="V36" s="152"/>
      <c r="W36" s="150"/>
      <c r="X36" s="150" t="s">
        <v>104</v>
      </c>
      <c r="Y36" s="186">
        <v>4</v>
      </c>
      <c r="Z36" s="186"/>
      <c r="AA36" s="186"/>
      <c r="AB36" s="186"/>
      <c r="AC36" s="182">
        <f>SUM(AC44,AC43,AC42,AC41,AC40,AC39,AC38,AC37,0)</f>
        <v>8.4427777777777777</v>
      </c>
      <c r="AD36" s="182">
        <f>SUM(AD44,AD43,AD42,AD41,AD40,AD39,AD38,AD37,0)</f>
        <v>1.3525199999999999</v>
      </c>
      <c r="AE36" s="182">
        <f>SUM(AE44,AE43,AE42,AE41,AE40,AE39,AE38,AE37,0)</f>
        <v>3.25</v>
      </c>
      <c r="AF36" s="182">
        <f>SUM(AF44,AF43,AF42,AF41,AF40,AF39,AF38,AF37,0)</f>
        <v>3.9000000000000004</v>
      </c>
      <c r="AG36" s="182">
        <f>SUM(AG44,AG43,AG42,AG41,AG40,AG39,AG38,AG37,0)</f>
        <v>0.8666666666666667</v>
      </c>
      <c r="AH36" s="137">
        <f>SUM(AC36:AG36)</f>
        <v>17.811964444444445</v>
      </c>
      <c r="AI36" s="137">
        <f>SUM(AI44,AI43,AI42,AI41,AI40,AI39,AI38,AI37,0)</f>
        <v>22.75</v>
      </c>
      <c r="AJ36" s="182">
        <f>SUM(AJ44,AJ43,AJ42,AJ41,AJ40,AJ39,AJ38,AJ37,0)</f>
        <v>176.01999999999998</v>
      </c>
      <c r="AK36" s="137">
        <f>AJ36*10/60</f>
        <v>29.336666666666662</v>
      </c>
      <c r="AL36" s="182">
        <f>AH36+AI36+AK36</f>
        <v>69.898631111111101</v>
      </c>
      <c r="AM36" s="182">
        <f>B36/AL36</f>
        <v>54.991392161741274</v>
      </c>
      <c r="AN36" s="182">
        <f>AL36*46</f>
        <v>3215.3370311111107</v>
      </c>
      <c r="AO36" s="182">
        <f>AN36/B36</f>
        <v>0.83649455290574026</v>
      </c>
      <c r="AP36" s="182">
        <f>AR36/B36</f>
        <v>0.8496445025570748</v>
      </c>
      <c r="AQ36" s="95"/>
      <c r="AR36" s="182">
        <f>SUM(AR44,AR43,AR42,AR41,AR40,AR39,AR38,AR37,0)</f>
        <v>3265.8831104900005</v>
      </c>
      <c r="AT36" s="82"/>
      <c r="AU36" s="82"/>
      <c r="AV36" s="82"/>
      <c r="AW36" s="82"/>
      <c r="AX36" s="93"/>
      <c r="AY36" s="82"/>
      <c r="AZ36" s="82"/>
      <c r="BA36" s="234"/>
      <c r="BB36" s="164"/>
      <c r="BC36" s="229"/>
      <c r="BD36" s="85"/>
      <c r="BE36" s="85"/>
      <c r="BF36" s="85"/>
      <c r="BG36" s="85"/>
      <c r="BH36" s="85"/>
      <c r="BI36" s="85"/>
      <c r="BJ36" s="88"/>
    </row>
    <row r="37" spans="1:70" s="77" customFormat="1">
      <c r="A37" s="148">
        <f xml:space="preserve"> 34*J37/10^3</f>
        <v>239.53</v>
      </c>
      <c r="B37" s="148">
        <f>A37*L37</f>
        <v>3113.89</v>
      </c>
      <c r="C37" s="173" t="s">
        <v>105</v>
      </c>
      <c r="D37" s="149" t="s">
        <v>100</v>
      </c>
      <c r="E37" s="149"/>
      <c r="F37" s="150" t="s">
        <v>118</v>
      </c>
      <c r="G37" s="174" t="s">
        <v>107</v>
      </c>
      <c r="H37" s="151">
        <v>150</v>
      </c>
      <c r="I37" s="150" t="s">
        <v>102</v>
      </c>
      <c r="J37" s="151">
        <v>7045</v>
      </c>
      <c r="K37" s="77">
        <v>1</v>
      </c>
      <c r="L37" s="151">
        <f>K$37*L$36</f>
        <v>13</v>
      </c>
      <c r="M37" s="164">
        <f xml:space="preserve"> 0.566*J37*L37/10^3</f>
        <v>51.837110000000003</v>
      </c>
      <c r="N37" s="150"/>
      <c r="O37" s="150"/>
      <c r="P37" s="150" t="s">
        <v>104</v>
      </c>
      <c r="Q37" s="169">
        <v>8</v>
      </c>
      <c r="R37" s="150"/>
      <c r="S37" s="150"/>
      <c r="T37" s="150"/>
      <c r="U37" s="150"/>
      <c r="V37" s="150"/>
      <c r="W37" s="150"/>
      <c r="Y37" s="150"/>
      <c r="Z37" s="150"/>
      <c r="AA37" s="150"/>
      <c r="AB37" s="150" t="s">
        <v>104</v>
      </c>
      <c r="AC37" s="148"/>
      <c r="AD37" s="111"/>
      <c r="AE37" s="170">
        <f>(H37/20/60)*2*L37</f>
        <v>3.25</v>
      </c>
      <c r="AF37" s="171">
        <f>(H37*4)*20/60/1000*L37</f>
        <v>2.6</v>
      </c>
      <c r="AG37" s="165">
        <f>Q37*L37*0.5/60</f>
        <v>0.8666666666666667</v>
      </c>
      <c r="AH37" s="111"/>
      <c r="AI37" s="165">
        <f>AL37*L37/60</f>
        <v>6.5</v>
      </c>
      <c r="AJ37" s="98">
        <f>(H37*4*AK37)*2*L37/1000</f>
        <v>46.8</v>
      </c>
      <c r="AK37" s="77">
        <f>(VLOOKUP(F37,[1]Koostamine!$A$12:$E$1603,3,FALSE))</f>
        <v>3</v>
      </c>
      <c r="AL37" s="97">
        <f>VLOOKUP(F37,[1]Koostamine!$A$12:$K$1603,IF(J37&lt;1499,6,IF(J37&lt;2999,7,IF(J37&lt;5999,8,IF(J37&lt;9999,9,IF(J37&lt;12999,10,IF(J37&gt;13000,11)))))),FALSE)</f>
        <v>30</v>
      </c>
      <c r="AP37" s="180">
        <f>(VLOOKUP(F37,Terasehind!$A$2:$B$157,2,FALSE))</f>
        <v>0.78</v>
      </c>
      <c r="AQ37" s="77">
        <f>(VLOOKUP(F37,Terasehind!$A$2:$C$157,3,FALSE))</f>
        <v>1.1000000000000001</v>
      </c>
      <c r="AR37" s="172">
        <f>AP37*AQ37*B37</f>
        <v>2671.7176200000004</v>
      </c>
      <c r="AT37" s="90"/>
      <c r="AU37" s="90"/>
      <c r="AV37" s="90"/>
      <c r="AW37" s="90"/>
      <c r="AX37" s="90"/>
      <c r="AY37" s="90"/>
      <c r="AZ37" s="90"/>
      <c r="BA37" s="236"/>
      <c r="BB37" s="164"/>
      <c r="BC37" s="229"/>
      <c r="BD37" s="164"/>
      <c r="BE37" s="164"/>
      <c r="BF37" s="85"/>
      <c r="BG37" s="85"/>
      <c r="BH37" s="85"/>
      <c r="BI37" s="85"/>
      <c r="BJ37" s="85"/>
      <c r="BK37" s="88"/>
      <c r="BL37" s="85"/>
      <c r="BM37" s="88"/>
      <c r="BN37" s="111"/>
      <c r="BP37" s="139"/>
    </row>
    <row r="38" spans="1:70" s="77" customFormat="1">
      <c r="A38" s="148">
        <f t="shared" ref="A38:A40" si="32">H38*J38*(RIGHT(F38,2))*7.85/(10^6)</f>
        <v>7.359375</v>
      </c>
      <c r="B38" s="148">
        <f t="shared" ref="B38:B40" si="33">A38*L38</f>
        <v>95.671875</v>
      </c>
      <c r="C38" s="150" t="s">
        <v>108</v>
      </c>
      <c r="D38" s="149" t="s">
        <v>109</v>
      </c>
      <c r="E38" s="149"/>
      <c r="F38" s="150" t="s">
        <v>117</v>
      </c>
      <c r="G38" s="149" t="s">
        <v>111</v>
      </c>
      <c r="H38" s="151">
        <v>250</v>
      </c>
      <c r="I38" s="150" t="s">
        <v>102</v>
      </c>
      <c r="J38" s="151">
        <v>250</v>
      </c>
      <c r="K38" s="151">
        <v>1</v>
      </c>
      <c r="L38" s="151">
        <f>K$38*L$36</f>
        <v>13</v>
      </c>
      <c r="M38" s="148">
        <f t="shared" ref="M38:M40" si="34">2*H38*J38/10^6*L38</f>
        <v>1.625</v>
      </c>
      <c r="N38" s="150" t="s">
        <v>112</v>
      </c>
      <c r="P38" s="150"/>
      <c r="Q38" s="169">
        <v>4</v>
      </c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 t="s">
        <v>104</v>
      </c>
      <c r="AC38" s="170">
        <f>((((H38+J38)*2/1000)*L38*(5/(VLOOKUP(F38,[1]Plasmalõikus!$A$7:$E$46,2,FALSE)/1000*60)))+(Q38*L38*(5*(VLOOKUP(F38,[1]Plasmalõikus!$A$7:$E$48,3,FALSE))/60/60)))</f>
        <v>1.251851851851852</v>
      </c>
      <c r="AD38" s="170">
        <f t="shared" ref="AD38:AD40" si="35">0.012*((H38+J38)*2/1000*L38)</f>
        <v>0.156</v>
      </c>
      <c r="AE38" s="170"/>
      <c r="AF38" s="171"/>
      <c r="AG38" s="171">
        <f t="shared" ref="AG38:AG40" si="36">IF(VALUE(MID(F38,SEARCH(" ",F38)+1,LEN(F38)))&lt;35,0,IF(VALUE(MID(F38,SEARCH(" ",F38)+1,LEN(F38)))&lt;40,3,IF(VALUE(MID(F38,SEARCH(" ",F38)+1,LEN(F38)))&lt;50,4,IF(VALUE(MID(F38,SEARCH(" ",F38)+1,LEN(F38)))&lt;60,5,IF(VALUE(MID(F38,SEARCH(" ",F38)+1,LEN(F38)))&lt;70,6,IF(VALUE(MID(F38,SEARCH(" ",F38)+1,LEN(F38)))&lt;80,7,IF(VALUE(MID(F38,SEARCH(" ",F38)+1,LEN(F38)))&lt;90,8,IF(VALUE(MID(F38,SEARCH(" ",F38)+1,LEN(F38)))&lt;100,9,10))))))))/60*Q38*L38</f>
        <v>0</v>
      </c>
      <c r="AH38" s="170"/>
      <c r="AI38" s="165">
        <f t="shared" ref="AI38:AI40" si="37">AL38*L38/60</f>
        <v>0.43333333333333335</v>
      </c>
      <c r="AJ38" s="98"/>
      <c r="AK38" s="77">
        <v>6</v>
      </c>
      <c r="AL38" s="201" t="str">
        <f t="shared" ref="AL38" si="38">IF(A38&gt;40,"30",IF(A38&gt;10,"10",IF(A38&gt;20,"20","2")))</f>
        <v>2</v>
      </c>
      <c r="AN38" s="94"/>
      <c r="AP38" s="180">
        <f>(VLOOKUP(F38,Terasehind!$A$2:$B$157,2,FALSE))</f>
        <v>0.74</v>
      </c>
      <c r="AQ38" s="77">
        <v>1.1000000000000001</v>
      </c>
      <c r="AR38" s="172">
        <f t="shared" ref="AR38:AR40" si="39">AP38*AQ38*B38</f>
        <v>77.876906250000005</v>
      </c>
      <c r="AT38" s="90"/>
      <c r="AU38" s="90"/>
      <c r="AV38" s="90"/>
      <c r="AW38" s="90"/>
      <c r="AX38" s="90"/>
      <c r="AY38" s="90"/>
      <c r="AZ38" s="90"/>
      <c r="BA38" s="236"/>
      <c r="BB38" s="164"/>
      <c r="BC38" s="229"/>
      <c r="BD38" s="164"/>
      <c r="BE38" s="164"/>
      <c r="BF38" s="164"/>
      <c r="BG38" s="85"/>
      <c r="BH38" s="85"/>
      <c r="BI38" s="85"/>
      <c r="BJ38" s="85"/>
      <c r="BK38" s="85"/>
      <c r="BL38" s="139"/>
      <c r="BM38" s="139"/>
      <c r="BN38" s="139"/>
      <c r="BO38" s="111"/>
      <c r="BQ38" s="111"/>
      <c r="BR38" s="111"/>
    </row>
    <row r="39" spans="1:70" s="77" customFormat="1">
      <c r="A39" s="148">
        <f t="shared" ref="A39" si="40">H39*J39*(RIGHT(F39,2))*7.85/(10^6)</f>
        <v>13.737500000000001</v>
      </c>
      <c r="B39" s="148">
        <f t="shared" ref="B39" si="41">A39*L39</f>
        <v>178.58750000000001</v>
      </c>
      <c r="C39" s="150" t="s">
        <v>108</v>
      </c>
      <c r="D39" s="149" t="s">
        <v>114</v>
      </c>
      <c r="E39" s="149"/>
      <c r="F39" s="150" t="s">
        <v>115</v>
      </c>
      <c r="G39" s="149" t="s">
        <v>111</v>
      </c>
      <c r="H39" s="151">
        <v>250</v>
      </c>
      <c r="I39" s="150" t="s">
        <v>102</v>
      </c>
      <c r="J39" s="151">
        <v>350</v>
      </c>
      <c r="K39" s="151">
        <v>1</v>
      </c>
      <c r="L39" s="151">
        <f>K$39*L$36</f>
        <v>13</v>
      </c>
      <c r="M39" s="148">
        <f t="shared" ref="M39" si="42">2*H39*J39/10^6*L39</f>
        <v>2.2749999999999999</v>
      </c>
      <c r="N39" s="150" t="s">
        <v>112</v>
      </c>
      <c r="P39" s="150"/>
      <c r="Q39" s="169">
        <v>4</v>
      </c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 t="s">
        <v>104</v>
      </c>
      <c r="AC39" s="170">
        <f>((((H39+J39)*2/1000)*L39*(5/(VLOOKUP(F39,[1]Plasmalõikus!$A$7:$E$46,2,FALSE)/1000*60)))+(Q39*L39*(5*(VLOOKUP(F39,[1]Plasmalõikus!$A$7:$E$48,3,FALSE))/60/60)))</f>
        <v>1.6791666666666667</v>
      </c>
      <c r="AD39" s="170">
        <f t="shared" ref="AD39" si="43">0.012*((H39+J39)*2/1000*L39)</f>
        <v>0.18720000000000001</v>
      </c>
      <c r="AE39" s="170"/>
      <c r="AF39" s="171"/>
      <c r="AG39" s="171">
        <f t="shared" ref="AG39" si="44">IF(VALUE(MID(F39,SEARCH(" ",F39)+1,LEN(F39)))&lt;35,0,IF(VALUE(MID(F39,SEARCH(" ",F39)+1,LEN(F39)))&lt;40,3,IF(VALUE(MID(F39,SEARCH(" ",F39)+1,LEN(F39)))&lt;50,4,IF(VALUE(MID(F39,SEARCH(" ",F39)+1,LEN(F39)))&lt;60,5,IF(VALUE(MID(F39,SEARCH(" ",F39)+1,LEN(F39)))&lt;70,6,IF(VALUE(MID(F39,SEARCH(" ",F39)+1,LEN(F39)))&lt;80,7,IF(VALUE(MID(F39,SEARCH(" ",F39)+1,LEN(F39)))&lt;90,8,IF(VALUE(MID(F39,SEARCH(" ",F39)+1,LEN(F39)))&lt;100,9,10))))))))/60*Q39*L39</f>
        <v>0</v>
      </c>
      <c r="AH39" s="170"/>
      <c r="AI39" s="165">
        <f t="shared" ref="AI39" si="45">AL39*L39/60</f>
        <v>2.1666666666666665</v>
      </c>
      <c r="AJ39" s="98"/>
      <c r="AK39" s="77">
        <v>6</v>
      </c>
      <c r="AL39" s="201" t="str">
        <f t="shared" ref="AL39" si="46">IF(A39&gt;40,"30",IF(A39&gt;10,"10",IF(A39&gt;20,"20","2")))</f>
        <v>10</v>
      </c>
      <c r="AN39" s="94"/>
      <c r="AP39" s="180">
        <f>(VLOOKUP(F39,Terasehind!$A$2:$B$157,2,FALSE))</f>
        <v>0.74</v>
      </c>
      <c r="AQ39" s="77">
        <v>1.1000000000000001</v>
      </c>
      <c r="AR39" s="172">
        <f t="shared" ref="AR39" si="47">AP39*AQ39*B39</f>
        <v>145.370225</v>
      </c>
      <c r="AT39" s="90"/>
      <c r="AU39" s="90"/>
      <c r="AV39" s="90"/>
      <c r="AW39" s="90"/>
      <c r="AX39" s="90"/>
      <c r="AY39" s="90"/>
      <c r="AZ39" s="90"/>
      <c r="BA39" s="236"/>
      <c r="BB39" s="164"/>
      <c r="BC39" s="229"/>
      <c r="BD39" s="164"/>
      <c r="BE39" s="164"/>
      <c r="BF39" s="164"/>
      <c r="BG39" s="85"/>
      <c r="BH39" s="85"/>
      <c r="BI39" s="85"/>
      <c r="BJ39" s="85"/>
      <c r="BK39" s="85"/>
      <c r="BL39" s="139"/>
      <c r="BM39" s="139"/>
      <c r="BN39" s="139"/>
      <c r="BO39" s="111"/>
      <c r="BQ39" s="111"/>
      <c r="BR39" s="111"/>
    </row>
    <row r="40" spans="1:70" s="77" customFormat="1" ht="16.5" customHeight="1">
      <c r="A40" s="148">
        <f t="shared" si="32"/>
        <v>8.1953999999999994</v>
      </c>
      <c r="B40" s="148">
        <f t="shared" si="33"/>
        <v>106.5402</v>
      </c>
      <c r="C40" s="150" t="s">
        <v>113</v>
      </c>
      <c r="D40" s="149" t="s">
        <v>119</v>
      </c>
      <c r="E40" s="149"/>
      <c r="F40" s="150" t="s">
        <v>117</v>
      </c>
      <c r="G40" s="149" t="s">
        <v>111</v>
      </c>
      <c r="H40" s="151">
        <v>160</v>
      </c>
      <c r="I40" s="150" t="s">
        <v>102</v>
      </c>
      <c r="J40" s="151">
        <v>435</v>
      </c>
      <c r="K40" s="151">
        <v>1</v>
      </c>
      <c r="L40" s="151">
        <f>K$40*L$36</f>
        <v>13</v>
      </c>
      <c r="M40" s="148">
        <f t="shared" si="34"/>
        <v>1.8095999999999999</v>
      </c>
      <c r="N40" s="150" t="s">
        <v>112</v>
      </c>
      <c r="P40" s="150"/>
      <c r="Q40" s="175">
        <v>2</v>
      </c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 t="s">
        <v>104</v>
      </c>
      <c r="AC40" s="170">
        <f>((((H40+J40)*2/1000)*L40*(5/(VLOOKUP(F40,[1]Plasmalõikus!$A$7:$E$46,2,FALSE)/1000*60)))+(Q40*L40*(5*(VLOOKUP(F40,[1]Plasmalõikus!$A$7:$E$48,3,FALSE))/60/60)))</f>
        <v>1.0412037037037036</v>
      </c>
      <c r="AD40" s="170">
        <f t="shared" si="35"/>
        <v>0.18564</v>
      </c>
      <c r="AE40" s="170"/>
      <c r="AF40" s="171"/>
      <c r="AG40" s="171">
        <f t="shared" si="36"/>
        <v>0</v>
      </c>
      <c r="AH40" s="170"/>
      <c r="AI40" s="165">
        <f t="shared" si="37"/>
        <v>3.25</v>
      </c>
      <c r="AJ40" s="98">
        <f>(H40*4*AK40+J40*2*AK40)*L40/1000</f>
        <v>39.26</v>
      </c>
      <c r="AK40" s="77">
        <v>2</v>
      </c>
      <c r="AL40" s="201" t="str">
        <f>IF(AND(Q40&gt;0,A40&lt;3),"10",IF(AND(Q40&gt;0,A40&lt;10),"15",IF(AND(Q40&gt;0,A40&lt;20),"20",IF(AND(Q40&gt;0,A40&lt;500),"30",IF(AND(Q40=0,A40&lt;3),"2",IF(AND(Q40=0,A40&lt;10),"5",IF(AND(Q40=0,A40&lt;20),"10",IF(AND(Q40=0,A40&lt;500),"20","2"))))))))</f>
        <v>15</v>
      </c>
      <c r="AN40" s="94"/>
      <c r="AP40" s="180">
        <f>(VLOOKUP(F40,Terasehind!$A$2:$B$157,2,FALSE))</f>
        <v>0.74</v>
      </c>
      <c r="AQ40" s="77">
        <v>1.1000000000000001</v>
      </c>
      <c r="AR40" s="172">
        <f t="shared" si="39"/>
        <v>86.723722800000004</v>
      </c>
      <c r="AT40" s="90"/>
      <c r="AU40" s="90"/>
      <c r="AV40" s="90"/>
      <c r="AW40" s="90"/>
      <c r="AX40" s="90"/>
      <c r="AY40" s="90"/>
      <c r="AZ40" s="90"/>
      <c r="BA40" s="230"/>
      <c r="BB40" s="139"/>
      <c r="BC40" s="230"/>
      <c r="BD40" s="85"/>
      <c r="BE40" s="85"/>
      <c r="BF40" s="85"/>
      <c r="BG40" s="85"/>
      <c r="BH40" s="85"/>
      <c r="BK40" s="85"/>
      <c r="BL40" s="85"/>
      <c r="BN40" s="139"/>
      <c r="BO40" s="111"/>
      <c r="BQ40" s="111"/>
      <c r="BR40" s="111"/>
    </row>
    <row r="41" spans="1:70" s="77" customFormat="1" ht="16.5" customHeight="1">
      <c r="A41" s="148">
        <f t="shared" ref="A41" si="48">H41*J41*(RIGHT(F41,2))*7.85/(10^6)</f>
        <v>1.1775</v>
      </c>
      <c r="B41" s="148">
        <f t="shared" ref="B41" si="49">A41*L41</f>
        <v>30.614999999999998</v>
      </c>
      <c r="C41" s="150" t="s">
        <v>120</v>
      </c>
      <c r="D41" s="149" t="s">
        <v>121</v>
      </c>
      <c r="E41" s="149"/>
      <c r="F41" s="150" t="s">
        <v>110</v>
      </c>
      <c r="G41" s="149" t="s">
        <v>111</v>
      </c>
      <c r="H41" s="151">
        <v>100</v>
      </c>
      <c r="I41" s="150" t="s">
        <v>102</v>
      </c>
      <c r="J41" s="151">
        <v>150</v>
      </c>
      <c r="K41" s="151">
        <v>2</v>
      </c>
      <c r="L41" s="151">
        <f>K$41*L$36</f>
        <v>26</v>
      </c>
      <c r="M41" s="148">
        <f t="shared" ref="M41" si="50">2*H41*J41/10^6*L41</f>
        <v>0.78</v>
      </c>
      <c r="N41" s="150" t="s">
        <v>112</v>
      </c>
      <c r="P41" s="150"/>
      <c r="Q41" s="175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 t="s">
        <v>104</v>
      </c>
      <c r="AC41" s="170">
        <f>((((H41+J41)*2/1000)*L41*(5/(VLOOKUP(F41,[1]Plasmalõikus!$A$7:$E$46,2,FALSE)/1000*60)))+(Q41*L41*(5*(VLOOKUP(F41,[1]Plasmalõikus!$A$7:$E$48,3,FALSE))/60/60)))</f>
        <v>0.43333333333333335</v>
      </c>
      <c r="AD41" s="170">
        <f t="shared" ref="AD41" si="51">0.012*((H41+J41)*2/1000*L41)</f>
        <v>0.156</v>
      </c>
      <c r="AE41" s="170"/>
      <c r="AF41" s="171"/>
      <c r="AG41" s="171">
        <f t="shared" ref="AG41" si="52">IF(VALUE(MID(F41,SEARCH(" ",F41)+1,LEN(F41)))&lt;35,0,IF(VALUE(MID(F41,SEARCH(" ",F41)+1,LEN(F41)))&lt;40,3,IF(VALUE(MID(F41,SEARCH(" ",F41)+1,LEN(F41)))&lt;50,4,IF(VALUE(MID(F41,SEARCH(" ",F41)+1,LEN(F41)))&lt;60,5,IF(VALUE(MID(F41,SEARCH(" ",F41)+1,LEN(F41)))&lt;70,6,IF(VALUE(MID(F41,SEARCH(" ",F41)+1,LEN(F41)))&lt;80,7,IF(VALUE(MID(F41,SEARCH(" ",F41)+1,LEN(F41)))&lt;90,8,IF(VALUE(MID(F41,SEARCH(" ",F41)+1,LEN(F41)))&lt;100,9,10))))))))/60*Q41*L41</f>
        <v>0</v>
      </c>
      <c r="AH41" s="170"/>
      <c r="AI41" s="165">
        <f t="shared" ref="AI41" si="53">AL41*L41/60</f>
        <v>0.8666666666666667</v>
      </c>
      <c r="AJ41" s="98">
        <f>(H41*2*AK41+J41*2*AK41)*L41/1000</f>
        <v>26</v>
      </c>
      <c r="AK41" s="77">
        <v>2</v>
      </c>
      <c r="AL41" s="201" t="str">
        <f>IF(AND(Q41&gt;0,A41&lt;3),"10",IF(AND(Q41&gt;0,A41&lt;10),"15",IF(AND(Q41&gt;0,A41&lt;20),"20",IF(AND(Q41&gt;0,A41&lt;500),"30",IF(AND(Q41=0,A41&lt;3),"2",IF(AND(Q41=0,A41&lt;10),"5",IF(AND(Q41=0,A41&lt;20),"10",IF(AND(Q41=0,A41&lt;500),"20","2"))))))))</f>
        <v>2</v>
      </c>
      <c r="AN41" s="94"/>
      <c r="AP41" s="180">
        <f>(VLOOKUP(F41,Terasehind!$A$2:$B$157,2,FALSE))</f>
        <v>0.74</v>
      </c>
      <c r="AQ41" s="77">
        <v>1.1000000000000001</v>
      </c>
      <c r="AR41" s="172">
        <f t="shared" ref="AR41" si="54">AP41*AQ41*B41</f>
        <v>24.92061</v>
      </c>
      <c r="AT41" s="90"/>
      <c r="AU41" s="90"/>
      <c r="AV41" s="90"/>
      <c r="AW41" s="90"/>
      <c r="AX41" s="90"/>
      <c r="AY41" s="90"/>
      <c r="AZ41" s="90"/>
      <c r="BA41" s="230"/>
      <c r="BB41" s="139"/>
      <c r="BC41" s="230"/>
      <c r="BD41" s="85"/>
      <c r="BE41" s="85"/>
      <c r="BF41" s="85"/>
      <c r="BG41" s="85"/>
      <c r="BH41" s="85"/>
      <c r="BK41" s="85"/>
      <c r="BL41" s="85"/>
      <c r="BN41" s="139"/>
      <c r="BO41" s="111"/>
      <c r="BQ41" s="111"/>
      <c r="BR41" s="111"/>
    </row>
    <row r="42" spans="1:70" s="77" customFormat="1" ht="16.5" customHeight="1">
      <c r="A42" s="148">
        <f t="shared" ref="A42:A43" si="55">H42*J42*(RIGHT(F42,2))*7.85/(10^6)</f>
        <v>3.8433600000000001</v>
      </c>
      <c r="B42" s="148">
        <f t="shared" ref="B42:B43" si="56">A42*L42</f>
        <v>99.927360000000007</v>
      </c>
      <c r="C42" s="150" t="s">
        <v>120</v>
      </c>
      <c r="D42" s="149" t="s">
        <v>122</v>
      </c>
      <c r="E42" s="149"/>
      <c r="F42" s="150" t="s">
        <v>123</v>
      </c>
      <c r="G42" s="149" t="s">
        <v>111</v>
      </c>
      <c r="H42" s="151">
        <v>120</v>
      </c>
      <c r="I42" s="150" t="s">
        <v>102</v>
      </c>
      <c r="J42" s="151">
        <v>340</v>
      </c>
      <c r="K42" s="151">
        <v>2</v>
      </c>
      <c r="L42" s="151">
        <f>K$42*L$36</f>
        <v>26</v>
      </c>
      <c r="M42" s="148">
        <f t="shared" ref="M42:M43" si="57">2*H42*J42/10^6*L42</f>
        <v>2.1215999999999999</v>
      </c>
      <c r="N42" s="150" t="s">
        <v>112</v>
      </c>
      <c r="P42" s="150"/>
      <c r="Q42" s="175">
        <v>4</v>
      </c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 t="s">
        <v>104</v>
      </c>
      <c r="AC42" s="170">
        <f>((((H42+J42)*2/1000)*L42*(5/(VLOOKUP(F42,[1]Plasmalõikus!$A$7:$E$46,2,FALSE)/1000*60)))+(Q42*L42*(5*(VLOOKUP(F42,[1]Plasmalõikus!$A$7:$E$48,3,FALSE))/60/60)))</f>
        <v>2.2244444444444444</v>
      </c>
      <c r="AD42" s="170">
        <f t="shared" ref="AD42:AD43" si="58">0.012*((H42+J42)*2/1000*L42)</f>
        <v>0.28704000000000002</v>
      </c>
      <c r="AE42" s="170"/>
      <c r="AF42" s="171"/>
      <c r="AG42" s="171">
        <f t="shared" ref="AG42:AG43" si="59">IF(VALUE(MID(F42,SEARCH(" ",F42)+1,LEN(F42)))&lt;35,0,IF(VALUE(MID(F42,SEARCH(" ",F42)+1,LEN(F42)))&lt;40,3,IF(VALUE(MID(F42,SEARCH(" ",F42)+1,LEN(F42)))&lt;50,4,IF(VALUE(MID(F42,SEARCH(" ",F42)+1,LEN(F42)))&lt;60,5,IF(VALUE(MID(F42,SEARCH(" ",F42)+1,LEN(F42)))&lt;70,6,IF(VALUE(MID(F42,SEARCH(" ",F42)+1,LEN(F42)))&lt;80,7,IF(VALUE(MID(F42,SEARCH(" ",F42)+1,LEN(F42)))&lt;90,8,IF(VALUE(MID(F42,SEARCH(" ",F42)+1,LEN(F42)))&lt;100,9,10))))))))/60*Q42*L42</f>
        <v>0</v>
      </c>
      <c r="AH42" s="170"/>
      <c r="AI42" s="165">
        <f t="shared" ref="AI42:AI43" si="60">AL42*L42/60</f>
        <v>6.5</v>
      </c>
      <c r="AJ42" s="98">
        <f>(H42*2*AK42)*L42/1000</f>
        <v>12.48</v>
      </c>
      <c r="AK42" s="77">
        <v>2</v>
      </c>
      <c r="AL42" s="201" t="str">
        <f>IF(AND(Q42&gt;0,A42&lt;3),"10",IF(AND(Q42&gt;0,A42&lt;10),"15",IF(AND(Q42&gt;0,A42&lt;20),"20",IF(AND(Q42&gt;0,A42&lt;500),"30",IF(AND(Q42=0,A42&lt;3),"2",IF(AND(Q42=0,A42&lt;10),"5",IF(AND(Q42=0,A42&lt;20),"10",IF(AND(Q42=0,A42&lt;500),"20","2"))))))))</f>
        <v>15</v>
      </c>
      <c r="AN42" s="94"/>
      <c r="AP42" s="180">
        <f>(VLOOKUP(F42,Terasehind!$A$2:$B$157,2,FALSE))</f>
        <v>0.74</v>
      </c>
      <c r="AQ42" s="77">
        <v>1.1000000000000001</v>
      </c>
      <c r="AR42" s="172">
        <f t="shared" ref="AR42:AR43" si="61">AP42*AQ42*B42</f>
        <v>81.34087104000001</v>
      </c>
      <c r="AT42" s="90"/>
      <c r="AU42" s="90"/>
      <c r="AV42" s="90"/>
      <c r="AW42" s="90"/>
      <c r="AX42" s="90"/>
      <c r="AY42" s="90"/>
      <c r="AZ42" s="90"/>
      <c r="BA42" s="230"/>
      <c r="BB42" s="139"/>
      <c r="BC42" s="230"/>
      <c r="BD42" s="85"/>
      <c r="BE42" s="85"/>
      <c r="BF42" s="85"/>
      <c r="BG42" s="85"/>
      <c r="BH42" s="85"/>
      <c r="BK42" s="85"/>
      <c r="BL42" s="85"/>
      <c r="BN42" s="139"/>
      <c r="BO42" s="111"/>
      <c r="BQ42" s="111"/>
      <c r="BR42" s="111"/>
    </row>
    <row r="43" spans="1:70" s="77" customFormat="1" ht="16.5" customHeight="1">
      <c r="A43" s="148">
        <f t="shared" si="55"/>
        <v>1.6956</v>
      </c>
      <c r="B43" s="148">
        <f t="shared" si="56"/>
        <v>44.085599999999999</v>
      </c>
      <c r="C43" s="150" t="s">
        <v>124</v>
      </c>
      <c r="D43" s="149" t="s">
        <v>125</v>
      </c>
      <c r="E43" s="149"/>
      <c r="F43" s="150" t="s">
        <v>123</v>
      </c>
      <c r="G43" s="149" t="s">
        <v>111</v>
      </c>
      <c r="H43" s="151">
        <v>120</v>
      </c>
      <c r="I43" s="150" t="s">
        <v>102</v>
      </c>
      <c r="J43" s="151">
        <v>150</v>
      </c>
      <c r="K43" s="151">
        <v>2</v>
      </c>
      <c r="L43" s="151">
        <f>K$43*L$36</f>
        <v>26</v>
      </c>
      <c r="M43" s="148">
        <f t="shared" si="57"/>
        <v>0.93599999999999994</v>
      </c>
      <c r="N43" s="150" t="s">
        <v>112</v>
      </c>
      <c r="P43" s="150"/>
      <c r="Q43" s="175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 t="s">
        <v>104</v>
      </c>
      <c r="AC43" s="170">
        <f>((((H43+J43)*2/1000)*L43*(5/(VLOOKUP(F43,[1]Plasmalõikus!$A$7:$E$46,2,FALSE)/1000*60)))+(Q43*L43*(5*(VLOOKUP(F43,[1]Plasmalõikus!$A$7:$E$48,3,FALSE))/60/60)))</f>
        <v>0.58499999999999996</v>
      </c>
      <c r="AD43" s="170">
        <f t="shared" si="58"/>
        <v>0.16848000000000002</v>
      </c>
      <c r="AE43" s="170"/>
      <c r="AF43" s="171"/>
      <c r="AG43" s="171">
        <f t="shared" si="59"/>
        <v>0</v>
      </c>
      <c r="AH43" s="170"/>
      <c r="AI43" s="165">
        <f t="shared" si="60"/>
        <v>0.8666666666666667</v>
      </c>
      <c r="AJ43" s="98">
        <f>(H43*2*AK43+J43*2*AK43)*L43/1000</f>
        <v>28.08</v>
      </c>
      <c r="AK43" s="77">
        <v>2</v>
      </c>
      <c r="AL43" s="201" t="str">
        <f>IF(AND(Q43&gt;0,A43&lt;3),"10",IF(AND(Q43&gt;0,A43&lt;10),"15",IF(AND(Q43&gt;0,A43&lt;20),"20",IF(AND(Q43&gt;0,A43&lt;500),"30",IF(AND(Q43=0,A43&lt;3),"2",IF(AND(Q43=0,A43&lt;10),"5",IF(AND(Q43=0,A43&lt;20),"10",IF(AND(Q43=0,A43&lt;500),"20","2"))))))))</f>
        <v>2</v>
      </c>
      <c r="AN43" s="94"/>
      <c r="AP43" s="180">
        <f>(VLOOKUP(F43,Terasehind!$A$2:$B$157,2,FALSE))</f>
        <v>0.74</v>
      </c>
      <c r="AQ43" s="77">
        <v>1.1000000000000001</v>
      </c>
      <c r="AR43" s="172">
        <f t="shared" si="61"/>
        <v>35.885678400000003</v>
      </c>
      <c r="AT43" s="90"/>
      <c r="AU43" s="90"/>
      <c r="AV43" s="90"/>
      <c r="AW43" s="90"/>
      <c r="AX43" s="90"/>
      <c r="AY43" s="90"/>
      <c r="AZ43" s="90"/>
      <c r="BA43" s="230"/>
      <c r="BB43" s="139"/>
      <c r="BC43" s="230"/>
      <c r="BD43" s="85"/>
      <c r="BE43" s="85"/>
      <c r="BF43" s="85"/>
      <c r="BG43" s="85"/>
      <c r="BH43" s="85"/>
      <c r="BK43" s="85"/>
      <c r="BL43" s="85"/>
      <c r="BN43" s="139"/>
      <c r="BO43" s="111"/>
      <c r="BQ43" s="111"/>
      <c r="BR43" s="111"/>
    </row>
    <row r="44" spans="1:70" s="77" customFormat="1" ht="16.5" customHeight="1">
      <c r="A44" s="148">
        <f t="shared" ref="A44" si="62">H44*J44*(RIGHT(F44,2))*7.85/(10^6)</f>
        <v>6.7117500000000003</v>
      </c>
      <c r="B44" s="148">
        <f t="shared" ref="B44" si="63">A44*L44</f>
        <v>174.50550000000001</v>
      </c>
      <c r="C44" s="150" t="s">
        <v>124</v>
      </c>
      <c r="D44" s="149" t="s">
        <v>126</v>
      </c>
      <c r="E44" s="149"/>
      <c r="F44" s="150" t="s">
        <v>127</v>
      </c>
      <c r="G44" s="149" t="s">
        <v>111</v>
      </c>
      <c r="H44" s="151">
        <v>150</v>
      </c>
      <c r="I44" s="150" t="s">
        <v>102</v>
      </c>
      <c r="J44" s="151">
        <v>190</v>
      </c>
      <c r="K44" s="151">
        <v>2</v>
      </c>
      <c r="L44" s="151">
        <f>K$44*L$36</f>
        <v>26</v>
      </c>
      <c r="M44" s="148">
        <f t="shared" ref="M44" si="64">2*H44*J44/10^6*L44</f>
        <v>1.482</v>
      </c>
      <c r="N44" s="150" t="s">
        <v>112</v>
      </c>
      <c r="P44" s="150"/>
      <c r="Q44" s="175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 t="s">
        <v>104</v>
      </c>
      <c r="AC44" s="170">
        <f>((((H44+J44)*2/1000)*L44*(5/(VLOOKUP(F44,[1]Plasmalõikus!$A$7:$E$46,2,FALSE)/1000*60)))+(Q44*L44*(5*(VLOOKUP(F44,[1]Plasmalõikus!$A$7:$E$48,3,FALSE))/60/60)))</f>
        <v>1.2277777777777779</v>
      </c>
      <c r="AD44" s="170">
        <f t="shared" ref="AD44" si="65">0.012*((H44+J44)*2/1000*L44)</f>
        <v>0.21215999999999999</v>
      </c>
      <c r="AE44" s="170"/>
      <c r="AF44" s="171">
        <f>(H44*1)*20/60/1000*L44</f>
        <v>1.3</v>
      </c>
      <c r="AG44" s="171">
        <f t="shared" ref="AG44" si="66">IF(VALUE(MID(F44,SEARCH(" ",F44)+1,LEN(F44)))&lt;35,0,IF(VALUE(MID(F44,SEARCH(" ",F44)+1,LEN(F44)))&lt;40,3,IF(VALUE(MID(F44,SEARCH(" ",F44)+1,LEN(F44)))&lt;50,4,IF(VALUE(MID(F44,SEARCH(" ",F44)+1,LEN(F44)))&lt;60,5,IF(VALUE(MID(F44,SEARCH(" ",F44)+1,LEN(F44)))&lt;70,6,IF(VALUE(MID(F44,SEARCH(" ",F44)+1,LEN(F44)))&lt;80,7,IF(VALUE(MID(F44,SEARCH(" ",F44)+1,LEN(F44)))&lt;90,8,IF(VALUE(MID(F44,SEARCH(" ",F44)+1,LEN(F44)))&lt;100,9,10))))))))/60*Q44*L44</f>
        <v>0</v>
      </c>
      <c r="AH44" s="170"/>
      <c r="AI44" s="165">
        <f t="shared" ref="AI44" si="67">AL44*L44/60</f>
        <v>2.1666666666666665</v>
      </c>
      <c r="AJ44" s="98">
        <f>(H44*2*AK44)*L44/1000</f>
        <v>23.4</v>
      </c>
      <c r="AK44" s="77">
        <v>3</v>
      </c>
      <c r="AL44" s="201" t="str">
        <f>IF(AND(Q44&gt;0,A44&lt;3),"10",IF(AND(Q44&gt;0,A44&lt;10),"15",IF(AND(Q44&gt;0,A44&lt;20),"20",IF(AND(Q44&gt;0,A44&lt;500),"30",IF(AND(Q44=0,A44&lt;3),"2",IF(AND(Q44=0,A44&lt;10),"5",IF(AND(Q44=0,A44&lt;20),"10",IF(AND(Q44=0,A44&lt;500),"20","2"))))))))</f>
        <v>5</v>
      </c>
      <c r="AN44" s="94"/>
      <c r="AP44" s="180">
        <f>(VLOOKUP(F44,Terasehind!$A$2:$B$157,2,FALSE))</f>
        <v>0.74</v>
      </c>
      <c r="AQ44" s="77">
        <v>1.1000000000000001</v>
      </c>
      <c r="AR44" s="172">
        <f t="shared" ref="AR44" si="68">AP44*AQ44*B44</f>
        <v>142.04747700000001</v>
      </c>
      <c r="AT44" s="90"/>
      <c r="AU44" s="90"/>
      <c r="AV44" s="90"/>
      <c r="AW44" s="90"/>
      <c r="AX44" s="90"/>
      <c r="AY44" s="90"/>
      <c r="AZ44" s="90"/>
      <c r="BA44" s="230"/>
      <c r="BB44" s="139"/>
      <c r="BC44" s="230"/>
      <c r="BD44" s="85"/>
      <c r="BE44" s="85"/>
      <c r="BF44" s="85"/>
      <c r="BG44" s="85"/>
      <c r="BH44" s="85"/>
      <c r="BK44" s="85"/>
      <c r="BL44" s="85"/>
      <c r="BN44" s="139"/>
      <c r="BO44" s="111"/>
      <c r="BQ44" s="111"/>
      <c r="BR44" s="111"/>
    </row>
    <row r="45" spans="1:70" s="77" customFormat="1">
      <c r="A45" s="148"/>
      <c r="B45" s="148"/>
      <c r="C45" s="150"/>
      <c r="D45" s="149"/>
      <c r="E45" s="149"/>
      <c r="F45" s="150"/>
      <c r="G45" s="149"/>
      <c r="H45" s="151"/>
      <c r="I45" s="150"/>
      <c r="J45" s="151"/>
      <c r="K45" s="151"/>
      <c r="L45" s="151"/>
      <c r="M45" s="148"/>
      <c r="N45" s="150"/>
      <c r="P45" s="150"/>
      <c r="Q45" s="211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70"/>
      <c r="AD45" s="170"/>
      <c r="AE45" s="170"/>
      <c r="AF45" s="170"/>
      <c r="AG45" s="170"/>
      <c r="AH45" s="170"/>
      <c r="AI45" s="165"/>
      <c r="AJ45" s="88"/>
      <c r="AN45" s="94"/>
      <c r="AP45" s="180"/>
      <c r="AR45" s="172"/>
      <c r="AT45" s="90"/>
      <c r="AU45" s="90"/>
      <c r="AV45" s="90"/>
      <c r="AW45" s="90"/>
      <c r="AX45" s="90"/>
      <c r="AY45" s="90"/>
      <c r="AZ45" s="90"/>
      <c r="BA45" s="236"/>
      <c r="BB45" s="164"/>
      <c r="BC45" s="229"/>
      <c r="BD45" s="164"/>
      <c r="BE45" s="164"/>
      <c r="BF45" s="85"/>
      <c r="BG45" s="85"/>
      <c r="BH45" s="85"/>
      <c r="BI45" s="85"/>
      <c r="BJ45" s="85"/>
      <c r="BK45" s="139"/>
      <c r="BL45" s="139"/>
      <c r="BM45" s="139"/>
      <c r="BN45" s="111"/>
      <c r="BP45" s="111"/>
      <c r="BQ45" s="111"/>
    </row>
    <row r="46" spans="1:70" s="77" customFormat="1">
      <c r="A46" s="182">
        <f>B46/L46</f>
        <v>313.79835000000003</v>
      </c>
      <c r="B46" s="182">
        <f>SUM(B52,B51,B50,B49,B48,B47,0)</f>
        <v>6275.9670000000006</v>
      </c>
      <c r="C46" s="187"/>
      <c r="D46" s="183" t="s">
        <v>100</v>
      </c>
      <c r="E46" s="183"/>
      <c r="F46" s="184" t="str">
        <f>"Post "&amp;F47</f>
        <v>Post CFRHS180x180x10</v>
      </c>
      <c r="G46" s="166"/>
      <c r="H46" s="185">
        <v>160</v>
      </c>
      <c r="I46" s="186" t="s">
        <v>102</v>
      </c>
      <c r="J46" s="185">
        <f>J47</f>
        <v>5415</v>
      </c>
      <c r="K46" s="168">
        <v>20</v>
      </c>
      <c r="L46" s="185">
        <f>$L$16*$K$46</f>
        <v>20</v>
      </c>
      <c r="M46" s="182">
        <f>SUM(M52,M51,M50,M49,M48,M47,0)</f>
        <v>84.807100000000005</v>
      </c>
      <c r="N46" s="186"/>
      <c r="O46" s="186"/>
      <c r="P46" s="186"/>
      <c r="Q46" s="186"/>
      <c r="R46" s="152"/>
      <c r="S46" s="152"/>
      <c r="T46" s="152"/>
      <c r="U46" s="152"/>
      <c r="V46" s="152"/>
      <c r="W46" s="150"/>
      <c r="X46" s="150" t="s">
        <v>104</v>
      </c>
      <c r="Y46" s="186">
        <v>4</v>
      </c>
      <c r="Z46" s="186"/>
      <c r="AA46" s="186"/>
      <c r="AB46" s="186"/>
      <c r="AC46" s="182">
        <f>SUM(AC52,AC51,AC50,AC49,AC48,AC47,0)</f>
        <v>12.635092592592592</v>
      </c>
      <c r="AD46" s="182">
        <f>SUM(AD52,AD51,AD50,AD49,AD48,AD47,0)</f>
        <v>1.2191999999999998</v>
      </c>
      <c r="AE46" s="182">
        <f>SUM(AE52,AE51,AE50,AE49,AE48,AE47,0)</f>
        <v>6</v>
      </c>
      <c r="AF46" s="182">
        <f>SUM(AF52,AF51,AF50,AF49,AF48,AF47,0)</f>
        <v>9.6</v>
      </c>
      <c r="AG46" s="182">
        <f>SUM(AG52,AG51,AG50,AG49,AG48,AG47,0)</f>
        <v>0</v>
      </c>
      <c r="AH46" s="137">
        <f>SUM(AC46:AG46)</f>
        <v>29.454292592592594</v>
      </c>
      <c r="AI46" s="137">
        <f>SUM(AI52,AI51,AI50,AI49,AI48,AI47,0)</f>
        <v>29.000000000000004</v>
      </c>
      <c r="AJ46" s="182">
        <f>SUM(AJ52,AJ51,AJ50,AJ49,AJ48,AJ47,0)</f>
        <v>205.60000000000002</v>
      </c>
      <c r="AK46" s="137">
        <f>AJ46*10/60</f>
        <v>34.266666666666666</v>
      </c>
      <c r="AL46" s="182">
        <f>AH46+AI46+AK46</f>
        <v>92.72095925925926</v>
      </c>
      <c r="AM46" s="182">
        <f>B46/AL46</f>
        <v>67.68660559746391</v>
      </c>
      <c r="AN46" s="182">
        <f>AL46*46</f>
        <v>4265.1641259259259</v>
      </c>
      <c r="AO46" s="182">
        <f>AN46/B46</f>
        <v>0.67960270121336286</v>
      </c>
      <c r="AP46" s="182">
        <f>AR46/B46</f>
        <v>0.86211920617173432</v>
      </c>
      <c r="AQ46" s="95"/>
      <c r="AR46" s="182">
        <f>SUM(AR52,AR51,AR50,AR49,AR48,AR47,0)</f>
        <v>5410.6316880000013</v>
      </c>
      <c r="AT46" s="82"/>
      <c r="AU46" s="82"/>
      <c r="AV46" s="82"/>
      <c r="AW46" s="82"/>
      <c r="AX46" s="93"/>
      <c r="AY46" s="82"/>
      <c r="AZ46" s="82"/>
      <c r="BA46" s="234"/>
      <c r="BB46" s="164"/>
      <c r="BC46" s="229"/>
      <c r="BD46" s="85"/>
      <c r="BE46" s="85"/>
      <c r="BF46" s="85"/>
      <c r="BG46" s="85"/>
      <c r="BH46" s="85"/>
      <c r="BI46" s="85"/>
      <c r="BJ46" s="88"/>
    </row>
    <row r="47" spans="1:70" s="77" customFormat="1">
      <c r="A47" s="148">
        <f xml:space="preserve"> 50.7*J47/10^3</f>
        <v>274.54050000000001</v>
      </c>
      <c r="B47" s="148">
        <f>A47*L47</f>
        <v>5490.81</v>
      </c>
      <c r="C47" s="173" t="s">
        <v>105</v>
      </c>
      <c r="D47" s="149" t="s">
        <v>100</v>
      </c>
      <c r="E47" s="149"/>
      <c r="F47" s="150" t="s">
        <v>128</v>
      </c>
      <c r="G47" s="174" t="s">
        <v>107</v>
      </c>
      <c r="H47" s="151">
        <v>180</v>
      </c>
      <c r="I47" s="150" t="s">
        <v>102</v>
      </c>
      <c r="J47" s="151">
        <v>5415</v>
      </c>
      <c r="K47" s="77">
        <v>1</v>
      </c>
      <c r="L47" s="151">
        <f>K$47*L$46</f>
        <v>20</v>
      </c>
      <c r="M47" s="164">
        <f xml:space="preserve"> 0.677*J47*L47/10^3</f>
        <v>73.319100000000006</v>
      </c>
      <c r="N47" s="150"/>
      <c r="O47" s="150"/>
      <c r="P47" s="150" t="s">
        <v>104</v>
      </c>
      <c r="Q47" s="169"/>
      <c r="R47" s="150"/>
      <c r="S47" s="150"/>
      <c r="T47" s="150"/>
      <c r="U47" s="150"/>
      <c r="V47" s="150"/>
      <c r="W47" s="150"/>
      <c r="Y47" s="150"/>
      <c r="Z47" s="150"/>
      <c r="AA47" s="150"/>
      <c r="AB47" s="150" t="s">
        <v>104</v>
      </c>
      <c r="AC47" s="148"/>
      <c r="AD47" s="111"/>
      <c r="AE47" s="170">
        <f>(H47/20/60)*2*L47</f>
        <v>6</v>
      </c>
      <c r="AF47" s="171">
        <f>(H47*4)*2*20/60/1000*L47</f>
        <v>9.6</v>
      </c>
      <c r="AG47" s="165">
        <f>Q47*L47*0.5/60</f>
        <v>0</v>
      </c>
      <c r="AH47" s="111"/>
      <c r="AI47" s="165">
        <f>AL47*L47/60</f>
        <v>6.666666666666667</v>
      </c>
      <c r="AJ47" s="98">
        <f>(H47*4*AK47)*2*L47/1000</f>
        <v>172.8</v>
      </c>
      <c r="AK47" s="77">
        <f>(VLOOKUP(F47,[1]Koostamine!$A$12:$E$1603,3,FALSE))</f>
        <v>6</v>
      </c>
      <c r="AL47" s="97">
        <f>VLOOKUP(F47,[1]Koostamine!$A$12:$K$1603,IF(J47&lt;1499,6,IF(J47&lt;2999,7,IF(J47&lt;5999,8,IF(J47&lt;9999,9,IF(J47&lt;12999,10,IF(J47&gt;13000,11)))))),FALSE)</f>
        <v>20</v>
      </c>
      <c r="AP47" s="180">
        <f>(VLOOKUP(F47,Terasehind!$A$2:$B$157,2,FALSE))</f>
        <v>0.79</v>
      </c>
      <c r="AQ47" s="77">
        <f>(VLOOKUP(F47,Terasehind!$A$2:$C$157,3,FALSE))</f>
        <v>1.1000000000000001</v>
      </c>
      <c r="AR47" s="172">
        <f>AP47*AQ47*B47</f>
        <v>4771.5138900000011</v>
      </c>
      <c r="AT47" s="90"/>
      <c r="AU47" s="90"/>
      <c r="AV47" s="90"/>
      <c r="AW47" s="90"/>
      <c r="AX47" s="90"/>
      <c r="AY47" s="90"/>
      <c r="AZ47" s="90"/>
      <c r="BA47" s="236"/>
      <c r="BB47" s="164"/>
      <c r="BC47" s="229"/>
      <c r="BD47" s="164"/>
      <c r="BE47" s="164"/>
      <c r="BF47" s="85"/>
      <c r="BG47" s="85"/>
      <c r="BH47" s="85"/>
      <c r="BI47" s="85"/>
      <c r="BJ47" s="85"/>
      <c r="BK47" s="88"/>
      <c r="BL47" s="85"/>
      <c r="BM47" s="88"/>
      <c r="BN47" s="111"/>
      <c r="BP47" s="139"/>
    </row>
    <row r="48" spans="1:70" s="77" customFormat="1">
      <c r="A48" s="148">
        <f t="shared" ref="A48:A51" si="69">H48*J48*(RIGHT(F48,2))*7.85/(10^6)</f>
        <v>14.13</v>
      </c>
      <c r="B48" s="148">
        <f t="shared" ref="B48:B51" si="70">A48*L48</f>
        <v>282.60000000000002</v>
      </c>
      <c r="C48" s="150" t="s">
        <v>108</v>
      </c>
      <c r="D48" s="149" t="s">
        <v>109</v>
      </c>
      <c r="E48" s="149"/>
      <c r="F48" s="150" t="s">
        <v>115</v>
      </c>
      <c r="G48" s="149" t="s">
        <v>111</v>
      </c>
      <c r="H48" s="151">
        <v>300</v>
      </c>
      <c r="I48" s="150" t="s">
        <v>102</v>
      </c>
      <c r="J48" s="151">
        <v>300</v>
      </c>
      <c r="K48" s="151">
        <v>1</v>
      </c>
      <c r="L48" s="151">
        <f>K$48*L$46</f>
        <v>20</v>
      </c>
      <c r="M48" s="148">
        <f t="shared" ref="M48:M51" si="71">2*H48*J48/10^6*L48</f>
        <v>3.5999999999999996</v>
      </c>
      <c r="N48" s="150" t="s">
        <v>112</v>
      </c>
      <c r="P48" s="150"/>
      <c r="Q48" s="169">
        <v>4</v>
      </c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 t="s">
        <v>104</v>
      </c>
      <c r="AC48" s="170">
        <f>((((H48+J48)*2/1000)*L48*(5/(VLOOKUP(F48,[1]Plasmalõikus!$A$7:$E$46,2,FALSE)/1000*60)))+(Q48*L48*(5*(VLOOKUP(F48,[1]Plasmalõikus!$A$7:$E$48,3,FALSE))/60/60)))</f>
        <v>2.583333333333333</v>
      </c>
      <c r="AD48" s="170">
        <f t="shared" ref="AD48:AD51" si="72">0.012*((H48+J48)*2/1000*L48)</f>
        <v>0.28800000000000003</v>
      </c>
      <c r="AE48" s="170"/>
      <c r="AF48" s="171"/>
      <c r="AG48" s="171">
        <f t="shared" ref="AG48:AG51" si="73">IF(VALUE(MID(F48,SEARCH(" ",F48)+1,LEN(F48)))&lt;35,0,IF(VALUE(MID(F48,SEARCH(" ",F48)+1,LEN(F48)))&lt;40,3,IF(VALUE(MID(F48,SEARCH(" ",F48)+1,LEN(F48)))&lt;50,4,IF(VALUE(MID(F48,SEARCH(" ",F48)+1,LEN(F48)))&lt;60,5,IF(VALUE(MID(F48,SEARCH(" ",F48)+1,LEN(F48)))&lt;70,6,IF(VALUE(MID(F48,SEARCH(" ",F48)+1,LEN(F48)))&lt;80,7,IF(VALUE(MID(F48,SEARCH(" ",F48)+1,LEN(F48)))&lt;90,8,IF(VALUE(MID(F48,SEARCH(" ",F48)+1,LEN(F48)))&lt;100,9,10))))))))/60*Q48*L48</f>
        <v>0</v>
      </c>
      <c r="AH48" s="170"/>
      <c r="AI48" s="165">
        <f t="shared" ref="AI48:AI51" si="74">AL48*L48/60</f>
        <v>3.3333333333333335</v>
      </c>
      <c r="AJ48" s="98"/>
      <c r="AK48" s="77">
        <v>6</v>
      </c>
      <c r="AL48" s="201" t="str">
        <f t="shared" ref="AL48:AL49" si="75">IF(A48&gt;40,"30",IF(A48&gt;10,"10",IF(A48&gt;20,"20","2")))</f>
        <v>10</v>
      </c>
      <c r="AN48" s="94"/>
      <c r="AP48" s="180">
        <f>(VLOOKUP(F48,Terasehind!$A$2:$B$157,2,FALSE))</f>
        <v>0.74</v>
      </c>
      <c r="AQ48" s="77">
        <v>1.1000000000000001</v>
      </c>
      <c r="AR48" s="172">
        <f t="shared" ref="AR48:AR51" si="76">AP48*AQ48*B48</f>
        <v>230.03640000000004</v>
      </c>
      <c r="AT48" s="90"/>
      <c r="AU48" s="90"/>
      <c r="AV48" s="90"/>
      <c r="AW48" s="90"/>
      <c r="AX48" s="90"/>
      <c r="AY48" s="90"/>
      <c r="AZ48" s="90"/>
      <c r="BA48" s="236"/>
      <c r="BB48" s="164"/>
      <c r="BC48" s="229"/>
      <c r="BD48" s="164"/>
      <c r="BE48" s="164"/>
      <c r="BF48" s="164"/>
      <c r="BG48" s="85"/>
      <c r="BH48" s="85"/>
      <c r="BI48" s="85"/>
      <c r="BJ48" s="85"/>
      <c r="BK48" s="85"/>
      <c r="BL48" s="139"/>
      <c r="BM48" s="139"/>
      <c r="BN48" s="139"/>
      <c r="BO48" s="111"/>
      <c r="BQ48" s="111"/>
      <c r="BR48" s="111"/>
    </row>
    <row r="49" spans="1:70" s="77" customFormat="1">
      <c r="A49" s="148">
        <f t="shared" si="69"/>
        <v>2.5434000000000001</v>
      </c>
      <c r="B49" s="148">
        <f t="shared" si="70"/>
        <v>50.868000000000002</v>
      </c>
      <c r="C49" s="150" t="s">
        <v>108</v>
      </c>
      <c r="D49" s="149" t="s">
        <v>114</v>
      </c>
      <c r="E49" s="149"/>
      <c r="F49" s="150" t="s">
        <v>110</v>
      </c>
      <c r="G49" s="149" t="s">
        <v>111</v>
      </c>
      <c r="H49" s="151">
        <v>180</v>
      </c>
      <c r="I49" s="150" t="s">
        <v>102</v>
      </c>
      <c r="J49" s="151">
        <v>180</v>
      </c>
      <c r="K49" s="151">
        <v>1</v>
      </c>
      <c r="L49" s="151">
        <f>K$49*L$46</f>
        <v>20</v>
      </c>
      <c r="M49" s="148">
        <f t="shared" si="71"/>
        <v>1.2959999999999998</v>
      </c>
      <c r="N49" s="150" t="s">
        <v>112</v>
      </c>
      <c r="P49" s="150"/>
      <c r="Q49" s="169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 t="s">
        <v>104</v>
      </c>
      <c r="AC49" s="170">
        <f>((((H49+J49)*2/1000)*L49*(5/(VLOOKUP(F49,[1]Plasmalõikus!$A$7:$E$46,2,FALSE)/1000*60)))+(Q49*L49*(5*(VLOOKUP(F49,[1]Plasmalõikus!$A$7:$E$48,3,FALSE))/60/60)))</f>
        <v>0.47999999999999993</v>
      </c>
      <c r="AD49" s="170">
        <f t="shared" si="72"/>
        <v>0.17279999999999998</v>
      </c>
      <c r="AE49" s="170"/>
      <c r="AF49" s="171"/>
      <c r="AG49" s="171">
        <f t="shared" si="73"/>
        <v>0</v>
      </c>
      <c r="AH49" s="170"/>
      <c r="AI49" s="165">
        <f t="shared" si="74"/>
        <v>0.66666666666666663</v>
      </c>
      <c r="AJ49" s="98"/>
      <c r="AK49" s="77">
        <v>6</v>
      </c>
      <c r="AL49" s="201" t="str">
        <f t="shared" si="75"/>
        <v>2</v>
      </c>
      <c r="AN49" s="94"/>
      <c r="AP49" s="180">
        <f>(VLOOKUP(F49,Terasehind!$A$2:$B$157,2,FALSE))</f>
        <v>0.74</v>
      </c>
      <c r="AQ49" s="77">
        <v>1.1000000000000001</v>
      </c>
      <c r="AR49" s="172">
        <f t="shared" si="76"/>
        <v>41.406552000000005</v>
      </c>
      <c r="AT49" s="90"/>
      <c r="AU49" s="90"/>
      <c r="AV49" s="90"/>
      <c r="AW49" s="90"/>
      <c r="AX49" s="90"/>
      <c r="AY49" s="90"/>
      <c r="AZ49" s="90"/>
      <c r="BA49" s="236"/>
      <c r="BB49" s="164"/>
      <c r="BC49" s="229"/>
      <c r="BD49" s="164"/>
      <c r="BE49" s="164"/>
      <c r="BF49" s="164"/>
      <c r="BG49" s="85"/>
      <c r="BH49" s="85"/>
      <c r="BI49" s="85"/>
      <c r="BJ49" s="85"/>
      <c r="BK49" s="85"/>
      <c r="BL49" s="139"/>
      <c r="BM49" s="139"/>
      <c r="BN49" s="139"/>
      <c r="BO49" s="111"/>
      <c r="BQ49" s="111"/>
      <c r="BR49" s="111"/>
    </row>
    <row r="50" spans="1:70" s="77" customFormat="1" ht="16.5" customHeight="1">
      <c r="A50" s="148">
        <f t="shared" si="69"/>
        <v>12.717000000000001</v>
      </c>
      <c r="B50" s="148">
        <f t="shared" si="70"/>
        <v>254.34</v>
      </c>
      <c r="C50" s="150" t="s">
        <v>113</v>
      </c>
      <c r="D50" s="149" t="s">
        <v>119</v>
      </c>
      <c r="E50" s="149"/>
      <c r="F50" s="150" t="s">
        <v>115</v>
      </c>
      <c r="G50" s="149" t="s">
        <v>111</v>
      </c>
      <c r="H50" s="151">
        <v>180</v>
      </c>
      <c r="I50" s="150" t="s">
        <v>102</v>
      </c>
      <c r="J50" s="151">
        <v>450</v>
      </c>
      <c r="K50" s="151">
        <v>1</v>
      </c>
      <c r="L50" s="151">
        <f>K$50*L$46</f>
        <v>20</v>
      </c>
      <c r="M50" s="148">
        <f t="shared" si="71"/>
        <v>3.24</v>
      </c>
      <c r="N50" s="150" t="s">
        <v>112</v>
      </c>
      <c r="P50" s="150"/>
      <c r="Q50" s="175">
        <v>12</v>
      </c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 t="s">
        <v>104</v>
      </c>
      <c r="AC50" s="170">
        <f>((((H50+J50)*2/1000)*L50*(5/(VLOOKUP(F50,[1]Plasmalõikus!$A$7:$E$46,2,FALSE)/1000*60)))+(Q50*L50*(5*(VLOOKUP(F50,[1]Plasmalõikus!$A$7:$E$48,3,FALSE))/60/60)))</f>
        <v>5.3125</v>
      </c>
      <c r="AD50" s="170">
        <f t="shared" si="72"/>
        <v>0.3024</v>
      </c>
      <c r="AE50" s="170"/>
      <c r="AF50" s="171"/>
      <c r="AG50" s="171">
        <f t="shared" si="73"/>
        <v>0</v>
      </c>
      <c r="AH50" s="170"/>
      <c r="AI50" s="165">
        <f t="shared" si="74"/>
        <v>6.666666666666667</v>
      </c>
      <c r="AJ50" s="98">
        <f>(H50*4*AK50)*L50/1000</f>
        <v>14.4</v>
      </c>
      <c r="AK50" s="77">
        <v>1</v>
      </c>
      <c r="AL50" s="201" t="str">
        <f>IF(AND(Q50&gt;0,A50&lt;3),"10",IF(AND(Q50&gt;0,A50&lt;10),"15",IF(AND(Q50&gt;0,A50&lt;20),"20",IF(AND(Q50&gt;0,A50&lt;500),"30",IF(AND(Q50=0,A50&lt;3),"2",IF(AND(Q50=0,A50&lt;10),"5",IF(AND(Q50=0,A50&lt;20),"10",IF(AND(Q50=0,A50&lt;500),"20","2"))))))))</f>
        <v>20</v>
      </c>
      <c r="AN50" s="94"/>
      <c r="AP50" s="180">
        <f>(VLOOKUP(F50,Terasehind!$A$2:$B$157,2,FALSE))</f>
        <v>0.74</v>
      </c>
      <c r="AQ50" s="77">
        <v>1.1000000000000001</v>
      </c>
      <c r="AR50" s="172">
        <f t="shared" si="76"/>
        <v>207.03276000000002</v>
      </c>
      <c r="AT50" s="90"/>
      <c r="AU50" s="90"/>
      <c r="AV50" s="90"/>
      <c r="AW50" s="90"/>
      <c r="AX50" s="90"/>
      <c r="AY50" s="90"/>
      <c r="AZ50" s="90"/>
      <c r="BA50" s="230"/>
      <c r="BB50" s="139"/>
      <c r="BC50" s="230"/>
      <c r="BD50" s="85"/>
      <c r="BE50" s="85"/>
      <c r="BF50" s="85"/>
      <c r="BG50" s="85"/>
      <c r="BH50" s="85"/>
      <c r="BK50" s="85"/>
      <c r="BL50" s="85"/>
      <c r="BN50" s="139"/>
      <c r="BO50" s="111"/>
      <c r="BQ50" s="111"/>
      <c r="BR50" s="111"/>
    </row>
    <row r="51" spans="1:70" s="77" customFormat="1" ht="16.5" customHeight="1">
      <c r="A51" s="148">
        <f t="shared" si="69"/>
        <v>1.6956</v>
      </c>
      <c r="B51" s="148">
        <f t="shared" si="70"/>
        <v>67.823999999999998</v>
      </c>
      <c r="C51" s="150" t="s">
        <v>113</v>
      </c>
      <c r="D51" s="149" t="s">
        <v>121</v>
      </c>
      <c r="E51" s="149"/>
      <c r="F51" s="150" t="s">
        <v>117</v>
      </c>
      <c r="G51" s="149" t="s">
        <v>111</v>
      </c>
      <c r="H51" s="151">
        <v>120</v>
      </c>
      <c r="I51" s="150" t="s">
        <v>102</v>
      </c>
      <c r="J51" s="151">
        <v>120</v>
      </c>
      <c r="K51" s="151">
        <v>2</v>
      </c>
      <c r="L51" s="151">
        <f>K$51*L$46</f>
        <v>40</v>
      </c>
      <c r="M51" s="148">
        <f t="shared" si="71"/>
        <v>1.1519999999999999</v>
      </c>
      <c r="N51" s="150" t="s">
        <v>112</v>
      </c>
      <c r="P51" s="150"/>
      <c r="Q51" s="175">
        <v>2</v>
      </c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 t="s">
        <v>104</v>
      </c>
      <c r="AC51" s="170">
        <f>((((H51+J51)*2/1000)*L51*(5/(VLOOKUP(F51,[1]Plasmalõikus!$A$7:$E$46,2,FALSE)/1000*60)))+(Q51*L51*(5*(VLOOKUP(F51,[1]Plasmalõikus!$A$7:$E$48,3,FALSE))/60/60)))</f>
        <v>1.8888888888888888</v>
      </c>
      <c r="AD51" s="170">
        <f t="shared" si="72"/>
        <v>0.23039999999999999</v>
      </c>
      <c r="AE51" s="170"/>
      <c r="AF51" s="171"/>
      <c r="AG51" s="171">
        <f t="shared" si="73"/>
        <v>0</v>
      </c>
      <c r="AH51" s="170"/>
      <c r="AI51" s="165">
        <f t="shared" si="74"/>
        <v>6.666666666666667</v>
      </c>
      <c r="AJ51" s="98">
        <f>(H51*2*AK51)*L51/1000</f>
        <v>9.6</v>
      </c>
      <c r="AK51" s="77">
        <v>1</v>
      </c>
      <c r="AL51" s="201" t="str">
        <f>IF(AND(Q51&gt;0,A51&lt;3),"10",IF(AND(Q51&gt;0,A51&lt;10),"15",IF(AND(Q51&gt;0,A51&lt;20),"20",IF(AND(Q51&gt;0,A51&lt;500),"30",IF(AND(Q51=0,A51&lt;3),"2",IF(AND(Q51=0,A51&lt;10),"5",IF(AND(Q51=0,A51&lt;20),"10",IF(AND(Q51=0,A51&lt;500),"20","2"))))))))</f>
        <v>10</v>
      </c>
      <c r="AN51" s="94"/>
      <c r="AP51" s="180">
        <f>(VLOOKUP(F51,Terasehind!$A$2:$B$157,2,FALSE))</f>
        <v>0.74</v>
      </c>
      <c r="AQ51" s="77">
        <v>1.1000000000000001</v>
      </c>
      <c r="AR51" s="172">
        <f t="shared" si="76"/>
        <v>55.208736000000002</v>
      </c>
      <c r="AT51" s="90"/>
      <c r="AU51" s="90"/>
      <c r="AV51" s="90"/>
      <c r="AW51" s="90"/>
      <c r="AX51" s="90"/>
      <c r="AY51" s="90"/>
      <c r="AZ51" s="90"/>
      <c r="BA51" s="230"/>
      <c r="BB51" s="139"/>
      <c r="BC51" s="230"/>
      <c r="BD51" s="85"/>
      <c r="BE51" s="85"/>
      <c r="BF51" s="85"/>
      <c r="BG51" s="85"/>
      <c r="BH51" s="85"/>
      <c r="BK51" s="85"/>
      <c r="BL51" s="85"/>
      <c r="BN51" s="139"/>
      <c r="BO51" s="111"/>
      <c r="BQ51" s="111"/>
      <c r="BR51" s="111"/>
    </row>
    <row r="52" spans="1:70" s="77" customFormat="1" ht="16.5" customHeight="1">
      <c r="A52" s="148">
        <f t="shared" ref="A52" si="77">H52*J52*(RIGHT(F52,2))*7.85/(10^6)</f>
        <v>6.4762500000000003</v>
      </c>
      <c r="B52" s="148">
        <f t="shared" ref="B52" si="78">A52*L52</f>
        <v>129.52500000000001</v>
      </c>
      <c r="C52" s="150" t="s">
        <v>113</v>
      </c>
      <c r="D52" s="149" t="s">
        <v>122</v>
      </c>
      <c r="E52" s="149"/>
      <c r="F52" s="150" t="s">
        <v>117</v>
      </c>
      <c r="G52" s="149" t="s">
        <v>111</v>
      </c>
      <c r="H52" s="151">
        <v>220</v>
      </c>
      <c r="I52" s="150" t="s">
        <v>102</v>
      </c>
      <c r="J52" s="151">
        <v>250</v>
      </c>
      <c r="K52" s="151">
        <v>1</v>
      </c>
      <c r="L52" s="151">
        <f>K$52*L$46</f>
        <v>20</v>
      </c>
      <c r="M52" s="148">
        <f t="shared" ref="M52" si="79">2*H52*J52/10^6*L52</f>
        <v>2.2000000000000002</v>
      </c>
      <c r="N52" s="150" t="s">
        <v>112</v>
      </c>
      <c r="P52" s="150"/>
      <c r="Q52" s="175">
        <v>6</v>
      </c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 t="s">
        <v>104</v>
      </c>
      <c r="AC52" s="170">
        <f>((((H52+J52)*2/1000)*L52*(5/(VLOOKUP(F52,[1]Plasmalõikus!$A$7:$E$46,2,FALSE)/1000*60)))+(Q52*L52*(5*(VLOOKUP(F52,[1]Plasmalõikus!$A$7:$E$48,3,FALSE))/60/60)))</f>
        <v>2.3703703703703702</v>
      </c>
      <c r="AD52" s="170">
        <f t="shared" ref="AD52" si="80">0.012*((H52+J52)*2/1000*L52)</f>
        <v>0.22559999999999997</v>
      </c>
      <c r="AE52" s="170"/>
      <c r="AF52" s="171"/>
      <c r="AG52" s="171">
        <f t="shared" ref="AG52" si="81">IF(VALUE(MID(F52,SEARCH(" ",F52)+1,LEN(F52)))&lt;35,0,IF(VALUE(MID(F52,SEARCH(" ",F52)+1,LEN(F52)))&lt;40,3,IF(VALUE(MID(F52,SEARCH(" ",F52)+1,LEN(F52)))&lt;50,4,IF(VALUE(MID(F52,SEARCH(" ",F52)+1,LEN(F52)))&lt;60,5,IF(VALUE(MID(F52,SEARCH(" ",F52)+1,LEN(F52)))&lt;70,6,IF(VALUE(MID(F52,SEARCH(" ",F52)+1,LEN(F52)))&lt;80,7,IF(VALUE(MID(F52,SEARCH(" ",F52)+1,LEN(F52)))&lt;90,8,IF(VALUE(MID(F52,SEARCH(" ",F52)+1,LEN(F52)))&lt;100,9,10))))))))/60*Q52*L52</f>
        <v>0</v>
      </c>
      <c r="AH52" s="170"/>
      <c r="AI52" s="165">
        <f t="shared" ref="AI52" si="82">AL52*L52/60</f>
        <v>5</v>
      </c>
      <c r="AJ52" s="98">
        <f>(H52*2*AK52)*L52/1000</f>
        <v>8.8000000000000007</v>
      </c>
      <c r="AK52" s="77">
        <v>1</v>
      </c>
      <c r="AL52" s="201" t="str">
        <f>IF(AND(Q52&gt;0,A52&lt;3),"10",IF(AND(Q52&gt;0,A52&lt;10),"15",IF(AND(Q52&gt;0,A52&lt;20),"20",IF(AND(Q52&gt;0,A52&lt;500),"30",IF(AND(Q52=0,A52&lt;3),"2",IF(AND(Q52=0,A52&lt;10),"5",IF(AND(Q52=0,A52&lt;20),"10",IF(AND(Q52=0,A52&lt;500),"20","2"))))))))</f>
        <v>15</v>
      </c>
      <c r="AN52" s="94"/>
      <c r="AP52" s="180">
        <f>(VLOOKUP(F52,Terasehind!$A$2:$B$157,2,FALSE))</f>
        <v>0.74</v>
      </c>
      <c r="AQ52" s="77">
        <v>1.1000000000000001</v>
      </c>
      <c r="AR52" s="172">
        <f t="shared" ref="AR52" si="83">AP52*AQ52*B52</f>
        <v>105.43335000000002</v>
      </c>
      <c r="AT52" s="90"/>
      <c r="AU52" s="90"/>
      <c r="AV52" s="90"/>
      <c r="AW52" s="90"/>
      <c r="AX52" s="90"/>
      <c r="AY52" s="90"/>
      <c r="AZ52" s="90"/>
      <c r="BA52" s="230"/>
      <c r="BB52" s="139"/>
      <c r="BC52" s="230"/>
      <c r="BD52" s="85"/>
      <c r="BE52" s="85"/>
      <c r="BF52" s="85"/>
      <c r="BG52" s="85"/>
      <c r="BH52" s="85"/>
      <c r="BK52" s="85"/>
      <c r="BL52" s="85"/>
      <c r="BN52" s="139"/>
      <c r="BO52" s="111"/>
      <c r="BQ52" s="111"/>
      <c r="BR52" s="111"/>
    </row>
    <row r="53" spans="1:70" s="77" customFormat="1">
      <c r="A53" s="148"/>
      <c r="B53" s="148"/>
      <c r="C53" s="150"/>
      <c r="D53" s="149"/>
      <c r="E53" s="149"/>
      <c r="F53" s="150"/>
      <c r="G53" s="149"/>
      <c r="H53" s="151"/>
      <c r="I53" s="150"/>
      <c r="J53" s="151"/>
      <c r="K53" s="151"/>
      <c r="L53" s="151"/>
      <c r="M53" s="148"/>
      <c r="N53" s="150"/>
      <c r="P53" s="150"/>
      <c r="Q53" s="211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70"/>
      <c r="AD53" s="170"/>
      <c r="AE53" s="170"/>
      <c r="AF53" s="170"/>
      <c r="AG53" s="170"/>
      <c r="AH53" s="170"/>
      <c r="AI53" s="165"/>
      <c r="AJ53" s="88"/>
      <c r="AN53" s="94"/>
      <c r="AP53" s="180"/>
      <c r="AR53" s="172"/>
      <c r="AT53" s="90"/>
      <c r="AU53" s="90"/>
      <c r="AV53" s="90"/>
      <c r="AW53" s="90"/>
      <c r="AX53" s="90"/>
      <c r="AY53" s="90"/>
      <c r="AZ53" s="90"/>
      <c r="BA53" s="236"/>
      <c r="BB53" s="164"/>
      <c r="BC53" s="229"/>
      <c r="BD53" s="164"/>
      <c r="BE53" s="164"/>
      <c r="BF53" s="85"/>
      <c r="BG53" s="85"/>
      <c r="BH53" s="85"/>
      <c r="BI53" s="85"/>
      <c r="BJ53" s="85"/>
      <c r="BK53" s="139"/>
      <c r="BL53" s="139"/>
      <c r="BM53" s="139"/>
      <c r="BN53" s="111"/>
      <c r="BP53" s="111"/>
      <c r="BQ53" s="111"/>
    </row>
    <row r="54" spans="1:70" s="77" customFormat="1">
      <c r="A54" s="182">
        <f>B54/L54</f>
        <v>315.54581999999999</v>
      </c>
      <c r="B54" s="182">
        <f>SUM(B60,B59,B58,B57,B56,B55,0)</f>
        <v>2524.3665599999999</v>
      </c>
      <c r="C54" s="187"/>
      <c r="D54" s="183" t="s">
        <v>100</v>
      </c>
      <c r="E54" s="183"/>
      <c r="F54" s="184" t="str">
        <f>"Post "&amp;F55</f>
        <v>Post CFRHS180x180x8</v>
      </c>
      <c r="G54" s="166"/>
      <c r="H54" s="185">
        <v>160</v>
      </c>
      <c r="I54" s="186" t="s">
        <v>102</v>
      </c>
      <c r="J54" s="185">
        <f>J55</f>
        <v>6600</v>
      </c>
      <c r="K54" s="168">
        <v>8</v>
      </c>
      <c r="L54" s="185">
        <f>$L$16*$K$54</f>
        <v>8</v>
      </c>
      <c r="M54" s="182">
        <f>SUM(M60,M59,M58,M57,M56,M55,0)</f>
        <v>41.820800000000006</v>
      </c>
      <c r="N54" s="186"/>
      <c r="O54" s="186"/>
      <c r="P54" s="186"/>
      <c r="Q54" s="186"/>
      <c r="R54" s="152"/>
      <c r="S54" s="152"/>
      <c r="T54" s="152"/>
      <c r="U54" s="152"/>
      <c r="V54" s="152"/>
      <c r="W54" s="150"/>
      <c r="X54" s="150" t="s">
        <v>104</v>
      </c>
      <c r="Y54" s="186">
        <v>4</v>
      </c>
      <c r="Z54" s="186"/>
      <c r="AA54" s="186"/>
      <c r="AB54" s="186"/>
      <c r="AC54" s="182">
        <f>SUM(AC60,AC59,AC58,AC57,AC56,AC55,0)</f>
        <v>5.1059259259259262</v>
      </c>
      <c r="AD54" s="182">
        <f>SUM(AD60,AD59,AD58,AD57,AD56,AD55,0)</f>
        <v>0.70848</v>
      </c>
      <c r="AE54" s="182">
        <f>SUM(AE60,AE59,AE58,AE57,AE56,AE55,0)</f>
        <v>2.4</v>
      </c>
      <c r="AF54" s="182">
        <f>SUM(AF60,AF59,AF58,AF57,AF56,AF55,0)</f>
        <v>3.84</v>
      </c>
      <c r="AG54" s="182">
        <f>SUM(AG60,AG59,AG58,AG57,AG56,AG55,0)</f>
        <v>0</v>
      </c>
      <c r="AH54" s="137">
        <f>SUM(AC54:AG54)</f>
        <v>12.054405925925925</v>
      </c>
      <c r="AI54" s="137">
        <f>SUM(AI60,AI59,AI58,AI57,AI56,AI55,0)</f>
        <v>15.466666666666669</v>
      </c>
      <c r="AJ54" s="182">
        <f>SUM(AJ60,AJ59,AJ58,AJ57,AJ56,AJ55,0)</f>
        <v>67.2</v>
      </c>
      <c r="AK54" s="137">
        <f>AJ54*10/60</f>
        <v>11.2</v>
      </c>
      <c r="AL54" s="182">
        <f>AH54+AI54+AK54</f>
        <v>38.721072592592591</v>
      </c>
      <c r="AM54" s="182">
        <f>B54/AL54</f>
        <v>65.193611410519537</v>
      </c>
      <c r="AN54" s="182">
        <f>AL54*46</f>
        <v>1781.1693392592592</v>
      </c>
      <c r="AO54" s="182">
        <f>AN54/B54</f>
        <v>0.70559060933656925</v>
      </c>
      <c r="AP54" s="182">
        <f>AR54/B54</f>
        <v>0.85219286847152664</v>
      </c>
      <c r="AQ54" s="95"/>
      <c r="AR54" s="182">
        <f>SUM(AR60,AR59,AR58,AR57,AR56,AR55,0)</f>
        <v>2151.2471798400002</v>
      </c>
      <c r="AT54" s="82"/>
      <c r="AU54" s="82"/>
      <c r="AV54" s="82"/>
      <c r="AW54" s="82"/>
      <c r="AX54" s="93"/>
      <c r="AY54" s="82"/>
      <c r="AZ54" s="82"/>
      <c r="BA54" s="234"/>
      <c r="BB54" s="164"/>
      <c r="BC54" s="229"/>
      <c r="BD54" s="85"/>
      <c r="BE54" s="85"/>
      <c r="BF54" s="85"/>
      <c r="BG54" s="85"/>
      <c r="BH54" s="85"/>
      <c r="BI54" s="85"/>
      <c r="BJ54" s="88"/>
    </row>
    <row r="55" spans="1:70" s="77" customFormat="1">
      <c r="A55" s="148">
        <f xml:space="preserve"> 41.5*J55/10^3</f>
        <v>273.89999999999998</v>
      </c>
      <c r="B55" s="148">
        <f>A55*L55</f>
        <v>2191.1999999999998</v>
      </c>
      <c r="C55" s="173" t="s">
        <v>105</v>
      </c>
      <c r="D55" s="149" t="s">
        <v>100</v>
      </c>
      <c r="E55" s="149"/>
      <c r="F55" s="150" t="s">
        <v>129</v>
      </c>
      <c r="G55" s="174" t="s">
        <v>107</v>
      </c>
      <c r="H55" s="151">
        <v>180</v>
      </c>
      <c r="I55" s="150" t="s">
        <v>102</v>
      </c>
      <c r="J55" s="151">
        <v>6600</v>
      </c>
      <c r="K55" s="77">
        <v>1</v>
      </c>
      <c r="L55" s="151">
        <f>K$55*L$54</f>
        <v>8</v>
      </c>
      <c r="M55" s="164">
        <f xml:space="preserve"> 0.686*J55*L55/10^3</f>
        <v>36.220800000000004</v>
      </c>
      <c r="N55" s="150"/>
      <c r="O55" s="150"/>
      <c r="P55" s="150" t="s">
        <v>104</v>
      </c>
      <c r="Q55" s="169"/>
      <c r="R55" s="150"/>
      <c r="S55" s="150"/>
      <c r="T55" s="150"/>
      <c r="U55" s="150"/>
      <c r="V55" s="150"/>
      <c r="W55" s="150"/>
      <c r="Y55" s="150"/>
      <c r="Z55" s="150"/>
      <c r="AA55" s="150"/>
      <c r="AB55" s="150" t="s">
        <v>104</v>
      </c>
      <c r="AC55" s="148"/>
      <c r="AD55" s="111"/>
      <c r="AE55" s="170">
        <f>(H55/20/60)*2*L55</f>
        <v>2.4</v>
      </c>
      <c r="AF55" s="171">
        <f>(H55*4)*2*20/60/1000*L55</f>
        <v>3.84</v>
      </c>
      <c r="AG55" s="165">
        <f>Q55*L55*0.5/60</f>
        <v>0</v>
      </c>
      <c r="AH55" s="111"/>
      <c r="AI55" s="165">
        <f>AL55*L55/60</f>
        <v>4</v>
      </c>
      <c r="AJ55" s="98">
        <f>(H55*4*AK55)*2*L55/1000</f>
        <v>34.56</v>
      </c>
      <c r="AK55" s="77">
        <f>(VLOOKUP(F55,[1]Koostamine!$A$12:$E$1603,3,FALSE))</f>
        <v>3</v>
      </c>
      <c r="AL55" s="97">
        <f>VLOOKUP(F55,[1]Koostamine!$A$12:$K$1603,IF(J55&lt;1499,6,IF(J55&lt;2999,7,IF(J55&lt;5999,8,IF(J55&lt;9999,9,IF(J55&lt;12999,10,IF(J55&gt;13000,11)))))),FALSE)</f>
        <v>30</v>
      </c>
      <c r="AP55" s="180">
        <f>(VLOOKUP(F55,Terasehind!$A$2:$B$157,2,FALSE))</f>
        <v>0.78</v>
      </c>
      <c r="AQ55" s="77">
        <f>(VLOOKUP(F55,Terasehind!$A$2:$C$157,3,FALSE))</f>
        <v>1.1000000000000001</v>
      </c>
      <c r="AR55" s="172">
        <f>AP55*AQ55*B55</f>
        <v>1880.0496000000001</v>
      </c>
      <c r="AT55" s="90"/>
      <c r="AU55" s="90"/>
      <c r="AV55" s="90"/>
      <c r="AW55" s="90"/>
      <c r="AX55" s="90"/>
      <c r="AY55" s="90"/>
      <c r="AZ55" s="90"/>
      <c r="BA55" s="236"/>
      <c r="BB55" s="164"/>
      <c r="BC55" s="229"/>
      <c r="BD55" s="164"/>
      <c r="BE55" s="164"/>
      <c r="BF55" s="85"/>
      <c r="BG55" s="85"/>
      <c r="BH55" s="85"/>
      <c r="BI55" s="85"/>
      <c r="BJ55" s="85"/>
      <c r="BK55" s="88"/>
      <c r="BL55" s="85"/>
      <c r="BM55" s="88"/>
      <c r="BN55" s="111"/>
      <c r="BP55" s="139"/>
    </row>
    <row r="56" spans="1:70" s="77" customFormat="1">
      <c r="A56" s="148">
        <f t="shared" ref="A56:A60" si="84">H56*J56*(RIGHT(F56,2))*7.85/(10^6)</f>
        <v>14.13</v>
      </c>
      <c r="B56" s="148">
        <f t="shared" ref="B56:B60" si="85">A56*L56</f>
        <v>113.04</v>
      </c>
      <c r="C56" s="150" t="s">
        <v>108</v>
      </c>
      <c r="D56" s="149" t="s">
        <v>109</v>
      </c>
      <c r="E56" s="149"/>
      <c r="F56" s="150" t="s">
        <v>115</v>
      </c>
      <c r="G56" s="149" t="s">
        <v>111</v>
      </c>
      <c r="H56" s="151">
        <v>300</v>
      </c>
      <c r="I56" s="150" t="s">
        <v>102</v>
      </c>
      <c r="J56" s="151">
        <v>300</v>
      </c>
      <c r="K56" s="151">
        <v>1</v>
      </c>
      <c r="L56" s="151">
        <f>K$56*L$54</f>
        <v>8</v>
      </c>
      <c r="M56" s="148">
        <f t="shared" ref="M56:M60" si="86">2*H56*J56/10^6*L56</f>
        <v>1.44</v>
      </c>
      <c r="N56" s="150" t="s">
        <v>112</v>
      </c>
      <c r="P56" s="150"/>
      <c r="Q56" s="169">
        <v>4</v>
      </c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 t="s">
        <v>104</v>
      </c>
      <c r="AC56" s="170">
        <f>((((H56+J56)*2/1000)*L56*(5/(VLOOKUP(F56,[1]Plasmalõikus!$A$7:$E$46,2,FALSE)/1000*60)))+(Q56*L56*(5*(VLOOKUP(F56,[1]Plasmalõikus!$A$7:$E$48,3,FALSE))/60/60)))</f>
        <v>1.0333333333333332</v>
      </c>
      <c r="AD56" s="170">
        <f t="shared" ref="AD56:AD60" si="87">0.012*((H56+J56)*2/1000*L56)</f>
        <v>0.1152</v>
      </c>
      <c r="AE56" s="170"/>
      <c r="AF56" s="171"/>
      <c r="AG56" s="171">
        <f t="shared" ref="AG56:AG60" si="88">IF(VALUE(MID(F56,SEARCH(" ",F56)+1,LEN(F56)))&lt;35,0,IF(VALUE(MID(F56,SEARCH(" ",F56)+1,LEN(F56)))&lt;40,3,IF(VALUE(MID(F56,SEARCH(" ",F56)+1,LEN(F56)))&lt;50,4,IF(VALUE(MID(F56,SEARCH(" ",F56)+1,LEN(F56)))&lt;60,5,IF(VALUE(MID(F56,SEARCH(" ",F56)+1,LEN(F56)))&lt;70,6,IF(VALUE(MID(F56,SEARCH(" ",F56)+1,LEN(F56)))&lt;80,7,IF(VALUE(MID(F56,SEARCH(" ",F56)+1,LEN(F56)))&lt;90,8,IF(VALUE(MID(F56,SEARCH(" ",F56)+1,LEN(F56)))&lt;100,9,10))))))))/60*Q56*L56</f>
        <v>0</v>
      </c>
      <c r="AH56" s="170"/>
      <c r="AI56" s="165">
        <f t="shared" ref="AI56:AI60" si="89">AL56*L56/60</f>
        <v>1.3333333333333333</v>
      </c>
      <c r="AJ56" s="98"/>
      <c r="AK56" s="77">
        <v>6</v>
      </c>
      <c r="AL56" s="201" t="str">
        <f t="shared" ref="AL56:AL57" si="90">IF(A56&gt;40,"30",IF(A56&gt;10,"10",IF(A56&gt;20,"20","2")))</f>
        <v>10</v>
      </c>
      <c r="AN56" s="94"/>
      <c r="AP56" s="180">
        <f>(VLOOKUP(F56,Terasehind!$A$2:$B$157,2,FALSE))</f>
        <v>0.74</v>
      </c>
      <c r="AQ56" s="77">
        <v>1.1000000000000001</v>
      </c>
      <c r="AR56" s="172">
        <f t="shared" ref="AR56:AR60" si="91">AP56*AQ56*B56</f>
        <v>92.014560000000017</v>
      </c>
      <c r="AT56" s="90"/>
      <c r="AU56" s="90"/>
      <c r="AV56" s="90"/>
      <c r="AW56" s="90"/>
      <c r="AX56" s="90"/>
      <c r="AY56" s="90"/>
      <c r="AZ56" s="90"/>
      <c r="BA56" s="236"/>
      <c r="BB56" s="164"/>
      <c r="BC56" s="229"/>
      <c r="BD56" s="164"/>
      <c r="BE56" s="164"/>
      <c r="BF56" s="164"/>
      <c r="BG56" s="85"/>
      <c r="BH56" s="85"/>
      <c r="BI56" s="85"/>
      <c r="BJ56" s="85"/>
      <c r="BK56" s="85"/>
      <c r="BL56" s="139"/>
      <c r="BM56" s="139"/>
      <c r="BN56" s="139"/>
      <c r="BO56" s="111"/>
      <c r="BQ56" s="111"/>
      <c r="BR56" s="111"/>
    </row>
    <row r="57" spans="1:70" s="77" customFormat="1">
      <c r="A57" s="148">
        <f t="shared" si="84"/>
        <v>8.2424999999999997</v>
      </c>
      <c r="B57" s="148">
        <f t="shared" si="85"/>
        <v>65.94</v>
      </c>
      <c r="C57" s="150" t="s">
        <v>108</v>
      </c>
      <c r="D57" s="149" t="s">
        <v>114</v>
      </c>
      <c r="E57" s="149"/>
      <c r="F57" s="150" t="s">
        <v>117</v>
      </c>
      <c r="G57" s="149" t="s">
        <v>111</v>
      </c>
      <c r="H57" s="151">
        <v>200</v>
      </c>
      <c r="I57" s="150" t="s">
        <v>102</v>
      </c>
      <c r="J57" s="151">
        <v>350</v>
      </c>
      <c r="K57" s="151">
        <v>1</v>
      </c>
      <c r="L57" s="151">
        <f>K$57*L$54</f>
        <v>8</v>
      </c>
      <c r="M57" s="148">
        <f t="shared" si="86"/>
        <v>1.1200000000000001</v>
      </c>
      <c r="N57" s="150" t="s">
        <v>112</v>
      </c>
      <c r="P57" s="150"/>
      <c r="Q57" s="169">
        <v>4</v>
      </c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 t="s">
        <v>104</v>
      </c>
      <c r="AC57" s="170">
        <f>((((H57+J57)*2/1000)*L57*(5/(VLOOKUP(F57,[1]Plasmalõikus!$A$7:$E$46,2,FALSE)/1000*60)))+(Q57*L57*(5*(VLOOKUP(F57,[1]Plasmalõikus!$A$7:$E$48,3,FALSE))/60/60)))</f>
        <v>0.80740740740740746</v>
      </c>
      <c r="AD57" s="170">
        <f t="shared" si="87"/>
        <v>0.10560000000000001</v>
      </c>
      <c r="AE57" s="170"/>
      <c r="AF57" s="171"/>
      <c r="AG57" s="171">
        <f t="shared" si="88"/>
        <v>0</v>
      </c>
      <c r="AH57" s="170"/>
      <c r="AI57" s="165">
        <f t="shared" si="89"/>
        <v>0.26666666666666666</v>
      </c>
      <c r="AJ57" s="98"/>
      <c r="AK57" s="77">
        <v>6</v>
      </c>
      <c r="AL57" s="201" t="str">
        <f t="shared" si="90"/>
        <v>2</v>
      </c>
      <c r="AN57" s="94"/>
      <c r="AP57" s="180">
        <f>(VLOOKUP(F57,Terasehind!$A$2:$B$157,2,FALSE))</f>
        <v>0.74</v>
      </c>
      <c r="AQ57" s="77">
        <v>1.1000000000000001</v>
      </c>
      <c r="AR57" s="172">
        <f t="shared" si="91"/>
        <v>53.675160000000005</v>
      </c>
      <c r="AT57" s="90"/>
      <c r="AU57" s="90"/>
      <c r="AV57" s="90"/>
      <c r="AW57" s="90"/>
      <c r="AX57" s="90"/>
      <c r="AY57" s="90"/>
      <c r="AZ57" s="90"/>
      <c r="BA57" s="236"/>
      <c r="BB57" s="164"/>
      <c r="BC57" s="229"/>
      <c r="BD57" s="164"/>
      <c r="BE57" s="164"/>
      <c r="BF57" s="164"/>
      <c r="BG57" s="85"/>
      <c r="BH57" s="85"/>
      <c r="BI57" s="85"/>
      <c r="BJ57" s="85"/>
      <c r="BK57" s="85"/>
      <c r="BL57" s="139"/>
      <c r="BM57" s="139"/>
      <c r="BN57" s="139"/>
      <c r="BO57" s="111"/>
      <c r="BQ57" s="111"/>
      <c r="BR57" s="111"/>
    </row>
    <row r="58" spans="1:70" s="77" customFormat="1" ht="16.5" customHeight="1">
      <c r="A58" s="148">
        <f t="shared" si="84"/>
        <v>2.3079000000000001</v>
      </c>
      <c r="B58" s="148">
        <f t="shared" si="85"/>
        <v>73.852800000000002</v>
      </c>
      <c r="C58" s="150" t="s">
        <v>113</v>
      </c>
      <c r="D58" s="149" t="s">
        <v>119</v>
      </c>
      <c r="E58" s="149"/>
      <c r="F58" s="150" t="s">
        <v>117</v>
      </c>
      <c r="G58" s="149" t="s">
        <v>111</v>
      </c>
      <c r="H58" s="151">
        <v>140</v>
      </c>
      <c r="I58" s="150" t="s">
        <v>102</v>
      </c>
      <c r="J58" s="151">
        <v>140</v>
      </c>
      <c r="K58" s="151">
        <v>4</v>
      </c>
      <c r="L58" s="151">
        <f>K$58*L$54</f>
        <v>32</v>
      </c>
      <c r="M58" s="148">
        <f t="shared" si="86"/>
        <v>1.2544</v>
      </c>
      <c r="N58" s="150" t="s">
        <v>112</v>
      </c>
      <c r="P58" s="150"/>
      <c r="Q58" s="175">
        <v>2</v>
      </c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 t="s">
        <v>104</v>
      </c>
      <c r="AC58" s="170">
        <f>((((H58+J58)*2/1000)*L58*(5/(VLOOKUP(F58,[1]Plasmalõikus!$A$7:$E$46,2,FALSE)/1000*60)))+(Q58*L58*(5*(VLOOKUP(F58,[1]Plasmalõikus!$A$7:$E$48,3,FALSE))/60/60)))</f>
        <v>1.6296296296296298</v>
      </c>
      <c r="AD58" s="170">
        <f t="shared" si="87"/>
        <v>0.21504000000000004</v>
      </c>
      <c r="AE58" s="170"/>
      <c r="AF58" s="171"/>
      <c r="AG58" s="171">
        <f t="shared" si="88"/>
        <v>0</v>
      </c>
      <c r="AH58" s="170"/>
      <c r="AI58" s="165">
        <f t="shared" si="89"/>
        <v>5.333333333333333</v>
      </c>
      <c r="AJ58" s="98">
        <f>(H58*2*AK58)*L58/1000</f>
        <v>8.9600000000000009</v>
      </c>
      <c r="AK58" s="77">
        <v>1</v>
      </c>
      <c r="AL58" s="201" t="str">
        <f>IF(AND(Q58&gt;0,A58&lt;3),"10",IF(AND(Q58&gt;0,A58&lt;10),"15",IF(AND(Q58&gt;0,A58&lt;20),"20",IF(AND(Q58&gt;0,A58&lt;500),"30",IF(AND(Q58=0,A58&lt;3),"2",IF(AND(Q58=0,A58&lt;10),"5",IF(AND(Q58=0,A58&lt;20),"10",IF(AND(Q58=0,A58&lt;500),"20","2"))))))))</f>
        <v>10</v>
      </c>
      <c r="AN58" s="94"/>
      <c r="AP58" s="180">
        <f>(VLOOKUP(F58,Terasehind!$A$2:$B$157,2,FALSE))</f>
        <v>0.74</v>
      </c>
      <c r="AQ58" s="77">
        <v>1.1000000000000001</v>
      </c>
      <c r="AR58" s="172">
        <f t="shared" si="91"/>
        <v>60.116179200000005</v>
      </c>
      <c r="AT58" s="90"/>
      <c r="AU58" s="90"/>
      <c r="AV58" s="90"/>
      <c r="AW58" s="90"/>
      <c r="AX58" s="90"/>
      <c r="AY58" s="90"/>
      <c r="AZ58" s="90"/>
      <c r="BA58" s="230"/>
      <c r="BB58" s="139"/>
      <c r="BC58" s="230"/>
      <c r="BD58" s="85"/>
      <c r="BE58" s="85"/>
      <c r="BF58" s="85"/>
      <c r="BG58" s="85"/>
      <c r="BH58" s="85"/>
      <c r="BK58" s="85"/>
      <c r="BL58" s="85"/>
      <c r="BN58" s="139"/>
      <c r="BO58" s="111"/>
      <c r="BQ58" s="111"/>
      <c r="BR58" s="111"/>
    </row>
    <row r="59" spans="1:70" s="77" customFormat="1" ht="16.5" customHeight="1">
      <c r="A59" s="148">
        <f t="shared" si="84"/>
        <v>1.1775</v>
      </c>
      <c r="B59" s="148">
        <f t="shared" si="85"/>
        <v>18.84</v>
      </c>
      <c r="C59" s="150" t="s">
        <v>120</v>
      </c>
      <c r="D59" s="149" t="s">
        <v>121</v>
      </c>
      <c r="E59" s="149"/>
      <c r="F59" s="150" t="s">
        <v>110</v>
      </c>
      <c r="G59" s="149" t="s">
        <v>111</v>
      </c>
      <c r="H59" s="151">
        <v>100</v>
      </c>
      <c r="I59" s="150" t="s">
        <v>102</v>
      </c>
      <c r="J59" s="151">
        <v>150</v>
      </c>
      <c r="K59" s="151">
        <v>2</v>
      </c>
      <c r="L59" s="151">
        <f>K$59*L$54</f>
        <v>16</v>
      </c>
      <c r="M59" s="148">
        <f t="shared" si="86"/>
        <v>0.48</v>
      </c>
      <c r="N59" s="150" t="s">
        <v>112</v>
      </c>
      <c r="P59" s="150"/>
      <c r="Q59" s="175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 t="s">
        <v>104</v>
      </c>
      <c r="AC59" s="170">
        <f>((((H59+J59)*2/1000)*L59*(5/(VLOOKUP(F59,[1]Plasmalõikus!$A$7:$E$46,2,FALSE)/1000*60)))+(Q59*L59*(5*(VLOOKUP(F59,[1]Plasmalõikus!$A$7:$E$48,3,FALSE))/60/60)))</f>
        <v>0.26666666666666666</v>
      </c>
      <c r="AD59" s="170">
        <f t="shared" si="87"/>
        <v>9.6000000000000002E-2</v>
      </c>
      <c r="AE59" s="170"/>
      <c r="AF59" s="171"/>
      <c r="AG59" s="171">
        <f t="shared" si="88"/>
        <v>0</v>
      </c>
      <c r="AH59" s="170"/>
      <c r="AI59" s="165">
        <f t="shared" si="89"/>
        <v>0.53333333333333333</v>
      </c>
      <c r="AJ59" s="98">
        <f>(H59*2*AK59+J59*2*AK59)*L59/1000</f>
        <v>16</v>
      </c>
      <c r="AK59" s="77">
        <v>2</v>
      </c>
      <c r="AL59" s="201" t="str">
        <f>IF(AND(Q59&gt;0,A59&lt;3),"10",IF(AND(Q59&gt;0,A59&lt;10),"15",IF(AND(Q59&gt;0,A59&lt;20),"20",IF(AND(Q59&gt;0,A59&lt;500),"30",IF(AND(Q59=0,A59&lt;3),"2",IF(AND(Q59=0,A59&lt;10),"5",IF(AND(Q59=0,A59&lt;20),"10",IF(AND(Q59=0,A59&lt;500),"20","2"))))))))</f>
        <v>2</v>
      </c>
      <c r="AN59" s="94"/>
      <c r="AP59" s="180">
        <f>(VLOOKUP(F59,Terasehind!$A$2:$B$157,2,FALSE))</f>
        <v>0.74</v>
      </c>
      <c r="AQ59" s="77">
        <v>1.1000000000000001</v>
      </c>
      <c r="AR59" s="172">
        <f t="shared" si="91"/>
        <v>15.335760000000001</v>
      </c>
      <c r="AT59" s="90"/>
      <c r="AU59" s="90"/>
      <c r="AV59" s="90"/>
      <c r="AW59" s="90"/>
      <c r="AX59" s="90"/>
      <c r="AY59" s="90"/>
      <c r="AZ59" s="90"/>
      <c r="BA59" s="230"/>
      <c r="BB59" s="139"/>
      <c r="BC59" s="230"/>
      <c r="BD59" s="85"/>
      <c r="BE59" s="85"/>
      <c r="BF59" s="85"/>
      <c r="BG59" s="85"/>
      <c r="BH59" s="85"/>
      <c r="BK59" s="85"/>
      <c r="BL59" s="85"/>
      <c r="BN59" s="139"/>
      <c r="BO59" s="111"/>
      <c r="BQ59" s="111"/>
      <c r="BR59" s="111"/>
    </row>
    <row r="60" spans="1:70" s="77" customFormat="1" ht="16.5" customHeight="1">
      <c r="A60" s="148">
        <f t="shared" si="84"/>
        <v>3.8433600000000001</v>
      </c>
      <c r="B60" s="148">
        <f t="shared" si="85"/>
        <v>61.493760000000002</v>
      </c>
      <c r="C60" s="150" t="s">
        <v>120</v>
      </c>
      <c r="D60" s="149" t="s">
        <v>122</v>
      </c>
      <c r="E60" s="149"/>
      <c r="F60" s="150" t="s">
        <v>123</v>
      </c>
      <c r="G60" s="149" t="s">
        <v>111</v>
      </c>
      <c r="H60" s="151">
        <v>120</v>
      </c>
      <c r="I60" s="150" t="s">
        <v>102</v>
      </c>
      <c r="J60" s="151">
        <v>340</v>
      </c>
      <c r="K60" s="151">
        <v>2</v>
      </c>
      <c r="L60" s="151">
        <f>K$60*L$54</f>
        <v>16</v>
      </c>
      <c r="M60" s="148">
        <f t="shared" si="86"/>
        <v>1.3056000000000001</v>
      </c>
      <c r="N60" s="150" t="s">
        <v>112</v>
      </c>
      <c r="P60" s="150"/>
      <c r="Q60" s="175">
        <v>4</v>
      </c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 t="s">
        <v>104</v>
      </c>
      <c r="AC60" s="170">
        <f>((((H60+J60)*2/1000)*L60*(5/(VLOOKUP(F60,[1]Plasmalõikus!$A$7:$E$46,2,FALSE)/1000*60)))+(Q60*L60*(5*(VLOOKUP(F60,[1]Plasmalõikus!$A$7:$E$48,3,FALSE))/60/60)))</f>
        <v>1.3688888888888888</v>
      </c>
      <c r="AD60" s="170">
        <f t="shared" si="87"/>
        <v>0.17664000000000002</v>
      </c>
      <c r="AE60" s="170"/>
      <c r="AF60" s="171"/>
      <c r="AG60" s="171">
        <f t="shared" si="88"/>
        <v>0</v>
      </c>
      <c r="AH60" s="170"/>
      <c r="AI60" s="165">
        <f t="shared" si="89"/>
        <v>4</v>
      </c>
      <c r="AJ60" s="98">
        <f>(H60*2*AK60)*L60/1000</f>
        <v>7.68</v>
      </c>
      <c r="AK60" s="77">
        <v>2</v>
      </c>
      <c r="AL60" s="201" t="str">
        <f>IF(AND(Q60&gt;0,A60&lt;3),"10",IF(AND(Q60&gt;0,A60&lt;10),"15",IF(AND(Q60&gt;0,A60&lt;20),"20",IF(AND(Q60&gt;0,A60&lt;500),"30",IF(AND(Q60=0,A60&lt;3),"2",IF(AND(Q60=0,A60&lt;10),"5",IF(AND(Q60=0,A60&lt;20),"10",IF(AND(Q60=0,A60&lt;500),"20","2"))))))))</f>
        <v>15</v>
      </c>
      <c r="AN60" s="94"/>
      <c r="AP60" s="180">
        <f>(VLOOKUP(F60,Terasehind!$A$2:$B$157,2,FALSE))</f>
        <v>0.74</v>
      </c>
      <c r="AQ60" s="77">
        <v>1.1000000000000001</v>
      </c>
      <c r="AR60" s="172">
        <f t="shared" si="91"/>
        <v>50.055920640000004</v>
      </c>
      <c r="AT60" s="90"/>
      <c r="AU60" s="90"/>
      <c r="AV60" s="90"/>
      <c r="AW60" s="90"/>
      <c r="AX60" s="90"/>
      <c r="AY60" s="90"/>
      <c r="AZ60" s="90"/>
      <c r="BA60" s="230"/>
      <c r="BB60" s="139"/>
      <c r="BC60" s="230"/>
      <c r="BD60" s="85"/>
      <c r="BE60" s="85"/>
      <c r="BF60" s="85"/>
      <c r="BG60" s="85"/>
      <c r="BH60" s="85"/>
      <c r="BK60" s="85"/>
      <c r="BL60" s="85"/>
      <c r="BN60" s="139"/>
      <c r="BO60" s="111"/>
      <c r="BQ60" s="111"/>
      <c r="BR60" s="111"/>
    </row>
    <row r="61" spans="1:70" s="77" customFormat="1">
      <c r="A61" s="148"/>
      <c r="B61" s="148"/>
      <c r="C61" s="150"/>
      <c r="D61" s="149"/>
      <c r="E61" s="149"/>
      <c r="F61" s="150"/>
      <c r="G61" s="149"/>
      <c r="H61" s="151"/>
      <c r="I61" s="150"/>
      <c r="J61" s="151"/>
      <c r="K61" s="151"/>
      <c r="L61" s="151"/>
      <c r="M61" s="148"/>
      <c r="N61" s="150"/>
      <c r="P61" s="150"/>
      <c r="Q61" s="211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70"/>
      <c r="AD61" s="170"/>
      <c r="AE61" s="170"/>
      <c r="AF61" s="170"/>
      <c r="AG61" s="170"/>
      <c r="AH61" s="170"/>
      <c r="AI61" s="165"/>
      <c r="AJ61" s="88"/>
      <c r="AN61" s="94"/>
      <c r="AP61" s="180"/>
      <c r="AR61" s="172"/>
      <c r="AT61" s="90"/>
      <c r="AU61" s="90"/>
      <c r="AV61" s="90"/>
      <c r="AW61" s="90"/>
      <c r="AX61" s="90"/>
      <c r="AY61" s="90"/>
      <c r="AZ61" s="90"/>
      <c r="BA61" s="236"/>
      <c r="BB61" s="164"/>
      <c r="BC61" s="229"/>
      <c r="BD61" s="164"/>
      <c r="BE61" s="164"/>
      <c r="BF61" s="85"/>
      <c r="BG61" s="85"/>
      <c r="BH61" s="85"/>
      <c r="BI61" s="85"/>
      <c r="BJ61" s="85"/>
      <c r="BK61" s="139"/>
      <c r="BL61" s="139"/>
      <c r="BM61" s="139"/>
      <c r="BN61" s="111"/>
      <c r="BP61" s="111"/>
      <c r="BQ61" s="111"/>
    </row>
    <row r="62" spans="1:70" s="77" customFormat="1">
      <c r="A62" s="148"/>
      <c r="B62" s="148"/>
      <c r="C62" s="150"/>
      <c r="D62" s="149"/>
      <c r="E62" s="149"/>
      <c r="F62" s="150"/>
      <c r="G62" s="149"/>
      <c r="H62" s="151"/>
      <c r="I62" s="150"/>
      <c r="J62" s="151"/>
      <c r="K62" s="151"/>
      <c r="L62" s="151"/>
      <c r="M62" s="148"/>
      <c r="N62" s="150"/>
      <c r="P62" s="150"/>
      <c r="Q62" s="211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70"/>
      <c r="AD62" s="170"/>
      <c r="AE62" s="170"/>
      <c r="AF62" s="170"/>
      <c r="AG62" s="170"/>
      <c r="AH62" s="170"/>
      <c r="AI62" s="165"/>
      <c r="AJ62" s="88"/>
      <c r="AN62" s="94"/>
      <c r="AP62" s="180"/>
      <c r="AR62" s="172"/>
      <c r="AT62" s="90"/>
      <c r="AU62" s="90"/>
      <c r="AV62" s="90"/>
      <c r="AW62" s="90"/>
      <c r="AX62" s="90"/>
      <c r="AY62" s="90"/>
      <c r="AZ62" s="90"/>
      <c r="BA62" s="236"/>
      <c r="BB62" s="164"/>
      <c r="BC62" s="229"/>
      <c r="BD62" s="164"/>
      <c r="BE62" s="164"/>
      <c r="BF62" s="85"/>
      <c r="BG62" s="85"/>
      <c r="BH62" s="85"/>
      <c r="BI62" s="85"/>
      <c r="BJ62" s="85"/>
      <c r="BK62" s="139"/>
      <c r="BL62" s="139"/>
      <c r="BM62" s="139"/>
      <c r="BN62" s="111"/>
      <c r="BP62" s="111"/>
      <c r="BQ62" s="111"/>
    </row>
    <row r="63" spans="1:70" s="77" customFormat="1">
      <c r="A63" s="182">
        <f>B63/L63</f>
        <v>26.376000000000001</v>
      </c>
      <c r="B63" s="182">
        <f>SUM(B65,B64,0)</f>
        <v>1213.296</v>
      </c>
      <c r="C63" s="187"/>
      <c r="D63" s="183" t="s">
        <v>100</v>
      </c>
      <c r="E63" s="183"/>
      <c r="F63" s="184" t="s">
        <v>130</v>
      </c>
      <c r="G63" s="166"/>
      <c r="H63" s="185">
        <v>160</v>
      </c>
      <c r="I63" s="186" t="s">
        <v>102</v>
      </c>
      <c r="J63" s="185"/>
      <c r="K63" s="168">
        <v>46</v>
      </c>
      <c r="L63" s="185">
        <f>$L$16*$K$63</f>
        <v>46</v>
      </c>
      <c r="M63" s="182">
        <f>SUM(M65,M64,0)</f>
        <v>30.912000000000003</v>
      </c>
      <c r="N63" s="186"/>
      <c r="O63" s="186"/>
      <c r="P63" s="186"/>
      <c r="Q63" s="186"/>
      <c r="R63" s="152"/>
      <c r="S63" s="152"/>
      <c r="T63" s="152"/>
      <c r="U63" s="152"/>
      <c r="V63" s="152"/>
      <c r="W63" s="150"/>
      <c r="X63" s="150" t="s">
        <v>104</v>
      </c>
      <c r="Y63" s="186">
        <v>4</v>
      </c>
      <c r="Z63" s="186"/>
      <c r="AA63" s="186"/>
      <c r="AB63" s="186"/>
      <c r="AC63" s="182">
        <f>SUM(AC65,AC64,0)</f>
        <v>12.859555555555556</v>
      </c>
      <c r="AD63" s="182">
        <f>SUM(AD65,AD64,0)</f>
        <v>3.1574400000000002</v>
      </c>
      <c r="AE63" s="182">
        <f>SUM(AE65,AE64,0)</f>
        <v>0</v>
      </c>
      <c r="AF63" s="182">
        <f>SUM(AF65,AF64,0)</f>
        <v>0</v>
      </c>
      <c r="AG63" s="182">
        <f>SUM(AG65,AG64,0)</f>
        <v>0</v>
      </c>
      <c r="AH63" s="137">
        <f>SUM(AC63:AG63)</f>
        <v>16.016995555555557</v>
      </c>
      <c r="AI63" s="137">
        <f>SUM(AI65,AI64,0)</f>
        <v>15.333333333333334</v>
      </c>
      <c r="AJ63" s="182">
        <f>SUM(AJ65,AJ64,0)</f>
        <v>154.56</v>
      </c>
      <c r="AK63" s="137">
        <f>AJ63*10/60</f>
        <v>25.759999999999998</v>
      </c>
      <c r="AL63" s="182">
        <f>AH63+AI63+AK63</f>
        <v>57.110328888888887</v>
      </c>
      <c r="AM63" s="182">
        <f>B63/AL63</f>
        <v>21.244773469270864</v>
      </c>
      <c r="AN63" s="182">
        <f>AL63*46</f>
        <v>2627.0751288888887</v>
      </c>
      <c r="AO63" s="182">
        <f>AN63/B63</f>
        <v>2.1652384322448013</v>
      </c>
      <c r="AP63" s="182">
        <f>AR63/B63</f>
        <v>0.81400000000000006</v>
      </c>
      <c r="AQ63" s="95"/>
      <c r="AR63" s="182">
        <f>SUM(AR65,AR64,0)</f>
        <v>987.62294400000007</v>
      </c>
      <c r="AT63" s="82"/>
      <c r="AU63" s="82"/>
      <c r="AV63" s="82"/>
      <c r="AW63" s="82"/>
      <c r="AX63" s="93"/>
      <c r="AY63" s="82"/>
      <c r="AZ63" s="82"/>
      <c r="BA63" s="234"/>
      <c r="BB63" s="164"/>
      <c r="BC63" s="229"/>
      <c r="BD63" s="85"/>
      <c r="BE63" s="85"/>
      <c r="BF63" s="85"/>
      <c r="BG63" s="85"/>
      <c r="BH63" s="85"/>
      <c r="BI63" s="85"/>
      <c r="BJ63" s="88"/>
    </row>
    <row r="64" spans="1:70" s="77" customFormat="1">
      <c r="A64" s="148">
        <f t="shared" ref="A64:A65" si="92">H64*J64*(RIGHT(F64,2))*7.85/(10^6)</f>
        <v>13.188000000000001</v>
      </c>
      <c r="B64" s="148">
        <f t="shared" ref="B64:B65" si="93">A64*L64</f>
        <v>606.64800000000002</v>
      </c>
      <c r="C64" s="150" t="s">
        <v>108</v>
      </c>
      <c r="D64" s="149" t="s">
        <v>100</v>
      </c>
      <c r="E64" s="149"/>
      <c r="F64" s="150" t="s">
        <v>110</v>
      </c>
      <c r="G64" s="149" t="s">
        <v>111</v>
      </c>
      <c r="H64" s="151">
        <v>140</v>
      </c>
      <c r="I64" s="150" t="s">
        <v>102</v>
      </c>
      <c r="J64" s="151">
        <v>1200</v>
      </c>
      <c r="K64" s="151">
        <v>1</v>
      </c>
      <c r="L64" s="151">
        <f>K$64*L$63</f>
        <v>46</v>
      </c>
      <c r="M64" s="148">
        <f t="shared" ref="M64:M65" si="94">2*H64*J64/10^6*L64</f>
        <v>15.456000000000001</v>
      </c>
      <c r="N64" s="150" t="s">
        <v>112</v>
      </c>
      <c r="P64" s="150"/>
      <c r="Q64" s="169">
        <v>4</v>
      </c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 t="s">
        <v>104</v>
      </c>
      <c r="AC64" s="170">
        <f>((((H64+J64)*2/1000)*L64*(5/(VLOOKUP(F64,[1]Plasmalõikus!$A$7:$E$46,2,FALSE)/1000*60)))+(Q64*L64*(5*(VLOOKUP(F64,[1]Plasmalõikus!$A$7:$E$48,3,FALSE))/60/60)))</f>
        <v>6.153777777777778</v>
      </c>
      <c r="AD64" s="170">
        <f t="shared" ref="AD64:AD65" si="95">0.012*((H64+J64)*2/1000*L64)</f>
        <v>1.47936</v>
      </c>
      <c r="AE64" s="170"/>
      <c r="AF64" s="171"/>
      <c r="AG64" s="171">
        <f t="shared" ref="AG64:AG65" si="96">IF(VALUE(MID(F64,SEARCH(" ",F64)+1,LEN(F64)))&lt;35,0,IF(VALUE(MID(F64,SEARCH(" ",F64)+1,LEN(F64)))&lt;40,3,IF(VALUE(MID(F64,SEARCH(" ",F64)+1,LEN(F64)))&lt;50,4,IF(VALUE(MID(F64,SEARCH(" ",F64)+1,LEN(F64)))&lt;60,5,IF(VALUE(MID(F64,SEARCH(" ",F64)+1,LEN(F64)))&lt;70,6,IF(VALUE(MID(F64,SEARCH(" ",F64)+1,LEN(F64)))&lt;80,7,IF(VALUE(MID(F64,SEARCH(" ",F64)+1,LEN(F64)))&lt;90,8,IF(VALUE(MID(F64,SEARCH(" ",F64)+1,LEN(F64)))&lt;100,9,10))))))))/60*Q64*L64</f>
        <v>0</v>
      </c>
      <c r="AH64" s="170"/>
      <c r="AI64" s="165">
        <f t="shared" ref="AI64:AI65" si="97">AL64*L64/60</f>
        <v>7.666666666666667</v>
      </c>
      <c r="AJ64" s="98">
        <f>(H64*2*AK64)*L64/1000</f>
        <v>25.76</v>
      </c>
      <c r="AK64" s="77">
        <v>2</v>
      </c>
      <c r="AL64" s="201" t="str">
        <f t="shared" ref="AL64:AL65" si="98">IF(A64&gt;40,"30",IF(A64&gt;10,"10",IF(A64&gt;20,"20","2")))</f>
        <v>10</v>
      </c>
      <c r="AN64" s="94"/>
      <c r="AP64" s="180">
        <f>(VLOOKUP(F64,Terasehind!$A$2:$B$157,2,FALSE))</f>
        <v>0.74</v>
      </c>
      <c r="AQ64" s="77">
        <v>1.1000000000000001</v>
      </c>
      <c r="AR64" s="172">
        <f t="shared" ref="AR64:AR65" si="99">AP64*AQ64*B64</f>
        <v>493.81147200000004</v>
      </c>
      <c r="AT64" s="90"/>
      <c r="AU64" s="90"/>
      <c r="AV64" s="90"/>
      <c r="AW64" s="90"/>
      <c r="AX64" s="90"/>
      <c r="AY64" s="90"/>
      <c r="AZ64" s="90"/>
      <c r="BA64" s="236"/>
      <c r="BB64" s="164"/>
      <c r="BC64" s="229"/>
      <c r="BD64" s="164"/>
      <c r="BE64" s="164"/>
      <c r="BF64" s="164"/>
      <c r="BG64" s="85"/>
      <c r="BH64" s="85"/>
      <c r="BI64" s="85"/>
      <c r="BJ64" s="85"/>
      <c r="BK64" s="85"/>
      <c r="BL64" s="139"/>
      <c r="BM64" s="139"/>
      <c r="BN64" s="139"/>
      <c r="BO64" s="111"/>
      <c r="BQ64" s="111"/>
      <c r="BR64" s="111"/>
    </row>
    <row r="65" spans="1:70" s="77" customFormat="1">
      <c r="A65" s="148">
        <f t="shared" si="92"/>
        <v>13.188000000000001</v>
      </c>
      <c r="B65" s="148">
        <f t="shared" si="93"/>
        <v>606.64800000000002</v>
      </c>
      <c r="C65" s="150" t="s">
        <v>108</v>
      </c>
      <c r="D65" s="149" t="s">
        <v>109</v>
      </c>
      <c r="E65" s="149"/>
      <c r="F65" s="150" t="s">
        <v>110</v>
      </c>
      <c r="G65" s="149" t="s">
        <v>111</v>
      </c>
      <c r="H65" s="151">
        <v>120</v>
      </c>
      <c r="I65" s="150" t="s">
        <v>102</v>
      </c>
      <c r="J65" s="151">
        <v>1400</v>
      </c>
      <c r="K65" s="151">
        <v>1</v>
      </c>
      <c r="L65" s="151">
        <f>K$65*L$63</f>
        <v>46</v>
      </c>
      <c r="M65" s="148">
        <f t="shared" si="94"/>
        <v>15.456000000000001</v>
      </c>
      <c r="N65" s="150" t="s">
        <v>112</v>
      </c>
      <c r="P65" s="150"/>
      <c r="Q65" s="169">
        <v>4</v>
      </c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 t="s">
        <v>104</v>
      </c>
      <c r="AC65" s="170">
        <f>((((H65+J65)*2/1000)*L65*(5/(VLOOKUP(F65,[1]Plasmalõikus!$A$7:$E$46,2,FALSE)/1000*60)))+(Q65*L65*(5*(VLOOKUP(F65,[1]Plasmalõikus!$A$7:$E$48,3,FALSE))/60/60)))</f>
        <v>6.7057777777777776</v>
      </c>
      <c r="AD65" s="170">
        <f t="shared" si="95"/>
        <v>1.67808</v>
      </c>
      <c r="AE65" s="170"/>
      <c r="AF65" s="171"/>
      <c r="AG65" s="171">
        <f t="shared" si="96"/>
        <v>0</v>
      </c>
      <c r="AH65" s="170"/>
      <c r="AI65" s="165">
        <f t="shared" si="97"/>
        <v>7.666666666666667</v>
      </c>
      <c r="AJ65" s="98">
        <f>(J65*2*AK65)*L65/1000</f>
        <v>128.80000000000001</v>
      </c>
      <c r="AK65" s="77">
        <v>1</v>
      </c>
      <c r="AL65" s="201" t="str">
        <f t="shared" si="98"/>
        <v>10</v>
      </c>
      <c r="AN65" s="94"/>
      <c r="AP65" s="180">
        <f>(VLOOKUP(F65,Terasehind!$A$2:$B$157,2,FALSE))</f>
        <v>0.74</v>
      </c>
      <c r="AQ65" s="77">
        <v>1.1000000000000001</v>
      </c>
      <c r="AR65" s="172">
        <f t="shared" si="99"/>
        <v>493.81147200000004</v>
      </c>
      <c r="AT65" s="90"/>
      <c r="AU65" s="90"/>
      <c r="AV65" s="90"/>
      <c r="AW65" s="90"/>
      <c r="AX65" s="90"/>
      <c r="AY65" s="90"/>
      <c r="AZ65" s="90"/>
      <c r="BA65" s="236"/>
      <c r="BB65" s="164"/>
      <c r="BC65" s="229"/>
      <c r="BD65" s="164"/>
      <c r="BE65" s="164"/>
      <c r="BF65" s="164"/>
      <c r="BG65" s="85"/>
      <c r="BH65" s="85"/>
      <c r="BI65" s="85"/>
      <c r="BJ65" s="85"/>
      <c r="BK65" s="85"/>
      <c r="BL65" s="139"/>
      <c r="BM65" s="139"/>
      <c r="BN65" s="139"/>
      <c r="BO65" s="111"/>
      <c r="BQ65" s="111"/>
      <c r="BR65" s="111"/>
    </row>
    <row r="66" spans="1:70" s="77" customFormat="1">
      <c r="A66" s="148"/>
      <c r="B66" s="148"/>
      <c r="C66" s="150"/>
      <c r="D66" s="149"/>
      <c r="E66" s="149"/>
      <c r="F66" s="261"/>
      <c r="G66" s="149"/>
      <c r="H66" s="151"/>
      <c r="I66" s="150"/>
      <c r="J66" s="151"/>
      <c r="K66" s="151"/>
      <c r="L66" s="151"/>
      <c r="M66" s="148"/>
      <c r="N66" s="150"/>
      <c r="P66" s="150"/>
      <c r="Q66" s="211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70"/>
      <c r="AD66" s="170"/>
      <c r="AE66" s="170"/>
      <c r="AF66" s="170"/>
      <c r="AG66" s="170"/>
      <c r="AH66" s="170"/>
      <c r="AI66" s="165"/>
      <c r="AJ66" s="88"/>
      <c r="AN66" s="94"/>
      <c r="AP66" s="180"/>
      <c r="AR66" s="172"/>
      <c r="AT66" s="90"/>
      <c r="AU66" s="90"/>
      <c r="AV66" s="90"/>
      <c r="AW66" s="90"/>
      <c r="AX66" s="90"/>
      <c r="AY66" s="90"/>
      <c r="AZ66" s="90"/>
      <c r="BA66" s="236"/>
      <c r="BB66" s="164"/>
      <c r="BC66" s="229"/>
      <c r="BD66" s="164"/>
      <c r="BE66" s="164"/>
      <c r="BF66" s="85"/>
      <c r="BG66" s="85"/>
      <c r="BH66" s="85"/>
      <c r="BI66" s="85"/>
      <c r="BJ66" s="85"/>
      <c r="BK66" s="139"/>
      <c r="BL66" s="139"/>
      <c r="BM66" s="139"/>
      <c r="BN66" s="111"/>
      <c r="BP66" s="111"/>
      <c r="BQ66" s="111"/>
    </row>
    <row r="67" spans="1:70" s="77" customFormat="1">
      <c r="A67" s="182">
        <f>B67/L67</f>
        <v>1165.33536368</v>
      </c>
      <c r="B67" s="182">
        <f>SUM(B74,B73,B72,B71,B70,B69,B68,0)</f>
        <v>18645.36581888</v>
      </c>
      <c r="C67" s="187"/>
      <c r="D67" s="183" t="s">
        <v>100</v>
      </c>
      <c r="E67" s="183"/>
      <c r="F67" s="184" t="s">
        <v>103</v>
      </c>
      <c r="G67" s="166"/>
      <c r="H67" s="185">
        <v>1795</v>
      </c>
      <c r="I67" s="186" t="s">
        <v>102</v>
      </c>
      <c r="J67" s="185">
        <v>5760</v>
      </c>
      <c r="K67" s="168">
        <v>16</v>
      </c>
      <c r="L67" s="185">
        <f>$L$16*$K$67</f>
        <v>16</v>
      </c>
      <c r="M67" s="182">
        <f>SUM(M74,M73,M72,M71,M70,M69,M68,0)</f>
        <v>446.442432</v>
      </c>
      <c r="N67" s="186"/>
      <c r="O67" s="186"/>
      <c r="P67" s="186"/>
      <c r="Q67" s="186"/>
      <c r="R67" s="152"/>
      <c r="S67" s="152"/>
      <c r="T67" s="152"/>
      <c r="U67" s="152"/>
      <c r="V67" s="152"/>
      <c r="W67" s="150"/>
      <c r="X67" s="150" t="s">
        <v>104</v>
      </c>
      <c r="Y67" s="186">
        <v>4</v>
      </c>
      <c r="Z67" s="186"/>
      <c r="AA67" s="186"/>
      <c r="AB67" s="186"/>
      <c r="AC67" s="182">
        <f>SUM(AC74,AC73,AC72,AC71,AC70,AC69,AC68,0)</f>
        <v>45.57439153439153</v>
      </c>
      <c r="AD67" s="182">
        <f>SUM(AD74,AD73,AD72,AD71,AD70,AD69,AD68,0)</f>
        <v>9.4122239999999984</v>
      </c>
      <c r="AE67" s="182">
        <f>SUM(AE74,AE73,AE72,AE71,AE70,AE69,AE68,0)</f>
        <v>0</v>
      </c>
      <c r="AF67" s="182">
        <f>SUM(AF74,AF73,AF72,AF71,AF70,AF69,AF68,0)</f>
        <v>25.6</v>
      </c>
      <c r="AG67" s="182">
        <f>SUM(AG74,AG73,AG72,AG71,AG70,AG69,AG68,0)</f>
        <v>0</v>
      </c>
      <c r="AH67" s="137">
        <f>SUM(AC67:AG67)</f>
        <v>80.586615534391541</v>
      </c>
      <c r="AI67" s="137">
        <f>SUM(AI74,AI73,AI72,AI71,AI70,AI69,AI68,0)</f>
        <v>48</v>
      </c>
      <c r="AJ67" s="182">
        <f>SUM(AJ74,AJ73,AJ72,AJ71,AJ70,AJ69,AJ68,0)</f>
        <v>630.72</v>
      </c>
      <c r="AK67" s="137">
        <f>AJ67*10/60</f>
        <v>105.12000000000002</v>
      </c>
      <c r="AL67" s="182">
        <f>AH67+AI67+AK67</f>
        <v>233.70661553439157</v>
      </c>
      <c r="AM67" s="182">
        <f>B67/AL67</f>
        <v>79.781078409978534</v>
      </c>
      <c r="AN67" s="182">
        <f>AL67*46</f>
        <v>10750.504314582013</v>
      </c>
      <c r="AO67" s="182">
        <f>AN67/B67</f>
        <v>0.57657781665491503</v>
      </c>
      <c r="AP67" s="182">
        <f>AR67/B67</f>
        <v>0.81400000000000006</v>
      </c>
      <c r="AQ67" s="95"/>
      <c r="AR67" s="182">
        <f>SUM(AR74,AR73,AR72,AR71,AR70,AR69,AR68,0)</f>
        <v>15177.327776568321</v>
      </c>
      <c r="AT67" s="82"/>
      <c r="AU67" s="82"/>
      <c r="AV67" s="82"/>
      <c r="AW67" s="82"/>
      <c r="AX67" s="93"/>
      <c r="AY67" s="82"/>
      <c r="AZ67" s="82"/>
      <c r="BA67" s="234"/>
      <c r="BB67" s="164"/>
      <c r="BC67" s="229"/>
      <c r="BD67" s="85"/>
      <c r="BE67" s="85"/>
      <c r="BF67" s="85"/>
      <c r="BG67" s="85"/>
      <c r="BH67" s="85"/>
      <c r="BI67" s="85"/>
      <c r="BJ67" s="88"/>
    </row>
    <row r="68" spans="1:70" s="77" customFormat="1">
      <c r="A68" s="148">
        <f t="shared" ref="A68:A70" si="100">H68*J68*(RIGHT(F68,2))*7.85/(10^6)</f>
        <v>259.99200000000002</v>
      </c>
      <c r="B68" s="148">
        <f t="shared" ref="B68:B73" si="101">A68*L68</f>
        <v>4159.8720000000003</v>
      </c>
      <c r="C68" s="150"/>
      <c r="D68" s="149" t="s">
        <v>100</v>
      </c>
      <c r="E68" s="149"/>
      <c r="F68" s="150" t="s">
        <v>131</v>
      </c>
      <c r="G68" s="149" t="s">
        <v>111</v>
      </c>
      <c r="H68" s="151">
        <v>300</v>
      </c>
      <c r="I68" s="150" t="s">
        <v>102</v>
      </c>
      <c r="J68" s="151">
        <v>4416</v>
      </c>
      <c r="K68" s="151">
        <v>1</v>
      </c>
      <c r="L68" s="151">
        <f>K$68*L$67</f>
        <v>16</v>
      </c>
      <c r="M68" s="148">
        <f t="shared" ref="M68:M73" si="102">2*H68*J68/10^6*L68</f>
        <v>42.393599999999999</v>
      </c>
      <c r="N68" s="150" t="s">
        <v>112</v>
      </c>
      <c r="P68" s="150"/>
      <c r="Q68" s="169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 t="s">
        <v>104</v>
      </c>
      <c r="AC68" s="170">
        <f>((((H68+J68)*2/1000)*L68*(5/(VLOOKUP(F68,[1]Plasmalõikus!$A$7:$E$46,2,FALSE)/1000*60)))+(Q68*L68*(5*(VLOOKUP(F68,[1]Plasmalõikus!$A$7:$E$48,3,FALSE))/60/60)))</f>
        <v>8.9828571428571422</v>
      </c>
      <c r="AD68" s="170">
        <f t="shared" ref="AD68:AD73" si="103">0.012*((H68+J68)*2/1000*L68)</f>
        <v>1.8109440000000001</v>
      </c>
      <c r="AE68" s="170"/>
      <c r="AF68" s="171">
        <f>(H68*2*2)*20/60/1000*L68</f>
        <v>6.4</v>
      </c>
      <c r="AG68" s="171">
        <f t="shared" ref="AG68:AG73" si="104">IF(VALUE(MID(F68,SEARCH(" ",F68)+1,LEN(F68)))&lt;35,0,IF(VALUE(MID(F68,SEARCH(" ",F68)+1,LEN(F68)))&lt;40,3,IF(VALUE(MID(F68,SEARCH(" ",F68)+1,LEN(F68)))&lt;50,4,IF(VALUE(MID(F68,SEARCH(" ",F68)+1,LEN(F68)))&lt;60,5,IF(VALUE(MID(F68,SEARCH(" ",F68)+1,LEN(F68)))&lt;70,6,IF(VALUE(MID(F68,SEARCH(" ",F68)+1,LEN(F68)))&lt;80,7,IF(VALUE(MID(F68,SEARCH(" ",F68)+1,LEN(F68)))&lt;90,8,IF(VALUE(MID(F68,SEARCH(" ",F68)+1,LEN(F68)))&lt;100,9,10))))))))/60*Q68*L68</f>
        <v>0</v>
      </c>
      <c r="AH68" s="170"/>
      <c r="AI68" s="165">
        <f t="shared" ref="AI68:AI73" si="105">AL68*L68/60</f>
        <v>8</v>
      </c>
      <c r="AJ68" s="98">
        <f>(H68*2*AK68)*2*L68/1000</f>
        <v>19.2</v>
      </c>
      <c r="AK68" s="77">
        <v>1</v>
      </c>
      <c r="AL68" s="201" t="str">
        <f t="shared" ref="AL68" si="106">IF(A68&gt;40,"30",IF(A68&gt;10,"10",IF(A68&gt;20,"20","2")))</f>
        <v>30</v>
      </c>
      <c r="AN68" s="94"/>
      <c r="AP68" s="180">
        <f>(VLOOKUP(F68,Terasehind!$A$2:$B$157,2,FALSE))</f>
        <v>0.74</v>
      </c>
      <c r="AQ68" s="77">
        <v>1.1000000000000001</v>
      </c>
      <c r="AR68" s="172">
        <f t="shared" ref="AR68:AR73" si="107">AP68*AQ68*B68</f>
        <v>3386.1358080000005</v>
      </c>
      <c r="AT68" s="90"/>
      <c r="AU68" s="90"/>
      <c r="AV68" s="90"/>
      <c r="AW68" s="90"/>
      <c r="AX68" s="90"/>
      <c r="AY68" s="90"/>
      <c r="AZ68" s="90"/>
      <c r="BA68" s="236"/>
      <c r="BB68" s="164"/>
      <c r="BC68" s="229"/>
      <c r="BD68" s="164"/>
      <c r="BE68" s="164"/>
      <c r="BF68" s="164"/>
      <c r="BG68" s="85"/>
      <c r="BH68" s="85"/>
      <c r="BI68" s="85"/>
      <c r="BJ68" s="85"/>
      <c r="BK68" s="85"/>
      <c r="BL68" s="139"/>
      <c r="BM68" s="139"/>
      <c r="BN68" s="139"/>
      <c r="BO68" s="111"/>
      <c r="BQ68" s="111"/>
      <c r="BR68" s="111"/>
    </row>
    <row r="69" spans="1:70" s="77" customFormat="1">
      <c r="A69" s="148">
        <f t="shared" ref="A69" si="108">H69*J69*(RIGHT(F69,2))*7.85/(10^6)</f>
        <v>339.12</v>
      </c>
      <c r="B69" s="148">
        <f t="shared" ref="B69" si="109">A69*L69</f>
        <v>5425.92</v>
      </c>
      <c r="C69" s="150"/>
      <c r="D69" s="149" t="s">
        <v>109</v>
      </c>
      <c r="E69" s="149"/>
      <c r="F69" s="150" t="s">
        <v>131</v>
      </c>
      <c r="G69" s="149" t="s">
        <v>111</v>
      </c>
      <c r="H69" s="151">
        <v>300</v>
      </c>
      <c r="I69" s="150" t="s">
        <v>102</v>
      </c>
      <c r="J69" s="151">
        <v>5760</v>
      </c>
      <c r="K69" s="151">
        <v>1</v>
      </c>
      <c r="L69" s="151">
        <f>K$69*L$67</f>
        <v>16</v>
      </c>
      <c r="M69" s="148">
        <f t="shared" ref="M69" si="110">2*H69*J69/10^6*L69</f>
        <v>55.295999999999999</v>
      </c>
      <c r="N69" s="150" t="s">
        <v>112</v>
      </c>
      <c r="P69" s="150"/>
      <c r="Q69" s="169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 t="s">
        <v>104</v>
      </c>
      <c r="AC69" s="170">
        <f>((((H69+J69)*2/1000)*L69*(5/(VLOOKUP(F69,[1]Plasmalõikus!$A$7:$E$46,2,FALSE)/1000*60)))+(Q69*L69*(5*(VLOOKUP(F69,[1]Plasmalõikus!$A$7:$E$48,3,FALSE))/60/60)))</f>
        <v>11.542857142857141</v>
      </c>
      <c r="AD69" s="170">
        <f t="shared" ref="AD69" si="111">0.012*((H69+J69)*2/1000*L69)</f>
        <v>2.3270399999999998</v>
      </c>
      <c r="AE69" s="170"/>
      <c r="AF69" s="171">
        <f t="shared" ref="AF69:AF71" si="112">(H69*2*2)*20/60/1000*L69</f>
        <v>6.4</v>
      </c>
      <c r="AG69" s="171">
        <f t="shared" ref="AG69" si="113">IF(VALUE(MID(F69,SEARCH(" ",F69)+1,LEN(F69)))&lt;35,0,IF(VALUE(MID(F69,SEARCH(" ",F69)+1,LEN(F69)))&lt;40,3,IF(VALUE(MID(F69,SEARCH(" ",F69)+1,LEN(F69)))&lt;50,4,IF(VALUE(MID(F69,SEARCH(" ",F69)+1,LEN(F69)))&lt;60,5,IF(VALUE(MID(F69,SEARCH(" ",F69)+1,LEN(F69)))&lt;70,6,IF(VALUE(MID(F69,SEARCH(" ",F69)+1,LEN(F69)))&lt;80,7,IF(VALUE(MID(F69,SEARCH(" ",F69)+1,LEN(F69)))&lt;90,8,IF(VALUE(MID(F69,SEARCH(" ",F69)+1,LEN(F69)))&lt;100,9,10))))))))/60*Q69*L69</f>
        <v>0</v>
      </c>
      <c r="AH69" s="170"/>
      <c r="AI69" s="165">
        <f t="shared" ref="AI69" si="114">AL69*L69/60</f>
        <v>8</v>
      </c>
      <c r="AJ69" s="98">
        <f>(H69*2*AK69)*2*L69/1000</f>
        <v>19.2</v>
      </c>
      <c r="AK69" s="77">
        <v>1</v>
      </c>
      <c r="AL69" s="201" t="str">
        <f t="shared" ref="AL69" si="115">IF(A69&gt;40,"30",IF(A69&gt;10,"10",IF(A69&gt;20,"20","2")))</f>
        <v>30</v>
      </c>
      <c r="AN69" s="94"/>
      <c r="AP69" s="180">
        <f>(VLOOKUP(F69,Terasehind!$A$2:$B$157,2,FALSE))</f>
        <v>0.74</v>
      </c>
      <c r="AQ69" s="77">
        <v>1.1000000000000001</v>
      </c>
      <c r="AR69" s="172">
        <f t="shared" ref="AR69" si="116">AP69*AQ69*B69</f>
        <v>4416.6988799999999</v>
      </c>
      <c r="AT69" s="90"/>
      <c r="AU69" s="90"/>
      <c r="AV69" s="90"/>
      <c r="AW69" s="90"/>
      <c r="AX69" s="90"/>
      <c r="AY69" s="90"/>
      <c r="AZ69" s="90"/>
      <c r="BA69" s="236"/>
      <c r="BB69" s="164"/>
      <c r="BC69" s="229"/>
      <c r="BD69" s="164"/>
      <c r="BE69" s="164"/>
      <c r="BF69" s="164"/>
      <c r="BG69" s="85"/>
      <c r="BH69" s="85"/>
      <c r="BI69" s="85"/>
      <c r="BJ69" s="85"/>
      <c r="BK69" s="85"/>
      <c r="BL69" s="139"/>
      <c r="BM69" s="139"/>
      <c r="BN69" s="139"/>
      <c r="BO69" s="111"/>
      <c r="BQ69" s="111"/>
      <c r="BR69" s="111"/>
    </row>
    <row r="70" spans="1:70" s="77" customFormat="1" ht="16.5" customHeight="1">
      <c r="A70" s="148">
        <f t="shared" si="100"/>
        <v>28.848749999999999</v>
      </c>
      <c r="B70" s="148">
        <f t="shared" si="101"/>
        <v>461.58</v>
      </c>
      <c r="C70" s="150"/>
      <c r="D70" s="149" t="s">
        <v>114</v>
      </c>
      <c r="E70" s="149"/>
      <c r="F70" s="150" t="s">
        <v>131</v>
      </c>
      <c r="G70" s="149" t="s">
        <v>111</v>
      </c>
      <c r="H70" s="151">
        <v>300</v>
      </c>
      <c r="I70" s="150" t="s">
        <v>102</v>
      </c>
      <c r="J70" s="151">
        <v>490</v>
      </c>
      <c r="K70" s="151">
        <v>1</v>
      </c>
      <c r="L70" s="151">
        <f>K$70*L$67</f>
        <v>16</v>
      </c>
      <c r="M70" s="148">
        <f t="shared" si="102"/>
        <v>4.7039999999999997</v>
      </c>
      <c r="N70" s="150" t="s">
        <v>112</v>
      </c>
      <c r="P70" s="150"/>
      <c r="Q70" s="175">
        <v>4</v>
      </c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 t="s">
        <v>104</v>
      </c>
      <c r="AC70" s="170">
        <f>((((H70+J70)*2/1000)*L70*(5/(VLOOKUP(F70,[1]Plasmalõikus!$A$7:$E$46,2,FALSE)/1000*60)))+(Q70*L70*(5*(VLOOKUP(F70,[1]Plasmalõikus!$A$7:$E$48,3,FALSE))/60/60)))</f>
        <v>3.1047619047619048</v>
      </c>
      <c r="AD70" s="170">
        <f t="shared" si="103"/>
        <v>0.30336000000000002</v>
      </c>
      <c r="AE70" s="170"/>
      <c r="AF70" s="171">
        <f t="shared" si="112"/>
        <v>6.4</v>
      </c>
      <c r="AG70" s="171">
        <f t="shared" si="104"/>
        <v>0</v>
      </c>
      <c r="AH70" s="170"/>
      <c r="AI70" s="165">
        <f t="shared" si="105"/>
        <v>8</v>
      </c>
      <c r="AJ70" s="98"/>
      <c r="AK70" s="77">
        <v>1</v>
      </c>
      <c r="AL70" s="201" t="str">
        <f>IF(AND(Q70&gt;0,A70&lt;3),"10",IF(AND(Q70&gt;0,A70&lt;10),"15",IF(AND(Q70&gt;0,A70&lt;20),"20",IF(AND(Q70&gt;0,A70&lt;500),"30",IF(AND(Q70=0,A70&lt;3),"2",IF(AND(Q70=0,A70&lt;10),"5",IF(AND(Q70=0,A70&lt;20),"10",IF(AND(Q70=0,A70&lt;500),"20","2"))))))))</f>
        <v>30</v>
      </c>
      <c r="AN70" s="94"/>
      <c r="AP70" s="180">
        <f>(VLOOKUP(F70,Terasehind!$A$2:$B$157,2,FALSE))</f>
        <v>0.74</v>
      </c>
      <c r="AQ70" s="77">
        <v>1.1000000000000001</v>
      </c>
      <c r="AR70" s="172">
        <f t="shared" si="107"/>
        <v>375.72612000000004</v>
      </c>
      <c r="AT70" s="90"/>
      <c r="AU70" s="90"/>
      <c r="AV70" s="90"/>
      <c r="AW70" s="90"/>
      <c r="AX70" s="90"/>
      <c r="AY70" s="90"/>
      <c r="AZ70" s="90"/>
      <c r="BA70" s="230"/>
      <c r="BB70" s="139"/>
      <c r="BC70" s="230"/>
      <c r="BD70" s="85"/>
      <c r="BE70" s="85"/>
      <c r="BF70" s="85"/>
      <c r="BG70" s="85"/>
      <c r="BH70" s="85"/>
      <c r="BK70" s="85"/>
      <c r="BL70" s="85"/>
      <c r="BN70" s="139"/>
      <c r="BO70" s="111"/>
      <c r="BQ70" s="111"/>
      <c r="BR70" s="111"/>
    </row>
    <row r="71" spans="1:70" s="77" customFormat="1" ht="16.5" customHeight="1">
      <c r="A71" s="148">
        <f t="shared" ref="A71" si="117">H71*J71*(RIGHT(F71,2))*7.85/(10^6)</f>
        <v>138.35624999999999</v>
      </c>
      <c r="B71" s="148">
        <f t="shared" ref="B71" si="118">A71*L71</f>
        <v>2213.6999999999998</v>
      </c>
      <c r="C71" s="150"/>
      <c r="D71" s="149" t="s">
        <v>119</v>
      </c>
      <c r="E71" s="149"/>
      <c r="F71" s="150" t="s">
        <v>131</v>
      </c>
      <c r="G71" s="149" t="s">
        <v>111</v>
      </c>
      <c r="H71" s="151">
        <v>300</v>
      </c>
      <c r="I71" s="150" t="s">
        <v>102</v>
      </c>
      <c r="J71" s="151">
        <v>2350</v>
      </c>
      <c r="K71" s="151">
        <v>1</v>
      </c>
      <c r="L71" s="151">
        <f>K$71*L$67</f>
        <v>16</v>
      </c>
      <c r="M71" s="148">
        <f t="shared" ref="M71" si="119">2*H71*J71/10^6*L71</f>
        <v>22.56</v>
      </c>
      <c r="N71" s="150" t="s">
        <v>112</v>
      </c>
      <c r="P71" s="150"/>
      <c r="Q71" s="175">
        <v>14</v>
      </c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 t="s">
        <v>104</v>
      </c>
      <c r="AC71" s="170">
        <f>((((H71+J71)*2/1000)*L71*(5/(VLOOKUP(F71,[1]Plasmalõikus!$A$7:$E$46,2,FALSE)/1000*60)))+(Q71*L71*(5*(VLOOKUP(F71,[1]Plasmalõikus!$A$7:$E$48,3,FALSE))/60/60)))</f>
        <v>10.647619047619049</v>
      </c>
      <c r="AD71" s="170">
        <f t="shared" ref="AD71" si="120">0.012*((H71+J71)*2/1000*L71)</f>
        <v>1.0176000000000001</v>
      </c>
      <c r="AE71" s="170"/>
      <c r="AF71" s="171">
        <f t="shared" si="112"/>
        <v>6.4</v>
      </c>
      <c r="AG71" s="171">
        <f t="shared" ref="AG71" si="121">IF(VALUE(MID(F71,SEARCH(" ",F71)+1,LEN(F71)))&lt;35,0,IF(VALUE(MID(F71,SEARCH(" ",F71)+1,LEN(F71)))&lt;40,3,IF(VALUE(MID(F71,SEARCH(" ",F71)+1,LEN(F71)))&lt;50,4,IF(VALUE(MID(F71,SEARCH(" ",F71)+1,LEN(F71)))&lt;60,5,IF(VALUE(MID(F71,SEARCH(" ",F71)+1,LEN(F71)))&lt;70,6,IF(VALUE(MID(F71,SEARCH(" ",F71)+1,LEN(F71)))&lt;80,7,IF(VALUE(MID(F71,SEARCH(" ",F71)+1,LEN(F71)))&lt;90,8,IF(VALUE(MID(F71,SEARCH(" ",F71)+1,LEN(F71)))&lt;100,9,10))))))))/60*Q71*L71</f>
        <v>0</v>
      </c>
      <c r="AH71" s="170"/>
      <c r="AI71" s="165">
        <f t="shared" ref="AI71" si="122">AL71*L71/60</f>
        <v>8</v>
      </c>
      <c r="AJ71" s="98"/>
      <c r="AK71" s="77">
        <v>1</v>
      </c>
      <c r="AL71" s="201" t="str">
        <f>IF(AND(Q71&gt;0,A71&lt;3),"10",IF(AND(Q71&gt;0,A71&lt;10),"15",IF(AND(Q71&gt;0,A71&lt;20),"20",IF(AND(Q71&gt;0,A71&lt;500),"30",IF(AND(Q71=0,A71&lt;3),"2",IF(AND(Q71=0,A71&lt;10),"5",IF(AND(Q71=0,A71&lt;20),"10",IF(AND(Q71=0,A71&lt;500),"20","2"))))))))</f>
        <v>30</v>
      </c>
      <c r="AN71" s="94"/>
      <c r="AP71" s="180">
        <f>(VLOOKUP(F71,Terasehind!$A$2:$B$157,2,FALSE))</f>
        <v>0.74</v>
      </c>
      <c r="AQ71" s="77">
        <v>1.1000000000000001</v>
      </c>
      <c r="AR71" s="172">
        <f t="shared" ref="AR71" si="123">AP71*AQ71*B71</f>
        <v>1801.9518</v>
      </c>
      <c r="AT71" s="90"/>
      <c r="AU71" s="90"/>
      <c r="AV71" s="90"/>
      <c r="AW71" s="90"/>
      <c r="AX71" s="90"/>
      <c r="AY71" s="90"/>
      <c r="AZ71" s="90"/>
      <c r="BA71" s="230"/>
      <c r="BB71" s="139"/>
      <c r="BC71" s="230"/>
      <c r="BD71" s="85"/>
      <c r="BE71" s="85"/>
      <c r="BF71" s="85"/>
      <c r="BG71" s="85"/>
      <c r="BH71" s="85"/>
      <c r="BK71" s="85"/>
      <c r="BL71" s="85"/>
      <c r="BN71" s="139"/>
      <c r="BO71" s="111"/>
      <c r="BQ71" s="111"/>
      <c r="BR71" s="111"/>
    </row>
    <row r="72" spans="1:70" s="77" customFormat="1" ht="16.5" customHeight="1">
      <c r="A72" s="167">
        <f>H72*J72*(RIGHT(F72,2))*7.85/(10^6)*0.6</f>
        <v>368.18356367999996</v>
      </c>
      <c r="B72" s="148">
        <f t="shared" si="101"/>
        <v>5890.9370188799994</v>
      </c>
      <c r="C72" s="150"/>
      <c r="D72" s="149" t="s">
        <v>121</v>
      </c>
      <c r="E72" s="149"/>
      <c r="F72" s="150" t="s">
        <v>132</v>
      </c>
      <c r="G72" s="149" t="s">
        <v>111</v>
      </c>
      <c r="H72" s="151">
        <v>1697</v>
      </c>
      <c r="I72" s="150" t="s">
        <v>102</v>
      </c>
      <c r="J72" s="151">
        <v>5758</v>
      </c>
      <c r="K72" s="151">
        <v>1</v>
      </c>
      <c r="L72" s="151">
        <f>K$72*L$67</f>
        <v>16</v>
      </c>
      <c r="M72" s="148">
        <f t="shared" si="102"/>
        <v>312.68243200000001</v>
      </c>
      <c r="N72" s="150" t="s">
        <v>112</v>
      </c>
      <c r="P72" s="150"/>
      <c r="Q72" s="175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 t="s">
        <v>104</v>
      </c>
      <c r="AC72" s="170">
        <f>((((H72+J72)*2/1000)*L72*(5/(VLOOKUP(F72,[1]Plasmalõikus!$A$7:$E$46,2,FALSE)/1000*60)))+(Q72*L72*(5*(VLOOKUP(F72,[1]Plasmalõikus!$A$7:$E$48,3,FALSE))/60/60)))</f>
        <v>6.626666666666666</v>
      </c>
      <c r="AD72" s="170">
        <f t="shared" si="103"/>
        <v>2.8627199999999999</v>
      </c>
      <c r="AE72" s="170"/>
      <c r="AF72" s="171"/>
      <c r="AG72" s="171">
        <f t="shared" si="104"/>
        <v>0</v>
      </c>
      <c r="AH72" s="170"/>
      <c r="AI72" s="165">
        <f t="shared" si="105"/>
        <v>5.333333333333333</v>
      </c>
      <c r="AJ72" s="98">
        <f>(H72*4*AK72+J72*4*AK72)*1*L72/1000</f>
        <v>477.12</v>
      </c>
      <c r="AK72" s="77">
        <v>1</v>
      </c>
      <c r="AL72" s="201" t="str">
        <f t="shared" ref="AL72:AL73" si="124">IF(AND(Q72&gt;0,A72&lt;3),"10",IF(AND(Q72&gt;0,A72&lt;10),"15",IF(AND(Q72&gt;0,A72&lt;20),"20",IF(AND(Q72&gt;0,A72&lt;500),"30",IF(AND(Q72=0,A72&lt;3),"2",IF(AND(Q72=0,A72&lt;10),"5",IF(AND(Q72=0,A72&lt;20),"10",IF(AND(Q72=0,A72&lt;500),"20","2"))))))))</f>
        <v>20</v>
      </c>
      <c r="AN72" s="94"/>
      <c r="AP72" s="180">
        <f>(VLOOKUP(F72,Terasehind!$A$2:$B$157,2,FALSE))</f>
        <v>0.74</v>
      </c>
      <c r="AQ72" s="77">
        <v>1.1000000000000001</v>
      </c>
      <c r="AR72" s="172">
        <f t="shared" si="107"/>
        <v>4795.2227333683195</v>
      </c>
      <c r="AT72" s="90"/>
      <c r="AU72" s="90"/>
      <c r="AV72" s="90"/>
      <c r="AW72" s="90"/>
      <c r="AX72" s="90"/>
      <c r="AY72" s="90"/>
      <c r="AZ72" s="90"/>
      <c r="BA72" s="230"/>
      <c r="BB72" s="139"/>
      <c r="BC72" s="230"/>
      <c r="BD72" s="85"/>
      <c r="BE72" s="85"/>
      <c r="BF72" s="85"/>
      <c r="BG72" s="85"/>
      <c r="BH72" s="85"/>
      <c r="BK72" s="85"/>
      <c r="BL72" s="85"/>
      <c r="BN72" s="139"/>
      <c r="BO72" s="111"/>
      <c r="BQ72" s="111"/>
      <c r="BR72" s="111"/>
    </row>
    <row r="73" spans="1:70" s="77" customFormat="1" ht="16.5" customHeight="1">
      <c r="A73" s="148">
        <f t="shared" ref="A73" si="125">H73*J73*(RIGHT(F73,2))*7.85/(10^6)</f>
        <v>1.57</v>
      </c>
      <c r="B73" s="148">
        <f t="shared" si="101"/>
        <v>50.24</v>
      </c>
      <c r="C73" s="150" t="s">
        <v>113</v>
      </c>
      <c r="D73" s="149" t="s">
        <v>125</v>
      </c>
      <c r="E73" s="149"/>
      <c r="F73" s="150" t="s">
        <v>110</v>
      </c>
      <c r="G73" s="149" t="s">
        <v>111</v>
      </c>
      <c r="H73" s="151">
        <v>100</v>
      </c>
      <c r="I73" s="150" t="s">
        <v>102</v>
      </c>
      <c r="J73" s="151">
        <v>200</v>
      </c>
      <c r="K73" s="151">
        <v>2</v>
      </c>
      <c r="L73" s="151">
        <f>K$73*L$67</f>
        <v>32</v>
      </c>
      <c r="M73" s="148">
        <f t="shared" si="102"/>
        <v>1.28</v>
      </c>
      <c r="N73" s="150" t="s">
        <v>112</v>
      </c>
      <c r="P73" s="150"/>
      <c r="Q73" s="175">
        <v>2</v>
      </c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 t="s">
        <v>104</v>
      </c>
      <c r="AC73" s="170">
        <f>((((H73+J73)*2/1000)*L73*(5/(VLOOKUP(F73,[1]Plasmalõikus!$A$7:$E$46,2,FALSE)/1000*60)))+(Q73*L73*(5*(VLOOKUP(F73,[1]Plasmalõikus!$A$7:$E$48,3,FALSE))/60/60)))</f>
        <v>1.3511111111111109</v>
      </c>
      <c r="AD73" s="170">
        <f t="shared" si="103"/>
        <v>0.23039999999999999</v>
      </c>
      <c r="AE73" s="170"/>
      <c r="AF73" s="171"/>
      <c r="AG73" s="171">
        <f t="shared" si="104"/>
        <v>0</v>
      </c>
      <c r="AH73" s="170"/>
      <c r="AI73" s="165">
        <f t="shared" si="105"/>
        <v>5.333333333333333</v>
      </c>
      <c r="AJ73" s="98">
        <f>(H73*4*AK73+J73*2*AK73)*1*L73/1000</f>
        <v>25.6</v>
      </c>
      <c r="AK73" s="77">
        <v>1</v>
      </c>
      <c r="AL73" s="201" t="str">
        <f t="shared" si="124"/>
        <v>10</v>
      </c>
      <c r="AN73" s="94"/>
      <c r="AP73" s="180">
        <f>(VLOOKUP(F73,Terasehind!$A$2:$B$157,2,FALSE))</f>
        <v>0.74</v>
      </c>
      <c r="AQ73" s="77">
        <v>1.1000000000000001</v>
      </c>
      <c r="AR73" s="172">
        <f t="shared" si="107"/>
        <v>40.895360000000004</v>
      </c>
      <c r="AT73" s="90"/>
      <c r="AU73" s="90"/>
      <c r="AV73" s="90"/>
      <c r="AW73" s="90"/>
      <c r="AX73" s="90"/>
      <c r="AY73" s="90"/>
      <c r="AZ73" s="90"/>
      <c r="BA73" s="230"/>
      <c r="BB73" s="139"/>
      <c r="BC73" s="230"/>
      <c r="BD73" s="85"/>
      <c r="BE73" s="85"/>
      <c r="BF73" s="85"/>
      <c r="BG73" s="85"/>
      <c r="BH73" s="85"/>
      <c r="BK73" s="85"/>
      <c r="BL73" s="85"/>
      <c r="BN73" s="139"/>
      <c r="BO73" s="111"/>
      <c r="BQ73" s="111"/>
      <c r="BR73" s="111"/>
    </row>
    <row r="74" spans="1:70" s="77" customFormat="1" ht="16.5" customHeight="1">
      <c r="A74" s="148">
        <f t="shared" ref="A74" si="126">H74*J74*(RIGHT(F74,2))*7.85/(10^6)</f>
        <v>6.9237000000000002</v>
      </c>
      <c r="B74" s="148">
        <f t="shared" ref="B74" si="127">A74*L74</f>
        <v>443.11680000000001</v>
      </c>
      <c r="C74" s="150" t="s">
        <v>124</v>
      </c>
      <c r="D74" s="149" t="s">
        <v>125</v>
      </c>
      <c r="E74" s="149"/>
      <c r="F74" s="150" t="s">
        <v>117</v>
      </c>
      <c r="G74" s="149" t="s">
        <v>111</v>
      </c>
      <c r="H74" s="151">
        <v>140</v>
      </c>
      <c r="I74" s="150" t="s">
        <v>102</v>
      </c>
      <c r="J74" s="151">
        <v>420</v>
      </c>
      <c r="K74" s="151">
        <v>4</v>
      </c>
      <c r="L74" s="151">
        <f>K$74*L$67</f>
        <v>64</v>
      </c>
      <c r="M74" s="148">
        <f t="shared" ref="M74" si="128">2*H74*J74/10^6*L74</f>
        <v>7.5263999999999998</v>
      </c>
      <c r="N74" s="150" t="s">
        <v>112</v>
      </c>
      <c r="P74" s="150"/>
      <c r="Q74" s="175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 t="s">
        <v>104</v>
      </c>
      <c r="AC74" s="170">
        <f>((((H74+J74)*2/1000)*L74*(5/(VLOOKUP(F74,[1]Plasmalõikus!$A$7:$E$46,2,FALSE)/1000*60)))+(Q74*L74*(5*(VLOOKUP(F74,[1]Plasmalõikus!$A$7:$E$48,3,FALSE))/60/60)))</f>
        <v>3.3185185185185189</v>
      </c>
      <c r="AD74" s="170">
        <f t="shared" ref="AD74" si="129">0.012*((H74+J74)*2/1000*L74)</f>
        <v>0.86016000000000015</v>
      </c>
      <c r="AE74" s="170"/>
      <c r="AF74" s="171"/>
      <c r="AG74" s="171">
        <f t="shared" ref="AG74" si="130">IF(VALUE(MID(F74,SEARCH(" ",F74)+1,LEN(F74)))&lt;35,0,IF(VALUE(MID(F74,SEARCH(" ",F74)+1,LEN(F74)))&lt;40,3,IF(VALUE(MID(F74,SEARCH(" ",F74)+1,LEN(F74)))&lt;50,4,IF(VALUE(MID(F74,SEARCH(" ",F74)+1,LEN(F74)))&lt;60,5,IF(VALUE(MID(F74,SEARCH(" ",F74)+1,LEN(F74)))&lt;70,6,IF(VALUE(MID(F74,SEARCH(" ",F74)+1,LEN(F74)))&lt;80,7,IF(VALUE(MID(F74,SEARCH(" ",F74)+1,LEN(F74)))&lt;90,8,IF(VALUE(MID(F74,SEARCH(" ",F74)+1,LEN(F74)))&lt;100,9,10))))))))/60*Q74*L74</f>
        <v>0</v>
      </c>
      <c r="AH74" s="170"/>
      <c r="AI74" s="165">
        <f t="shared" ref="AI74" si="131">AL74*L74/60</f>
        <v>5.333333333333333</v>
      </c>
      <c r="AJ74" s="98">
        <f>(H74*4*AK74+J74*2*AK74)*1*L74/1000</f>
        <v>89.6</v>
      </c>
      <c r="AK74" s="77">
        <v>1</v>
      </c>
      <c r="AL74" s="201" t="str">
        <f t="shared" ref="AL74" si="132">IF(AND(Q74&gt;0,A74&lt;3),"10",IF(AND(Q74&gt;0,A74&lt;10),"15",IF(AND(Q74&gt;0,A74&lt;20),"20",IF(AND(Q74&gt;0,A74&lt;500),"30",IF(AND(Q74=0,A74&lt;3),"2",IF(AND(Q74=0,A74&lt;10),"5",IF(AND(Q74=0,A74&lt;20),"10",IF(AND(Q74=0,A74&lt;500),"20","2"))))))))</f>
        <v>5</v>
      </c>
      <c r="AN74" s="94"/>
      <c r="AP74" s="180">
        <f>(VLOOKUP(F74,Terasehind!$A$2:$B$157,2,FALSE))</f>
        <v>0.74</v>
      </c>
      <c r="AQ74" s="77">
        <v>1.1000000000000001</v>
      </c>
      <c r="AR74" s="172">
        <f t="shared" ref="AR74" si="133">AP74*AQ74*B74</f>
        <v>360.69707520000003</v>
      </c>
      <c r="AT74" s="90"/>
      <c r="AU74" s="90"/>
      <c r="AV74" s="90"/>
      <c r="AW74" s="90"/>
      <c r="AX74" s="90"/>
      <c r="AY74" s="90"/>
      <c r="AZ74" s="90"/>
      <c r="BA74" s="230"/>
      <c r="BB74" s="139"/>
      <c r="BC74" s="230"/>
      <c r="BD74" s="85"/>
      <c r="BE74" s="85"/>
      <c r="BF74" s="85"/>
      <c r="BG74" s="85"/>
      <c r="BH74" s="85"/>
      <c r="BK74" s="85"/>
      <c r="BL74" s="85"/>
      <c r="BN74" s="139"/>
      <c r="BO74" s="111"/>
      <c r="BQ74" s="111"/>
      <c r="BR74" s="111"/>
    </row>
    <row r="75" spans="1:70" s="77" customFormat="1">
      <c r="A75" s="148"/>
      <c r="B75"/>
      <c r="C75" s="148"/>
      <c r="D75" s="149"/>
      <c r="E75" s="149"/>
      <c r="F75" s="150"/>
      <c r="G75" s="149"/>
      <c r="H75" s="151"/>
      <c r="I75" s="150"/>
      <c r="J75" s="151"/>
      <c r="K75" s="151"/>
      <c r="L75" s="151"/>
      <c r="M75" s="144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D75" s="111"/>
      <c r="AE75" s="111"/>
      <c r="AF75" s="146"/>
      <c r="AG75" s="146"/>
      <c r="AH75" s="111"/>
      <c r="AI75" s="111"/>
      <c r="AJ75" s="111"/>
      <c r="AK75" s="111"/>
      <c r="AL75" s="111"/>
      <c r="AM75" s="88"/>
      <c r="AN75" s="94"/>
      <c r="AO75" s="89"/>
      <c r="AP75" s="90"/>
      <c r="AQ75" s="90"/>
      <c r="AT75" s="88"/>
      <c r="AU75" s="105"/>
      <c r="AV75" s="105"/>
      <c r="AW75" s="105"/>
      <c r="AX75" s="153"/>
      <c r="AY75" s="105"/>
      <c r="AZ75" s="105"/>
      <c r="BA75" s="234"/>
      <c r="BB75" s="164"/>
      <c r="BC75" s="229"/>
      <c r="BD75" s="164"/>
      <c r="BE75" s="164"/>
      <c r="BF75" s="85"/>
      <c r="BG75" s="85"/>
      <c r="BH75" s="85"/>
      <c r="BI75" s="85"/>
      <c r="BJ75" s="85"/>
      <c r="BK75" s="111"/>
      <c r="BL75" s="139"/>
      <c r="BN75" s="85"/>
      <c r="BO75" s="88"/>
    </row>
    <row r="76" spans="1:70" s="77" customFormat="1">
      <c r="A76" s="182">
        <f>B76/L76</f>
        <v>6.6150000000000002</v>
      </c>
      <c r="B76" s="182">
        <f>SUM(B77,0)</f>
        <v>52.92</v>
      </c>
      <c r="C76" s="187"/>
      <c r="D76" s="183" t="s">
        <v>109</v>
      </c>
      <c r="E76" s="183"/>
      <c r="F76" s="184" t="s">
        <v>133</v>
      </c>
      <c r="G76" s="166"/>
      <c r="H76" s="185">
        <v>160</v>
      </c>
      <c r="I76" s="186" t="s">
        <v>102</v>
      </c>
      <c r="J76" s="185">
        <f>J77</f>
        <v>1470</v>
      </c>
      <c r="K76" s="168">
        <v>8</v>
      </c>
      <c r="L76" s="185">
        <f>$L$16*$K$76</f>
        <v>8</v>
      </c>
      <c r="M76" s="182">
        <f>SUM(M77,0)</f>
        <v>2.2932000000000001</v>
      </c>
      <c r="N76" s="186"/>
      <c r="O76" s="186"/>
      <c r="P76" s="186"/>
      <c r="Q76" s="186"/>
      <c r="R76" s="152"/>
      <c r="S76" s="152"/>
      <c r="T76" s="152"/>
      <c r="U76" s="152"/>
      <c r="V76" s="152"/>
      <c r="W76" s="150"/>
      <c r="X76" s="150" t="s">
        <v>104</v>
      </c>
      <c r="Y76" s="186">
        <v>4</v>
      </c>
      <c r="Z76" s="186"/>
      <c r="AA76" s="186"/>
      <c r="AB76" s="186"/>
      <c r="AC76" s="182">
        <f>SUM(AC77,0)</f>
        <v>0</v>
      </c>
      <c r="AD76" s="182">
        <f>SUM(AD77,0)</f>
        <v>0</v>
      </c>
      <c r="AE76" s="182">
        <f>SUM(AE77,0)</f>
        <v>0.8</v>
      </c>
      <c r="AF76" s="182">
        <f>SUM(AF77,0)</f>
        <v>0</v>
      </c>
      <c r="AG76" s="182">
        <f>SUM(AG77,0)</f>
        <v>0</v>
      </c>
      <c r="AH76" s="137">
        <f>SUM(AC76:AG76)</f>
        <v>0.8</v>
      </c>
      <c r="AI76" s="137">
        <f>SUM(AI77,0)</f>
        <v>2</v>
      </c>
      <c r="AJ76" s="182">
        <f>SUM(AJ77,0)</f>
        <v>23.52</v>
      </c>
      <c r="AK76" s="137">
        <f>AJ76*10/60</f>
        <v>3.92</v>
      </c>
      <c r="AL76" s="182">
        <f>AH76+AI76+AK76</f>
        <v>6.72</v>
      </c>
      <c r="AM76" s="182">
        <f>B76/AL76</f>
        <v>7.8750000000000009</v>
      </c>
      <c r="AN76" s="182">
        <f>AL76*46</f>
        <v>309.12</v>
      </c>
      <c r="AO76" s="182">
        <f>AN76/B76</f>
        <v>5.8412698412698409</v>
      </c>
      <c r="AP76" s="182">
        <f>AR76/B76</f>
        <v>1.0780000000000001</v>
      </c>
      <c r="AQ76" s="95"/>
      <c r="AR76" s="182">
        <f>SUM(AR77,0)</f>
        <v>57.047760000000004</v>
      </c>
      <c r="AT76" s="82"/>
      <c r="AU76" s="82"/>
      <c r="AV76" s="82"/>
      <c r="AW76" s="82"/>
      <c r="AX76" s="93"/>
      <c r="AY76" s="82"/>
      <c r="AZ76" s="82"/>
      <c r="BA76" s="234"/>
      <c r="BB76" s="164"/>
      <c r="BC76" s="229"/>
      <c r="BD76" s="85"/>
      <c r="BE76" s="85"/>
      <c r="BF76" s="85"/>
      <c r="BG76" s="85"/>
      <c r="BH76" s="85"/>
      <c r="BI76" s="85"/>
      <c r="BJ76" s="88"/>
    </row>
    <row r="77" spans="1:70" s="77" customFormat="1">
      <c r="A77" s="148">
        <f xml:space="preserve"> 4.5*J77/10^3</f>
        <v>6.6150000000000002</v>
      </c>
      <c r="B77" s="148">
        <f>A77*L77</f>
        <v>52.92</v>
      </c>
      <c r="C77" s="173"/>
      <c r="D77" s="149" t="s">
        <v>100</v>
      </c>
      <c r="E77" s="149"/>
      <c r="F77" s="150" t="s">
        <v>134</v>
      </c>
      <c r="G77" s="174" t="s">
        <v>111</v>
      </c>
      <c r="H77" s="151">
        <v>60</v>
      </c>
      <c r="I77" s="150" t="s">
        <v>102</v>
      </c>
      <c r="J77" s="151">
        <v>1470</v>
      </c>
      <c r="K77" s="77">
        <v>1</v>
      </c>
      <c r="L77" s="151">
        <f>K$77*L$76</f>
        <v>8</v>
      </c>
      <c r="M77" s="164">
        <f xml:space="preserve"> 0.195*J77*L77/10^3</f>
        <v>2.2932000000000001</v>
      </c>
      <c r="N77" s="150"/>
      <c r="O77" s="150"/>
      <c r="P77" s="150" t="s">
        <v>104</v>
      </c>
      <c r="Q77" s="169"/>
      <c r="R77" s="150"/>
      <c r="S77" s="150"/>
      <c r="T77" s="150"/>
      <c r="U77" s="150"/>
      <c r="V77" s="150"/>
      <c r="W77" s="150"/>
      <c r="Y77" s="150"/>
      <c r="Z77" s="150"/>
      <c r="AA77" s="150"/>
      <c r="AB77" s="150" t="s">
        <v>104</v>
      </c>
      <c r="AC77" s="148"/>
      <c r="AD77" s="111"/>
      <c r="AE77" s="170">
        <f>(H77/20/60)*2*L77</f>
        <v>0.8</v>
      </c>
      <c r="AF77" s="171"/>
      <c r="AG77" s="165">
        <f>Q77*L77*0.5/60</f>
        <v>0</v>
      </c>
      <c r="AH77" s="111"/>
      <c r="AI77" s="165">
        <f>AL77*L77/60</f>
        <v>2</v>
      </c>
      <c r="AJ77" s="98">
        <f>(J77*2*AK77)*L77/1000</f>
        <v>23.52</v>
      </c>
      <c r="AK77" s="77">
        <v>1</v>
      </c>
      <c r="AL77" s="97">
        <v>15</v>
      </c>
      <c r="AP77" s="180">
        <f>(VLOOKUP(F77,Terasehind!$A$2:$B$157,2,FALSE))</f>
        <v>0.98</v>
      </c>
      <c r="AQ77" s="77">
        <f>(VLOOKUP(F77,Terasehind!$A$2:$C$157,3,FALSE))</f>
        <v>1.1000000000000001</v>
      </c>
      <c r="AR77" s="172">
        <f>AP77*AQ77*B77</f>
        <v>57.047760000000004</v>
      </c>
      <c r="AT77" s="90"/>
      <c r="AU77" s="90"/>
      <c r="AV77" s="90"/>
      <c r="AW77" s="90"/>
      <c r="AX77" s="90"/>
      <c r="AY77" s="90"/>
      <c r="AZ77" s="90"/>
      <c r="BA77" s="236"/>
      <c r="BB77" s="164"/>
      <c r="BC77" s="229"/>
      <c r="BD77" s="164"/>
      <c r="BE77" s="164"/>
      <c r="BF77" s="85"/>
      <c r="BG77" s="85"/>
      <c r="BH77" s="85"/>
      <c r="BI77" s="85"/>
      <c r="BJ77" s="85"/>
      <c r="BK77" s="88"/>
      <c r="BL77" s="85"/>
      <c r="BM77" s="88"/>
      <c r="BN77" s="111"/>
      <c r="BP77" s="139"/>
    </row>
    <row r="78" spans="1:70" customFormat="1" ht="16.5" customHeight="1">
      <c r="F78" s="355"/>
    </row>
    <row r="79" spans="1:70" s="77" customFormat="1">
      <c r="A79" s="148"/>
      <c r="B79" s="148"/>
      <c r="C79" s="150"/>
      <c r="D79" s="149"/>
      <c r="E79" s="149"/>
      <c r="F79" s="150"/>
      <c r="G79" s="149"/>
      <c r="H79" s="151"/>
      <c r="I79" s="150"/>
      <c r="J79" s="151"/>
      <c r="K79" s="151"/>
      <c r="L79" s="151"/>
      <c r="M79" s="148"/>
      <c r="N79" s="150"/>
      <c r="P79" s="150"/>
      <c r="Q79" s="169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70"/>
      <c r="AD79" s="170"/>
      <c r="AE79" s="170"/>
      <c r="AF79" s="171"/>
      <c r="AG79" s="171"/>
      <c r="AH79" s="170"/>
      <c r="AI79" s="165"/>
      <c r="AJ79" s="98"/>
      <c r="AL79" s="97"/>
      <c r="AN79" s="94"/>
      <c r="AP79" s="180"/>
      <c r="AR79" s="172"/>
      <c r="AT79" s="90"/>
      <c r="AU79" s="90"/>
      <c r="AV79" s="90"/>
      <c r="AW79" s="90"/>
      <c r="AX79" s="90"/>
      <c r="AY79" s="90"/>
      <c r="AZ79" s="90"/>
      <c r="BA79" s="236"/>
      <c r="BB79" s="164"/>
      <c r="BC79" s="229"/>
      <c r="BD79" s="164"/>
      <c r="BE79" s="164"/>
      <c r="BF79" s="164"/>
      <c r="BG79" s="85"/>
      <c r="BH79" s="85"/>
      <c r="BI79" s="85"/>
      <c r="BJ79" s="85"/>
      <c r="BK79" s="85"/>
      <c r="BL79" s="139"/>
      <c r="BM79" s="139"/>
      <c r="BN79" s="139"/>
      <c r="BO79" s="111"/>
      <c r="BQ79" s="111"/>
      <c r="BR79" s="111"/>
    </row>
    <row r="80" spans="1:70" customFormat="1"/>
    <row r="81" spans="1:70" s="77" customFormat="1" ht="16.350000000000001" thickBot="1">
      <c r="A81" s="148"/>
      <c r="B81" s="148"/>
      <c r="C81" s="148"/>
      <c r="D81" s="149"/>
      <c r="E81" s="149"/>
      <c r="F81" s="149"/>
      <c r="G81" s="213" t="s">
        <v>16</v>
      </c>
      <c r="H81" s="149"/>
      <c r="I81" s="149"/>
      <c r="J81" s="149"/>
      <c r="K81" s="149"/>
      <c r="L81" s="149"/>
      <c r="M81" s="273">
        <f>(H89+(RIGHT(F89,2)*2)+(20*2))*J89/10^6*L89</f>
        <v>38.808900000000001</v>
      </c>
      <c r="N81" s="149"/>
      <c r="O81" s="149"/>
      <c r="P81" s="149"/>
      <c r="Q81" s="149"/>
      <c r="R81" s="149"/>
      <c r="S81" s="149"/>
      <c r="T81" s="149"/>
      <c r="U81" s="149"/>
      <c r="V81" s="149"/>
      <c r="W81" s="149"/>
      <c r="X81" s="149"/>
      <c r="Y81" s="149"/>
      <c r="Z81" s="149"/>
      <c r="AA81" s="149"/>
      <c r="AB81" s="149"/>
      <c r="AC81" s="149"/>
      <c r="AD81" s="149"/>
      <c r="AE81" s="149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61">
        <f>HLOOKUP(G81,$AB$1:$AK$2,2,FALSE)</f>
        <v>13</v>
      </c>
      <c r="AU81" s="202">
        <f>IF(AND(G81="HDG"),B81*AT81,M81*AT81)</f>
        <v>504.51570000000004</v>
      </c>
      <c r="AV81" s="149"/>
      <c r="AW81" s="149"/>
      <c r="AX81" s="149"/>
      <c r="AY81" s="149"/>
      <c r="AZ81" s="149"/>
      <c r="BA81" s="234"/>
      <c r="BB81" s="164"/>
      <c r="BC81" s="229"/>
      <c r="BD81" s="164"/>
      <c r="BE81" s="164"/>
      <c r="BF81" s="164"/>
      <c r="BG81" s="85"/>
      <c r="BH81" s="85"/>
      <c r="BI81" s="85"/>
      <c r="BJ81" s="111"/>
    </row>
    <row r="82" spans="1:70" s="77" customFormat="1" ht="15" thickBot="1">
      <c r="A82" s="189">
        <f>B82/L82</f>
        <v>11380.8966375</v>
      </c>
      <c r="B82" s="189">
        <f>B$86</f>
        <v>11380.8966375</v>
      </c>
      <c r="C82" s="190"/>
      <c r="D82" s="190" t="s">
        <v>109</v>
      </c>
      <c r="E82" s="190"/>
      <c r="F82" s="191" t="s">
        <v>135</v>
      </c>
      <c r="G82" s="206" t="s">
        <v>15</v>
      </c>
      <c r="H82" s="192">
        <v>150</v>
      </c>
      <c r="I82" s="193" t="s">
        <v>102</v>
      </c>
      <c r="J82" s="192">
        <v>7500</v>
      </c>
      <c r="K82" s="192">
        <v>1</v>
      </c>
      <c r="L82" s="192">
        <f>$L$11*$K$82</f>
        <v>1</v>
      </c>
      <c r="M82" s="189">
        <f>M$86</f>
        <v>161.89679999999998</v>
      </c>
      <c r="N82" s="193"/>
      <c r="O82" s="193"/>
      <c r="P82" s="193"/>
      <c r="Q82" s="193"/>
      <c r="R82" s="193"/>
      <c r="S82" s="193"/>
      <c r="T82" s="193"/>
      <c r="U82" s="193"/>
      <c r="V82" s="193"/>
      <c r="W82" s="193"/>
      <c r="X82" s="193"/>
      <c r="Y82" s="193">
        <v>3</v>
      </c>
      <c r="Z82" s="193"/>
      <c r="AA82" s="193"/>
      <c r="AB82" s="193"/>
      <c r="AC82" s="189">
        <f>AC$86</f>
        <v>34.19586805555555</v>
      </c>
      <c r="AD82" s="189">
        <f>AD$86</f>
        <v>8.66892</v>
      </c>
      <c r="AE82" s="189">
        <f>AE$86</f>
        <v>0</v>
      </c>
      <c r="AF82" s="189">
        <f>AF$86</f>
        <v>2.7733333333333334</v>
      </c>
      <c r="AG82" s="189">
        <f>AG$86</f>
        <v>6.5</v>
      </c>
      <c r="AH82" s="137">
        <f>SUM(AC82:AG82)</f>
        <v>52.138121388888884</v>
      </c>
      <c r="AI82" s="137">
        <f>AI$86</f>
        <v>43.333333333333329</v>
      </c>
      <c r="AJ82" s="189">
        <f>AJ$86</f>
        <v>450.125</v>
      </c>
      <c r="AK82" s="137">
        <f>AJ82*10/60</f>
        <v>75.020833333333329</v>
      </c>
      <c r="AL82" s="167">
        <f>AH82+AI82+AK82</f>
        <v>170.49228805555555</v>
      </c>
      <c r="AM82" s="209">
        <f>B82/AL82</f>
        <v>66.753146240793555</v>
      </c>
      <c r="AN82" s="194">
        <f>AL82*46</f>
        <v>7842.6452505555553</v>
      </c>
      <c r="AO82" s="195">
        <f>AN82/B82</f>
        <v>0.68910609597437844</v>
      </c>
      <c r="AP82" s="195">
        <f>AR82/B82</f>
        <v>1.0032744641788336</v>
      </c>
      <c r="AQ82" s="95"/>
      <c r="AR82" s="195">
        <f>AR$86</f>
        <v>11418.1629758625</v>
      </c>
      <c r="AS82" s="204">
        <f>$AU$2</f>
        <v>1.05</v>
      </c>
      <c r="AT82" s="161">
        <f>HLOOKUP(G82,$AB$1:$AK$2,2,FALSE)</f>
        <v>9</v>
      </c>
      <c r="AU82" s="202">
        <f>IF(AND(G82="HDG"),B82*AT82,M82*AT82)</f>
        <v>1457.0711999999999</v>
      </c>
      <c r="AV82" s="96">
        <f>B82*pakendus</f>
        <v>341.42689912499998</v>
      </c>
      <c r="AW82" s="195">
        <f>(AN82+AU82+AV82)+AU81</f>
        <v>10145.659049680555</v>
      </c>
      <c r="AX82" s="162">
        <f>$AV$2</f>
        <v>1.05</v>
      </c>
      <c r="AY82" s="138">
        <f>(AR82*AS82)+(AW82*AX82)</f>
        <v>22642.013126820209</v>
      </c>
      <c r="AZ82" s="163">
        <f>ROUND(AY82/B82,3)</f>
        <v>1.9890000000000001</v>
      </c>
      <c r="BA82" s="234"/>
      <c r="BB82" s="164"/>
      <c r="BC82" s="160">
        <f>B82/20000</f>
        <v>0.56904483187499999</v>
      </c>
      <c r="BD82" s="212"/>
      <c r="BE82" s="212"/>
      <c r="BF82" s="85"/>
      <c r="BG82" s="85"/>
      <c r="BH82" s="85"/>
      <c r="BI82" s="85"/>
      <c r="BJ82" s="111"/>
    </row>
    <row r="83" spans="1:70" s="77" customFormat="1">
      <c r="A83" s="148"/>
      <c r="B83" s="196">
        <f>SUMIF(F86:F93,"leht*",B86:B93)</f>
        <v>11380.896637499998</v>
      </c>
      <c r="C83" s="247">
        <f>(B83-B84)/B82</f>
        <v>6.3101474811192979E-2</v>
      </c>
      <c r="D83" s="197" t="s">
        <v>98</v>
      </c>
      <c r="E83" s="149"/>
      <c r="F83" s="150"/>
      <c r="G83" s="149" t="s">
        <v>136</v>
      </c>
      <c r="H83" s="151"/>
      <c r="I83" s="150"/>
      <c r="J83" s="151"/>
      <c r="K83" s="151"/>
      <c r="L83" s="151"/>
      <c r="M83" s="144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D83" s="111"/>
      <c r="AE83" s="111"/>
      <c r="AF83" s="146"/>
      <c r="AG83" s="146"/>
      <c r="AH83" s="111"/>
      <c r="AI83" s="111"/>
      <c r="AJ83" s="111"/>
      <c r="AK83" s="111"/>
      <c r="AL83" s="111"/>
      <c r="AM83" s="88"/>
      <c r="AN83" s="94"/>
      <c r="AO83" s="89"/>
      <c r="AP83" s="90"/>
      <c r="AQ83" s="90"/>
      <c r="AT83" s="88"/>
      <c r="AU83" s="105"/>
      <c r="AV83" s="105"/>
      <c r="AW83" s="105"/>
      <c r="AX83" s="153"/>
      <c r="AY83" s="105"/>
      <c r="AZ83" s="105"/>
      <c r="BA83" s="234"/>
      <c r="BB83" s="164"/>
      <c r="BC83" s="229"/>
      <c r="BD83" s="164"/>
      <c r="BE83" s="164"/>
      <c r="BF83" s="164"/>
      <c r="BG83" s="85"/>
      <c r="BH83" s="85"/>
      <c r="BI83" s="85"/>
      <c r="BJ83" s="85"/>
      <c r="BK83" s="85"/>
      <c r="BL83" s="111"/>
      <c r="BM83" s="139"/>
      <c r="BO83" s="85"/>
      <c r="BP83" s="88"/>
    </row>
    <row r="84" spans="1:70" s="77" customFormat="1">
      <c r="A84" s="148"/>
      <c r="B84" s="196">
        <f>SUMIF(C87:C93,"wq*",B87:B93)</f>
        <v>10662.745275000001</v>
      </c>
      <c r="C84" s="247"/>
      <c r="D84" s="197"/>
      <c r="E84" s="149"/>
      <c r="F84" s="150"/>
      <c r="G84" s="149"/>
      <c r="H84" s="151"/>
      <c r="I84" s="150"/>
      <c r="J84" s="151"/>
      <c r="K84" s="151"/>
      <c r="L84" s="151"/>
      <c r="M84" s="144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D84" s="111"/>
      <c r="AE84" s="111"/>
      <c r="AF84" s="146"/>
      <c r="AG84" s="146"/>
      <c r="AH84" s="111"/>
      <c r="AI84" s="111"/>
      <c r="AJ84" s="111"/>
      <c r="AK84" s="111"/>
      <c r="AL84" s="111"/>
      <c r="AM84" s="88"/>
      <c r="AN84" s="94"/>
      <c r="AO84" s="89"/>
      <c r="AP84" s="90"/>
      <c r="AQ84" s="90"/>
      <c r="AT84" s="88"/>
      <c r="AU84" s="105"/>
      <c r="AV84" s="105"/>
      <c r="AW84" s="105"/>
      <c r="AX84" s="153"/>
      <c r="AY84" s="105"/>
      <c r="AZ84" s="105"/>
      <c r="BA84" s="234"/>
      <c r="BB84" s="164"/>
      <c r="BC84" s="229"/>
      <c r="BD84" s="164"/>
      <c r="BE84" s="164"/>
      <c r="BF84" s="164"/>
      <c r="BG84" s="85"/>
      <c r="BH84" s="85"/>
      <c r="BI84" s="85"/>
      <c r="BJ84" s="85"/>
      <c r="BK84" s="85"/>
      <c r="BL84" s="111"/>
      <c r="BM84" s="139"/>
      <c r="BO84" s="85"/>
      <c r="BP84" s="88"/>
    </row>
    <row r="85" spans="1:70" s="77" customFormat="1">
      <c r="A85" s="148">
        <f>A86/(J87/1000)</f>
        <v>181.81798286604359</v>
      </c>
      <c r="B85" s="148"/>
      <c r="C85" s="150"/>
      <c r="D85" s="149"/>
      <c r="E85" s="149"/>
      <c r="F85" s="150"/>
      <c r="G85" s="149"/>
      <c r="H85" s="151"/>
      <c r="I85" s="150"/>
      <c r="J85" s="151"/>
      <c r="K85" s="151"/>
      <c r="L85" s="151"/>
      <c r="N85" s="150"/>
      <c r="P85" s="150"/>
      <c r="Q85" s="211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70"/>
      <c r="AD85" s="170"/>
      <c r="AE85" s="170"/>
      <c r="AF85" s="170"/>
      <c r="AG85" s="170"/>
      <c r="AH85" s="170"/>
      <c r="AI85" s="165"/>
      <c r="AJ85" s="88"/>
      <c r="AN85" s="94"/>
      <c r="AP85" s="180"/>
      <c r="AR85" s="172"/>
      <c r="AT85" s="90"/>
      <c r="AU85" s="90"/>
      <c r="AV85" s="90"/>
      <c r="AW85" s="90"/>
      <c r="AX85" s="90"/>
      <c r="AY85" s="90"/>
      <c r="AZ85" s="90"/>
      <c r="BA85" s="236"/>
      <c r="BB85" s="164"/>
      <c r="BC85" s="229"/>
      <c r="BD85" s="164"/>
      <c r="BE85" s="164"/>
      <c r="BF85" s="85"/>
      <c r="BG85" s="85"/>
      <c r="BH85" s="85"/>
      <c r="BI85" s="85"/>
      <c r="BJ85" s="85"/>
      <c r="BK85" s="139"/>
      <c r="BL85" s="139"/>
      <c r="BM85" s="139"/>
      <c r="BN85" s="111"/>
      <c r="BP85" s="111"/>
      <c r="BQ85" s="111"/>
    </row>
    <row r="86" spans="1:70" s="77" customFormat="1">
      <c r="A86" s="182">
        <f>B86/L86</f>
        <v>875.45358750000003</v>
      </c>
      <c r="B86" s="182">
        <f>SUM(B93,B92,B91,B90,B89,B88,B87,0)</f>
        <v>11380.8966375</v>
      </c>
      <c r="C86" s="187"/>
      <c r="D86" s="183" t="s">
        <v>100</v>
      </c>
      <c r="E86" s="183"/>
      <c r="F86" s="184" t="s">
        <v>137</v>
      </c>
      <c r="G86" s="166"/>
      <c r="H86" s="185">
        <v>160</v>
      </c>
      <c r="I86" s="186" t="s">
        <v>102</v>
      </c>
      <c r="J86" s="185"/>
      <c r="K86" s="168">
        <v>13</v>
      </c>
      <c r="L86" s="185">
        <f>$L$82*$K$86</f>
        <v>13</v>
      </c>
      <c r="M86" s="182">
        <f>SUM(M93,M92,M91,M90,M89,M88,M87,0)</f>
        <v>161.89679999999998</v>
      </c>
      <c r="N86" s="186"/>
      <c r="O86" s="186"/>
      <c r="P86" s="186"/>
      <c r="Q86" s="186"/>
      <c r="R86" s="152"/>
      <c r="S86" s="152"/>
      <c r="T86" s="152"/>
      <c r="U86" s="152"/>
      <c r="V86" s="152"/>
      <c r="W86" s="150"/>
      <c r="X86" s="150" t="s">
        <v>104</v>
      </c>
      <c r="Y86" s="186">
        <v>4</v>
      </c>
      <c r="Z86" s="186"/>
      <c r="AA86" s="186"/>
      <c r="AB86" s="186"/>
      <c r="AC86" s="182">
        <f>SUM(AC93,AC92,AC91,AC90,AC89,AC88,AC87,0)</f>
        <v>34.19586805555555</v>
      </c>
      <c r="AD86" s="182">
        <f>SUM(AD93,AD92,AD91,AD90,AD89,AD88,AD87,0)</f>
        <v>8.66892</v>
      </c>
      <c r="AE86" s="182">
        <f>SUM(AE93,AE92,AE91,AE90,AE89,AE88,AE87,0)</f>
        <v>0</v>
      </c>
      <c r="AF86" s="182">
        <f>SUM(AF93,AF92,AF91,AF90,AF89,AF88,AF87,0)</f>
        <v>2.7733333333333334</v>
      </c>
      <c r="AG86" s="182">
        <f>SUM(AG93,AG92,AG91,AG90,AG89,AG88,AG87,0)</f>
        <v>6.5</v>
      </c>
      <c r="AH86" s="137">
        <f>SUM(AC86:AG86)</f>
        <v>52.138121388888884</v>
      </c>
      <c r="AI86" s="137">
        <f>SUM(AI93,AI92,AI91,AI90,AI89,AI88,AI87,0)</f>
        <v>43.333333333333329</v>
      </c>
      <c r="AJ86" s="182">
        <f>SUM(AJ93,AJ92,AJ91,AJ90,AJ89,AJ88,AJ87,0)</f>
        <v>450.125</v>
      </c>
      <c r="AK86" s="137">
        <f>AJ86*10/60</f>
        <v>75.020833333333329</v>
      </c>
      <c r="AL86" s="182">
        <f>AH86+AI86+AK86</f>
        <v>170.49228805555555</v>
      </c>
      <c r="AM86" s="182">
        <f>B86/AL86</f>
        <v>66.753146240793555</v>
      </c>
      <c r="AN86" s="182">
        <f>AL86*46</f>
        <v>7842.6452505555553</v>
      </c>
      <c r="AO86" s="182">
        <f>AN86/B86</f>
        <v>0.68910609597437844</v>
      </c>
      <c r="AP86" s="182">
        <f>AR86/B86</f>
        <v>1.0032744641788336</v>
      </c>
      <c r="AQ86" s="95"/>
      <c r="AR86" s="182">
        <f>SUM(AR93,AR92,AR91,AR90,AR89,AR88,AR87,0)</f>
        <v>11418.1629758625</v>
      </c>
      <c r="AT86" s="82"/>
      <c r="AU86" s="82"/>
      <c r="AV86" s="82"/>
      <c r="AW86" s="82"/>
      <c r="AX86" s="93"/>
      <c r="AY86" s="82"/>
      <c r="AZ86" s="82"/>
      <c r="BA86" s="234"/>
      <c r="BB86" s="164"/>
      <c r="BC86" s="229"/>
      <c r="BD86" s="85"/>
      <c r="BE86" s="85"/>
      <c r="BF86" s="85"/>
      <c r="BG86" s="85"/>
      <c r="BH86" s="85"/>
      <c r="BI86" s="85"/>
      <c r="BJ86" s="88"/>
    </row>
    <row r="87" spans="1:70" s="77" customFormat="1">
      <c r="A87" s="148">
        <f t="shared" ref="A87:A93" si="134">H87*J87*(RIGHT(F87,2))*7.85/(10^6)</f>
        <v>40.632581250000001</v>
      </c>
      <c r="B87" s="148">
        <f t="shared" ref="B87:B93" si="135">A87*L87</f>
        <v>1056.4471125</v>
      </c>
      <c r="C87" s="150" t="s">
        <v>120</v>
      </c>
      <c r="D87" s="149" t="s">
        <v>100</v>
      </c>
      <c r="E87" s="149"/>
      <c r="F87" s="150" t="s">
        <v>138</v>
      </c>
      <c r="G87" s="149" t="s">
        <v>111</v>
      </c>
      <c r="H87" s="151">
        <v>215</v>
      </c>
      <c r="I87" s="150" t="s">
        <v>102</v>
      </c>
      <c r="J87" s="151">
        <v>4815</v>
      </c>
      <c r="K87" s="151">
        <v>2</v>
      </c>
      <c r="L87" s="151">
        <f>K$87*L$86</f>
        <v>26</v>
      </c>
      <c r="M87" s="167">
        <f>2*H87*J87/10^6*L87*1</f>
        <v>53.831700000000005</v>
      </c>
      <c r="N87" s="150" t="s">
        <v>112</v>
      </c>
      <c r="P87" s="150"/>
      <c r="Q87" s="169">
        <v>4</v>
      </c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 t="s">
        <v>104</v>
      </c>
      <c r="AC87" s="170">
        <f>((((H87+J87)*2/1000)*L87*(5/(VLOOKUP(F87,[1]Plasmalõikus!$A$7:$E$46,2,FALSE)/1000*60)))+(Q87*L87*(5*(VLOOKUP(F87,[1]Plasmalõikus!$A$7:$E$48,3,FALSE))/60/60)))</f>
        <v>7.2101851851851855</v>
      </c>
      <c r="AD87" s="170">
        <f t="shared" ref="AD87:AD93" si="136">0.012*((H87+J87)*2/1000*L87)</f>
        <v>3.1387200000000002</v>
      </c>
      <c r="AE87" s="170"/>
      <c r="AF87" s="171"/>
      <c r="AG87" s="171">
        <f>IF(VALUE(MID(F87,SEARCH(" ",F87)+1,LEN(F87)))&lt;35,0,IF(VALUE(MID(F87,SEARCH(" ",F87)+1,LEN(F87)))&lt;40,3,IF(VALUE(MID(F87,SEARCH(" ",F87)+1,LEN(F87)))&lt;50,4,IF(VALUE(MID(F87,SEARCH(" ",F87)+1,LEN(F87)))&lt;60,5,IF(VALUE(MID(F87,SEARCH(" ",F87)+1,LEN(F87)))&lt;70,6,IF(VALUE(MID(F87,SEARCH(" ",F87)+1,LEN(F87)))&lt;80,7,IF(VALUE(MID(F87,SEARCH(" ",F87)+1,LEN(F87)))&lt;90,8,IF(VALUE(MID(F87,SEARCH(" ",F87)+1,LEN(F87)))&lt;100,9,10))))))))/60*Q87*L87</f>
        <v>0</v>
      </c>
      <c r="AH87" s="170"/>
      <c r="AI87" s="165">
        <f t="shared" ref="AI87:AI93" si="137">AL87*L87/60</f>
        <v>13</v>
      </c>
      <c r="AJ87" s="98">
        <f>(J87*2*AK87)*1*L87/1000</f>
        <v>250.38</v>
      </c>
      <c r="AK87" s="77">
        <v>1</v>
      </c>
      <c r="AL87" s="201" t="str">
        <f t="shared" ref="AL87:AL89" si="138">IF(AND(J87&gt;0,J87&lt;2999),"20",IF(AND(J87&gt;0,J87&lt;5999),"30",IF(AND(J87&gt;0,J87&lt;7999),"40",IF(AND(J87&gt;0,J87&lt;11999),"60",IF(AND(J87&gt;0,J87&lt;14999),"120",IF(AND(J87&gt;0,J87&lt;17999),"180",IF(AND(J87&gt;0,J87&lt;22000),"360","error")))))))</f>
        <v>30</v>
      </c>
      <c r="AN87" s="94"/>
      <c r="AP87" s="180">
        <f>(VLOOKUP(F87,Terasehind!$A$2:$B$157,2,FALSE))</f>
        <v>0.74</v>
      </c>
      <c r="AQ87" s="77">
        <v>1.1000000000000001</v>
      </c>
      <c r="AR87" s="172">
        <f t="shared" ref="AR87:AR93" si="139">AP87*AQ87*B87</f>
        <v>859.94794957500005</v>
      </c>
      <c r="AT87" s="90"/>
      <c r="AU87" s="90"/>
      <c r="AV87" s="90"/>
      <c r="AW87" s="90"/>
      <c r="AX87" s="90"/>
      <c r="AY87" s="90"/>
      <c r="AZ87" s="90"/>
      <c r="BA87" s="236"/>
      <c r="BB87" s="164"/>
      <c r="BC87" s="229"/>
      <c r="BD87" s="164"/>
      <c r="BE87" s="164"/>
      <c r="BF87" s="164"/>
      <c r="BG87" s="85"/>
      <c r="BH87" s="85"/>
      <c r="BI87" s="85"/>
      <c r="BJ87" s="85"/>
      <c r="BK87" s="85"/>
      <c r="BL87" s="139"/>
      <c r="BM87" s="139"/>
      <c r="BN87" s="139"/>
      <c r="BO87" s="111"/>
      <c r="BQ87" s="111"/>
      <c r="BR87" s="111"/>
    </row>
    <row r="88" spans="1:70" s="77" customFormat="1">
      <c r="A88" s="148">
        <f t="shared" si="134"/>
        <v>330.73031250000003</v>
      </c>
      <c r="B88" s="148">
        <f t="shared" si="135"/>
        <v>4299.4940624999999</v>
      </c>
      <c r="C88" s="150" t="s">
        <v>120</v>
      </c>
      <c r="D88" s="149" t="s">
        <v>109</v>
      </c>
      <c r="E88" s="149"/>
      <c r="F88" s="150" t="s">
        <v>139</v>
      </c>
      <c r="G88" s="149" t="s">
        <v>111</v>
      </c>
      <c r="H88" s="151">
        <v>250</v>
      </c>
      <c r="I88" s="150" t="s">
        <v>102</v>
      </c>
      <c r="J88" s="151">
        <f>J87</f>
        <v>4815</v>
      </c>
      <c r="K88" s="151">
        <v>1</v>
      </c>
      <c r="L88" s="151">
        <f>K$88*L$86</f>
        <v>13</v>
      </c>
      <c r="M88" s="167">
        <f t="shared" ref="M88:M90" si="140">2*H88*J88/10^6*L88*1</f>
        <v>31.297500000000003</v>
      </c>
      <c r="N88" s="150" t="s">
        <v>112</v>
      </c>
      <c r="P88" s="150"/>
      <c r="Q88" s="169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 t="s">
        <v>104</v>
      </c>
      <c r="AC88" s="170">
        <f>((((H88+J88)*2/1000)*L88*(5/(VLOOKUP(F88,[1]Plasmalõikus!$A$7:$E$46,2,FALSE)/1000*60)))+(Q88*L88*(5*(VLOOKUP(F88,[1]Plasmalõikus!$A$7:$E$48,3,FALSE))/60/60)))</f>
        <v>12.193518518518518</v>
      </c>
      <c r="AD88" s="170">
        <f t="shared" si="136"/>
        <v>1.5802799999999999</v>
      </c>
      <c r="AE88" s="170"/>
      <c r="AF88" s="171"/>
      <c r="AG88" s="171">
        <f t="shared" ref="AG88:AG91" si="141">IF(VALUE(MID(F88,SEARCH(" ",F88)+1,LEN(F88)))&lt;35,0,IF(VALUE(MID(F88,SEARCH(" ",F88)+1,LEN(F88)))&lt;40,3,IF(VALUE(MID(F88,SEARCH(" ",F88)+1,LEN(F88)))&lt;50,4,IF(VALUE(MID(F88,SEARCH(" ",F88)+1,LEN(F88)))&lt;60,5,IF(VALUE(MID(F88,SEARCH(" ",F88)+1,LEN(F88)))&lt;70,6,IF(VALUE(MID(F88,SEARCH(" ",F88)+1,LEN(F88)))&lt;80,7,IF(VALUE(MID(F88,SEARCH(" ",F88)+1,LEN(F88)))&lt;90,8,IF(VALUE(MID(F88,SEARCH(" ",F88)+1,LEN(F88)))&lt;100,9,10))))))))/60*Q88*L88</f>
        <v>0</v>
      </c>
      <c r="AH88" s="170"/>
      <c r="AI88" s="165">
        <f t="shared" si="137"/>
        <v>6.5</v>
      </c>
      <c r="AJ88" s="98"/>
      <c r="AK88" s="77">
        <v>1</v>
      </c>
      <c r="AL88" s="201" t="str">
        <f t="shared" si="138"/>
        <v>30</v>
      </c>
      <c r="AN88" s="94"/>
      <c r="AP88" s="180">
        <f>(VLOOKUP(F88,Terasehind!$A$2:$B$157,2,FALSE))</f>
        <v>1.19</v>
      </c>
      <c r="AQ88" s="77">
        <v>1.1000000000000001</v>
      </c>
      <c r="AR88" s="172">
        <f t="shared" si="139"/>
        <v>5628.0377278124997</v>
      </c>
      <c r="AT88" s="90"/>
      <c r="AU88" s="90"/>
      <c r="AV88" s="90"/>
      <c r="AW88" s="90"/>
      <c r="AX88" s="90"/>
      <c r="AY88" s="90"/>
      <c r="AZ88" s="90"/>
      <c r="BA88" s="236"/>
      <c r="BB88" s="164"/>
      <c r="BC88" s="229"/>
      <c r="BD88" s="164"/>
      <c r="BE88" s="164"/>
      <c r="BF88" s="164"/>
      <c r="BG88" s="85"/>
      <c r="BH88" s="85"/>
      <c r="BI88" s="85"/>
      <c r="BJ88" s="85"/>
      <c r="BK88" s="85"/>
      <c r="BL88" s="139"/>
      <c r="BM88" s="139"/>
      <c r="BN88" s="139"/>
      <c r="BO88" s="111"/>
      <c r="BQ88" s="111"/>
      <c r="BR88" s="111"/>
    </row>
    <row r="89" spans="1:70" s="77" customFormat="1">
      <c r="A89" s="148">
        <f t="shared" si="134"/>
        <v>408.21570000000003</v>
      </c>
      <c r="B89" s="148">
        <f t="shared" si="135"/>
        <v>5306.8041000000003</v>
      </c>
      <c r="C89" s="150" t="s">
        <v>120</v>
      </c>
      <c r="D89" s="149" t="s">
        <v>114</v>
      </c>
      <c r="E89" s="149"/>
      <c r="F89" s="150" t="s">
        <v>115</v>
      </c>
      <c r="G89" s="149" t="s">
        <v>111</v>
      </c>
      <c r="H89" s="151">
        <v>540</v>
      </c>
      <c r="I89" s="150" t="s">
        <v>102</v>
      </c>
      <c r="J89" s="151">
        <f>J87</f>
        <v>4815</v>
      </c>
      <c r="K89" s="151">
        <v>1</v>
      </c>
      <c r="L89" s="151">
        <f>K$89*L$86</f>
        <v>13</v>
      </c>
      <c r="M89" s="167">
        <f t="shared" si="140"/>
        <v>67.602599999999995</v>
      </c>
      <c r="N89" s="150" t="s">
        <v>112</v>
      </c>
      <c r="P89" s="150"/>
      <c r="Q89" s="169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 t="s">
        <v>104</v>
      </c>
      <c r="AC89" s="170">
        <f>((((H89+J89)*2/1000)*L89*(5/(VLOOKUP(F89,[1]Plasmalõikus!$A$7:$E$46,2,FALSE)/1000*60)))+(Q89*L89*(5*(VLOOKUP(F89,[1]Plasmalõikus!$A$7:$E$48,3,FALSE))/60/60)))</f>
        <v>7.2515625000000012</v>
      </c>
      <c r="AD89" s="170">
        <f t="shared" si="136"/>
        <v>1.6707600000000002</v>
      </c>
      <c r="AE89" s="170"/>
      <c r="AF89" s="171"/>
      <c r="AG89" s="171">
        <f t="shared" si="141"/>
        <v>0</v>
      </c>
      <c r="AH89" s="170"/>
      <c r="AI89" s="165">
        <f t="shared" si="137"/>
        <v>6.5</v>
      </c>
      <c r="AJ89" s="98"/>
      <c r="AK89" s="77">
        <v>1</v>
      </c>
      <c r="AL89" s="201" t="str">
        <f t="shared" si="138"/>
        <v>30</v>
      </c>
      <c r="AN89" s="94"/>
      <c r="AP89" s="180">
        <f>(VLOOKUP(F89,Terasehind!$A$2:$B$157,2,FALSE))</f>
        <v>0.74</v>
      </c>
      <c r="AQ89" s="77">
        <v>1.1000000000000001</v>
      </c>
      <c r="AR89" s="172">
        <f t="shared" si="139"/>
        <v>4319.7385374000005</v>
      </c>
      <c r="AT89" s="90"/>
      <c r="AU89" s="90"/>
      <c r="AV89" s="90"/>
      <c r="AW89" s="90"/>
      <c r="AX89" s="90"/>
      <c r="AY89" s="90"/>
      <c r="AZ89" s="90"/>
      <c r="BA89" s="236"/>
      <c r="BB89" s="164"/>
      <c r="BC89" s="229"/>
      <c r="BD89" s="164"/>
      <c r="BE89" s="164"/>
      <c r="BF89" s="164"/>
      <c r="BG89" s="85"/>
      <c r="BH89" s="85"/>
      <c r="BI89" s="85"/>
      <c r="BJ89" s="85"/>
      <c r="BK89" s="85"/>
      <c r="BL89" s="139"/>
      <c r="BM89" s="139"/>
      <c r="BN89" s="139"/>
      <c r="BO89" s="111"/>
      <c r="BQ89" s="111"/>
      <c r="BR89" s="111"/>
    </row>
    <row r="90" spans="1:70" s="77" customFormat="1" ht="16.5" customHeight="1">
      <c r="A90" s="148">
        <f t="shared" si="134"/>
        <v>7.0885499999999997</v>
      </c>
      <c r="B90" s="148">
        <f t="shared" si="135"/>
        <v>184.3023</v>
      </c>
      <c r="C90" s="150" t="s">
        <v>108</v>
      </c>
      <c r="D90" s="149" t="s">
        <v>121</v>
      </c>
      <c r="E90" s="149"/>
      <c r="F90" s="150" t="s">
        <v>123</v>
      </c>
      <c r="G90" s="149" t="s">
        <v>111</v>
      </c>
      <c r="H90" s="151">
        <f>H87</f>
        <v>215</v>
      </c>
      <c r="I90" s="150" t="s">
        <v>102</v>
      </c>
      <c r="J90" s="151">
        <f>H88+100</f>
        <v>350</v>
      </c>
      <c r="K90" s="151">
        <v>2</v>
      </c>
      <c r="L90" s="151">
        <f>K$90*L$86</f>
        <v>26</v>
      </c>
      <c r="M90" s="167">
        <f t="shared" si="140"/>
        <v>3.9129999999999998</v>
      </c>
      <c r="N90" s="150" t="s">
        <v>112</v>
      </c>
      <c r="P90" s="150"/>
      <c r="Q90" s="175">
        <v>4</v>
      </c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 t="s">
        <v>104</v>
      </c>
      <c r="AC90" s="170">
        <f>((((H90+J90)*2/1000)*L90*(5/(VLOOKUP(F90,[1]Plasmalõikus!$A$7:$E$46,2,FALSE)/1000*60)))+(Q90*L90*(5*(VLOOKUP(F90,[1]Plasmalõikus!$A$7:$E$48,3,FALSE))/60/60)))</f>
        <v>2.451944444444444</v>
      </c>
      <c r="AD90" s="170">
        <f t="shared" si="136"/>
        <v>0.35255999999999993</v>
      </c>
      <c r="AE90" s="170"/>
      <c r="AF90" s="171"/>
      <c r="AG90" s="171">
        <f t="shared" si="141"/>
        <v>0</v>
      </c>
      <c r="AH90" s="170"/>
      <c r="AI90" s="165">
        <f t="shared" si="137"/>
        <v>6.5</v>
      </c>
      <c r="AJ90" s="98">
        <f>(H90*2*AK90+J90*2*AK90)*1*L90/1000</f>
        <v>58.76</v>
      </c>
      <c r="AK90" s="77">
        <v>2</v>
      </c>
      <c r="AL90" s="201" t="str">
        <f>IF(AND(Q90&gt;0,A90&lt;3),"10",IF(AND(Q90&gt;0,A90&lt;10),"15",IF(AND(Q90&gt;0,A90&lt;20),"20",IF(AND(Q90&gt;0,A90&lt;500),"30",IF(AND(Q90=0,A90&lt;3),"2",IF(AND(Q90=0,A90&lt;10),"5",IF(AND(Q90=0,A90&lt;20),"10",IF(AND(Q90=0,A90&lt;500),"20","2"))))))))</f>
        <v>15</v>
      </c>
      <c r="AN90" s="94"/>
      <c r="AP90" s="180">
        <f>(VLOOKUP(F90,Terasehind!$A$2:$B$157,2,FALSE))</f>
        <v>0.74</v>
      </c>
      <c r="AQ90" s="77">
        <v>1.1000000000000001</v>
      </c>
      <c r="AR90" s="172">
        <f t="shared" si="139"/>
        <v>150.02207220000003</v>
      </c>
      <c r="AT90" s="90"/>
      <c r="AU90" s="90"/>
      <c r="AV90" s="90"/>
      <c r="AW90" s="90"/>
      <c r="AX90" s="90"/>
      <c r="AY90" s="90"/>
      <c r="AZ90" s="90"/>
      <c r="BA90" s="230"/>
      <c r="BB90" s="139"/>
      <c r="BC90" s="230"/>
      <c r="BD90" s="85"/>
      <c r="BE90" s="85"/>
      <c r="BF90" s="85"/>
      <c r="BG90" s="85"/>
      <c r="BH90" s="85"/>
      <c r="BK90" s="85"/>
      <c r="BL90" s="85"/>
      <c r="BN90" s="139"/>
      <c r="BO90" s="111"/>
      <c r="BQ90" s="111"/>
      <c r="BR90" s="111"/>
    </row>
    <row r="91" spans="1:70" s="77" customFormat="1" ht="16.5" customHeight="1">
      <c r="A91" s="148">
        <f t="shared" si="134"/>
        <v>2.1096875000000002</v>
      </c>
      <c r="B91" s="148">
        <f t="shared" si="135"/>
        <v>191.98156250000002</v>
      </c>
      <c r="C91" s="150" t="s">
        <v>140</v>
      </c>
      <c r="D91" s="149" t="s">
        <v>122</v>
      </c>
      <c r="E91" s="149"/>
      <c r="F91" s="150" t="s">
        <v>138</v>
      </c>
      <c r="G91" s="149" t="s">
        <v>111</v>
      </c>
      <c r="H91" s="151">
        <f>H87</f>
        <v>215</v>
      </c>
      <c r="I91" s="150" t="s">
        <v>102</v>
      </c>
      <c r="J91" s="151">
        <f>H88</f>
        <v>250</v>
      </c>
      <c r="K91" s="151">
        <f>ROUNDUP(J87/1200,0)+2</f>
        <v>7</v>
      </c>
      <c r="L91" s="151">
        <f>K$91*L$86</f>
        <v>91</v>
      </c>
      <c r="M91" s="167">
        <f>2*H91*J91/10^6*L91*0</f>
        <v>0</v>
      </c>
      <c r="N91" s="150" t="s">
        <v>112</v>
      </c>
      <c r="P91" s="150"/>
      <c r="Q91" s="175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 t="s">
        <v>104</v>
      </c>
      <c r="AC91" s="170">
        <f>((((H91+J91)*2/1000)*L91*(5/(VLOOKUP(F91,[1]Plasmalõikus!$A$7:$E$46,2,FALSE)/1000*60)))+(Q91*L91*(5*(VLOOKUP(F91,[1]Plasmalõikus!$A$7:$E$48,3,FALSE))/60/60)))</f>
        <v>1.9590277777777778</v>
      </c>
      <c r="AD91" s="170">
        <f t="shared" si="136"/>
        <v>1.0155600000000002</v>
      </c>
      <c r="AE91" s="170"/>
      <c r="AF91" s="171"/>
      <c r="AG91" s="171">
        <f t="shared" si="141"/>
        <v>0</v>
      </c>
      <c r="AH91" s="170"/>
      <c r="AI91" s="165">
        <f t="shared" si="137"/>
        <v>3.0333333333333332</v>
      </c>
      <c r="AJ91" s="98">
        <f>(H91*1*AK91+J91*2*AK91)*1*L91/1000</f>
        <v>65.064999999999998</v>
      </c>
      <c r="AK91" s="77">
        <v>1</v>
      </c>
      <c r="AL91" s="201" t="str">
        <f>IF(AND(Q91&gt;0,A91&lt;3),"10",IF(AND(Q91&gt;0,A91&lt;10),"15",IF(AND(Q91&gt;0,A91&lt;20),"20",IF(AND(Q91&gt;0,A91&lt;500),"30",IF(AND(Q91=0,A91&lt;3),"2",IF(AND(Q91=0,A91&lt;10),"5",IF(AND(Q91=0,A91&lt;20),"10",IF(AND(Q91=0,A91&lt;500),"20","2"))))))))</f>
        <v>2</v>
      </c>
      <c r="AN91" s="94"/>
      <c r="AP91" s="180">
        <f>(VLOOKUP(F91,Terasehind!$A$2:$B$157,2,FALSE))</f>
        <v>0.74</v>
      </c>
      <c r="AQ91" s="77">
        <v>1.1000000000000001</v>
      </c>
      <c r="AR91" s="172">
        <f t="shared" si="139"/>
        <v>156.27299187500003</v>
      </c>
      <c r="AT91" s="90"/>
      <c r="AU91" s="90"/>
      <c r="AV91" s="90"/>
      <c r="AW91" s="90"/>
      <c r="AX91" s="90"/>
      <c r="AY91" s="90"/>
      <c r="AZ91" s="90"/>
      <c r="BA91" s="230"/>
      <c r="BB91" s="139"/>
      <c r="BC91" s="230"/>
      <c r="BD91" s="85"/>
      <c r="BE91" s="85"/>
      <c r="BF91" s="85"/>
      <c r="BG91" s="85"/>
      <c r="BH91" s="85"/>
      <c r="BK91" s="85"/>
      <c r="BL91" s="85"/>
      <c r="BN91" s="139"/>
      <c r="BO91" s="111"/>
      <c r="BQ91" s="111"/>
      <c r="BR91" s="111"/>
    </row>
    <row r="92" spans="1:70" s="77" customFormat="1" ht="16.5" customHeight="1">
      <c r="A92" s="148">
        <f t="shared" ref="A92" si="142">H92*J92*(RIGHT(F92,2))*7.85/(10^6)</f>
        <v>2.7847875000000002</v>
      </c>
      <c r="B92" s="148">
        <f t="shared" ref="B92" si="143">A92*L92</f>
        <v>289.61790000000002</v>
      </c>
      <c r="C92" s="150" t="s">
        <v>141</v>
      </c>
      <c r="D92" s="149" t="s">
        <v>122</v>
      </c>
      <c r="E92" s="149"/>
      <c r="F92" s="150" t="s">
        <v>117</v>
      </c>
      <c r="G92" s="149" t="s">
        <v>111</v>
      </c>
      <c r="H92" s="151">
        <v>215</v>
      </c>
      <c r="I92" s="150" t="s">
        <v>102</v>
      </c>
      <c r="J92" s="151">
        <v>110</v>
      </c>
      <c r="K92" s="151">
        <v>8</v>
      </c>
      <c r="L92" s="151">
        <f>K$92*L$86</f>
        <v>104</v>
      </c>
      <c r="M92" s="148">
        <f>2*H92*J92/10^6*L92</f>
        <v>4.9192</v>
      </c>
      <c r="N92" s="150" t="s">
        <v>112</v>
      </c>
      <c r="P92" s="150"/>
      <c r="Q92" s="175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 t="s">
        <v>104</v>
      </c>
      <c r="AC92" s="170">
        <f>((((H92+J92)*2/1000)*L92*(5/(VLOOKUP(F92,[1]Plasmalõikus!$A$7:$E$46,2,FALSE)/1000*60)))+(Q92*L92*(5*(VLOOKUP(F92,[1]Plasmalõikus!$A$7:$E$48,3,FALSE))/60/60)))</f>
        <v>3.1296296296296298</v>
      </c>
      <c r="AD92" s="170">
        <f t="shared" ref="AD92" si="144">0.012*((H92+J92)*2/1000*L92)</f>
        <v>0.81120000000000014</v>
      </c>
      <c r="AE92" s="170"/>
      <c r="AF92" s="171"/>
      <c r="AG92" s="171">
        <f t="shared" ref="AG92" si="145">IF(VALUE(MID(F92,SEARCH(" ",F92)+1,LEN(F92)))&lt;35,0,IF(VALUE(MID(F92,SEARCH(" ",F92)+1,LEN(F92)))&lt;40,3,IF(VALUE(MID(F92,SEARCH(" ",F92)+1,LEN(F92)))&lt;50,4,IF(VALUE(MID(F92,SEARCH(" ",F92)+1,LEN(F92)))&lt;60,5,IF(VALUE(MID(F92,SEARCH(" ",F92)+1,LEN(F92)))&lt;70,6,IF(VALUE(MID(F92,SEARCH(" ",F92)+1,LEN(F92)))&lt;80,7,IF(VALUE(MID(F92,SEARCH(" ",F92)+1,LEN(F92)))&lt;90,8,IF(VALUE(MID(F92,SEARCH(" ",F92)+1,LEN(F92)))&lt;100,9,10))))))))/60*Q92*L92</f>
        <v>0</v>
      </c>
      <c r="AH92" s="170"/>
      <c r="AI92" s="165">
        <f t="shared" ref="AI92" si="146">AL92*L92/60</f>
        <v>3.4666666666666668</v>
      </c>
      <c r="AJ92" s="98">
        <f>(H92*2*AK92+J92*2*AK92)*1*L92/1000</f>
        <v>67.599999999999994</v>
      </c>
      <c r="AK92" s="77">
        <v>1</v>
      </c>
      <c r="AL92" s="201" t="str">
        <f>IF(AND(Q92&gt;0,A92&lt;3),"10",IF(AND(Q92&gt;0,A92&lt;10),"15",IF(AND(Q92&gt;0,A92&lt;20),"20",IF(AND(Q92&gt;0,A92&lt;500),"30",IF(AND(Q92=0,A92&lt;3),"2",IF(AND(Q92=0,A92&lt;10),"5",IF(AND(Q92=0,A92&lt;20),"10",IF(AND(Q92=0,A92&lt;500),"20","2"))))))))</f>
        <v>2</v>
      </c>
      <c r="AN92" s="94"/>
      <c r="AP92" s="180">
        <f>(VLOOKUP(F92,Terasehind!$A$2:$B$157,2,FALSE))</f>
        <v>0.74</v>
      </c>
      <c r="AQ92" s="77">
        <v>1.1000000000000001</v>
      </c>
      <c r="AR92" s="172">
        <f t="shared" ref="AR92" si="147">AP92*AQ92*B92</f>
        <v>235.74897060000004</v>
      </c>
      <c r="AT92" s="90"/>
      <c r="AU92" s="90"/>
      <c r="AV92" s="90"/>
      <c r="AW92" s="90"/>
      <c r="AX92" s="90"/>
      <c r="AY92" s="90"/>
      <c r="AZ92" s="90"/>
      <c r="BA92" s="230"/>
      <c r="BB92" s="139"/>
      <c r="BC92" s="230"/>
      <c r="BD92" s="85"/>
      <c r="BE92" s="85"/>
      <c r="BF92" s="85"/>
      <c r="BG92" s="85"/>
      <c r="BH92" s="85"/>
      <c r="BK92" s="85"/>
      <c r="BL92" s="85"/>
      <c r="BN92" s="139"/>
      <c r="BO92" s="111"/>
      <c r="BQ92" s="111"/>
      <c r="BR92" s="111"/>
    </row>
    <row r="93" spans="1:70" s="77" customFormat="1" ht="16.5" customHeight="1">
      <c r="A93" s="148">
        <f t="shared" si="134"/>
        <v>2.0095999999999998</v>
      </c>
      <c r="B93" s="148">
        <f t="shared" si="135"/>
        <v>52.249599999999994</v>
      </c>
      <c r="C93" s="150" t="s">
        <v>142</v>
      </c>
      <c r="D93" s="149" t="s">
        <v>126</v>
      </c>
      <c r="E93" s="149"/>
      <c r="F93" s="150" t="s">
        <v>143</v>
      </c>
      <c r="G93" s="149" t="s">
        <v>111</v>
      </c>
      <c r="H93" s="151">
        <v>80</v>
      </c>
      <c r="I93" s="150" t="s">
        <v>102</v>
      </c>
      <c r="J93" s="151">
        <v>80</v>
      </c>
      <c r="K93" s="151">
        <v>2</v>
      </c>
      <c r="L93" s="151">
        <f>K$93*L$86</f>
        <v>26</v>
      </c>
      <c r="M93" s="148">
        <f t="shared" ref="M93" si="148">2*H93*J93/10^6*L93</f>
        <v>0.33280000000000004</v>
      </c>
      <c r="N93" s="150" t="s">
        <v>112</v>
      </c>
      <c r="P93" s="150"/>
      <c r="Q93" s="175">
        <v>1</v>
      </c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 t="s">
        <v>104</v>
      </c>
      <c r="AC93" s="277"/>
      <c r="AD93" s="170">
        <f t="shared" si="136"/>
        <v>9.9840000000000012E-2</v>
      </c>
      <c r="AE93" s="170"/>
      <c r="AF93" s="171">
        <f>(H93*4)*20/60/1000*L93</f>
        <v>2.7733333333333334</v>
      </c>
      <c r="AG93" s="276">
        <f>Q93*L93*15/60</f>
        <v>6.5</v>
      </c>
      <c r="AH93" s="170"/>
      <c r="AI93" s="165">
        <f t="shared" si="137"/>
        <v>4.333333333333333</v>
      </c>
      <c r="AJ93" s="98">
        <f>(J93*4*AK93)*1*L93/1000</f>
        <v>8.32</v>
      </c>
      <c r="AK93" s="77">
        <v>1</v>
      </c>
      <c r="AL93" s="201" t="str">
        <f>IF(AND(Q93&gt;0,A93&lt;3),"10",IF(AND(Q93&gt;0,A93&lt;10),"15",IF(AND(Q93&gt;0,A93&lt;20),"20",IF(AND(Q93&gt;0,A93&lt;500),"30",IF(AND(Q93=0,A93&lt;3),"2",IF(AND(Q93=0,A93&lt;10),"5",IF(AND(Q93=0,A93&lt;20),"10",IF(AND(Q93=0,A93&lt;500),"20","2"))))))))</f>
        <v>10</v>
      </c>
      <c r="AN93" s="94"/>
      <c r="AP93" s="180">
        <f>(VLOOKUP(F93,Terasehind!$A$2:$B$157,2,FALSE))</f>
        <v>1.19</v>
      </c>
      <c r="AQ93" s="77">
        <v>1.1000000000000001</v>
      </c>
      <c r="AR93" s="172">
        <f t="shared" si="139"/>
        <v>68.394726399999982</v>
      </c>
      <c r="AT93" s="90"/>
      <c r="AU93" s="90"/>
      <c r="AV93" s="90"/>
      <c r="AW93" s="90"/>
      <c r="AX93" s="90"/>
      <c r="AY93" s="90"/>
      <c r="AZ93" s="90"/>
      <c r="BA93" s="230"/>
      <c r="BB93" s="139"/>
      <c r="BC93" s="230"/>
      <c r="BD93" s="85"/>
      <c r="BE93" s="85"/>
      <c r="BF93" s="85"/>
      <c r="BG93" s="85"/>
      <c r="BH93" s="85"/>
      <c r="BK93" s="85"/>
      <c r="BL93" s="85"/>
      <c r="BN93" s="139"/>
      <c r="BO93" s="111"/>
      <c r="BQ93" s="111"/>
      <c r="BR93" s="111"/>
    </row>
    <row r="94" spans="1:70" s="77" customFormat="1" ht="15" thickBot="1">
      <c r="A94" s="148"/>
      <c r="B94" s="148"/>
      <c r="C94" s="148"/>
      <c r="D94" s="149"/>
      <c r="E94" s="149"/>
      <c r="F94" s="149"/>
      <c r="G94" s="149"/>
      <c r="H94" s="149"/>
      <c r="I94" s="149"/>
      <c r="J94" s="149"/>
      <c r="K94" s="149"/>
      <c r="L94" s="149"/>
      <c r="M94" s="274"/>
      <c r="N94" s="149"/>
      <c r="O94" s="149"/>
      <c r="P94" s="149"/>
      <c r="Q94" s="149"/>
      <c r="R94" s="149"/>
      <c r="S94" s="149"/>
      <c r="T94" s="149"/>
      <c r="U94" s="149"/>
      <c r="V94" s="149"/>
      <c r="W94" s="149"/>
      <c r="X94" s="149"/>
      <c r="Y94" s="149"/>
      <c r="Z94" s="149"/>
      <c r="AA94" s="149"/>
      <c r="AB94" s="149"/>
      <c r="AC94" s="149"/>
      <c r="AD94" s="149"/>
      <c r="AE94" s="149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236"/>
      <c r="BB94" s="164"/>
      <c r="BC94" s="229"/>
      <c r="BD94" s="164"/>
      <c r="BE94" s="164"/>
      <c r="BF94" s="164"/>
      <c r="BG94" s="85"/>
      <c r="BH94" s="85"/>
      <c r="BI94" s="85"/>
      <c r="BJ94" s="111"/>
    </row>
    <row r="95" spans="1:70" s="77" customFormat="1" ht="15" thickBot="1">
      <c r="A95" s="189">
        <f>B95/L95</f>
        <v>79242.272738999993</v>
      </c>
      <c r="B95" s="189">
        <f>B$129+B$124+B$119+B$114+B$108+B$98</f>
        <v>79242.272738999993</v>
      </c>
      <c r="C95" s="190"/>
      <c r="D95" s="190" t="s">
        <v>119</v>
      </c>
      <c r="E95" s="190"/>
      <c r="F95" s="191" t="s">
        <v>144</v>
      </c>
      <c r="G95" s="213" t="s">
        <v>16</v>
      </c>
      <c r="H95" s="192">
        <v>150</v>
      </c>
      <c r="I95" s="193" t="s">
        <v>102</v>
      </c>
      <c r="J95" s="192">
        <v>7500</v>
      </c>
      <c r="K95" s="192">
        <v>1</v>
      </c>
      <c r="L95" s="192">
        <f>$L$11*$K$95</f>
        <v>1</v>
      </c>
      <c r="M95" s="189">
        <f>M$129+M$124+M$119+M$114+M$108+M$98</f>
        <v>1438.4061079999999</v>
      </c>
      <c r="N95" s="193"/>
      <c r="O95" s="193"/>
      <c r="P95" s="193"/>
      <c r="Q95" s="193"/>
      <c r="R95" s="193"/>
      <c r="S95" s="193"/>
      <c r="T95" s="193"/>
      <c r="U95" s="193"/>
      <c r="V95" s="193"/>
      <c r="W95" s="193"/>
      <c r="X95" s="193"/>
      <c r="Y95" s="193">
        <v>3</v>
      </c>
      <c r="Z95" s="193"/>
      <c r="AA95" s="193"/>
      <c r="AB95" s="193"/>
      <c r="AC95" s="189">
        <f>AC$129+AC$124+AC$119+AC$114+AC$108+AC$98</f>
        <v>80.588126984126973</v>
      </c>
      <c r="AD95" s="189">
        <f>AD$129+AD$124+AD$119+AD$114+AD$108+AD$98</f>
        <v>15.236160000000002</v>
      </c>
      <c r="AE95" s="189">
        <f>AE$129+AE$124+AE$119+AE$114+AE$108+AE$98</f>
        <v>51.8</v>
      </c>
      <c r="AF95" s="189">
        <f>AF$129+AF$124+AF$119+AF$114+AF$108+AF$98</f>
        <v>61.76</v>
      </c>
      <c r="AG95" s="189">
        <f>AG$129+AG$124+AG$119+AG$114+AG$108+AG$98</f>
        <v>4.3333333333333339</v>
      </c>
      <c r="AH95" s="137">
        <f>SUM(AC95:AG95)</f>
        <v>213.7176203174603</v>
      </c>
      <c r="AI95" s="137">
        <f>AI$129+AI$124+AI$119+AI$114+AI$108+AI$98</f>
        <v>152.66666666666666</v>
      </c>
      <c r="AJ95" s="189">
        <f>AJ$129+AJ$124+AJ$119+AJ$114+AJ$108+AJ$98</f>
        <v>2399.8560000000002</v>
      </c>
      <c r="AK95" s="137">
        <f>AJ95*10/60</f>
        <v>399.976</v>
      </c>
      <c r="AL95" s="167">
        <f>AH95+AI95+AK95</f>
        <v>766.36028698412701</v>
      </c>
      <c r="AM95" s="209">
        <f>B95/AL95</f>
        <v>103.400807798697</v>
      </c>
      <c r="AN95" s="194">
        <f>AL95*46</f>
        <v>35252.573201269843</v>
      </c>
      <c r="AO95" s="195">
        <f>AN95/B95</f>
        <v>0.44487079916777655</v>
      </c>
      <c r="AP95" s="195">
        <f>AR95/B95</f>
        <v>0.94296853960336047</v>
      </c>
      <c r="AQ95" s="95"/>
      <c r="AR95" s="195">
        <f>AR$129+AR$124+AR$119+AR$114+AR$108+AR$98</f>
        <v>74722.970199546005</v>
      </c>
      <c r="AS95" s="204">
        <f>$AU$2</f>
        <v>1.05</v>
      </c>
      <c r="AT95" s="161">
        <f>HLOOKUP(G95,$AB$1:$AK$2,2,FALSE)</f>
        <v>13</v>
      </c>
      <c r="AU95" s="202">
        <f>IF(AND(G95="HDG"),B95*AT95,M95*AT95)</f>
        <v>18699.279403999997</v>
      </c>
      <c r="AV95" s="96">
        <f>B95*pakendus</f>
        <v>2377.2681821699998</v>
      </c>
      <c r="AW95" s="195">
        <f>(AN95+AU95+AV95)</f>
        <v>56329.120787439846</v>
      </c>
      <c r="AX95" s="162">
        <f>$AV$2</f>
        <v>1.05</v>
      </c>
      <c r="AY95" s="138">
        <f>(AR95*AS95)+(AW95*AX95)</f>
        <v>137604.69553633514</v>
      </c>
      <c r="AZ95" s="163">
        <f>ROUND(AY95/B95,3)</f>
        <v>1.7370000000000001</v>
      </c>
      <c r="BA95" s="234"/>
      <c r="BB95" s="164"/>
      <c r="BC95" s="160">
        <f>B119/20000</f>
        <v>0.11211725200000001</v>
      </c>
      <c r="BD95" s="160">
        <f>(B95-B119)/20000</f>
        <v>3.8499963849499999</v>
      </c>
      <c r="BE95" s="212"/>
      <c r="BF95" s="85"/>
      <c r="BG95" s="85"/>
      <c r="BH95" s="85"/>
      <c r="BI95" s="85"/>
      <c r="BJ95" s="111"/>
    </row>
    <row r="96" spans="1:70" s="77" customFormat="1">
      <c r="A96" s="148"/>
      <c r="B96" s="196">
        <f>SUMIF(F107:F134,"leht*",B107:B134)</f>
        <v>2134.5437400000001</v>
      </c>
      <c r="C96" s="247">
        <f>(B96)/B95</f>
        <v>2.6936932349612683E-2</v>
      </c>
      <c r="D96" s="197" t="s">
        <v>98</v>
      </c>
      <c r="E96" s="149"/>
      <c r="F96" s="150"/>
      <c r="G96" s="149"/>
      <c r="H96" s="151"/>
      <c r="I96" s="150"/>
      <c r="J96" s="151"/>
      <c r="K96" s="151"/>
      <c r="L96" s="151"/>
      <c r="M96" s="144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D96" s="111"/>
      <c r="AE96" s="111"/>
      <c r="AF96" s="146"/>
      <c r="AG96" s="146"/>
      <c r="AH96" s="111"/>
      <c r="AI96" s="111"/>
      <c r="AJ96" s="111"/>
      <c r="AK96" s="111"/>
      <c r="AL96" s="111"/>
      <c r="AM96" s="88"/>
      <c r="AN96" s="94"/>
      <c r="AO96" s="89"/>
      <c r="AP96" s="90"/>
      <c r="AQ96" s="90"/>
      <c r="AT96" s="88"/>
      <c r="AU96" s="105"/>
      <c r="AV96" s="105"/>
      <c r="AW96" s="105"/>
      <c r="AX96" s="153"/>
      <c r="AY96" s="105"/>
      <c r="AZ96" s="105"/>
      <c r="BA96" s="234"/>
      <c r="BB96" s="164"/>
      <c r="BC96" s="229"/>
      <c r="BD96" s="164"/>
      <c r="BE96" s="164"/>
      <c r="BF96" s="164"/>
      <c r="BG96" s="85"/>
      <c r="BH96" s="85"/>
      <c r="BI96" s="85"/>
      <c r="BJ96" s="85"/>
      <c r="BK96" s="85"/>
      <c r="BL96" s="111"/>
      <c r="BM96" s="139"/>
      <c r="BO96" s="85"/>
      <c r="BP96" s="88"/>
    </row>
    <row r="97" spans="1:70" s="77" customFormat="1">
      <c r="A97" s="148"/>
      <c r="B97" s="148"/>
      <c r="C97" s="150"/>
      <c r="D97" s="149"/>
      <c r="E97" s="149"/>
      <c r="F97" s="261"/>
      <c r="G97" s="149"/>
      <c r="H97" s="151"/>
      <c r="I97" s="150"/>
      <c r="J97" s="151"/>
      <c r="K97" s="151"/>
      <c r="L97" s="151"/>
      <c r="M97" s="148"/>
      <c r="N97" s="150"/>
      <c r="P97" s="150"/>
      <c r="Q97" s="211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70"/>
      <c r="AD97" s="170"/>
      <c r="AE97" s="170"/>
      <c r="AF97" s="170"/>
      <c r="AG97" s="170"/>
      <c r="AH97" s="170"/>
      <c r="AI97" s="165"/>
      <c r="AJ97" s="88"/>
      <c r="AN97" s="94"/>
      <c r="AP97" s="180"/>
      <c r="AR97" s="172"/>
      <c r="AT97" s="90"/>
      <c r="AU97" s="90"/>
      <c r="AV97" s="90"/>
      <c r="AW97" s="90"/>
      <c r="AX97" s="90"/>
      <c r="AY97" s="90"/>
      <c r="AZ97" s="90"/>
      <c r="BA97" s="236"/>
      <c r="BB97" s="164"/>
      <c r="BC97" s="229"/>
      <c r="BD97" s="164"/>
      <c r="BE97" s="164"/>
      <c r="BF97" s="85"/>
      <c r="BG97" s="85"/>
      <c r="BH97" s="85"/>
      <c r="BI97" s="85"/>
      <c r="BJ97" s="85"/>
      <c r="BK97" s="139"/>
      <c r="BL97" s="139"/>
      <c r="BM97" s="139"/>
      <c r="BN97" s="111"/>
      <c r="BP97" s="111"/>
      <c r="BQ97" s="111"/>
    </row>
    <row r="98" spans="1:70" s="77" customFormat="1">
      <c r="A98" s="182">
        <f>B98/L98</f>
        <v>1421.3622811875</v>
      </c>
      <c r="B98" s="182">
        <f>SUM(B106,B105,B104,B103,B102,B101,B100,B99,0)</f>
        <v>22741.796499</v>
      </c>
      <c r="C98" s="187"/>
      <c r="D98" s="183" t="s">
        <v>109</v>
      </c>
      <c r="E98" s="183"/>
      <c r="F98" s="184" t="s">
        <v>144</v>
      </c>
      <c r="G98" s="166"/>
      <c r="H98" s="185">
        <v>1780</v>
      </c>
      <c r="I98" s="186" t="s">
        <v>102</v>
      </c>
      <c r="J98" s="185">
        <v>7480</v>
      </c>
      <c r="K98" s="168">
        <v>16</v>
      </c>
      <c r="L98" s="185">
        <f>$L$95*$K$98</f>
        <v>16</v>
      </c>
      <c r="M98" s="182">
        <f>SUM(M106,M105,M104,M103,M102,M101,M100,M99,0)</f>
        <v>585.38140799999985</v>
      </c>
      <c r="N98" s="186"/>
      <c r="O98" s="186"/>
      <c r="P98" s="186"/>
      <c r="Q98" s="186"/>
      <c r="R98" s="152"/>
      <c r="S98" s="152"/>
      <c r="T98" s="152"/>
      <c r="U98" s="152"/>
      <c r="V98" s="152"/>
      <c r="W98" s="150"/>
      <c r="X98" s="150" t="s">
        <v>104</v>
      </c>
      <c r="Y98" s="186">
        <v>4</v>
      </c>
      <c r="Z98" s="186"/>
      <c r="AA98" s="186"/>
      <c r="AB98" s="186"/>
      <c r="AC98" s="182">
        <f>SUM(AC106,AC105,AC104,AC103,AC102,AC101,AC100,AC99,0)</f>
        <v>58.752465608465606</v>
      </c>
      <c r="AD98" s="182">
        <f>SUM(AD106,AD105,AD104,AD103,AD102,AD101,AD100,AD99,0)</f>
        <v>12.483840000000001</v>
      </c>
      <c r="AE98" s="182">
        <f>SUM(AE106,AE105,AE104,AE103,AE102,AE101,AE100,AE99,0)</f>
        <v>0</v>
      </c>
      <c r="AF98" s="182">
        <f>SUM(AF106,AF105,AF104,AF103,AF102,AF101,AF100,AF99,0)</f>
        <v>25.6</v>
      </c>
      <c r="AG98" s="182">
        <f>SUM(AG106,AG105,AG104,AG103,AG102,AG101,AG100,AG99,0)</f>
        <v>0</v>
      </c>
      <c r="AH98" s="137">
        <f>SUM(AC98:AG98)</f>
        <v>96.836305608465608</v>
      </c>
      <c r="AI98" s="137">
        <f>SUM(AI106,AI105,AI104,AI103,AI102,AI101,AI100,AI99,0)</f>
        <v>65.333333333333329</v>
      </c>
      <c r="AJ98" s="182">
        <f>SUM(AJ106,AJ105,AJ104,AJ103,AJ102,AJ101,AJ100,AJ99,0)</f>
        <v>840.096</v>
      </c>
      <c r="AK98" s="137">
        <f>AJ98*10/60</f>
        <v>140.01599999999999</v>
      </c>
      <c r="AL98" s="182">
        <f>AH98+AI98+AK98</f>
        <v>302.18563894179897</v>
      </c>
      <c r="AM98" s="182">
        <f>B98/AL98</f>
        <v>75.257701122521169</v>
      </c>
      <c r="AN98" s="182">
        <f>AL98*46</f>
        <v>13900.539391322753</v>
      </c>
      <c r="AO98" s="182">
        <f>AN98/B98</f>
        <v>0.61123312716011624</v>
      </c>
      <c r="AP98" s="182">
        <f>AR98/B98</f>
        <v>0.81399999999999983</v>
      </c>
      <c r="AQ98" s="95"/>
      <c r="AR98" s="182">
        <f>SUM(AR106,AR105,AR104,AR103,AR102,AR101,AR100,AR99,0)</f>
        <v>18511.822350185997</v>
      </c>
      <c r="AT98" s="82"/>
      <c r="AU98" s="82"/>
      <c r="AV98" s="82"/>
      <c r="AW98" s="82"/>
      <c r="AX98" s="93"/>
      <c r="AY98" s="82"/>
      <c r="AZ98" s="82"/>
      <c r="BA98" s="234"/>
      <c r="BB98" s="164"/>
      <c r="BC98" s="229"/>
      <c r="BD98" s="85"/>
      <c r="BE98" s="85"/>
      <c r="BF98" s="85"/>
      <c r="BG98" s="85"/>
      <c r="BH98" s="85"/>
      <c r="BI98" s="85"/>
      <c r="BJ98" s="88"/>
    </row>
    <row r="99" spans="1:70" s="77" customFormat="1">
      <c r="A99" s="148">
        <f t="shared" ref="A99:A102" si="149">H99*J99*(RIGHT(F99,2))*7.85/(10^6)</f>
        <v>357.01799999999997</v>
      </c>
      <c r="B99" s="148">
        <f t="shared" ref="B99:B104" si="150">A99*L99</f>
        <v>5712.2879999999996</v>
      </c>
      <c r="C99" s="150"/>
      <c r="D99" s="149" t="s">
        <v>100</v>
      </c>
      <c r="E99" s="149"/>
      <c r="F99" s="150" t="s">
        <v>131</v>
      </c>
      <c r="G99" s="149" t="s">
        <v>111</v>
      </c>
      <c r="H99" s="151">
        <v>300</v>
      </c>
      <c r="I99" s="150" t="s">
        <v>102</v>
      </c>
      <c r="J99" s="151">
        <v>6064</v>
      </c>
      <c r="K99" s="151">
        <v>1</v>
      </c>
      <c r="L99" s="151">
        <f>K$99*L$98</f>
        <v>16</v>
      </c>
      <c r="M99" s="148">
        <f t="shared" ref="M99:M104" si="151">2*H99*J99/10^6*L99</f>
        <v>58.214399999999998</v>
      </c>
      <c r="N99" s="150" t="s">
        <v>112</v>
      </c>
      <c r="P99" s="150"/>
      <c r="Q99" s="169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 t="s">
        <v>104</v>
      </c>
      <c r="AC99" s="170">
        <f>((((H99+J99)*2/1000)*L99*(5/(VLOOKUP(F99,[1]Plasmalõikus!$A$7:$E$46,2,FALSE)/1000*60)))+(Q99*L99*(5*(VLOOKUP(F99,[1]Plasmalõikus!$A$7:$E$48,3,FALSE))/60/60)))</f>
        <v>12.12190476190476</v>
      </c>
      <c r="AD99" s="170">
        <f t="shared" ref="AD99:AD104" si="152">0.012*((H99+J99)*2/1000*L99)</f>
        <v>2.4437760000000002</v>
      </c>
      <c r="AE99" s="170"/>
      <c r="AF99" s="171">
        <f t="shared" ref="AF99:AF102" si="153">(H99*2*2)*20/60/1000*L99</f>
        <v>6.4</v>
      </c>
      <c r="AG99" s="171">
        <f t="shared" ref="AG99:AG104" si="154">IF(VALUE(MID(F99,SEARCH(" ",F99)+1,LEN(F99)))&lt;35,0,IF(VALUE(MID(F99,SEARCH(" ",F99)+1,LEN(F99)))&lt;40,3,IF(VALUE(MID(F99,SEARCH(" ",F99)+1,LEN(F99)))&lt;50,4,IF(VALUE(MID(F99,SEARCH(" ",F99)+1,LEN(F99)))&lt;60,5,IF(VALUE(MID(F99,SEARCH(" ",F99)+1,LEN(F99)))&lt;70,6,IF(VALUE(MID(F99,SEARCH(" ",F99)+1,LEN(F99)))&lt;80,7,IF(VALUE(MID(F99,SEARCH(" ",F99)+1,LEN(F99)))&lt;90,8,IF(VALUE(MID(F99,SEARCH(" ",F99)+1,LEN(F99)))&lt;100,9,10))))))))/60*Q99*L99</f>
        <v>0</v>
      </c>
      <c r="AH99" s="170"/>
      <c r="AI99" s="165">
        <f t="shared" ref="AI99:AI104" si="155">AL99*L99/60</f>
        <v>8</v>
      </c>
      <c r="AJ99" s="98">
        <f>(H99*2*AK99)*2*L99/1000</f>
        <v>19.2</v>
      </c>
      <c r="AK99" s="77">
        <v>1</v>
      </c>
      <c r="AL99" s="201" t="str">
        <f t="shared" ref="AL99:AL100" si="156">IF(A99&gt;40,"30",IF(A99&gt;10,"10",IF(A99&gt;20,"20","2")))</f>
        <v>30</v>
      </c>
      <c r="AN99" s="94"/>
      <c r="AP99" s="180">
        <f>(VLOOKUP(F99,Terasehind!$A$2:$B$157,2,FALSE))</f>
        <v>0.74</v>
      </c>
      <c r="AQ99" s="77">
        <v>1.1000000000000001</v>
      </c>
      <c r="AR99" s="172">
        <f t="shared" ref="AR99:AR104" si="157">AP99*AQ99*B99</f>
        <v>4649.8024320000004</v>
      </c>
      <c r="AT99" s="90"/>
      <c r="AU99" s="90"/>
      <c r="AV99" s="90"/>
      <c r="AW99" s="90"/>
      <c r="AX99" s="90"/>
      <c r="AY99" s="90"/>
      <c r="AZ99" s="90"/>
      <c r="BA99" s="236"/>
      <c r="BB99" s="164"/>
      <c r="BC99" s="229"/>
      <c r="BD99" s="164"/>
      <c r="BE99" s="164"/>
      <c r="BF99" s="164"/>
      <c r="BG99" s="85"/>
      <c r="BH99" s="85"/>
      <c r="BI99" s="85"/>
      <c r="BJ99" s="85"/>
      <c r="BK99" s="85"/>
      <c r="BL99" s="139"/>
      <c r="BM99" s="139"/>
      <c r="BN99" s="139"/>
      <c r="BO99" s="111"/>
      <c r="BQ99" s="111"/>
      <c r="BR99" s="111"/>
    </row>
    <row r="100" spans="1:70" s="77" customFormat="1">
      <c r="A100" s="148">
        <f t="shared" si="149"/>
        <v>440.20837499999999</v>
      </c>
      <c r="B100" s="148">
        <f t="shared" si="150"/>
        <v>7043.3339999999998</v>
      </c>
      <c r="C100" s="150"/>
      <c r="D100" s="149" t="s">
        <v>109</v>
      </c>
      <c r="E100" s="149"/>
      <c r="F100" s="150" t="s">
        <v>131</v>
      </c>
      <c r="G100" s="149" t="s">
        <v>111</v>
      </c>
      <c r="H100" s="151">
        <v>300</v>
      </c>
      <c r="I100" s="150" t="s">
        <v>102</v>
      </c>
      <c r="J100" s="151">
        <v>7477</v>
      </c>
      <c r="K100" s="151">
        <v>1</v>
      </c>
      <c r="L100" s="151">
        <f>K$100*L$98</f>
        <v>16</v>
      </c>
      <c r="M100" s="148">
        <f t="shared" si="151"/>
        <v>71.779200000000003</v>
      </c>
      <c r="N100" s="150" t="s">
        <v>112</v>
      </c>
      <c r="P100" s="150"/>
      <c r="Q100" s="169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 t="s">
        <v>104</v>
      </c>
      <c r="AC100" s="170">
        <f>((((H100+J100)*2/1000)*L100*(5/(VLOOKUP(F100,[1]Plasmalõikus!$A$7:$E$46,2,FALSE)/1000*60)))+(Q100*L100*(5*(VLOOKUP(F100,[1]Plasmalõikus!$A$7:$E$48,3,FALSE))/60/60)))</f>
        <v>14.813333333333333</v>
      </c>
      <c r="AD100" s="170">
        <f t="shared" si="152"/>
        <v>2.9863680000000001</v>
      </c>
      <c r="AE100" s="170"/>
      <c r="AF100" s="171">
        <f t="shared" si="153"/>
        <v>6.4</v>
      </c>
      <c r="AG100" s="171">
        <f t="shared" si="154"/>
        <v>0</v>
      </c>
      <c r="AH100" s="170"/>
      <c r="AI100" s="165">
        <f t="shared" si="155"/>
        <v>8</v>
      </c>
      <c r="AJ100" s="98">
        <f>(H100*2*AK100)*2*L100/1000</f>
        <v>19.2</v>
      </c>
      <c r="AK100" s="77">
        <v>1</v>
      </c>
      <c r="AL100" s="201" t="str">
        <f t="shared" si="156"/>
        <v>30</v>
      </c>
      <c r="AN100" s="94"/>
      <c r="AP100" s="180">
        <f>(VLOOKUP(F100,Terasehind!$A$2:$B$157,2,FALSE))</f>
        <v>0.74</v>
      </c>
      <c r="AQ100" s="77">
        <v>1.1000000000000001</v>
      </c>
      <c r="AR100" s="172">
        <f t="shared" si="157"/>
        <v>5733.2738760000002</v>
      </c>
      <c r="AT100" s="90"/>
      <c r="AU100" s="90"/>
      <c r="AV100" s="90"/>
      <c r="AW100" s="90"/>
      <c r="AX100" s="90"/>
      <c r="AY100" s="90"/>
      <c r="AZ100" s="90"/>
      <c r="BA100" s="236"/>
      <c r="BB100" s="164"/>
      <c r="BC100" s="229"/>
      <c r="BD100" s="164"/>
      <c r="BE100" s="164"/>
      <c r="BF100" s="164"/>
      <c r="BG100" s="85"/>
      <c r="BH100" s="85"/>
      <c r="BI100" s="85"/>
      <c r="BJ100" s="85"/>
      <c r="BK100" s="85"/>
      <c r="BL100" s="139"/>
      <c r="BM100" s="139"/>
      <c r="BN100" s="139"/>
      <c r="BO100" s="111"/>
      <c r="BQ100" s="111"/>
      <c r="BR100" s="111"/>
    </row>
    <row r="101" spans="1:70" s="77" customFormat="1" ht="16.5" customHeight="1">
      <c r="A101" s="148">
        <f t="shared" si="149"/>
        <v>34.147500000000001</v>
      </c>
      <c r="B101" s="148">
        <f t="shared" si="150"/>
        <v>546.36</v>
      </c>
      <c r="C101" s="150"/>
      <c r="D101" s="149" t="s">
        <v>114</v>
      </c>
      <c r="E101" s="149"/>
      <c r="F101" s="150" t="s">
        <v>131</v>
      </c>
      <c r="G101" s="149" t="s">
        <v>111</v>
      </c>
      <c r="H101" s="151">
        <v>300</v>
      </c>
      <c r="I101" s="150" t="s">
        <v>102</v>
      </c>
      <c r="J101" s="151">
        <v>580</v>
      </c>
      <c r="K101" s="151">
        <v>1</v>
      </c>
      <c r="L101" s="151">
        <f>K$101*L$98</f>
        <v>16</v>
      </c>
      <c r="M101" s="148">
        <f t="shared" si="151"/>
        <v>5.5679999999999996</v>
      </c>
      <c r="N101" s="150" t="s">
        <v>112</v>
      </c>
      <c r="P101" s="150"/>
      <c r="Q101" s="175">
        <v>4</v>
      </c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 t="s">
        <v>104</v>
      </c>
      <c r="AC101" s="170">
        <f>((((H101+J101)*2/1000)*L101*(5/(VLOOKUP(F101,[1]Plasmalõikus!$A$7:$E$46,2,FALSE)/1000*60)))+(Q101*L101*(5*(VLOOKUP(F101,[1]Plasmalõikus!$A$7:$E$48,3,FALSE))/60/60)))</f>
        <v>3.2761904761904761</v>
      </c>
      <c r="AD101" s="170">
        <f t="shared" si="152"/>
        <v>0.33792</v>
      </c>
      <c r="AE101" s="170"/>
      <c r="AF101" s="171">
        <f t="shared" si="153"/>
        <v>6.4</v>
      </c>
      <c r="AG101" s="171">
        <f t="shared" si="154"/>
        <v>0</v>
      </c>
      <c r="AH101" s="170"/>
      <c r="AI101" s="165">
        <f t="shared" si="155"/>
        <v>8</v>
      </c>
      <c r="AJ101" s="98"/>
      <c r="AK101" s="77">
        <v>1</v>
      </c>
      <c r="AL101" s="201" t="str">
        <f>IF(AND(Q101&gt;0,A101&lt;3),"10",IF(AND(Q101&gt;0,A101&lt;10),"15",IF(AND(Q101&gt;0,A101&lt;20),"20",IF(AND(Q101&gt;0,A101&lt;500),"30",IF(AND(Q101=0,A101&lt;3),"2",IF(AND(Q101=0,A101&lt;10),"5",IF(AND(Q101=0,A101&lt;20),"10",IF(AND(Q101=0,A101&lt;500),"20","2"))))))))</f>
        <v>30</v>
      </c>
      <c r="AN101" s="94"/>
      <c r="AP101" s="180">
        <f>(VLOOKUP(F101,Terasehind!$A$2:$B$157,2,FALSE))</f>
        <v>0.74</v>
      </c>
      <c r="AQ101" s="77">
        <v>1.1000000000000001</v>
      </c>
      <c r="AR101" s="172">
        <f t="shared" si="157"/>
        <v>444.73704000000004</v>
      </c>
      <c r="AT101" s="90"/>
      <c r="AU101" s="90"/>
      <c r="AV101" s="90"/>
      <c r="AW101" s="90"/>
      <c r="AX101" s="90"/>
      <c r="AY101" s="90"/>
      <c r="AZ101" s="90"/>
      <c r="BA101" s="230"/>
      <c r="BB101" s="139"/>
      <c r="BC101" s="230"/>
      <c r="BD101" s="85"/>
      <c r="BE101" s="85"/>
      <c r="BF101" s="85"/>
      <c r="BG101" s="85"/>
      <c r="BH101" s="85"/>
      <c r="BK101" s="85"/>
      <c r="BL101" s="85"/>
      <c r="BN101" s="139"/>
      <c r="BO101" s="111"/>
      <c r="BQ101" s="111"/>
      <c r="BR101" s="111"/>
    </row>
    <row r="102" spans="1:70" s="77" customFormat="1" ht="16.5" customHeight="1">
      <c r="A102" s="148">
        <f t="shared" si="149"/>
        <v>138.35624999999999</v>
      </c>
      <c r="B102" s="148">
        <f t="shared" si="150"/>
        <v>2213.6999999999998</v>
      </c>
      <c r="C102" s="150"/>
      <c r="D102" s="149" t="s">
        <v>119</v>
      </c>
      <c r="E102" s="149"/>
      <c r="F102" s="150" t="s">
        <v>131</v>
      </c>
      <c r="G102" s="149" t="s">
        <v>111</v>
      </c>
      <c r="H102" s="151">
        <v>300</v>
      </c>
      <c r="I102" s="150" t="s">
        <v>102</v>
      </c>
      <c r="J102" s="151">
        <v>2350</v>
      </c>
      <c r="K102" s="151">
        <v>1</v>
      </c>
      <c r="L102" s="151">
        <f>K$102*L$98</f>
        <v>16</v>
      </c>
      <c r="M102" s="148">
        <f t="shared" si="151"/>
        <v>22.56</v>
      </c>
      <c r="N102" s="150" t="s">
        <v>112</v>
      </c>
      <c r="P102" s="150"/>
      <c r="Q102" s="175">
        <v>14</v>
      </c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 t="s">
        <v>104</v>
      </c>
      <c r="AC102" s="170">
        <f>((((H102+J102)*2/1000)*L102*(5/(VLOOKUP(F102,[1]Plasmalõikus!$A$7:$E$46,2,FALSE)/1000*60)))+(Q102*L102*(5*(VLOOKUP(F102,[1]Plasmalõikus!$A$7:$E$48,3,FALSE))/60/60)))</f>
        <v>10.647619047619049</v>
      </c>
      <c r="AD102" s="170">
        <f t="shared" si="152"/>
        <v>1.0176000000000001</v>
      </c>
      <c r="AE102" s="170"/>
      <c r="AF102" s="171">
        <f t="shared" si="153"/>
        <v>6.4</v>
      </c>
      <c r="AG102" s="171">
        <f t="shared" si="154"/>
        <v>0</v>
      </c>
      <c r="AH102" s="170"/>
      <c r="AI102" s="165">
        <f t="shared" si="155"/>
        <v>8</v>
      </c>
      <c r="AJ102" s="98"/>
      <c r="AK102" s="77">
        <v>1</v>
      </c>
      <c r="AL102" s="201" t="str">
        <f>IF(AND(Q102&gt;0,A102&lt;3),"10",IF(AND(Q102&gt;0,A102&lt;10),"15",IF(AND(Q102&gt;0,A102&lt;20),"20",IF(AND(Q102&gt;0,A102&lt;500),"30",IF(AND(Q102=0,A102&lt;3),"2",IF(AND(Q102=0,A102&lt;10),"5",IF(AND(Q102=0,A102&lt;20),"10",IF(AND(Q102=0,A102&lt;500),"20","2"))))))))</f>
        <v>30</v>
      </c>
      <c r="AN102" s="94"/>
      <c r="AP102" s="180">
        <f>(VLOOKUP(F102,Terasehind!$A$2:$B$157,2,FALSE))</f>
        <v>0.74</v>
      </c>
      <c r="AQ102" s="77">
        <v>1.1000000000000001</v>
      </c>
      <c r="AR102" s="172">
        <f t="shared" si="157"/>
        <v>1801.9518</v>
      </c>
      <c r="AT102" s="90"/>
      <c r="AU102" s="90"/>
      <c r="AV102" s="90"/>
      <c r="AW102" s="90"/>
      <c r="AX102" s="90"/>
      <c r="AY102" s="90"/>
      <c r="AZ102" s="90"/>
      <c r="BA102" s="230"/>
      <c r="BB102" s="139"/>
      <c r="BC102" s="230"/>
      <c r="BD102" s="85"/>
      <c r="BE102" s="85"/>
      <c r="BF102" s="85"/>
      <c r="BG102" s="85"/>
      <c r="BH102" s="85"/>
      <c r="BK102" s="85"/>
      <c r="BL102" s="85"/>
      <c r="BN102" s="139"/>
      <c r="BO102" s="111"/>
      <c r="BQ102" s="111"/>
      <c r="BR102" s="111"/>
    </row>
    <row r="103" spans="1:70" s="77" customFormat="1" ht="16.5" customHeight="1">
      <c r="A103" s="167">
        <f>H103*J103*(RIGHT(F103,2))*7.85/(10^6)*0.625</f>
        <v>373.51680618749992</v>
      </c>
      <c r="B103" s="148">
        <f t="shared" si="150"/>
        <v>5976.2688989999988</v>
      </c>
      <c r="C103" s="150"/>
      <c r="D103" s="149" t="s">
        <v>121</v>
      </c>
      <c r="E103" s="149"/>
      <c r="F103" s="150" t="s">
        <v>145</v>
      </c>
      <c r="G103" s="149" t="s">
        <v>111</v>
      </c>
      <c r="H103" s="151">
        <v>1697</v>
      </c>
      <c r="I103" s="150" t="s">
        <v>102</v>
      </c>
      <c r="J103" s="151">
        <v>7477</v>
      </c>
      <c r="K103" s="151">
        <v>1</v>
      </c>
      <c r="L103" s="151">
        <f>K$103*L$98</f>
        <v>16</v>
      </c>
      <c r="M103" s="148">
        <f t="shared" si="151"/>
        <v>406.03100799999999</v>
      </c>
      <c r="N103" s="150" t="s">
        <v>112</v>
      </c>
      <c r="P103" s="150"/>
      <c r="Q103" s="175">
        <v>4</v>
      </c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 t="s">
        <v>104</v>
      </c>
      <c r="AC103" s="170">
        <f>((((H103+J103)*2/1000)*L103*(5/(VLOOKUP(F103,[1]Plasmalõikus!$A$7:$E$46,2,FALSE)/1000*60)))+(Q103*L103*(5*(VLOOKUP(F103,[1]Plasmalõikus!$A$7:$E$48,3,FALSE))/60/60)))</f>
        <v>7.7008253968253966</v>
      </c>
      <c r="AD103" s="170">
        <f t="shared" si="152"/>
        <v>3.5228159999999997</v>
      </c>
      <c r="AE103" s="170"/>
      <c r="AF103" s="171"/>
      <c r="AG103" s="171">
        <f t="shared" si="154"/>
        <v>0</v>
      </c>
      <c r="AH103" s="170"/>
      <c r="AI103" s="165">
        <f t="shared" si="155"/>
        <v>8</v>
      </c>
      <c r="AJ103" s="98">
        <f>(H103*4*AK103+J103*4*AK103)*1*L103/1000</f>
        <v>587.13599999999997</v>
      </c>
      <c r="AK103" s="77">
        <v>1</v>
      </c>
      <c r="AL103" s="201" t="str">
        <f>IF(AND(Q103&gt;0,A103&lt;3),"10",IF(AND(Q103&gt;0,A103&lt;10),"15",IF(AND(Q103&gt;0,A103&lt;20),"20",IF(AND(Q103&gt;0,A103&lt;500),"30",IF(AND(Q103=0,A103&lt;3),"2",IF(AND(Q103=0,A103&lt;10),"5",IF(AND(Q103=0,A103&lt;20),"10",IF(AND(Q103=0,A103&lt;500),"20","2"))))))))</f>
        <v>30</v>
      </c>
      <c r="AN103" s="94"/>
      <c r="AP103" s="180">
        <f>(VLOOKUP(F103,Terasehind!$A$2:$B$157,2,FALSE))</f>
        <v>0.74</v>
      </c>
      <c r="AQ103" s="77">
        <v>1.1000000000000001</v>
      </c>
      <c r="AR103" s="172">
        <f t="shared" si="157"/>
        <v>4864.6828837859994</v>
      </c>
      <c r="AT103" s="90"/>
      <c r="AU103" s="90"/>
      <c r="AV103" s="90"/>
      <c r="AW103" s="90"/>
      <c r="AX103" s="90"/>
      <c r="AY103" s="90"/>
      <c r="AZ103" s="90"/>
      <c r="BA103" s="230"/>
      <c r="BB103" s="139"/>
      <c r="BC103" s="230"/>
      <c r="BD103" s="85"/>
      <c r="BE103" s="85"/>
      <c r="BF103" s="85"/>
      <c r="BG103" s="85"/>
      <c r="BH103" s="85"/>
      <c r="BK103" s="85"/>
      <c r="BL103" s="85"/>
      <c r="BN103" s="139"/>
      <c r="BO103" s="111"/>
      <c r="BQ103" s="111"/>
      <c r="BR103" s="111"/>
    </row>
    <row r="104" spans="1:70" s="77" customFormat="1" ht="16.5" customHeight="1">
      <c r="A104" s="148">
        <f t="shared" ref="A104" si="158">H104*J104*(RIGHT(F104,2))*7.85/(10^6)</f>
        <v>22.0899</v>
      </c>
      <c r="B104" s="148">
        <f t="shared" si="150"/>
        <v>706.8768</v>
      </c>
      <c r="C104" s="150" t="s">
        <v>146</v>
      </c>
      <c r="D104" s="149" t="s">
        <v>122</v>
      </c>
      <c r="E104" s="149"/>
      <c r="F104" s="150" t="s">
        <v>117</v>
      </c>
      <c r="G104" s="149" t="s">
        <v>111</v>
      </c>
      <c r="H104" s="151">
        <v>140</v>
      </c>
      <c r="I104" s="150" t="s">
        <v>102</v>
      </c>
      <c r="J104" s="151">
        <v>1340</v>
      </c>
      <c r="K104" s="151">
        <v>2</v>
      </c>
      <c r="L104" s="151">
        <f>K$104*L$98</f>
        <v>32</v>
      </c>
      <c r="M104" s="148">
        <f t="shared" si="151"/>
        <v>12.006399999999999</v>
      </c>
      <c r="N104" s="150" t="s">
        <v>112</v>
      </c>
      <c r="P104" s="150"/>
      <c r="Q104" s="175">
        <v>3</v>
      </c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 t="s">
        <v>104</v>
      </c>
      <c r="AC104" s="170">
        <f>((((H104+J104)*2/1000)*L104*(5/(VLOOKUP(F104,[1]Plasmalõikus!$A$7:$E$46,2,FALSE)/1000*60)))+(Q104*L104*(5*(VLOOKUP(F104,[1]Plasmalõikus!$A$7:$E$48,3,FALSE))/60/60)))</f>
        <v>5.5851851851851855</v>
      </c>
      <c r="AD104" s="170">
        <f t="shared" si="152"/>
        <v>1.1366400000000001</v>
      </c>
      <c r="AE104" s="170"/>
      <c r="AF104" s="171"/>
      <c r="AG104" s="171">
        <f t="shared" si="154"/>
        <v>0</v>
      </c>
      <c r="AH104" s="170"/>
      <c r="AI104" s="165">
        <f t="shared" si="155"/>
        <v>16</v>
      </c>
      <c r="AJ104" s="98">
        <f>(H104*4*AK104+J104*2*AK104)*1*L104/1000</f>
        <v>103.68</v>
      </c>
      <c r="AK104" s="77">
        <v>1</v>
      </c>
      <c r="AL104" s="201" t="str">
        <f>IF(AND(Q104&gt;0,A104&lt;3),"10",IF(AND(Q104&gt;0,A104&lt;10),"15",IF(AND(Q104&gt;0,A104&lt;20),"20",IF(AND(Q104&gt;0,A104&lt;500),"30",IF(AND(Q104=0,A104&lt;3),"2",IF(AND(Q104=0,A104&lt;10),"5",IF(AND(Q104=0,A104&lt;20),"10",IF(AND(Q104=0,A104&lt;500),"20","2"))))))))</f>
        <v>30</v>
      </c>
      <c r="AN104" s="94"/>
      <c r="AP104" s="180">
        <f>(VLOOKUP(F104,Terasehind!$A$2:$B$157,2,FALSE))</f>
        <v>0.74</v>
      </c>
      <c r="AQ104" s="77">
        <v>1.1000000000000001</v>
      </c>
      <c r="AR104" s="172">
        <f t="shared" si="157"/>
        <v>575.39771519999999</v>
      </c>
      <c r="AT104" s="90"/>
      <c r="AU104" s="90"/>
      <c r="AV104" s="90"/>
      <c r="AW104" s="90"/>
      <c r="AX104" s="90"/>
      <c r="AY104" s="90"/>
      <c r="AZ104" s="90"/>
      <c r="BA104" s="230"/>
      <c r="BB104" s="139"/>
      <c r="BC104" s="230"/>
      <c r="BD104" s="85"/>
      <c r="BE104" s="85"/>
      <c r="BF104" s="85"/>
      <c r="BG104" s="85"/>
      <c r="BH104" s="85"/>
      <c r="BK104" s="85"/>
      <c r="BL104" s="85"/>
      <c r="BN104" s="139"/>
      <c r="BO104" s="111"/>
      <c r="BQ104" s="111"/>
      <c r="BR104" s="111"/>
    </row>
    <row r="105" spans="1:70" s="77" customFormat="1" ht="16.5" customHeight="1">
      <c r="A105" s="148">
        <f t="shared" ref="A105:A106" si="159">H105*J105*(RIGHT(F105,2))*7.85/(10^6)</f>
        <v>6.2407500000000002</v>
      </c>
      <c r="B105" s="148">
        <f t="shared" ref="B105:B106" si="160">A105*L105</f>
        <v>99.852000000000004</v>
      </c>
      <c r="C105" s="150" t="s">
        <v>113</v>
      </c>
      <c r="D105" s="149" t="s">
        <v>125</v>
      </c>
      <c r="E105" s="149"/>
      <c r="F105" s="150" t="s">
        <v>117</v>
      </c>
      <c r="G105" s="149" t="s">
        <v>111</v>
      </c>
      <c r="H105" s="151">
        <v>200</v>
      </c>
      <c r="I105" s="150" t="s">
        <v>102</v>
      </c>
      <c r="J105" s="151">
        <v>265</v>
      </c>
      <c r="K105" s="151">
        <v>1</v>
      </c>
      <c r="L105" s="151">
        <f>K$105*L$98</f>
        <v>16</v>
      </c>
      <c r="M105" s="148">
        <f t="shared" ref="M105:M106" si="161">2*H105*J105/10^6*L105</f>
        <v>1.696</v>
      </c>
      <c r="N105" s="150" t="s">
        <v>112</v>
      </c>
      <c r="P105" s="150"/>
      <c r="Q105" s="175">
        <v>3</v>
      </c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 t="s">
        <v>104</v>
      </c>
      <c r="AC105" s="170">
        <f>((((H105+J105)*2/1000)*L105*(5/(VLOOKUP(F105,[1]Plasmalõikus!$A$7:$E$46,2,FALSE)/1000*60)))+(Q105*L105*(5*(VLOOKUP(F105,[1]Plasmalõikus!$A$7:$E$48,3,FALSE))/60/60)))</f>
        <v>1.288888888888889</v>
      </c>
      <c r="AD105" s="170">
        <f t="shared" ref="AD105:AD106" si="162">0.012*((H105+J105)*2/1000*L105)</f>
        <v>0.17856000000000002</v>
      </c>
      <c r="AE105" s="170"/>
      <c r="AF105" s="171"/>
      <c r="AG105" s="171">
        <f t="shared" ref="AG105:AG106" si="163">IF(VALUE(MID(F105,SEARCH(" ",F105)+1,LEN(F105)))&lt;35,0,IF(VALUE(MID(F105,SEARCH(" ",F105)+1,LEN(F105)))&lt;40,3,IF(VALUE(MID(F105,SEARCH(" ",F105)+1,LEN(F105)))&lt;50,4,IF(VALUE(MID(F105,SEARCH(" ",F105)+1,LEN(F105)))&lt;60,5,IF(VALUE(MID(F105,SEARCH(" ",F105)+1,LEN(F105)))&lt;70,6,IF(VALUE(MID(F105,SEARCH(" ",F105)+1,LEN(F105)))&lt;80,7,IF(VALUE(MID(F105,SEARCH(" ",F105)+1,LEN(F105)))&lt;90,8,IF(VALUE(MID(F105,SEARCH(" ",F105)+1,LEN(F105)))&lt;100,9,10))))))))/60*Q105*L105</f>
        <v>0</v>
      </c>
      <c r="AH105" s="170"/>
      <c r="AI105" s="165">
        <f t="shared" ref="AI105:AI106" si="164">AL105*L105/60</f>
        <v>4</v>
      </c>
      <c r="AJ105" s="98">
        <f>(H105*4*AK105+J105*2*AK105)*1*L105/1000</f>
        <v>21.28</v>
      </c>
      <c r="AK105" s="77">
        <v>1</v>
      </c>
      <c r="AL105" s="201" t="str">
        <f>IF(AND(Q105&gt;0,A105&lt;3),"10",IF(AND(Q105&gt;0,A105&lt;10),"15",IF(AND(Q105&gt;0,A105&lt;20),"20",IF(AND(Q105&gt;0,A105&lt;500),"30",IF(AND(Q105=0,A105&lt;3),"2",IF(AND(Q105=0,A105&lt;10),"5",IF(AND(Q105=0,A105&lt;20),"10",IF(AND(Q105=0,A105&lt;500),"20","2"))))))))</f>
        <v>15</v>
      </c>
      <c r="AN105" s="94"/>
      <c r="AP105" s="180">
        <f>(VLOOKUP(F105,Terasehind!$A$2:$B$157,2,FALSE))</f>
        <v>0.74</v>
      </c>
      <c r="AQ105" s="77">
        <v>1.1000000000000001</v>
      </c>
      <c r="AR105" s="172">
        <f t="shared" ref="AR105:AR106" si="165">AP105*AQ105*B105</f>
        <v>81.279528000000013</v>
      </c>
      <c r="AT105" s="90"/>
      <c r="AU105" s="90"/>
      <c r="AV105" s="90"/>
      <c r="AW105" s="90"/>
      <c r="AX105" s="90"/>
      <c r="AY105" s="90"/>
      <c r="AZ105" s="90"/>
      <c r="BA105" s="230"/>
      <c r="BB105" s="139"/>
      <c r="BC105" s="230"/>
      <c r="BD105" s="85"/>
      <c r="BE105" s="85"/>
      <c r="BF105" s="85"/>
      <c r="BG105" s="85"/>
      <c r="BH105" s="85"/>
      <c r="BK105" s="85"/>
      <c r="BL105" s="85"/>
      <c r="BN105" s="139"/>
      <c r="BO105" s="111"/>
      <c r="BQ105" s="111"/>
      <c r="BR105" s="111"/>
    </row>
    <row r="106" spans="1:70" s="77" customFormat="1" ht="16.5" customHeight="1">
      <c r="A106" s="148">
        <f t="shared" si="159"/>
        <v>6.9237000000000002</v>
      </c>
      <c r="B106" s="148">
        <f t="shared" si="160"/>
        <v>443.11680000000001</v>
      </c>
      <c r="C106" s="150" t="s">
        <v>124</v>
      </c>
      <c r="D106" s="149" t="s">
        <v>125</v>
      </c>
      <c r="E106" s="149"/>
      <c r="F106" s="150" t="s">
        <v>117</v>
      </c>
      <c r="G106" s="149" t="s">
        <v>111</v>
      </c>
      <c r="H106" s="151">
        <v>140</v>
      </c>
      <c r="I106" s="150" t="s">
        <v>102</v>
      </c>
      <c r="J106" s="151">
        <v>420</v>
      </c>
      <c r="K106" s="151">
        <v>4</v>
      </c>
      <c r="L106" s="151">
        <f>K$106*L$98</f>
        <v>64</v>
      </c>
      <c r="M106" s="148">
        <f t="shared" si="161"/>
        <v>7.5263999999999998</v>
      </c>
      <c r="N106" s="150" t="s">
        <v>112</v>
      </c>
      <c r="P106" s="150"/>
      <c r="Q106" s="175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 t="s">
        <v>104</v>
      </c>
      <c r="AC106" s="170">
        <f>((((H106+J106)*2/1000)*L106*(5/(VLOOKUP(F106,[1]Plasmalõikus!$A$7:$E$46,2,FALSE)/1000*60)))+(Q106*L106*(5*(VLOOKUP(F106,[1]Plasmalõikus!$A$7:$E$48,3,FALSE))/60/60)))</f>
        <v>3.3185185185185189</v>
      </c>
      <c r="AD106" s="170">
        <f t="shared" si="162"/>
        <v>0.86016000000000015</v>
      </c>
      <c r="AE106" s="170"/>
      <c r="AF106" s="171"/>
      <c r="AG106" s="171">
        <f t="shared" si="163"/>
        <v>0</v>
      </c>
      <c r="AH106" s="170"/>
      <c r="AI106" s="165">
        <f t="shared" si="164"/>
        <v>5.333333333333333</v>
      </c>
      <c r="AJ106" s="98">
        <f>(H106*4*AK106+J106*2*AK106)*1*L106/1000</f>
        <v>89.6</v>
      </c>
      <c r="AK106" s="77">
        <v>1</v>
      </c>
      <c r="AL106" s="201" t="str">
        <f t="shared" ref="AL106" si="166">IF(AND(Q106&gt;0,A106&lt;3),"10",IF(AND(Q106&gt;0,A106&lt;10),"15",IF(AND(Q106&gt;0,A106&lt;20),"20",IF(AND(Q106&gt;0,A106&lt;500),"30",IF(AND(Q106=0,A106&lt;3),"2",IF(AND(Q106=0,A106&lt;10),"5",IF(AND(Q106=0,A106&lt;20),"10",IF(AND(Q106=0,A106&lt;500),"20","2"))))))))</f>
        <v>5</v>
      </c>
      <c r="AN106" s="94"/>
      <c r="AP106" s="180">
        <f>(VLOOKUP(F106,Terasehind!$A$2:$B$157,2,FALSE))</f>
        <v>0.74</v>
      </c>
      <c r="AQ106" s="77">
        <v>1.1000000000000001</v>
      </c>
      <c r="AR106" s="172">
        <f t="shared" si="165"/>
        <v>360.69707520000003</v>
      </c>
      <c r="AT106" s="90"/>
      <c r="AU106" s="90"/>
      <c r="AV106" s="90"/>
      <c r="AW106" s="90"/>
      <c r="AX106" s="90"/>
      <c r="AY106" s="90"/>
      <c r="AZ106" s="90"/>
      <c r="BA106" s="230"/>
      <c r="BB106" s="139"/>
      <c r="BC106" s="230"/>
      <c r="BD106" s="85"/>
      <c r="BE106" s="85"/>
      <c r="BF106" s="85"/>
      <c r="BG106" s="85"/>
      <c r="BH106" s="85"/>
      <c r="BK106" s="85"/>
      <c r="BL106" s="85"/>
      <c r="BN106" s="139"/>
      <c r="BO106" s="111"/>
      <c r="BQ106" s="111"/>
      <c r="BR106" s="111"/>
    </row>
    <row r="107" spans="1:70" s="77" customFormat="1">
      <c r="A107" s="148"/>
      <c r="C107" s="148"/>
      <c r="D107" s="149"/>
      <c r="E107" s="149"/>
      <c r="F107" s="150"/>
      <c r="G107" s="149"/>
      <c r="H107" s="151"/>
      <c r="I107" s="150"/>
      <c r="J107" s="151"/>
      <c r="K107" s="151"/>
      <c r="L107" s="151"/>
      <c r="M107" s="144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D107" s="111"/>
      <c r="AE107" s="111"/>
      <c r="AF107" s="146"/>
      <c r="AG107" s="146"/>
      <c r="AH107" s="111"/>
      <c r="AI107" s="111"/>
      <c r="AJ107" s="111"/>
      <c r="AK107" s="111"/>
      <c r="AL107" s="111"/>
      <c r="AM107" s="88"/>
      <c r="AN107" s="94"/>
      <c r="AO107" s="89"/>
      <c r="AP107" s="90"/>
      <c r="AQ107" s="90"/>
      <c r="AT107" s="88"/>
      <c r="AU107" s="105"/>
      <c r="AV107" s="105"/>
      <c r="AW107" s="105"/>
      <c r="AX107" s="153"/>
      <c r="AY107" s="105"/>
      <c r="AZ107" s="105"/>
      <c r="BA107" s="234"/>
      <c r="BB107" s="164"/>
      <c r="BC107" s="229"/>
      <c r="BD107" s="164"/>
      <c r="BE107" s="164"/>
      <c r="BF107" s="85"/>
      <c r="BG107" s="85"/>
      <c r="BH107" s="85"/>
      <c r="BI107" s="85"/>
      <c r="BJ107" s="85"/>
      <c r="BK107" s="111"/>
      <c r="BL107" s="139"/>
      <c r="BN107" s="85"/>
      <c r="BO107" s="88"/>
    </row>
    <row r="108" spans="1:70" s="77" customFormat="1">
      <c r="A108" s="182">
        <f>B108/L108</f>
        <v>2148.6099249999997</v>
      </c>
      <c r="B108" s="182">
        <f>SUM(B112,B111,B110,B109,0)</f>
        <v>34377.758799999996</v>
      </c>
      <c r="C108" s="188"/>
      <c r="D108" s="183" t="s">
        <v>100</v>
      </c>
      <c r="E108" s="183"/>
      <c r="F108" s="184" t="str">
        <f>"Katusetalad "&amp;F109</f>
        <v>Katusetalad HEB360</v>
      </c>
      <c r="G108" s="166"/>
      <c r="H108" s="185">
        <v>160</v>
      </c>
      <c r="I108" s="186" t="s">
        <v>102</v>
      </c>
      <c r="J108" s="185">
        <v>14890</v>
      </c>
      <c r="K108" s="168">
        <v>16</v>
      </c>
      <c r="L108" s="185">
        <f>$L$95*$K$108</f>
        <v>16</v>
      </c>
      <c r="M108" s="182">
        <f>SUM(M112,M111,M110,M109,0)</f>
        <v>447.45440000000002</v>
      </c>
      <c r="N108" s="186"/>
      <c r="O108" s="186"/>
      <c r="P108" s="186"/>
      <c r="Q108" s="186"/>
      <c r="R108" s="152"/>
      <c r="S108" s="152"/>
      <c r="T108" s="152"/>
      <c r="U108" s="152"/>
      <c r="V108" s="152"/>
      <c r="W108" s="150"/>
      <c r="X108" s="150" t="s">
        <v>104</v>
      </c>
      <c r="Y108" s="186">
        <v>4</v>
      </c>
      <c r="Z108" s="186"/>
      <c r="AA108" s="186"/>
      <c r="AB108" s="186"/>
      <c r="AC108" s="182">
        <f>SUM(AC112,AC111,AC110,AC109,0)</f>
        <v>5.8910052910052908</v>
      </c>
      <c r="AD108" s="182">
        <f>SUM(AD112,AD111,AD110,AD109,0)</f>
        <v>0.62016000000000004</v>
      </c>
      <c r="AE108" s="182">
        <f>SUM(AE112,AE111,AE110,AE109,0)</f>
        <v>17.866666666666667</v>
      </c>
      <c r="AF108" s="182">
        <f>SUM(AF112,AF111,AF110,AF109,0)</f>
        <v>28.586666666666666</v>
      </c>
      <c r="AG108" s="182">
        <f>SUM(AG112,AG111,AG110,AG109,0)</f>
        <v>2.1333333333333333</v>
      </c>
      <c r="AH108" s="137">
        <f>SUM(AC108:AG108)</f>
        <v>55.097831957671957</v>
      </c>
      <c r="AI108" s="137">
        <f>SUM(AI112,AI111,AI110,AI109,0)</f>
        <v>34.666666666666664</v>
      </c>
      <c r="AJ108" s="182">
        <f>SUM(AJ112,AJ111,AJ110,AJ109,0)</f>
        <v>867.5200000000001</v>
      </c>
      <c r="AK108" s="137">
        <f>AJ108*10/60</f>
        <v>144.58666666666667</v>
      </c>
      <c r="AL108" s="182">
        <f>AH108+AI108+AK108</f>
        <v>234.35116529100529</v>
      </c>
      <c r="AM108" s="210">
        <f>B108/AL108</f>
        <v>146.69335549200898</v>
      </c>
      <c r="AN108" s="182">
        <f>AL108*46</f>
        <v>10780.153603386243</v>
      </c>
      <c r="AO108" s="182">
        <f>AN108/B108</f>
        <v>0.31357930184169669</v>
      </c>
      <c r="AP108" s="182">
        <f>AR108/B108</f>
        <v>0.94291301337538058</v>
      </c>
      <c r="AQ108" s="95"/>
      <c r="AR108" s="182">
        <f>SUM(AR112,AR111,AR110,AR109,0)</f>
        <v>32415.236143200003</v>
      </c>
      <c r="AT108" s="82"/>
      <c r="AU108" s="82"/>
      <c r="AV108" s="82"/>
      <c r="AW108" s="82"/>
      <c r="AX108" s="93"/>
      <c r="AY108" s="82"/>
      <c r="AZ108" s="82"/>
      <c r="BA108" s="234"/>
      <c r="BB108" s="164"/>
      <c r="BC108" s="228"/>
      <c r="BD108" s="85"/>
      <c r="BE108" s="85"/>
      <c r="BF108" s="85"/>
      <c r="BG108" s="85"/>
      <c r="BH108" s="85"/>
      <c r="BI108" s="85"/>
      <c r="BJ108" s="88"/>
    </row>
    <row r="109" spans="1:70" s="77" customFormat="1">
      <c r="A109" s="254">
        <f xml:space="preserve"> 142*J109/10^3</f>
        <v>1689.8</v>
      </c>
      <c r="B109" s="254">
        <f>A109*L109</f>
        <v>27036.799999999999</v>
      </c>
      <c r="C109" s="173" t="s">
        <v>147</v>
      </c>
      <c r="D109" s="256" t="s">
        <v>100</v>
      </c>
      <c r="E109" s="256"/>
      <c r="F109" s="259" t="s">
        <v>148</v>
      </c>
      <c r="G109" s="257" t="s">
        <v>111</v>
      </c>
      <c r="H109" s="258">
        <v>360</v>
      </c>
      <c r="I109" s="259" t="s">
        <v>102</v>
      </c>
      <c r="J109" s="258">
        <v>11900</v>
      </c>
      <c r="K109" s="258">
        <v>1</v>
      </c>
      <c r="L109" s="258">
        <f>K$109*L$108</f>
        <v>16</v>
      </c>
      <c r="M109" s="260">
        <f xml:space="preserve"> 1.85*J109*L109/10^3</f>
        <v>352.24</v>
      </c>
      <c r="N109" s="259"/>
      <c r="O109" s="259"/>
      <c r="P109" s="150" t="s">
        <v>104</v>
      </c>
      <c r="Q109" s="169">
        <v>8</v>
      </c>
      <c r="R109" s="150"/>
      <c r="S109" s="150"/>
      <c r="T109" s="150"/>
      <c r="U109" s="150"/>
      <c r="V109" s="150"/>
      <c r="W109" s="150"/>
      <c r="Y109" s="150"/>
      <c r="Z109" s="150"/>
      <c r="AA109" s="150"/>
      <c r="AB109" s="150" t="s">
        <v>104</v>
      </c>
      <c r="AC109" s="148"/>
      <c r="AD109" s="111"/>
      <c r="AE109" s="170">
        <f t="shared" ref="AE109:AE110" si="167">(H109/20/60)*2*L109</f>
        <v>9.6</v>
      </c>
      <c r="AF109" s="171">
        <f t="shared" ref="AF109:AF110" si="168">(H109*4)*2*20/60/1000*L109</f>
        <v>15.36</v>
      </c>
      <c r="AG109" s="165">
        <f>Q109*L109*0.5/60</f>
        <v>1.0666666666666667</v>
      </c>
      <c r="AH109" s="111"/>
      <c r="AI109" s="165">
        <f>AL109*L109/60</f>
        <v>24</v>
      </c>
      <c r="AJ109" s="98">
        <f>(H109*6*AK109)*2*L109/1000</f>
        <v>829.44</v>
      </c>
      <c r="AK109" s="77">
        <f>(VLOOKUP(F109,[1]Koostamine!$A$12:$E$1603,3,FALSE))</f>
        <v>12</v>
      </c>
      <c r="AL109" s="97">
        <f>VLOOKUP(F109,[1]Koostamine!$A$12:$K$1603,IF(J109&lt;1499,6,IF(J109&lt;2999,7,IF(J109&lt;5999,8,IF(J109&lt;9999,9,IF(J109&lt;12999,10,IF(J109&gt;13000,11)))))),FALSE)</f>
        <v>90</v>
      </c>
      <c r="AP109" s="180">
        <f>(VLOOKUP(F109,Terasehind!$A$2:$B$157,2,FALSE))</f>
        <v>0.9</v>
      </c>
      <c r="AQ109" s="77">
        <f>(VLOOKUP(F109,Terasehind!$A$2:$C$157,3,FALSE))</f>
        <v>1.05</v>
      </c>
      <c r="AR109" s="172">
        <f>AP109*AQ109*B109</f>
        <v>25549.776000000002</v>
      </c>
      <c r="AT109" s="90"/>
      <c r="AU109" s="90"/>
      <c r="AV109" s="90"/>
      <c r="AW109" s="90"/>
      <c r="AX109" s="90"/>
      <c r="AY109" s="90"/>
      <c r="AZ109" s="90"/>
      <c r="BA109" s="236"/>
      <c r="BB109" s="164"/>
      <c r="BC109" s="229"/>
      <c r="BD109" s="164"/>
      <c r="BE109" s="164"/>
      <c r="BF109" s="85"/>
      <c r="BG109" s="85"/>
      <c r="BH109" s="85"/>
      <c r="BI109" s="85"/>
      <c r="BJ109" s="85"/>
      <c r="BK109" s="88"/>
      <c r="BL109" s="85"/>
      <c r="BM109" s="88"/>
      <c r="BN109" s="111"/>
      <c r="BP109" s="139"/>
    </row>
    <row r="110" spans="1:70" s="77" customFormat="1">
      <c r="A110" s="254">
        <f xml:space="preserve"> 142*J110/10^3</f>
        <v>424.58</v>
      </c>
      <c r="B110" s="254">
        <f>A110*L110</f>
        <v>6793.28</v>
      </c>
      <c r="C110" s="173" t="s">
        <v>147</v>
      </c>
      <c r="D110" s="256" t="s">
        <v>109</v>
      </c>
      <c r="E110" s="256"/>
      <c r="F110" s="259" t="s">
        <v>148</v>
      </c>
      <c r="G110" s="257" t="s">
        <v>111</v>
      </c>
      <c r="H110" s="258">
        <v>310</v>
      </c>
      <c r="I110" s="259" t="s">
        <v>102</v>
      </c>
      <c r="J110" s="258">
        <f>J108-J109</f>
        <v>2990</v>
      </c>
      <c r="K110" s="258">
        <v>1</v>
      </c>
      <c r="L110" s="258">
        <f>K$110*L$108</f>
        <v>16</v>
      </c>
      <c r="M110" s="260">
        <f xml:space="preserve"> 1.85*J110*L110/10^3</f>
        <v>88.504000000000005</v>
      </c>
      <c r="N110" s="259"/>
      <c r="O110" s="259"/>
      <c r="P110" s="150" t="s">
        <v>104</v>
      </c>
      <c r="Q110" s="169">
        <v>8</v>
      </c>
      <c r="R110" s="150"/>
      <c r="S110" s="150"/>
      <c r="T110" s="150"/>
      <c r="U110" s="150"/>
      <c r="V110" s="150"/>
      <c r="W110" s="150"/>
      <c r="Y110" s="150"/>
      <c r="Z110" s="150"/>
      <c r="AA110" s="150"/>
      <c r="AB110" s="150" t="s">
        <v>104</v>
      </c>
      <c r="AC110" s="148"/>
      <c r="AD110" s="111"/>
      <c r="AE110" s="170">
        <f t="shared" si="167"/>
        <v>8.2666666666666675</v>
      </c>
      <c r="AF110" s="171">
        <f t="shared" si="168"/>
        <v>13.226666666666667</v>
      </c>
      <c r="AG110" s="165">
        <f>Q110*L110*0.5/60</f>
        <v>1.0666666666666667</v>
      </c>
      <c r="AH110" s="111"/>
      <c r="AI110" s="165">
        <f>AL110*L110/60</f>
        <v>5.333333333333333</v>
      </c>
      <c r="AJ110" s="98"/>
      <c r="AK110" s="77">
        <f>(VLOOKUP(F110,[1]Koostamine!$A$12:$E$1603,3,FALSE))</f>
        <v>12</v>
      </c>
      <c r="AL110" s="97">
        <f>VLOOKUP(F110,[1]Koostamine!$A$12:$K$1603,IF(J110&lt;1499,6,IF(J110&lt;2999,7,IF(J110&lt;5999,8,IF(J110&lt;9999,9,IF(J110&lt;12999,10,IF(J110&gt;13000,11)))))),FALSE)</f>
        <v>20</v>
      </c>
      <c r="AP110" s="180">
        <f>(VLOOKUP(F110,Terasehind!$A$2:$B$157,2,FALSE))</f>
        <v>0.9</v>
      </c>
      <c r="AQ110" s="77">
        <f>(VLOOKUP(F110,Terasehind!$A$2:$C$157,3,FALSE))</f>
        <v>1.05</v>
      </c>
      <c r="AR110" s="172">
        <f>AP110*AQ110*B110</f>
        <v>6419.6495999999997</v>
      </c>
      <c r="AT110" s="90"/>
      <c r="AU110" s="90"/>
      <c r="AV110" s="90"/>
      <c r="AW110" s="90"/>
      <c r="AX110" s="90"/>
      <c r="AY110" s="90"/>
      <c r="AZ110" s="90"/>
      <c r="BA110" s="236"/>
      <c r="BB110" s="164"/>
      <c r="BC110" s="229"/>
      <c r="BD110" s="164"/>
      <c r="BE110" s="164"/>
      <c r="BF110" s="85"/>
      <c r="BG110" s="85"/>
      <c r="BH110" s="85"/>
      <c r="BI110" s="85"/>
      <c r="BJ110" s="85"/>
      <c r="BK110" s="88"/>
      <c r="BL110" s="85"/>
      <c r="BM110" s="88"/>
      <c r="BN110" s="111"/>
      <c r="BP110" s="139"/>
    </row>
    <row r="111" spans="1:70" s="77" customFormat="1">
      <c r="A111" s="148">
        <f t="shared" ref="A111:A112" si="169">H111*J111*(RIGHT(F111,2))*7.85/(10^6)</f>
        <v>23.844374999999999</v>
      </c>
      <c r="B111" s="148">
        <f t="shared" ref="B111:B112" si="170">A111*L111</f>
        <v>381.51</v>
      </c>
      <c r="C111" s="150" t="s">
        <v>108</v>
      </c>
      <c r="D111" s="149" t="s">
        <v>114</v>
      </c>
      <c r="E111" s="149"/>
      <c r="F111" s="150" t="s">
        <v>131</v>
      </c>
      <c r="G111" s="149" t="s">
        <v>111</v>
      </c>
      <c r="H111" s="151">
        <v>300</v>
      </c>
      <c r="I111" s="150" t="s">
        <v>102</v>
      </c>
      <c r="J111" s="151">
        <v>405</v>
      </c>
      <c r="K111" s="151">
        <v>1</v>
      </c>
      <c r="L111" s="151">
        <f>K$111*L$108</f>
        <v>16</v>
      </c>
      <c r="M111" s="148">
        <f t="shared" ref="M111:M112" si="171">2*H111*J111/10^6*L111</f>
        <v>3.8879999999999999</v>
      </c>
      <c r="N111" s="150" t="s">
        <v>112</v>
      </c>
      <c r="P111" s="150"/>
      <c r="Q111" s="169">
        <v>8</v>
      </c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 t="s">
        <v>104</v>
      </c>
      <c r="AC111" s="170">
        <f>((((H111+J111)*2/1000)*L111*(5/(VLOOKUP(F111,[1]Plasmalõikus!$A$7:$E$46,2,FALSE)/1000*60)))+(Q111*L111*(5*(VLOOKUP(F111,[1]Plasmalõikus!$A$7:$E$48,3,FALSE))/60/60)))</f>
        <v>4.5428571428571427</v>
      </c>
      <c r="AD111" s="170">
        <f t="shared" ref="AD111:AD112" si="172">0.012*((H111+J111)*2/1000*L111)</f>
        <v>0.27072000000000002</v>
      </c>
      <c r="AE111" s="170"/>
      <c r="AF111" s="171"/>
      <c r="AG111" s="171">
        <f t="shared" ref="AG111:AG112" si="173">IF(VALUE(MID(F111,SEARCH(" ",F111)+1,LEN(F111)))&lt;35,0,IF(VALUE(MID(F111,SEARCH(" ",F111)+1,LEN(F111)))&lt;40,3,IF(VALUE(MID(F111,SEARCH(" ",F111)+1,LEN(F111)))&lt;50,4,IF(VALUE(MID(F111,SEARCH(" ",F111)+1,LEN(F111)))&lt;60,5,IF(VALUE(MID(F111,SEARCH(" ",F111)+1,LEN(F111)))&lt;70,6,IF(VALUE(MID(F111,SEARCH(" ",F111)+1,LEN(F111)))&lt;80,7,IF(VALUE(MID(F111,SEARCH(" ",F111)+1,LEN(F111)))&lt;90,8,IF(VALUE(MID(F111,SEARCH(" ",F111)+1,LEN(F111)))&lt;100,9,10))))))))/60*Q111*L111</f>
        <v>0</v>
      </c>
      <c r="AH111" s="170"/>
      <c r="AI111" s="165">
        <f t="shared" ref="AI111:AI112" si="174">AL111*L111/60</f>
        <v>2.6666666666666665</v>
      </c>
      <c r="AJ111" s="98"/>
      <c r="AK111" s="77">
        <v>6</v>
      </c>
      <c r="AL111" s="201" t="str">
        <f t="shared" ref="AL111" si="175">IF(A111&gt;40,"30",IF(A111&gt;10,"10",IF(A111&gt;20,"20","2")))</f>
        <v>10</v>
      </c>
      <c r="AN111" s="94"/>
      <c r="AP111" s="180">
        <f>(VLOOKUP(F111,Terasehind!$A$2:$B$157,2,FALSE))</f>
        <v>0.74</v>
      </c>
      <c r="AQ111" s="77">
        <v>1.1000000000000001</v>
      </c>
      <c r="AR111" s="172">
        <f t="shared" ref="AR111:AR112" si="176">AP111*AQ111*B111</f>
        <v>310.54914000000002</v>
      </c>
      <c r="AT111" s="90"/>
      <c r="AU111" s="90"/>
      <c r="AV111" s="90"/>
      <c r="AW111" s="90"/>
      <c r="AX111" s="90"/>
      <c r="AY111" s="90"/>
      <c r="AZ111" s="90"/>
      <c r="BA111" s="236"/>
      <c r="BB111" s="164"/>
      <c r="BC111" s="229"/>
      <c r="BD111" s="164"/>
      <c r="BE111" s="164"/>
      <c r="BF111" s="164"/>
      <c r="BG111" s="85"/>
      <c r="BH111" s="85"/>
      <c r="BI111" s="85"/>
      <c r="BJ111" s="85"/>
      <c r="BK111" s="85"/>
      <c r="BL111" s="139"/>
      <c r="BM111" s="139"/>
      <c r="BN111" s="139"/>
      <c r="BO111" s="111"/>
      <c r="BQ111" s="111"/>
      <c r="BR111" s="111"/>
    </row>
    <row r="112" spans="1:70" s="77" customFormat="1" ht="16.5" customHeight="1">
      <c r="A112" s="148">
        <f t="shared" si="169"/>
        <v>5.1927750000000001</v>
      </c>
      <c r="B112" s="148">
        <f t="shared" si="170"/>
        <v>166.1688</v>
      </c>
      <c r="C112" s="150" t="s">
        <v>146</v>
      </c>
      <c r="D112" s="149" t="s">
        <v>119</v>
      </c>
      <c r="E112" s="149"/>
      <c r="F112" s="150" t="s">
        <v>117</v>
      </c>
      <c r="G112" s="149" t="s">
        <v>111</v>
      </c>
      <c r="H112" s="151">
        <v>140</v>
      </c>
      <c r="I112" s="150" t="s">
        <v>102</v>
      </c>
      <c r="J112" s="151">
        <v>315</v>
      </c>
      <c r="K112" s="151">
        <v>2</v>
      </c>
      <c r="L112" s="151">
        <f>K$112*L$108</f>
        <v>32</v>
      </c>
      <c r="M112" s="148">
        <f t="shared" si="171"/>
        <v>2.8224</v>
      </c>
      <c r="N112" s="150" t="s">
        <v>112</v>
      </c>
      <c r="P112" s="150"/>
      <c r="Q112" s="175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 t="s">
        <v>104</v>
      </c>
      <c r="AC112" s="170">
        <f>((((H112+J112)*2/1000)*L112*(5/(VLOOKUP(F112,[1]Plasmalõikus!$A$7:$E$46,2,FALSE)/1000*60)))+(Q112*L112*(5*(VLOOKUP(F112,[1]Plasmalõikus!$A$7:$E$48,3,FALSE))/60/60)))</f>
        <v>1.3481481481481481</v>
      </c>
      <c r="AD112" s="170">
        <f t="shared" si="172"/>
        <v>0.34944000000000003</v>
      </c>
      <c r="AE112" s="170"/>
      <c r="AF112" s="171"/>
      <c r="AG112" s="171">
        <f t="shared" si="173"/>
        <v>0</v>
      </c>
      <c r="AH112" s="170"/>
      <c r="AI112" s="165">
        <f t="shared" si="174"/>
        <v>2.6666666666666665</v>
      </c>
      <c r="AJ112" s="98">
        <f>(H112*4*AK112+J112*2*AK112)*1*L112/1000</f>
        <v>38.08</v>
      </c>
      <c r="AK112" s="77">
        <v>1</v>
      </c>
      <c r="AL112" s="201" t="str">
        <f>IF(AND(Q112&gt;0,A112&lt;3),"10",IF(AND(Q112&gt;0,A112&lt;10),"15",IF(AND(Q112&gt;0,A112&lt;20),"20",IF(AND(Q112&gt;0,A112&lt;500),"30",IF(AND(Q112=0,A112&lt;3),"2",IF(AND(Q112=0,A112&lt;10),"5",IF(AND(Q112=0,A112&lt;20),"10",IF(AND(Q112=0,A112&lt;500),"20","2"))))))))</f>
        <v>5</v>
      </c>
      <c r="AN112" s="94"/>
      <c r="AP112" s="180">
        <f>(VLOOKUP(F112,Terasehind!$A$2:$B$157,2,FALSE))</f>
        <v>0.74</v>
      </c>
      <c r="AQ112" s="77">
        <v>1.1000000000000001</v>
      </c>
      <c r="AR112" s="172">
        <f t="shared" si="176"/>
        <v>135.26140320000002</v>
      </c>
      <c r="AT112" s="90"/>
      <c r="AU112" s="90"/>
      <c r="AV112" s="90"/>
      <c r="AW112" s="90"/>
      <c r="AX112" s="90"/>
      <c r="AY112" s="90"/>
      <c r="AZ112" s="90"/>
      <c r="BA112" s="230"/>
      <c r="BB112" s="139"/>
      <c r="BC112" s="230"/>
      <c r="BD112" s="85"/>
      <c r="BE112" s="85"/>
      <c r="BF112" s="85"/>
      <c r="BG112" s="85"/>
      <c r="BH112" s="85"/>
      <c r="BK112" s="85"/>
      <c r="BL112" s="85"/>
      <c r="BN112" s="139"/>
      <c r="BO112" s="111"/>
      <c r="BQ112" s="111"/>
      <c r="BR112" s="111"/>
    </row>
    <row r="113" spans="1:70" s="77" customFormat="1">
      <c r="A113" s="148"/>
      <c r="C113" s="148"/>
      <c r="D113" s="149"/>
      <c r="E113" s="149"/>
      <c r="F113" s="150"/>
      <c r="G113" s="149"/>
      <c r="H113" s="151"/>
      <c r="I113" s="150"/>
      <c r="J113" s="151"/>
      <c r="K113" s="151"/>
      <c r="L113" s="151"/>
      <c r="M113" s="144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D113" s="111"/>
      <c r="AE113" s="111"/>
      <c r="AF113" s="146"/>
      <c r="AG113" s="146"/>
      <c r="AH113" s="111"/>
      <c r="AI113" s="111"/>
      <c r="AJ113" s="111"/>
      <c r="AK113" s="111"/>
      <c r="AL113" s="111"/>
      <c r="AM113" s="88"/>
      <c r="AN113" s="94"/>
      <c r="AO113" s="89"/>
      <c r="AP113" s="90"/>
      <c r="AQ113" s="90"/>
      <c r="AT113" s="88"/>
      <c r="AU113" s="105"/>
      <c r="AV113" s="105"/>
      <c r="AW113" s="105"/>
      <c r="AX113" s="153"/>
      <c r="AY113" s="105"/>
      <c r="AZ113" s="105"/>
      <c r="BA113" s="234"/>
      <c r="BB113" s="164"/>
      <c r="BC113" s="229"/>
      <c r="BD113" s="164"/>
      <c r="BE113" s="164"/>
      <c r="BF113" s="85"/>
      <c r="BG113" s="85"/>
      <c r="BH113" s="85"/>
      <c r="BI113" s="85"/>
      <c r="BJ113" s="85"/>
      <c r="BK113" s="111"/>
      <c r="BL113" s="139"/>
      <c r="BN113" s="85"/>
      <c r="BO113" s="88"/>
    </row>
    <row r="114" spans="1:70" s="77" customFormat="1">
      <c r="A114" s="182">
        <f>B114/L114</f>
        <v>1001.7375000000001</v>
      </c>
      <c r="B114" s="182">
        <f>SUM(B117,B116,B115,0)</f>
        <v>4006.9500000000003</v>
      </c>
      <c r="C114" s="188"/>
      <c r="D114" s="183" t="s">
        <v>100</v>
      </c>
      <c r="E114" s="183"/>
      <c r="F114" s="184" t="str">
        <f>"Katusetalad "&amp;F115</f>
        <v>Katusetalad IPE400</v>
      </c>
      <c r="G114" s="166"/>
      <c r="H114" s="185">
        <v>160</v>
      </c>
      <c r="I114" s="186" t="s">
        <v>102</v>
      </c>
      <c r="J114" s="185">
        <v>14825</v>
      </c>
      <c r="K114" s="168">
        <v>4</v>
      </c>
      <c r="L114" s="185">
        <f>$L$95*$K$114</f>
        <v>4</v>
      </c>
      <c r="M114" s="182">
        <f>SUM(M117,M116,M115,0)</f>
        <v>90.23</v>
      </c>
      <c r="N114" s="186"/>
      <c r="O114" s="186"/>
      <c r="P114" s="186"/>
      <c r="Q114" s="186"/>
      <c r="R114" s="152"/>
      <c r="S114" s="152"/>
      <c r="T114" s="152"/>
      <c r="U114" s="152"/>
      <c r="V114" s="152"/>
      <c r="W114" s="150"/>
      <c r="X114" s="150" t="s">
        <v>104</v>
      </c>
      <c r="Y114" s="186">
        <v>4</v>
      </c>
      <c r="Z114" s="186"/>
      <c r="AA114" s="186"/>
      <c r="AB114" s="186"/>
      <c r="AC114" s="182">
        <f>SUM(AC117,AC116,AC115,0)</f>
        <v>0.7407407407407407</v>
      </c>
      <c r="AD114" s="182">
        <f>SUM(AD117,AD116,AD115,0)</f>
        <v>0.192</v>
      </c>
      <c r="AE114" s="182">
        <f>SUM(AE117,AE116,AE115,0)</f>
        <v>4.7333333333333334</v>
      </c>
      <c r="AF114" s="182">
        <f>SUM(AF117,AF116,AF115,0)</f>
        <v>7.5733333333333333</v>
      </c>
      <c r="AG114" s="182">
        <f>SUM(AG117,AG116,AG115,0)</f>
        <v>0.46666666666666667</v>
      </c>
      <c r="AH114" s="137">
        <f>SUM(AC114:AG114)</f>
        <v>13.706074074074074</v>
      </c>
      <c r="AI114" s="137">
        <f>SUM(AI117,AI116,AI115,0)</f>
        <v>8.6666666666666661</v>
      </c>
      <c r="AJ114" s="182">
        <f>SUM(AJ117,AJ116,AJ115,0)</f>
        <v>19.2</v>
      </c>
      <c r="AK114" s="137">
        <f>AJ114*10/60</f>
        <v>3.2</v>
      </c>
      <c r="AL114" s="182">
        <f>AH114+AI114+AK114</f>
        <v>25.572740740740738</v>
      </c>
      <c r="AM114" s="210">
        <f>B114/AL114</f>
        <v>156.68832842841917</v>
      </c>
      <c r="AN114" s="182">
        <f>AL114*46</f>
        <v>1176.3460740740738</v>
      </c>
      <c r="AO114" s="182">
        <f>AN114/B114</f>
        <v>0.29357642947231027</v>
      </c>
      <c r="AP114" s="182">
        <f>AR114/B114</f>
        <v>0.98668991127915251</v>
      </c>
      <c r="AQ114" s="95"/>
      <c r="AR114" s="182">
        <f>SUM(AR117,AR116,AR115,0)</f>
        <v>3953.6171400000003</v>
      </c>
      <c r="AT114" s="82"/>
      <c r="AU114" s="82"/>
      <c r="AV114" s="82"/>
      <c r="AW114" s="82"/>
      <c r="AX114" s="93"/>
      <c r="AY114" s="82"/>
      <c r="AZ114" s="82"/>
      <c r="BA114" s="234"/>
      <c r="BB114" s="164"/>
      <c r="BC114" s="228"/>
      <c r="BD114" s="85"/>
      <c r="BE114" s="85"/>
      <c r="BF114" s="85"/>
      <c r="BG114" s="85"/>
      <c r="BH114" s="85"/>
      <c r="BI114" s="85"/>
      <c r="BJ114" s="88"/>
    </row>
    <row r="115" spans="1:70" s="77" customFormat="1">
      <c r="A115" s="254">
        <f xml:space="preserve"> 66.3*J115/10^3</f>
        <v>788.97</v>
      </c>
      <c r="B115" s="254">
        <f>A115*L115</f>
        <v>3155.88</v>
      </c>
      <c r="C115" s="173" t="s">
        <v>147</v>
      </c>
      <c r="D115" s="256" t="s">
        <v>100</v>
      </c>
      <c r="E115" s="256"/>
      <c r="F115" s="259" t="s">
        <v>149</v>
      </c>
      <c r="G115" s="257" t="s">
        <v>111</v>
      </c>
      <c r="H115" s="258">
        <v>400</v>
      </c>
      <c r="I115" s="259" t="s">
        <v>102</v>
      </c>
      <c r="J115" s="258">
        <v>11900</v>
      </c>
      <c r="K115" s="258">
        <v>1</v>
      </c>
      <c r="L115" s="258">
        <f>K$115*L$114</f>
        <v>4</v>
      </c>
      <c r="M115" s="260">
        <f xml:space="preserve"> 1.5*J115*L115/10^3</f>
        <v>71.400000000000006</v>
      </c>
      <c r="N115" s="259"/>
      <c r="O115" s="259"/>
      <c r="P115" s="150" t="s">
        <v>104</v>
      </c>
      <c r="Q115" s="169">
        <v>6</v>
      </c>
      <c r="R115" s="150"/>
      <c r="S115" s="150"/>
      <c r="T115" s="150"/>
      <c r="U115" s="150"/>
      <c r="V115" s="150"/>
      <c r="W115" s="150"/>
      <c r="Y115" s="150"/>
      <c r="Z115" s="150"/>
      <c r="AA115" s="150"/>
      <c r="AB115" s="150" t="s">
        <v>104</v>
      </c>
      <c r="AC115" s="148"/>
      <c r="AD115" s="111"/>
      <c r="AE115" s="170">
        <f t="shared" ref="AE115:AE116" si="177">(H115/20/60)*2*L115</f>
        <v>2.6666666666666665</v>
      </c>
      <c r="AF115" s="171">
        <f>(H115*4)*2*20/60/1000*L115</f>
        <v>4.2666666666666666</v>
      </c>
      <c r="AG115" s="165">
        <f>Q115*L115*0.5/60</f>
        <v>0.2</v>
      </c>
      <c r="AH115" s="111"/>
      <c r="AI115" s="165">
        <f>AL115*L115/60</f>
        <v>6</v>
      </c>
      <c r="AJ115" s="98"/>
      <c r="AK115" s="77">
        <f>(VLOOKUP(F115,[1]Koostamine!$A$12:$E$1603,3,FALSE))</f>
        <v>3</v>
      </c>
      <c r="AL115" s="97">
        <f>VLOOKUP(F115,[1]Koostamine!$A$12:$K$1603,IF(J115&lt;1499,6,IF(J115&lt;2999,7,IF(J115&lt;5999,8,IF(J115&lt;9999,9,IF(J115&lt;12999,10,IF(J115&gt;13000,11)))))),FALSE)</f>
        <v>90</v>
      </c>
      <c r="AP115" s="180">
        <f>(VLOOKUP(F115,Terasehind!$A$2:$B$157,2,FALSE))</f>
        <v>0.9</v>
      </c>
      <c r="AQ115" s="77">
        <f>(VLOOKUP(F115,Terasehind!$A$2:$C$157,3,FALSE))</f>
        <v>1.1000000000000001</v>
      </c>
      <c r="AR115" s="172">
        <f>AP115*AQ115*B115</f>
        <v>3124.3212000000003</v>
      </c>
      <c r="AT115" s="90"/>
      <c r="AU115" s="90"/>
      <c r="AV115" s="90"/>
      <c r="AW115" s="90"/>
      <c r="AX115" s="90"/>
      <c r="AY115" s="90"/>
      <c r="AZ115" s="90"/>
      <c r="BA115" s="236"/>
      <c r="BB115" s="164"/>
      <c r="BC115" s="229"/>
      <c r="BD115" s="164"/>
      <c r="BE115" s="164"/>
      <c r="BF115" s="85"/>
      <c r="BG115" s="85"/>
      <c r="BH115" s="85"/>
      <c r="BI115" s="85"/>
      <c r="BJ115" s="85"/>
      <c r="BK115" s="88"/>
      <c r="BL115" s="85"/>
      <c r="BM115" s="88"/>
      <c r="BN115" s="111"/>
      <c r="BP115" s="139"/>
    </row>
    <row r="116" spans="1:70" s="77" customFormat="1">
      <c r="A116" s="254">
        <f xml:space="preserve"> 66.3*J116/10^3</f>
        <v>193.92750000000001</v>
      </c>
      <c r="B116" s="254">
        <f>A116*L116</f>
        <v>775.71</v>
      </c>
      <c r="C116" s="173" t="s">
        <v>147</v>
      </c>
      <c r="D116" s="256" t="s">
        <v>109</v>
      </c>
      <c r="E116" s="256"/>
      <c r="F116" s="259" t="s">
        <v>149</v>
      </c>
      <c r="G116" s="257" t="s">
        <v>111</v>
      </c>
      <c r="H116" s="258">
        <v>310</v>
      </c>
      <c r="I116" s="259" t="s">
        <v>102</v>
      </c>
      <c r="J116" s="258">
        <f>J114-J115</f>
        <v>2925</v>
      </c>
      <c r="K116" s="258">
        <v>1</v>
      </c>
      <c r="L116" s="258">
        <f>K$116*L$114</f>
        <v>4</v>
      </c>
      <c r="M116" s="260">
        <f xml:space="preserve"> 1.5*J116*L116/10^3</f>
        <v>17.55</v>
      </c>
      <c r="N116" s="259"/>
      <c r="O116" s="259"/>
      <c r="P116" s="150" t="s">
        <v>104</v>
      </c>
      <c r="Q116" s="169">
        <v>8</v>
      </c>
      <c r="R116" s="150"/>
      <c r="S116" s="150"/>
      <c r="T116" s="150"/>
      <c r="U116" s="150"/>
      <c r="V116" s="150"/>
      <c r="W116" s="150"/>
      <c r="Y116" s="150"/>
      <c r="Z116" s="150"/>
      <c r="AA116" s="150"/>
      <c r="AB116" s="150" t="s">
        <v>104</v>
      </c>
      <c r="AC116" s="148"/>
      <c r="AD116" s="111"/>
      <c r="AE116" s="170">
        <f t="shared" si="177"/>
        <v>2.0666666666666669</v>
      </c>
      <c r="AF116" s="171">
        <f t="shared" ref="AF116" si="178">(H116*4)*2*20/60/1000*L116</f>
        <v>3.3066666666666666</v>
      </c>
      <c r="AG116" s="165">
        <f>Q116*L116*0.5/60</f>
        <v>0.26666666666666666</v>
      </c>
      <c r="AH116" s="111"/>
      <c r="AI116" s="165">
        <f>AL116*L116/60</f>
        <v>1.3333333333333333</v>
      </c>
      <c r="AJ116" s="98"/>
      <c r="AK116" s="77">
        <f>(VLOOKUP(F116,[1]Koostamine!$A$12:$E$1603,3,FALSE))</f>
        <v>3</v>
      </c>
      <c r="AL116" s="97">
        <f>VLOOKUP(F116,[1]Koostamine!$A$12:$K$1603,IF(J116&lt;1499,6,IF(J116&lt;2999,7,IF(J116&lt;5999,8,IF(J116&lt;9999,9,IF(J116&lt;12999,10,IF(J116&gt;13000,11)))))),FALSE)</f>
        <v>20</v>
      </c>
      <c r="AP116" s="180">
        <f>(VLOOKUP(F116,Terasehind!$A$2:$B$157,2,FALSE))</f>
        <v>0.9</v>
      </c>
      <c r="AQ116" s="77">
        <f>(VLOOKUP(F116,Terasehind!$A$2:$C$157,3,FALSE))</f>
        <v>1.1000000000000001</v>
      </c>
      <c r="AR116" s="172">
        <f>AP116*AQ116*B116</f>
        <v>767.95290000000011</v>
      </c>
      <c r="AT116" s="90"/>
      <c r="AU116" s="90"/>
      <c r="AV116" s="90"/>
      <c r="AW116" s="90"/>
      <c r="AX116" s="90"/>
      <c r="AY116" s="90"/>
      <c r="AZ116" s="90"/>
      <c r="BA116" s="236"/>
      <c r="BB116" s="164"/>
      <c r="BC116" s="229"/>
      <c r="BD116" s="164"/>
      <c r="BE116" s="164"/>
      <c r="BF116" s="85"/>
      <c r="BG116" s="85"/>
      <c r="BH116" s="85"/>
      <c r="BI116" s="85"/>
      <c r="BJ116" s="85"/>
      <c r="BK116" s="88"/>
      <c r="BL116" s="85"/>
      <c r="BM116" s="88"/>
      <c r="BN116" s="111"/>
      <c r="BP116" s="139"/>
    </row>
    <row r="117" spans="1:70" s="77" customFormat="1" ht="16.5" customHeight="1">
      <c r="A117" s="148">
        <f t="shared" ref="A117" si="179">H117*J117*(RIGHT(F117,2))*7.85/(10^6)</f>
        <v>4.71</v>
      </c>
      <c r="B117" s="148">
        <f t="shared" ref="B117" si="180">A117*L117</f>
        <v>75.36</v>
      </c>
      <c r="C117" s="150" t="s">
        <v>146</v>
      </c>
      <c r="D117" s="149" t="s">
        <v>114</v>
      </c>
      <c r="E117" s="149"/>
      <c r="F117" s="150" t="s">
        <v>117</v>
      </c>
      <c r="G117" s="149" t="s">
        <v>111</v>
      </c>
      <c r="H117" s="151">
        <v>100</v>
      </c>
      <c r="I117" s="150" t="s">
        <v>102</v>
      </c>
      <c r="J117" s="151">
        <v>400</v>
      </c>
      <c r="K117" s="151">
        <v>4</v>
      </c>
      <c r="L117" s="151">
        <f>K$117*L$114</f>
        <v>16</v>
      </c>
      <c r="M117" s="148">
        <f t="shared" ref="M117" si="181">2*H117*J117/10^6*L117</f>
        <v>1.28</v>
      </c>
      <c r="N117" s="150" t="s">
        <v>112</v>
      </c>
      <c r="P117" s="150"/>
      <c r="Q117" s="175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 t="s">
        <v>104</v>
      </c>
      <c r="AC117" s="170">
        <f>((((H117+J117)*2/1000)*L117*(5/(VLOOKUP(F117,[1]Plasmalõikus!$A$7:$E$46,2,FALSE)/1000*60)))+(Q117*L117*(5*(VLOOKUP(F117,[1]Plasmalõikus!$A$7:$E$48,3,FALSE))/60/60)))</f>
        <v>0.7407407407407407</v>
      </c>
      <c r="AD117" s="170">
        <f t="shared" ref="AD117" si="182">0.012*((H117+J117)*2/1000*L117)</f>
        <v>0.192</v>
      </c>
      <c r="AE117" s="170"/>
      <c r="AF117" s="171"/>
      <c r="AG117" s="171">
        <f t="shared" ref="AG117" si="183">IF(VALUE(MID(F117,SEARCH(" ",F117)+1,LEN(F117)))&lt;35,0,IF(VALUE(MID(F117,SEARCH(" ",F117)+1,LEN(F117)))&lt;40,3,IF(VALUE(MID(F117,SEARCH(" ",F117)+1,LEN(F117)))&lt;50,4,IF(VALUE(MID(F117,SEARCH(" ",F117)+1,LEN(F117)))&lt;60,5,IF(VALUE(MID(F117,SEARCH(" ",F117)+1,LEN(F117)))&lt;70,6,IF(VALUE(MID(F117,SEARCH(" ",F117)+1,LEN(F117)))&lt;80,7,IF(VALUE(MID(F117,SEARCH(" ",F117)+1,LEN(F117)))&lt;90,8,IF(VALUE(MID(F117,SEARCH(" ",F117)+1,LEN(F117)))&lt;100,9,10))))))))/60*Q117*L117</f>
        <v>0</v>
      </c>
      <c r="AH117" s="170"/>
      <c r="AI117" s="165">
        <f t="shared" ref="AI117" si="184">AL117*L117/60</f>
        <v>1.3333333333333333</v>
      </c>
      <c r="AJ117" s="98">
        <f>(H117*4*AK117+J117*2*AK117)*1*L117/1000</f>
        <v>19.2</v>
      </c>
      <c r="AK117" s="77">
        <v>1</v>
      </c>
      <c r="AL117" s="201" t="str">
        <f>IF(AND(Q117&gt;0,A117&lt;3),"10",IF(AND(Q117&gt;0,A117&lt;10),"15",IF(AND(Q117&gt;0,A117&lt;20),"20",IF(AND(Q117&gt;0,A117&lt;500),"30",IF(AND(Q117=0,A117&lt;3),"2",IF(AND(Q117=0,A117&lt;10),"5",IF(AND(Q117=0,A117&lt;20),"10",IF(AND(Q117=0,A117&lt;500),"20","2"))))))))</f>
        <v>5</v>
      </c>
      <c r="AN117" s="94"/>
      <c r="AP117" s="180">
        <f>(VLOOKUP(F117,Terasehind!$A$2:$B$157,2,FALSE))</f>
        <v>0.74</v>
      </c>
      <c r="AQ117" s="77">
        <v>1.1000000000000001</v>
      </c>
      <c r="AR117" s="172">
        <f t="shared" ref="AR117" si="185">AP117*AQ117*B117</f>
        <v>61.343040000000002</v>
      </c>
      <c r="AT117" s="90"/>
      <c r="AU117" s="90"/>
      <c r="AV117" s="90"/>
      <c r="AW117" s="90"/>
      <c r="AX117" s="90"/>
      <c r="AY117" s="90"/>
      <c r="AZ117" s="90"/>
      <c r="BA117" s="230"/>
      <c r="BB117" s="139"/>
      <c r="BC117" s="230"/>
      <c r="BD117" s="85"/>
      <c r="BE117" s="85"/>
      <c r="BF117" s="85"/>
      <c r="BG117" s="85"/>
      <c r="BH117" s="85"/>
      <c r="BK117" s="85"/>
      <c r="BL117" s="85"/>
      <c r="BN117" s="139"/>
      <c r="BO117" s="111"/>
      <c r="BQ117" s="111"/>
      <c r="BR117" s="111"/>
    </row>
    <row r="118" spans="1:70" s="77" customFormat="1">
      <c r="A118" s="148"/>
      <c r="B118" s="148"/>
      <c r="C118" s="148"/>
      <c r="D118" s="149"/>
      <c r="E118" s="149"/>
      <c r="F118" s="149"/>
      <c r="G118" s="149"/>
      <c r="H118" s="151"/>
      <c r="I118" s="150"/>
      <c r="J118" s="151"/>
      <c r="K118" s="151"/>
      <c r="L118" s="151"/>
      <c r="M118" s="144"/>
      <c r="N118" s="150"/>
      <c r="O118" s="152"/>
      <c r="P118" s="150"/>
      <c r="Q118" s="150"/>
      <c r="R118" s="152"/>
      <c r="S118" s="152"/>
      <c r="T118" s="152"/>
      <c r="U118" s="152"/>
      <c r="V118" s="152"/>
      <c r="W118" s="150"/>
      <c r="X118" s="150"/>
      <c r="Y118" s="150"/>
      <c r="Z118" s="152"/>
      <c r="AA118" s="150"/>
      <c r="AB118" s="150"/>
      <c r="AD118" s="111"/>
      <c r="AE118" s="111"/>
      <c r="AF118" s="146"/>
      <c r="AG118" s="146"/>
      <c r="AH118" s="111"/>
      <c r="AI118" s="111"/>
      <c r="AJ118" s="88"/>
      <c r="AK118" s="111"/>
      <c r="AL118" s="111"/>
      <c r="AM118" s="111"/>
      <c r="AN118" s="111"/>
      <c r="AO118" s="111"/>
      <c r="AP118" s="90"/>
      <c r="AQ118" s="90"/>
      <c r="AT118" s="88"/>
      <c r="AU118" s="105"/>
      <c r="AV118" s="105"/>
      <c r="AW118" s="105"/>
      <c r="AX118" s="153"/>
      <c r="AY118" s="105"/>
      <c r="AZ118" s="105"/>
      <c r="BA118" s="234"/>
      <c r="BB118" s="164"/>
      <c r="BC118" s="229"/>
      <c r="BD118" s="164"/>
      <c r="BE118" s="164"/>
      <c r="BF118" s="164"/>
      <c r="BG118" s="85"/>
      <c r="BH118" s="85"/>
      <c r="BI118" s="85"/>
      <c r="BJ118" s="111"/>
    </row>
    <row r="119" spans="1:70" s="77" customFormat="1">
      <c r="A119" s="182">
        <f>B119/L119</f>
        <v>172.48808000000002</v>
      </c>
      <c r="B119" s="182">
        <f>SUM(B122,B121,B120,0)</f>
        <v>2242.3450400000002</v>
      </c>
      <c r="C119" s="188"/>
      <c r="D119" s="183" t="s">
        <v>100</v>
      </c>
      <c r="E119" s="183"/>
      <c r="F119" s="184" t="str">
        <f>"Seinatala "&amp;F120</f>
        <v>Seinatala IPE240</v>
      </c>
      <c r="G119" s="166"/>
      <c r="H119" s="185">
        <v>160</v>
      </c>
      <c r="I119" s="186" t="s">
        <v>102</v>
      </c>
      <c r="J119" s="185">
        <f>J120</f>
        <v>4775</v>
      </c>
      <c r="K119" s="168">
        <v>13</v>
      </c>
      <c r="L119" s="185">
        <f>$L$95*$K$119</f>
        <v>13</v>
      </c>
      <c r="M119" s="182">
        <f>SUM(M122,M121,M120,0)</f>
        <v>61.7851</v>
      </c>
      <c r="N119" s="186"/>
      <c r="O119" s="186"/>
      <c r="P119" s="186"/>
      <c r="Q119" s="186"/>
      <c r="R119" s="152"/>
      <c r="S119" s="152"/>
      <c r="T119" s="152"/>
      <c r="U119" s="152"/>
      <c r="V119" s="152"/>
      <c r="W119" s="150"/>
      <c r="X119" s="150" t="s">
        <v>104</v>
      </c>
      <c r="Y119" s="186">
        <v>4</v>
      </c>
      <c r="Z119" s="186"/>
      <c r="AA119" s="186"/>
      <c r="AB119" s="186"/>
      <c r="AC119" s="182">
        <f>SUM(AC122,AC121,AC120,0)</f>
        <v>3.8229629629629631</v>
      </c>
      <c r="AD119" s="182">
        <f>SUM(AD122,AD121,AD120,0)</f>
        <v>1.0108800000000002</v>
      </c>
      <c r="AE119" s="182">
        <f>SUM(AE122,AE121,AE120,0)</f>
        <v>5.2</v>
      </c>
      <c r="AF119" s="182">
        <f>SUM(AF122,AF121,AF120,0)</f>
        <v>0</v>
      </c>
      <c r="AG119" s="182">
        <f>SUM(AG122,AG121,AG120,0)</f>
        <v>1.7333333333333334</v>
      </c>
      <c r="AH119" s="137">
        <f>SUM(AC119:AG119)</f>
        <v>11.767176296296299</v>
      </c>
      <c r="AI119" s="137">
        <f>SUM(AI122,AI121,AI120,0)</f>
        <v>8.6666666666666679</v>
      </c>
      <c r="AJ119" s="182">
        <f>SUM(AJ122,AJ121,AJ120,0)</f>
        <v>88.399999999999991</v>
      </c>
      <c r="AK119" s="137">
        <f>AJ119*10/60</f>
        <v>14.733333333333331</v>
      </c>
      <c r="AL119" s="182">
        <f>AH119+AI119+AK119</f>
        <v>35.167176296296297</v>
      </c>
      <c r="AM119" s="210">
        <f>B119/AL119</f>
        <v>63.762442031382463</v>
      </c>
      <c r="AN119" s="182">
        <f>AL119*46</f>
        <v>1617.6901096296297</v>
      </c>
      <c r="AO119" s="182">
        <f>AN119/B119</f>
        <v>0.72142782701703634</v>
      </c>
      <c r="AP119" s="182">
        <f>AR119/B119</f>
        <v>0.85139429414484769</v>
      </c>
      <c r="AQ119" s="95"/>
      <c r="AR119" s="182">
        <f>SUM(AR122,AR121,AR120,0)</f>
        <v>1909.1197725600005</v>
      </c>
      <c r="AT119" s="82"/>
      <c r="AU119" s="82"/>
      <c r="AV119" s="82"/>
      <c r="AW119" s="82"/>
      <c r="AX119" s="93"/>
      <c r="AY119" s="82"/>
      <c r="AZ119" s="82"/>
      <c r="BA119" s="234"/>
      <c r="BB119" s="164"/>
      <c r="BC119" s="228"/>
      <c r="BD119" s="85"/>
      <c r="BE119" s="85"/>
      <c r="BF119" s="85"/>
      <c r="BG119" s="85"/>
      <c r="BH119" s="85"/>
      <c r="BI119" s="85"/>
      <c r="BJ119" s="88"/>
    </row>
    <row r="120" spans="1:70" s="77" customFormat="1">
      <c r="A120" s="148">
        <f xml:space="preserve"> 30.7*J120/10^3</f>
        <v>146.5925</v>
      </c>
      <c r="B120" s="148">
        <f>A120*L120</f>
        <v>1905.7025000000001</v>
      </c>
      <c r="C120" s="173" t="s">
        <v>147</v>
      </c>
      <c r="D120" s="149" t="s">
        <v>100</v>
      </c>
      <c r="E120" s="149"/>
      <c r="F120" s="150" t="s">
        <v>150</v>
      </c>
      <c r="G120" s="174" t="s">
        <v>111</v>
      </c>
      <c r="H120" s="151">
        <v>240</v>
      </c>
      <c r="I120" s="150" t="s">
        <v>102</v>
      </c>
      <c r="J120" s="151">
        <v>4775</v>
      </c>
      <c r="K120" s="151">
        <v>1</v>
      </c>
      <c r="L120" s="151">
        <f>K$120*L$119</f>
        <v>13</v>
      </c>
      <c r="M120" s="164">
        <f xml:space="preserve"> 0.9*J120*L120/10^3</f>
        <v>55.8675</v>
      </c>
      <c r="N120" s="150"/>
      <c r="O120" s="150"/>
      <c r="P120" s="150" t="s">
        <v>104</v>
      </c>
      <c r="Q120" s="169">
        <v>16</v>
      </c>
      <c r="R120" s="150"/>
      <c r="S120" s="150"/>
      <c r="T120" s="150"/>
      <c r="U120" s="150"/>
      <c r="V120" s="150"/>
      <c r="W120" s="150"/>
      <c r="Y120" s="150"/>
      <c r="Z120" s="150"/>
      <c r="AA120" s="150"/>
      <c r="AB120" s="150" t="s">
        <v>104</v>
      </c>
      <c r="AC120" s="148"/>
      <c r="AD120" s="111"/>
      <c r="AE120" s="170">
        <f t="shared" ref="AE120" si="186">(H120/20/60)*2*L120</f>
        <v>5.2</v>
      </c>
      <c r="AF120" s="171"/>
      <c r="AG120" s="165">
        <f>Q120*L120*0.5/60</f>
        <v>1.7333333333333334</v>
      </c>
      <c r="AH120" s="111"/>
      <c r="AI120" s="165">
        <f>AL120*L120/60</f>
        <v>4.333333333333333</v>
      </c>
      <c r="AJ120" s="98"/>
      <c r="AK120" s="77">
        <f>(VLOOKUP(F120,[1]Koostamine!$A$12:$E$1603,3,FALSE))</f>
        <v>2</v>
      </c>
      <c r="AL120" s="97">
        <f>VLOOKUP(F120,[1]Koostamine!$A$12:$K$1603,IF(J120&lt;1499,6,IF(J120&lt;2999,7,IF(J120&lt;5999,8,IF(J120&lt;9999,9,IF(J120&lt;12999,10,IF(J120&gt;13000,11)))))),FALSE)</f>
        <v>20</v>
      </c>
      <c r="AP120" s="180">
        <f>(VLOOKUP(F120,Terasehind!$A$2:$B$157,2,FALSE))</f>
        <v>0.78</v>
      </c>
      <c r="AQ120" s="77">
        <f>(VLOOKUP(F120,Terasehind!$A$2:$C$157,3,FALSE))</f>
        <v>1.1000000000000001</v>
      </c>
      <c r="AR120" s="172">
        <f>AP120*AQ120*B120</f>
        <v>1635.0927450000004</v>
      </c>
      <c r="AT120" s="90"/>
      <c r="AU120" s="90"/>
      <c r="AV120" s="90"/>
      <c r="AW120" s="90"/>
      <c r="AX120" s="90"/>
      <c r="AY120" s="90"/>
      <c r="AZ120" s="90"/>
      <c r="BA120" s="236"/>
      <c r="BB120" s="164"/>
      <c r="BC120" s="229"/>
      <c r="BD120" s="164"/>
      <c r="BE120" s="164"/>
      <c r="BF120" s="85"/>
      <c r="BG120" s="85"/>
      <c r="BH120" s="85"/>
      <c r="BI120" s="85"/>
      <c r="BJ120" s="85"/>
      <c r="BK120" s="88"/>
      <c r="BL120" s="85"/>
      <c r="BM120" s="88"/>
      <c r="BN120" s="111"/>
      <c r="BP120" s="139"/>
    </row>
    <row r="121" spans="1:70" s="77" customFormat="1" ht="16.5" customHeight="1">
      <c r="A121" s="148">
        <f t="shared" ref="A121:A122" si="187">H121*J121*(RIGHT(F121,2))*7.85/(10^6)</f>
        <v>1.80864</v>
      </c>
      <c r="B121" s="148">
        <f t="shared" ref="B121:B122" si="188">A121*L121</f>
        <v>47.024639999999998</v>
      </c>
      <c r="C121" s="150" t="s">
        <v>146</v>
      </c>
      <c r="D121" s="149" t="s">
        <v>114</v>
      </c>
      <c r="E121" s="149"/>
      <c r="F121" s="150" t="s">
        <v>123</v>
      </c>
      <c r="G121" s="149" t="s">
        <v>111</v>
      </c>
      <c r="H121" s="151">
        <v>80</v>
      </c>
      <c r="I121" s="150" t="s">
        <v>102</v>
      </c>
      <c r="J121" s="151">
        <v>240</v>
      </c>
      <c r="K121" s="151">
        <v>2</v>
      </c>
      <c r="L121" s="151">
        <f>K$121*L$119</f>
        <v>26</v>
      </c>
      <c r="M121" s="148">
        <f t="shared" ref="M121" si="189">2*H121*J121/10^6*L121</f>
        <v>0.99839999999999995</v>
      </c>
      <c r="N121" s="150" t="s">
        <v>112</v>
      </c>
      <c r="P121" s="150"/>
      <c r="Q121" s="175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 t="s">
        <v>104</v>
      </c>
      <c r="AC121" s="170">
        <f>((((H121+J121)*2/1000)*L121*(5/(VLOOKUP(F121,[1]Plasmalõikus!$A$7:$E$46,2,FALSE)/1000*60)))+(Q121*L121*(5*(VLOOKUP(F121,[1]Plasmalõikus!$A$7:$E$48,3,FALSE))/60/60)))</f>
        <v>0.69333333333333336</v>
      </c>
      <c r="AD121" s="170">
        <f t="shared" ref="AD121:AD122" si="190">0.012*((H121+J121)*2/1000*L121)</f>
        <v>0.19968000000000002</v>
      </c>
      <c r="AE121" s="170"/>
      <c r="AF121" s="171"/>
      <c r="AG121" s="171">
        <f t="shared" ref="AG121:AG122" si="191">IF(VALUE(MID(F121,SEARCH(" ",F121)+1,LEN(F121)))&lt;35,0,IF(VALUE(MID(F121,SEARCH(" ",F121)+1,LEN(F121)))&lt;40,3,IF(VALUE(MID(F121,SEARCH(" ",F121)+1,LEN(F121)))&lt;50,4,IF(VALUE(MID(F121,SEARCH(" ",F121)+1,LEN(F121)))&lt;60,5,IF(VALUE(MID(F121,SEARCH(" ",F121)+1,LEN(F121)))&lt;70,6,IF(VALUE(MID(F121,SEARCH(" ",F121)+1,LEN(F121)))&lt;80,7,IF(VALUE(MID(F121,SEARCH(" ",F121)+1,LEN(F121)))&lt;90,8,IF(VALUE(MID(F121,SEARCH(" ",F121)+1,LEN(F121)))&lt;100,9,10))))))))/60*Q121*L121</f>
        <v>0</v>
      </c>
      <c r="AH121" s="170"/>
      <c r="AI121" s="165">
        <f t="shared" ref="AI121:AI122" si="192">AL121*L121/60</f>
        <v>0.8666666666666667</v>
      </c>
      <c r="AJ121" s="98">
        <f>(H121*4*AK121+J121*2*AK121)*1*L121/1000</f>
        <v>20.8</v>
      </c>
      <c r="AK121" s="77">
        <v>1</v>
      </c>
      <c r="AL121" s="201" t="str">
        <f>IF(AND(Q121&gt;0,A121&lt;3),"10",IF(AND(Q121&gt;0,A121&lt;10),"15",IF(AND(Q121&gt;0,A121&lt;20),"20",IF(AND(Q121&gt;0,A121&lt;500),"30",IF(AND(Q121=0,A121&lt;3),"2",IF(AND(Q121=0,A121&lt;10),"5",IF(AND(Q121=0,A121&lt;20),"10",IF(AND(Q121=0,A121&lt;500),"20","2"))))))))</f>
        <v>2</v>
      </c>
      <c r="AN121" s="94"/>
      <c r="AP121" s="180">
        <f>(VLOOKUP(F121,Terasehind!$A$2:$B$157,2,FALSE))</f>
        <v>0.74</v>
      </c>
      <c r="AQ121" s="77">
        <v>1.1000000000000001</v>
      </c>
      <c r="AR121" s="172">
        <f t="shared" ref="AR121:AR122" si="193">AP121*AQ121*B121</f>
        <v>38.278056960000001</v>
      </c>
      <c r="AT121" s="90"/>
      <c r="AU121" s="90"/>
      <c r="AV121" s="90"/>
      <c r="AW121" s="90"/>
      <c r="AX121" s="90"/>
      <c r="AY121" s="90"/>
      <c r="AZ121" s="90"/>
      <c r="BA121" s="230"/>
      <c r="BB121" s="139"/>
      <c r="BC121" s="230"/>
      <c r="BD121" s="85"/>
      <c r="BE121" s="85"/>
      <c r="BF121" s="85"/>
      <c r="BG121" s="85"/>
      <c r="BH121" s="85"/>
      <c r="BK121" s="85"/>
      <c r="BL121" s="85"/>
      <c r="BN121" s="139"/>
      <c r="BO121" s="111"/>
      <c r="BQ121" s="111"/>
      <c r="BR121" s="111"/>
    </row>
    <row r="122" spans="1:70" s="77" customFormat="1" ht="16.5" customHeight="1">
      <c r="A122" s="148">
        <f t="shared" si="187"/>
        <v>2.7847875000000002</v>
      </c>
      <c r="B122" s="148">
        <f t="shared" si="188"/>
        <v>289.61790000000002</v>
      </c>
      <c r="C122" s="150" t="s">
        <v>141</v>
      </c>
      <c r="D122" s="149" t="s">
        <v>122</v>
      </c>
      <c r="E122" s="149"/>
      <c r="F122" s="150" t="s">
        <v>117</v>
      </c>
      <c r="G122" s="149" t="s">
        <v>111</v>
      </c>
      <c r="H122" s="151">
        <v>215</v>
      </c>
      <c r="I122" s="150" t="s">
        <v>102</v>
      </c>
      <c r="J122" s="151">
        <v>110</v>
      </c>
      <c r="K122" s="151">
        <v>8</v>
      </c>
      <c r="L122" s="151">
        <f>K$122*L$119</f>
        <v>104</v>
      </c>
      <c r="M122" s="148">
        <f>2*H122*J122/10^6*L122</f>
        <v>4.9192</v>
      </c>
      <c r="N122" s="150" t="s">
        <v>112</v>
      </c>
      <c r="P122" s="150"/>
      <c r="Q122" s="175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 t="s">
        <v>104</v>
      </c>
      <c r="AC122" s="170">
        <f>((((H122+J122)*2/1000)*L122*(5/(VLOOKUP(F122,[1]Plasmalõikus!$A$7:$E$46,2,FALSE)/1000*60)))+(Q122*L122*(5*(VLOOKUP(F122,[1]Plasmalõikus!$A$7:$E$48,3,FALSE))/60/60)))</f>
        <v>3.1296296296296298</v>
      </c>
      <c r="AD122" s="170">
        <f t="shared" si="190"/>
        <v>0.81120000000000014</v>
      </c>
      <c r="AE122" s="170"/>
      <c r="AF122" s="171"/>
      <c r="AG122" s="171">
        <f t="shared" si="191"/>
        <v>0</v>
      </c>
      <c r="AH122" s="170"/>
      <c r="AI122" s="165">
        <f t="shared" si="192"/>
        <v>3.4666666666666668</v>
      </c>
      <c r="AJ122" s="98">
        <f>(H122*2*AK122+J122*2*AK122)*1*L122/1000</f>
        <v>67.599999999999994</v>
      </c>
      <c r="AK122" s="77">
        <v>1</v>
      </c>
      <c r="AL122" s="201" t="str">
        <f>IF(AND(Q122&gt;0,A122&lt;3),"10",IF(AND(Q122&gt;0,A122&lt;10),"15",IF(AND(Q122&gt;0,A122&lt;20),"20",IF(AND(Q122&gt;0,A122&lt;500),"30",IF(AND(Q122=0,A122&lt;3),"2",IF(AND(Q122=0,A122&lt;10),"5",IF(AND(Q122=0,A122&lt;20),"10",IF(AND(Q122=0,A122&lt;500),"20","2"))))))))</f>
        <v>2</v>
      </c>
      <c r="AN122" s="94"/>
      <c r="AP122" s="180">
        <f>(VLOOKUP(F122,Terasehind!$A$2:$B$157,2,FALSE))</f>
        <v>0.74</v>
      </c>
      <c r="AQ122" s="77">
        <v>1.1000000000000001</v>
      </c>
      <c r="AR122" s="172">
        <f t="shared" si="193"/>
        <v>235.74897060000004</v>
      </c>
      <c r="AT122" s="90"/>
      <c r="AU122" s="90"/>
      <c r="AV122" s="90"/>
      <c r="AW122" s="90"/>
      <c r="AX122" s="90"/>
      <c r="AY122" s="90"/>
      <c r="AZ122" s="90"/>
      <c r="BA122" s="230"/>
      <c r="BB122" s="139"/>
      <c r="BC122" s="230"/>
      <c r="BD122" s="85"/>
      <c r="BE122" s="85"/>
      <c r="BF122" s="85"/>
      <c r="BG122" s="85"/>
      <c r="BH122" s="85"/>
      <c r="BK122" s="85"/>
      <c r="BL122" s="85"/>
      <c r="BN122" s="139"/>
      <c r="BO122" s="111"/>
      <c r="BQ122" s="111"/>
      <c r="BR122" s="111"/>
    </row>
    <row r="123" spans="1:70" s="77" customFormat="1">
      <c r="A123" s="148"/>
      <c r="B123" s="148"/>
      <c r="C123" s="148"/>
      <c r="D123" s="149"/>
      <c r="E123" s="149"/>
      <c r="F123" s="149"/>
      <c r="G123" s="149"/>
      <c r="H123" s="151"/>
      <c r="I123" s="150"/>
      <c r="J123" s="151"/>
      <c r="K123" s="151"/>
      <c r="L123" s="151"/>
      <c r="M123" s="144"/>
      <c r="N123" s="150"/>
      <c r="O123" s="152"/>
      <c r="P123" s="150"/>
      <c r="Q123" s="150"/>
      <c r="R123" s="152"/>
      <c r="S123" s="152"/>
      <c r="T123" s="152"/>
      <c r="U123" s="152"/>
      <c r="V123" s="152"/>
      <c r="W123" s="150"/>
      <c r="X123" s="150"/>
      <c r="Y123" s="150"/>
      <c r="Z123" s="152"/>
      <c r="AA123" s="150"/>
      <c r="AB123" s="150"/>
      <c r="AD123" s="111"/>
      <c r="AE123" s="111"/>
      <c r="AF123" s="146"/>
      <c r="AG123" s="146"/>
      <c r="AH123" s="111"/>
      <c r="AI123" s="111"/>
      <c r="AJ123" s="88"/>
      <c r="AK123" s="111"/>
      <c r="AL123" s="111"/>
      <c r="AM123" s="111"/>
      <c r="AN123" s="111"/>
      <c r="AO123" s="111"/>
      <c r="AP123" s="90"/>
      <c r="AQ123" s="90"/>
      <c r="AT123" s="88"/>
      <c r="AU123" s="105"/>
      <c r="AV123" s="105"/>
      <c r="AW123" s="105"/>
      <c r="AX123" s="153"/>
      <c r="AY123" s="105"/>
      <c r="AZ123" s="105"/>
      <c r="BA123" s="234"/>
      <c r="BB123" s="164"/>
      <c r="BC123" s="229"/>
      <c r="BD123" s="164"/>
      <c r="BE123" s="164"/>
      <c r="BF123" s="164"/>
      <c r="BG123" s="85"/>
      <c r="BH123" s="85"/>
      <c r="BI123" s="85"/>
      <c r="BJ123" s="111"/>
    </row>
    <row r="124" spans="1:70" s="77" customFormat="1">
      <c r="A124" s="182">
        <f>B124/L124</f>
        <v>993.99644999999998</v>
      </c>
      <c r="B124" s="182">
        <f>SUM(B127,B126,B125,0)</f>
        <v>7951.9715999999999</v>
      </c>
      <c r="C124" s="188"/>
      <c r="D124" s="183" t="s">
        <v>100</v>
      </c>
      <c r="E124" s="183"/>
      <c r="F124" s="184" t="str">
        <f>"Katusetalad "&amp;F125</f>
        <v>Katusetalad IPE600</v>
      </c>
      <c r="G124" s="166"/>
      <c r="H124" s="185">
        <v>160</v>
      </c>
      <c r="I124" s="186" t="s">
        <v>102</v>
      </c>
      <c r="J124" s="185">
        <f>J125</f>
        <v>7530</v>
      </c>
      <c r="K124" s="168">
        <v>8</v>
      </c>
      <c r="L124" s="185">
        <f>$L$95*$K$124</f>
        <v>8</v>
      </c>
      <c r="M124" s="182">
        <f>SUM(M127,M126,M125,0)</f>
        <v>127.0368</v>
      </c>
      <c r="N124" s="186"/>
      <c r="O124" s="186"/>
      <c r="P124" s="186"/>
      <c r="Q124" s="186"/>
      <c r="R124" s="152"/>
      <c r="S124" s="152"/>
      <c r="T124" s="152"/>
      <c r="U124" s="152"/>
      <c r="V124" s="152"/>
      <c r="W124" s="150"/>
      <c r="X124" s="150" t="s">
        <v>104</v>
      </c>
      <c r="Y124" s="186">
        <v>4</v>
      </c>
      <c r="Z124" s="186"/>
      <c r="AA124" s="186"/>
      <c r="AB124" s="186"/>
      <c r="AC124" s="182">
        <f>SUM(AC127,AC126,AC125,0)</f>
        <v>5.9238095238095241</v>
      </c>
      <c r="AD124" s="182">
        <f>SUM(AD127,AD126,AD125,0)</f>
        <v>0.49919999999999998</v>
      </c>
      <c r="AE124" s="182">
        <f>SUM(AE127,AE126,AE125,0)</f>
        <v>8</v>
      </c>
      <c r="AF124" s="182">
        <f>SUM(AF127,AF126,AF125,0)</f>
        <v>0</v>
      </c>
      <c r="AG124" s="182">
        <f>SUM(AG127,AG126,AG125,0)</f>
        <v>0</v>
      </c>
      <c r="AH124" s="137">
        <f>SUM(AC124:AG124)</f>
        <v>14.423009523809524</v>
      </c>
      <c r="AI124" s="137">
        <f>SUM(AI127,AI126,AI125,0)</f>
        <v>17.333333333333332</v>
      </c>
      <c r="AJ124" s="182">
        <f>SUM(AJ127,AJ126,AJ125,0)</f>
        <v>236.16</v>
      </c>
      <c r="AK124" s="137">
        <f>AJ124*10/60</f>
        <v>39.36</v>
      </c>
      <c r="AL124" s="182">
        <f>AH124+AI124+AK124</f>
        <v>71.116342857142854</v>
      </c>
      <c r="AM124" s="210">
        <f>B124/AL124</f>
        <v>111.81637413461725</v>
      </c>
      <c r="AN124" s="182">
        <f>AL124*46</f>
        <v>3271.3517714285713</v>
      </c>
      <c r="AO124" s="182">
        <f>AN124/B124</f>
        <v>0.41138876444535732</v>
      </c>
      <c r="AP124" s="182">
        <f>AR124/B124</f>
        <v>1.1291551094573831</v>
      </c>
      <c r="AQ124" s="95"/>
      <c r="AR124" s="182">
        <f>SUM(AR127,AR126,AR125,0)</f>
        <v>8979.0093624000019</v>
      </c>
      <c r="AT124" s="82"/>
      <c r="AU124" s="82"/>
      <c r="AV124" s="82"/>
      <c r="AW124" s="82"/>
      <c r="AX124" s="93"/>
      <c r="AY124" s="82"/>
      <c r="AZ124" s="82"/>
      <c r="BA124" s="234"/>
      <c r="BB124" s="164"/>
      <c r="BC124" s="228"/>
      <c r="BD124" s="85"/>
      <c r="BE124" s="85"/>
      <c r="BF124" s="85"/>
      <c r="BG124" s="85"/>
      <c r="BH124" s="85"/>
      <c r="BI124" s="85"/>
      <c r="BJ124" s="88"/>
    </row>
    <row r="125" spans="1:70" s="77" customFormat="1">
      <c r="A125" s="148">
        <f xml:space="preserve"> 122*J125/10^3</f>
        <v>918.66</v>
      </c>
      <c r="B125" s="148">
        <f>A125*L125</f>
        <v>7349.28</v>
      </c>
      <c r="C125" s="173" t="s">
        <v>147</v>
      </c>
      <c r="D125" s="149" t="s">
        <v>100</v>
      </c>
      <c r="E125" s="149"/>
      <c r="F125" s="150" t="s">
        <v>151</v>
      </c>
      <c r="G125" s="174" t="s">
        <v>111</v>
      </c>
      <c r="H125" s="151">
        <v>600</v>
      </c>
      <c r="I125" s="150" t="s">
        <v>102</v>
      </c>
      <c r="J125" s="151">
        <v>7530</v>
      </c>
      <c r="K125" s="151">
        <v>1</v>
      </c>
      <c r="L125" s="151">
        <f>K$125*L$124</f>
        <v>8</v>
      </c>
      <c r="M125" s="164">
        <f xml:space="preserve"> 2*J125*L125/10^3</f>
        <v>120.48</v>
      </c>
      <c r="N125" s="150"/>
      <c r="O125" s="150"/>
      <c r="P125" s="150" t="s">
        <v>104</v>
      </c>
      <c r="Q125" s="169"/>
      <c r="R125" s="150"/>
      <c r="S125" s="150"/>
      <c r="T125" s="150"/>
      <c r="U125" s="150"/>
      <c r="V125" s="150"/>
      <c r="W125" s="150"/>
      <c r="Y125" s="150"/>
      <c r="Z125" s="150"/>
      <c r="AA125" s="150"/>
      <c r="AB125" s="150" t="s">
        <v>104</v>
      </c>
      <c r="AC125" s="148"/>
      <c r="AD125" s="111"/>
      <c r="AE125" s="170">
        <f t="shared" ref="AE125" si="194">(H125/20/60)*2*L125</f>
        <v>8</v>
      </c>
      <c r="AF125" s="171"/>
      <c r="AG125" s="165">
        <f>Q125*L125*0.5/60</f>
        <v>0</v>
      </c>
      <c r="AH125" s="111"/>
      <c r="AI125" s="165">
        <f>AL125*L125/60</f>
        <v>5.333333333333333</v>
      </c>
      <c r="AJ125" s="98">
        <f>(H125*4*AK125)*2*L125/1000</f>
        <v>230.4</v>
      </c>
      <c r="AK125" s="77">
        <f>(VLOOKUP(F125,[1]Koostamine!$A$12:$E$1603,3,FALSE))</f>
        <v>6</v>
      </c>
      <c r="AL125" s="97">
        <f>VLOOKUP(F125,[1]Koostamine!$A$12:$K$1603,IF(J125&lt;1499,6,IF(J125&lt;2999,7,IF(J125&lt;5999,8,IF(J125&lt;9999,9,IF(J125&lt;12999,10,IF(J125&gt;13000,11)))))),FALSE)</f>
        <v>40</v>
      </c>
      <c r="AP125" s="180">
        <f>(VLOOKUP(F125,Terasehind!$A$2:$B$157,2,FALSE))</f>
        <v>1.05</v>
      </c>
      <c r="AQ125" s="77">
        <f>(VLOOKUP(F125,Terasehind!$A$2:$C$157,3,FALSE))</f>
        <v>1.1000000000000001</v>
      </c>
      <c r="AR125" s="172">
        <f>AP125*AQ125*B125</f>
        <v>8488.4184000000023</v>
      </c>
      <c r="AT125" s="90"/>
      <c r="AU125" s="90"/>
      <c r="AV125" s="90"/>
      <c r="AW125" s="90"/>
      <c r="AX125" s="90"/>
      <c r="AY125" s="90"/>
      <c r="AZ125" s="90"/>
      <c r="BA125" s="236"/>
      <c r="BB125" s="164"/>
      <c r="BC125" s="229"/>
      <c r="BD125" s="164"/>
      <c r="BE125" s="164"/>
      <c r="BF125" s="85"/>
      <c r="BG125" s="85"/>
      <c r="BH125" s="85"/>
      <c r="BI125" s="85"/>
      <c r="BJ125" s="85"/>
      <c r="BK125" s="88"/>
      <c r="BL125" s="85"/>
      <c r="BM125" s="88"/>
      <c r="BN125" s="111"/>
      <c r="BP125" s="139"/>
    </row>
    <row r="126" spans="1:70" s="77" customFormat="1" ht="16.5" customHeight="1">
      <c r="A126" s="148">
        <f t="shared" ref="A126:A127" si="195">H126*J126*(RIGHT(F126,2))*7.85/(10^6)</f>
        <v>33.853124999999999</v>
      </c>
      <c r="B126" s="148">
        <f t="shared" ref="B126:B127" si="196">A126*L126</f>
        <v>541.65</v>
      </c>
      <c r="C126" s="150" t="s">
        <v>146</v>
      </c>
      <c r="D126" s="149" t="s">
        <v>109</v>
      </c>
      <c r="E126" s="149"/>
      <c r="F126" s="150" t="s">
        <v>131</v>
      </c>
      <c r="G126" s="149" t="s">
        <v>111</v>
      </c>
      <c r="H126" s="151">
        <v>250</v>
      </c>
      <c r="I126" s="150" t="s">
        <v>102</v>
      </c>
      <c r="J126" s="151">
        <v>690</v>
      </c>
      <c r="K126" s="151">
        <v>2</v>
      </c>
      <c r="L126" s="151">
        <f>K$126*L$124</f>
        <v>16</v>
      </c>
      <c r="M126" s="148">
        <f t="shared" ref="M126:M127" si="197">2*H126*J126/10^6*L126</f>
        <v>5.52</v>
      </c>
      <c r="N126" s="150" t="s">
        <v>112</v>
      </c>
      <c r="P126" s="150"/>
      <c r="Q126" s="175">
        <v>8</v>
      </c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 t="s">
        <v>104</v>
      </c>
      <c r="AC126" s="170">
        <f>((((H126+J126)*2/1000)*L126*(5/(VLOOKUP(F126,[1]Plasmalõikus!$A$7:$E$46,2,FALSE)/1000*60)))+(Q126*L126*(5*(VLOOKUP(F126,[1]Plasmalõikus!$A$7:$E$48,3,FALSE))/60/60)))</f>
        <v>4.9904761904761905</v>
      </c>
      <c r="AD126" s="170">
        <f t="shared" ref="AD126:AD127" si="198">0.012*((H126+J126)*2/1000*L126)</f>
        <v>0.36096</v>
      </c>
      <c r="AE126" s="170"/>
      <c r="AF126" s="171"/>
      <c r="AG126" s="171">
        <f t="shared" ref="AG126:AG127" si="199">IF(VALUE(MID(F126,SEARCH(" ",F126)+1,LEN(F126)))&lt;35,0,IF(VALUE(MID(F126,SEARCH(" ",F126)+1,LEN(F126)))&lt;40,3,IF(VALUE(MID(F126,SEARCH(" ",F126)+1,LEN(F126)))&lt;50,4,IF(VALUE(MID(F126,SEARCH(" ",F126)+1,LEN(F126)))&lt;60,5,IF(VALUE(MID(F126,SEARCH(" ",F126)+1,LEN(F126)))&lt;70,6,IF(VALUE(MID(F126,SEARCH(" ",F126)+1,LEN(F126)))&lt;80,7,IF(VALUE(MID(F126,SEARCH(" ",F126)+1,LEN(F126)))&lt;90,8,IF(VALUE(MID(F126,SEARCH(" ",F126)+1,LEN(F126)))&lt;100,9,10))))))))/60*Q126*L126</f>
        <v>0</v>
      </c>
      <c r="AH126" s="170"/>
      <c r="AI126" s="165">
        <f t="shared" ref="AI126:AI127" si="200">AL126*L126/60</f>
        <v>8</v>
      </c>
      <c r="AJ126" s="98"/>
      <c r="AK126" s="77">
        <v>1</v>
      </c>
      <c r="AL126" s="201" t="str">
        <f>IF(AND(Q126&gt;0,A126&lt;3),"10",IF(AND(Q126&gt;0,A126&lt;10),"15",IF(AND(Q126&gt;0,A126&lt;20),"20",IF(AND(Q126&gt;0,A126&lt;500),"30",IF(AND(Q126=0,A126&lt;3),"2",IF(AND(Q126=0,A126&lt;10),"5",IF(AND(Q126=0,A126&lt;20),"10",IF(AND(Q126=0,A126&lt;500),"20","2"))))))))</f>
        <v>30</v>
      </c>
      <c r="AN126" s="94"/>
      <c r="AP126" s="180">
        <f>(VLOOKUP(F126,Terasehind!$A$2:$B$157,2,FALSE))</f>
        <v>0.74</v>
      </c>
      <c r="AQ126" s="77">
        <v>1.1000000000000001</v>
      </c>
      <c r="AR126" s="172">
        <f t="shared" ref="AR126:AR127" si="201">AP126*AQ126*B126</f>
        <v>440.90309999999999</v>
      </c>
      <c r="AT126" s="90"/>
      <c r="AU126" s="90"/>
      <c r="AV126" s="90"/>
      <c r="AW126" s="90"/>
      <c r="AX126" s="90"/>
      <c r="AY126" s="90"/>
      <c r="AZ126" s="90"/>
      <c r="BA126" s="230"/>
      <c r="BB126" s="139"/>
      <c r="BC126" s="230"/>
      <c r="BD126" s="85"/>
      <c r="BE126" s="85"/>
      <c r="BF126" s="85"/>
      <c r="BG126" s="85"/>
      <c r="BH126" s="85"/>
      <c r="BK126" s="85"/>
      <c r="BL126" s="85"/>
      <c r="BN126" s="139"/>
      <c r="BO126" s="111"/>
      <c r="BQ126" s="111"/>
      <c r="BR126" s="111"/>
    </row>
    <row r="127" spans="1:70" s="77" customFormat="1" ht="16.5" customHeight="1">
      <c r="A127" s="148">
        <f t="shared" si="195"/>
        <v>3.8151000000000002</v>
      </c>
      <c r="B127" s="148">
        <f t="shared" si="196"/>
        <v>61.041600000000003</v>
      </c>
      <c r="C127" s="150"/>
      <c r="D127" s="149" t="s">
        <v>114</v>
      </c>
      <c r="E127" s="149"/>
      <c r="F127" s="150" t="s">
        <v>117</v>
      </c>
      <c r="G127" s="149" t="s">
        <v>111</v>
      </c>
      <c r="H127" s="151">
        <v>180</v>
      </c>
      <c r="I127" s="150" t="s">
        <v>102</v>
      </c>
      <c r="J127" s="151">
        <v>180</v>
      </c>
      <c r="K127" s="151">
        <v>2</v>
      </c>
      <c r="L127" s="151">
        <f>K$127*L$124</f>
        <v>16</v>
      </c>
      <c r="M127" s="148">
        <f t="shared" si="197"/>
        <v>1.0367999999999999</v>
      </c>
      <c r="N127" s="150" t="s">
        <v>112</v>
      </c>
      <c r="P127" s="150"/>
      <c r="Q127" s="175">
        <v>2</v>
      </c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 t="s">
        <v>104</v>
      </c>
      <c r="AC127" s="170">
        <f>((((H127+J127)*2/1000)*L127*(5/(VLOOKUP(F127,[1]Plasmalõikus!$A$7:$E$46,2,FALSE)/1000*60)))+(Q127*L127*(5*(VLOOKUP(F127,[1]Plasmalõikus!$A$7:$E$48,3,FALSE))/60/60)))</f>
        <v>0.93333333333333335</v>
      </c>
      <c r="AD127" s="170">
        <f t="shared" si="198"/>
        <v>0.13824</v>
      </c>
      <c r="AE127" s="170"/>
      <c r="AF127" s="171"/>
      <c r="AG127" s="171">
        <f t="shared" si="199"/>
        <v>0</v>
      </c>
      <c r="AH127" s="170"/>
      <c r="AI127" s="165">
        <f t="shared" si="200"/>
        <v>4</v>
      </c>
      <c r="AJ127" s="98">
        <f>(H127*2*AK127)*1*L127/1000</f>
        <v>5.76</v>
      </c>
      <c r="AK127" s="77">
        <v>1</v>
      </c>
      <c r="AL127" s="201" t="str">
        <f>IF(AND(Q127&gt;0,A127&lt;3),"10",IF(AND(Q127&gt;0,A127&lt;10),"15",IF(AND(Q127&gt;0,A127&lt;20),"20",IF(AND(Q127&gt;0,A127&lt;500),"30",IF(AND(Q127=0,A127&lt;3),"2",IF(AND(Q127=0,A127&lt;10),"5",IF(AND(Q127=0,A127&lt;20),"10",IF(AND(Q127=0,A127&lt;500),"20","2"))))))))</f>
        <v>15</v>
      </c>
      <c r="AN127" s="94"/>
      <c r="AP127" s="180">
        <f>(VLOOKUP(F127,Terasehind!$A$2:$B$157,2,FALSE))</f>
        <v>0.74</v>
      </c>
      <c r="AQ127" s="77">
        <v>1.1000000000000001</v>
      </c>
      <c r="AR127" s="172">
        <f t="shared" si="201"/>
        <v>49.687862400000007</v>
      </c>
      <c r="AT127" s="90"/>
      <c r="AU127" s="90"/>
      <c r="AV127" s="90"/>
      <c r="AW127" s="90"/>
      <c r="AX127" s="90"/>
      <c r="AY127" s="90"/>
      <c r="AZ127" s="90"/>
      <c r="BA127" s="230"/>
      <c r="BB127" s="139"/>
      <c r="BC127" s="230"/>
      <c r="BD127" s="85"/>
      <c r="BE127" s="85"/>
      <c r="BF127" s="85"/>
      <c r="BG127" s="85"/>
      <c r="BH127" s="85"/>
      <c r="BK127" s="85"/>
      <c r="BL127" s="85"/>
      <c r="BN127" s="139"/>
      <c r="BO127" s="111"/>
      <c r="BQ127" s="111"/>
      <c r="BR127" s="111"/>
    </row>
    <row r="128" spans="1:70" s="77" customFormat="1">
      <c r="A128" s="148"/>
      <c r="B128" s="148"/>
      <c r="C128" s="148"/>
      <c r="D128" s="149"/>
      <c r="E128" s="149"/>
      <c r="F128" s="149"/>
      <c r="G128" s="149"/>
      <c r="H128" s="151"/>
      <c r="I128" s="150"/>
      <c r="J128" s="151"/>
      <c r="K128" s="151"/>
      <c r="L128" s="151"/>
      <c r="M128" s="144"/>
      <c r="N128" s="150"/>
      <c r="O128" s="152"/>
      <c r="P128" s="150"/>
      <c r="Q128" s="150"/>
      <c r="R128" s="152"/>
      <c r="S128" s="152"/>
      <c r="T128" s="152"/>
      <c r="U128" s="152"/>
      <c r="V128" s="152"/>
      <c r="W128" s="150"/>
      <c r="X128" s="150"/>
      <c r="Y128" s="150"/>
      <c r="Z128" s="152"/>
      <c r="AA128" s="150"/>
      <c r="AB128" s="150"/>
      <c r="AD128" s="111"/>
      <c r="AE128" s="111"/>
      <c r="AF128" s="146"/>
      <c r="AG128" s="146"/>
      <c r="AH128" s="111"/>
      <c r="AI128" s="111"/>
      <c r="AJ128" s="88"/>
      <c r="AK128" s="111"/>
      <c r="AL128" s="111"/>
      <c r="AM128" s="111"/>
      <c r="AN128" s="111"/>
      <c r="AO128" s="111"/>
      <c r="AP128" s="90"/>
      <c r="AQ128" s="90"/>
      <c r="AT128" s="88"/>
      <c r="AU128" s="105"/>
      <c r="AV128" s="105"/>
      <c r="AW128" s="105"/>
      <c r="AX128" s="153"/>
      <c r="AY128" s="105"/>
      <c r="AZ128" s="105"/>
      <c r="BA128" s="234"/>
      <c r="BB128" s="164"/>
      <c r="BC128" s="229"/>
      <c r="BD128" s="164"/>
      <c r="BE128" s="164"/>
      <c r="BF128" s="164"/>
      <c r="BG128" s="85"/>
      <c r="BH128" s="85"/>
      <c r="BI128" s="85"/>
      <c r="BJ128" s="111"/>
    </row>
    <row r="129" spans="1:70" s="77" customFormat="1">
      <c r="A129" s="182">
        <f>B129/L129</f>
        <v>990.18135000000007</v>
      </c>
      <c r="B129" s="182">
        <f>SUM(B133,B132,B131,B130,0)</f>
        <v>7921.4508000000005</v>
      </c>
      <c r="C129" s="188"/>
      <c r="D129" s="183" t="s">
        <v>100</v>
      </c>
      <c r="E129" s="183"/>
      <c r="F129" s="184" t="str">
        <f>"Katusetalad "&amp;F130</f>
        <v>Katusetalad IPE600</v>
      </c>
      <c r="G129" s="166"/>
      <c r="H129" s="185">
        <v>160</v>
      </c>
      <c r="I129" s="186" t="s">
        <v>102</v>
      </c>
      <c r="J129" s="185">
        <v>7530</v>
      </c>
      <c r="K129" s="168">
        <v>8</v>
      </c>
      <c r="L129" s="185">
        <f>$L$95*$K$129</f>
        <v>8</v>
      </c>
      <c r="M129" s="182">
        <f>SUM(M133,M132,M131,M130,0)</f>
        <v>126.5184</v>
      </c>
      <c r="N129" s="186"/>
      <c r="O129" s="186"/>
      <c r="P129" s="186"/>
      <c r="Q129" s="186"/>
      <c r="R129" s="152"/>
      <c r="S129" s="152"/>
      <c r="T129" s="152"/>
      <c r="U129" s="152"/>
      <c r="V129" s="152"/>
      <c r="W129" s="150"/>
      <c r="X129" s="150" t="s">
        <v>104</v>
      </c>
      <c r="Y129" s="186">
        <v>4</v>
      </c>
      <c r="Z129" s="186"/>
      <c r="AA129" s="186"/>
      <c r="AB129" s="186"/>
      <c r="AC129" s="182">
        <f>SUM(AC133,AC132,AC131,AC130,0)</f>
        <v>5.4571428571428573</v>
      </c>
      <c r="AD129" s="182">
        <f>SUM(AD133,AD132,AD131,AD130,0)</f>
        <v>0.43008000000000002</v>
      </c>
      <c r="AE129" s="182">
        <f>SUM(AE133,AE132,AE131,AE130,0)</f>
        <v>16</v>
      </c>
      <c r="AF129" s="182">
        <f>SUM(AF133,AF132,AF131,AF130,0)</f>
        <v>0</v>
      </c>
      <c r="AG129" s="182">
        <f>SUM(AG133,AG132,AG131,AG130,0)</f>
        <v>0</v>
      </c>
      <c r="AH129" s="137">
        <f>SUM(AC129:AG129)</f>
        <v>21.887222857142859</v>
      </c>
      <c r="AI129" s="137">
        <f>SUM(AI133,AI132,AI131,AI130,0)</f>
        <v>18</v>
      </c>
      <c r="AJ129" s="182">
        <f>SUM(AJ133,AJ132,AJ131,AJ130,0)</f>
        <v>348.48</v>
      </c>
      <c r="AK129" s="137">
        <f>AJ129*10/60</f>
        <v>58.080000000000005</v>
      </c>
      <c r="AL129" s="182">
        <f>AH129+AI129+AK129</f>
        <v>97.967222857142872</v>
      </c>
      <c r="AM129" s="210">
        <f>B129/AL129</f>
        <v>80.858174489146919</v>
      </c>
      <c r="AN129" s="182">
        <f>AL129*46</f>
        <v>4506.4922514285718</v>
      </c>
      <c r="AO129" s="182">
        <f>AN129/B129</f>
        <v>0.56889733524931718</v>
      </c>
      <c r="AP129" s="182">
        <f>AR129/B129</f>
        <v>1.1303693802150485</v>
      </c>
      <c r="AQ129" s="95"/>
      <c r="AR129" s="182">
        <f>SUM(AR133,AR132,AR131,AR130,0)</f>
        <v>8954.165431200001</v>
      </c>
      <c r="AT129" s="82"/>
      <c r="AU129" s="82"/>
      <c r="AV129" s="82"/>
      <c r="AW129" s="82"/>
      <c r="AX129" s="93"/>
      <c r="AY129" s="82"/>
      <c r="AZ129" s="82"/>
      <c r="BA129" s="234"/>
      <c r="BB129" s="164"/>
      <c r="BC129" s="228"/>
      <c r="BD129" s="85"/>
      <c r="BE129" s="85"/>
      <c r="BF129" s="85"/>
      <c r="BG129" s="85"/>
      <c r="BH129" s="85"/>
      <c r="BI129" s="85"/>
      <c r="BJ129" s="88"/>
    </row>
    <row r="130" spans="1:70" s="77" customFormat="1">
      <c r="A130" s="254">
        <f xml:space="preserve"> 122*J130/10^3</f>
        <v>732</v>
      </c>
      <c r="B130" s="254">
        <f>A130*L130</f>
        <v>5856</v>
      </c>
      <c r="C130" s="255" t="s">
        <v>147</v>
      </c>
      <c r="D130" s="256" t="s">
        <v>100</v>
      </c>
      <c r="E130" s="256"/>
      <c r="F130" s="259" t="s">
        <v>151</v>
      </c>
      <c r="G130" s="257" t="s">
        <v>111</v>
      </c>
      <c r="H130" s="258">
        <v>600</v>
      </c>
      <c r="I130" s="259" t="s">
        <v>102</v>
      </c>
      <c r="J130" s="258">
        <v>6000</v>
      </c>
      <c r="K130" s="258">
        <v>1</v>
      </c>
      <c r="L130" s="258">
        <f>K$130*L$129</f>
        <v>8</v>
      </c>
      <c r="M130" s="260">
        <f xml:space="preserve"> 2*J130*L130/10^3</f>
        <v>96</v>
      </c>
      <c r="N130" s="259"/>
      <c r="O130" s="259"/>
      <c r="P130" s="259" t="s">
        <v>104</v>
      </c>
      <c r="Q130" s="169"/>
      <c r="R130" s="150"/>
      <c r="S130" s="150"/>
      <c r="T130" s="150"/>
      <c r="U130" s="150"/>
      <c r="V130" s="150"/>
      <c r="W130" s="150"/>
      <c r="Y130" s="150"/>
      <c r="Z130" s="150"/>
      <c r="AA130" s="150"/>
      <c r="AB130" s="150" t="s">
        <v>104</v>
      </c>
      <c r="AC130" s="148"/>
      <c r="AD130" s="111"/>
      <c r="AE130" s="170">
        <f t="shared" ref="AE130" si="202">(H130/20/60)*2*L130</f>
        <v>8</v>
      </c>
      <c r="AF130" s="171"/>
      <c r="AG130" s="165">
        <f>Q130*L130*0.5/60</f>
        <v>0</v>
      </c>
      <c r="AH130" s="111"/>
      <c r="AI130" s="165">
        <f>AL130*L130/60</f>
        <v>5.333333333333333</v>
      </c>
      <c r="AJ130" s="98">
        <f>(H130*4*AK130)*2*L130/1000</f>
        <v>230.4</v>
      </c>
      <c r="AK130" s="77">
        <f>(VLOOKUP(F130,[1]Koostamine!$A$12:$E$1603,3,FALSE))</f>
        <v>6</v>
      </c>
      <c r="AL130" s="97">
        <f>VLOOKUP(F130,[1]Koostamine!$A$12:$K$1603,IF(J130&lt;1499,6,IF(J130&lt;2999,7,IF(J130&lt;5999,8,IF(J130&lt;9999,9,IF(J130&lt;12999,10,IF(J130&gt;13000,11)))))),FALSE)</f>
        <v>40</v>
      </c>
      <c r="AP130" s="180">
        <f>(VLOOKUP(F130,Terasehind!$A$2:$B$157,2,FALSE))</f>
        <v>1.05</v>
      </c>
      <c r="AQ130" s="77">
        <f>(VLOOKUP(F130,Terasehind!$A$2:$C$157,3,FALSE))</f>
        <v>1.1000000000000001</v>
      </c>
      <c r="AR130" s="172">
        <f>AP130*AQ130*B130</f>
        <v>6763.6800000000012</v>
      </c>
      <c r="AT130" s="90"/>
      <c r="AU130" s="90"/>
      <c r="AV130" s="90"/>
      <c r="AW130" s="90"/>
      <c r="AX130" s="90"/>
      <c r="AY130" s="90"/>
      <c r="AZ130" s="90"/>
      <c r="BA130" s="236"/>
      <c r="BB130" s="164"/>
      <c r="BC130" s="229"/>
      <c r="BD130" s="164"/>
      <c r="BE130" s="164"/>
      <c r="BF130" s="85"/>
      <c r="BG130" s="85"/>
      <c r="BH130" s="85"/>
      <c r="BI130" s="85"/>
      <c r="BJ130" s="85"/>
      <c r="BK130" s="88"/>
      <c r="BL130" s="85"/>
      <c r="BM130" s="88"/>
      <c r="BN130" s="111"/>
      <c r="BP130" s="139"/>
    </row>
    <row r="131" spans="1:70" s="77" customFormat="1">
      <c r="A131" s="254">
        <f xml:space="preserve"> 122*J131/10^3</f>
        <v>186.66</v>
      </c>
      <c r="B131" s="254">
        <f>A131*L131</f>
        <v>1493.28</v>
      </c>
      <c r="C131" s="255" t="s">
        <v>147</v>
      </c>
      <c r="D131" s="256" t="s">
        <v>109</v>
      </c>
      <c r="E131" s="256"/>
      <c r="F131" s="259" t="s">
        <v>151</v>
      </c>
      <c r="G131" s="257" t="s">
        <v>111</v>
      </c>
      <c r="H131" s="258">
        <v>600</v>
      </c>
      <c r="I131" s="259" t="s">
        <v>102</v>
      </c>
      <c r="J131" s="258">
        <f>J129-J130</f>
        <v>1530</v>
      </c>
      <c r="K131" s="258">
        <v>1</v>
      </c>
      <c r="L131" s="258">
        <f>K$131*L$129</f>
        <v>8</v>
      </c>
      <c r="M131" s="260">
        <f xml:space="preserve"> 2*J131*L131/10^3</f>
        <v>24.48</v>
      </c>
      <c r="N131" s="259"/>
      <c r="O131" s="259"/>
      <c r="P131" s="259" t="s">
        <v>104</v>
      </c>
      <c r="Q131" s="169"/>
      <c r="R131" s="150"/>
      <c r="S131" s="150"/>
      <c r="T131" s="150"/>
      <c r="U131" s="150"/>
      <c r="V131" s="150"/>
      <c r="W131" s="150"/>
      <c r="Y131" s="150"/>
      <c r="Z131" s="150"/>
      <c r="AA131" s="150"/>
      <c r="AB131" s="150" t="s">
        <v>104</v>
      </c>
      <c r="AC131" s="148"/>
      <c r="AD131" s="111"/>
      <c r="AE131" s="170">
        <f t="shared" ref="AE131" si="203">(H131/20/60)*2*L131</f>
        <v>8</v>
      </c>
      <c r="AF131" s="171"/>
      <c r="AG131" s="165">
        <f>Q131*L131*0.5/60</f>
        <v>0</v>
      </c>
      <c r="AH131" s="111"/>
      <c r="AI131" s="165">
        <f>AL131*L131/60</f>
        <v>2.6666666666666665</v>
      </c>
      <c r="AJ131" s="98">
        <f>(H131*4*AK131)*1*L131/1000</f>
        <v>115.2</v>
      </c>
      <c r="AK131" s="77">
        <f>(VLOOKUP(F131,[1]Koostamine!$A$12:$E$1603,3,FALSE))</f>
        <v>6</v>
      </c>
      <c r="AL131" s="97">
        <f>VLOOKUP(F131,[1]Koostamine!$A$12:$K$1603,IF(J131&lt;1499,6,IF(J131&lt;2999,7,IF(J131&lt;5999,8,IF(J131&lt;9999,9,IF(J131&lt;12999,10,IF(J131&gt;13000,11)))))),FALSE)</f>
        <v>20</v>
      </c>
      <c r="AP131" s="180">
        <f>(VLOOKUP(F131,Terasehind!$A$2:$B$157,2,FALSE))</f>
        <v>1.05</v>
      </c>
      <c r="AQ131" s="77">
        <f>(VLOOKUP(F131,Terasehind!$A$2:$C$157,3,FALSE))</f>
        <v>1.1000000000000001</v>
      </c>
      <c r="AR131" s="172">
        <f>AP131*AQ131*B131</f>
        <v>1724.7384000000004</v>
      </c>
      <c r="AT131" s="90"/>
      <c r="AU131" s="90"/>
      <c r="AV131" s="90"/>
      <c r="AW131" s="90"/>
      <c r="AX131" s="90"/>
      <c r="AY131" s="90"/>
      <c r="AZ131" s="90"/>
      <c r="BA131" s="236"/>
      <c r="BB131" s="164"/>
      <c r="BC131" s="229"/>
      <c r="BD131" s="164"/>
      <c r="BE131" s="164"/>
      <c r="BF131" s="85"/>
      <c r="BG131" s="85"/>
      <c r="BH131" s="85"/>
      <c r="BI131" s="85"/>
      <c r="BJ131" s="85"/>
      <c r="BK131" s="88"/>
      <c r="BL131" s="85"/>
      <c r="BM131" s="88"/>
      <c r="BN131" s="111"/>
      <c r="BP131" s="139"/>
    </row>
    <row r="132" spans="1:70" s="77" customFormat="1" ht="16.5" customHeight="1">
      <c r="A132" s="148">
        <f t="shared" ref="A132:A133" si="204">H132*J132*(RIGHT(F132,2))*7.85/(10^6)</f>
        <v>33.853124999999999</v>
      </c>
      <c r="B132" s="148">
        <f t="shared" ref="B132:B133" si="205">A132*L132</f>
        <v>541.65</v>
      </c>
      <c r="C132" s="150" t="s">
        <v>146</v>
      </c>
      <c r="D132" s="149" t="s">
        <v>114</v>
      </c>
      <c r="E132" s="149"/>
      <c r="F132" s="150" t="s">
        <v>131</v>
      </c>
      <c r="G132" s="149" t="s">
        <v>111</v>
      </c>
      <c r="H132" s="151">
        <v>250</v>
      </c>
      <c r="I132" s="150" t="s">
        <v>102</v>
      </c>
      <c r="J132" s="151">
        <v>690</v>
      </c>
      <c r="K132" s="151">
        <v>2</v>
      </c>
      <c r="L132" s="151">
        <f>K$132*L$129</f>
        <v>16</v>
      </c>
      <c r="M132" s="148">
        <f t="shared" ref="M132:M133" si="206">2*H132*J132/10^6*L132</f>
        <v>5.52</v>
      </c>
      <c r="N132" s="150" t="s">
        <v>112</v>
      </c>
      <c r="P132" s="150"/>
      <c r="Q132" s="175">
        <v>8</v>
      </c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 t="s">
        <v>104</v>
      </c>
      <c r="AC132" s="170">
        <f>((((H132+J132)*2/1000)*L132*(5/(VLOOKUP(F132,[1]Plasmalõikus!$A$7:$E$46,2,FALSE)/1000*60)))+(Q132*L132*(5*(VLOOKUP(F132,[1]Plasmalõikus!$A$7:$E$48,3,FALSE))/60/60)))</f>
        <v>4.9904761904761905</v>
      </c>
      <c r="AD132" s="170">
        <f t="shared" ref="AD132:AD133" si="207">0.012*((H132+J132)*2/1000*L132)</f>
        <v>0.36096</v>
      </c>
      <c r="AE132" s="170"/>
      <c r="AF132" s="171"/>
      <c r="AG132" s="171">
        <f t="shared" ref="AG132:AG133" si="208">IF(VALUE(MID(F132,SEARCH(" ",F132)+1,LEN(F132)))&lt;35,0,IF(VALUE(MID(F132,SEARCH(" ",F132)+1,LEN(F132)))&lt;40,3,IF(VALUE(MID(F132,SEARCH(" ",F132)+1,LEN(F132)))&lt;50,4,IF(VALUE(MID(F132,SEARCH(" ",F132)+1,LEN(F132)))&lt;60,5,IF(VALUE(MID(F132,SEARCH(" ",F132)+1,LEN(F132)))&lt;70,6,IF(VALUE(MID(F132,SEARCH(" ",F132)+1,LEN(F132)))&lt;80,7,IF(VALUE(MID(F132,SEARCH(" ",F132)+1,LEN(F132)))&lt;90,8,IF(VALUE(MID(F132,SEARCH(" ",F132)+1,LEN(F132)))&lt;100,9,10))))))))/60*Q132*L132</f>
        <v>0</v>
      </c>
      <c r="AH132" s="170"/>
      <c r="AI132" s="165">
        <f t="shared" ref="AI132:AI133" si="209">AL132*L132/60</f>
        <v>8</v>
      </c>
      <c r="AJ132" s="98"/>
      <c r="AK132" s="77">
        <v>1</v>
      </c>
      <c r="AL132" s="201" t="str">
        <f>IF(AND(Q132&gt;0,A132&lt;3),"10",IF(AND(Q132&gt;0,A132&lt;10),"15",IF(AND(Q132&gt;0,A132&lt;20),"20",IF(AND(Q132&gt;0,A132&lt;500),"30",IF(AND(Q132=0,A132&lt;3),"2",IF(AND(Q132=0,A132&lt;10),"5",IF(AND(Q132=0,A132&lt;20),"10",IF(AND(Q132=0,A132&lt;500),"20","2"))))))))</f>
        <v>30</v>
      </c>
      <c r="AN132" s="94"/>
      <c r="AP132" s="180">
        <f>(VLOOKUP(F132,Terasehind!$A$2:$B$157,2,FALSE))</f>
        <v>0.74</v>
      </c>
      <c r="AQ132" s="77">
        <v>1.1000000000000001</v>
      </c>
      <c r="AR132" s="172">
        <f t="shared" ref="AR132:AR133" si="210">AP132*AQ132*B132</f>
        <v>440.90309999999999</v>
      </c>
      <c r="AT132" s="90"/>
      <c r="AU132" s="90"/>
      <c r="AV132" s="90"/>
      <c r="AW132" s="90"/>
      <c r="AX132" s="90"/>
      <c r="AY132" s="90"/>
      <c r="AZ132" s="90"/>
      <c r="BA132" s="230"/>
      <c r="BB132" s="139"/>
      <c r="BC132" s="230"/>
      <c r="BD132" s="85"/>
      <c r="BE132" s="85"/>
      <c r="BF132" s="85"/>
      <c r="BG132" s="85"/>
      <c r="BH132" s="85"/>
      <c r="BK132" s="85"/>
      <c r="BL132" s="85"/>
      <c r="BN132" s="139"/>
      <c r="BO132" s="111"/>
      <c r="BQ132" s="111"/>
      <c r="BR132" s="111"/>
    </row>
    <row r="133" spans="1:70" s="77" customFormat="1" ht="16.5" customHeight="1">
      <c r="A133" s="148">
        <f t="shared" si="204"/>
        <v>3.8151000000000002</v>
      </c>
      <c r="B133" s="148">
        <f t="shared" si="205"/>
        <v>30.520800000000001</v>
      </c>
      <c r="C133" s="150"/>
      <c r="D133" s="149" t="s">
        <v>119</v>
      </c>
      <c r="E133" s="149"/>
      <c r="F133" s="150" t="s">
        <v>117</v>
      </c>
      <c r="G133" s="149" t="s">
        <v>111</v>
      </c>
      <c r="H133" s="151">
        <v>180</v>
      </c>
      <c r="I133" s="150" t="s">
        <v>102</v>
      </c>
      <c r="J133" s="151">
        <v>180</v>
      </c>
      <c r="K133" s="151">
        <v>1</v>
      </c>
      <c r="L133" s="151">
        <f>K$133*L$129</f>
        <v>8</v>
      </c>
      <c r="M133" s="148">
        <f t="shared" si="206"/>
        <v>0.51839999999999997</v>
      </c>
      <c r="N133" s="150" t="s">
        <v>112</v>
      </c>
      <c r="P133" s="150"/>
      <c r="Q133" s="175">
        <v>2</v>
      </c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 t="s">
        <v>104</v>
      </c>
      <c r="AC133" s="170">
        <f>((((H133+J133)*2/1000)*L133*(5/(VLOOKUP(F133,[1]Plasmalõikus!$A$7:$E$46,2,FALSE)/1000*60)))+(Q133*L133*(5*(VLOOKUP(F133,[1]Plasmalõikus!$A$7:$E$48,3,FALSE))/60/60)))</f>
        <v>0.46666666666666667</v>
      </c>
      <c r="AD133" s="170">
        <f t="shared" si="207"/>
        <v>6.9120000000000001E-2</v>
      </c>
      <c r="AE133" s="170"/>
      <c r="AF133" s="171"/>
      <c r="AG133" s="171">
        <f t="shared" si="208"/>
        <v>0</v>
      </c>
      <c r="AH133" s="170"/>
      <c r="AI133" s="165">
        <f t="shared" si="209"/>
        <v>2</v>
      </c>
      <c r="AJ133" s="98">
        <f>(H133*2*AK133)*1*L133/1000</f>
        <v>2.88</v>
      </c>
      <c r="AK133" s="77">
        <v>1</v>
      </c>
      <c r="AL133" s="201" t="str">
        <f>IF(AND(Q133&gt;0,A133&lt;3),"10",IF(AND(Q133&gt;0,A133&lt;10),"15",IF(AND(Q133&gt;0,A133&lt;20),"20",IF(AND(Q133&gt;0,A133&lt;500),"30",IF(AND(Q133=0,A133&lt;3),"2",IF(AND(Q133=0,A133&lt;10),"5",IF(AND(Q133=0,A133&lt;20),"10",IF(AND(Q133=0,A133&lt;500),"20","2"))))))))</f>
        <v>15</v>
      </c>
      <c r="AN133" s="94"/>
      <c r="AP133" s="180">
        <f>(VLOOKUP(F133,Terasehind!$A$2:$B$157,2,FALSE))</f>
        <v>0.74</v>
      </c>
      <c r="AQ133" s="77">
        <v>1.1000000000000001</v>
      </c>
      <c r="AR133" s="172">
        <f t="shared" si="210"/>
        <v>24.843931200000004</v>
      </c>
      <c r="AT133" s="90"/>
      <c r="AU133" s="90"/>
      <c r="AV133" s="90"/>
      <c r="AW133" s="90"/>
      <c r="AX133" s="90"/>
      <c r="AY133" s="90"/>
      <c r="AZ133" s="90"/>
      <c r="BA133" s="230"/>
      <c r="BB133" s="139"/>
      <c r="BC133" s="230"/>
      <c r="BD133" s="85"/>
      <c r="BE133" s="85"/>
      <c r="BF133" s="85"/>
      <c r="BG133" s="85"/>
      <c r="BH133" s="85"/>
      <c r="BK133" s="85"/>
      <c r="BL133" s="85"/>
      <c r="BN133" s="139"/>
      <c r="BO133" s="111"/>
      <c r="BQ133" s="111"/>
      <c r="BR133" s="111"/>
    </row>
    <row r="134" spans="1:70" customFormat="1"/>
    <row r="135" spans="1:70" s="77" customFormat="1" ht="15" thickBot="1">
      <c r="A135" s="148"/>
      <c r="B135" s="148"/>
      <c r="C135" s="148"/>
      <c r="D135" s="149"/>
      <c r="E135" s="149"/>
      <c r="F135" s="149"/>
      <c r="G135" s="150"/>
      <c r="H135" s="149"/>
      <c r="I135" s="149"/>
      <c r="J135" s="149"/>
      <c r="K135" s="149"/>
      <c r="L135" s="149"/>
      <c r="M135" s="274"/>
      <c r="N135" s="149"/>
      <c r="O135" s="149"/>
      <c r="P135" s="149"/>
      <c r="Q135" s="149"/>
      <c r="R135" s="149"/>
      <c r="S135" s="149"/>
      <c r="T135" s="149"/>
      <c r="U135" s="149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49"/>
      <c r="AF135" s="149"/>
      <c r="AG135" s="149"/>
      <c r="AH135" s="149"/>
      <c r="AI135" s="149"/>
      <c r="AJ135" s="149"/>
      <c r="AK135" s="149"/>
      <c r="AL135" s="149"/>
      <c r="AM135" s="149"/>
      <c r="AN135" s="149"/>
      <c r="AO135" s="149"/>
      <c r="AP135" s="149"/>
      <c r="AQ135" s="149"/>
      <c r="AR135" s="149"/>
      <c r="AS135" s="149"/>
      <c r="AT135" s="149"/>
      <c r="AU135" s="149"/>
      <c r="AV135" s="149"/>
      <c r="AW135" s="149"/>
      <c r="AX135" s="149"/>
      <c r="AY135" s="149"/>
      <c r="AZ135" s="149"/>
      <c r="BA135" s="234"/>
      <c r="BB135" s="164"/>
      <c r="BC135" s="229"/>
      <c r="BD135" s="164"/>
      <c r="BE135" s="164"/>
      <c r="BF135" s="164"/>
      <c r="BG135" s="85"/>
      <c r="BH135" s="85"/>
      <c r="BI135" s="85"/>
      <c r="BJ135" s="111"/>
    </row>
    <row r="136" spans="1:70" s="77" customFormat="1" ht="15" thickBot="1">
      <c r="A136" s="189">
        <f>B136/L136</f>
        <v>12020.594720000001</v>
      </c>
      <c r="B136" s="189">
        <f>B$157+B$152+B$145+B$139</f>
        <v>12020.594720000001</v>
      </c>
      <c r="C136" s="190"/>
      <c r="D136" s="190" t="s">
        <v>121</v>
      </c>
      <c r="E136" s="190"/>
      <c r="F136" s="191" t="s">
        <v>152</v>
      </c>
      <c r="G136" s="213" t="s">
        <v>16</v>
      </c>
      <c r="H136" s="192">
        <v>150</v>
      </c>
      <c r="I136" s="193" t="s">
        <v>102</v>
      </c>
      <c r="J136" s="192">
        <v>7500</v>
      </c>
      <c r="K136" s="192">
        <v>1</v>
      </c>
      <c r="L136" s="192">
        <f>$L$11*$K$136</f>
        <v>1</v>
      </c>
      <c r="M136" s="189">
        <f>M$157+M$152+M$145+M$139</f>
        <v>248.06413000000003</v>
      </c>
      <c r="N136" s="193"/>
      <c r="O136" s="193"/>
      <c r="P136" s="193"/>
      <c r="Q136" s="193"/>
      <c r="R136" s="193"/>
      <c r="S136" s="193"/>
      <c r="T136" s="193"/>
      <c r="U136" s="193"/>
      <c r="V136" s="193"/>
      <c r="W136" s="193"/>
      <c r="X136" s="193"/>
      <c r="Y136" s="193">
        <v>3</v>
      </c>
      <c r="Z136" s="193"/>
      <c r="AA136" s="193"/>
      <c r="AB136" s="193"/>
      <c r="AC136" s="189">
        <f>AC$157+AC$152+AC$145+AC$139</f>
        <v>21.972037037037037</v>
      </c>
      <c r="AD136" s="189">
        <f>AD$157+AD$152+AD$145+AD$139</f>
        <v>3.7831200000000003</v>
      </c>
      <c r="AE136" s="189">
        <f>AE$157+AE$152+AE$145+AE$139</f>
        <v>20.633333333333333</v>
      </c>
      <c r="AF136" s="189">
        <f>AF$157+AF$152+AF$145+AF$139</f>
        <v>2.88</v>
      </c>
      <c r="AG136" s="189">
        <f>AG$157+AG$152+AG$145+AG$139</f>
        <v>0</v>
      </c>
      <c r="AH136" s="137">
        <f>SUM(AC136:AG136)</f>
        <v>49.268490370370372</v>
      </c>
      <c r="AI136" s="137">
        <f>AI$157+AI$152+AI$145+AI$139</f>
        <v>84.166666666666671</v>
      </c>
      <c r="AJ136" s="189">
        <f>AJ$157+AJ$152+AJ$145+AJ$139</f>
        <v>216.4</v>
      </c>
      <c r="AK136" s="137">
        <f>AJ136*10/60</f>
        <v>36.06666666666667</v>
      </c>
      <c r="AL136" s="167">
        <f>AH136+AI136+AK136</f>
        <v>169.50182370370371</v>
      </c>
      <c r="AM136" s="209">
        <f>B136/AL136</f>
        <v>70.917199929438539</v>
      </c>
      <c r="AN136" s="194">
        <f>AL136*46</f>
        <v>7797.0838903703707</v>
      </c>
      <c r="AO136" s="195">
        <f>AN136/B136</f>
        <v>0.6486437711270221</v>
      </c>
      <c r="AP136" s="195">
        <f>AR136/B136</f>
        <v>0.80377382526710794</v>
      </c>
      <c r="AQ136" s="95"/>
      <c r="AR136" s="195">
        <f>AR$157+AR$152+AR$145+AR$139</f>
        <v>9661.8394000800017</v>
      </c>
      <c r="AS136" s="204">
        <f>$AU$2</f>
        <v>1.05</v>
      </c>
      <c r="AT136" s="161">
        <f>HLOOKUP(G136,$AB$1:$AK$2,2,FALSE)</f>
        <v>13</v>
      </c>
      <c r="AU136" s="202">
        <f>IF(AND(G136="HDG"),B136*AT136,M136*AT136)</f>
        <v>3224.8336900000004</v>
      </c>
      <c r="AV136" s="96">
        <f>B136*pakendus</f>
        <v>360.61784160000002</v>
      </c>
      <c r="AW136" s="195">
        <f>(AN136+AU136+AV136)</f>
        <v>11382.535421970371</v>
      </c>
      <c r="AX136" s="162">
        <f>$AV$2</f>
        <v>1.05</v>
      </c>
      <c r="AY136" s="138">
        <f>(AR136*AS136)+(AW136*AX136)</f>
        <v>22096.593563152892</v>
      </c>
      <c r="AZ136" s="163">
        <f>ROUND(AY136/B136,3)</f>
        <v>1.8380000000000001</v>
      </c>
      <c r="BA136" s="234"/>
      <c r="BB136" s="164"/>
      <c r="BC136" s="160">
        <f>B136/18000</f>
        <v>0.66781081777777784</v>
      </c>
      <c r="BD136" s="212"/>
      <c r="BE136" s="212"/>
      <c r="BF136" s="85"/>
      <c r="BG136" s="85"/>
      <c r="BH136" s="85"/>
      <c r="BI136" s="85"/>
      <c r="BJ136" s="111"/>
    </row>
    <row r="137" spans="1:70" s="77" customFormat="1">
      <c r="A137" s="148"/>
      <c r="B137" s="196">
        <f>SUMIF(F139:F155,"leht*",B139:B155)</f>
        <v>875.26872000000003</v>
      </c>
      <c r="C137" s="247">
        <f>(B137)/B136</f>
        <v>7.2814094509293964E-2</v>
      </c>
      <c r="D137" s="197" t="s">
        <v>98</v>
      </c>
      <c r="E137" s="149"/>
      <c r="F137" s="150"/>
      <c r="G137" s="149"/>
      <c r="H137" s="151"/>
      <c r="I137" s="150"/>
      <c r="J137" s="151"/>
      <c r="K137" s="151"/>
      <c r="L137" s="151"/>
      <c r="M137" s="144"/>
      <c r="N137" s="150"/>
      <c r="O137" s="150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  <c r="AA137" s="150"/>
      <c r="AB137" s="150"/>
      <c r="AD137" s="111"/>
      <c r="AE137" s="111"/>
      <c r="AF137" s="146"/>
      <c r="AG137" s="146"/>
      <c r="AH137" s="111"/>
      <c r="AI137" s="111"/>
      <c r="AJ137" s="111"/>
      <c r="AK137" s="111"/>
      <c r="AL137" s="111"/>
      <c r="AM137" s="88"/>
      <c r="AN137" s="94"/>
      <c r="AO137" s="89"/>
      <c r="AP137" s="90"/>
      <c r="AQ137" s="90"/>
      <c r="AT137" s="88"/>
      <c r="AU137" s="105"/>
      <c r="AV137" s="105"/>
      <c r="AW137" s="105"/>
      <c r="AX137" s="153"/>
      <c r="AY137" s="105"/>
      <c r="AZ137" s="105"/>
      <c r="BA137" s="234"/>
      <c r="BB137" s="164"/>
      <c r="BC137" s="229"/>
      <c r="BD137" s="164"/>
      <c r="BE137" s="164"/>
      <c r="BF137" s="164"/>
      <c r="BG137" s="85"/>
      <c r="BH137" s="85"/>
      <c r="BI137" s="85"/>
      <c r="BJ137" s="85"/>
      <c r="BK137" s="85"/>
      <c r="BL137" s="111"/>
      <c r="BM137" s="139"/>
      <c r="BO137" s="85"/>
      <c r="BP137" s="88"/>
    </row>
    <row r="138" spans="1:70" s="77" customFormat="1">
      <c r="A138" s="148"/>
      <c r="B138" s="148"/>
      <c r="C138" s="150"/>
      <c r="D138" s="149"/>
      <c r="E138" s="149"/>
      <c r="F138" s="261"/>
      <c r="G138" s="149"/>
      <c r="H138" s="151"/>
      <c r="I138" s="150"/>
      <c r="J138" s="151"/>
      <c r="K138" s="151"/>
      <c r="L138" s="151"/>
      <c r="M138" s="148"/>
      <c r="N138" s="150"/>
      <c r="P138" s="150"/>
      <c r="Q138" s="211"/>
      <c r="R138" s="150"/>
      <c r="S138" s="150"/>
      <c r="T138" s="150"/>
      <c r="U138" s="150"/>
      <c r="V138" s="150"/>
      <c r="W138" s="150"/>
      <c r="X138" s="150"/>
      <c r="Y138" s="150"/>
      <c r="Z138" s="150"/>
      <c r="AA138" s="150"/>
      <c r="AB138" s="150"/>
      <c r="AC138" s="170"/>
      <c r="AD138" s="170"/>
      <c r="AE138" s="170"/>
      <c r="AF138" s="170"/>
      <c r="AG138" s="170"/>
      <c r="AH138" s="170"/>
      <c r="AI138" s="165"/>
      <c r="AJ138" s="88"/>
      <c r="AN138" s="94"/>
      <c r="AP138" s="180"/>
      <c r="AR138" s="172"/>
      <c r="AT138" s="90"/>
      <c r="AU138" s="90"/>
      <c r="AV138" s="90"/>
      <c r="AW138" s="90"/>
      <c r="AX138" s="90"/>
      <c r="AY138" s="90"/>
      <c r="AZ138" s="90"/>
      <c r="BA138" s="236"/>
      <c r="BB138" s="164"/>
      <c r="BC138" s="229"/>
      <c r="BD138" s="164"/>
      <c r="BE138" s="164"/>
      <c r="BF138" s="85"/>
      <c r="BG138" s="85"/>
      <c r="BH138" s="85"/>
      <c r="BI138" s="85"/>
      <c r="BJ138" s="85"/>
      <c r="BK138" s="139"/>
      <c r="BL138" s="139"/>
      <c r="BM138" s="139"/>
      <c r="BN138" s="111"/>
      <c r="BP138" s="111"/>
      <c r="BQ138" s="111"/>
    </row>
    <row r="139" spans="1:70" s="77" customFormat="1">
      <c r="A139" s="182">
        <f>B139/L139</f>
        <v>264.46968000000004</v>
      </c>
      <c r="B139" s="182">
        <f>SUM(B143,B142,B141,B140,0)</f>
        <v>2115.7574400000003</v>
      </c>
      <c r="C139" s="187"/>
      <c r="D139" s="183" t="s">
        <v>100</v>
      </c>
      <c r="E139" s="183"/>
      <c r="F139" s="184" t="str">
        <f>"Side "&amp;F140</f>
        <v>Side CFRHS120x120x8</v>
      </c>
      <c r="G139" s="166"/>
      <c r="H139" s="185">
        <v>160</v>
      </c>
      <c r="I139" s="186" t="s">
        <v>102</v>
      </c>
      <c r="J139" s="185">
        <f>J140</f>
        <v>9160</v>
      </c>
      <c r="K139" s="168">
        <v>8</v>
      </c>
      <c r="L139" s="185">
        <f>$L$136*$K$139</f>
        <v>8</v>
      </c>
      <c r="M139" s="182">
        <f>SUM(M143,M142,M141,M140,0)</f>
        <v>36.497280000000003</v>
      </c>
      <c r="N139" s="186"/>
      <c r="O139" s="186"/>
      <c r="P139" s="186"/>
      <c r="Q139" s="186"/>
      <c r="R139" s="152"/>
      <c r="S139" s="152"/>
      <c r="T139" s="152"/>
      <c r="U139" s="152"/>
      <c r="V139" s="152"/>
      <c r="W139" s="150"/>
      <c r="X139" s="150" t="s">
        <v>104</v>
      </c>
      <c r="Y139" s="186">
        <v>4</v>
      </c>
      <c r="Z139" s="186"/>
      <c r="AA139" s="186"/>
      <c r="AB139" s="186"/>
      <c r="AC139" s="182">
        <f>SUM(AC143,AC142,AC141,AC140,0)</f>
        <v>3.7496296296296299</v>
      </c>
      <c r="AD139" s="182">
        <f>SUM(AD143,AD142,AD141,AD140,0)</f>
        <v>0.57408000000000003</v>
      </c>
      <c r="AE139" s="182">
        <f>SUM(AE143,AE142,AE141,AE140,0)</f>
        <v>1.6</v>
      </c>
      <c r="AF139" s="182">
        <f>SUM(AF143,AF142,AF141,AF140,0)</f>
        <v>2.56</v>
      </c>
      <c r="AG139" s="182">
        <f>SUM(AG143,AG142,AG141,AG140,0)</f>
        <v>0</v>
      </c>
      <c r="AH139" s="137">
        <f>SUM(AC139:AG139)</f>
        <v>8.4837096296296313</v>
      </c>
      <c r="AI139" s="137">
        <f>SUM(AI143,AI142,AI141,AI140,0)</f>
        <v>17.066666666666666</v>
      </c>
      <c r="AJ139" s="182">
        <f>SUM(AJ143,AJ142,AJ141,AJ140,0)</f>
        <v>30.72</v>
      </c>
      <c r="AK139" s="137">
        <f>AJ139*10/60</f>
        <v>5.12</v>
      </c>
      <c r="AL139" s="182">
        <f>AH139+AI139+AK139</f>
        <v>30.6703762962963</v>
      </c>
      <c r="AM139" s="182">
        <f>B139/AL139</f>
        <v>68.98374573433243</v>
      </c>
      <c r="AN139" s="182">
        <f>AL139*46</f>
        <v>1410.8373096296298</v>
      </c>
      <c r="AO139" s="182">
        <f>AN139/B139</f>
        <v>0.66682374971567138</v>
      </c>
      <c r="AP139" s="182">
        <f>AR139/B139</f>
        <v>0.85423242286223511</v>
      </c>
      <c r="AQ139" s="95"/>
      <c r="AR139" s="182">
        <f>SUM(AR143,AR142,AR141,AR140,0)</f>
        <v>1807.3486041600004</v>
      </c>
      <c r="AT139" s="82"/>
      <c r="AU139" s="82"/>
      <c r="AV139" s="82"/>
      <c r="AW139" s="82"/>
      <c r="AX139" s="93"/>
      <c r="AY139" s="82"/>
      <c r="AZ139" s="82"/>
      <c r="BA139" s="234"/>
      <c r="BB139" s="164"/>
      <c r="BC139" s="229"/>
      <c r="BD139" s="85"/>
      <c r="BE139" s="85"/>
      <c r="BF139" s="85"/>
      <c r="BG139" s="85"/>
      <c r="BH139" s="85"/>
      <c r="BI139" s="85"/>
      <c r="BJ139" s="88"/>
    </row>
    <row r="140" spans="1:70" s="77" customFormat="1">
      <c r="A140" s="148">
        <f xml:space="preserve"> 26.4*J140/10^3</f>
        <v>241.82400000000001</v>
      </c>
      <c r="B140" s="148">
        <f>A140*L140</f>
        <v>1934.5920000000001</v>
      </c>
      <c r="C140" s="173" t="s">
        <v>153</v>
      </c>
      <c r="D140" s="149" t="s">
        <v>100</v>
      </c>
      <c r="E140" s="149"/>
      <c r="F140" s="150" t="s">
        <v>154</v>
      </c>
      <c r="G140" s="174" t="s">
        <v>107</v>
      </c>
      <c r="H140" s="151">
        <v>120</v>
      </c>
      <c r="I140" s="150" t="s">
        <v>102</v>
      </c>
      <c r="J140" s="151">
        <v>9160</v>
      </c>
      <c r="K140" s="77">
        <v>1</v>
      </c>
      <c r="L140" s="151">
        <f>K$140*L$139</f>
        <v>8</v>
      </c>
      <c r="M140" s="164">
        <f xml:space="preserve"> 0.446*J140*L140/10^3</f>
        <v>32.682880000000004</v>
      </c>
      <c r="N140" s="150"/>
      <c r="O140" s="150"/>
      <c r="P140" s="150" t="s">
        <v>104</v>
      </c>
      <c r="Q140" s="169"/>
      <c r="R140" s="150"/>
      <c r="S140" s="150"/>
      <c r="T140" s="150"/>
      <c r="U140" s="150"/>
      <c r="V140" s="150"/>
      <c r="W140" s="150"/>
      <c r="Y140" s="150"/>
      <c r="Z140" s="150"/>
      <c r="AA140" s="150"/>
      <c r="AB140" s="150" t="s">
        <v>104</v>
      </c>
      <c r="AC140" s="148"/>
      <c r="AD140" s="111"/>
      <c r="AE140" s="170">
        <f>(H140/20/60)*2*L140</f>
        <v>1.6</v>
      </c>
      <c r="AF140" s="171">
        <f>(H140*4)*2*20/60/1000*L140</f>
        <v>2.56</v>
      </c>
      <c r="AG140" s="165">
        <f>Q140*L140*0.5/60</f>
        <v>0</v>
      </c>
      <c r="AH140" s="111"/>
      <c r="AI140" s="165">
        <f>AL140*L140/60</f>
        <v>4</v>
      </c>
      <c r="AJ140" s="98">
        <f>(H140*4*AK140)*2*L140/1000</f>
        <v>23.04</v>
      </c>
      <c r="AK140" s="77">
        <f>(VLOOKUP(F140,[1]Koostamine!$A$12:$E$1603,3,FALSE))</f>
        <v>3</v>
      </c>
      <c r="AL140" s="97">
        <f>VLOOKUP(F140,[1]Koostamine!$A$12:$K$1603,IF(J140&lt;1499,6,IF(J140&lt;2999,7,IF(J140&lt;5999,8,IF(J140&lt;9999,9,IF(J140&lt;12999,10,IF(J140&gt;13000,11)))))),FALSE)</f>
        <v>30</v>
      </c>
      <c r="AP140" s="180">
        <f>(VLOOKUP(F140,Terasehind!$A$2:$B$157,2,FALSE))</f>
        <v>0.78</v>
      </c>
      <c r="AQ140" s="77">
        <f>(VLOOKUP(F140,Terasehind!$A$2:$C$157,3,FALSE))</f>
        <v>1.1000000000000001</v>
      </c>
      <c r="AR140" s="172">
        <f>AP140*AQ140*B140</f>
        <v>1659.8799360000003</v>
      </c>
      <c r="AT140" s="90"/>
      <c r="AU140" s="90"/>
      <c r="AV140" s="90"/>
      <c r="AW140" s="90"/>
      <c r="AX140" s="90"/>
      <c r="AY140" s="90"/>
      <c r="AZ140" s="90"/>
      <c r="BA140" s="236"/>
      <c r="BB140" s="164"/>
      <c r="BC140" s="229"/>
      <c r="BD140" s="164"/>
      <c r="BE140" s="164"/>
      <c r="BF140" s="85"/>
      <c r="BG140" s="85"/>
      <c r="BH140" s="85"/>
      <c r="BI140" s="85"/>
      <c r="BJ140" s="85"/>
      <c r="BK140" s="88"/>
      <c r="BL140" s="85"/>
      <c r="BM140" s="88"/>
      <c r="BN140" s="111"/>
      <c r="BP140" s="139"/>
    </row>
    <row r="141" spans="1:70" s="77" customFormat="1">
      <c r="A141" s="148">
        <f t="shared" ref="A141:A142" si="211">H141*J141*(RIGHT(F141,2))*7.85/(10^6)</f>
        <v>0.28260000000000002</v>
      </c>
      <c r="B141" s="148">
        <f t="shared" ref="B141:B142" si="212">A141*L141</f>
        <v>9.0432000000000006</v>
      </c>
      <c r="C141" s="150" t="s">
        <v>108</v>
      </c>
      <c r="D141" s="149" t="s">
        <v>109</v>
      </c>
      <c r="E141" s="149"/>
      <c r="F141" s="150" t="s">
        <v>138</v>
      </c>
      <c r="G141" s="149" t="s">
        <v>111</v>
      </c>
      <c r="H141" s="151">
        <v>60</v>
      </c>
      <c r="I141" s="150" t="s">
        <v>102</v>
      </c>
      <c r="J141" s="151">
        <v>120</v>
      </c>
      <c r="K141" s="151">
        <v>4</v>
      </c>
      <c r="L141" s="151">
        <f>K$141*L$139</f>
        <v>32</v>
      </c>
      <c r="M141" s="148">
        <f t="shared" ref="M141:M142" si="213">2*H141*J141/10^6*L141</f>
        <v>0.46079999999999999</v>
      </c>
      <c r="N141" s="150" t="s">
        <v>112</v>
      </c>
      <c r="P141" s="150"/>
      <c r="Q141" s="169"/>
      <c r="R141" s="150"/>
      <c r="S141" s="150"/>
      <c r="T141" s="150"/>
      <c r="U141" s="150"/>
      <c r="V141" s="150"/>
      <c r="W141" s="150"/>
      <c r="X141" s="150"/>
      <c r="Y141" s="150"/>
      <c r="Z141" s="150"/>
      <c r="AA141" s="150"/>
      <c r="AB141" s="150" t="s">
        <v>104</v>
      </c>
      <c r="AC141" s="170">
        <f>((((H141+J141)*2/1000)*L141*(5/(VLOOKUP(F141,[1]Plasmalõikus!$A$7:$E$46,2,FALSE)/1000*60)))+(Q141*L141*(5*(VLOOKUP(F141,[1]Plasmalõikus!$A$7:$E$48,3,FALSE))/60/60)))</f>
        <v>0.26666666666666666</v>
      </c>
      <c r="AD141" s="170">
        <f t="shared" ref="AD141:AD142" si="214">0.012*((H141+J141)*2/1000*L141)</f>
        <v>0.13824</v>
      </c>
      <c r="AE141" s="170"/>
      <c r="AF141" s="171"/>
      <c r="AG141" s="171">
        <f t="shared" ref="AG141:AG142" si="215">IF(VALUE(MID(F141,SEARCH(" ",F141)+1,LEN(F141)))&lt;35,0,IF(VALUE(MID(F141,SEARCH(" ",F141)+1,LEN(F141)))&lt;40,3,IF(VALUE(MID(F141,SEARCH(" ",F141)+1,LEN(F141)))&lt;50,4,IF(VALUE(MID(F141,SEARCH(" ",F141)+1,LEN(F141)))&lt;60,5,IF(VALUE(MID(F141,SEARCH(" ",F141)+1,LEN(F141)))&lt;70,6,IF(VALUE(MID(F141,SEARCH(" ",F141)+1,LEN(F141)))&lt;80,7,IF(VALUE(MID(F141,SEARCH(" ",F141)+1,LEN(F141)))&lt;90,8,IF(VALUE(MID(F141,SEARCH(" ",F141)+1,LEN(F141)))&lt;100,9,10))))))))/60*Q141*L141</f>
        <v>0</v>
      </c>
      <c r="AH141" s="170"/>
      <c r="AI141" s="165">
        <f t="shared" ref="AI141:AI142" si="216">AL141*L141/60</f>
        <v>1.0666666666666667</v>
      </c>
      <c r="AJ141" s="98"/>
      <c r="AK141" s="77">
        <v>1</v>
      </c>
      <c r="AL141" s="201" t="str">
        <f t="shared" ref="AL141" si="217">IF(A141&gt;40,"30",IF(A141&gt;10,"10",IF(A141&gt;20,"20","2")))</f>
        <v>2</v>
      </c>
      <c r="AN141" s="94"/>
      <c r="AP141" s="180">
        <f>(VLOOKUP(F141,Terasehind!$A$2:$B$157,2,FALSE))</f>
        <v>0.74</v>
      </c>
      <c r="AQ141" s="77">
        <v>1.1000000000000001</v>
      </c>
      <c r="AR141" s="172">
        <f t="shared" ref="AR141:AR142" si="218">AP141*AQ141*B141</f>
        <v>7.361164800000001</v>
      </c>
      <c r="AT141" s="90"/>
      <c r="AU141" s="90"/>
      <c r="AV141" s="90"/>
      <c r="AW141" s="90"/>
      <c r="AX141" s="90"/>
      <c r="AY141" s="90"/>
      <c r="AZ141" s="90"/>
      <c r="BA141" s="236"/>
      <c r="BB141" s="164"/>
      <c r="BC141" s="229"/>
      <c r="BD141" s="164"/>
      <c r="BE141" s="164"/>
      <c r="BF141" s="164"/>
      <c r="BG141" s="85"/>
      <c r="BH141" s="85"/>
      <c r="BI141" s="85"/>
      <c r="BJ141" s="85"/>
      <c r="BK141" s="85"/>
      <c r="BL141" s="139"/>
      <c r="BM141" s="139"/>
      <c r="BN141" s="139"/>
      <c r="BO141" s="111"/>
      <c r="BQ141" s="111"/>
      <c r="BR141" s="111"/>
    </row>
    <row r="142" spans="1:70" s="77" customFormat="1" ht="16.5" customHeight="1">
      <c r="A142" s="148">
        <f t="shared" si="211"/>
        <v>4.4273999999999996</v>
      </c>
      <c r="B142" s="148">
        <f t="shared" si="212"/>
        <v>70.838399999999993</v>
      </c>
      <c r="C142" s="150"/>
      <c r="D142" s="149" t="s">
        <v>114</v>
      </c>
      <c r="E142" s="149"/>
      <c r="F142" s="150" t="s">
        <v>117</v>
      </c>
      <c r="G142" s="149" t="s">
        <v>111</v>
      </c>
      <c r="H142" s="151">
        <v>160</v>
      </c>
      <c r="I142" s="150" t="s">
        <v>102</v>
      </c>
      <c r="J142" s="151">
        <v>235</v>
      </c>
      <c r="K142" s="151">
        <v>2</v>
      </c>
      <c r="L142" s="151">
        <f>K$142*L$139</f>
        <v>16</v>
      </c>
      <c r="M142" s="148">
        <f t="shared" si="213"/>
        <v>1.2032</v>
      </c>
      <c r="N142" s="150" t="s">
        <v>112</v>
      </c>
      <c r="P142" s="150"/>
      <c r="Q142" s="175">
        <v>2</v>
      </c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 t="s">
        <v>104</v>
      </c>
      <c r="AC142" s="170">
        <f>((((H142+J142)*2/1000)*L142*(5/(VLOOKUP(F142,[1]Plasmalõikus!$A$7:$E$46,2,FALSE)/1000*60)))+(Q142*L142*(5*(VLOOKUP(F142,[1]Plasmalõikus!$A$7:$E$48,3,FALSE))/60/60)))</f>
        <v>0.98518518518518516</v>
      </c>
      <c r="AD142" s="170">
        <f t="shared" si="214"/>
        <v>0.15168000000000001</v>
      </c>
      <c r="AE142" s="170"/>
      <c r="AF142" s="171"/>
      <c r="AG142" s="171">
        <f t="shared" si="215"/>
        <v>0</v>
      </c>
      <c r="AH142" s="170"/>
      <c r="AI142" s="165">
        <f t="shared" si="216"/>
        <v>4</v>
      </c>
      <c r="AJ142" s="98">
        <f>(H142*3*AK142)*1*L142/1000</f>
        <v>7.68</v>
      </c>
      <c r="AK142" s="77">
        <v>1</v>
      </c>
      <c r="AL142" s="201" t="str">
        <f>IF(AND(Q142&gt;0,A142&lt;3),"10",IF(AND(Q142&gt;0,A142&lt;10),"15",IF(AND(Q142&gt;0,A142&lt;20),"20",IF(AND(Q142&gt;0,A142&lt;500),"30",IF(AND(Q142=0,A142&lt;3),"2",IF(AND(Q142=0,A142&lt;10),"5",IF(AND(Q142=0,A142&lt;20),"10",IF(AND(Q142=0,A142&lt;500),"20","2"))))))))</f>
        <v>15</v>
      </c>
      <c r="AN142" s="94"/>
      <c r="AP142" s="180">
        <f>(VLOOKUP(F142,Terasehind!$A$2:$B$157,2,FALSE))</f>
        <v>0.74</v>
      </c>
      <c r="AQ142" s="77">
        <v>1.1000000000000001</v>
      </c>
      <c r="AR142" s="172">
        <f t="shared" si="218"/>
        <v>57.662457599999996</v>
      </c>
      <c r="AT142" s="90"/>
      <c r="AU142" s="90"/>
      <c r="AV142" s="90"/>
      <c r="AW142" s="90"/>
      <c r="AX142" s="90"/>
      <c r="AY142" s="90"/>
      <c r="AZ142" s="90"/>
      <c r="BA142" s="230"/>
      <c r="BB142" s="139"/>
      <c r="BC142" s="230"/>
      <c r="BD142" s="85"/>
      <c r="BE142" s="85"/>
      <c r="BF142" s="85"/>
      <c r="BG142" s="85"/>
      <c r="BH142" s="85"/>
      <c r="BK142" s="85"/>
      <c r="BL142" s="85"/>
      <c r="BN142" s="139"/>
      <c r="BO142" s="111"/>
      <c r="BQ142" s="111"/>
      <c r="BR142" s="111"/>
    </row>
    <row r="143" spans="1:70" s="77" customFormat="1" ht="16.5" customHeight="1">
      <c r="A143" s="148">
        <f t="shared" ref="A143" si="219">H143*J143*(RIGHT(F143,2))*7.85/(10^6)</f>
        <v>3.1651199999999999</v>
      </c>
      <c r="B143" s="148">
        <f t="shared" ref="B143" si="220">A143*L143</f>
        <v>101.28384</v>
      </c>
      <c r="C143" s="150" t="s">
        <v>155</v>
      </c>
      <c r="D143" s="149" t="s">
        <v>119</v>
      </c>
      <c r="E143" s="149"/>
      <c r="F143" s="150" t="s">
        <v>123</v>
      </c>
      <c r="G143" s="149" t="s">
        <v>111</v>
      </c>
      <c r="H143" s="151">
        <v>160</v>
      </c>
      <c r="I143" s="150" t="s">
        <v>102</v>
      </c>
      <c r="J143" s="151">
        <v>210</v>
      </c>
      <c r="K143" s="151">
        <v>4</v>
      </c>
      <c r="L143" s="151">
        <f>K$143*L$139</f>
        <v>32</v>
      </c>
      <c r="M143" s="148">
        <f t="shared" ref="M143" si="221">2*H143*J143/10^6*L143</f>
        <v>2.1503999999999999</v>
      </c>
      <c r="N143" s="150" t="s">
        <v>112</v>
      </c>
      <c r="P143" s="150"/>
      <c r="Q143" s="175">
        <v>4</v>
      </c>
      <c r="R143" s="150"/>
      <c r="S143" s="150"/>
      <c r="T143" s="150"/>
      <c r="U143" s="150"/>
      <c r="V143" s="150"/>
      <c r="W143" s="150"/>
      <c r="X143" s="150"/>
      <c r="Y143" s="150"/>
      <c r="Z143" s="150"/>
      <c r="AA143" s="150"/>
      <c r="AB143" s="150" t="s">
        <v>104</v>
      </c>
      <c r="AC143" s="170">
        <f>((((H143+J143)*2/1000)*L143*(5/(VLOOKUP(F143,[1]Plasmalõikus!$A$7:$E$46,2,FALSE)/1000*60)))+(Q143*L143*(5*(VLOOKUP(F143,[1]Plasmalõikus!$A$7:$E$48,3,FALSE))/60/60)))</f>
        <v>2.4977777777777779</v>
      </c>
      <c r="AD143" s="170">
        <f t="shared" ref="AD143" si="222">0.012*((H143+J143)*2/1000*L143)</f>
        <v>0.28416000000000002</v>
      </c>
      <c r="AE143" s="170"/>
      <c r="AF143" s="171"/>
      <c r="AG143" s="171">
        <f t="shared" ref="AG143" si="223">IF(VALUE(MID(F143,SEARCH(" ",F143)+1,LEN(F143)))&lt;35,0,IF(VALUE(MID(F143,SEARCH(" ",F143)+1,LEN(F143)))&lt;40,3,IF(VALUE(MID(F143,SEARCH(" ",F143)+1,LEN(F143)))&lt;50,4,IF(VALUE(MID(F143,SEARCH(" ",F143)+1,LEN(F143)))&lt;60,5,IF(VALUE(MID(F143,SEARCH(" ",F143)+1,LEN(F143)))&lt;70,6,IF(VALUE(MID(F143,SEARCH(" ",F143)+1,LEN(F143)))&lt;80,7,IF(VALUE(MID(F143,SEARCH(" ",F143)+1,LEN(F143)))&lt;90,8,IF(VALUE(MID(F143,SEARCH(" ",F143)+1,LEN(F143)))&lt;100,9,10))))))))/60*Q143*L143</f>
        <v>0</v>
      </c>
      <c r="AH143" s="170"/>
      <c r="AI143" s="165">
        <f t="shared" ref="AI143" si="224">AL143*L143/60</f>
        <v>8</v>
      </c>
      <c r="AJ143" s="98"/>
      <c r="AK143" s="77">
        <v>1</v>
      </c>
      <c r="AL143" s="201" t="str">
        <f>IF(AND(Q143&gt;0,A143&lt;3),"10",IF(AND(Q143&gt;0,A143&lt;10),"15",IF(AND(Q143&gt;0,A143&lt;20),"20",IF(AND(Q143&gt;0,A143&lt;500),"30",IF(AND(Q143=0,A143&lt;3),"2",IF(AND(Q143=0,A143&lt;10),"5",IF(AND(Q143=0,A143&lt;20),"10",IF(AND(Q143=0,A143&lt;500),"20","2"))))))))</f>
        <v>15</v>
      </c>
      <c r="AN143" s="94"/>
      <c r="AP143" s="180">
        <f>(VLOOKUP(F143,Terasehind!$A$2:$B$157,2,FALSE))</f>
        <v>0.74</v>
      </c>
      <c r="AQ143" s="77">
        <v>1.1000000000000001</v>
      </c>
      <c r="AR143" s="172">
        <f t="shared" ref="AR143" si="225">AP143*AQ143*B143</f>
        <v>82.445045759999999</v>
      </c>
      <c r="AT143" s="90"/>
      <c r="AU143" s="90"/>
      <c r="AV143" s="90"/>
      <c r="AW143" s="90"/>
      <c r="AX143" s="90"/>
      <c r="AY143" s="90"/>
      <c r="AZ143" s="90"/>
      <c r="BA143" s="230"/>
      <c r="BB143" s="139"/>
      <c r="BC143" s="230"/>
      <c r="BD143" s="85"/>
      <c r="BE143" s="85"/>
      <c r="BF143" s="85"/>
      <c r="BG143" s="85"/>
      <c r="BH143" s="85"/>
      <c r="BK143" s="85"/>
      <c r="BL143" s="85"/>
      <c r="BN143" s="139"/>
      <c r="BO143" s="111"/>
      <c r="BQ143" s="111"/>
      <c r="BR143" s="111"/>
    </row>
    <row r="144" spans="1:70" s="77" customFormat="1">
      <c r="A144" s="148"/>
      <c r="B144" s="148"/>
      <c r="C144" s="150"/>
      <c r="D144" s="149"/>
      <c r="E144" s="149"/>
      <c r="F144" s="150"/>
      <c r="G144" s="149"/>
      <c r="H144" s="151"/>
      <c r="I144" s="150"/>
      <c r="J144" s="151"/>
      <c r="K144" s="151"/>
      <c r="L144" s="151"/>
      <c r="M144" s="148"/>
      <c r="N144" s="150"/>
      <c r="P144" s="150"/>
      <c r="Q144" s="211"/>
      <c r="R144" s="150"/>
      <c r="S144" s="150"/>
      <c r="T144" s="150"/>
      <c r="U144" s="150"/>
      <c r="V144" s="150"/>
      <c r="W144" s="150"/>
      <c r="X144" s="150"/>
      <c r="Y144" s="150"/>
      <c r="Z144" s="150"/>
      <c r="AA144" s="150"/>
      <c r="AB144" s="150"/>
      <c r="AC144" s="170"/>
      <c r="AD144" s="170"/>
      <c r="AE144" s="170"/>
      <c r="AF144" s="170"/>
      <c r="AG144" s="170"/>
      <c r="AH144" s="170"/>
      <c r="AI144" s="165"/>
      <c r="AJ144" s="88"/>
      <c r="AN144" s="94"/>
      <c r="AP144" s="180"/>
      <c r="AR144" s="172"/>
      <c r="AT144" s="90"/>
      <c r="AU144" s="90"/>
      <c r="AV144" s="90"/>
      <c r="AW144" s="90"/>
      <c r="AX144" s="90"/>
      <c r="AY144" s="90"/>
      <c r="AZ144" s="90"/>
      <c r="BA144" s="236"/>
      <c r="BB144" s="164"/>
      <c r="BC144" s="229"/>
      <c r="BD144" s="164"/>
      <c r="BE144" s="164"/>
      <c r="BF144" s="85"/>
      <c r="BG144" s="85"/>
      <c r="BH144" s="85"/>
      <c r="BI144" s="85"/>
      <c r="BJ144" s="85"/>
      <c r="BK144" s="139"/>
      <c r="BL144" s="139"/>
      <c r="BM144" s="139"/>
      <c r="BN144" s="111"/>
      <c r="BP144" s="111"/>
      <c r="BQ144" s="111"/>
    </row>
    <row r="145" spans="1:70" s="77" customFormat="1">
      <c r="A145" s="182">
        <f>B145/L145</f>
        <v>183.23568</v>
      </c>
      <c r="B145" s="182">
        <f>SUM(B149,B148,B147,B146,0)</f>
        <v>183.23568</v>
      </c>
      <c r="C145" s="187"/>
      <c r="D145" s="183" t="s">
        <v>100</v>
      </c>
      <c r="E145" s="183"/>
      <c r="F145" s="184" t="str">
        <f>"Side "&amp;F146</f>
        <v>Side CFRHS120x120x10</v>
      </c>
      <c r="G145" s="166"/>
      <c r="H145" s="185">
        <v>160</v>
      </c>
      <c r="I145" s="186" t="s">
        <v>102</v>
      </c>
      <c r="J145" s="185">
        <f>J146</f>
        <v>5050</v>
      </c>
      <c r="K145" s="168">
        <v>1</v>
      </c>
      <c r="L145" s="185">
        <f>$L$136*$K$145</f>
        <v>1</v>
      </c>
      <c r="M145" s="182">
        <f>SUM(M149,M148,M147,M146,0)</f>
        <v>2.6836499999999996</v>
      </c>
      <c r="N145" s="186"/>
      <c r="O145" s="186"/>
      <c r="P145" s="186"/>
      <c r="Q145" s="186"/>
      <c r="R145" s="152"/>
      <c r="S145" s="152"/>
      <c r="T145" s="152"/>
      <c r="U145" s="152"/>
      <c r="V145" s="152"/>
      <c r="W145" s="150"/>
      <c r="X145" s="150" t="s">
        <v>104</v>
      </c>
      <c r="Y145" s="186">
        <v>4</v>
      </c>
      <c r="Z145" s="186"/>
      <c r="AA145" s="186"/>
      <c r="AB145" s="186"/>
      <c r="AC145" s="182">
        <f>SUM(AC149,AC148,AC147,AC146,0)</f>
        <v>0.46870370370370373</v>
      </c>
      <c r="AD145" s="182">
        <f>SUM(AD149,AD148,AD147,AD146,0)</f>
        <v>7.1760000000000004E-2</v>
      </c>
      <c r="AE145" s="182">
        <f>SUM(AE149,AE148,AE147,AE146,0)</f>
        <v>0.2</v>
      </c>
      <c r="AF145" s="182">
        <f>SUM(AF149,AF148,AF147,AF146,0)</f>
        <v>0.32</v>
      </c>
      <c r="AG145" s="182">
        <f>SUM(AG149,AG148,AG147,AG146,0)</f>
        <v>0</v>
      </c>
      <c r="AH145" s="137">
        <f>SUM(AC145:AG145)</f>
        <v>1.0604637037037039</v>
      </c>
      <c r="AI145" s="137">
        <f>SUM(AI149,AI148,AI147,AI146,0)</f>
        <v>1.9666666666666666</v>
      </c>
      <c r="AJ145" s="182">
        <f>SUM(AJ149,AJ148,AJ147,AJ146,0)</f>
        <v>6.72</v>
      </c>
      <c r="AK145" s="137">
        <f>AJ145*10/60</f>
        <v>1.1200000000000001</v>
      </c>
      <c r="AL145" s="182">
        <f>AH145+AI145+AK145</f>
        <v>4.1471303703703706</v>
      </c>
      <c r="AM145" s="182">
        <f>B145/AL145</f>
        <v>44.183727936104319</v>
      </c>
      <c r="AN145" s="182">
        <f>AL145*46</f>
        <v>190.76799703703705</v>
      </c>
      <c r="AO145" s="182">
        <f>AN145/B145</f>
        <v>1.0411072616263222</v>
      </c>
      <c r="AP145" s="182">
        <f>AR145/B145</f>
        <v>0.8622026753741413</v>
      </c>
      <c r="AQ145" s="95"/>
      <c r="AR145" s="182">
        <f>SUM(AR149,AR148,AR147,AR146,0)</f>
        <v>157.98629352000003</v>
      </c>
      <c r="AT145" s="82"/>
      <c r="AU145" s="82"/>
      <c r="AV145" s="82"/>
      <c r="AW145" s="82"/>
      <c r="AX145" s="93"/>
      <c r="AY145" s="82"/>
      <c r="AZ145" s="82"/>
      <c r="BA145" s="234"/>
      <c r="BB145" s="164"/>
      <c r="BC145" s="229"/>
      <c r="BD145" s="85"/>
      <c r="BE145" s="85"/>
      <c r="BF145" s="85"/>
      <c r="BG145" s="85"/>
      <c r="BH145" s="85"/>
      <c r="BI145" s="85"/>
      <c r="BJ145" s="88"/>
    </row>
    <row r="146" spans="1:70" s="77" customFormat="1">
      <c r="A146" s="148">
        <f xml:space="preserve"> 31.8*J146/10^3</f>
        <v>160.59</v>
      </c>
      <c r="B146" s="148">
        <f>A146*L146</f>
        <v>160.59</v>
      </c>
      <c r="C146" s="173" t="s">
        <v>153</v>
      </c>
      <c r="D146" s="149" t="s">
        <v>100</v>
      </c>
      <c r="E146" s="149"/>
      <c r="F146" s="150" t="s">
        <v>6</v>
      </c>
      <c r="G146" s="174" t="s">
        <v>107</v>
      </c>
      <c r="H146" s="151">
        <v>120</v>
      </c>
      <c r="I146" s="150" t="s">
        <v>102</v>
      </c>
      <c r="J146" s="151">
        <v>5050</v>
      </c>
      <c r="K146" s="77">
        <v>1</v>
      </c>
      <c r="L146" s="151">
        <f>K$146*L$145</f>
        <v>1</v>
      </c>
      <c r="M146" s="164">
        <f xml:space="preserve"> 0.437*J146*L146/10^3</f>
        <v>2.2068499999999998</v>
      </c>
      <c r="N146" s="150"/>
      <c r="O146" s="150"/>
      <c r="P146" s="150" t="s">
        <v>104</v>
      </c>
      <c r="Q146" s="169"/>
      <c r="R146" s="150"/>
      <c r="S146" s="150"/>
      <c r="T146" s="150"/>
      <c r="U146" s="150"/>
      <c r="V146" s="150"/>
      <c r="W146" s="150"/>
      <c r="Y146" s="150"/>
      <c r="Z146" s="150"/>
      <c r="AA146" s="150"/>
      <c r="AB146" s="150" t="s">
        <v>104</v>
      </c>
      <c r="AC146" s="148"/>
      <c r="AD146" s="111"/>
      <c r="AE146" s="170">
        <f>(H146/20/60)*2*L146</f>
        <v>0.2</v>
      </c>
      <c r="AF146" s="171">
        <f>(H146*4)*2*20/60/1000*L146</f>
        <v>0.32</v>
      </c>
      <c r="AG146" s="165">
        <f>Q146*L146*0.5/60</f>
        <v>0</v>
      </c>
      <c r="AH146" s="111"/>
      <c r="AI146" s="165">
        <f>AL146*L146/60</f>
        <v>0.33333333333333331</v>
      </c>
      <c r="AJ146" s="98">
        <f>(H146*4*AK146)*2*L146/1000</f>
        <v>5.76</v>
      </c>
      <c r="AK146" s="77">
        <f>(VLOOKUP(F146,[1]Koostamine!$A$12:$E$1603,3,FALSE))</f>
        <v>6</v>
      </c>
      <c r="AL146" s="97">
        <f>VLOOKUP(F146,[1]Koostamine!$A$12:$K$1603,IF(J146&lt;1499,6,IF(J146&lt;2999,7,IF(J146&lt;5999,8,IF(J146&lt;9999,9,IF(J146&lt;12999,10,IF(J146&gt;13000,11)))))),FALSE)</f>
        <v>20</v>
      </c>
      <c r="AP146" s="180">
        <f>(VLOOKUP(F146,Terasehind!$A$2:$B$157,2,FALSE))</f>
        <v>0.79</v>
      </c>
      <c r="AQ146" s="77">
        <f>(VLOOKUP(F146,Terasehind!$A$2:$C$157,3,FALSE))</f>
        <v>1.1000000000000001</v>
      </c>
      <c r="AR146" s="172">
        <f>AP146*AQ146*B146</f>
        <v>139.55271000000002</v>
      </c>
      <c r="AT146" s="90"/>
      <c r="AU146" s="90"/>
      <c r="AV146" s="90"/>
      <c r="AW146" s="90"/>
      <c r="AX146" s="90"/>
      <c r="AY146" s="90"/>
      <c r="AZ146" s="90"/>
      <c r="BA146" s="236"/>
      <c r="BB146" s="164"/>
      <c r="BC146" s="229"/>
      <c r="BD146" s="164"/>
      <c r="BE146" s="164"/>
      <c r="BF146" s="85"/>
      <c r="BG146" s="85"/>
      <c r="BH146" s="85"/>
      <c r="BI146" s="85"/>
      <c r="BJ146" s="85"/>
      <c r="BK146" s="88"/>
      <c r="BL146" s="85"/>
      <c r="BM146" s="88"/>
      <c r="BN146" s="111"/>
      <c r="BP146" s="139"/>
    </row>
    <row r="147" spans="1:70" s="77" customFormat="1">
      <c r="A147" s="148">
        <f t="shared" ref="A147:A149" si="226">H147*J147*(RIGHT(F147,2))*7.85/(10^6)</f>
        <v>0.28260000000000002</v>
      </c>
      <c r="B147" s="148">
        <f t="shared" ref="B147:B149" si="227">A147*L147</f>
        <v>1.1304000000000001</v>
      </c>
      <c r="C147" s="150" t="s">
        <v>108</v>
      </c>
      <c r="D147" s="149" t="s">
        <v>109</v>
      </c>
      <c r="E147" s="149"/>
      <c r="F147" s="150" t="s">
        <v>138</v>
      </c>
      <c r="G147" s="149" t="s">
        <v>111</v>
      </c>
      <c r="H147" s="151">
        <v>60</v>
      </c>
      <c r="I147" s="150" t="s">
        <v>102</v>
      </c>
      <c r="J147" s="151">
        <v>120</v>
      </c>
      <c r="K147" s="151">
        <v>4</v>
      </c>
      <c r="L147" s="151">
        <f>K$147*L$145</f>
        <v>4</v>
      </c>
      <c r="M147" s="148">
        <f t="shared" ref="M147:M149" si="228">2*H147*J147/10^6*L147</f>
        <v>5.7599999999999998E-2</v>
      </c>
      <c r="N147" s="150" t="s">
        <v>112</v>
      </c>
      <c r="P147" s="150"/>
      <c r="Q147" s="169"/>
      <c r="R147" s="150"/>
      <c r="S147" s="150"/>
      <c r="T147" s="150"/>
      <c r="U147" s="150"/>
      <c r="V147" s="150"/>
      <c r="W147" s="150"/>
      <c r="X147" s="150"/>
      <c r="Y147" s="150"/>
      <c r="Z147" s="150"/>
      <c r="AA147" s="150"/>
      <c r="AB147" s="150" t="s">
        <v>104</v>
      </c>
      <c r="AC147" s="170">
        <f>((((H147+J147)*2/1000)*L147*(5/(VLOOKUP(F147,[1]Plasmalõikus!$A$7:$E$46,2,FALSE)/1000*60)))+(Q147*L147*(5*(VLOOKUP(F147,[1]Plasmalõikus!$A$7:$E$48,3,FALSE))/60/60)))</f>
        <v>3.3333333333333333E-2</v>
      </c>
      <c r="AD147" s="170">
        <f t="shared" ref="AD147:AD149" si="229">0.012*((H147+J147)*2/1000*L147)</f>
        <v>1.728E-2</v>
      </c>
      <c r="AE147" s="170"/>
      <c r="AF147" s="171"/>
      <c r="AG147" s="171">
        <f t="shared" ref="AG147:AG149" si="230">IF(VALUE(MID(F147,SEARCH(" ",F147)+1,LEN(F147)))&lt;35,0,IF(VALUE(MID(F147,SEARCH(" ",F147)+1,LEN(F147)))&lt;40,3,IF(VALUE(MID(F147,SEARCH(" ",F147)+1,LEN(F147)))&lt;50,4,IF(VALUE(MID(F147,SEARCH(" ",F147)+1,LEN(F147)))&lt;60,5,IF(VALUE(MID(F147,SEARCH(" ",F147)+1,LEN(F147)))&lt;70,6,IF(VALUE(MID(F147,SEARCH(" ",F147)+1,LEN(F147)))&lt;80,7,IF(VALUE(MID(F147,SEARCH(" ",F147)+1,LEN(F147)))&lt;90,8,IF(VALUE(MID(F147,SEARCH(" ",F147)+1,LEN(F147)))&lt;100,9,10))))))))/60*Q147*L147</f>
        <v>0</v>
      </c>
      <c r="AH147" s="170"/>
      <c r="AI147" s="165">
        <f t="shared" ref="AI147:AI149" si="231">AL147*L147/60</f>
        <v>0.13333333333333333</v>
      </c>
      <c r="AJ147" s="98"/>
      <c r="AK147" s="77">
        <v>1</v>
      </c>
      <c r="AL147" s="201" t="str">
        <f t="shared" ref="AL147" si="232">IF(A147&gt;40,"30",IF(A147&gt;10,"10",IF(A147&gt;20,"20","2")))</f>
        <v>2</v>
      </c>
      <c r="AN147" s="94"/>
      <c r="AP147" s="180">
        <f>(VLOOKUP(F147,Terasehind!$A$2:$B$157,2,FALSE))</f>
        <v>0.74</v>
      </c>
      <c r="AQ147" s="77">
        <v>1.1000000000000001</v>
      </c>
      <c r="AR147" s="172">
        <f t="shared" ref="AR147:AR149" si="233">AP147*AQ147*B147</f>
        <v>0.92014560000000012</v>
      </c>
      <c r="AT147" s="90"/>
      <c r="AU147" s="90"/>
      <c r="AV147" s="90"/>
      <c r="AW147" s="90"/>
      <c r="AX147" s="90"/>
      <c r="AY147" s="90"/>
      <c r="AZ147" s="90"/>
      <c r="BA147" s="236"/>
      <c r="BB147" s="164"/>
      <c r="BC147" s="229"/>
      <c r="BD147" s="164"/>
      <c r="BE147" s="164"/>
      <c r="BF147" s="164"/>
      <c r="BG147" s="85"/>
      <c r="BH147" s="85"/>
      <c r="BI147" s="85"/>
      <c r="BJ147" s="85"/>
      <c r="BK147" s="85"/>
      <c r="BL147" s="139"/>
      <c r="BM147" s="139"/>
      <c r="BN147" s="139"/>
      <c r="BO147" s="111"/>
      <c r="BQ147" s="111"/>
      <c r="BR147" s="111"/>
    </row>
    <row r="148" spans="1:70" s="77" customFormat="1" ht="16.5" customHeight="1">
      <c r="A148" s="148">
        <f t="shared" si="226"/>
        <v>4.4273999999999996</v>
      </c>
      <c r="B148" s="148">
        <f t="shared" si="227"/>
        <v>8.8547999999999991</v>
      </c>
      <c r="C148" s="150"/>
      <c r="D148" s="149" t="s">
        <v>114</v>
      </c>
      <c r="E148" s="149"/>
      <c r="F148" s="150" t="s">
        <v>117</v>
      </c>
      <c r="G148" s="149" t="s">
        <v>111</v>
      </c>
      <c r="H148" s="151">
        <v>160</v>
      </c>
      <c r="I148" s="150" t="s">
        <v>102</v>
      </c>
      <c r="J148" s="151">
        <v>235</v>
      </c>
      <c r="K148" s="151">
        <v>2</v>
      </c>
      <c r="L148" s="151">
        <f>K$148*L$145</f>
        <v>2</v>
      </c>
      <c r="M148" s="148">
        <f t="shared" si="228"/>
        <v>0.15040000000000001</v>
      </c>
      <c r="N148" s="150" t="s">
        <v>112</v>
      </c>
      <c r="P148" s="150"/>
      <c r="Q148" s="175">
        <v>2</v>
      </c>
      <c r="R148" s="150"/>
      <c r="S148" s="150"/>
      <c r="T148" s="150"/>
      <c r="U148" s="150"/>
      <c r="V148" s="150"/>
      <c r="W148" s="150"/>
      <c r="X148" s="150"/>
      <c r="Y148" s="150"/>
      <c r="Z148" s="150"/>
      <c r="AA148" s="150"/>
      <c r="AB148" s="150" t="s">
        <v>104</v>
      </c>
      <c r="AC148" s="170">
        <f>((((H148+J148)*2/1000)*L148*(5/(VLOOKUP(F148,[1]Plasmalõikus!$A$7:$E$46,2,FALSE)/1000*60)))+(Q148*L148*(5*(VLOOKUP(F148,[1]Plasmalõikus!$A$7:$E$48,3,FALSE))/60/60)))</f>
        <v>0.12314814814814815</v>
      </c>
      <c r="AD148" s="170">
        <f t="shared" si="229"/>
        <v>1.8960000000000001E-2</v>
      </c>
      <c r="AE148" s="170"/>
      <c r="AF148" s="171"/>
      <c r="AG148" s="171">
        <f t="shared" si="230"/>
        <v>0</v>
      </c>
      <c r="AH148" s="170"/>
      <c r="AI148" s="165">
        <f t="shared" si="231"/>
        <v>0.5</v>
      </c>
      <c r="AJ148" s="98">
        <f>(H148*3*AK148)*1*L148/1000</f>
        <v>0.96</v>
      </c>
      <c r="AK148" s="77">
        <v>1</v>
      </c>
      <c r="AL148" s="201" t="str">
        <f>IF(AND(Q148&gt;0,A148&lt;3),"10",IF(AND(Q148&gt;0,A148&lt;10),"15",IF(AND(Q148&gt;0,A148&lt;20),"20",IF(AND(Q148&gt;0,A148&lt;500),"30",IF(AND(Q148=0,A148&lt;3),"2",IF(AND(Q148=0,A148&lt;10),"5",IF(AND(Q148=0,A148&lt;20),"10",IF(AND(Q148=0,A148&lt;500),"20","2"))))))))</f>
        <v>15</v>
      </c>
      <c r="AN148" s="94"/>
      <c r="AP148" s="180">
        <f>(VLOOKUP(F148,Terasehind!$A$2:$B$157,2,FALSE))</f>
        <v>0.74</v>
      </c>
      <c r="AQ148" s="77">
        <v>1.1000000000000001</v>
      </c>
      <c r="AR148" s="172">
        <f t="shared" si="233"/>
        <v>7.2078071999999995</v>
      </c>
      <c r="AT148" s="90"/>
      <c r="AU148" s="90"/>
      <c r="AV148" s="90"/>
      <c r="AW148" s="90"/>
      <c r="AX148" s="90"/>
      <c r="AY148" s="90"/>
      <c r="AZ148" s="90"/>
      <c r="BA148" s="230"/>
      <c r="BB148" s="139"/>
      <c r="BC148" s="230"/>
      <c r="BD148" s="85"/>
      <c r="BE148" s="85"/>
      <c r="BF148" s="85"/>
      <c r="BG148" s="85"/>
      <c r="BH148" s="85"/>
      <c r="BK148" s="85"/>
      <c r="BL148" s="85"/>
      <c r="BN148" s="139"/>
      <c r="BO148" s="111"/>
      <c r="BQ148" s="111"/>
      <c r="BR148" s="111"/>
    </row>
    <row r="149" spans="1:70" s="77" customFormat="1" ht="16.5" customHeight="1">
      <c r="A149" s="148">
        <f t="shared" si="226"/>
        <v>3.1651199999999999</v>
      </c>
      <c r="B149" s="148">
        <f t="shared" si="227"/>
        <v>12.66048</v>
      </c>
      <c r="C149" s="150" t="s">
        <v>155</v>
      </c>
      <c r="D149" s="149" t="s">
        <v>119</v>
      </c>
      <c r="E149" s="149"/>
      <c r="F149" s="150" t="s">
        <v>123</v>
      </c>
      <c r="G149" s="149" t="s">
        <v>111</v>
      </c>
      <c r="H149" s="151">
        <v>160</v>
      </c>
      <c r="I149" s="150" t="s">
        <v>102</v>
      </c>
      <c r="J149" s="151">
        <v>210</v>
      </c>
      <c r="K149" s="151">
        <v>4</v>
      </c>
      <c r="L149" s="151">
        <f>K$149*L$145</f>
        <v>4</v>
      </c>
      <c r="M149" s="148">
        <f t="shared" si="228"/>
        <v>0.26879999999999998</v>
      </c>
      <c r="N149" s="150" t="s">
        <v>112</v>
      </c>
      <c r="P149" s="150"/>
      <c r="Q149" s="175">
        <v>4</v>
      </c>
      <c r="R149" s="150"/>
      <c r="S149" s="150"/>
      <c r="T149" s="150"/>
      <c r="U149" s="150"/>
      <c r="V149" s="150"/>
      <c r="W149" s="150"/>
      <c r="X149" s="150"/>
      <c r="Y149" s="150"/>
      <c r="Z149" s="150"/>
      <c r="AA149" s="150"/>
      <c r="AB149" s="150" t="s">
        <v>104</v>
      </c>
      <c r="AC149" s="170">
        <f>((((H149+J149)*2/1000)*L149*(5/(VLOOKUP(F149,[1]Plasmalõikus!$A$7:$E$46,2,FALSE)/1000*60)))+(Q149*L149*(5*(VLOOKUP(F149,[1]Plasmalõikus!$A$7:$E$48,3,FALSE))/60/60)))</f>
        <v>0.31222222222222223</v>
      </c>
      <c r="AD149" s="170">
        <f t="shared" si="229"/>
        <v>3.5520000000000003E-2</v>
      </c>
      <c r="AE149" s="170"/>
      <c r="AF149" s="171"/>
      <c r="AG149" s="171">
        <f t="shared" si="230"/>
        <v>0</v>
      </c>
      <c r="AH149" s="170"/>
      <c r="AI149" s="165">
        <f t="shared" si="231"/>
        <v>1</v>
      </c>
      <c r="AJ149" s="98"/>
      <c r="AK149" s="77">
        <v>1</v>
      </c>
      <c r="AL149" s="201" t="str">
        <f>IF(AND(Q149&gt;0,A149&lt;3),"10",IF(AND(Q149&gt;0,A149&lt;10),"15",IF(AND(Q149&gt;0,A149&lt;20),"20",IF(AND(Q149&gt;0,A149&lt;500),"30",IF(AND(Q149=0,A149&lt;3),"2",IF(AND(Q149=0,A149&lt;10),"5",IF(AND(Q149=0,A149&lt;20),"10",IF(AND(Q149=0,A149&lt;500),"20","2"))))))))</f>
        <v>15</v>
      </c>
      <c r="AN149" s="94"/>
      <c r="AP149" s="180">
        <f>(VLOOKUP(F149,Terasehind!$A$2:$B$157,2,FALSE))</f>
        <v>0.74</v>
      </c>
      <c r="AQ149" s="77">
        <v>1.1000000000000001</v>
      </c>
      <c r="AR149" s="172">
        <f t="shared" si="233"/>
        <v>10.30563072</v>
      </c>
      <c r="AT149" s="90"/>
      <c r="AU149" s="90"/>
      <c r="AV149" s="90"/>
      <c r="AW149" s="90"/>
      <c r="AX149" s="90"/>
      <c r="AY149" s="90"/>
      <c r="AZ149" s="90"/>
      <c r="BA149" s="230"/>
      <c r="BB149" s="139"/>
      <c r="BC149" s="230"/>
      <c r="BD149" s="85"/>
      <c r="BE149" s="85"/>
      <c r="BF149" s="85"/>
      <c r="BG149" s="85"/>
      <c r="BH149" s="85"/>
      <c r="BK149" s="85"/>
      <c r="BL149" s="85"/>
      <c r="BN149" s="139"/>
      <c r="BO149" s="111"/>
      <c r="BQ149" s="111"/>
      <c r="BR149" s="111"/>
    </row>
    <row r="150" spans="1:70" s="77" customFormat="1">
      <c r="A150" s="148"/>
      <c r="B150" s="148"/>
      <c r="C150" s="150"/>
      <c r="D150" s="149"/>
      <c r="E150" s="149"/>
      <c r="F150" s="150"/>
      <c r="G150" s="149"/>
      <c r="H150" s="151"/>
      <c r="I150" s="150"/>
      <c r="J150" s="151"/>
      <c r="K150" s="151"/>
      <c r="L150" s="151"/>
      <c r="M150" s="148"/>
      <c r="N150" s="150"/>
      <c r="P150" s="150"/>
      <c r="Q150" s="211"/>
      <c r="R150" s="150"/>
      <c r="S150" s="150"/>
      <c r="T150" s="150"/>
      <c r="U150" s="150"/>
      <c r="V150" s="150"/>
      <c r="W150" s="150"/>
      <c r="X150" s="150"/>
      <c r="Y150" s="150"/>
      <c r="Z150" s="150"/>
      <c r="AA150" s="150"/>
      <c r="AB150" s="150"/>
      <c r="AC150" s="170"/>
      <c r="AD150" s="170"/>
      <c r="AE150" s="170"/>
      <c r="AF150" s="170"/>
      <c r="AG150" s="170"/>
      <c r="AH150" s="170"/>
      <c r="AI150" s="165"/>
      <c r="AJ150" s="88"/>
      <c r="AN150" s="94"/>
      <c r="AP150" s="180"/>
      <c r="AR150" s="172"/>
      <c r="AT150" s="90"/>
      <c r="AU150" s="90"/>
      <c r="AV150" s="90"/>
      <c r="AW150" s="90"/>
      <c r="AX150" s="90"/>
      <c r="AY150" s="90"/>
      <c r="AZ150" s="90"/>
      <c r="BA150" s="236"/>
      <c r="BB150" s="164"/>
      <c r="BC150" s="229"/>
      <c r="BD150" s="164"/>
      <c r="BE150" s="164"/>
      <c r="BF150" s="85"/>
      <c r="BG150" s="85"/>
      <c r="BH150" s="85"/>
      <c r="BI150" s="85"/>
      <c r="BJ150" s="85"/>
      <c r="BK150" s="139"/>
      <c r="BL150" s="139"/>
      <c r="BM150" s="139"/>
      <c r="BN150" s="111"/>
      <c r="BP150" s="111"/>
      <c r="BQ150" s="111"/>
    </row>
    <row r="151" spans="1:70" s="77" customFormat="1">
      <c r="A151" s="148"/>
      <c r="B151" s="148"/>
      <c r="C151" s="150"/>
      <c r="D151" s="149"/>
      <c r="E151" s="149"/>
      <c r="F151" s="150"/>
      <c r="G151" s="149"/>
      <c r="H151" s="151"/>
      <c r="I151" s="150"/>
      <c r="J151" s="151"/>
      <c r="K151" s="151"/>
      <c r="L151" s="151"/>
      <c r="M151" s="148"/>
      <c r="N151" s="150"/>
      <c r="P151" s="150"/>
      <c r="Q151" s="211"/>
      <c r="R151" s="150"/>
      <c r="S151" s="150"/>
      <c r="T151" s="150"/>
      <c r="U151" s="150"/>
      <c r="V151" s="150"/>
      <c r="W151" s="150"/>
      <c r="X151" s="150"/>
      <c r="Y151" s="150"/>
      <c r="Z151" s="150"/>
      <c r="AA151" s="150"/>
      <c r="AB151" s="150"/>
      <c r="AC151" s="170"/>
      <c r="AD151" s="170"/>
      <c r="AE151" s="170"/>
      <c r="AF151" s="170"/>
      <c r="AG151" s="170"/>
      <c r="AH151" s="170"/>
      <c r="AI151" s="165"/>
      <c r="AJ151" s="88"/>
      <c r="AN151" s="94"/>
      <c r="AP151" s="180"/>
      <c r="AR151" s="172"/>
      <c r="AT151" s="90"/>
      <c r="AU151" s="90"/>
      <c r="AV151" s="90"/>
      <c r="AW151" s="90"/>
      <c r="AX151" s="90"/>
      <c r="AY151" s="90"/>
      <c r="AZ151" s="90"/>
      <c r="BA151" s="236"/>
      <c r="BB151" s="164"/>
      <c r="BC151" s="229"/>
      <c r="BD151" s="164"/>
      <c r="BE151" s="164"/>
      <c r="BF151" s="85"/>
      <c r="BG151" s="85"/>
      <c r="BH151" s="85"/>
      <c r="BI151" s="85"/>
      <c r="BJ151" s="85"/>
      <c r="BK151" s="139"/>
      <c r="BL151" s="139"/>
      <c r="BM151" s="139"/>
      <c r="BN151" s="111"/>
      <c r="BP151" s="111"/>
      <c r="BQ151" s="111"/>
    </row>
    <row r="152" spans="1:70" s="77" customFormat="1">
      <c r="A152" s="182">
        <f>B152/L152</f>
        <v>146.6808</v>
      </c>
      <c r="B152" s="182">
        <f>SUM(B155,B154,B153,0)</f>
        <v>3226.9776000000002</v>
      </c>
      <c r="C152" s="187"/>
      <c r="D152" s="183" t="s">
        <v>109</v>
      </c>
      <c r="E152" s="183"/>
      <c r="F152" s="184" t="str">
        <f>"Side "&amp;F153</f>
        <v>Side CFRHS150x150x6</v>
      </c>
      <c r="G152" s="166"/>
      <c r="H152" s="185">
        <v>160</v>
      </c>
      <c r="I152" s="186" t="s">
        <v>102</v>
      </c>
      <c r="J152" s="185">
        <f>J153</f>
        <v>4400</v>
      </c>
      <c r="K152" s="168">
        <v>22</v>
      </c>
      <c r="L152" s="185">
        <f>$L$136*$K$152</f>
        <v>22</v>
      </c>
      <c r="M152" s="182">
        <f>SUM(M155,M154,M153,0)</f>
        <v>67.451999999999998</v>
      </c>
      <c r="N152" s="186"/>
      <c r="O152" s="186"/>
      <c r="P152" s="186"/>
      <c r="Q152" s="186"/>
      <c r="R152" s="152"/>
      <c r="S152" s="152"/>
      <c r="T152" s="152"/>
      <c r="U152" s="152"/>
      <c r="V152" s="152"/>
      <c r="W152" s="150"/>
      <c r="X152" s="150" t="s">
        <v>104</v>
      </c>
      <c r="Y152" s="186">
        <v>4</v>
      </c>
      <c r="Z152" s="186"/>
      <c r="AA152" s="186"/>
      <c r="AB152" s="186"/>
      <c r="AC152" s="182">
        <f>SUM(AC155,AC154,AC153,0)</f>
        <v>6.0500000000000007</v>
      </c>
      <c r="AD152" s="182">
        <f>SUM(AD155,AD154,AD153,0)</f>
        <v>1.1404800000000002</v>
      </c>
      <c r="AE152" s="182">
        <f>SUM(AE155,AE154,AE153,0)</f>
        <v>5.5</v>
      </c>
      <c r="AF152" s="182">
        <f>SUM(AF155,AF154,AF153,0)</f>
        <v>0</v>
      </c>
      <c r="AG152" s="182">
        <f>SUM(AG155,AG154,AG153,0)</f>
        <v>0</v>
      </c>
      <c r="AH152" s="137">
        <f>SUM(AC152:AG152)</f>
        <v>12.690480000000001</v>
      </c>
      <c r="AI152" s="137">
        <f>SUM(AI155,AI154,AI153,0)</f>
        <v>19.8</v>
      </c>
      <c r="AJ152" s="182">
        <f>SUM(AJ155,AJ154,AJ153,0)</f>
        <v>76.56</v>
      </c>
      <c r="AK152" s="137">
        <f>AJ152*10/60</f>
        <v>12.76</v>
      </c>
      <c r="AL152" s="182">
        <f>AH152+AI152+AK152</f>
        <v>45.250480000000003</v>
      </c>
      <c r="AM152" s="182">
        <f>B152/AL152</f>
        <v>71.313665622994492</v>
      </c>
      <c r="AN152" s="182">
        <f>AL152*46</f>
        <v>2081.5220800000002</v>
      </c>
      <c r="AO152" s="182">
        <f>AN152/B152</f>
        <v>0.64503766000730844</v>
      </c>
      <c r="AP152" s="182">
        <f>AR152/B152</f>
        <v>0.81399999999999995</v>
      </c>
      <c r="AQ152" s="95"/>
      <c r="AR152" s="182">
        <f>SUM(AR155,AR154,AR153,0)</f>
        <v>2626.7597664</v>
      </c>
      <c r="AT152" s="82"/>
      <c r="AU152" s="82"/>
      <c r="AV152" s="82"/>
      <c r="AW152" s="82"/>
      <c r="AX152" s="93"/>
      <c r="AY152" s="82"/>
      <c r="AZ152" s="82"/>
      <c r="BA152" s="234"/>
      <c r="BB152" s="164"/>
      <c r="BC152" s="229"/>
      <c r="BD152" s="85"/>
      <c r="BE152" s="85"/>
      <c r="BF152" s="85"/>
      <c r="BG152" s="85"/>
      <c r="BH152" s="85"/>
      <c r="BI152" s="85"/>
      <c r="BJ152" s="88"/>
    </row>
    <row r="153" spans="1:70" s="77" customFormat="1">
      <c r="A153" s="148">
        <f xml:space="preserve"> 26.4*J153/10^3</f>
        <v>116.16</v>
      </c>
      <c r="B153" s="148">
        <f>A153*L153</f>
        <v>2555.52</v>
      </c>
      <c r="C153" s="173" t="s">
        <v>153</v>
      </c>
      <c r="D153" s="149" t="s">
        <v>100</v>
      </c>
      <c r="E153" s="149"/>
      <c r="F153" s="150" t="s">
        <v>156</v>
      </c>
      <c r="G153" s="174" t="s">
        <v>107</v>
      </c>
      <c r="H153" s="151">
        <v>150</v>
      </c>
      <c r="I153" s="150" t="s">
        <v>102</v>
      </c>
      <c r="J153" s="151">
        <v>4400</v>
      </c>
      <c r="K153" s="77">
        <v>1</v>
      </c>
      <c r="L153" s="151">
        <f>K$153*L$152</f>
        <v>22</v>
      </c>
      <c r="M153" s="164">
        <f xml:space="preserve"> 0.579*J153*L153/10^3</f>
        <v>56.047199999999997</v>
      </c>
      <c r="N153" s="150"/>
      <c r="O153" s="150"/>
      <c r="P153" s="150" t="s">
        <v>104</v>
      </c>
      <c r="Q153" s="169"/>
      <c r="R153" s="150"/>
      <c r="S153" s="150"/>
      <c r="T153" s="150"/>
      <c r="U153" s="150"/>
      <c r="V153" s="150"/>
      <c r="W153" s="150"/>
      <c r="Y153" s="150"/>
      <c r="Z153" s="150"/>
      <c r="AA153" s="150"/>
      <c r="AB153" s="150" t="s">
        <v>104</v>
      </c>
      <c r="AC153" s="148"/>
      <c r="AD153" s="111"/>
      <c r="AE153" s="170">
        <f>(H153/20/60)*2*L153</f>
        <v>5.5</v>
      </c>
      <c r="AF153" s="171"/>
      <c r="AG153" s="165">
        <f>Q153*L153*0.5/60</f>
        <v>0</v>
      </c>
      <c r="AH153" s="111"/>
      <c r="AI153" s="165">
        <f>AL153*L153/60</f>
        <v>7.333333333333333</v>
      </c>
      <c r="AJ153" s="98">
        <f>(H153*4*AK153)*2*L153/1000</f>
        <v>52.8</v>
      </c>
      <c r="AK153" s="77">
        <f>(VLOOKUP(F153,[1]Koostamine!$A$12:$E$1603,3,FALSE))</f>
        <v>2</v>
      </c>
      <c r="AL153" s="97">
        <f>VLOOKUP(F153,[1]Koostamine!$A$12:$K$1603,IF(J153&lt;1499,6,IF(J153&lt;2999,7,IF(J153&lt;5999,8,IF(J153&lt;9999,9,IF(J153&lt;12999,10,IF(J153&gt;13000,11)))))),FALSE)</f>
        <v>20</v>
      </c>
      <c r="AP153" s="180">
        <f>(VLOOKUP(F153,Terasehind!$A$2:$B$157,2,FALSE))</f>
        <v>0.74</v>
      </c>
      <c r="AQ153" s="77">
        <f>(VLOOKUP(F153,Terasehind!$A$2:$C$157,3,FALSE))</f>
        <v>1.1000000000000001</v>
      </c>
      <c r="AR153" s="172">
        <f>AP153*AQ153*B153</f>
        <v>2080.19328</v>
      </c>
      <c r="AT153" s="90"/>
      <c r="AU153" s="90"/>
      <c r="AV153" s="90"/>
      <c r="AW153" s="90"/>
      <c r="AX153" s="90"/>
      <c r="AY153" s="90"/>
      <c r="AZ153" s="90"/>
      <c r="BA153" s="236"/>
      <c r="BB153" s="164"/>
      <c r="BC153" s="229"/>
      <c r="BD153" s="164"/>
      <c r="BE153" s="164"/>
      <c r="BF153" s="85"/>
      <c r="BG153" s="85"/>
      <c r="BH153" s="85"/>
      <c r="BI153" s="85"/>
      <c r="BJ153" s="85"/>
      <c r="BK153" s="88"/>
      <c r="BL153" s="85"/>
      <c r="BM153" s="88"/>
      <c r="BN153" s="111"/>
      <c r="BP153" s="139"/>
    </row>
    <row r="154" spans="1:70" s="77" customFormat="1">
      <c r="A154" s="148">
        <f t="shared" ref="A154:A155" si="234">H154*J154*(RIGHT(F154,2))*7.85/(10^6)</f>
        <v>7.6302000000000003</v>
      </c>
      <c r="B154" s="148">
        <f t="shared" ref="B154:B155" si="235">A154*L154</f>
        <v>335.72880000000004</v>
      </c>
      <c r="C154" s="150" t="s">
        <v>108</v>
      </c>
      <c r="D154" s="149" t="s">
        <v>109</v>
      </c>
      <c r="E154" s="149"/>
      <c r="F154" s="150" t="s">
        <v>117</v>
      </c>
      <c r="G154" s="149" t="s">
        <v>111</v>
      </c>
      <c r="H154" s="151">
        <v>180</v>
      </c>
      <c r="I154" s="150" t="s">
        <v>102</v>
      </c>
      <c r="J154" s="151">
        <v>360</v>
      </c>
      <c r="K154" s="151">
        <v>2</v>
      </c>
      <c r="L154" s="151">
        <f>K$154*L$152</f>
        <v>44</v>
      </c>
      <c r="M154" s="148">
        <f t="shared" ref="M154:M155" si="236">2*H154*J154/10^6*L154</f>
        <v>5.7023999999999999</v>
      </c>
      <c r="N154" s="150" t="s">
        <v>112</v>
      </c>
      <c r="P154" s="150"/>
      <c r="Q154" s="169"/>
      <c r="R154" s="150"/>
      <c r="S154" s="150"/>
      <c r="T154" s="150"/>
      <c r="U154" s="150"/>
      <c r="V154" s="150"/>
      <c r="W154" s="150"/>
      <c r="X154" s="150"/>
      <c r="Y154" s="150"/>
      <c r="Z154" s="150"/>
      <c r="AA154" s="150"/>
      <c r="AB154" s="150" t="s">
        <v>104</v>
      </c>
      <c r="AC154" s="170">
        <f>((((H154+J154)*2/1000)*L154*(5/(VLOOKUP(F154,[1]Plasmalõikus!$A$7:$E$46,2,FALSE)/1000*60)))+(Q154*L154*(5*(VLOOKUP(F154,[1]Plasmalõikus!$A$7:$E$48,3,FALSE))/60/60)))</f>
        <v>2.2000000000000002</v>
      </c>
      <c r="AD154" s="170">
        <f t="shared" ref="AD154:AD155" si="237">0.012*((H154+J154)*2/1000*L154)</f>
        <v>0.57024000000000008</v>
      </c>
      <c r="AE154" s="170"/>
      <c r="AF154" s="171"/>
      <c r="AG154" s="171">
        <f t="shared" ref="AG154:AG155" si="238">IF(VALUE(MID(F154,SEARCH(" ",F154)+1,LEN(F154)))&lt;35,0,IF(VALUE(MID(F154,SEARCH(" ",F154)+1,LEN(F154)))&lt;40,3,IF(VALUE(MID(F154,SEARCH(" ",F154)+1,LEN(F154)))&lt;50,4,IF(VALUE(MID(F154,SEARCH(" ",F154)+1,LEN(F154)))&lt;60,5,IF(VALUE(MID(F154,SEARCH(" ",F154)+1,LEN(F154)))&lt;70,6,IF(VALUE(MID(F154,SEARCH(" ",F154)+1,LEN(F154)))&lt;80,7,IF(VALUE(MID(F154,SEARCH(" ",F154)+1,LEN(F154)))&lt;90,8,IF(VALUE(MID(F154,SEARCH(" ",F154)+1,LEN(F154)))&lt;100,9,10))))))))/60*Q154*L154</f>
        <v>0</v>
      </c>
      <c r="AH154" s="170"/>
      <c r="AI154" s="165">
        <f t="shared" ref="AI154:AI155" si="239">AL154*L154/60</f>
        <v>1.4666666666666666</v>
      </c>
      <c r="AJ154" s="98"/>
      <c r="AK154" s="77">
        <v>1</v>
      </c>
      <c r="AL154" s="201" t="str">
        <f t="shared" ref="AL154" si="240">IF(A154&gt;40,"30",IF(A154&gt;10,"10",IF(A154&gt;20,"20","2")))</f>
        <v>2</v>
      </c>
      <c r="AN154" s="94"/>
      <c r="AP154" s="180">
        <f>(VLOOKUP(F154,Terasehind!$A$2:$B$157,2,FALSE))</f>
        <v>0.74</v>
      </c>
      <c r="AQ154" s="77">
        <v>1.1000000000000001</v>
      </c>
      <c r="AR154" s="172">
        <f t="shared" ref="AR154:AR155" si="241">AP154*AQ154*B154</f>
        <v>273.28324320000007</v>
      </c>
      <c r="AT154" s="90"/>
      <c r="AU154" s="90"/>
      <c r="AV154" s="90"/>
      <c r="AW154" s="90"/>
      <c r="AX154" s="90"/>
      <c r="AY154" s="90"/>
      <c r="AZ154" s="90"/>
      <c r="BA154" s="236"/>
      <c r="BB154" s="164"/>
      <c r="BC154" s="229"/>
      <c r="BD154" s="164"/>
      <c r="BE154" s="164"/>
      <c r="BF154" s="164"/>
      <c r="BG154" s="85"/>
      <c r="BH154" s="85"/>
      <c r="BI154" s="85"/>
      <c r="BJ154" s="85"/>
      <c r="BK154" s="85"/>
      <c r="BL154" s="139"/>
      <c r="BM154" s="139"/>
      <c r="BN154" s="139"/>
      <c r="BO154" s="111"/>
      <c r="BQ154" s="111"/>
      <c r="BR154" s="111"/>
    </row>
    <row r="155" spans="1:70" s="77" customFormat="1" ht="16.5" customHeight="1">
      <c r="A155" s="148">
        <f t="shared" si="234"/>
        <v>7.6302000000000003</v>
      </c>
      <c r="B155" s="148">
        <f t="shared" si="235"/>
        <v>335.72880000000004</v>
      </c>
      <c r="C155" s="150"/>
      <c r="D155" s="149" t="s">
        <v>114</v>
      </c>
      <c r="E155" s="149"/>
      <c r="F155" s="150" t="s">
        <v>117</v>
      </c>
      <c r="G155" s="149" t="s">
        <v>111</v>
      </c>
      <c r="H155" s="151">
        <v>180</v>
      </c>
      <c r="I155" s="150" t="s">
        <v>102</v>
      </c>
      <c r="J155" s="151">
        <v>360</v>
      </c>
      <c r="K155" s="151">
        <v>2</v>
      </c>
      <c r="L155" s="151">
        <f>K$155*L$152</f>
        <v>44</v>
      </c>
      <c r="M155" s="148">
        <f t="shared" si="236"/>
        <v>5.7023999999999999</v>
      </c>
      <c r="N155" s="150" t="s">
        <v>112</v>
      </c>
      <c r="P155" s="150"/>
      <c r="Q155" s="175">
        <v>3</v>
      </c>
      <c r="R155" s="150"/>
      <c r="S155" s="150"/>
      <c r="T155" s="150"/>
      <c r="U155" s="150"/>
      <c r="V155" s="150"/>
      <c r="W155" s="150"/>
      <c r="X155" s="150"/>
      <c r="Y155" s="150"/>
      <c r="Z155" s="150"/>
      <c r="AA155" s="150"/>
      <c r="AB155" s="150" t="s">
        <v>104</v>
      </c>
      <c r="AC155" s="170">
        <f>((((H155+J155)*2/1000)*L155*(5/(VLOOKUP(F155,[1]Plasmalõikus!$A$7:$E$46,2,FALSE)/1000*60)))+(Q155*L155*(5*(VLOOKUP(F155,[1]Plasmalõikus!$A$7:$E$48,3,FALSE))/60/60)))</f>
        <v>3.8500000000000005</v>
      </c>
      <c r="AD155" s="170">
        <f t="shared" si="237"/>
        <v>0.57024000000000008</v>
      </c>
      <c r="AE155" s="170"/>
      <c r="AF155" s="171"/>
      <c r="AG155" s="171">
        <f t="shared" si="238"/>
        <v>0</v>
      </c>
      <c r="AH155" s="170"/>
      <c r="AI155" s="165">
        <f t="shared" si="239"/>
        <v>11</v>
      </c>
      <c r="AJ155" s="98">
        <f>(H155*3*AK155)*1*L155/1000</f>
        <v>23.76</v>
      </c>
      <c r="AK155" s="77">
        <v>1</v>
      </c>
      <c r="AL155" s="201" t="str">
        <f>IF(AND(Q155&gt;0,A155&lt;3),"10",IF(AND(Q155&gt;0,A155&lt;10),"15",IF(AND(Q155&gt;0,A155&lt;20),"20",IF(AND(Q155&gt;0,A155&lt;500),"30",IF(AND(Q155=0,A155&lt;3),"2",IF(AND(Q155=0,A155&lt;10),"5",IF(AND(Q155=0,A155&lt;20),"10",IF(AND(Q155=0,A155&lt;500),"20","2"))))))))</f>
        <v>15</v>
      </c>
      <c r="AN155" s="94"/>
      <c r="AP155" s="180">
        <f>(VLOOKUP(F155,Terasehind!$A$2:$B$157,2,FALSE))</f>
        <v>0.74</v>
      </c>
      <c r="AQ155" s="77">
        <v>1.1000000000000001</v>
      </c>
      <c r="AR155" s="172">
        <f t="shared" si="241"/>
        <v>273.28324320000007</v>
      </c>
      <c r="AT155" s="90"/>
      <c r="AU155" s="90"/>
      <c r="AV155" s="90"/>
      <c r="AW155" s="90"/>
      <c r="AX155" s="90"/>
      <c r="AY155" s="90"/>
      <c r="AZ155" s="90"/>
      <c r="BA155" s="230"/>
      <c r="BB155" s="139"/>
      <c r="BC155" s="230"/>
      <c r="BD155" s="85"/>
      <c r="BE155" s="85"/>
      <c r="BF155" s="85"/>
      <c r="BG155" s="85"/>
      <c r="BH155" s="85"/>
      <c r="BK155" s="85"/>
      <c r="BL155" s="85"/>
      <c r="BN155" s="139"/>
      <c r="BO155" s="111"/>
      <c r="BQ155" s="111"/>
      <c r="BR155" s="111"/>
    </row>
    <row r="156" spans="1:70" s="77" customFormat="1">
      <c r="A156" s="148"/>
      <c r="B156" s="148"/>
      <c r="C156" s="150"/>
      <c r="D156" s="149"/>
      <c r="E156" s="149"/>
      <c r="F156" s="150"/>
      <c r="G156" s="149"/>
      <c r="H156" s="151"/>
      <c r="I156" s="150"/>
      <c r="J156" s="151"/>
      <c r="K156" s="151"/>
      <c r="L156" s="151"/>
      <c r="M156" s="148"/>
      <c r="N156" s="150"/>
      <c r="P156" s="150"/>
      <c r="Q156" s="211"/>
      <c r="R156" s="150"/>
      <c r="S156" s="150"/>
      <c r="T156" s="150"/>
      <c r="U156" s="150"/>
      <c r="V156" s="150"/>
      <c r="W156" s="150"/>
      <c r="X156" s="150"/>
      <c r="Y156" s="150"/>
      <c r="Z156" s="150"/>
      <c r="AA156" s="150"/>
      <c r="AB156" s="150"/>
      <c r="AC156" s="170"/>
      <c r="AD156" s="170"/>
      <c r="AE156" s="170"/>
      <c r="AF156" s="170"/>
      <c r="AG156" s="170"/>
      <c r="AH156" s="170"/>
      <c r="AI156" s="165"/>
      <c r="AJ156" s="88"/>
      <c r="AN156" s="94"/>
      <c r="AP156" s="180"/>
      <c r="AR156" s="172"/>
      <c r="AT156" s="90"/>
      <c r="AU156" s="90"/>
      <c r="AV156" s="90"/>
      <c r="AW156" s="90"/>
      <c r="AX156" s="90"/>
      <c r="AY156" s="90"/>
      <c r="AZ156" s="90"/>
      <c r="BA156" s="236"/>
      <c r="BB156" s="164"/>
      <c r="BC156" s="229"/>
      <c r="BD156" s="164"/>
      <c r="BE156" s="164"/>
      <c r="BF156" s="85"/>
      <c r="BG156" s="85"/>
      <c r="BH156" s="85"/>
      <c r="BI156" s="85"/>
      <c r="BJ156" s="85"/>
      <c r="BK156" s="139"/>
      <c r="BL156" s="139"/>
      <c r="BM156" s="139"/>
      <c r="BN156" s="111"/>
      <c r="BP156" s="111"/>
      <c r="BQ156" s="111"/>
    </row>
    <row r="157" spans="1:70" s="77" customFormat="1">
      <c r="A157" s="182">
        <f>B157/L157</f>
        <v>81.1828</v>
      </c>
      <c r="B157" s="182">
        <f>SUM(B160,B159,B158,0)</f>
        <v>6494.6239999999998</v>
      </c>
      <c r="C157" s="187"/>
      <c r="D157" s="183" t="s">
        <v>100</v>
      </c>
      <c r="E157" s="183"/>
      <c r="F157" s="184" t="str">
        <f>"Side "&amp;F158</f>
        <v>Side CFRHS100x100x6</v>
      </c>
      <c r="G157" s="166"/>
      <c r="H157" s="185">
        <v>160</v>
      </c>
      <c r="I157" s="186" t="s">
        <v>102</v>
      </c>
      <c r="J157" s="185">
        <f>J158</f>
        <v>4310</v>
      </c>
      <c r="K157" s="168">
        <v>80</v>
      </c>
      <c r="L157" s="185">
        <f>$L$136*$K$157</f>
        <v>80</v>
      </c>
      <c r="M157" s="182">
        <f>SUM(M160,M159,M158,0)</f>
        <v>141.43120000000002</v>
      </c>
      <c r="N157" s="186"/>
      <c r="O157" s="186"/>
      <c r="P157" s="186"/>
      <c r="Q157" s="186"/>
      <c r="R157" s="152"/>
      <c r="S157" s="152"/>
      <c r="T157" s="152"/>
      <c r="U157" s="152"/>
      <c r="V157" s="152"/>
      <c r="W157" s="150"/>
      <c r="X157" s="150" t="s">
        <v>104</v>
      </c>
      <c r="Y157" s="186">
        <v>4</v>
      </c>
      <c r="Z157" s="186"/>
      <c r="AA157" s="186"/>
      <c r="AB157" s="186"/>
      <c r="AC157" s="182">
        <f>SUM(AC160,AC159,AC158,0)</f>
        <v>11.703703703703702</v>
      </c>
      <c r="AD157" s="182">
        <f>SUM(AD160,AD159,AD158,0)</f>
        <v>1.9968000000000001</v>
      </c>
      <c r="AE157" s="182">
        <f>SUM(AE160,AE159,AE158,0)</f>
        <v>13.333333333333332</v>
      </c>
      <c r="AF157" s="182">
        <f>SUM(AF160,AF159,AF158,0)</f>
        <v>0</v>
      </c>
      <c r="AG157" s="182">
        <f>SUM(AG160,AG159,AG158,0)</f>
        <v>0</v>
      </c>
      <c r="AH157" s="137">
        <f>SUM(AC157:AG157)</f>
        <v>27.033837037037035</v>
      </c>
      <c r="AI157" s="137">
        <f>SUM(AI160,AI159,AI158,0)</f>
        <v>45.333333333333336</v>
      </c>
      <c r="AJ157" s="182">
        <f>SUM(AJ160,AJ159,AJ158,0)</f>
        <v>102.4</v>
      </c>
      <c r="AK157" s="137">
        <f>AJ157*10/60</f>
        <v>17.066666666666666</v>
      </c>
      <c r="AL157" s="182">
        <f>AH157+AI157+AK157</f>
        <v>89.433837037037037</v>
      </c>
      <c r="AM157" s="182">
        <f>B157/AL157</f>
        <v>72.619315185038914</v>
      </c>
      <c r="AN157" s="182">
        <f>AL157*46</f>
        <v>4113.9565037037037</v>
      </c>
      <c r="AO157" s="182">
        <f>AN157/B157</f>
        <v>0.6334402890303894</v>
      </c>
      <c r="AP157" s="182">
        <f>AR157/B157</f>
        <v>0.78060635011357093</v>
      </c>
      <c r="AQ157" s="95"/>
      <c r="AR157" s="182">
        <f>SUM(AR160,AR159,AR158,0)</f>
        <v>5069.7447360000006</v>
      </c>
      <c r="AT157" s="82"/>
      <c r="AU157" s="82"/>
      <c r="AV157" s="82"/>
      <c r="AW157" s="82"/>
      <c r="AX157" s="93"/>
      <c r="AY157" s="82"/>
      <c r="AZ157" s="82"/>
      <c r="BA157" s="234"/>
      <c r="BB157" s="164"/>
      <c r="BC157" s="229"/>
      <c r="BD157" s="85"/>
      <c r="BE157" s="85"/>
      <c r="BF157" s="85"/>
      <c r="BG157" s="85"/>
      <c r="BH157" s="85"/>
      <c r="BI157" s="85"/>
      <c r="BJ157" s="88"/>
    </row>
    <row r="158" spans="1:70" s="77" customFormat="1">
      <c r="A158" s="148">
        <f xml:space="preserve"> 17*J158/10^3</f>
        <v>73.27</v>
      </c>
      <c r="B158" s="148">
        <f>A158*L158</f>
        <v>5861.5999999999995</v>
      </c>
      <c r="C158" s="173" t="s">
        <v>153</v>
      </c>
      <c r="D158" s="149" t="s">
        <v>100</v>
      </c>
      <c r="E158" s="149"/>
      <c r="F158" s="150" t="s">
        <v>106</v>
      </c>
      <c r="G158" s="174" t="s">
        <v>107</v>
      </c>
      <c r="H158" s="151">
        <v>100</v>
      </c>
      <c r="I158" s="150" t="s">
        <v>102</v>
      </c>
      <c r="J158" s="151">
        <v>4310</v>
      </c>
      <c r="K158" s="77">
        <v>1</v>
      </c>
      <c r="L158" s="151">
        <f>K$158*L$157</f>
        <v>80</v>
      </c>
      <c r="M158" s="164">
        <f xml:space="preserve"> 0.379*J158*L158/10^3</f>
        <v>130.67920000000001</v>
      </c>
      <c r="N158" s="150"/>
      <c r="O158" s="150"/>
      <c r="P158" s="150" t="s">
        <v>104</v>
      </c>
      <c r="Q158" s="169"/>
      <c r="R158" s="150"/>
      <c r="S158" s="150"/>
      <c r="T158" s="150"/>
      <c r="U158" s="150"/>
      <c r="V158" s="150"/>
      <c r="W158" s="150"/>
      <c r="Y158" s="150"/>
      <c r="Z158" s="150"/>
      <c r="AA158" s="150"/>
      <c r="AB158" s="150" t="s">
        <v>104</v>
      </c>
      <c r="AC158" s="148"/>
      <c r="AD158" s="111"/>
      <c r="AE158" s="170">
        <f>(H158/20/60)*2*L158</f>
        <v>13.333333333333332</v>
      </c>
      <c r="AF158" s="171"/>
      <c r="AG158" s="165">
        <f>Q158*L158*0.5/60</f>
        <v>0</v>
      </c>
      <c r="AH158" s="111"/>
      <c r="AI158" s="165">
        <f>AL158*L158/60</f>
        <v>13.333333333333334</v>
      </c>
      <c r="AJ158" s="98">
        <f>(H158*4*AK158)*2*L158/1000</f>
        <v>64</v>
      </c>
      <c r="AK158" s="77">
        <f>(VLOOKUP(F158,[1]Koostamine!$A$12:$E$1603,3,FALSE))</f>
        <v>1</v>
      </c>
      <c r="AL158" s="97">
        <f>VLOOKUP(F158,[1]Koostamine!$A$12:$K$1603,IF(J158&lt;1499,6,IF(J158&lt;2999,7,IF(J158&lt;5999,8,IF(J158&lt;9999,9,IF(J158&lt;12999,10,IF(J158&gt;13000,11)))))),FALSE)</f>
        <v>10</v>
      </c>
      <c r="AP158" s="180">
        <f>(VLOOKUP(F158,Terasehind!$A$2:$B$157,2,FALSE))</f>
        <v>0.74</v>
      </c>
      <c r="AQ158" s="77">
        <f>(VLOOKUP(F158,Terasehind!$A$2:$C$157,3,FALSE))</f>
        <v>1.05</v>
      </c>
      <c r="AR158" s="172">
        <f>AP158*AQ158*B158</f>
        <v>4554.4632000000001</v>
      </c>
      <c r="AT158" s="90"/>
      <c r="AU158" s="90"/>
      <c r="AV158" s="90"/>
      <c r="AW158" s="90"/>
      <c r="AX158" s="90"/>
      <c r="AY158" s="90"/>
      <c r="AZ158" s="90"/>
      <c r="BA158" s="236"/>
      <c r="BB158" s="164"/>
      <c r="BC158" s="229"/>
      <c r="BD158" s="164"/>
      <c r="BE158" s="164"/>
      <c r="BF158" s="85"/>
      <c r="BG158" s="85"/>
      <c r="BH158" s="85"/>
      <c r="BI158" s="85"/>
      <c r="BJ158" s="85"/>
      <c r="BK158" s="88"/>
      <c r="BL158" s="85"/>
      <c r="BM158" s="88"/>
      <c r="BN158" s="111"/>
      <c r="BP158" s="139"/>
    </row>
    <row r="159" spans="1:70" s="77" customFormat="1">
      <c r="A159" s="148">
        <f t="shared" ref="A159:A160" si="242">H159*J159*(RIGHT(F159,2))*7.85/(10^6)</f>
        <v>1.9782</v>
      </c>
      <c r="B159" s="148">
        <f t="shared" ref="B159:B160" si="243">A159*L159</f>
        <v>316.512</v>
      </c>
      <c r="C159" s="150" t="s">
        <v>108</v>
      </c>
      <c r="D159" s="149" t="s">
        <v>109</v>
      </c>
      <c r="E159" s="149"/>
      <c r="F159" s="150" t="s">
        <v>117</v>
      </c>
      <c r="G159" s="149" t="s">
        <v>111</v>
      </c>
      <c r="H159" s="151">
        <v>120</v>
      </c>
      <c r="I159" s="150" t="s">
        <v>102</v>
      </c>
      <c r="J159" s="151">
        <v>140</v>
      </c>
      <c r="K159" s="151">
        <v>2</v>
      </c>
      <c r="L159" s="151">
        <f>K$159*L$157</f>
        <v>160</v>
      </c>
      <c r="M159" s="148">
        <f t="shared" ref="M159:M160" si="244">2*H159*J159/10^6*L159</f>
        <v>5.3759999999999994</v>
      </c>
      <c r="N159" s="150" t="s">
        <v>112</v>
      </c>
      <c r="P159" s="150"/>
      <c r="Q159" s="169"/>
      <c r="R159" s="150"/>
      <c r="S159" s="150"/>
      <c r="T159" s="150"/>
      <c r="U159" s="150"/>
      <c r="V159" s="150"/>
      <c r="W159" s="150"/>
      <c r="X159" s="150"/>
      <c r="Y159" s="150"/>
      <c r="Z159" s="150"/>
      <c r="AA159" s="150"/>
      <c r="AB159" s="150" t="s">
        <v>104</v>
      </c>
      <c r="AC159" s="170">
        <f>((((H159+J159)*2/1000)*L159*(5/(VLOOKUP(F159,[1]Plasmalõikus!$A$7:$E$46,2,FALSE)/1000*60)))+(Q159*L159*(5*(VLOOKUP(F159,[1]Plasmalõikus!$A$7:$E$48,3,FALSE))/60/60)))</f>
        <v>3.8518518518518516</v>
      </c>
      <c r="AD159" s="170">
        <f t="shared" ref="AD159:AD160" si="245">0.012*((H159+J159)*2/1000*L159)</f>
        <v>0.99840000000000007</v>
      </c>
      <c r="AE159" s="170"/>
      <c r="AF159" s="171"/>
      <c r="AG159" s="171">
        <f t="shared" ref="AG159:AG160" si="246">IF(VALUE(MID(F159,SEARCH(" ",F159)+1,LEN(F159)))&lt;35,0,IF(VALUE(MID(F159,SEARCH(" ",F159)+1,LEN(F159)))&lt;40,3,IF(VALUE(MID(F159,SEARCH(" ",F159)+1,LEN(F159)))&lt;50,4,IF(VALUE(MID(F159,SEARCH(" ",F159)+1,LEN(F159)))&lt;60,5,IF(VALUE(MID(F159,SEARCH(" ",F159)+1,LEN(F159)))&lt;70,6,IF(VALUE(MID(F159,SEARCH(" ",F159)+1,LEN(F159)))&lt;80,7,IF(VALUE(MID(F159,SEARCH(" ",F159)+1,LEN(F159)))&lt;90,8,IF(VALUE(MID(F159,SEARCH(" ",F159)+1,LEN(F159)))&lt;100,9,10))))))))/60*Q159*L159</f>
        <v>0</v>
      </c>
      <c r="AH159" s="170"/>
      <c r="AI159" s="165">
        <f t="shared" ref="AI159:AI160" si="247">AL159*L159/60</f>
        <v>5.333333333333333</v>
      </c>
      <c r="AJ159" s="98"/>
      <c r="AK159" s="77">
        <v>1</v>
      </c>
      <c r="AL159" s="201" t="str">
        <f t="shared" ref="AL159" si="248">IF(A159&gt;40,"30",IF(A159&gt;10,"10",IF(A159&gt;20,"20","2")))</f>
        <v>2</v>
      </c>
      <c r="AN159" s="94"/>
      <c r="AP159" s="180">
        <f>(VLOOKUP(F159,Terasehind!$A$2:$B$157,2,FALSE))</f>
        <v>0.74</v>
      </c>
      <c r="AQ159" s="77">
        <v>1.1000000000000001</v>
      </c>
      <c r="AR159" s="172">
        <f t="shared" ref="AR159:AR160" si="249">AP159*AQ159*B159</f>
        <v>257.64076800000004</v>
      </c>
      <c r="AT159" s="90"/>
      <c r="AU159" s="90"/>
      <c r="AV159" s="90"/>
      <c r="AW159" s="90"/>
      <c r="AX159" s="90"/>
      <c r="AY159" s="90"/>
      <c r="AZ159" s="90"/>
      <c r="BA159" s="236"/>
      <c r="BB159" s="164"/>
      <c r="BC159" s="229"/>
      <c r="BD159" s="164"/>
      <c r="BE159" s="164"/>
      <c r="BF159" s="164"/>
      <c r="BG159" s="85"/>
      <c r="BH159" s="85"/>
      <c r="BI159" s="85"/>
      <c r="BJ159" s="85"/>
      <c r="BK159" s="85"/>
      <c r="BL159" s="139"/>
      <c r="BM159" s="139"/>
      <c r="BN159" s="139"/>
      <c r="BO159" s="111"/>
      <c r="BQ159" s="111"/>
      <c r="BR159" s="111"/>
    </row>
    <row r="160" spans="1:70" s="77" customFormat="1" ht="16.5" customHeight="1">
      <c r="A160" s="148">
        <f t="shared" si="242"/>
        <v>1.9782</v>
      </c>
      <c r="B160" s="148">
        <f t="shared" si="243"/>
        <v>316.512</v>
      </c>
      <c r="C160" s="150"/>
      <c r="D160" s="149" t="s">
        <v>114</v>
      </c>
      <c r="E160" s="149"/>
      <c r="F160" s="150" t="s">
        <v>117</v>
      </c>
      <c r="G160" s="149" t="s">
        <v>111</v>
      </c>
      <c r="H160" s="151">
        <v>120</v>
      </c>
      <c r="I160" s="150" t="s">
        <v>102</v>
      </c>
      <c r="J160" s="151">
        <v>140</v>
      </c>
      <c r="K160" s="151">
        <v>2</v>
      </c>
      <c r="L160" s="151">
        <f>K$160*L$157</f>
        <v>160</v>
      </c>
      <c r="M160" s="148">
        <f t="shared" si="244"/>
        <v>5.3759999999999994</v>
      </c>
      <c r="N160" s="150" t="s">
        <v>112</v>
      </c>
      <c r="P160" s="150"/>
      <c r="Q160" s="175">
        <v>2</v>
      </c>
      <c r="R160" s="150"/>
      <c r="S160" s="150"/>
      <c r="T160" s="150"/>
      <c r="U160" s="150"/>
      <c r="V160" s="150"/>
      <c r="W160" s="150"/>
      <c r="X160" s="150"/>
      <c r="Y160" s="150"/>
      <c r="Z160" s="150"/>
      <c r="AA160" s="150"/>
      <c r="AB160" s="150" t="s">
        <v>104</v>
      </c>
      <c r="AC160" s="170">
        <f>((((H160+J160)*2/1000)*L160*(5/(VLOOKUP(F160,[1]Plasmalõikus!$A$7:$E$46,2,FALSE)/1000*60)))+(Q160*L160*(5*(VLOOKUP(F160,[1]Plasmalõikus!$A$7:$E$48,3,FALSE))/60/60)))</f>
        <v>7.8518518518518512</v>
      </c>
      <c r="AD160" s="170">
        <f t="shared" si="245"/>
        <v>0.99840000000000007</v>
      </c>
      <c r="AE160" s="170"/>
      <c r="AF160" s="171"/>
      <c r="AG160" s="171">
        <f t="shared" si="246"/>
        <v>0</v>
      </c>
      <c r="AH160" s="170"/>
      <c r="AI160" s="165">
        <f t="shared" si="247"/>
        <v>26.666666666666668</v>
      </c>
      <c r="AJ160" s="98">
        <f>(H160*2*AK160)*1*L160/1000</f>
        <v>38.4</v>
      </c>
      <c r="AK160" s="77">
        <v>1</v>
      </c>
      <c r="AL160" s="201" t="str">
        <f>IF(AND(Q160&gt;0,A160&lt;3),"10",IF(AND(Q160&gt;0,A160&lt;10),"15",IF(AND(Q160&gt;0,A160&lt;20),"20",IF(AND(Q160&gt;0,A160&lt;500),"30",IF(AND(Q160=0,A160&lt;3),"2",IF(AND(Q160=0,A160&lt;10),"5",IF(AND(Q160=0,A160&lt;20),"10",IF(AND(Q160=0,A160&lt;500),"20","2"))))))))</f>
        <v>10</v>
      </c>
      <c r="AN160" s="94"/>
      <c r="AP160" s="180">
        <f>(VLOOKUP(F160,Terasehind!$A$2:$B$157,2,FALSE))</f>
        <v>0.74</v>
      </c>
      <c r="AQ160" s="77">
        <v>1.1000000000000001</v>
      </c>
      <c r="AR160" s="172">
        <f t="shared" si="249"/>
        <v>257.64076800000004</v>
      </c>
      <c r="AT160" s="90"/>
      <c r="AU160" s="90"/>
      <c r="AV160" s="90"/>
      <c r="AW160" s="90"/>
      <c r="AX160" s="90"/>
      <c r="AY160" s="90"/>
      <c r="AZ160" s="90"/>
      <c r="BA160" s="230"/>
      <c r="BB160" s="139"/>
      <c r="BC160" s="230"/>
      <c r="BD160" s="85"/>
      <c r="BE160" s="85"/>
      <c r="BF160" s="85"/>
      <c r="BG160" s="85"/>
      <c r="BH160" s="85"/>
      <c r="BK160" s="85"/>
      <c r="BL160" s="85"/>
      <c r="BN160" s="139"/>
      <c r="BO160" s="111"/>
      <c r="BQ160" s="111"/>
      <c r="BR160" s="111"/>
    </row>
    <row r="161" spans="1:70" customFormat="1" ht="16.5" customHeight="1"/>
    <row r="162" spans="1:70" s="77" customFormat="1" ht="15" thickBot="1">
      <c r="A162" s="148"/>
      <c r="B162" s="148"/>
      <c r="C162" s="148"/>
      <c r="D162" s="149"/>
      <c r="E162" s="149"/>
      <c r="F162" s="149"/>
      <c r="G162" s="149"/>
      <c r="H162" s="149"/>
      <c r="I162" s="149"/>
      <c r="J162" s="149"/>
      <c r="K162" s="149"/>
      <c r="L162" s="149"/>
      <c r="M162" s="274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234"/>
      <c r="BB162" s="164"/>
      <c r="BC162" s="229"/>
      <c r="BD162" s="164"/>
      <c r="BE162" s="164"/>
      <c r="BF162" s="164"/>
      <c r="BG162" s="85"/>
      <c r="BH162" s="85"/>
      <c r="BI162" s="85"/>
      <c r="BJ162" s="111"/>
    </row>
    <row r="163" spans="1:70" s="77" customFormat="1" ht="29.25" thickBot="1">
      <c r="A163" s="189">
        <f>B163/L163</f>
        <v>9621.9375999999993</v>
      </c>
      <c r="B163" s="189">
        <f>B$180+B$176+B$172+B$167</f>
        <v>9621.9375999999993</v>
      </c>
      <c r="C163" s="190"/>
      <c r="D163" s="190" t="s">
        <v>122</v>
      </c>
      <c r="E163" s="190"/>
      <c r="F163" s="191" t="s">
        <v>157</v>
      </c>
      <c r="G163" s="213" t="s">
        <v>16</v>
      </c>
      <c r="H163" s="192">
        <v>150</v>
      </c>
      <c r="I163" s="193" t="s">
        <v>102</v>
      </c>
      <c r="J163" s="192">
        <v>7500</v>
      </c>
      <c r="K163" s="192">
        <v>1</v>
      </c>
      <c r="L163" s="192">
        <f>$L$11*$K$163</f>
        <v>1</v>
      </c>
      <c r="M163" s="189">
        <f>M$180+M$176+M$172+M$167</f>
        <v>217.04828000000001</v>
      </c>
      <c r="N163" s="193"/>
      <c r="O163" s="193"/>
      <c r="P163" s="193"/>
      <c r="Q163" s="193"/>
      <c r="R163" s="193"/>
      <c r="S163" s="193"/>
      <c r="T163" s="193"/>
      <c r="U163" s="193"/>
      <c r="V163" s="193"/>
      <c r="W163" s="193"/>
      <c r="X163" s="193"/>
      <c r="Y163" s="193">
        <v>3</v>
      </c>
      <c r="Z163" s="193"/>
      <c r="AA163" s="193"/>
      <c r="AB163" s="193"/>
      <c r="AC163" s="189">
        <f>AC$180+AC$176+AC$172+AC$167</f>
        <v>24.481777777777776</v>
      </c>
      <c r="AD163" s="189">
        <f>AD$180+AD$176+AD$172+AD$167</f>
        <v>2.9894400000000001</v>
      </c>
      <c r="AE163" s="189">
        <f>AE$180+AE$176+AE$172+AE$167</f>
        <v>34.75</v>
      </c>
      <c r="AF163" s="189">
        <f>AF$180+AF$176+AF$172+AF$167</f>
        <v>0</v>
      </c>
      <c r="AG163" s="189">
        <f>AG$180+AG$176+AG$172+AG$167</f>
        <v>4.8666666666666663</v>
      </c>
      <c r="AH163" s="137">
        <f>SUM(AC163:AG163)</f>
        <v>67.087884444444441</v>
      </c>
      <c r="AI163" s="137">
        <f>AI$180+AI$176+AI$172+AI$167</f>
        <v>35.43333333333333</v>
      </c>
      <c r="AJ163" s="189">
        <f>AJ$180+AJ$176+AJ$172+AJ$167</f>
        <v>192</v>
      </c>
      <c r="AK163" s="137">
        <f>AJ163*10/60</f>
        <v>32</v>
      </c>
      <c r="AL163" s="167">
        <f>AH163+AI163+AK163</f>
        <v>134.52121777777776</v>
      </c>
      <c r="AM163" s="209">
        <f>B163/AL163</f>
        <v>71.527285873184354</v>
      </c>
      <c r="AN163" s="194">
        <f>AL163*46</f>
        <v>6187.9760177777771</v>
      </c>
      <c r="AO163" s="195">
        <f>AN163/B163</f>
        <v>0.64311121886487577</v>
      </c>
      <c r="AP163" s="195">
        <f>AR163/B163</f>
        <v>0.78289202357745513</v>
      </c>
      <c r="AQ163" s="95"/>
      <c r="AR163" s="195">
        <f>AR$180+AR$176+AR$172+AR$167</f>
        <v>7532.9381984000011</v>
      </c>
      <c r="AS163" s="204">
        <f>$AU$2</f>
        <v>1.05</v>
      </c>
      <c r="AT163" s="161">
        <f>HLOOKUP(G163,$AB$1:$AK$2,2,FALSE)</f>
        <v>13</v>
      </c>
      <c r="AU163" s="202">
        <f>IF(AND(G163="HDG"),B163*AT163,M163*AT163)</f>
        <v>2821.6276400000002</v>
      </c>
      <c r="AV163" s="96">
        <f>B163*pakendus</f>
        <v>288.65812799999998</v>
      </c>
      <c r="AW163" s="195">
        <f>(AN163+AU163+AV163)</f>
        <v>9298.2617857777768</v>
      </c>
      <c r="AX163" s="162">
        <f>$AV$2</f>
        <v>1.05</v>
      </c>
      <c r="AY163" s="138">
        <f>(AR163*AS163)+(AW163*AX163)</f>
        <v>17672.75998338667</v>
      </c>
      <c r="AZ163" s="163">
        <f>ROUND(AY163/B163,3)</f>
        <v>1.837</v>
      </c>
      <c r="BA163" s="234"/>
      <c r="BB163" s="164"/>
      <c r="BC163" s="160">
        <f>B163/15000</f>
        <v>0.6414625066666666</v>
      </c>
      <c r="BD163" s="212"/>
      <c r="BE163" s="212"/>
      <c r="BF163" s="85"/>
      <c r="BG163" s="85"/>
      <c r="BH163" s="85"/>
      <c r="BI163" s="85"/>
      <c r="BJ163" s="111"/>
    </row>
    <row r="164" spans="1:70" s="77" customFormat="1">
      <c r="A164" s="148"/>
      <c r="B164" s="196">
        <f>SUMIF(F166:F178,"leht*",B166:B178)</f>
        <v>761.88959999999997</v>
      </c>
      <c r="C164" s="247">
        <f>(B164)/B163</f>
        <v>7.9182554665496896E-2</v>
      </c>
      <c r="D164" s="197" t="s">
        <v>98</v>
      </c>
      <c r="E164" s="149"/>
      <c r="F164" s="150"/>
      <c r="G164" s="149"/>
      <c r="H164" s="151"/>
      <c r="I164" s="150"/>
      <c r="J164" s="151"/>
      <c r="K164" s="151"/>
      <c r="L164" s="151"/>
      <c r="M164" s="144"/>
      <c r="N164" s="150"/>
      <c r="O164" s="150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  <c r="AA164" s="150"/>
      <c r="AB164" s="150"/>
      <c r="AD164" s="111"/>
      <c r="AE164" s="111"/>
      <c r="AF164" s="146"/>
      <c r="AG164" s="146"/>
      <c r="AH164" s="111"/>
      <c r="AI164" s="111"/>
      <c r="AJ164" s="111"/>
      <c r="AK164" s="111"/>
      <c r="AL164" s="111"/>
      <c r="AM164" s="88"/>
      <c r="AN164" s="94"/>
      <c r="AO164" s="89"/>
      <c r="AP164" s="90"/>
      <c r="AQ164" s="90"/>
      <c r="AT164" s="88"/>
      <c r="AU164" s="105"/>
      <c r="AV164" s="105"/>
      <c r="AW164" s="105"/>
      <c r="AX164" s="153"/>
      <c r="AY164" s="105"/>
      <c r="AZ164" s="105"/>
      <c r="BA164" s="234"/>
      <c r="BB164" s="164"/>
      <c r="BC164" s="229"/>
      <c r="BD164" s="164"/>
      <c r="BE164" s="164"/>
      <c r="BF164" s="164"/>
      <c r="BG164" s="85"/>
      <c r="BH164" s="85"/>
      <c r="BI164" s="85"/>
      <c r="BJ164" s="85"/>
      <c r="BK164" s="85"/>
      <c r="BL164" s="111"/>
      <c r="BM164" s="139"/>
      <c r="BO164" s="85"/>
      <c r="BP164" s="88"/>
    </row>
    <row r="165" spans="1:70" s="77" customFormat="1">
      <c r="A165" s="148"/>
      <c r="B165" s="148"/>
      <c r="C165" s="150"/>
      <c r="D165" s="149"/>
      <c r="E165" s="149"/>
      <c r="F165" s="261"/>
      <c r="G165" s="149"/>
      <c r="H165" s="151"/>
      <c r="I165" s="150"/>
      <c r="J165" s="151"/>
      <c r="K165" s="151"/>
      <c r="L165" s="151"/>
      <c r="M165" s="148"/>
      <c r="N165" s="150"/>
      <c r="P165" s="150"/>
      <c r="Q165" s="211"/>
      <c r="R165" s="150"/>
      <c r="S165" s="150"/>
      <c r="T165" s="150"/>
      <c r="U165" s="150"/>
      <c r="V165" s="150"/>
      <c r="W165" s="150"/>
      <c r="X165" s="150"/>
      <c r="Y165" s="150"/>
      <c r="Z165" s="150"/>
      <c r="AA165" s="150"/>
      <c r="AB165" s="150"/>
      <c r="AC165" s="170"/>
      <c r="AD165" s="170"/>
      <c r="AE165" s="170"/>
      <c r="AF165" s="170"/>
      <c r="AG165" s="170"/>
      <c r="AH165" s="170"/>
      <c r="AI165" s="165"/>
      <c r="AJ165" s="88"/>
      <c r="AN165" s="94"/>
      <c r="AP165" s="180"/>
      <c r="AR165" s="172"/>
      <c r="AT165" s="90"/>
      <c r="AU165" s="90"/>
      <c r="AV165" s="90"/>
      <c r="AW165" s="90"/>
      <c r="AX165" s="90"/>
      <c r="AY165" s="90"/>
      <c r="AZ165" s="90"/>
      <c r="BA165" s="236"/>
      <c r="BB165" s="164"/>
      <c r="BC165" s="229"/>
      <c r="BD165" s="164"/>
      <c r="BE165" s="164"/>
      <c r="BF165" s="85"/>
      <c r="BG165" s="85"/>
      <c r="BH165" s="85"/>
      <c r="BI165" s="85"/>
      <c r="BJ165" s="85"/>
      <c r="BK165" s="139"/>
      <c r="BL165" s="139"/>
      <c r="BM165" s="139"/>
      <c r="BN165" s="111"/>
      <c r="BP165" s="111"/>
      <c r="BQ165" s="111"/>
    </row>
    <row r="166" spans="1:70" s="77" customFormat="1">
      <c r="A166" s="148"/>
      <c r="B166" s="148"/>
      <c r="C166" s="150"/>
      <c r="D166" s="149"/>
      <c r="E166" s="149"/>
      <c r="F166" s="150"/>
      <c r="G166" s="149"/>
      <c r="H166" s="151"/>
      <c r="I166" s="150"/>
      <c r="J166" s="151"/>
      <c r="K166" s="151"/>
      <c r="L166" s="151"/>
      <c r="M166" s="148"/>
      <c r="N166" s="150"/>
      <c r="P166" s="150"/>
      <c r="Q166" s="211"/>
      <c r="R166" s="150"/>
      <c r="S166" s="150"/>
      <c r="T166" s="150"/>
      <c r="U166" s="150"/>
      <c r="V166" s="150"/>
      <c r="W166" s="150"/>
      <c r="X166" s="150"/>
      <c r="Y166" s="150"/>
      <c r="Z166" s="150"/>
      <c r="AA166" s="150"/>
      <c r="AB166" s="150"/>
      <c r="AC166" s="170"/>
      <c r="AD166" s="170"/>
      <c r="AE166" s="170"/>
      <c r="AF166" s="170"/>
      <c r="AG166" s="170"/>
      <c r="AH166" s="170"/>
      <c r="AI166" s="165"/>
      <c r="AJ166" s="88"/>
      <c r="AN166" s="94"/>
      <c r="AP166" s="180"/>
      <c r="AR166" s="172"/>
      <c r="AT166" s="90"/>
      <c r="AU166" s="90"/>
      <c r="AV166" s="90"/>
      <c r="AW166" s="90"/>
      <c r="AX166" s="90"/>
      <c r="AY166" s="90"/>
      <c r="AZ166" s="90"/>
      <c r="BA166" s="236"/>
      <c r="BB166" s="164"/>
      <c r="BC166" s="229"/>
      <c r="BD166" s="164"/>
      <c r="BE166" s="164"/>
      <c r="BF166" s="85"/>
      <c r="BG166" s="85"/>
      <c r="BH166" s="85"/>
      <c r="BI166" s="85"/>
      <c r="BJ166" s="85"/>
      <c r="BK166" s="139"/>
      <c r="BL166" s="139"/>
      <c r="BM166" s="139"/>
      <c r="BN166" s="111"/>
      <c r="BP166" s="111"/>
      <c r="BQ166" s="111"/>
    </row>
    <row r="167" spans="1:70" s="77" customFormat="1" ht="28.5">
      <c r="A167" s="182">
        <f>B167/L167</f>
        <v>31.599799999999998</v>
      </c>
      <c r="B167" s="182">
        <f>SUM(B169,B168,0)</f>
        <v>3286.3791999999999</v>
      </c>
      <c r="C167" s="187"/>
      <c r="D167" s="183" t="s">
        <v>100</v>
      </c>
      <c r="E167" s="183"/>
      <c r="F167" s="184" t="str">
        <f>"Aknaraamid  "&amp;F168</f>
        <v>Aknaraamid  CFRHS100x100x6</v>
      </c>
      <c r="G167" s="166"/>
      <c r="H167" s="185">
        <v>160</v>
      </c>
      <c r="I167" s="186" t="s">
        <v>102</v>
      </c>
      <c r="J167" s="185">
        <f>J168</f>
        <v>1615</v>
      </c>
      <c r="K167" s="168">
        <v>104</v>
      </c>
      <c r="L167" s="185">
        <f>$L$163*$K$167</f>
        <v>104</v>
      </c>
      <c r="M167" s="182">
        <f>SUM(M169,M168,0)</f>
        <v>74.639240000000001</v>
      </c>
      <c r="N167" s="186"/>
      <c r="O167" s="186"/>
      <c r="P167" s="186"/>
      <c r="Q167" s="186"/>
      <c r="R167" s="152"/>
      <c r="S167" s="152"/>
      <c r="T167" s="152"/>
      <c r="U167" s="152"/>
      <c r="V167" s="152"/>
      <c r="W167" s="150"/>
      <c r="X167" s="150" t="s">
        <v>104</v>
      </c>
      <c r="Y167" s="186">
        <v>4</v>
      </c>
      <c r="Z167" s="186"/>
      <c r="AA167" s="186"/>
      <c r="AB167" s="186"/>
      <c r="AC167" s="182">
        <f>SUM(AC169,AC168,0)</f>
        <v>13.95911111111111</v>
      </c>
      <c r="AD167" s="182">
        <f>SUM(AD169,AD168,0)</f>
        <v>1.6972799999999999</v>
      </c>
      <c r="AE167" s="182">
        <f>SUM(AE169,AE168,0)</f>
        <v>17.333333333333332</v>
      </c>
      <c r="AF167" s="182">
        <f>SUM(AF169,AF168,0)</f>
        <v>0</v>
      </c>
      <c r="AG167" s="182">
        <f>SUM(AG169,AG168,0)</f>
        <v>0</v>
      </c>
      <c r="AH167" s="137">
        <f>SUM(AC167:AG167)</f>
        <v>32.989724444444441</v>
      </c>
      <c r="AI167" s="137">
        <f>SUM(AI169,AI168,0)</f>
        <v>15.6</v>
      </c>
      <c r="AJ167" s="182">
        <f>SUM(AJ169,AJ168,0)</f>
        <v>83.2</v>
      </c>
      <c r="AK167" s="137">
        <f>AJ167*10/60</f>
        <v>13.866666666666667</v>
      </c>
      <c r="AL167" s="182">
        <f>AH167+AI167+AK167</f>
        <v>62.45639111111111</v>
      </c>
      <c r="AM167" s="182">
        <f>B167/AL167</f>
        <v>52.618781545566229</v>
      </c>
      <c r="AN167" s="182">
        <f>AL167*46</f>
        <v>2872.993991111111</v>
      </c>
      <c r="AO167" s="182">
        <f>AN167/B167</f>
        <v>0.87421256533972436</v>
      </c>
      <c r="AP167" s="182">
        <f>AR167/B167</f>
        <v>0.78185311932354007</v>
      </c>
      <c r="AQ167" s="95"/>
      <c r="AR167" s="182">
        <f>SUM(AR169,AR168,0)</f>
        <v>2569.4658288000001</v>
      </c>
      <c r="AT167" s="82"/>
      <c r="AU167" s="82"/>
      <c r="AV167" s="82"/>
      <c r="AW167" s="82"/>
      <c r="AX167" s="93"/>
      <c r="AY167" s="82"/>
      <c r="AZ167" s="82"/>
      <c r="BA167" s="234"/>
      <c r="BB167" s="164"/>
      <c r="BC167" s="229"/>
      <c r="BD167" s="85"/>
      <c r="BE167" s="85"/>
      <c r="BF167" s="85"/>
      <c r="BG167" s="85"/>
      <c r="BH167" s="85"/>
      <c r="BI167" s="85"/>
      <c r="BJ167" s="88"/>
    </row>
    <row r="168" spans="1:70" s="77" customFormat="1">
      <c r="A168" s="148">
        <f xml:space="preserve"> 17*J168/10^3</f>
        <v>27.454999999999998</v>
      </c>
      <c r="B168" s="148">
        <f>A168*L168</f>
        <v>2855.3199999999997</v>
      </c>
      <c r="C168" s="173" t="s">
        <v>158</v>
      </c>
      <c r="D168" s="149" t="s">
        <v>100</v>
      </c>
      <c r="E168" s="149"/>
      <c r="F168" s="150" t="s">
        <v>106</v>
      </c>
      <c r="G168" s="174" t="s">
        <v>107</v>
      </c>
      <c r="H168" s="151">
        <v>100</v>
      </c>
      <c r="I168" s="150" t="s">
        <v>102</v>
      </c>
      <c r="J168" s="151">
        <v>1615</v>
      </c>
      <c r="K168" s="77">
        <v>1</v>
      </c>
      <c r="L168" s="151">
        <f>K$168*L$167</f>
        <v>104</v>
      </c>
      <c r="M168" s="164">
        <f xml:space="preserve"> 0.379*J168*L168/10^3</f>
        <v>63.656840000000003</v>
      </c>
      <c r="N168" s="150"/>
      <c r="O168" s="150"/>
      <c r="P168" s="150" t="s">
        <v>104</v>
      </c>
      <c r="Q168" s="169"/>
      <c r="R168" s="150"/>
      <c r="S168" s="150"/>
      <c r="T168" s="150"/>
      <c r="U168" s="150"/>
      <c r="V168" s="150"/>
      <c r="W168" s="150"/>
      <c r="Y168" s="150"/>
      <c r="Z168" s="150"/>
      <c r="AA168" s="150"/>
      <c r="AB168" s="150" t="s">
        <v>104</v>
      </c>
      <c r="AC168" s="148"/>
      <c r="AD168" s="111"/>
      <c r="AE168" s="170">
        <f>(H168/20/60)*2*L168</f>
        <v>17.333333333333332</v>
      </c>
      <c r="AF168" s="171"/>
      <c r="AG168" s="165">
        <f>Q168*L168*0.5/60</f>
        <v>0</v>
      </c>
      <c r="AH168" s="111"/>
      <c r="AI168" s="165">
        <f>AL168*L168/60</f>
        <v>8.6666666666666661</v>
      </c>
      <c r="AJ168" s="98">
        <f>(H168*4*AK168)*2*L168/1000</f>
        <v>83.2</v>
      </c>
      <c r="AK168" s="77">
        <f>(VLOOKUP(F168,[1]Koostamine!$A$12:$E$1603,3,FALSE))</f>
        <v>1</v>
      </c>
      <c r="AL168" s="97">
        <f>VLOOKUP(F168,[1]Koostamine!$A$12:$K$1603,IF(J168&lt;1499,6,IF(J168&lt;2999,7,IF(J168&lt;5999,8,IF(J168&lt;9999,9,IF(J168&lt;12999,10,IF(J168&gt;13000,11)))))),FALSE)</f>
        <v>5</v>
      </c>
      <c r="AP168" s="180">
        <f>(VLOOKUP(F168,Terasehind!$A$2:$B$157,2,FALSE))</f>
        <v>0.74</v>
      </c>
      <c r="AQ168" s="77">
        <f>(VLOOKUP(F168,Terasehind!$A$2:$C$157,3,FALSE))</f>
        <v>1.05</v>
      </c>
      <c r="AR168" s="172">
        <f>AP168*AQ168*B168</f>
        <v>2218.5836399999998</v>
      </c>
      <c r="AT168" s="90"/>
      <c r="AU168" s="90"/>
      <c r="AV168" s="90"/>
      <c r="AW168" s="90"/>
      <c r="AX168" s="90"/>
      <c r="AY168" s="90"/>
      <c r="AZ168" s="90"/>
      <c r="BA168" s="236"/>
      <c r="BB168" s="164"/>
      <c r="BC168" s="229"/>
      <c r="BD168" s="164"/>
      <c r="BE168" s="164"/>
      <c r="BF168" s="85"/>
      <c r="BG168" s="85"/>
      <c r="BH168" s="85"/>
      <c r="BI168" s="85"/>
      <c r="BJ168" s="85"/>
      <c r="BK168" s="88"/>
      <c r="BL168" s="85"/>
      <c r="BM168" s="88"/>
      <c r="BN168" s="111"/>
      <c r="BP168" s="139"/>
    </row>
    <row r="169" spans="1:70" s="77" customFormat="1">
      <c r="A169" s="148">
        <f t="shared" ref="A169" si="250">H169*J169*(RIGHT(F169,2))*7.85/(10^6)</f>
        <v>2.0724</v>
      </c>
      <c r="B169" s="148">
        <f t="shared" ref="B169" si="251">A169*L169</f>
        <v>431.05920000000003</v>
      </c>
      <c r="C169" s="150" t="s">
        <v>108</v>
      </c>
      <c r="D169" s="149" t="s">
        <v>114</v>
      </c>
      <c r="E169" s="149"/>
      <c r="F169" s="150" t="s">
        <v>110</v>
      </c>
      <c r="G169" s="149" t="s">
        <v>111</v>
      </c>
      <c r="H169" s="151">
        <v>120</v>
      </c>
      <c r="I169" s="150" t="s">
        <v>102</v>
      </c>
      <c r="J169" s="151">
        <v>220</v>
      </c>
      <c r="K169" s="151">
        <v>2</v>
      </c>
      <c r="L169" s="151">
        <f>K$169*L$167</f>
        <v>208</v>
      </c>
      <c r="M169" s="148">
        <f t="shared" ref="M169" si="252">2*H169*J169/10^6*L169</f>
        <v>10.9824</v>
      </c>
      <c r="N169" s="150" t="s">
        <v>112</v>
      </c>
      <c r="P169" s="150"/>
      <c r="Q169" s="169">
        <v>4</v>
      </c>
      <c r="R169" s="150"/>
      <c r="S169" s="150"/>
      <c r="T169" s="150"/>
      <c r="U169" s="150"/>
      <c r="V169" s="150"/>
      <c r="W169" s="150"/>
      <c r="X169" s="150"/>
      <c r="Y169" s="150"/>
      <c r="Z169" s="150"/>
      <c r="AA169" s="150"/>
      <c r="AB169" s="150" t="s">
        <v>104</v>
      </c>
      <c r="AC169" s="170">
        <f>((((H169+J169)*2/1000)*L169*(5/(VLOOKUP(F169,[1]Plasmalõikus!$A$7:$E$46,2,FALSE)/1000*60)))+(Q169*L169*(5*(VLOOKUP(F169,[1]Plasmalõikus!$A$7:$E$48,3,FALSE))/60/60)))</f>
        <v>13.95911111111111</v>
      </c>
      <c r="AD169" s="170">
        <f t="shared" ref="AD169" si="253">0.012*((H169+J169)*2/1000*L169)</f>
        <v>1.6972799999999999</v>
      </c>
      <c r="AE169" s="170"/>
      <c r="AF169" s="171"/>
      <c r="AG169" s="171">
        <f t="shared" ref="AG169" si="254">IF(VALUE(MID(F169,SEARCH(" ",F169)+1,LEN(F169)))&lt;35,0,IF(VALUE(MID(F169,SEARCH(" ",F169)+1,LEN(F169)))&lt;40,3,IF(VALUE(MID(F169,SEARCH(" ",F169)+1,LEN(F169)))&lt;50,4,IF(VALUE(MID(F169,SEARCH(" ",F169)+1,LEN(F169)))&lt;60,5,IF(VALUE(MID(F169,SEARCH(" ",F169)+1,LEN(F169)))&lt;70,6,IF(VALUE(MID(F169,SEARCH(" ",F169)+1,LEN(F169)))&lt;80,7,IF(VALUE(MID(F169,SEARCH(" ",F169)+1,LEN(F169)))&lt;90,8,IF(VALUE(MID(F169,SEARCH(" ",F169)+1,LEN(F169)))&lt;100,9,10))))))))/60*Q169*L169</f>
        <v>0</v>
      </c>
      <c r="AH169" s="170"/>
      <c r="AI169" s="165">
        <f t="shared" ref="AI169" si="255">AL169*L169/60</f>
        <v>6.9333333333333336</v>
      </c>
      <c r="AJ169" s="98"/>
      <c r="AK169" s="77">
        <v>1</v>
      </c>
      <c r="AL169" s="201" t="str">
        <f t="shared" ref="AL169" si="256">IF(A169&gt;40,"30",IF(A169&gt;10,"10",IF(A169&gt;20,"20","2")))</f>
        <v>2</v>
      </c>
      <c r="AN169" s="94"/>
      <c r="AP169" s="180">
        <f>(VLOOKUP(F169,Terasehind!$A$2:$B$157,2,FALSE))</f>
        <v>0.74</v>
      </c>
      <c r="AQ169" s="77">
        <v>1.1000000000000001</v>
      </c>
      <c r="AR169" s="172">
        <f t="shared" ref="AR169" si="257">AP169*AQ169*B169</f>
        <v>350.88218880000005</v>
      </c>
      <c r="AT169" s="90"/>
      <c r="AU169" s="90"/>
      <c r="AV169" s="90"/>
      <c r="AW169" s="90"/>
      <c r="AX169" s="90"/>
      <c r="AY169" s="90"/>
      <c r="AZ169" s="90"/>
      <c r="BA169" s="236"/>
      <c r="BB169" s="164"/>
      <c r="BC169" s="229"/>
      <c r="BD169" s="164"/>
      <c r="BE169" s="164"/>
      <c r="BF169" s="164"/>
      <c r="BG169" s="85"/>
      <c r="BH169" s="85"/>
      <c r="BI169" s="85"/>
      <c r="BJ169" s="85"/>
      <c r="BK169" s="85"/>
      <c r="BL169" s="139"/>
      <c r="BM169" s="139"/>
      <c r="BN169" s="139"/>
      <c r="BO169" s="111"/>
      <c r="BQ169" s="111"/>
      <c r="BR169" s="111"/>
    </row>
    <row r="170" spans="1:70" s="77" customFormat="1">
      <c r="A170" s="148"/>
      <c r="B170" s="148"/>
      <c r="C170" s="150"/>
      <c r="D170" s="149"/>
      <c r="E170" s="149"/>
      <c r="F170" s="261"/>
      <c r="G170" s="149"/>
      <c r="H170" s="151"/>
      <c r="I170" s="150"/>
      <c r="J170" s="151"/>
      <c r="K170" s="151"/>
      <c r="L170" s="151"/>
      <c r="M170" s="148"/>
      <c r="N170" s="150"/>
      <c r="P170" s="150"/>
      <c r="Q170" s="211"/>
      <c r="R170" s="150"/>
      <c r="S170" s="150"/>
      <c r="T170" s="150"/>
      <c r="U170" s="150"/>
      <c r="V170" s="150"/>
      <c r="W170" s="150"/>
      <c r="X170" s="150"/>
      <c r="Y170" s="150"/>
      <c r="Z170" s="150"/>
      <c r="AA170" s="150"/>
      <c r="AB170" s="150"/>
      <c r="AC170" s="170"/>
      <c r="AD170" s="170"/>
      <c r="AE170" s="170"/>
      <c r="AF170" s="170"/>
      <c r="AG170" s="170"/>
      <c r="AH170" s="170"/>
      <c r="AI170" s="165"/>
      <c r="AJ170" s="88"/>
      <c r="AN170" s="94"/>
      <c r="AP170" s="180"/>
      <c r="AR170" s="172"/>
      <c r="AT170" s="90"/>
      <c r="AU170" s="90"/>
      <c r="AV170" s="90"/>
      <c r="AW170" s="90"/>
      <c r="AX170" s="90"/>
      <c r="AY170" s="90"/>
      <c r="AZ170" s="90"/>
      <c r="BA170" s="236"/>
      <c r="BB170" s="164"/>
      <c r="BC170" s="229"/>
      <c r="BD170" s="164"/>
      <c r="BE170" s="164"/>
      <c r="BF170" s="85"/>
      <c r="BG170" s="85"/>
      <c r="BH170" s="85"/>
      <c r="BI170" s="85"/>
      <c r="BJ170" s="85"/>
      <c r="BK170" s="139"/>
      <c r="BL170" s="139"/>
      <c r="BM170" s="139"/>
      <c r="BN170" s="111"/>
      <c r="BP170" s="111"/>
      <c r="BQ170" s="111"/>
    </row>
    <row r="171" spans="1:70" s="77" customFormat="1">
      <c r="A171" s="148"/>
      <c r="B171" s="148"/>
      <c r="C171" s="150"/>
      <c r="D171" s="149"/>
      <c r="E171" s="149"/>
      <c r="F171" s="150"/>
      <c r="G171" s="149"/>
      <c r="H171" s="151"/>
      <c r="I171" s="150"/>
      <c r="J171" s="151"/>
      <c r="K171" s="151"/>
      <c r="L171" s="151"/>
      <c r="M171" s="148"/>
      <c r="N171" s="150"/>
      <c r="P171" s="150"/>
      <c r="Q171" s="211"/>
      <c r="R171" s="150"/>
      <c r="S171" s="150"/>
      <c r="T171" s="150"/>
      <c r="U171" s="150"/>
      <c r="V171" s="150"/>
      <c r="W171" s="150"/>
      <c r="X171" s="150"/>
      <c r="Y171" s="150"/>
      <c r="Z171" s="150"/>
      <c r="AA171" s="150"/>
      <c r="AB171" s="150"/>
      <c r="AC171" s="170"/>
      <c r="AD171" s="170"/>
      <c r="AE171" s="170"/>
      <c r="AF171" s="170"/>
      <c r="AG171" s="170"/>
      <c r="AH171" s="170"/>
      <c r="AI171" s="165"/>
      <c r="AJ171" s="88"/>
      <c r="AN171" s="94"/>
      <c r="AP171" s="180"/>
      <c r="AR171" s="172"/>
      <c r="AT171" s="90"/>
      <c r="AU171" s="90"/>
      <c r="AV171" s="90"/>
      <c r="AW171" s="90"/>
      <c r="AX171" s="90"/>
      <c r="AY171" s="90"/>
      <c r="AZ171" s="90"/>
      <c r="BA171" s="236"/>
      <c r="BB171" s="164"/>
      <c r="BC171" s="229"/>
      <c r="BD171" s="164"/>
      <c r="BE171" s="164"/>
      <c r="BF171" s="85"/>
      <c r="BG171" s="85"/>
      <c r="BH171" s="85"/>
      <c r="BI171" s="85"/>
      <c r="BJ171" s="85"/>
      <c r="BK171" s="139"/>
      <c r="BL171" s="139"/>
      <c r="BM171" s="139"/>
      <c r="BN171" s="111"/>
      <c r="BP171" s="111"/>
      <c r="BQ171" s="111"/>
    </row>
    <row r="172" spans="1:70" s="77" customFormat="1" ht="28.5">
      <c r="A172" s="182">
        <f>B172/L172</f>
        <v>80.984800000000007</v>
      </c>
      <c r="B172" s="182">
        <f>SUM(B174,B173,0)</f>
        <v>5911.8904000000002</v>
      </c>
      <c r="C172" s="187"/>
      <c r="D172" s="183" t="s">
        <v>100</v>
      </c>
      <c r="E172" s="183"/>
      <c r="F172" s="184" t="str">
        <f>"Aknaraamid  "&amp;F173</f>
        <v>Aknaraamid  CFRHS100x100x6</v>
      </c>
      <c r="G172" s="166"/>
      <c r="H172" s="185">
        <v>160</v>
      </c>
      <c r="I172" s="186" t="s">
        <v>102</v>
      </c>
      <c r="J172" s="185">
        <f>J173</f>
        <v>4520</v>
      </c>
      <c r="K172" s="168">
        <v>73</v>
      </c>
      <c r="L172" s="185">
        <f>$L$163*$K$172</f>
        <v>73</v>
      </c>
      <c r="M172" s="182">
        <f>SUM(M174,M173,0)</f>
        <v>132.76364000000001</v>
      </c>
      <c r="N172" s="186"/>
      <c r="O172" s="186"/>
      <c r="P172" s="186"/>
      <c r="Q172" s="186"/>
      <c r="R172" s="152"/>
      <c r="S172" s="152"/>
      <c r="T172" s="152"/>
      <c r="U172" s="152"/>
      <c r="V172" s="152"/>
      <c r="W172" s="150"/>
      <c r="X172" s="150" t="s">
        <v>104</v>
      </c>
      <c r="Y172" s="186">
        <v>4</v>
      </c>
      <c r="Z172" s="186"/>
      <c r="AA172" s="186"/>
      <c r="AB172" s="186"/>
      <c r="AC172" s="182">
        <f>SUM(AC174,AC173,0)</f>
        <v>9.7982222222222219</v>
      </c>
      <c r="AD172" s="182">
        <f>SUM(AD174,AD173,0)</f>
        <v>1.19136</v>
      </c>
      <c r="AE172" s="182">
        <f>SUM(AE174,AE173,0)</f>
        <v>12.166666666666666</v>
      </c>
      <c r="AF172" s="182">
        <f>SUM(AF174,AF173,0)</f>
        <v>0</v>
      </c>
      <c r="AG172" s="182">
        <f>SUM(AG174,AG173,0)</f>
        <v>4.8666666666666663</v>
      </c>
      <c r="AH172" s="137">
        <f>SUM(AC172:AG172)</f>
        <v>28.022915555555556</v>
      </c>
      <c r="AI172" s="137">
        <f>SUM(AI174,AI173,0)</f>
        <v>17.033333333333331</v>
      </c>
      <c r="AJ172" s="182">
        <f>SUM(AJ174,AJ173,0)</f>
        <v>58.4</v>
      </c>
      <c r="AK172" s="137">
        <f>AJ172*10/60</f>
        <v>9.7333333333333325</v>
      </c>
      <c r="AL172" s="182">
        <f>AH172+AI172+AK172</f>
        <v>54.789582222222222</v>
      </c>
      <c r="AM172" s="182">
        <f>B172/AL172</f>
        <v>107.90172438296462</v>
      </c>
      <c r="AN172" s="182">
        <f>AL172*46</f>
        <v>2520.3207822222221</v>
      </c>
      <c r="AO172" s="182">
        <f>AN172/B172</f>
        <v>0.4263138542321796</v>
      </c>
      <c r="AP172" s="182">
        <f>AR172/B172</f>
        <v>0.77889365905700836</v>
      </c>
      <c r="AQ172" s="95"/>
      <c r="AR172" s="182">
        <f>SUM(AR174,AR173,0)</f>
        <v>4604.7339456000009</v>
      </c>
      <c r="AT172" s="82"/>
      <c r="AU172" s="82"/>
      <c r="AV172" s="82"/>
      <c r="AW172" s="82"/>
      <c r="AX172" s="93"/>
      <c r="AY172" s="82"/>
      <c r="AZ172" s="82"/>
      <c r="BA172" s="234"/>
      <c r="BB172" s="164"/>
      <c r="BC172" s="229"/>
      <c r="BD172" s="85"/>
      <c r="BE172" s="85"/>
      <c r="BF172" s="85"/>
      <c r="BG172" s="85"/>
      <c r="BH172" s="85"/>
      <c r="BI172" s="85"/>
      <c r="BJ172" s="88"/>
    </row>
    <row r="173" spans="1:70" s="77" customFormat="1">
      <c r="A173" s="148">
        <f xml:space="preserve"> 17*J173/10^3</f>
        <v>76.84</v>
      </c>
      <c r="B173" s="148">
        <f>A173*L173</f>
        <v>5609.3200000000006</v>
      </c>
      <c r="C173" s="173" t="s">
        <v>158</v>
      </c>
      <c r="D173" s="149" t="s">
        <v>100</v>
      </c>
      <c r="E173" s="149"/>
      <c r="F173" s="150" t="s">
        <v>106</v>
      </c>
      <c r="G173" s="174" t="s">
        <v>107</v>
      </c>
      <c r="H173" s="151">
        <v>100</v>
      </c>
      <c r="I173" s="150" t="s">
        <v>102</v>
      </c>
      <c r="J173" s="151">
        <v>4520</v>
      </c>
      <c r="K173" s="77">
        <v>1</v>
      </c>
      <c r="L173" s="151">
        <f>K$173*L$172</f>
        <v>73</v>
      </c>
      <c r="M173" s="164">
        <f xml:space="preserve"> 0.379*J173*L173/10^3</f>
        <v>125.05484</v>
      </c>
      <c r="N173" s="150"/>
      <c r="O173" s="150"/>
      <c r="P173" s="150" t="s">
        <v>104</v>
      </c>
      <c r="Q173" s="169">
        <v>8</v>
      </c>
      <c r="R173" s="150"/>
      <c r="S173" s="150"/>
      <c r="T173" s="150"/>
      <c r="U173" s="150"/>
      <c r="V173" s="150"/>
      <c r="W173" s="150"/>
      <c r="Y173" s="150"/>
      <c r="Z173" s="150"/>
      <c r="AA173" s="150"/>
      <c r="AB173" s="150" t="s">
        <v>104</v>
      </c>
      <c r="AC173" s="148"/>
      <c r="AD173" s="111"/>
      <c r="AE173" s="170">
        <f>(H173/20/60)*2*L173</f>
        <v>12.166666666666666</v>
      </c>
      <c r="AF173" s="171"/>
      <c r="AG173" s="165">
        <f>Q173*L173*0.5/60</f>
        <v>4.8666666666666663</v>
      </c>
      <c r="AH173" s="111"/>
      <c r="AI173" s="165">
        <f>AL173*L173/60</f>
        <v>12.166666666666666</v>
      </c>
      <c r="AJ173" s="98">
        <f>(H173*4*AK173)*2*L173/1000</f>
        <v>58.4</v>
      </c>
      <c r="AK173" s="77">
        <f>(VLOOKUP(F173,[1]Koostamine!$A$12:$E$1603,3,FALSE))</f>
        <v>1</v>
      </c>
      <c r="AL173" s="97">
        <f>VLOOKUP(F173,[1]Koostamine!$A$12:$K$1603,IF(J173&lt;1499,6,IF(J173&lt;2999,7,IF(J173&lt;5999,8,IF(J173&lt;9999,9,IF(J173&lt;12999,10,IF(J173&gt;13000,11)))))),FALSE)</f>
        <v>10</v>
      </c>
      <c r="AP173" s="180">
        <f>(VLOOKUP(F173,Terasehind!$A$2:$B$157,2,FALSE))</f>
        <v>0.74</v>
      </c>
      <c r="AQ173" s="77">
        <f>(VLOOKUP(F173,Terasehind!$A$2:$C$157,3,FALSE))</f>
        <v>1.05</v>
      </c>
      <c r="AR173" s="172">
        <f>AP173*AQ173*B173</f>
        <v>4358.4416400000009</v>
      </c>
      <c r="AT173" s="90"/>
      <c r="AU173" s="90"/>
      <c r="AV173" s="90"/>
      <c r="AW173" s="90"/>
      <c r="AX173" s="90"/>
      <c r="AY173" s="90"/>
      <c r="AZ173" s="90"/>
      <c r="BA173" s="236"/>
      <c r="BB173" s="164"/>
      <c r="BC173" s="229"/>
      <c r="BD173" s="164"/>
      <c r="BE173" s="164"/>
      <c r="BF173" s="85"/>
      <c r="BG173" s="85"/>
      <c r="BH173" s="85"/>
      <c r="BI173" s="85"/>
      <c r="BJ173" s="85"/>
      <c r="BK173" s="88"/>
      <c r="BL173" s="85"/>
      <c r="BM173" s="88"/>
      <c r="BN173" s="111"/>
      <c r="BP173" s="139"/>
    </row>
    <row r="174" spans="1:70" s="77" customFormat="1">
      <c r="A174" s="148">
        <f t="shared" ref="A174" si="258">H174*J174*(RIGHT(F174,2))*7.85/(10^6)</f>
        <v>2.0724</v>
      </c>
      <c r="B174" s="148">
        <f t="shared" ref="B174" si="259">A174*L174</f>
        <v>302.57040000000001</v>
      </c>
      <c r="C174" s="150" t="s">
        <v>108</v>
      </c>
      <c r="D174" s="149" t="s">
        <v>114</v>
      </c>
      <c r="E174" s="149"/>
      <c r="F174" s="150" t="s">
        <v>110</v>
      </c>
      <c r="G174" s="149" t="s">
        <v>111</v>
      </c>
      <c r="H174" s="151">
        <v>120</v>
      </c>
      <c r="I174" s="150" t="s">
        <v>102</v>
      </c>
      <c r="J174" s="151">
        <v>220</v>
      </c>
      <c r="K174" s="151">
        <v>2</v>
      </c>
      <c r="L174" s="151">
        <f>K$174*L$172</f>
        <v>146</v>
      </c>
      <c r="M174" s="148">
        <f t="shared" ref="M174" si="260">2*H174*J174/10^6*L174</f>
        <v>7.7088000000000001</v>
      </c>
      <c r="N174" s="150" t="s">
        <v>112</v>
      </c>
      <c r="P174" s="150"/>
      <c r="Q174" s="169">
        <v>4</v>
      </c>
      <c r="R174" s="150"/>
      <c r="S174" s="150"/>
      <c r="T174" s="150"/>
      <c r="U174" s="150"/>
      <c r="V174" s="150"/>
      <c r="W174" s="150"/>
      <c r="X174" s="150"/>
      <c r="Y174" s="150"/>
      <c r="Z174" s="150"/>
      <c r="AA174" s="150"/>
      <c r="AB174" s="150" t="s">
        <v>104</v>
      </c>
      <c r="AC174" s="170">
        <f>((((H174+J174)*2/1000)*L174*(5/(VLOOKUP(F174,[1]Plasmalõikus!$A$7:$E$46,2,FALSE)/1000*60)))+(Q174*L174*(5*(VLOOKUP(F174,[1]Plasmalõikus!$A$7:$E$48,3,FALSE))/60/60)))</f>
        <v>9.7982222222222219</v>
      </c>
      <c r="AD174" s="170">
        <f t="shared" ref="AD174" si="261">0.012*((H174+J174)*2/1000*L174)</f>
        <v>1.19136</v>
      </c>
      <c r="AE174" s="170"/>
      <c r="AF174" s="171"/>
      <c r="AG174" s="171">
        <f t="shared" ref="AG174" si="262">IF(VALUE(MID(F174,SEARCH(" ",F174)+1,LEN(F174)))&lt;35,0,IF(VALUE(MID(F174,SEARCH(" ",F174)+1,LEN(F174)))&lt;40,3,IF(VALUE(MID(F174,SEARCH(" ",F174)+1,LEN(F174)))&lt;50,4,IF(VALUE(MID(F174,SEARCH(" ",F174)+1,LEN(F174)))&lt;60,5,IF(VALUE(MID(F174,SEARCH(" ",F174)+1,LEN(F174)))&lt;70,6,IF(VALUE(MID(F174,SEARCH(" ",F174)+1,LEN(F174)))&lt;80,7,IF(VALUE(MID(F174,SEARCH(" ",F174)+1,LEN(F174)))&lt;90,8,IF(VALUE(MID(F174,SEARCH(" ",F174)+1,LEN(F174)))&lt;100,9,10))))))))/60*Q174*L174</f>
        <v>0</v>
      </c>
      <c r="AH174" s="170"/>
      <c r="AI174" s="165">
        <f t="shared" ref="AI174" si="263">AL174*L174/60</f>
        <v>4.8666666666666663</v>
      </c>
      <c r="AJ174" s="98"/>
      <c r="AK174" s="77">
        <v>1</v>
      </c>
      <c r="AL174" s="201" t="str">
        <f t="shared" ref="AL174" si="264">IF(A174&gt;40,"30",IF(A174&gt;10,"10",IF(A174&gt;20,"20","2")))</f>
        <v>2</v>
      </c>
      <c r="AN174" s="94"/>
      <c r="AP174" s="180">
        <f>(VLOOKUP(F174,Terasehind!$A$2:$B$157,2,FALSE))</f>
        <v>0.74</v>
      </c>
      <c r="AQ174" s="77">
        <v>1.1000000000000001</v>
      </c>
      <c r="AR174" s="172">
        <f t="shared" ref="AR174" si="265">AP174*AQ174*B174</f>
        <v>246.29230560000002</v>
      </c>
      <c r="AT174" s="90"/>
      <c r="AU174" s="90"/>
      <c r="AV174" s="90"/>
      <c r="AW174" s="90"/>
      <c r="AX174" s="90"/>
      <c r="AY174" s="90"/>
      <c r="AZ174" s="90"/>
      <c r="BA174" s="236"/>
      <c r="BB174" s="164"/>
      <c r="BC174" s="229"/>
      <c r="BD174" s="164"/>
      <c r="BE174" s="164"/>
      <c r="BF174" s="164"/>
      <c r="BG174" s="85"/>
      <c r="BH174" s="85"/>
      <c r="BI174" s="85"/>
      <c r="BJ174" s="85"/>
      <c r="BK174" s="85"/>
      <c r="BL174" s="139"/>
      <c r="BM174" s="139"/>
      <c r="BN174" s="139"/>
      <c r="BO174" s="111"/>
      <c r="BQ174" s="111"/>
      <c r="BR174" s="111"/>
    </row>
    <row r="175" spans="1:70" s="77" customFormat="1">
      <c r="A175" s="148"/>
      <c r="B175" s="148"/>
      <c r="C175" s="150"/>
      <c r="D175" s="149"/>
      <c r="E175" s="149"/>
      <c r="F175" s="150"/>
      <c r="G175" s="149"/>
      <c r="H175" s="151"/>
      <c r="I175" s="150"/>
      <c r="J175" s="151"/>
      <c r="K175" s="151"/>
      <c r="L175" s="151"/>
      <c r="M175" s="148"/>
      <c r="N175" s="150"/>
      <c r="P175" s="150"/>
      <c r="Q175" s="211"/>
      <c r="R175" s="150"/>
      <c r="S175" s="150"/>
      <c r="T175" s="150"/>
      <c r="U175" s="150"/>
      <c r="V175" s="150"/>
      <c r="W175" s="150"/>
      <c r="X175" s="150"/>
      <c r="Y175" s="150"/>
      <c r="Z175" s="150"/>
      <c r="AA175" s="150"/>
      <c r="AB175" s="150"/>
      <c r="AC175" s="170"/>
      <c r="AD175" s="170"/>
      <c r="AE175" s="170"/>
      <c r="AF175" s="170"/>
      <c r="AG175" s="170"/>
      <c r="AH175" s="170"/>
      <c r="AI175" s="165"/>
      <c r="AJ175" s="88"/>
      <c r="AN175" s="94"/>
      <c r="AP175" s="180"/>
      <c r="AR175" s="172"/>
      <c r="AT175" s="90"/>
      <c r="AU175" s="90"/>
      <c r="AV175" s="90"/>
      <c r="AW175" s="90"/>
      <c r="AX175" s="90"/>
      <c r="AY175" s="90"/>
      <c r="AZ175" s="90"/>
      <c r="BA175" s="236"/>
      <c r="BB175" s="164"/>
      <c r="BC175" s="229"/>
      <c r="BD175" s="164"/>
      <c r="BE175" s="164"/>
      <c r="BF175" s="85"/>
      <c r="BG175" s="85"/>
      <c r="BH175" s="85"/>
      <c r="BI175" s="85"/>
      <c r="BJ175" s="85"/>
      <c r="BK175" s="139"/>
      <c r="BL175" s="139"/>
      <c r="BM175" s="139"/>
      <c r="BN175" s="111"/>
      <c r="BP175" s="111"/>
      <c r="BQ175" s="111"/>
    </row>
    <row r="176" spans="1:70" s="77" customFormat="1" ht="28.5">
      <c r="A176" s="182">
        <f>B176/L176</f>
        <v>74.224000000000004</v>
      </c>
      <c r="B176" s="182">
        <f>SUM(B178,B177,0)</f>
        <v>371.12</v>
      </c>
      <c r="C176" s="187"/>
      <c r="D176" s="183" t="s">
        <v>109</v>
      </c>
      <c r="E176" s="183"/>
      <c r="F176" s="184" t="str">
        <f>"Aknaraamid  "&amp;F177</f>
        <v>Aknaraamid  CFRHS150x100x6</v>
      </c>
      <c r="G176" s="166"/>
      <c r="H176" s="185">
        <v>160</v>
      </c>
      <c r="I176" s="186" t="s">
        <v>102</v>
      </c>
      <c r="J176" s="185">
        <f>J177</f>
        <v>3160</v>
      </c>
      <c r="K176" s="168">
        <v>5</v>
      </c>
      <c r="L176" s="185">
        <f>$L$163*$K$176</f>
        <v>5</v>
      </c>
      <c r="M176" s="182">
        <f>SUM(M178,M177,0)</f>
        <v>8.2881999999999998</v>
      </c>
      <c r="N176" s="186"/>
      <c r="O176" s="186"/>
      <c r="P176" s="186"/>
      <c r="Q176" s="186"/>
      <c r="R176" s="152"/>
      <c r="S176" s="152"/>
      <c r="T176" s="152"/>
      <c r="U176" s="152"/>
      <c r="V176" s="152"/>
      <c r="W176" s="150"/>
      <c r="X176" s="150" t="s">
        <v>104</v>
      </c>
      <c r="Y176" s="186">
        <v>4</v>
      </c>
      <c r="Z176" s="186"/>
      <c r="AA176" s="186"/>
      <c r="AB176" s="186"/>
      <c r="AC176" s="182">
        <f>SUM(AC178,AC177,0)</f>
        <v>0.72444444444444445</v>
      </c>
      <c r="AD176" s="182">
        <f>SUM(AD178,AD177,0)</f>
        <v>0.1008</v>
      </c>
      <c r="AE176" s="182">
        <f>SUM(AE178,AE177,0)</f>
        <v>1.25</v>
      </c>
      <c r="AF176" s="182">
        <f>SUM(AF178,AF177,0)</f>
        <v>0</v>
      </c>
      <c r="AG176" s="182">
        <f>SUM(AG178,AG177,0)</f>
        <v>0</v>
      </c>
      <c r="AH176" s="137">
        <f>SUM(AC176:AG176)</f>
        <v>2.0752444444444444</v>
      </c>
      <c r="AI176" s="137">
        <f>SUM(AI178,AI177,0)</f>
        <v>2</v>
      </c>
      <c r="AJ176" s="182">
        <f>SUM(AJ178,AJ177,0)</f>
        <v>12</v>
      </c>
      <c r="AK176" s="137">
        <f>AJ176*10/60</f>
        <v>2</v>
      </c>
      <c r="AL176" s="182">
        <f>AH176+AI176+AK176</f>
        <v>6.0752444444444444</v>
      </c>
      <c r="AM176" s="182">
        <f>B176/AL176</f>
        <v>61.087253919366759</v>
      </c>
      <c r="AN176" s="182">
        <f>AL176*46</f>
        <v>279.46124444444445</v>
      </c>
      <c r="AO176" s="182">
        <f>AN176/B176</f>
        <v>0.7530212450001198</v>
      </c>
      <c r="AP176" s="182">
        <f>AR176/B176</f>
        <v>0.81400000000000017</v>
      </c>
      <c r="AQ176" s="95"/>
      <c r="AR176" s="182">
        <f>SUM(AR178,AR177,0)</f>
        <v>302.09168000000005</v>
      </c>
      <c r="AT176" s="82"/>
      <c r="AU176" s="82"/>
      <c r="AV176" s="82"/>
      <c r="AW176" s="82"/>
      <c r="AX176" s="93"/>
      <c r="AY176" s="82"/>
      <c r="AZ176" s="82"/>
      <c r="BA176" s="234"/>
      <c r="BB176" s="164"/>
      <c r="BC176" s="229"/>
      <c r="BD176" s="85"/>
      <c r="BE176" s="85"/>
      <c r="BF176" s="85"/>
      <c r="BG176" s="85"/>
      <c r="BH176" s="85"/>
      <c r="BI176" s="85"/>
      <c r="BJ176" s="88"/>
    </row>
    <row r="177" spans="1:70" s="77" customFormat="1">
      <c r="A177" s="148">
        <f xml:space="preserve"> 21.7*J177/10^3</f>
        <v>68.572000000000003</v>
      </c>
      <c r="B177" s="148">
        <f>A177*L177</f>
        <v>342.86</v>
      </c>
      <c r="C177" s="173" t="s">
        <v>158</v>
      </c>
      <c r="D177" s="149" t="s">
        <v>100</v>
      </c>
      <c r="E177" s="149"/>
      <c r="F177" s="150" t="s">
        <v>116</v>
      </c>
      <c r="G177" s="174" t="s">
        <v>107</v>
      </c>
      <c r="H177" s="151">
        <v>150</v>
      </c>
      <c r="I177" s="150" t="s">
        <v>102</v>
      </c>
      <c r="J177" s="151">
        <v>3160</v>
      </c>
      <c r="K177" s="77">
        <v>1</v>
      </c>
      <c r="L177" s="151">
        <f>K$177*L$176</f>
        <v>5</v>
      </c>
      <c r="M177" s="164">
        <f xml:space="preserve"> 0.479*J177*L177/10^3</f>
        <v>7.5681999999999992</v>
      </c>
      <c r="N177" s="150"/>
      <c r="O177" s="150"/>
      <c r="P177" s="150" t="s">
        <v>104</v>
      </c>
      <c r="Q177" s="169"/>
      <c r="R177" s="150"/>
      <c r="S177" s="150"/>
      <c r="T177" s="150"/>
      <c r="U177" s="150"/>
      <c r="V177" s="150"/>
      <c r="W177" s="150"/>
      <c r="Y177" s="150"/>
      <c r="Z177" s="150"/>
      <c r="AA177" s="150"/>
      <c r="AB177" s="150" t="s">
        <v>104</v>
      </c>
      <c r="AC177" s="148"/>
      <c r="AD177" s="111"/>
      <c r="AE177" s="170">
        <f>(H177/20/60)*2*L177</f>
        <v>1.25</v>
      </c>
      <c r="AF177" s="171"/>
      <c r="AG177" s="165">
        <f>Q177*L177*0.5/60</f>
        <v>0</v>
      </c>
      <c r="AH177" s="111"/>
      <c r="AI177" s="165">
        <f>AL177*L177/60</f>
        <v>1.6666666666666667</v>
      </c>
      <c r="AJ177" s="98">
        <f>(H177*4*AK177)*2*L177/1000</f>
        <v>12</v>
      </c>
      <c r="AK177" s="77">
        <f>(VLOOKUP(F177,[1]Koostamine!$A$12:$E$1603,3,FALSE))</f>
        <v>2</v>
      </c>
      <c r="AL177" s="97">
        <f>VLOOKUP(F177,[1]Koostamine!$A$12:$K$1603,IF(J177&lt;1499,6,IF(J177&lt;2999,7,IF(J177&lt;5999,8,IF(J177&lt;9999,9,IF(J177&lt;12999,10,IF(J177&gt;13000,11)))))),FALSE)</f>
        <v>20</v>
      </c>
      <c r="AP177" s="180">
        <f>(VLOOKUP(F177,Terasehind!$A$2:$B$157,2,FALSE))</f>
        <v>0.74</v>
      </c>
      <c r="AQ177" s="77">
        <f>(VLOOKUP(F177,Terasehind!$A$2:$C$157,3,FALSE))</f>
        <v>1.1000000000000001</v>
      </c>
      <c r="AR177" s="172">
        <f>AP177*AQ177*B177</f>
        <v>279.08804000000003</v>
      </c>
      <c r="AT177" s="90"/>
      <c r="AU177" s="90"/>
      <c r="AV177" s="90"/>
      <c r="AW177" s="90"/>
      <c r="AX177" s="90"/>
      <c r="AY177" s="90"/>
      <c r="AZ177" s="90"/>
      <c r="BA177" s="236"/>
      <c r="BB177" s="164"/>
      <c r="BC177" s="229"/>
      <c r="BD177" s="164"/>
      <c r="BE177" s="164"/>
      <c r="BF177" s="85"/>
      <c r="BG177" s="85"/>
      <c r="BH177" s="85"/>
      <c r="BI177" s="85"/>
      <c r="BJ177" s="85"/>
      <c r="BK177" s="88"/>
      <c r="BL177" s="85"/>
      <c r="BM177" s="88"/>
      <c r="BN177" s="111"/>
      <c r="BP177" s="139"/>
    </row>
    <row r="178" spans="1:70" s="77" customFormat="1">
      <c r="A178" s="148">
        <f t="shared" ref="A178" si="266">H178*J178*(RIGHT(F178,2))*7.85/(10^6)</f>
        <v>2.8260000000000001</v>
      </c>
      <c r="B178" s="148">
        <f t="shared" ref="B178" si="267">A178*L178</f>
        <v>28.26</v>
      </c>
      <c r="C178" s="150" t="s">
        <v>108</v>
      </c>
      <c r="D178" s="149" t="s">
        <v>109</v>
      </c>
      <c r="E178" s="149"/>
      <c r="F178" s="150" t="s">
        <v>110</v>
      </c>
      <c r="G178" s="149" t="s">
        <v>111</v>
      </c>
      <c r="H178" s="151">
        <v>120</v>
      </c>
      <c r="I178" s="150" t="s">
        <v>102</v>
      </c>
      <c r="J178" s="151">
        <v>300</v>
      </c>
      <c r="K178" s="151">
        <v>2</v>
      </c>
      <c r="L178" s="151">
        <f>K$178*L$176</f>
        <v>10</v>
      </c>
      <c r="M178" s="148">
        <f t="shared" ref="M178" si="268">2*H178*J178/10^6*L178</f>
        <v>0.72</v>
      </c>
      <c r="N178" s="150" t="s">
        <v>112</v>
      </c>
      <c r="P178" s="150"/>
      <c r="Q178" s="169">
        <v>4</v>
      </c>
      <c r="R178" s="150"/>
      <c r="S178" s="150"/>
      <c r="T178" s="150"/>
      <c r="U178" s="150"/>
      <c r="V178" s="150"/>
      <c r="W178" s="150"/>
      <c r="X178" s="150"/>
      <c r="Y178" s="150"/>
      <c r="Z178" s="150"/>
      <c r="AA178" s="150"/>
      <c r="AB178" s="150" t="s">
        <v>104</v>
      </c>
      <c r="AC178" s="170">
        <f>((((H178+J178)*2/1000)*L178*(5/(VLOOKUP(F178,[1]Plasmalõikus!$A$7:$E$46,2,FALSE)/1000*60)))+(Q178*L178*(5*(VLOOKUP(F178,[1]Plasmalõikus!$A$7:$E$48,3,FALSE))/60/60)))</f>
        <v>0.72444444444444445</v>
      </c>
      <c r="AD178" s="170">
        <f t="shared" ref="AD178" si="269">0.012*((H178+J178)*2/1000*L178)</f>
        <v>0.1008</v>
      </c>
      <c r="AE178" s="170"/>
      <c r="AF178" s="171"/>
      <c r="AG178" s="171">
        <f t="shared" ref="AG178" si="270">IF(VALUE(MID(F178,SEARCH(" ",F178)+1,LEN(F178)))&lt;35,0,IF(VALUE(MID(F178,SEARCH(" ",F178)+1,LEN(F178)))&lt;40,3,IF(VALUE(MID(F178,SEARCH(" ",F178)+1,LEN(F178)))&lt;50,4,IF(VALUE(MID(F178,SEARCH(" ",F178)+1,LEN(F178)))&lt;60,5,IF(VALUE(MID(F178,SEARCH(" ",F178)+1,LEN(F178)))&lt;70,6,IF(VALUE(MID(F178,SEARCH(" ",F178)+1,LEN(F178)))&lt;80,7,IF(VALUE(MID(F178,SEARCH(" ",F178)+1,LEN(F178)))&lt;90,8,IF(VALUE(MID(F178,SEARCH(" ",F178)+1,LEN(F178)))&lt;100,9,10))))))))/60*Q178*L178</f>
        <v>0</v>
      </c>
      <c r="AH178" s="170"/>
      <c r="AI178" s="165">
        <f t="shared" ref="AI178" si="271">AL178*L178/60</f>
        <v>0.33333333333333331</v>
      </c>
      <c r="AJ178" s="98"/>
      <c r="AK178" s="77">
        <v>1</v>
      </c>
      <c r="AL178" s="201" t="str">
        <f t="shared" ref="AL178" si="272">IF(A178&gt;40,"30",IF(A178&gt;10,"10",IF(A178&gt;20,"20","2")))</f>
        <v>2</v>
      </c>
      <c r="AN178" s="94"/>
      <c r="AP178" s="180">
        <f>(VLOOKUP(F178,Terasehind!$A$2:$B$157,2,FALSE))</f>
        <v>0.74</v>
      </c>
      <c r="AQ178" s="77">
        <v>1.1000000000000001</v>
      </c>
      <c r="AR178" s="172">
        <f t="shared" ref="AR178" si="273">AP178*AQ178*B178</f>
        <v>23.003640000000004</v>
      </c>
      <c r="AT178" s="90"/>
      <c r="AU178" s="90"/>
      <c r="AV178" s="90"/>
      <c r="AW178" s="90"/>
      <c r="AX178" s="90"/>
      <c r="AY178" s="90"/>
      <c r="AZ178" s="90"/>
      <c r="BA178" s="236"/>
      <c r="BB178" s="164"/>
      <c r="BC178" s="229"/>
      <c r="BD178" s="164"/>
      <c r="BE178" s="164"/>
      <c r="BF178" s="164"/>
      <c r="BG178" s="85"/>
      <c r="BH178" s="85"/>
      <c r="BI178" s="85"/>
      <c r="BJ178" s="85"/>
      <c r="BK178" s="85"/>
      <c r="BL178" s="139"/>
      <c r="BM178" s="139"/>
      <c r="BN178" s="139"/>
      <c r="BO178" s="111"/>
      <c r="BQ178" s="111"/>
      <c r="BR178" s="111"/>
    </row>
    <row r="179" spans="1:70" s="77" customFormat="1">
      <c r="A179" s="148"/>
      <c r="B179"/>
      <c r="C179" s="148"/>
      <c r="D179" s="149"/>
      <c r="E179" s="149"/>
      <c r="F179" s="150"/>
      <c r="G179" s="149"/>
      <c r="H179" s="151"/>
      <c r="I179" s="150"/>
      <c r="J179" s="151"/>
      <c r="K179" s="151"/>
      <c r="L179" s="151"/>
      <c r="M179" s="144"/>
      <c r="N179" s="150"/>
      <c r="O179" s="150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  <c r="AA179" s="150"/>
      <c r="AB179" s="150"/>
      <c r="AD179" s="111"/>
      <c r="AE179" s="111"/>
      <c r="AF179" s="146"/>
      <c r="AG179" s="146"/>
      <c r="AH179" s="111"/>
      <c r="AI179" s="111"/>
      <c r="AJ179" s="111"/>
      <c r="AK179" s="111"/>
      <c r="AL179" s="111"/>
      <c r="AM179" s="88"/>
      <c r="AN179" s="94"/>
      <c r="AO179" s="89"/>
      <c r="AP179" s="90"/>
      <c r="AQ179" s="90"/>
      <c r="AT179" s="88"/>
      <c r="AU179" s="105"/>
      <c r="AV179" s="105"/>
      <c r="AW179" s="105"/>
      <c r="AX179" s="153"/>
      <c r="AY179" s="105"/>
      <c r="AZ179" s="105"/>
      <c r="BA179" s="234"/>
      <c r="BB179" s="164"/>
      <c r="BC179" s="229"/>
      <c r="BD179" s="164"/>
      <c r="BE179" s="164"/>
      <c r="BF179" s="85"/>
      <c r="BG179" s="85"/>
      <c r="BH179" s="85"/>
      <c r="BI179" s="85"/>
      <c r="BJ179" s="85"/>
      <c r="BK179" s="111"/>
      <c r="BL179" s="139"/>
      <c r="BN179" s="85"/>
      <c r="BO179" s="88"/>
    </row>
    <row r="180" spans="1:70" s="77" customFormat="1">
      <c r="A180" s="182">
        <f>B180/L180</f>
        <v>2.1894999999999998</v>
      </c>
      <c r="B180" s="182">
        <f>SUM(B181,0)</f>
        <v>52.547999999999995</v>
      </c>
      <c r="C180" s="187"/>
      <c r="D180" s="183" t="s">
        <v>109</v>
      </c>
      <c r="E180" s="183"/>
      <c r="F180" s="184" t="s">
        <v>133</v>
      </c>
      <c r="G180" s="166"/>
      <c r="H180" s="185">
        <v>160</v>
      </c>
      <c r="I180" s="186" t="s">
        <v>102</v>
      </c>
      <c r="J180" s="185">
        <f>J181</f>
        <v>145</v>
      </c>
      <c r="K180" s="168">
        <v>24</v>
      </c>
      <c r="L180" s="185">
        <f>$L$163*$K$180</f>
        <v>24</v>
      </c>
      <c r="M180" s="182">
        <f>SUM(M181,0)</f>
        <v>1.3572</v>
      </c>
      <c r="N180" s="186"/>
      <c r="O180" s="186"/>
      <c r="P180" s="186"/>
      <c r="Q180" s="186"/>
      <c r="R180" s="152"/>
      <c r="S180" s="152"/>
      <c r="T180" s="152"/>
      <c r="U180" s="152"/>
      <c r="V180" s="152"/>
      <c r="W180" s="150"/>
      <c r="X180" s="150" t="s">
        <v>104</v>
      </c>
      <c r="Y180" s="186">
        <v>4</v>
      </c>
      <c r="Z180" s="186"/>
      <c r="AA180" s="186"/>
      <c r="AB180" s="186"/>
      <c r="AC180" s="182">
        <f>SUM(AC181,0)</f>
        <v>0</v>
      </c>
      <c r="AD180" s="182">
        <f>SUM(AD181,0)</f>
        <v>0</v>
      </c>
      <c r="AE180" s="182">
        <f>SUM(AE181,0)</f>
        <v>4</v>
      </c>
      <c r="AF180" s="182">
        <f>SUM(AF181,0)</f>
        <v>0</v>
      </c>
      <c r="AG180" s="182">
        <f>SUM(AG181,0)</f>
        <v>0</v>
      </c>
      <c r="AH180" s="137">
        <f>SUM(AC180:AG180)</f>
        <v>4</v>
      </c>
      <c r="AI180" s="137">
        <f>SUM(AI181,0)</f>
        <v>0.8</v>
      </c>
      <c r="AJ180" s="182">
        <f>SUM(AJ181,0)</f>
        <v>38.4</v>
      </c>
      <c r="AK180" s="137">
        <f>AJ180*10/60</f>
        <v>6.4</v>
      </c>
      <c r="AL180" s="182">
        <f>AH180+AI180+AK180</f>
        <v>11.2</v>
      </c>
      <c r="AM180" s="182">
        <f>B180/AL180</f>
        <v>4.6917857142857144</v>
      </c>
      <c r="AN180" s="182">
        <f>AL180*46</f>
        <v>515.19999999999993</v>
      </c>
      <c r="AO180" s="182">
        <f>AN180/B180</f>
        <v>9.8043693385095523</v>
      </c>
      <c r="AP180" s="182">
        <f>AR180/B180</f>
        <v>1.0780000000000001</v>
      </c>
      <c r="AQ180" s="95"/>
      <c r="AR180" s="182">
        <f>SUM(AR181,0)</f>
        <v>56.646743999999998</v>
      </c>
      <c r="AT180" s="82"/>
      <c r="AU180" s="82"/>
      <c r="AV180" s="82"/>
      <c r="AW180" s="82"/>
      <c r="AX180" s="93"/>
      <c r="AY180" s="82"/>
      <c r="AZ180" s="82"/>
      <c r="BA180" s="234"/>
      <c r="BB180" s="164"/>
      <c r="BC180" s="229"/>
      <c r="BD180" s="85"/>
      <c r="BE180" s="85"/>
      <c r="BF180" s="85"/>
      <c r="BG180" s="85"/>
      <c r="BH180" s="85"/>
      <c r="BI180" s="85"/>
      <c r="BJ180" s="88"/>
    </row>
    <row r="181" spans="1:70" s="77" customFormat="1">
      <c r="A181" s="148">
        <f xml:space="preserve"> 15.1*J181/10^3</f>
        <v>2.1894999999999998</v>
      </c>
      <c r="B181" s="148">
        <f>A181*L181</f>
        <v>52.547999999999995</v>
      </c>
      <c r="C181" s="173"/>
      <c r="D181" s="149" t="s">
        <v>100</v>
      </c>
      <c r="E181" s="149"/>
      <c r="F181" s="150" t="s">
        <v>159</v>
      </c>
      <c r="G181" s="174" t="s">
        <v>111</v>
      </c>
      <c r="H181" s="151">
        <v>100</v>
      </c>
      <c r="I181" s="150" t="s">
        <v>102</v>
      </c>
      <c r="J181" s="151">
        <v>145</v>
      </c>
      <c r="K181" s="77">
        <v>1</v>
      </c>
      <c r="L181" s="151">
        <f>K$181*L$180</f>
        <v>24</v>
      </c>
      <c r="M181" s="164">
        <f xml:space="preserve"> 0.39*J181*L181/10^3</f>
        <v>1.3572</v>
      </c>
      <c r="N181" s="150"/>
      <c r="O181" s="150"/>
      <c r="P181" s="150" t="s">
        <v>104</v>
      </c>
      <c r="Q181" s="169"/>
      <c r="R181" s="150"/>
      <c r="S181" s="150"/>
      <c r="T181" s="150"/>
      <c r="U181" s="150"/>
      <c r="V181" s="150"/>
      <c r="W181" s="150"/>
      <c r="Y181" s="150"/>
      <c r="Z181" s="150"/>
      <c r="AA181" s="150"/>
      <c r="AB181" s="150" t="s">
        <v>104</v>
      </c>
      <c r="AC181" s="148"/>
      <c r="AD181" s="111"/>
      <c r="AE181" s="170">
        <f>(H181/20/60)*2*L181</f>
        <v>4</v>
      </c>
      <c r="AF181" s="171"/>
      <c r="AG181" s="165">
        <f>Q181*L181*0.5/60</f>
        <v>0</v>
      </c>
      <c r="AH181" s="111"/>
      <c r="AI181" s="165">
        <f>AL181*L181/60</f>
        <v>0.8</v>
      </c>
      <c r="AJ181" s="98">
        <f>(H181*4*AK181)*2*L181/1000</f>
        <v>38.4</v>
      </c>
      <c r="AK181" s="77">
        <f>(VLOOKUP(F181,[1]Koostamine!$A$12:$E$1603,3,FALSE))</f>
        <v>2</v>
      </c>
      <c r="AL181" s="97">
        <f>VLOOKUP(F181,[1]Koostamine!$A$12:$K$1603,IF(J181&lt;1499,6,IF(J181&lt;2999,7,IF(J181&lt;5999,8,IF(J181&lt;9999,9,IF(J181&lt;12999,10,IF(J181&gt;13000,11)))))),FALSE)</f>
        <v>2</v>
      </c>
      <c r="AP181" s="180">
        <f>(VLOOKUP(F181,Terasehind!$A$2:$B$157,2,FALSE))</f>
        <v>0.98</v>
      </c>
      <c r="AQ181" s="77">
        <f>(VLOOKUP(F181,Terasehind!$A$2:$C$157,3,FALSE))</f>
        <v>1.1000000000000001</v>
      </c>
      <c r="AR181" s="172">
        <f>AP181*AQ181*B181</f>
        <v>56.646743999999998</v>
      </c>
      <c r="AT181" s="90"/>
      <c r="AU181" s="90"/>
      <c r="AV181" s="90"/>
      <c r="AW181" s="90"/>
      <c r="AX181" s="90"/>
      <c r="AY181" s="90"/>
      <c r="AZ181" s="90"/>
      <c r="BA181" s="236"/>
      <c r="BB181" s="164"/>
      <c r="BC181" s="229"/>
      <c r="BD181" s="164"/>
      <c r="BE181" s="164"/>
      <c r="BF181" s="85"/>
      <c r="BG181" s="85"/>
      <c r="BH181" s="85"/>
      <c r="BI181" s="85"/>
      <c r="BJ181" s="85"/>
      <c r="BK181" s="88"/>
      <c r="BL181" s="85"/>
      <c r="BM181" s="88"/>
      <c r="BN181" s="111"/>
      <c r="BP181" s="139"/>
    </row>
    <row r="182" spans="1:70" s="77" customFormat="1" ht="15" thickBot="1">
      <c r="A182" s="148"/>
      <c r="B182" s="148"/>
      <c r="C182" s="148"/>
      <c r="D182" s="149"/>
      <c r="E182" s="149"/>
      <c r="F182" s="149"/>
      <c r="G182" s="149"/>
      <c r="H182" s="149"/>
      <c r="I182" s="149"/>
      <c r="J182" s="151"/>
      <c r="K182" s="151"/>
      <c r="L182" s="151"/>
      <c r="M182" s="144"/>
      <c r="N182" s="150"/>
      <c r="O182" s="152"/>
      <c r="P182" s="150"/>
      <c r="Q182" s="150"/>
      <c r="R182" s="152"/>
      <c r="S182" s="152"/>
      <c r="T182" s="152"/>
      <c r="U182" s="152"/>
      <c r="V182" s="152"/>
      <c r="W182" s="150"/>
      <c r="X182" s="150"/>
      <c r="Y182" s="150"/>
      <c r="Z182" s="152"/>
      <c r="AA182" s="150"/>
      <c r="AB182" s="150"/>
      <c r="AD182" s="111"/>
      <c r="AE182" s="111"/>
      <c r="AF182" s="146"/>
      <c r="AG182" s="146"/>
      <c r="AH182" s="111"/>
      <c r="AI182" s="111"/>
      <c r="AJ182" s="88"/>
      <c r="AK182" s="88"/>
      <c r="AL182" s="88"/>
      <c r="AM182" s="88"/>
      <c r="AN182" s="94"/>
      <c r="AO182" s="111"/>
      <c r="AP182" s="90"/>
      <c r="AQ182" s="90"/>
      <c r="AR182" s="90"/>
      <c r="AS182" s="90"/>
      <c r="AT182" s="90"/>
      <c r="AU182" s="90"/>
      <c r="AV182" s="90"/>
      <c r="AW182" s="90"/>
      <c r="AX182" s="90"/>
      <c r="AY182" s="90"/>
      <c r="AZ182" s="90"/>
      <c r="BA182" s="234"/>
      <c r="BB182" s="85"/>
      <c r="BC182" s="228"/>
      <c r="BD182" s="85"/>
      <c r="BE182" s="85"/>
      <c r="BF182" s="85"/>
      <c r="BG182" s="85"/>
    </row>
    <row r="183" spans="1:70" s="77" customFormat="1" ht="15" thickBot="1">
      <c r="A183" s="154">
        <f>B183/L183</f>
        <v>3192.1860000000001</v>
      </c>
      <c r="B183" s="154">
        <f>B$205+B$186</f>
        <v>3192.1860000000001</v>
      </c>
      <c r="C183" s="155"/>
      <c r="D183" s="155" t="s">
        <v>109</v>
      </c>
      <c r="E183" s="155"/>
      <c r="F183" s="156" t="s">
        <v>160</v>
      </c>
      <c r="G183" s="216" t="s">
        <v>23</v>
      </c>
      <c r="H183" s="157">
        <v>100</v>
      </c>
      <c r="I183" s="158" t="s">
        <v>102</v>
      </c>
      <c r="J183" s="157">
        <v>100</v>
      </c>
      <c r="K183" s="157">
        <v>1</v>
      </c>
      <c r="L183" s="157">
        <f>$L$7*$K$183</f>
        <v>1</v>
      </c>
      <c r="M183" s="154">
        <f>M$205+M$186</f>
        <v>80.668319999999994</v>
      </c>
      <c r="N183" s="150"/>
      <c r="O183" s="152"/>
      <c r="P183" s="150"/>
      <c r="Q183" s="158"/>
      <c r="R183" s="158"/>
      <c r="S183" s="158"/>
      <c r="T183" s="158"/>
      <c r="U183" s="158"/>
      <c r="V183" s="158"/>
      <c r="W183" s="150"/>
      <c r="X183" s="158"/>
      <c r="Y183" s="158">
        <v>2</v>
      </c>
      <c r="Z183" s="158"/>
      <c r="AA183" s="158"/>
      <c r="AB183" s="158"/>
      <c r="AC183" s="154">
        <f>AC$205+AC$186</f>
        <v>7.4322962962962951</v>
      </c>
      <c r="AD183" s="154">
        <f>AD$205+AD$186</f>
        <v>0.92352000000000012</v>
      </c>
      <c r="AE183" s="154">
        <f>AE$205+AE$186</f>
        <v>11.288</v>
      </c>
      <c r="AF183" s="154">
        <f>AF$205+AF$186</f>
        <v>0</v>
      </c>
      <c r="AG183" s="154">
        <f>AG$205+AG$186</f>
        <v>5.7333333333333325</v>
      </c>
      <c r="AH183" s="137">
        <f>SUM(AC183:AG183)</f>
        <v>25.377149629629628</v>
      </c>
      <c r="AI183" s="137">
        <f>AI$205+AI$186</f>
        <v>9.6</v>
      </c>
      <c r="AJ183" s="154">
        <f>AJ$205+AJ$186</f>
        <v>87.950784000000013</v>
      </c>
      <c r="AK183" s="137">
        <f>AJ183*10/60</f>
        <v>14.658464000000002</v>
      </c>
      <c r="AL183" s="205">
        <f>AH183+AI183+AK183</f>
        <v>49.635613629629631</v>
      </c>
      <c r="AM183" s="209">
        <f>B183/AL183</f>
        <v>64.312411322632414</v>
      </c>
      <c r="AN183" s="159">
        <f>AL183*46</f>
        <v>2283.2382269629629</v>
      </c>
      <c r="AO183" s="160">
        <f>AN183/B183</f>
        <v>0.71525851781912542</v>
      </c>
      <c r="AP183" s="160">
        <f>AR183/B183</f>
        <v>0.89726116335326311</v>
      </c>
      <c r="AQ183" s="95"/>
      <c r="AR183" s="160">
        <f>AR$205+AR$186</f>
        <v>2864.2245239999997</v>
      </c>
      <c r="AS183" s="203">
        <f>$AU$2</f>
        <v>1.05</v>
      </c>
      <c r="AT183" s="161">
        <f>HLOOKUP(G183,$AB$1:$AK$2,2,FALSE)</f>
        <v>0.72</v>
      </c>
      <c r="AU183" s="202">
        <f>IF(AND(G183="HDG"),B183*AT183,M183*AT183)</f>
        <v>2298.37392</v>
      </c>
      <c r="AV183" s="96">
        <f>B183*pakendus</f>
        <v>95.76558</v>
      </c>
      <c r="AW183" s="160">
        <f>(AN183+AU183+AV183)</f>
        <v>4677.3777269629636</v>
      </c>
      <c r="AX183" s="162">
        <f>$AV$2</f>
        <v>1.05</v>
      </c>
      <c r="AY183" s="138">
        <f>(AR183*AS183)+(AW183*AX183)</f>
        <v>7918.6823635111123</v>
      </c>
      <c r="AZ183" s="163">
        <f>ROUND(AY183/B183,3)</f>
        <v>2.4809999999999999</v>
      </c>
      <c r="BA183" s="234"/>
      <c r="BB183" s="85"/>
      <c r="BC183" s="160">
        <f t="shared" ref="BC183:BD183" si="274">BC$205+BC$186</f>
        <v>0.21281239999999998</v>
      </c>
      <c r="BD183" s="160">
        <f t="shared" si="274"/>
        <v>0</v>
      </c>
      <c r="BE183" s="160" t="e">
        <f>#REF!+BE$82+#REF!+BE$16</f>
        <v>#REF!</v>
      </c>
      <c r="BF183" s="85"/>
      <c r="BG183" s="85"/>
    </row>
    <row r="184" spans="1:70" s="82" customFormat="1">
      <c r="A184" s="148"/>
      <c r="B184" s="196"/>
      <c r="C184" s="247"/>
      <c r="D184" s="197"/>
      <c r="E184" s="149"/>
      <c r="F184" s="150"/>
      <c r="G184" s="149"/>
      <c r="H184" s="151"/>
      <c r="I184" s="150"/>
      <c r="J184" s="151"/>
      <c r="K184" s="151"/>
      <c r="L184" s="151"/>
      <c r="M184" s="164"/>
      <c r="N184" s="77"/>
      <c r="O184" s="87"/>
      <c r="P184" s="150"/>
      <c r="Q184" s="150"/>
      <c r="R184" s="152"/>
      <c r="S184" s="152"/>
      <c r="T184" s="152"/>
      <c r="U184" s="152"/>
      <c r="V184" s="152"/>
      <c r="W184" s="150"/>
      <c r="X184" s="150"/>
      <c r="Y184" s="150"/>
      <c r="Z184" s="152"/>
      <c r="AA184" s="150"/>
      <c r="AB184" s="150"/>
      <c r="AC184" s="148"/>
      <c r="AD184" s="111"/>
      <c r="AE184" s="165"/>
      <c r="AF184" s="165"/>
      <c r="AG184" s="111"/>
      <c r="AH184" s="111"/>
      <c r="AI184" s="144"/>
      <c r="AJ184" s="88"/>
      <c r="AK184" s="92"/>
      <c r="AL184" s="77"/>
      <c r="AM184" s="77"/>
      <c r="AN184" s="77"/>
      <c r="AO184" s="77"/>
      <c r="AP184" s="77"/>
      <c r="AQ184" s="77"/>
      <c r="AR184" s="77"/>
      <c r="AT184" s="88"/>
      <c r="AU184" s="85"/>
      <c r="AV184" s="90"/>
      <c r="AW184" s="90"/>
      <c r="AX184" s="93"/>
      <c r="AY184" s="93"/>
      <c r="AZ184" s="93"/>
      <c r="BA184" s="234"/>
      <c r="BB184" s="85"/>
      <c r="BC184" s="228"/>
      <c r="BD184" s="85"/>
      <c r="BE184" s="85"/>
      <c r="BF184" s="85"/>
      <c r="BG184" s="85"/>
      <c r="BH184" s="77"/>
      <c r="BI184" s="77"/>
      <c r="BJ184" s="77"/>
      <c r="BK184" s="77"/>
      <c r="BL184" s="77"/>
      <c r="BM184" s="77"/>
      <c r="BN184" s="77"/>
      <c r="BO184" s="77"/>
      <c r="BP184" s="77"/>
    </row>
    <row r="185" spans="1:70" s="77" customFormat="1" ht="15" thickBot="1">
      <c r="A185" s="148"/>
      <c r="B185" s="148"/>
      <c r="C185" s="148"/>
      <c r="D185" s="149"/>
      <c r="E185" s="149"/>
      <c r="F185" s="149"/>
      <c r="G185" s="149"/>
      <c r="H185" s="149"/>
      <c r="I185" s="149"/>
      <c r="J185" s="149"/>
      <c r="K185" s="149"/>
      <c r="L185" s="149"/>
      <c r="M185" s="274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234"/>
      <c r="BB185" s="164"/>
      <c r="BC185" s="229"/>
      <c r="BD185" s="164"/>
      <c r="BE185" s="164"/>
      <c r="BF185" s="164"/>
      <c r="BG185" s="85"/>
      <c r="BH185" s="85"/>
      <c r="BI185" s="85"/>
      <c r="BJ185" s="111"/>
    </row>
    <row r="186" spans="1:70" s="77" customFormat="1" ht="15" thickBot="1">
      <c r="A186" s="189">
        <f>B186/L186</f>
        <v>2797.9312</v>
      </c>
      <c r="B186" s="189">
        <f>B$202+B$198+B$194+B$190</f>
        <v>2797.9312</v>
      </c>
      <c r="C186" s="190"/>
      <c r="D186" s="190" t="s">
        <v>100</v>
      </c>
      <c r="E186" s="190"/>
      <c r="F186" s="191" t="s">
        <v>161</v>
      </c>
      <c r="G186" s="216" t="s">
        <v>23</v>
      </c>
      <c r="H186" s="192">
        <v>150</v>
      </c>
      <c r="I186" s="193" t="s">
        <v>102</v>
      </c>
      <c r="J186" s="192">
        <v>7500</v>
      </c>
      <c r="K186" s="192">
        <v>1</v>
      </c>
      <c r="L186" s="192">
        <f>$L$183*$K$186</f>
        <v>1</v>
      </c>
      <c r="M186" s="189">
        <f>M$202+M$198+M$194+M$190</f>
        <v>69.116320000000002</v>
      </c>
      <c r="N186" s="193"/>
      <c r="O186" s="193"/>
      <c r="P186" s="193"/>
      <c r="Q186" s="193"/>
      <c r="R186" s="193"/>
      <c r="S186" s="193"/>
      <c r="T186" s="193"/>
      <c r="U186" s="193"/>
      <c r="V186" s="193"/>
      <c r="W186" s="193"/>
      <c r="X186" s="193"/>
      <c r="Y186" s="193">
        <v>3</v>
      </c>
      <c r="Z186" s="193"/>
      <c r="AA186" s="193"/>
      <c r="AB186" s="193"/>
      <c r="AC186" s="189">
        <f>AC$202+AC$198+AC$194+AC$190</f>
        <v>5.203555555555555</v>
      </c>
      <c r="AD186" s="189">
        <f>AD$202+AD$198+AD$194+AD$190</f>
        <v>0.59328000000000003</v>
      </c>
      <c r="AE186" s="189">
        <f>AE$202+AE$198+AE$194+AE$190</f>
        <v>6.8</v>
      </c>
      <c r="AF186" s="189">
        <f>AF$202+AF$198+AF$194+AF$190</f>
        <v>0</v>
      </c>
      <c r="AG186" s="189">
        <f>AG$202+AG$198+AG$194+AG$190</f>
        <v>4.6666666666666661</v>
      </c>
      <c r="AH186" s="137">
        <f>SUM(AC186:AG186)</f>
        <v>17.263502222222222</v>
      </c>
      <c r="AI186" s="137">
        <f>AI$202+AI$198+AI$194+AI$190</f>
        <v>8</v>
      </c>
      <c r="AJ186" s="189">
        <f>AJ$202+AJ$198+AJ$194+AJ$190</f>
        <v>71.040000000000006</v>
      </c>
      <c r="AK186" s="137">
        <f>AJ186*10/60</f>
        <v>11.840000000000002</v>
      </c>
      <c r="AL186" s="167">
        <f>AH186+AI186+AK186</f>
        <v>37.103502222222225</v>
      </c>
      <c r="AM186" s="209">
        <f>B186/AL186</f>
        <v>75.408816753806278</v>
      </c>
      <c r="AN186" s="194">
        <f>AL186*46</f>
        <v>1706.7611022222225</v>
      </c>
      <c r="AO186" s="195">
        <f>AN186/B186</f>
        <v>0.61000824545729448</v>
      </c>
      <c r="AP186" s="195">
        <f>AR186/B186</f>
        <v>0.89067590968641386</v>
      </c>
      <c r="AQ186" s="95"/>
      <c r="AR186" s="195">
        <f>AR$202+AR$198+AR$194+AR$190</f>
        <v>2492.0499167999997</v>
      </c>
      <c r="AS186" s="204">
        <f>$AU$2</f>
        <v>1.05</v>
      </c>
      <c r="AT186" s="161">
        <f>HLOOKUP(G186,$AB$1:$AK$2,2,FALSE)</f>
        <v>0.72</v>
      </c>
      <c r="AU186" s="202">
        <f>IF(AND(G186="HDG"),B186*AT186,M186*AT186)</f>
        <v>2014.510464</v>
      </c>
      <c r="AV186" s="96">
        <f>B186*pakendus</f>
        <v>83.937935999999993</v>
      </c>
      <c r="AW186" s="195">
        <f>(AN186+AU186+AV186)</f>
        <v>3805.2095022222225</v>
      </c>
      <c r="AX186" s="162">
        <f>$AV$2</f>
        <v>1.05</v>
      </c>
      <c r="AY186" s="138">
        <f>(AR186*AS186)+(AW186*AX186)</f>
        <v>6612.1223899733341</v>
      </c>
      <c r="AZ186" s="163">
        <f>ROUND(AY186/B186,3)</f>
        <v>2.363</v>
      </c>
      <c r="BA186" s="234"/>
      <c r="BB186" s="164"/>
      <c r="BC186" s="160">
        <f>B186/15000</f>
        <v>0.18652874666666666</v>
      </c>
      <c r="BD186" s="212"/>
      <c r="BE186" s="212"/>
      <c r="BF186" s="85"/>
      <c r="BG186" s="85"/>
      <c r="BH186" s="85"/>
      <c r="BI186" s="85"/>
      <c r="BJ186" s="111"/>
    </row>
    <row r="187" spans="1:70" s="77" customFormat="1">
      <c r="A187" s="148"/>
      <c r="B187" s="196">
        <f>SUMIF(F208:F371,"leht*",B208:B371)</f>
        <v>428.61</v>
      </c>
      <c r="C187" s="247">
        <f>(B187-B188)/B186</f>
        <v>0.15318818418408572</v>
      </c>
      <c r="D187" s="197" t="s">
        <v>98</v>
      </c>
      <c r="E187" s="149"/>
      <c r="F187" s="150"/>
      <c r="G187" s="149"/>
      <c r="H187" s="151"/>
      <c r="I187" s="150"/>
      <c r="J187" s="151"/>
      <c r="K187" s="151"/>
      <c r="L187" s="151"/>
      <c r="M187" s="144"/>
      <c r="N187" s="150"/>
      <c r="O187" s="150"/>
      <c r="P187" s="150"/>
      <c r="Q187" s="150"/>
      <c r="R187" s="150"/>
      <c r="S187" s="150"/>
      <c r="T187" s="150"/>
      <c r="U187" s="150"/>
      <c r="V187" s="150"/>
      <c r="W187" s="150"/>
      <c r="X187" s="150"/>
      <c r="Y187" s="150"/>
      <c r="Z187" s="150"/>
      <c r="AA187" s="150"/>
      <c r="AB187" s="150"/>
      <c r="AD187" s="111"/>
      <c r="AE187" s="111"/>
      <c r="AF187" s="146"/>
      <c r="AG187" s="146"/>
      <c r="AH187" s="111"/>
      <c r="AI187" s="111"/>
      <c r="AJ187" s="111"/>
      <c r="AK187" s="111"/>
      <c r="AL187" s="111"/>
      <c r="AM187" s="88"/>
      <c r="AN187" s="94"/>
      <c r="AO187" s="89"/>
      <c r="AP187" s="90"/>
      <c r="AQ187" s="90"/>
      <c r="AT187" s="88"/>
      <c r="AU187" s="105"/>
      <c r="AV187" s="105"/>
      <c r="AW187" s="105"/>
      <c r="AX187" s="153"/>
      <c r="AY187" s="105"/>
      <c r="AZ187" s="105"/>
      <c r="BA187" s="234"/>
      <c r="BB187" s="164"/>
      <c r="BC187" s="229"/>
      <c r="BD187" s="164"/>
      <c r="BE187" s="164"/>
      <c r="BF187" s="164"/>
      <c r="BG187" s="85"/>
      <c r="BH187" s="85"/>
      <c r="BI187" s="85"/>
      <c r="BJ187" s="85"/>
      <c r="BK187" s="85"/>
      <c r="BL187" s="111"/>
      <c r="BM187" s="139"/>
      <c r="BO187" s="85"/>
      <c r="BP187" s="88"/>
    </row>
    <row r="188" spans="1:70" s="77" customFormat="1">
      <c r="A188" s="148"/>
      <c r="B188" s="196"/>
      <c r="C188"/>
      <c r="D188"/>
      <c r="E188" s="149"/>
      <c r="F188" s="150"/>
      <c r="G188" s="149"/>
      <c r="H188" s="151"/>
      <c r="I188" s="150"/>
      <c r="J188" s="151"/>
      <c r="K188" s="151"/>
      <c r="L188" s="151"/>
      <c r="M188" s="144"/>
      <c r="N188" s="150"/>
      <c r="O188" s="150"/>
      <c r="P188" s="150"/>
      <c r="Q188" s="150"/>
      <c r="R188" s="150"/>
      <c r="S188" s="150"/>
      <c r="T188" s="150"/>
      <c r="U188" s="150"/>
      <c r="V188" s="150"/>
      <c r="W188" s="150"/>
      <c r="X188" s="150"/>
      <c r="Y188" s="150"/>
      <c r="Z188" s="150"/>
      <c r="AA188" s="150"/>
      <c r="AB188" s="150"/>
      <c r="AD188" s="111"/>
      <c r="AE188" s="111"/>
      <c r="AF188" s="146"/>
      <c r="AG188" s="146"/>
      <c r="AH188" s="111"/>
      <c r="AI188" s="111"/>
      <c r="AJ188" s="111"/>
      <c r="AK188" s="111"/>
      <c r="AL188" s="111"/>
      <c r="AM188" s="88"/>
      <c r="AN188" s="94"/>
      <c r="AO188" s="89"/>
      <c r="AP188" s="90"/>
      <c r="AQ188" s="90"/>
      <c r="AT188" s="88"/>
      <c r="AU188" s="105"/>
      <c r="AV188" s="105"/>
      <c r="AW188" s="105"/>
      <c r="AX188" s="153"/>
      <c r="AY188" s="105"/>
      <c r="AZ188" s="105"/>
      <c r="BA188" s="234"/>
      <c r="BB188" s="164"/>
      <c r="BC188" s="229"/>
      <c r="BD188" s="164"/>
      <c r="BE188" s="164"/>
      <c r="BF188" s="164"/>
      <c r="BG188" s="85"/>
      <c r="BH188" s="85"/>
      <c r="BI188" s="85"/>
      <c r="BJ188" s="85"/>
      <c r="BK188" s="85"/>
      <c r="BL188" s="111"/>
      <c r="BM188" s="139"/>
      <c r="BO188" s="85"/>
      <c r="BP188" s="88"/>
    </row>
    <row r="189" spans="1:70" s="77" customFormat="1">
      <c r="A189" s="148"/>
      <c r="B189" s="148"/>
      <c r="C189" s="150"/>
      <c r="D189" s="149"/>
      <c r="E189" s="149"/>
      <c r="F189" s="261"/>
      <c r="G189" s="149"/>
      <c r="H189" s="151"/>
      <c r="I189" s="150"/>
      <c r="J189" s="151"/>
      <c r="K189" s="151"/>
      <c r="L189" s="151"/>
      <c r="M189" s="148"/>
      <c r="N189" s="150"/>
      <c r="P189" s="150"/>
      <c r="Q189" s="211"/>
      <c r="R189" s="150"/>
      <c r="S189" s="150"/>
      <c r="T189" s="150"/>
      <c r="U189" s="150"/>
      <c r="V189" s="150"/>
      <c r="W189" s="150"/>
      <c r="X189" s="150"/>
      <c r="Y189" s="150"/>
      <c r="Z189" s="150"/>
      <c r="AA189" s="150"/>
      <c r="AB189" s="150"/>
      <c r="AC189" s="170"/>
      <c r="AD189" s="170"/>
      <c r="AE189" s="170"/>
      <c r="AF189" s="170"/>
      <c r="AG189" s="170"/>
      <c r="AH189" s="170"/>
      <c r="AI189" s="165"/>
      <c r="AJ189" s="88"/>
      <c r="AN189" s="94"/>
      <c r="AP189" s="180"/>
      <c r="AR189" s="172"/>
      <c r="AT189" s="90"/>
      <c r="AU189" s="90"/>
      <c r="AV189" s="90"/>
      <c r="AW189" s="90"/>
      <c r="AX189" s="90"/>
      <c r="AY189" s="90"/>
      <c r="AZ189" s="90"/>
      <c r="BA189" s="236"/>
      <c r="BB189" s="164"/>
      <c r="BC189" s="229"/>
      <c r="BD189" s="164"/>
      <c r="BE189" s="164"/>
      <c r="BF189" s="85"/>
      <c r="BG189" s="85"/>
      <c r="BH189" s="85"/>
      <c r="BI189" s="85"/>
      <c r="BJ189" s="85"/>
      <c r="BK189" s="139"/>
      <c r="BL189" s="139"/>
      <c r="BM189" s="139"/>
      <c r="BN189" s="111"/>
      <c r="BP189" s="111"/>
      <c r="BQ189" s="111"/>
    </row>
    <row r="190" spans="1:70" s="77" customFormat="1">
      <c r="A190" s="182">
        <f>B190/L190</f>
        <v>42.376400000000004</v>
      </c>
      <c r="B190" s="182">
        <f>SUM(B192,B191,0)</f>
        <v>847.52800000000013</v>
      </c>
      <c r="C190" s="187"/>
      <c r="D190" s="183" t="s">
        <v>100</v>
      </c>
      <c r="E190" s="183"/>
      <c r="F190" s="184" t="str">
        <f>"Post "&amp;F191</f>
        <v>Post CFRHS100x100x6</v>
      </c>
      <c r="G190" s="166"/>
      <c r="H190" s="185">
        <v>160</v>
      </c>
      <c r="I190" s="186" t="s">
        <v>102</v>
      </c>
      <c r="J190" s="185">
        <f>J191</f>
        <v>2260</v>
      </c>
      <c r="K190" s="168">
        <v>20</v>
      </c>
      <c r="L190" s="185">
        <f>$L$186*$K$190</f>
        <v>20</v>
      </c>
      <c r="M190" s="182">
        <f>SUM(M192,M191,0)</f>
        <v>19.146799999999999</v>
      </c>
      <c r="N190" s="186"/>
      <c r="O190" s="186"/>
      <c r="P190" s="186"/>
      <c r="Q190" s="186"/>
      <c r="R190" s="152"/>
      <c r="S190" s="152"/>
      <c r="T190" s="152"/>
      <c r="U190" s="152"/>
      <c r="V190" s="152"/>
      <c r="W190" s="150"/>
      <c r="X190" s="150" t="s">
        <v>104</v>
      </c>
      <c r="Y190" s="186">
        <v>4</v>
      </c>
      <c r="Z190" s="186"/>
      <c r="AA190" s="186"/>
      <c r="AB190" s="186"/>
      <c r="AC190" s="182">
        <f>SUM(AC192,AC191,0)</f>
        <v>2.6577777777777776</v>
      </c>
      <c r="AD190" s="182">
        <f>SUM(AD192,AD191,0)</f>
        <v>0.31680000000000003</v>
      </c>
      <c r="AE190" s="182">
        <f>SUM(AE192,AE191,0)</f>
        <v>3.333333333333333</v>
      </c>
      <c r="AF190" s="182">
        <f>SUM(AF192,AF191,0)</f>
        <v>0</v>
      </c>
      <c r="AG190" s="182">
        <f>SUM(AG192,AG191,0)</f>
        <v>1.3333333333333333</v>
      </c>
      <c r="AH190" s="137">
        <f>SUM(AC190:AG190)</f>
        <v>7.6412444444444434</v>
      </c>
      <c r="AI190" s="137">
        <f>SUM(AI192,AI191,0)</f>
        <v>3</v>
      </c>
      <c r="AJ190" s="182">
        <f>SUM(AJ192,AJ191,0)</f>
        <v>16</v>
      </c>
      <c r="AK190" s="137">
        <f>AJ190*10/60</f>
        <v>2.6666666666666665</v>
      </c>
      <c r="AL190" s="182">
        <f>AH190+AI190+AK190</f>
        <v>13.307911111111109</v>
      </c>
      <c r="AM190" s="182">
        <f>B190/AL190</f>
        <v>63.686028026771062</v>
      </c>
      <c r="AN190" s="182">
        <f>AL190*46</f>
        <v>612.16391111111102</v>
      </c>
      <c r="AO190" s="182">
        <f>AN190/B190</f>
        <v>0.7222934358641967</v>
      </c>
      <c r="AP190" s="182">
        <f>AR190/B190</f>
        <v>0.78045444162316768</v>
      </c>
      <c r="AQ190" s="95"/>
      <c r="AR190" s="182">
        <f>SUM(AR192,AR191,0)</f>
        <v>661.45699200000013</v>
      </c>
      <c r="AT190" s="82"/>
      <c r="AU190" s="82"/>
      <c r="AV190" s="82"/>
      <c r="AW190" s="82"/>
      <c r="AX190" s="93"/>
      <c r="AY190" s="82"/>
      <c r="AZ190" s="82"/>
      <c r="BA190" s="234"/>
      <c r="BB190" s="164"/>
      <c r="BC190" s="229"/>
      <c r="BD190" s="85"/>
      <c r="BE190" s="85"/>
      <c r="BF190" s="85"/>
      <c r="BG190" s="85"/>
      <c r="BH190" s="85"/>
      <c r="BI190" s="85"/>
      <c r="BJ190" s="88"/>
    </row>
    <row r="191" spans="1:70" s="77" customFormat="1">
      <c r="A191" s="148">
        <f xml:space="preserve"> 17*J191/10^3</f>
        <v>38.42</v>
      </c>
      <c r="B191" s="148">
        <f>A191*L191</f>
        <v>768.40000000000009</v>
      </c>
      <c r="C191" s="173"/>
      <c r="D191" s="149" t="s">
        <v>100</v>
      </c>
      <c r="E191" s="149"/>
      <c r="F191" s="150" t="s">
        <v>106</v>
      </c>
      <c r="G191" s="174" t="s">
        <v>107</v>
      </c>
      <c r="H191" s="151">
        <v>100</v>
      </c>
      <c r="I191" s="150" t="s">
        <v>102</v>
      </c>
      <c r="J191" s="151">
        <v>2260</v>
      </c>
      <c r="K191" s="77">
        <v>1</v>
      </c>
      <c r="L191" s="151">
        <f>K$191*L$190</f>
        <v>20</v>
      </c>
      <c r="M191" s="164">
        <f xml:space="preserve"> 0.379*J191*L191/10^3</f>
        <v>17.130800000000001</v>
      </c>
      <c r="N191" s="150"/>
      <c r="O191" s="150"/>
      <c r="P191" s="150" t="s">
        <v>104</v>
      </c>
      <c r="Q191" s="169">
        <v>8</v>
      </c>
      <c r="R191" s="150"/>
      <c r="S191" s="150"/>
      <c r="T191" s="150"/>
      <c r="U191" s="150"/>
      <c r="V191" s="150"/>
      <c r="W191" s="150"/>
      <c r="Y191" s="150"/>
      <c r="Z191" s="150"/>
      <c r="AA191" s="150"/>
      <c r="AB191" s="150" t="s">
        <v>104</v>
      </c>
      <c r="AC191" s="148"/>
      <c r="AD191" s="111"/>
      <c r="AE191" s="170">
        <f>(H191/20/60)*2*L191</f>
        <v>3.333333333333333</v>
      </c>
      <c r="AF191" s="171"/>
      <c r="AG191" s="165">
        <f>Q191*L191*0.5/60</f>
        <v>1.3333333333333333</v>
      </c>
      <c r="AH191" s="111"/>
      <c r="AI191" s="165">
        <f>AL191*L191/60</f>
        <v>1.6666666666666667</v>
      </c>
      <c r="AJ191" s="98">
        <f>(H191*4*AK191)*2*L191/1000</f>
        <v>16</v>
      </c>
      <c r="AK191" s="77">
        <f>(VLOOKUP(F191,[1]Koostamine!$A$12:$E$1603,3,FALSE))</f>
        <v>1</v>
      </c>
      <c r="AL191" s="97">
        <f>VLOOKUP(F191,[1]Koostamine!$A$12:$K$1603,IF(J191&lt;1499,6,IF(J191&lt;2999,7,IF(J191&lt;5999,8,IF(J191&lt;9999,9,IF(J191&lt;12999,10,IF(J191&gt;13000,11)))))),FALSE)</f>
        <v>5</v>
      </c>
      <c r="AP191" s="180">
        <f>(VLOOKUP(F191,Terasehind!$A$2:$B$157,2,FALSE))</f>
        <v>0.74</v>
      </c>
      <c r="AQ191" s="77">
        <f>(VLOOKUP(F191,Terasehind!$A$2:$C$157,3,FALSE))</f>
        <v>1.05</v>
      </c>
      <c r="AR191" s="172">
        <f>AP191*AQ191*B191</f>
        <v>597.04680000000008</v>
      </c>
      <c r="AT191" s="90"/>
      <c r="AU191" s="90"/>
      <c r="AV191" s="90"/>
      <c r="AW191" s="90"/>
      <c r="AX191" s="90"/>
      <c r="AY191" s="90"/>
      <c r="AZ191" s="90"/>
      <c r="BA191" s="236"/>
      <c r="BB191" s="164"/>
      <c r="BC191" s="229"/>
      <c r="BD191" s="164"/>
      <c r="BE191" s="164"/>
      <c r="BF191" s="85"/>
      <c r="BG191" s="85"/>
      <c r="BH191" s="85"/>
      <c r="BI191" s="85"/>
      <c r="BJ191" s="85"/>
      <c r="BK191" s="88"/>
      <c r="BL191" s="85"/>
      <c r="BM191" s="88"/>
      <c r="BN191" s="111"/>
      <c r="BP191" s="139"/>
    </row>
    <row r="192" spans="1:70" s="77" customFormat="1">
      <c r="A192" s="148">
        <f t="shared" ref="A192" si="275">H192*J192*(RIGHT(F192,2))*7.85/(10^6)</f>
        <v>1.9782</v>
      </c>
      <c r="B192" s="148">
        <f t="shared" ref="B192" si="276">A192*L192</f>
        <v>79.128</v>
      </c>
      <c r="C192" s="150" t="s">
        <v>108</v>
      </c>
      <c r="D192" s="149" t="s">
        <v>109</v>
      </c>
      <c r="E192" s="149"/>
      <c r="F192" s="150" t="s">
        <v>110</v>
      </c>
      <c r="G192" s="149" t="s">
        <v>111</v>
      </c>
      <c r="H192" s="151">
        <v>120</v>
      </c>
      <c r="I192" s="150" t="s">
        <v>102</v>
      </c>
      <c r="J192" s="151">
        <v>210</v>
      </c>
      <c r="K192" s="151">
        <v>2</v>
      </c>
      <c r="L192" s="151">
        <f>K$192*L$190</f>
        <v>40</v>
      </c>
      <c r="M192" s="148">
        <f t="shared" ref="M192" si="277">2*H192*J192/10^6*L192</f>
        <v>2.016</v>
      </c>
      <c r="N192" s="150" t="s">
        <v>112</v>
      </c>
      <c r="P192" s="150"/>
      <c r="Q192" s="169">
        <v>4</v>
      </c>
      <c r="R192" s="150"/>
      <c r="S192" s="150"/>
      <c r="T192" s="150"/>
      <c r="U192" s="150"/>
      <c r="V192" s="150"/>
      <c r="W192" s="150"/>
      <c r="X192" s="150"/>
      <c r="Y192" s="150"/>
      <c r="Z192" s="150"/>
      <c r="AA192" s="150"/>
      <c r="AB192" s="150" t="s">
        <v>104</v>
      </c>
      <c r="AC192" s="170">
        <f>((((H192+J192)*2/1000)*L192*(5/(VLOOKUP(F192,[1]Plasmalõikus!$A$7:$E$46,2,FALSE)/1000*60)))+(Q192*L192*(5*(VLOOKUP(F192,[1]Plasmalõikus!$A$7:$E$48,3,FALSE))/60/60)))</f>
        <v>2.6577777777777776</v>
      </c>
      <c r="AD192" s="170">
        <f t="shared" ref="AD192" si="278">0.012*((H192+J192)*2/1000*L192)</f>
        <v>0.31680000000000003</v>
      </c>
      <c r="AE192" s="170"/>
      <c r="AF192" s="171"/>
      <c r="AG192" s="171">
        <f t="shared" ref="AG192" si="279">IF(VALUE(MID(F192,SEARCH(" ",F192)+1,LEN(F192)))&lt;35,0,IF(VALUE(MID(F192,SEARCH(" ",F192)+1,LEN(F192)))&lt;40,3,IF(VALUE(MID(F192,SEARCH(" ",F192)+1,LEN(F192)))&lt;50,4,IF(VALUE(MID(F192,SEARCH(" ",F192)+1,LEN(F192)))&lt;60,5,IF(VALUE(MID(F192,SEARCH(" ",F192)+1,LEN(F192)))&lt;70,6,IF(VALUE(MID(F192,SEARCH(" ",F192)+1,LEN(F192)))&lt;80,7,IF(VALUE(MID(F192,SEARCH(" ",F192)+1,LEN(F192)))&lt;90,8,IF(VALUE(MID(F192,SEARCH(" ",F192)+1,LEN(F192)))&lt;100,9,10))))))))/60*Q192*L192</f>
        <v>0</v>
      </c>
      <c r="AH192" s="170"/>
      <c r="AI192" s="165">
        <f t="shared" ref="AI192" si="280">AL192*L192/60</f>
        <v>1.3333333333333333</v>
      </c>
      <c r="AJ192" s="98"/>
      <c r="AK192" s="77">
        <v>6</v>
      </c>
      <c r="AL192" s="201" t="str">
        <f t="shared" ref="AL192" si="281">IF(A192&gt;40,"30",IF(A192&gt;10,"10",IF(A192&gt;20,"20","2")))</f>
        <v>2</v>
      </c>
      <c r="AN192" s="94"/>
      <c r="AP192" s="180">
        <f>(VLOOKUP(F192,Terasehind!$A$2:$B$157,2,FALSE))</f>
        <v>0.74</v>
      </c>
      <c r="AQ192" s="77">
        <v>1.1000000000000001</v>
      </c>
      <c r="AR192" s="172">
        <f t="shared" ref="AR192" si="282">AP192*AQ192*B192</f>
        <v>64.410192000000009</v>
      </c>
      <c r="AT192" s="90"/>
      <c r="AU192" s="90"/>
      <c r="AV192" s="90"/>
      <c r="AW192" s="90"/>
      <c r="AX192" s="90"/>
      <c r="AY192" s="90"/>
      <c r="AZ192" s="90"/>
      <c r="BA192" s="236"/>
      <c r="BB192" s="164"/>
      <c r="BC192" s="229"/>
      <c r="BD192" s="164"/>
      <c r="BE192" s="164"/>
      <c r="BF192" s="164"/>
      <c r="BG192" s="85"/>
      <c r="BH192" s="85"/>
      <c r="BI192" s="85"/>
      <c r="BJ192" s="85"/>
      <c r="BK192" s="85"/>
      <c r="BL192" s="139"/>
      <c r="BM192" s="139"/>
      <c r="BN192" s="139"/>
      <c r="BO192" s="111"/>
      <c r="BQ192" s="111"/>
      <c r="BR192" s="111"/>
    </row>
    <row r="193" spans="1:70" s="77" customFormat="1">
      <c r="A193" s="148"/>
      <c r="B193" s="148"/>
      <c r="C193" s="150"/>
      <c r="D193" s="149"/>
      <c r="E193" s="149"/>
      <c r="F193" s="261"/>
      <c r="G193" s="149"/>
      <c r="H193" s="151"/>
      <c r="I193" s="150"/>
      <c r="J193" s="151"/>
      <c r="K193" s="151"/>
      <c r="L193" s="151"/>
      <c r="M193" s="148"/>
      <c r="N193" s="150"/>
      <c r="P193" s="150"/>
      <c r="Q193" s="211"/>
      <c r="R193" s="150"/>
      <c r="S193" s="150"/>
      <c r="T193" s="150"/>
      <c r="U193" s="150"/>
      <c r="V193" s="150"/>
      <c r="W193" s="150"/>
      <c r="X193" s="150"/>
      <c r="Y193" s="150"/>
      <c r="Z193" s="150"/>
      <c r="AA193" s="150"/>
      <c r="AB193" s="150"/>
      <c r="AC193" s="170"/>
      <c r="AD193" s="170"/>
      <c r="AE193" s="170"/>
      <c r="AF193" s="170"/>
      <c r="AG193" s="170"/>
      <c r="AH193" s="170"/>
      <c r="AI193" s="165"/>
      <c r="AJ193" s="88"/>
      <c r="AN193" s="94"/>
      <c r="AP193" s="180"/>
      <c r="AR193" s="172"/>
      <c r="AT193" s="90"/>
      <c r="AU193" s="90"/>
      <c r="AV193" s="90"/>
      <c r="AW193" s="90"/>
      <c r="AX193" s="90"/>
      <c r="AY193" s="90"/>
      <c r="AZ193" s="90"/>
      <c r="BA193" s="236"/>
      <c r="BB193" s="164"/>
      <c r="BC193" s="229"/>
      <c r="BD193" s="164"/>
      <c r="BE193" s="164"/>
      <c r="BF193" s="85"/>
      <c r="BG193" s="85"/>
      <c r="BH193" s="85"/>
      <c r="BI193" s="85"/>
      <c r="BJ193" s="85"/>
      <c r="BK193" s="139"/>
      <c r="BL193" s="139"/>
      <c r="BM193" s="139"/>
      <c r="BN193" s="111"/>
      <c r="BP193" s="111"/>
      <c r="BQ193" s="111"/>
    </row>
    <row r="194" spans="1:70" s="77" customFormat="1">
      <c r="A194" s="182">
        <f>B194/L194</f>
        <v>51.140800000000006</v>
      </c>
      <c r="B194" s="182">
        <f>SUM(B196,B195,0)</f>
        <v>204.56320000000002</v>
      </c>
      <c r="C194" s="187"/>
      <c r="D194" s="183" t="s">
        <v>100</v>
      </c>
      <c r="E194" s="183"/>
      <c r="F194" s="184" t="str">
        <f>"Post "&amp;F195</f>
        <v>Post IPE120</v>
      </c>
      <c r="G194" s="166"/>
      <c r="H194" s="185">
        <v>160</v>
      </c>
      <c r="I194" s="186" t="s">
        <v>102</v>
      </c>
      <c r="J194" s="185">
        <f>J195</f>
        <v>4700</v>
      </c>
      <c r="K194" s="168">
        <v>4</v>
      </c>
      <c r="L194" s="185">
        <f>$L$186*$K$194</f>
        <v>4</v>
      </c>
      <c r="M194" s="182">
        <f>SUM(M196,M195,0)</f>
        <v>9.6303999999999998</v>
      </c>
      <c r="N194" s="186"/>
      <c r="O194" s="186"/>
      <c r="P194" s="186"/>
      <c r="Q194" s="186"/>
      <c r="R194" s="152"/>
      <c r="S194" s="152"/>
      <c r="T194" s="152"/>
      <c r="U194" s="152"/>
      <c r="V194" s="152"/>
      <c r="W194" s="150"/>
      <c r="X194" s="150" t="s">
        <v>104</v>
      </c>
      <c r="Y194" s="186">
        <v>4</v>
      </c>
      <c r="Z194" s="186"/>
      <c r="AA194" s="186"/>
      <c r="AB194" s="186"/>
      <c r="AC194" s="182">
        <f>SUM(AC196,AC195,0)</f>
        <v>0.48355555555555552</v>
      </c>
      <c r="AD194" s="182">
        <f>SUM(AD196,AD195,0)</f>
        <v>4.6079999999999996E-2</v>
      </c>
      <c r="AE194" s="182">
        <f>SUM(AE196,AE195,0)</f>
        <v>0.8</v>
      </c>
      <c r="AF194" s="182">
        <f>SUM(AF196,AF195,0)</f>
        <v>0</v>
      </c>
      <c r="AG194" s="182">
        <f>SUM(AG196,AG195,0)</f>
        <v>0.26666666666666666</v>
      </c>
      <c r="AH194" s="137">
        <f>SUM(AC194:AG194)</f>
        <v>1.5963022222222221</v>
      </c>
      <c r="AI194" s="137">
        <f>SUM(AI196,AI195,0)</f>
        <v>0.93333333333333335</v>
      </c>
      <c r="AJ194" s="182">
        <f>SUM(AJ196,AJ195,0)</f>
        <v>3.84</v>
      </c>
      <c r="AK194" s="137">
        <f>AJ194*10/60</f>
        <v>0.64</v>
      </c>
      <c r="AL194" s="182">
        <f>AH194+AI194+AK194</f>
        <v>3.1696355555555553</v>
      </c>
      <c r="AM194" s="182">
        <f>B194/AL194</f>
        <v>64.538397684697031</v>
      </c>
      <c r="AN194" s="182">
        <f>AL194*46</f>
        <v>145.80323555555555</v>
      </c>
      <c r="AO194" s="182">
        <f>AN194/B194</f>
        <v>0.71275398290384351</v>
      </c>
      <c r="AP194" s="182">
        <f>AR194/B194</f>
        <v>0.8560548759503176</v>
      </c>
      <c r="AQ194" s="95"/>
      <c r="AR194" s="182">
        <f>SUM(AR196,AR195,0)</f>
        <v>175.11732480000003</v>
      </c>
      <c r="AT194" s="82"/>
      <c r="AU194" s="82"/>
      <c r="AV194" s="82"/>
      <c r="AW194" s="82"/>
      <c r="AX194" s="93"/>
      <c r="AY194" s="82"/>
      <c r="AZ194" s="82"/>
      <c r="BA194" s="234"/>
      <c r="BB194" s="164"/>
      <c r="BC194" s="229"/>
      <c r="BD194" s="85"/>
      <c r="BE194" s="85"/>
      <c r="BF194" s="85"/>
      <c r="BG194" s="85"/>
      <c r="BH194" s="85"/>
      <c r="BI194" s="85"/>
      <c r="BJ194" s="88"/>
    </row>
    <row r="195" spans="1:70" s="77" customFormat="1">
      <c r="A195" s="148">
        <f xml:space="preserve"> 10.4*J195/10^3</f>
        <v>48.88</v>
      </c>
      <c r="B195" s="148">
        <f>A195*L195</f>
        <v>195.52</v>
      </c>
      <c r="C195" s="173"/>
      <c r="D195" s="149" t="s">
        <v>100</v>
      </c>
      <c r="E195" s="149"/>
      <c r="F195" s="150" t="s">
        <v>162</v>
      </c>
      <c r="G195" s="174" t="s">
        <v>111</v>
      </c>
      <c r="H195" s="151">
        <v>120</v>
      </c>
      <c r="I195" s="150" t="s">
        <v>102</v>
      </c>
      <c r="J195" s="151">
        <v>4700</v>
      </c>
      <c r="K195" s="77">
        <v>1</v>
      </c>
      <c r="L195" s="151">
        <f>K$195*L$194</f>
        <v>4</v>
      </c>
      <c r="M195" s="164">
        <f xml:space="preserve"> 0.5*J195*L195/10^3</f>
        <v>9.4</v>
      </c>
      <c r="N195" s="150"/>
      <c r="O195" s="150"/>
      <c r="P195" s="150" t="s">
        <v>104</v>
      </c>
      <c r="Q195" s="169">
        <v>8</v>
      </c>
      <c r="R195" s="150"/>
      <c r="S195" s="150"/>
      <c r="T195" s="150"/>
      <c r="U195" s="150"/>
      <c r="V195" s="150"/>
      <c r="W195" s="150"/>
      <c r="Y195" s="150"/>
      <c r="Z195" s="150"/>
      <c r="AA195" s="150"/>
      <c r="AB195" s="150" t="s">
        <v>104</v>
      </c>
      <c r="AC195" s="148"/>
      <c r="AD195" s="111"/>
      <c r="AE195" s="170">
        <f>(H195/20/60)*2*L195</f>
        <v>0.8</v>
      </c>
      <c r="AF195" s="171"/>
      <c r="AG195" s="165">
        <f>Q195*L195*0.5/60</f>
        <v>0.26666666666666666</v>
      </c>
      <c r="AH195" s="111"/>
      <c r="AI195" s="165">
        <f>AL195*L195/60</f>
        <v>0.66666666666666663</v>
      </c>
      <c r="AJ195" s="98">
        <f>(H195*4*AK195)*2*L195/1000</f>
        <v>3.84</v>
      </c>
      <c r="AK195" s="77">
        <f>(VLOOKUP(F195,[1]Koostamine!$A$12:$E$1603,3,FALSE))</f>
        <v>1</v>
      </c>
      <c r="AL195" s="97">
        <f>VLOOKUP(F195,[1]Koostamine!$A$12:$K$1603,IF(J195&lt;1499,6,IF(J195&lt;2999,7,IF(J195&lt;5999,8,IF(J195&lt;9999,9,IF(J195&lt;12999,10,IF(J195&gt;13000,11)))))),FALSE)</f>
        <v>10</v>
      </c>
      <c r="AP195" s="180">
        <f>(VLOOKUP(F195,Terasehind!$A$2:$B$157,2,FALSE))</f>
        <v>0.78</v>
      </c>
      <c r="AQ195" s="77">
        <f>(VLOOKUP(F195,Terasehind!$A$2:$C$157,3,FALSE))</f>
        <v>1.1000000000000001</v>
      </c>
      <c r="AR195" s="172">
        <f>AP195*AQ195*B195</f>
        <v>167.75616000000002</v>
      </c>
      <c r="AT195" s="90"/>
      <c r="AU195" s="90"/>
      <c r="AV195" s="90"/>
      <c r="AW195" s="90"/>
      <c r="AX195" s="90"/>
      <c r="AY195" s="90"/>
      <c r="AZ195" s="90"/>
      <c r="BA195" s="236"/>
      <c r="BB195" s="164"/>
      <c r="BC195" s="229"/>
      <c r="BD195" s="164"/>
      <c r="BE195" s="164"/>
      <c r="BF195" s="85"/>
      <c r="BG195" s="85"/>
      <c r="BH195" s="85"/>
      <c r="BI195" s="85"/>
      <c r="BJ195" s="85"/>
      <c r="BK195" s="88"/>
      <c r="BL195" s="85"/>
      <c r="BM195" s="88"/>
      <c r="BN195" s="111"/>
      <c r="BP195" s="139"/>
    </row>
    <row r="196" spans="1:70" s="77" customFormat="1">
      <c r="A196" s="148">
        <f t="shared" ref="A196" si="283">H196*J196*(RIGHT(F196,2))*7.85/(10^6)</f>
        <v>1.1304000000000001</v>
      </c>
      <c r="B196" s="148">
        <f t="shared" ref="B196" si="284">A196*L196</f>
        <v>9.0432000000000006</v>
      </c>
      <c r="C196" s="150" t="s">
        <v>108</v>
      </c>
      <c r="D196" s="149" t="s">
        <v>109</v>
      </c>
      <c r="E196" s="149"/>
      <c r="F196" s="150" t="s">
        <v>110</v>
      </c>
      <c r="G196" s="149" t="s">
        <v>111</v>
      </c>
      <c r="H196" s="151">
        <v>120</v>
      </c>
      <c r="I196" s="150" t="s">
        <v>102</v>
      </c>
      <c r="J196" s="151">
        <v>120</v>
      </c>
      <c r="K196" s="151">
        <v>2</v>
      </c>
      <c r="L196" s="151">
        <f>K$196*L$194</f>
        <v>8</v>
      </c>
      <c r="M196" s="148">
        <f t="shared" ref="M196" si="285">2*H196*J196/10^6*L196</f>
        <v>0.23039999999999999</v>
      </c>
      <c r="N196" s="150" t="s">
        <v>112</v>
      </c>
      <c r="P196" s="150"/>
      <c r="Q196" s="169">
        <v>4</v>
      </c>
      <c r="R196" s="150"/>
      <c r="S196" s="150"/>
      <c r="T196" s="150"/>
      <c r="U196" s="150"/>
      <c r="V196" s="150"/>
      <c r="W196" s="150"/>
      <c r="X196" s="150"/>
      <c r="Y196" s="150"/>
      <c r="Z196" s="150"/>
      <c r="AA196" s="150"/>
      <c r="AB196" s="150" t="s">
        <v>104</v>
      </c>
      <c r="AC196" s="170">
        <f>((((H196+J196)*2/1000)*L196*(5/(VLOOKUP(F196,[1]Plasmalõikus!$A$7:$E$46,2,FALSE)/1000*60)))+(Q196*L196*(5*(VLOOKUP(F196,[1]Plasmalõikus!$A$7:$E$48,3,FALSE))/60/60)))</f>
        <v>0.48355555555555552</v>
      </c>
      <c r="AD196" s="170">
        <f t="shared" ref="AD196" si="286">0.012*((H196+J196)*2/1000*L196)</f>
        <v>4.6079999999999996E-2</v>
      </c>
      <c r="AE196" s="170"/>
      <c r="AF196" s="171"/>
      <c r="AG196" s="171">
        <f t="shared" ref="AG196" si="287">IF(VALUE(MID(F196,SEARCH(" ",F196)+1,LEN(F196)))&lt;35,0,IF(VALUE(MID(F196,SEARCH(" ",F196)+1,LEN(F196)))&lt;40,3,IF(VALUE(MID(F196,SEARCH(" ",F196)+1,LEN(F196)))&lt;50,4,IF(VALUE(MID(F196,SEARCH(" ",F196)+1,LEN(F196)))&lt;60,5,IF(VALUE(MID(F196,SEARCH(" ",F196)+1,LEN(F196)))&lt;70,6,IF(VALUE(MID(F196,SEARCH(" ",F196)+1,LEN(F196)))&lt;80,7,IF(VALUE(MID(F196,SEARCH(" ",F196)+1,LEN(F196)))&lt;90,8,IF(VALUE(MID(F196,SEARCH(" ",F196)+1,LEN(F196)))&lt;100,9,10))))))))/60*Q196*L196</f>
        <v>0</v>
      </c>
      <c r="AH196" s="170"/>
      <c r="AI196" s="165">
        <f t="shared" ref="AI196" si="288">AL196*L196/60</f>
        <v>0.26666666666666666</v>
      </c>
      <c r="AJ196" s="98"/>
      <c r="AK196" s="77">
        <v>6</v>
      </c>
      <c r="AL196" s="201" t="str">
        <f t="shared" ref="AL196" si="289">IF(A196&gt;40,"30",IF(A196&gt;10,"10",IF(A196&gt;20,"20","2")))</f>
        <v>2</v>
      </c>
      <c r="AN196" s="94"/>
      <c r="AP196" s="180">
        <f>(VLOOKUP(F196,Terasehind!$A$2:$B$157,2,FALSE))</f>
        <v>0.74</v>
      </c>
      <c r="AQ196" s="77">
        <v>1.1000000000000001</v>
      </c>
      <c r="AR196" s="172">
        <f t="shared" ref="AR196" si="290">AP196*AQ196*B196</f>
        <v>7.361164800000001</v>
      </c>
      <c r="AT196" s="90"/>
      <c r="AU196" s="90"/>
      <c r="AV196" s="90"/>
      <c r="AW196" s="90"/>
      <c r="AX196" s="90"/>
      <c r="AY196" s="90"/>
      <c r="AZ196" s="90"/>
      <c r="BA196" s="236"/>
      <c r="BB196" s="164"/>
      <c r="BC196" s="229"/>
      <c r="BD196" s="164"/>
      <c r="BE196" s="164"/>
      <c r="BF196" s="164"/>
      <c r="BG196" s="85"/>
      <c r="BH196" s="85"/>
      <c r="BI196" s="85"/>
      <c r="BJ196" s="85"/>
      <c r="BK196" s="85"/>
      <c r="BL196" s="139"/>
      <c r="BM196" s="139"/>
      <c r="BN196" s="139"/>
      <c r="BO196" s="111"/>
      <c r="BQ196" s="111"/>
      <c r="BR196" s="111"/>
    </row>
    <row r="197" spans="1:70" s="77" customFormat="1">
      <c r="A197" s="148"/>
      <c r="B197" s="148"/>
      <c r="C197" s="150"/>
      <c r="D197" s="149"/>
      <c r="E197" s="149"/>
      <c r="F197" s="261"/>
      <c r="G197" s="149"/>
      <c r="H197" s="151"/>
      <c r="I197" s="150"/>
      <c r="J197" s="151"/>
      <c r="K197" s="151"/>
      <c r="L197" s="151"/>
      <c r="M197" s="148"/>
      <c r="N197" s="150"/>
      <c r="P197" s="150"/>
      <c r="Q197" s="211"/>
      <c r="R197" s="150"/>
      <c r="S197" s="150"/>
      <c r="T197" s="150"/>
      <c r="U197" s="150"/>
      <c r="V197" s="150"/>
      <c r="W197" s="150"/>
      <c r="X197" s="150"/>
      <c r="Y197" s="150"/>
      <c r="Z197" s="150"/>
      <c r="AA197" s="150"/>
      <c r="AB197" s="150"/>
      <c r="AC197" s="170"/>
      <c r="AD197" s="170"/>
      <c r="AE197" s="170"/>
      <c r="AF197" s="170"/>
      <c r="AG197" s="170"/>
      <c r="AH197" s="170"/>
      <c r="AI197" s="165"/>
      <c r="AJ197" s="88"/>
      <c r="AN197" s="94"/>
      <c r="AP197" s="180"/>
      <c r="AR197" s="172"/>
      <c r="AT197" s="90"/>
      <c r="AU197" s="90"/>
      <c r="AV197" s="90"/>
      <c r="AW197" s="90"/>
      <c r="AX197" s="90"/>
      <c r="AY197" s="90"/>
      <c r="AZ197" s="90"/>
      <c r="BA197" s="236"/>
      <c r="BB197" s="164"/>
      <c r="BC197" s="229"/>
      <c r="BD197" s="164"/>
      <c r="BE197" s="164"/>
      <c r="BF197" s="85"/>
      <c r="BG197" s="85"/>
      <c r="BH197" s="85"/>
      <c r="BI197" s="85"/>
      <c r="BJ197" s="85"/>
      <c r="BK197" s="139"/>
      <c r="BL197" s="139"/>
      <c r="BM197" s="139"/>
      <c r="BN197" s="111"/>
      <c r="BP197" s="111"/>
      <c r="BQ197" s="111"/>
    </row>
    <row r="198" spans="1:70" s="77" customFormat="1">
      <c r="A198" s="182">
        <f>B198/L198</f>
        <v>47.424999999999997</v>
      </c>
      <c r="B198" s="182">
        <f>SUM(B200,B199,0)</f>
        <v>758.8</v>
      </c>
      <c r="C198" s="187"/>
      <c r="D198" s="183" t="s">
        <v>100</v>
      </c>
      <c r="E198" s="183"/>
      <c r="F198" s="184" t="str">
        <f>"Tala "&amp;F199</f>
        <v>Tala CFRHS100x100x6</v>
      </c>
      <c r="G198" s="166"/>
      <c r="H198" s="185">
        <v>160</v>
      </c>
      <c r="I198" s="186" t="s">
        <v>102</v>
      </c>
      <c r="J198" s="185">
        <f>J199</f>
        <v>2605</v>
      </c>
      <c r="K198" s="168">
        <v>16</v>
      </c>
      <c r="L198" s="185">
        <f>$L$186*$K$198</f>
        <v>16</v>
      </c>
      <c r="M198" s="182">
        <f>SUM(M200,M199,0)</f>
        <v>17.076719999999998</v>
      </c>
      <c r="N198" s="186"/>
      <c r="O198" s="186"/>
      <c r="P198" s="186"/>
      <c r="Q198" s="186"/>
      <c r="R198" s="152"/>
      <c r="S198" s="152"/>
      <c r="T198" s="152"/>
      <c r="U198" s="152"/>
      <c r="V198" s="152"/>
      <c r="W198" s="150"/>
      <c r="X198" s="150" t="s">
        <v>104</v>
      </c>
      <c r="Y198" s="186">
        <v>4</v>
      </c>
      <c r="Z198" s="186"/>
      <c r="AA198" s="186"/>
      <c r="AB198" s="186"/>
      <c r="AC198" s="182">
        <f>SUM(AC200,AC199,0)</f>
        <v>2.0622222222222222</v>
      </c>
      <c r="AD198" s="182">
        <f>SUM(AD200,AD199,0)</f>
        <v>0.23039999999999999</v>
      </c>
      <c r="AE198" s="182">
        <f>SUM(AE200,AE199,0)</f>
        <v>2.6666666666666665</v>
      </c>
      <c r="AF198" s="182">
        <f>SUM(AF200,AF199,0)</f>
        <v>0</v>
      </c>
      <c r="AG198" s="182">
        <f>SUM(AG200,AG199,0)</f>
        <v>1.0666666666666667</v>
      </c>
      <c r="AH198" s="137">
        <f>SUM(AC198:AG198)</f>
        <v>6.0259555555555551</v>
      </c>
      <c r="AI198" s="137">
        <f>SUM(AI200,AI199,0)</f>
        <v>2.4</v>
      </c>
      <c r="AJ198" s="182">
        <f>SUM(AJ200,AJ199,0)</f>
        <v>12.8</v>
      </c>
      <c r="AK198" s="137">
        <f>AJ198*10/60</f>
        <v>2.1333333333333333</v>
      </c>
      <c r="AL198" s="182">
        <f>AH198+AI198+AK198</f>
        <v>10.559288888888888</v>
      </c>
      <c r="AM198" s="182">
        <f>B198/AL198</f>
        <v>71.86089972388713</v>
      </c>
      <c r="AN198" s="182">
        <f>AL198*46</f>
        <v>485.72728888888884</v>
      </c>
      <c r="AO198" s="182">
        <f>AN198/B198</f>
        <v>0.64012557839864115</v>
      </c>
      <c r="AP198" s="182">
        <f>AR198/B198</f>
        <v>0.7794497627833421</v>
      </c>
      <c r="AQ198" s="95"/>
      <c r="AR198" s="182">
        <f>SUM(AR200,AR199,0)</f>
        <v>591.44647999999995</v>
      </c>
      <c r="AT198" s="82"/>
      <c r="AU198" s="82"/>
      <c r="AV198" s="82"/>
      <c r="AW198" s="82"/>
      <c r="AX198" s="93"/>
      <c r="AY198" s="82"/>
      <c r="AZ198" s="82"/>
      <c r="BA198" s="234"/>
      <c r="BB198" s="164"/>
      <c r="BC198" s="229"/>
      <c r="BD198" s="85"/>
      <c r="BE198" s="85"/>
      <c r="BF198" s="85"/>
      <c r="BG198" s="85"/>
      <c r="BH198" s="85"/>
      <c r="BI198" s="85"/>
      <c r="BJ198" s="88"/>
    </row>
    <row r="199" spans="1:70" s="77" customFormat="1">
      <c r="A199" s="148">
        <f xml:space="preserve"> 17*J199/10^3</f>
        <v>44.284999999999997</v>
      </c>
      <c r="B199" s="148">
        <f>A199*L199</f>
        <v>708.56</v>
      </c>
      <c r="C199" s="173"/>
      <c r="D199" s="149" t="s">
        <v>100</v>
      </c>
      <c r="E199" s="149"/>
      <c r="F199" s="150" t="s">
        <v>106</v>
      </c>
      <c r="G199" s="174" t="s">
        <v>107</v>
      </c>
      <c r="H199" s="151">
        <v>100</v>
      </c>
      <c r="I199" s="150" t="s">
        <v>102</v>
      </c>
      <c r="J199" s="151">
        <v>2605</v>
      </c>
      <c r="K199" s="77">
        <v>1</v>
      </c>
      <c r="L199" s="151">
        <f>K$199*L$198</f>
        <v>16</v>
      </c>
      <c r="M199" s="164">
        <f xml:space="preserve"> 0.379*J199*L199/10^3</f>
        <v>15.796719999999999</v>
      </c>
      <c r="N199" s="150"/>
      <c r="O199" s="150"/>
      <c r="P199" s="150" t="s">
        <v>104</v>
      </c>
      <c r="Q199" s="169">
        <v>8</v>
      </c>
      <c r="R199" s="150"/>
      <c r="S199" s="150"/>
      <c r="T199" s="150"/>
      <c r="U199" s="150"/>
      <c r="V199" s="150"/>
      <c r="W199" s="150"/>
      <c r="Y199" s="150"/>
      <c r="Z199" s="150"/>
      <c r="AA199" s="150"/>
      <c r="AB199" s="150" t="s">
        <v>104</v>
      </c>
      <c r="AC199" s="148"/>
      <c r="AD199" s="111"/>
      <c r="AE199" s="170">
        <f>(H199/20/60)*2*L199</f>
        <v>2.6666666666666665</v>
      </c>
      <c r="AF199" s="171"/>
      <c r="AG199" s="165">
        <f>Q199*L199*0.5/60</f>
        <v>1.0666666666666667</v>
      </c>
      <c r="AH199" s="111"/>
      <c r="AI199" s="165">
        <f>AL199*L199/60</f>
        <v>1.3333333333333333</v>
      </c>
      <c r="AJ199" s="98">
        <f>(H199*4*AK199)*2*L199/1000</f>
        <v>12.8</v>
      </c>
      <c r="AK199" s="77">
        <f>(VLOOKUP(F199,[1]Koostamine!$A$12:$E$1603,3,FALSE))</f>
        <v>1</v>
      </c>
      <c r="AL199" s="97">
        <f>VLOOKUP(F199,[1]Koostamine!$A$12:$K$1603,IF(J199&lt;1499,6,IF(J199&lt;2999,7,IF(J199&lt;5999,8,IF(J199&lt;9999,9,IF(J199&lt;12999,10,IF(J199&gt;13000,11)))))),FALSE)</f>
        <v>5</v>
      </c>
      <c r="AP199" s="180">
        <f>(VLOOKUP(F199,Terasehind!$A$2:$B$157,2,FALSE))</f>
        <v>0.74</v>
      </c>
      <c r="AQ199" s="77">
        <f>(VLOOKUP(F199,Terasehind!$A$2:$C$157,3,FALSE))</f>
        <v>1.05</v>
      </c>
      <c r="AR199" s="172">
        <f>AP199*AQ199*B199</f>
        <v>550.55111999999997</v>
      </c>
      <c r="AT199" s="90"/>
      <c r="AU199" s="90"/>
      <c r="AV199" s="90"/>
      <c r="AW199" s="90"/>
      <c r="AX199" s="90"/>
      <c r="AY199" s="90"/>
      <c r="AZ199" s="90"/>
      <c r="BA199" s="236"/>
      <c r="BB199" s="164"/>
      <c r="BC199" s="229"/>
      <c r="BD199" s="164"/>
      <c r="BE199" s="164"/>
      <c r="BF199" s="85"/>
      <c r="BG199" s="85"/>
      <c r="BH199" s="85"/>
      <c r="BI199" s="85"/>
      <c r="BJ199" s="85"/>
      <c r="BK199" s="88"/>
      <c r="BL199" s="85"/>
      <c r="BM199" s="88"/>
      <c r="BN199" s="111"/>
      <c r="BP199" s="139"/>
    </row>
    <row r="200" spans="1:70" s="77" customFormat="1">
      <c r="A200" s="148">
        <f t="shared" ref="A200" si="291">H200*J200*(RIGHT(F200,2))*7.85/(10^6)</f>
        <v>1.57</v>
      </c>
      <c r="B200" s="148">
        <f t="shared" ref="B200" si="292">A200*L200</f>
        <v>50.24</v>
      </c>
      <c r="C200" s="150" t="s">
        <v>108</v>
      </c>
      <c r="D200" s="149" t="s">
        <v>109</v>
      </c>
      <c r="E200" s="149"/>
      <c r="F200" s="150" t="s">
        <v>110</v>
      </c>
      <c r="G200" s="149" t="s">
        <v>111</v>
      </c>
      <c r="H200" s="151">
        <v>100</v>
      </c>
      <c r="I200" s="150" t="s">
        <v>102</v>
      </c>
      <c r="J200" s="151">
        <v>200</v>
      </c>
      <c r="K200" s="151">
        <v>2</v>
      </c>
      <c r="L200" s="151">
        <f>K$200*L$198</f>
        <v>32</v>
      </c>
      <c r="M200" s="148">
        <f t="shared" ref="M200" si="293">2*H200*J200/10^6*L200</f>
        <v>1.28</v>
      </c>
      <c r="N200" s="150" t="s">
        <v>112</v>
      </c>
      <c r="P200" s="150"/>
      <c r="Q200" s="169">
        <v>4</v>
      </c>
      <c r="R200" s="150"/>
      <c r="S200" s="150"/>
      <c r="T200" s="150"/>
      <c r="U200" s="150"/>
      <c r="V200" s="150"/>
      <c r="W200" s="150"/>
      <c r="X200" s="150"/>
      <c r="Y200" s="150"/>
      <c r="Z200" s="150"/>
      <c r="AA200" s="150"/>
      <c r="AB200" s="150" t="s">
        <v>104</v>
      </c>
      <c r="AC200" s="170">
        <f>((((H200+J200)*2/1000)*L200*(5/(VLOOKUP(F200,[1]Plasmalõikus!$A$7:$E$46,2,FALSE)/1000*60)))+(Q200*L200*(5*(VLOOKUP(F200,[1]Plasmalõikus!$A$7:$E$48,3,FALSE))/60/60)))</f>
        <v>2.0622222222222222</v>
      </c>
      <c r="AD200" s="170">
        <f t="shared" ref="AD200" si="294">0.012*((H200+J200)*2/1000*L200)</f>
        <v>0.23039999999999999</v>
      </c>
      <c r="AE200" s="170"/>
      <c r="AF200" s="171"/>
      <c r="AG200" s="171">
        <f t="shared" ref="AG200" si="295">IF(VALUE(MID(F200,SEARCH(" ",F200)+1,LEN(F200)))&lt;35,0,IF(VALUE(MID(F200,SEARCH(" ",F200)+1,LEN(F200)))&lt;40,3,IF(VALUE(MID(F200,SEARCH(" ",F200)+1,LEN(F200)))&lt;50,4,IF(VALUE(MID(F200,SEARCH(" ",F200)+1,LEN(F200)))&lt;60,5,IF(VALUE(MID(F200,SEARCH(" ",F200)+1,LEN(F200)))&lt;70,6,IF(VALUE(MID(F200,SEARCH(" ",F200)+1,LEN(F200)))&lt;80,7,IF(VALUE(MID(F200,SEARCH(" ",F200)+1,LEN(F200)))&lt;90,8,IF(VALUE(MID(F200,SEARCH(" ",F200)+1,LEN(F200)))&lt;100,9,10))))))))/60*Q200*L200</f>
        <v>0</v>
      </c>
      <c r="AH200" s="170"/>
      <c r="AI200" s="165">
        <f t="shared" ref="AI200" si="296">AL200*L200/60</f>
        <v>1.0666666666666667</v>
      </c>
      <c r="AJ200" s="98"/>
      <c r="AK200" s="77">
        <v>6</v>
      </c>
      <c r="AL200" s="201" t="str">
        <f t="shared" ref="AL200" si="297">IF(A200&gt;40,"30",IF(A200&gt;10,"10",IF(A200&gt;20,"20","2")))</f>
        <v>2</v>
      </c>
      <c r="AN200" s="94"/>
      <c r="AP200" s="180">
        <f>(VLOOKUP(F200,Terasehind!$A$2:$B$157,2,FALSE))</f>
        <v>0.74</v>
      </c>
      <c r="AQ200" s="77">
        <v>1.1000000000000001</v>
      </c>
      <c r="AR200" s="172">
        <f t="shared" ref="AR200" si="298">AP200*AQ200*B200</f>
        <v>40.895360000000004</v>
      </c>
      <c r="AT200" s="90"/>
      <c r="AU200" s="90"/>
      <c r="AV200" s="90"/>
      <c r="AW200" s="90"/>
      <c r="AX200" s="90"/>
      <c r="AY200" s="90"/>
      <c r="AZ200" s="90"/>
      <c r="BA200" s="236"/>
      <c r="BB200" s="164"/>
      <c r="BC200" s="229"/>
      <c r="BD200" s="164"/>
      <c r="BE200" s="164"/>
      <c r="BF200" s="164"/>
      <c r="BG200" s="85"/>
      <c r="BH200" s="85"/>
      <c r="BI200" s="85"/>
      <c r="BJ200" s="85"/>
      <c r="BK200" s="85"/>
      <c r="BL200" s="139"/>
      <c r="BM200" s="139"/>
      <c r="BN200" s="139"/>
      <c r="BO200" s="111"/>
      <c r="BQ200" s="111"/>
      <c r="BR200" s="111"/>
    </row>
    <row r="201" spans="1:70" s="77" customFormat="1">
      <c r="A201" s="148"/>
      <c r="B201" s="148"/>
      <c r="C201" s="150"/>
      <c r="D201" s="149"/>
      <c r="E201" s="149"/>
      <c r="F201" s="261"/>
      <c r="G201" s="149"/>
      <c r="H201" s="151"/>
      <c r="I201" s="150"/>
      <c r="J201" s="151"/>
      <c r="K201" s="151"/>
      <c r="L201" s="151"/>
      <c r="M201" s="148"/>
      <c r="N201" s="150"/>
      <c r="P201" s="150"/>
      <c r="Q201" s="211"/>
      <c r="R201" s="150"/>
      <c r="S201" s="150"/>
      <c r="T201" s="150"/>
      <c r="U201" s="150"/>
      <c r="V201" s="150"/>
      <c r="W201" s="150"/>
      <c r="X201" s="150"/>
      <c r="Y201" s="150"/>
      <c r="Z201" s="150"/>
      <c r="AA201" s="150"/>
      <c r="AB201" s="150"/>
      <c r="AC201" s="170"/>
      <c r="AD201" s="170"/>
      <c r="AE201" s="170"/>
      <c r="AF201" s="170"/>
      <c r="AG201" s="170"/>
      <c r="AH201" s="170"/>
      <c r="AI201" s="165"/>
      <c r="AJ201" s="88"/>
      <c r="AN201" s="94"/>
      <c r="AP201" s="180"/>
      <c r="AR201" s="172"/>
      <c r="AT201" s="90"/>
      <c r="AU201" s="90"/>
      <c r="AV201" s="90"/>
      <c r="AW201" s="90"/>
      <c r="AX201" s="90"/>
      <c r="AY201" s="90"/>
      <c r="AZ201" s="90"/>
      <c r="BA201" s="236"/>
      <c r="BB201" s="164"/>
      <c r="BC201" s="229"/>
      <c r="BD201" s="164"/>
      <c r="BE201" s="164"/>
      <c r="BF201" s="85"/>
      <c r="BG201" s="85"/>
      <c r="BH201" s="85"/>
      <c r="BI201" s="85"/>
      <c r="BJ201" s="85"/>
      <c r="BK201" s="139"/>
      <c r="BL201" s="139"/>
      <c r="BM201" s="139"/>
      <c r="BN201" s="111"/>
      <c r="BP201" s="111"/>
      <c r="BQ201" s="111"/>
    </row>
    <row r="202" spans="1:70" s="77" customFormat="1">
      <c r="A202" s="182">
        <f>B202/L202</f>
        <v>49.351999999999997</v>
      </c>
      <c r="B202" s="182">
        <f>SUM(B203,0)</f>
        <v>987.04</v>
      </c>
      <c r="C202" s="187"/>
      <c r="D202" s="183" t="s">
        <v>100</v>
      </c>
      <c r="E202" s="183"/>
      <c r="F202" s="184" t="str">
        <f>"Tala "&amp;F203</f>
        <v>Tala L120x11</v>
      </c>
      <c r="G202" s="166"/>
      <c r="H202" s="185">
        <v>160</v>
      </c>
      <c r="I202" s="186" t="s">
        <v>102</v>
      </c>
      <c r="J202" s="185">
        <f>J203</f>
        <v>2480</v>
      </c>
      <c r="K202" s="168">
        <v>20</v>
      </c>
      <c r="L202" s="185">
        <f>$L$186*$K$202</f>
        <v>20</v>
      </c>
      <c r="M202" s="182">
        <f>SUM(M203,0)</f>
        <v>23.2624</v>
      </c>
      <c r="N202" s="186"/>
      <c r="O202" s="186"/>
      <c r="P202" s="186"/>
      <c r="Q202" s="186"/>
      <c r="R202" s="152"/>
      <c r="S202" s="152"/>
      <c r="T202" s="152"/>
      <c r="U202" s="152"/>
      <c r="V202" s="152"/>
      <c r="W202" s="150"/>
      <c r="X202" s="150" t="s">
        <v>104</v>
      </c>
      <c r="Y202" s="186">
        <v>4</v>
      </c>
      <c r="Z202" s="186"/>
      <c r="AA202" s="186"/>
      <c r="AB202" s="186"/>
      <c r="AC202" s="182">
        <f>SUM(AC203,0)</f>
        <v>0</v>
      </c>
      <c r="AD202" s="182">
        <f>SUM(AD203,0)</f>
        <v>0</v>
      </c>
      <c r="AE202" s="182">
        <f>SUM(AE203,0)</f>
        <v>0</v>
      </c>
      <c r="AF202" s="182">
        <f>SUM(AF203,0)</f>
        <v>0</v>
      </c>
      <c r="AG202" s="182">
        <f>SUM(AG203,0)</f>
        <v>2</v>
      </c>
      <c r="AH202" s="137">
        <f>SUM(AC202:AG202)</f>
        <v>2</v>
      </c>
      <c r="AI202" s="137">
        <f>SUM(AI203,0)</f>
        <v>1.6666666666666667</v>
      </c>
      <c r="AJ202" s="182">
        <f>SUM(AJ203,0)</f>
        <v>38.4</v>
      </c>
      <c r="AK202" s="137">
        <f>AJ202*10/60</f>
        <v>6.4</v>
      </c>
      <c r="AL202" s="182">
        <f>AH202+AI202+AK202</f>
        <v>10.066666666666666</v>
      </c>
      <c r="AM202" s="182">
        <f>B202/AL202</f>
        <v>98.05033112582781</v>
      </c>
      <c r="AN202" s="182">
        <f>AL202*46</f>
        <v>463.06666666666666</v>
      </c>
      <c r="AO202" s="182">
        <f>AN202/B202</f>
        <v>0.46914680931539421</v>
      </c>
      <c r="AP202" s="182">
        <f>AR202/B202</f>
        <v>1.0780000000000001</v>
      </c>
      <c r="AQ202" s="95"/>
      <c r="AR202" s="182">
        <f>SUM(AR203,0)</f>
        <v>1064.0291199999999</v>
      </c>
      <c r="AT202" s="82"/>
      <c r="AU202" s="82"/>
      <c r="AV202" s="82"/>
      <c r="AW202" s="82"/>
      <c r="AX202" s="93"/>
      <c r="AY202" s="82"/>
      <c r="AZ202" s="82"/>
      <c r="BA202" s="234"/>
      <c r="BB202" s="164"/>
      <c r="BC202" s="229"/>
      <c r="BD202" s="85"/>
      <c r="BE202" s="85"/>
      <c r="BF202" s="85"/>
      <c r="BG202" s="85"/>
      <c r="BH202" s="85"/>
      <c r="BI202" s="85"/>
      <c r="BJ202" s="88"/>
    </row>
    <row r="203" spans="1:70" s="77" customFormat="1">
      <c r="A203" s="148">
        <f xml:space="preserve"> 19.9*J203/10^3</f>
        <v>49.351999999999997</v>
      </c>
      <c r="B203" s="148">
        <f>A203*L203</f>
        <v>987.04</v>
      </c>
      <c r="C203" s="173"/>
      <c r="D203" s="149" t="s">
        <v>100</v>
      </c>
      <c r="E203" s="149"/>
      <c r="F203" s="150" t="s">
        <v>163</v>
      </c>
      <c r="G203" s="174" t="s">
        <v>111</v>
      </c>
      <c r="H203" s="151">
        <v>120</v>
      </c>
      <c r="I203" s="150" t="s">
        <v>102</v>
      </c>
      <c r="J203" s="151">
        <v>2480</v>
      </c>
      <c r="K203" s="77">
        <v>1</v>
      </c>
      <c r="L203" s="151">
        <f>K$203*L$202</f>
        <v>20</v>
      </c>
      <c r="M203" s="164">
        <f xml:space="preserve"> 0.469*J203*L203/10^3</f>
        <v>23.2624</v>
      </c>
      <c r="N203" s="150"/>
      <c r="O203" s="150"/>
      <c r="P203" s="150" t="s">
        <v>104</v>
      </c>
      <c r="Q203" s="169">
        <v>8</v>
      </c>
      <c r="R203" s="150"/>
      <c r="S203" s="150"/>
      <c r="T203" s="150"/>
      <c r="U203" s="150"/>
      <c r="V203" s="150"/>
      <c r="W203" s="150"/>
      <c r="Y203" s="150"/>
      <c r="Z203" s="150"/>
      <c r="AA203" s="150"/>
      <c r="AB203" s="150" t="s">
        <v>104</v>
      </c>
      <c r="AC203" s="148"/>
      <c r="AD203" s="111"/>
      <c r="AE203" s="170"/>
      <c r="AF203" s="171"/>
      <c r="AG203" s="165">
        <f>Q203*L203*0.5/60+L203*2/60</f>
        <v>2</v>
      </c>
      <c r="AH203" s="111"/>
      <c r="AI203" s="165">
        <f>AL203*L203/60</f>
        <v>1.6666666666666667</v>
      </c>
      <c r="AJ203" s="98">
        <f>(H203*4*AK203)*2*L203/1000</f>
        <v>38.4</v>
      </c>
      <c r="AK203" s="77">
        <f>(VLOOKUP(F203,[1]Koostamine!$A$12:$E$1603,3,FALSE))</f>
        <v>2</v>
      </c>
      <c r="AL203" s="97">
        <f>VLOOKUP(F203,[1]Koostamine!$A$12:$K$1603,IF(J203&lt;1499,6,IF(J203&lt;2999,7,IF(J203&lt;5999,8,IF(J203&lt;9999,9,IF(J203&lt;12999,10,IF(J203&gt;13000,11)))))),FALSE)</f>
        <v>5</v>
      </c>
      <c r="AP203" s="180">
        <f>(VLOOKUP(F203,Terasehind!$A$2:$B$157,2,FALSE))</f>
        <v>0.98</v>
      </c>
      <c r="AQ203" s="77">
        <f>(VLOOKUP(F203,Terasehind!$A$2:$C$157,3,FALSE))</f>
        <v>1.1000000000000001</v>
      </c>
      <c r="AR203" s="172">
        <f>AP203*AQ203*B203</f>
        <v>1064.0291199999999</v>
      </c>
      <c r="AT203" s="90"/>
      <c r="AU203" s="90"/>
      <c r="AV203" s="90"/>
      <c r="AW203" s="90"/>
      <c r="AX203" s="90"/>
      <c r="AY203" s="90"/>
      <c r="AZ203" s="90"/>
      <c r="BA203" s="236"/>
      <c r="BB203" s="164"/>
      <c r="BC203" s="229"/>
      <c r="BD203" s="164"/>
      <c r="BE203" s="164"/>
      <c r="BF203" s="85"/>
      <c r="BG203" s="85"/>
      <c r="BH203" s="85"/>
      <c r="BI203" s="85"/>
      <c r="BJ203" s="85"/>
      <c r="BK203" s="88"/>
      <c r="BL203" s="85"/>
      <c r="BM203" s="88"/>
      <c r="BN203" s="111"/>
      <c r="BP203" s="139"/>
    </row>
    <row r="204" spans="1:70" s="77" customFormat="1" ht="15" thickBot="1">
      <c r="A204" s="148"/>
      <c r="B204" s="148"/>
      <c r="C204" s="148"/>
      <c r="D204" s="149"/>
      <c r="E204" s="149"/>
      <c r="F204" s="149"/>
      <c r="G204" s="149"/>
      <c r="H204" s="149"/>
      <c r="I204" s="149"/>
      <c r="J204" s="149"/>
      <c r="K204" s="149"/>
      <c r="L204" s="149"/>
      <c r="M204" s="274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234"/>
      <c r="BB204" s="164"/>
      <c r="BC204" s="229"/>
      <c r="BD204" s="164"/>
      <c r="BE204" s="164"/>
      <c r="BF204" s="164"/>
      <c r="BG204" s="85"/>
      <c r="BH204" s="85"/>
      <c r="BI204" s="85"/>
      <c r="BJ204" s="111"/>
    </row>
    <row r="205" spans="1:70" s="77" customFormat="1" ht="15" thickBot="1">
      <c r="A205" s="189">
        <f>B205/L205</f>
        <v>394.25479999999999</v>
      </c>
      <c r="B205" s="189">
        <f>B$208</f>
        <v>394.25479999999999</v>
      </c>
      <c r="C205" s="190"/>
      <c r="D205" s="190" t="s">
        <v>100</v>
      </c>
      <c r="E205" s="190"/>
      <c r="F205" s="191" t="s">
        <v>164</v>
      </c>
      <c r="G205" s="216" t="s">
        <v>23</v>
      </c>
      <c r="H205" s="192">
        <v>150</v>
      </c>
      <c r="I205" s="193" t="s">
        <v>102</v>
      </c>
      <c r="J205" s="192">
        <v>7500</v>
      </c>
      <c r="K205" s="192">
        <v>1</v>
      </c>
      <c r="L205" s="192">
        <f>$L$183*$K$205</f>
        <v>1</v>
      </c>
      <c r="M205" s="189">
        <f>M$208</f>
        <v>11.552</v>
      </c>
      <c r="N205" s="193"/>
      <c r="O205" s="193"/>
      <c r="P205" s="193"/>
      <c r="Q205" s="193"/>
      <c r="R205" s="193"/>
      <c r="S205" s="193"/>
      <c r="T205" s="193"/>
      <c r="U205" s="193"/>
      <c r="V205" s="193"/>
      <c r="W205" s="193"/>
      <c r="X205" s="193"/>
      <c r="Y205" s="193">
        <v>3</v>
      </c>
      <c r="Z205" s="193"/>
      <c r="AA205" s="193"/>
      <c r="AB205" s="193"/>
      <c r="AC205" s="189">
        <f>AC$208</f>
        <v>2.2287407407407405</v>
      </c>
      <c r="AD205" s="189">
        <f>AD$208</f>
        <v>0.33024000000000003</v>
      </c>
      <c r="AE205" s="189">
        <f>AE$208</f>
        <v>4.4880000000000004</v>
      </c>
      <c r="AF205" s="189">
        <f>AF$208</f>
        <v>0</v>
      </c>
      <c r="AG205" s="189">
        <f>AG$208</f>
        <v>1.0666666666666667</v>
      </c>
      <c r="AH205" s="137">
        <f>SUM(AC205:AG205)</f>
        <v>8.1136474074074076</v>
      </c>
      <c r="AI205" s="137">
        <f>AI$208</f>
        <v>1.6</v>
      </c>
      <c r="AJ205" s="189">
        <f>AJ$208</f>
        <v>16.910784000000003</v>
      </c>
      <c r="AK205" s="137">
        <f>AJ205*10/60</f>
        <v>2.8184640000000005</v>
      </c>
      <c r="AL205" s="167">
        <f>AH205+AI205+AK205</f>
        <v>12.532111407407408</v>
      </c>
      <c r="AM205" s="209">
        <f>B205/AL205</f>
        <v>31.459567121863131</v>
      </c>
      <c r="AN205" s="194">
        <f>AL205*46</f>
        <v>576.47712474074081</v>
      </c>
      <c r="AO205" s="195">
        <f>AN205/B205</f>
        <v>1.4621943087078224</v>
      </c>
      <c r="AP205" s="195">
        <f>AR205/B205</f>
        <v>0.94399511990722762</v>
      </c>
      <c r="AQ205" s="95"/>
      <c r="AR205" s="195">
        <f>AR$208</f>
        <v>372.17460720000003</v>
      </c>
      <c r="AS205" s="204">
        <f>$AU$2</f>
        <v>1.05</v>
      </c>
      <c r="AT205" s="161">
        <f>HLOOKUP(G205,$AB$1:$AK$2,2,FALSE)</f>
        <v>0.72</v>
      </c>
      <c r="AU205" s="202">
        <f>IF(AND(G205="HDG"),B205*AT205,M205*AT205)</f>
        <v>283.86345599999999</v>
      </c>
      <c r="AV205" s="96">
        <f>B205*pakendus</f>
        <v>11.827643999999999</v>
      </c>
      <c r="AW205" s="195">
        <f>(AN205+AU205+AV205)</f>
        <v>872.1682247407407</v>
      </c>
      <c r="AX205" s="162">
        <f>$AV$2</f>
        <v>1.05</v>
      </c>
      <c r="AY205" s="138">
        <f>(AR205*AS205)+(AW205*AX205)</f>
        <v>1306.5599735377778</v>
      </c>
      <c r="AZ205" s="163">
        <f>ROUND(AY205/B205,3)</f>
        <v>3.3140000000000001</v>
      </c>
      <c r="BA205" s="234"/>
      <c r="BB205" s="164"/>
      <c r="BC205" s="160">
        <f>B205/15000</f>
        <v>2.6283653333333334E-2</v>
      </c>
      <c r="BD205" s="212"/>
      <c r="BE205" s="212"/>
      <c r="BF205" s="85"/>
      <c r="BG205" s="85"/>
      <c r="BH205" s="85"/>
      <c r="BI205" s="85"/>
      <c r="BJ205" s="111"/>
    </row>
    <row r="206" spans="1:70" s="77" customFormat="1">
      <c r="A206" s="148"/>
      <c r="B206" s="196">
        <f>SUMIF(F194:F384,"leht*",B194:B384)</f>
        <v>487.89320000000004</v>
      </c>
      <c r="C206" s="247">
        <f>(B206-B207)/B205</f>
        <v>1.237507317602728</v>
      </c>
      <c r="D206" s="197" t="s">
        <v>98</v>
      </c>
      <c r="E206" s="149"/>
      <c r="F206" s="150"/>
      <c r="G206" s="149"/>
      <c r="H206" s="151"/>
      <c r="I206" s="150"/>
      <c r="J206" s="151"/>
      <c r="K206" s="151"/>
      <c r="L206" s="151"/>
      <c r="M206" s="144"/>
      <c r="N206" s="150"/>
      <c r="O206" s="150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  <c r="AA206" s="150"/>
      <c r="AB206" s="150"/>
      <c r="AD206" s="111"/>
      <c r="AE206" s="111"/>
      <c r="AF206" s="146"/>
      <c r="AG206" s="146"/>
      <c r="AH206" s="111"/>
      <c r="AI206" s="111"/>
      <c r="AJ206" s="111"/>
      <c r="AK206" s="111"/>
      <c r="AL206" s="111"/>
      <c r="AM206" s="88"/>
      <c r="AN206" s="94"/>
      <c r="AO206" s="89"/>
      <c r="AP206" s="90"/>
      <c r="AQ206" s="90"/>
      <c r="AT206" s="88"/>
      <c r="AU206" s="105"/>
      <c r="AV206" s="105"/>
      <c r="AW206" s="105"/>
      <c r="AX206" s="153"/>
      <c r="AY206" s="105"/>
      <c r="AZ206" s="105"/>
      <c r="BA206" s="234"/>
      <c r="BB206" s="164"/>
      <c r="BC206" s="229"/>
      <c r="BD206" s="164"/>
      <c r="BE206" s="164"/>
      <c r="BF206" s="164"/>
      <c r="BG206" s="85"/>
      <c r="BH206" s="85"/>
      <c r="BI206" s="85"/>
      <c r="BJ206" s="85"/>
      <c r="BK206" s="85"/>
      <c r="BL206" s="111"/>
      <c r="BM206" s="139"/>
      <c r="BO206" s="85"/>
      <c r="BP206" s="88"/>
    </row>
    <row r="207" spans="1:70" s="77" customFormat="1">
      <c r="A207" s="148"/>
      <c r="B207" s="196"/>
      <c r="C207"/>
      <c r="D207"/>
      <c r="E207" s="149"/>
      <c r="F207" s="150"/>
      <c r="G207" s="149"/>
      <c r="H207" s="151"/>
      <c r="I207" s="150"/>
      <c r="J207" s="151"/>
      <c r="K207" s="151"/>
      <c r="L207" s="151"/>
      <c r="M207" s="144"/>
      <c r="N207" s="150"/>
      <c r="O207" s="150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  <c r="AA207" s="150"/>
      <c r="AB207" s="150"/>
      <c r="AD207" s="111"/>
      <c r="AE207" s="111"/>
      <c r="AF207" s="146"/>
      <c r="AG207" s="146"/>
      <c r="AH207" s="111"/>
      <c r="AI207" s="111"/>
      <c r="AJ207" s="111"/>
      <c r="AK207" s="111"/>
      <c r="AL207" s="111"/>
      <c r="AM207" s="88"/>
      <c r="AN207" s="94"/>
      <c r="AO207" s="89"/>
      <c r="AP207" s="90"/>
      <c r="AQ207" s="90"/>
      <c r="AT207" s="88"/>
      <c r="AU207" s="105"/>
      <c r="AV207" s="105"/>
      <c r="AW207" s="105"/>
      <c r="AX207" s="153"/>
      <c r="AY207" s="105"/>
      <c r="AZ207" s="105"/>
      <c r="BA207" s="234"/>
      <c r="BB207" s="164"/>
      <c r="BC207" s="229"/>
      <c r="BD207" s="164"/>
      <c r="BE207" s="164"/>
      <c r="BF207" s="164"/>
      <c r="BG207" s="85"/>
      <c r="BH207" s="85"/>
      <c r="BI207" s="85"/>
      <c r="BJ207" s="85"/>
      <c r="BK207" s="85"/>
      <c r="BL207" s="111"/>
      <c r="BM207" s="139"/>
      <c r="BO207" s="85"/>
      <c r="BP207" s="88"/>
    </row>
    <row r="208" spans="1:70" s="77" customFormat="1">
      <c r="A208" s="182">
        <f>B208/L208</f>
        <v>24.640924999999999</v>
      </c>
      <c r="B208" s="182">
        <f>SUM(B211,B210,B209,0)</f>
        <v>394.25479999999999</v>
      </c>
      <c r="C208" s="187"/>
      <c r="D208" s="183" t="s">
        <v>100</v>
      </c>
      <c r="E208" s="183"/>
      <c r="F208" s="184" t="str">
        <f>"Post "&amp;F209</f>
        <v>Post CFCHS168.3x4.5</v>
      </c>
      <c r="G208" s="166"/>
      <c r="H208" s="185">
        <v>160</v>
      </c>
      <c r="I208" s="186" t="s">
        <v>102</v>
      </c>
      <c r="J208" s="185">
        <f>J209</f>
        <v>1000</v>
      </c>
      <c r="K208" s="168">
        <v>16</v>
      </c>
      <c r="L208" s="185">
        <f>$L$205*$K$208</f>
        <v>16</v>
      </c>
      <c r="M208" s="182">
        <f>SUM(M211,M210,M209,0)</f>
        <v>11.552</v>
      </c>
      <c r="N208" s="186"/>
      <c r="O208" s="186"/>
      <c r="P208" s="186"/>
      <c r="Q208" s="186"/>
      <c r="R208" s="152"/>
      <c r="S208" s="152"/>
      <c r="T208" s="152"/>
      <c r="U208" s="152"/>
      <c r="V208" s="152"/>
      <c r="W208" s="150"/>
      <c r="X208" s="150" t="s">
        <v>104</v>
      </c>
      <c r="Y208" s="186">
        <v>4</v>
      </c>
      <c r="Z208" s="186"/>
      <c r="AA208" s="186"/>
      <c r="AB208" s="186"/>
      <c r="AC208" s="182">
        <f>SUM(AC211,AC210,AC209,0)</f>
        <v>2.2287407407407405</v>
      </c>
      <c r="AD208" s="182">
        <f>SUM(AD211,AD210,AD209,0)</f>
        <v>0.33024000000000003</v>
      </c>
      <c r="AE208" s="182">
        <f>SUM(AE211,AE210,AE209,0)</f>
        <v>4.4880000000000004</v>
      </c>
      <c r="AF208" s="182">
        <f>SUM(AF211,AF210,AF209,0)</f>
        <v>0</v>
      </c>
      <c r="AG208" s="182">
        <f>SUM(AG211,AG210,AG209,0)</f>
        <v>1.0666666666666667</v>
      </c>
      <c r="AH208" s="137">
        <f>SUM(AC208:AG208)</f>
        <v>8.1136474074074076</v>
      </c>
      <c r="AI208" s="137">
        <f>SUM(AI211,AI210,AI209,0)</f>
        <v>1.6</v>
      </c>
      <c r="AJ208" s="182">
        <f>SUM(AJ211,AJ210,AJ209,0)</f>
        <v>16.910784000000003</v>
      </c>
      <c r="AK208" s="137">
        <f>AJ208*10/60</f>
        <v>2.8184640000000005</v>
      </c>
      <c r="AL208" s="182">
        <f>AH208+AI208+AK208</f>
        <v>12.532111407407408</v>
      </c>
      <c r="AM208" s="182">
        <f>B208/AL208</f>
        <v>31.459567121863131</v>
      </c>
      <c r="AN208" s="182">
        <f>AL208*46</f>
        <v>576.47712474074081</v>
      </c>
      <c r="AO208" s="182">
        <f>AN208/B208</f>
        <v>1.4621943087078224</v>
      </c>
      <c r="AP208" s="182">
        <f>AR208/B208</f>
        <v>0.94399511990722762</v>
      </c>
      <c r="AQ208" s="95"/>
      <c r="AR208" s="182">
        <f>SUM(AR211,AR210,AR209,0)</f>
        <v>372.17460720000003</v>
      </c>
      <c r="AT208" s="82"/>
      <c r="AU208" s="82"/>
      <c r="AV208" s="82"/>
      <c r="AW208" s="82"/>
      <c r="AX208" s="93"/>
      <c r="AY208" s="82"/>
      <c r="AZ208" s="82"/>
      <c r="BA208" s="234"/>
      <c r="BB208" s="164"/>
      <c r="BC208" s="229"/>
      <c r="BD208" s="85"/>
      <c r="BE208" s="85"/>
      <c r="BF208" s="85"/>
      <c r="BG208" s="85"/>
      <c r="BH208" s="85"/>
      <c r="BI208" s="85"/>
      <c r="BJ208" s="88"/>
    </row>
    <row r="209" spans="1:70" s="77" customFormat="1">
      <c r="A209" s="148">
        <f xml:space="preserve"> 18.2*J209/10^3</f>
        <v>18.2</v>
      </c>
      <c r="B209" s="148">
        <f>A209*L209</f>
        <v>291.2</v>
      </c>
      <c r="C209" s="173"/>
      <c r="D209" s="149" t="s">
        <v>100</v>
      </c>
      <c r="E209" s="149"/>
      <c r="F209" s="150" t="s">
        <v>165</v>
      </c>
      <c r="G209" s="174" t="s">
        <v>107</v>
      </c>
      <c r="H209" s="151">
        <v>168.3</v>
      </c>
      <c r="I209" s="150" t="s">
        <v>102</v>
      </c>
      <c r="J209" s="151">
        <v>1000</v>
      </c>
      <c r="K209" s="77">
        <v>1</v>
      </c>
      <c r="L209" s="151">
        <f>K$209*L$208</f>
        <v>16</v>
      </c>
      <c r="M209" s="164">
        <f xml:space="preserve"> 0.529*J209*L209/10^3</f>
        <v>8.4640000000000004</v>
      </c>
      <c r="N209" s="150"/>
      <c r="O209" s="150"/>
      <c r="P209" s="150" t="s">
        <v>104</v>
      </c>
      <c r="Q209" s="169">
        <v>8</v>
      </c>
      <c r="R209" s="150"/>
      <c r="S209" s="150"/>
      <c r="T209" s="150"/>
      <c r="U209" s="150"/>
      <c r="V209" s="150"/>
      <c r="W209" s="150"/>
      <c r="Y209" s="150"/>
      <c r="Z209" s="150"/>
      <c r="AA209" s="150"/>
      <c r="AB209" s="150" t="s">
        <v>104</v>
      </c>
      <c r="AC209" s="148"/>
      <c r="AD209" s="111"/>
      <c r="AE209" s="170">
        <f>(H209/20/60)*2*L209</f>
        <v>4.4880000000000004</v>
      </c>
      <c r="AF209" s="171"/>
      <c r="AG209" s="165">
        <f>Q209*L209*0.5/60</f>
        <v>1.0666666666666667</v>
      </c>
      <c r="AH209" s="111"/>
      <c r="AI209" s="165">
        <f>AL209*L209/60</f>
        <v>0.53333333333333333</v>
      </c>
      <c r="AJ209" s="98">
        <f>(H209*3.14*AK209)*2*L209/1000</f>
        <v>16.910784000000003</v>
      </c>
      <c r="AK209" s="77">
        <f>(VLOOKUP(F209,[1]Koostamine!$A$12:$E$1603,3,FALSE))</f>
        <v>1</v>
      </c>
      <c r="AL209" s="97">
        <f>VLOOKUP(F209,[1]Koostamine!$A$12:$K$1603,IF(J209&lt;1499,6,IF(J209&lt;2999,7,IF(J209&lt;5999,8,IF(J209&lt;9999,9,IF(J209&lt;12999,10,IF(J209&gt;13000,11)))))),FALSE)</f>
        <v>2</v>
      </c>
      <c r="AP209" s="180">
        <f>(VLOOKUP(F209,Terasehind!$A$2:$B$157,2,FALSE))</f>
        <v>0.9</v>
      </c>
      <c r="AQ209" s="77">
        <f>(VLOOKUP(F209,Terasehind!$A$2:$C$157,3,FALSE))</f>
        <v>1.1000000000000001</v>
      </c>
      <c r="AR209" s="172">
        <f>AP209*AQ209*B209</f>
        <v>288.28800000000001</v>
      </c>
      <c r="AT209" s="90"/>
      <c r="AU209" s="90"/>
      <c r="AV209" s="90"/>
      <c r="AW209" s="90"/>
      <c r="AX209" s="90"/>
      <c r="AY209" s="90"/>
      <c r="AZ209" s="90"/>
      <c r="BA209" s="236"/>
      <c r="BB209" s="164"/>
      <c r="BC209" s="229"/>
      <c r="BD209" s="164"/>
      <c r="BE209" s="164"/>
      <c r="BF209" s="85"/>
      <c r="BG209" s="85"/>
      <c r="BH209" s="85"/>
      <c r="BI209" s="85"/>
      <c r="BJ209" s="85"/>
      <c r="BK209" s="88"/>
      <c r="BL209" s="85"/>
      <c r="BM209" s="88"/>
      <c r="BN209" s="111"/>
      <c r="BP209" s="139"/>
    </row>
    <row r="210" spans="1:70" s="77" customFormat="1">
      <c r="A210" s="148">
        <f t="shared" ref="A210" si="299">H210*J210*(RIGHT(F210,2))*7.85/(10^6)</f>
        <v>5.3066000000000004</v>
      </c>
      <c r="B210" s="148">
        <f t="shared" ref="B210" si="300">A210*L210</f>
        <v>84.905600000000007</v>
      </c>
      <c r="C210" s="150" t="s">
        <v>108</v>
      </c>
      <c r="D210" s="149" t="s">
        <v>109</v>
      </c>
      <c r="E210" s="149"/>
      <c r="F210" s="150" t="s">
        <v>110</v>
      </c>
      <c r="G210" s="149" t="s">
        <v>111</v>
      </c>
      <c r="H210" s="151">
        <v>260</v>
      </c>
      <c r="I210" s="150" t="s">
        <v>102</v>
      </c>
      <c r="J210" s="151">
        <v>260</v>
      </c>
      <c r="K210" s="151">
        <v>1</v>
      </c>
      <c r="L210" s="151">
        <f>K$210*L$208</f>
        <v>16</v>
      </c>
      <c r="M210" s="148">
        <f t="shared" ref="M210" si="301">2*H210*J210/10^6*L210</f>
        <v>2.1631999999999998</v>
      </c>
      <c r="N210" s="150" t="s">
        <v>112</v>
      </c>
      <c r="P210" s="150"/>
      <c r="Q210" s="169">
        <v>4</v>
      </c>
      <c r="R210" s="150"/>
      <c r="S210" s="150"/>
      <c r="T210" s="150"/>
      <c r="U210" s="150"/>
      <c r="V210" s="150"/>
      <c r="W210" s="150"/>
      <c r="X210" s="150"/>
      <c r="Y210" s="150"/>
      <c r="Z210" s="150"/>
      <c r="AA210" s="150"/>
      <c r="AB210" s="150" t="s">
        <v>104</v>
      </c>
      <c r="AC210" s="170">
        <f>((((H210+J210)*2/1000)*L210*(5/(VLOOKUP(F210,[1]Plasmalõikus!$A$7:$E$46,2,FALSE)/1000*60)))+(Q210*L210*(5*(VLOOKUP(F210,[1]Plasmalõikus!$A$7:$E$48,3,FALSE))/60/60)))</f>
        <v>1.2657777777777777</v>
      </c>
      <c r="AD210" s="170">
        <f t="shared" ref="AD210" si="302">0.012*((H210+J210)*2/1000*L210)</f>
        <v>0.19968000000000002</v>
      </c>
      <c r="AE210" s="170"/>
      <c r="AF210" s="171"/>
      <c r="AG210" s="171">
        <f t="shared" ref="AG210" si="303">IF(VALUE(MID(F210,SEARCH(" ",F210)+1,LEN(F210)))&lt;35,0,IF(VALUE(MID(F210,SEARCH(" ",F210)+1,LEN(F210)))&lt;40,3,IF(VALUE(MID(F210,SEARCH(" ",F210)+1,LEN(F210)))&lt;50,4,IF(VALUE(MID(F210,SEARCH(" ",F210)+1,LEN(F210)))&lt;60,5,IF(VALUE(MID(F210,SEARCH(" ",F210)+1,LEN(F210)))&lt;70,6,IF(VALUE(MID(F210,SEARCH(" ",F210)+1,LEN(F210)))&lt;80,7,IF(VALUE(MID(F210,SEARCH(" ",F210)+1,LEN(F210)))&lt;90,8,IF(VALUE(MID(F210,SEARCH(" ",F210)+1,LEN(F210)))&lt;100,9,10))))))))/60*Q210*L210</f>
        <v>0</v>
      </c>
      <c r="AH210" s="170"/>
      <c r="AI210" s="165">
        <f t="shared" ref="AI210" si="304">AL210*L210/60</f>
        <v>0.53333333333333333</v>
      </c>
      <c r="AJ210" s="98"/>
      <c r="AK210" s="77">
        <v>6</v>
      </c>
      <c r="AL210" s="201" t="str">
        <f t="shared" ref="AL210" si="305">IF(A210&gt;40,"30",IF(A210&gt;10,"10",IF(A210&gt;20,"20","2")))</f>
        <v>2</v>
      </c>
      <c r="AN210" s="94"/>
      <c r="AP210" s="180">
        <f>(VLOOKUP(F210,Terasehind!$A$2:$B$157,2,FALSE))</f>
        <v>0.74</v>
      </c>
      <c r="AQ210" s="77">
        <v>1.1000000000000001</v>
      </c>
      <c r="AR210" s="172">
        <f t="shared" ref="AR210" si="306">AP210*AQ210*B210</f>
        <v>69.113158400000017</v>
      </c>
      <c r="AT210" s="90"/>
      <c r="AU210" s="90"/>
      <c r="AV210" s="90"/>
      <c r="AW210" s="90"/>
      <c r="AX210" s="90"/>
      <c r="AY210" s="90"/>
      <c r="AZ210" s="90"/>
      <c r="BA210" s="236"/>
      <c r="BB210" s="164"/>
      <c r="BC210" s="229"/>
      <c r="BD210" s="164"/>
      <c r="BE210" s="164"/>
      <c r="BF210" s="164"/>
      <c r="BG210" s="85"/>
      <c r="BH210" s="85"/>
      <c r="BI210" s="85"/>
      <c r="BJ210" s="85"/>
      <c r="BK210" s="85"/>
      <c r="BL210" s="139"/>
      <c r="BM210" s="139"/>
      <c r="BN210" s="139"/>
      <c r="BO210" s="111"/>
      <c r="BQ210" s="111"/>
      <c r="BR210" s="111"/>
    </row>
    <row r="211" spans="1:70" s="77" customFormat="1">
      <c r="A211" s="148">
        <f t="shared" ref="A211" si="307">H211*J211*(RIGHT(F211,2))*7.85/(10^6)</f>
        <v>1.134325</v>
      </c>
      <c r="B211" s="148">
        <f t="shared" ref="B211" si="308">A211*L211</f>
        <v>18.1492</v>
      </c>
      <c r="C211" s="150" t="s">
        <v>108</v>
      </c>
      <c r="D211" s="149" t="s">
        <v>109</v>
      </c>
      <c r="E211" s="149"/>
      <c r="F211" s="150" t="s">
        <v>138</v>
      </c>
      <c r="G211" s="149" t="s">
        <v>111</v>
      </c>
      <c r="H211" s="151">
        <v>170</v>
      </c>
      <c r="I211" s="150" t="s">
        <v>102</v>
      </c>
      <c r="J211" s="151">
        <v>170</v>
      </c>
      <c r="K211" s="151">
        <v>1</v>
      </c>
      <c r="L211" s="151">
        <f>K$211*L$208</f>
        <v>16</v>
      </c>
      <c r="M211" s="148">
        <f t="shared" ref="M211" si="309">2*H211*J211/10^6*L211</f>
        <v>0.92479999999999996</v>
      </c>
      <c r="N211" s="150" t="s">
        <v>112</v>
      </c>
      <c r="P211" s="150"/>
      <c r="Q211" s="169">
        <v>4</v>
      </c>
      <c r="R211" s="150"/>
      <c r="S211" s="150"/>
      <c r="T211" s="150"/>
      <c r="U211" s="150"/>
      <c r="V211" s="150"/>
      <c r="W211" s="150"/>
      <c r="X211" s="150"/>
      <c r="Y211" s="150"/>
      <c r="Z211" s="150"/>
      <c r="AA211" s="150"/>
      <c r="AB211" s="150" t="s">
        <v>104</v>
      </c>
      <c r="AC211" s="170">
        <f>((((H211+J211)*2/1000)*L211*(5/(VLOOKUP(F211,[1]Plasmalõikus!$A$7:$E$46,2,FALSE)/1000*60)))+(Q211*L211*(5*(VLOOKUP(F211,[1]Plasmalõikus!$A$7:$E$48,3,FALSE))/60/60)))</f>
        <v>0.96296296296296291</v>
      </c>
      <c r="AD211" s="170">
        <f t="shared" ref="AD211" si="310">0.012*((H211+J211)*2/1000*L211)</f>
        <v>0.13056000000000001</v>
      </c>
      <c r="AE211" s="170"/>
      <c r="AF211" s="171"/>
      <c r="AG211" s="171">
        <f t="shared" ref="AG211" si="311">IF(VALUE(MID(F211,SEARCH(" ",F211)+1,LEN(F211)))&lt;35,0,IF(VALUE(MID(F211,SEARCH(" ",F211)+1,LEN(F211)))&lt;40,3,IF(VALUE(MID(F211,SEARCH(" ",F211)+1,LEN(F211)))&lt;50,4,IF(VALUE(MID(F211,SEARCH(" ",F211)+1,LEN(F211)))&lt;60,5,IF(VALUE(MID(F211,SEARCH(" ",F211)+1,LEN(F211)))&lt;70,6,IF(VALUE(MID(F211,SEARCH(" ",F211)+1,LEN(F211)))&lt;80,7,IF(VALUE(MID(F211,SEARCH(" ",F211)+1,LEN(F211)))&lt;90,8,IF(VALUE(MID(F211,SEARCH(" ",F211)+1,LEN(F211)))&lt;100,9,10))))))))/60*Q211*L211</f>
        <v>0</v>
      </c>
      <c r="AH211" s="170"/>
      <c r="AI211" s="165">
        <f t="shared" ref="AI211" si="312">AL211*L211/60</f>
        <v>0.53333333333333333</v>
      </c>
      <c r="AJ211" s="98"/>
      <c r="AK211" s="77">
        <v>6</v>
      </c>
      <c r="AL211" s="201" t="str">
        <f t="shared" ref="AL211" si="313">IF(A211&gt;40,"30",IF(A211&gt;10,"10",IF(A211&gt;20,"20","2")))</f>
        <v>2</v>
      </c>
      <c r="AN211" s="94"/>
      <c r="AP211" s="180">
        <f>(VLOOKUP(F211,Terasehind!$A$2:$B$157,2,FALSE))</f>
        <v>0.74</v>
      </c>
      <c r="AQ211" s="77">
        <v>1.1000000000000001</v>
      </c>
      <c r="AR211" s="172">
        <f t="shared" ref="AR211" si="314">AP211*AQ211*B211</f>
        <v>14.773448800000001</v>
      </c>
      <c r="AT211" s="90"/>
      <c r="AU211" s="90"/>
      <c r="AV211" s="90"/>
      <c r="AW211" s="90"/>
      <c r="AX211" s="90"/>
      <c r="AY211" s="90"/>
      <c r="AZ211" s="90"/>
      <c r="BA211" s="236"/>
      <c r="BB211" s="164"/>
      <c r="BC211" s="229"/>
      <c r="BD211" s="164"/>
      <c r="BE211" s="164"/>
      <c r="BF211" s="164"/>
      <c r="BG211" s="85"/>
      <c r="BH211" s="85"/>
      <c r="BI211" s="85"/>
      <c r="BJ211" s="85"/>
      <c r="BK211" s="85"/>
      <c r="BL211" s="139"/>
      <c r="BM211" s="139"/>
      <c r="BN211" s="139"/>
      <c r="BO211" s="111"/>
      <c r="BQ211" s="111"/>
      <c r="BR211" s="111"/>
    </row>
    <row r="212" spans="1:70" s="77" customFormat="1">
      <c r="A212" s="148"/>
      <c r="B212" s="148"/>
      <c r="C212" s="150"/>
      <c r="D212" s="149"/>
      <c r="E212" s="149"/>
      <c r="F212" s="150"/>
      <c r="G212" s="149"/>
      <c r="H212" s="151"/>
      <c r="I212" s="150"/>
      <c r="J212" s="151"/>
      <c r="K212" s="151"/>
      <c r="L212" s="151"/>
      <c r="M212" s="148"/>
      <c r="N212" s="150"/>
      <c r="P212" s="150"/>
      <c r="Q212" s="211"/>
      <c r="R212" s="150"/>
      <c r="S212" s="150"/>
      <c r="T212" s="150"/>
      <c r="U212" s="150"/>
      <c r="V212" s="150"/>
      <c r="W212" s="150"/>
      <c r="X212" s="150"/>
      <c r="Y212" s="150"/>
      <c r="Z212" s="150"/>
      <c r="AA212" s="150"/>
      <c r="AB212" s="150"/>
      <c r="AC212" s="170"/>
      <c r="AD212" s="170"/>
      <c r="AE212" s="170"/>
      <c r="AF212" s="170"/>
      <c r="AG212" s="170"/>
      <c r="AH212" s="170"/>
      <c r="AI212" s="165"/>
      <c r="AJ212" s="88"/>
      <c r="AN212" s="94"/>
      <c r="AP212" s="180"/>
      <c r="AR212" s="172"/>
      <c r="AT212" s="90"/>
      <c r="AU212" s="90"/>
      <c r="AV212" s="90"/>
      <c r="AW212" s="90"/>
      <c r="AX212" s="90"/>
      <c r="AY212" s="90"/>
      <c r="AZ212" s="90"/>
      <c r="BA212" s="236"/>
      <c r="BB212" s="164"/>
      <c r="BC212" s="229"/>
      <c r="BD212" s="164"/>
      <c r="BE212" s="164"/>
      <c r="BF212" s="85"/>
      <c r="BG212" s="85"/>
      <c r="BH212" s="85"/>
      <c r="BI212" s="85"/>
      <c r="BJ212" s="85"/>
      <c r="BK212" s="139"/>
      <c r="BL212" s="139"/>
      <c r="BM212" s="139"/>
      <c r="BN212" s="111"/>
      <c r="BP212" s="111"/>
      <c r="BQ212" s="111"/>
    </row>
    <row r="213" spans="1:70" s="77" customFormat="1" ht="15" thickBot="1">
      <c r="A213" s="148"/>
      <c r="B213" s="148">
        <f>B214-B221</f>
        <v>2623.2551999999996</v>
      </c>
      <c r="C213" s="148"/>
      <c r="D213" s="149"/>
      <c r="E213" s="149"/>
      <c r="F213" s="149"/>
      <c r="G213" s="149"/>
      <c r="H213" s="149"/>
      <c r="I213" s="149"/>
      <c r="J213" s="151"/>
      <c r="K213" s="151"/>
      <c r="L213" s="151"/>
      <c r="M213" s="144"/>
      <c r="N213" s="150"/>
      <c r="O213" s="152"/>
      <c r="P213" s="150"/>
      <c r="Q213" s="150"/>
      <c r="R213" s="152"/>
      <c r="S213" s="152"/>
      <c r="T213" s="152"/>
      <c r="U213" s="152"/>
      <c r="V213" s="152"/>
      <c r="W213" s="150"/>
      <c r="X213" s="150"/>
      <c r="Y213" s="150"/>
      <c r="Z213" s="152"/>
      <c r="AA213" s="150"/>
      <c r="AB213" s="150"/>
      <c r="AD213" s="111"/>
      <c r="AE213" s="111"/>
      <c r="AF213" s="146"/>
      <c r="AG213" s="146"/>
      <c r="AH213" s="111"/>
      <c r="AI213" s="111"/>
      <c r="AJ213" s="88"/>
      <c r="AK213" s="88"/>
      <c r="AL213" s="88"/>
      <c r="AM213" s="88"/>
      <c r="AN213" s="94"/>
      <c r="AO213" s="111"/>
      <c r="AP213" s="90"/>
      <c r="AQ213" s="90"/>
      <c r="AR213" s="90"/>
      <c r="AS213" s="90"/>
      <c r="AT213" s="90"/>
      <c r="AU213" s="90"/>
      <c r="AV213" s="90"/>
      <c r="AW213" s="90"/>
      <c r="AX213" s="90"/>
      <c r="AY213" s="90"/>
      <c r="AZ213" s="90"/>
      <c r="BA213" s="234"/>
      <c r="BB213" s="85"/>
      <c r="BC213" s="228"/>
      <c r="BD213" s="85"/>
      <c r="BE213" s="85"/>
      <c r="BF213" s="85"/>
      <c r="BG213" s="85"/>
    </row>
    <row r="214" spans="1:70" s="77" customFormat="1" ht="29.25" thickBot="1">
      <c r="A214" s="154">
        <f>B214/L214</f>
        <v>7591.2551999999996</v>
      </c>
      <c r="B214" s="154">
        <f>B$217</f>
        <v>7591.2551999999996</v>
      </c>
      <c r="C214" s="155"/>
      <c r="D214" s="155" t="s">
        <v>114</v>
      </c>
      <c r="E214" s="155"/>
      <c r="F214" s="156" t="s">
        <v>166</v>
      </c>
      <c r="G214" s="216" t="s">
        <v>23</v>
      </c>
      <c r="H214" s="157">
        <v>100</v>
      </c>
      <c r="I214" s="158" t="s">
        <v>102</v>
      </c>
      <c r="J214" s="157">
        <v>100</v>
      </c>
      <c r="K214" s="157">
        <v>1</v>
      </c>
      <c r="L214" s="157">
        <f>$L$7*$K$214</f>
        <v>1</v>
      </c>
      <c r="M214" s="154">
        <f>M$217</f>
        <v>162.43559999999999</v>
      </c>
      <c r="N214" s="150"/>
      <c r="O214" s="152"/>
      <c r="P214" s="150"/>
      <c r="Q214" s="158"/>
      <c r="R214" s="158"/>
      <c r="S214" s="158"/>
      <c r="T214" s="158"/>
      <c r="U214" s="158"/>
      <c r="V214" s="158"/>
      <c r="W214" s="150"/>
      <c r="X214" s="158"/>
      <c r="Y214" s="158">
        <v>2</v>
      </c>
      <c r="Z214" s="158"/>
      <c r="AA214" s="158"/>
      <c r="AB214" s="158"/>
      <c r="AC214" s="154">
        <f>AC$217</f>
        <v>7.8666666666666671</v>
      </c>
      <c r="AD214" s="154">
        <f>AD$217</f>
        <v>1.10592</v>
      </c>
      <c r="AE214" s="154">
        <f>AE$217</f>
        <v>0</v>
      </c>
      <c r="AF214" s="154">
        <f>AF$217</f>
        <v>0</v>
      </c>
      <c r="AG214" s="154">
        <f>AG$217</f>
        <v>0</v>
      </c>
      <c r="AH214" s="137">
        <f>SUM(AC214:AG214)</f>
        <v>8.9725866666666665</v>
      </c>
      <c r="AI214" s="137">
        <f>AI$217</f>
        <v>54</v>
      </c>
      <c r="AJ214" s="154">
        <f>AJ$217</f>
        <v>69.12</v>
      </c>
      <c r="AK214" s="137">
        <f>AJ214*10/60</f>
        <v>11.520000000000001</v>
      </c>
      <c r="AL214" s="205">
        <f>AH214+AI214+AK214</f>
        <v>74.492586666666668</v>
      </c>
      <c r="AM214" s="209">
        <f>B214/AL214</f>
        <v>101.90618341619317</v>
      </c>
      <c r="AN214" s="159">
        <f>AL214*46</f>
        <v>3426.6589866666668</v>
      </c>
      <c r="AO214" s="160">
        <f>AN214/B214</f>
        <v>0.45139557245640577</v>
      </c>
      <c r="AP214" s="160">
        <f>AR214/B214</f>
        <v>1.4733014024874307</v>
      </c>
      <c r="AQ214" s="95"/>
      <c r="AR214" s="160">
        <f>AR$217</f>
        <v>11184.2069328</v>
      </c>
      <c r="AS214" s="203">
        <f>$AU$2</f>
        <v>1.05</v>
      </c>
      <c r="AT214" s="161">
        <f>HLOOKUP(G214,$AB$1:$AK$2,2,FALSE)</f>
        <v>0.72</v>
      </c>
      <c r="AU214" s="202">
        <f>IF(AND(G214="HDG"),B213*AT214,M214*AT214)</f>
        <v>1888.7437439999997</v>
      </c>
      <c r="AV214" s="96">
        <f>B214*pakendus</f>
        <v>227.73765599999999</v>
      </c>
      <c r="AW214" s="160">
        <f>(AN214+AU214+AV214)</f>
        <v>5543.1403866666669</v>
      </c>
      <c r="AX214" s="162">
        <f>$AV$2</f>
        <v>1.05</v>
      </c>
      <c r="AY214" s="138">
        <f>(AR214*AS214)+(AW214*AX214)</f>
        <v>17563.714685440002</v>
      </c>
      <c r="AZ214" s="163">
        <f>ROUND(AY214/B214,3)</f>
        <v>2.3140000000000001</v>
      </c>
      <c r="BA214" s="234"/>
      <c r="BB214" s="85"/>
      <c r="BC214" s="160">
        <f>B214/15000</f>
        <v>0.50608367999999992</v>
      </c>
      <c r="BD214" s="160"/>
      <c r="BE214" s="160" t="e">
        <f>#REF!+BE$82+#REF!+BE$16</f>
        <v>#REF!</v>
      </c>
      <c r="BF214" s="85"/>
      <c r="BG214" s="85"/>
    </row>
    <row r="215" spans="1:70" s="82" customFormat="1">
      <c r="A215" s="148"/>
      <c r="B215" s="196"/>
      <c r="C215" s="247"/>
      <c r="D215" s="197"/>
      <c r="E215" s="149"/>
      <c r="F215" s="150"/>
      <c r="G215" s="149"/>
      <c r="H215" s="151"/>
      <c r="I215" s="150"/>
      <c r="J215" s="151"/>
      <c r="K215" s="151"/>
      <c r="L215" s="151"/>
      <c r="M215" s="164"/>
      <c r="N215" s="77"/>
      <c r="O215" s="87"/>
      <c r="P215" s="150"/>
      <c r="Q215" s="150"/>
      <c r="R215" s="152"/>
      <c r="S215" s="152"/>
      <c r="T215" s="152"/>
      <c r="U215" s="152"/>
      <c r="V215" s="152"/>
      <c r="W215" s="150"/>
      <c r="X215" s="150"/>
      <c r="Y215" s="150"/>
      <c r="Z215" s="152"/>
      <c r="AA215" s="150"/>
      <c r="AB215" s="150"/>
      <c r="AC215" s="148"/>
      <c r="AD215" s="111"/>
      <c r="AE215" s="165"/>
      <c r="AF215" s="165"/>
      <c r="AG215" s="111"/>
      <c r="AH215" s="111"/>
      <c r="AI215" s="144"/>
      <c r="AJ215" s="88"/>
      <c r="AK215" s="92"/>
      <c r="AL215" s="77"/>
      <c r="AM215" s="77"/>
      <c r="AN215" s="77"/>
      <c r="AO215" s="77"/>
      <c r="AP215" s="77"/>
      <c r="AQ215" s="77"/>
      <c r="AR215" s="77"/>
      <c r="AT215" s="88"/>
      <c r="AU215" s="85"/>
      <c r="AV215" s="90"/>
      <c r="AW215" s="90"/>
      <c r="AX215" s="93"/>
      <c r="AY215" s="105">
        <f>AY214/K217</f>
        <v>243.94048174222223</v>
      </c>
      <c r="AZ215" s="93"/>
      <c r="BA215" s="234"/>
      <c r="BB215" s="85"/>
      <c r="BC215" s="228"/>
      <c r="BD215" s="85"/>
      <c r="BE215" s="85"/>
      <c r="BF215" s="85"/>
      <c r="BG215" s="85"/>
      <c r="BH215" s="77"/>
      <c r="BI215" s="77"/>
      <c r="BJ215" s="77"/>
      <c r="BK215" s="77"/>
      <c r="BL215" s="77"/>
      <c r="BM215" s="77"/>
      <c r="BN215" s="77"/>
      <c r="BO215" s="77"/>
      <c r="BP215" s="77"/>
    </row>
    <row r="216" spans="1:70" s="77" customFormat="1">
      <c r="A216" s="148"/>
      <c r="B216" s="148"/>
      <c r="C216" s="148"/>
      <c r="D216" s="149"/>
      <c r="E216" s="149"/>
      <c r="F216" s="149"/>
      <c r="G216" s="149"/>
      <c r="H216" s="149"/>
      <c r="I216" s="149"/>
      <c r="J216" s="149"/>
      <c r="K216" s="149"/>
      <c r="L216" s="149"/>
      <c r="M216" s="274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234"/>
      <c r="BB216" s="164"/>
      <c r="BC216" s="229"/>
      <c r="BD216" s="164"/>
      <c r="BE216" s="164"/>
      <c r="BF216" s="164"/>
      <c r="BG216" s="85"/>
      <c r="BH216" s="85"/>
      <c r="BI216" s="85"/>
      <c r="BJ216" s="111"/>
    </row>
    <row r="217" spans="1:70" s="77" customFormat="1">
      <c r="A217" s="182">
        <f>B217/L217</f>
        <v>105.4341</v>
      </c>
      <c r="B217" s="182">
        <f>SUM(B222,B221,B220,B219,B218,0)</f>
        <v>7591.2551999999996</v>
      </c>
      <c r="C217" s="187"/>
      <c r="D217" s="183" t="s">
        <v>100</v>
      </c>
      <c r="E217" s="183"/>
      <c r="F217" s="184" t="str">
        <f>"Tõmbid "&amp;F218</f>
        <v>Tõmbid D30</v>
      </c>
      <c r="G217" s="166"/>
      <c r="H217" s="185">
        <v>160</v>
      </c>
      <c r="I217" s="186" t="s">
        <v>102</v>
      </c>
      <c r="J217" s="185">
        <f>J218</f>
        <v>5490</v>
      </c>
      <c r="K217" s="168">
        <v>72</v>
      </c>
      <c r="L217" s="185">
        <f>$L$214*$K$217</f>
        <v>72</v>
      </c>
      <c r="M217" s="182">
        <f>SUM(M222,M221,M220,M219,M218,0)</f>
        <v>162.43559999999999</v>
      </c>
      <c r="N217" s="186"/>
      <c r="O217" s="186"/>
      <c r="P217" s="186"/>
      <c r="Q217" s="186"/>
      <c r="R217" s="152"/>
      <c r="S217" s="152"/>
      <c r="T217" s="152"/>
      <c r="U217" s="152"/>
      <c r="V217" s="152"/>
      <c r="W217" s="150"/>
      <c r="X217" s="150" t="s">
        <v>104</v>
      </c>
      <c r="Y217" s="186">
        <v>3</v>
      </c>
      <c r="Z217" s="186"/>
      <c r="AA217" s="186"/>
      <c r="AB217" s="186"/>
      <c r="AC217" s="182">
        <f>SUM(AC222,AC221,AC220,AC219,AC218,0)</f>
        <v>7.8666666666666671</v>
      </c>
      <c r="AD217" s="182">
        <f>SUM(AD222,AD221,AD220,AD219,AD218,0)</f>
        <v>1.10592</v>
      </c>
      <c r="AE217" s="182">
        <f>SUM(AE222,AE221,AE220,AE219,AE218,0)</f>
        <v>0</v>
      </c>
      <c r="AF217" s="182">
        <f>SUM(AF222,AF221,AF220,AF219,AF218,0)</f>
        <v>0</v>
      </c>
      <c r="AG217" s="182">
        <f>SUM(AG222,AG221,AG220,AG219,AG218,0)</f>
        <v>0</v>
      </c>
      <c r="AH217" s="137">
        <f>SUM(AC217:AG217)</f>
        <v>8.9725866666666665</v>
      </c>
      <c r="AI217" s="137">
        <f>SUM(AI222,AI221,AI220,AI219,AI218,0)</f>
        <v>54</v>
      </c>
      <c r="AJ217" s="182">
        <f>SUM(AJ222,AJ221,AJ220,AJ219,AJ218,0)</f>
        <v>69.12</v>
      </c>
      <c r="AK217" s="137">
        <f>AJ217*10/60</f>
        <v>11.520000000000001</v>
      </c>
      <c r="AL217" s="182">
        <f>AH217+AI217+AK217</f>
        <v>74.492586666666668</v>
      </c>
      <c r="AM217" s="182">
        <f>B217/AL217</f>
        <v>101.90618341619317</v>
      </c>
      <c r="AN217" s="182">
        <f>AL217*46</f>
        <v>3426.6589866666668</v>
      </c>
      <c r="AO217" s="182">
        <f>AN217/B217</f>
        <v>0.45139557245640577</v>
      </c>
      <c r="AP217" s="182">
        <f>AR217/B217</f>
        <v>1.4733014024874307</v>
      </c>
      <c r="AQ217" s="95"/>
      <c r="AR217" s="182">
        <f>SUM(AR222,AR221,AR220,AR219,AR218,0)</f>
        <v>11184.2069328</v>
      </c>
      <c r="AT217" s="82"/>
      <c r="AU217" s="82"/>
      <c r="AV217" s="82"/>
      <c r="AW217" s="82"/>
      <c r="AX217" s="93"/>
      <c r="AY217" s="82"/>
      <c r="AZ217" s="82"/>
      <c r="BA217" s="234"/>
      <c r="BB217" s="164"/>
      <c r="BC217" s="229"/>
      <c r="BD217" s="85"/>
      <c r="BE217" s="85"/>
      <c r="BF217" s="85"/>
      <c r="BG217" s="85"/>
      <c r="BH217" s="85"/>
      <c r="BI217" s="85"/>
      <c r="BJ217" s="88"/>
    </row>
    <row r="218" spans="1:70" s="77" customFormat="1">
      <c r="A218" s="148">
        <f xml:space="preserve"> 5.55*J218/10^3</f>
        <v>30.4695</v>
      </c>
      <c r="B218" s="148">
        <f>A218*L218</f>
        <v>2193.8040000000001</v>
      </c>
      <c r="C218" s="173"/>
      <c r="D218" s="149" t="s">
        <v>100</v>
      </c>
      <c r="E218" s="149"/>
      <c r="F218" s="150" t="s">
        <v>167</v>
      </c>
      <c r="G218" s="174" t="s">
        <v>107</v>
      </c>
      <c r="H218" s="151">
        <v>30</v>
      </c>
      <c r="I218" s="150" t="s">
        <v>102</v>
      </c>
      <c r="J218" s="151">
        <v>5490</v>
      </c>
      <c r="K218" s="77">
        <v>1</v>
      </c>
      <c r="L218" s="151">
        <f>K$218*L$217</f>
        <v>72</v>
      </c>
      <c r="M218" s="164">
        <f xml:space="preserve"> 0.379*J218*L218/10^3</f>
        <v>149.81111999999999</v>
      </c>
      <c r="N218" s="150"/>
      <c r="O218" s="150"/>
      <c r="P218" s="150" t="s">
        <v>104</v>
      </c>
      <c r="Q218" s="169">
        <v>8</v>
      </c>
      <c r="R218" s="150"/>
      <c r="S218" s="150"/>
      <c r="T218" s="150"/>
      <c r="U218" s="150"/>
      <c r="V218" s="150"/>
      <c r="W218" s="150"/>
      <c r="Y218" s="150"/>
      <c r="Z218" s="150"/>
      <c r="AA218" s="150"/>
      <c r="AB218" s="150" t="s">
        <v>104</v>
      </c>
      <c r="AC218" s="148"/>
      <c r="AD218" s="111"/>
      <c r="AE218" s="170"/>
      <c r="AF218" s="171"/>
      <c r="AG218" s="165"/>
      <c r="AH218" s="111"/>
      <c r="AI218" s="165">
        <f>AL218*L218/60</f>
        <v>12</v>
      </c>
      <c r="AJ218" s="98"/>
      <c r="AL218" s="97">
        <v>10</v>
      </c>
      <c r="AP218" s="180">
        <v>1.5</v>
      </c>
      <c r="AQ218" s="77">
        <v>1.1000000000000001</v>
      </c>
      <c r="AR218" s="172">
        <f>AP218*AQ218*B218</f>
        <v>3619.7766000000006</v>
      </c>
      <c r="AT218" s="90">
        <f>AR218/L218</f>
        <v>50.274675000000009</v>
      </c>
      <c r="AU218" s="90"/>
      <c r="AV218" s="90"/>
      <c r="AW218" s="90"/>
      <c r="AX218" s="90"/>
      <c r="AY218" s="90"/>
      <c r="AZ218" s="90"/>
      <c r="BA218" s="236"/>
      <c r="BB218" s="164"/>
      <c r="BC218" s="229"/>
      <c r="BD218" s="164"/>
      <c r="BE218" s="164"/>
      <c r="BF218" s="85"/>
      <c r="BG218" s="85"/>
      <c r="BH218" s="85"/>
      <c r="BI218" s="85"/>
      <c r="BJ218" s="85"/>
      <c r="BK218" s="88"/>
      <c r="BL218" s="85"/>
      <c r="BM218" s="88"/>
      <c r="BN218" s="111"/>
      <c r="BP218" s="139"/>
    </row>
    <row r="219" spans="1:70" s="77" customFormat="1">
      <c r="A219" s="148">
        <f xml:space="preserve"> 5.55*J219/10^3</f>
        <v>1.4430000000000001</v>
      </c>
      <c r="B219" s="148">
        <f>A219*L219</f>
        <v>103.896</v>
      </c>
      <c r="C219" s="173"/>
      <c r="D219" s="149" t="s">
        <v>109</v>
      </c>
      <c r="E219" s="149"/>
      <c r="F219" s="150" t="s">
        <v>167</v>
      </c>
      <c r="G219" s="174" t="s">
        <v>107</v>
      </c>
      <c r="H219" s="151">
        <v>30</v>
      </c>
      <c r="I219" s="150" t="s">
        <v>102</v>
      </c>
      <c r="J219" s="151">
        <v>260</v>
      </c>
      <c r="K219" s="77">
        <v>1</v>
      </c>
      <c r="L219" s="151">
        <f>K$219*L$217</f>
        <v>72</v>
      </c>
      <c r="M219" s="164">
        <f xml:space="preserve"> 0.379*J219*L219/10^3</f>
        <v>7.0948799999999999</v>
      </c>
      <c r="N219" s="150"/>
      <c r="O219" s="150"/>
      <c r="P219" s="150" t="s">
        <v>104</v>
      </c>
      <c r="Q219" s="169">
        <v>8</v>
      </c>
      <c r="R219" s="150"/>
      <c r="S219" s="150"/>
      <c r="T219" s="150"/>
      <c r="U219" s="150"/>
      <c r="V219" s="150"/>
      <c r="W219" s="150"/>
      <c r="Y219" s="150"/>
      <c r="Z219" s="150"/>
      <c r="AA219" s="150"/>
      <c r="AB219" s="150" t="s">
        <v>104</v>
      </c>
      <c r="AC219" s="148"/>
      <c r="AD219" s="111"/>
      <c r="AE219" s="170"/>
      <c r="AF219" s="171"/>
      <c r="AG219" s="165"/>
      <c r="AH219" s="111"/>
      <c r="AI219" s="165">
        <f>AL219*L219/60</f>
        <v>6</v>
      </c>
      <c r="AJ219" s="98"/>
      <c r="AL219" s="97">
        <v>5</v>
      </c>
      <c r="AP219" s="180">
        <v>1.5</v>
      </c>
      <c r="AQ219" s="77">
        <v>1.1000000000000001</v>
      </c>
      <c r="AR219" s="172">
        <f>AP219*AQ219*B219</f>
        <v>171.42840000000001</v>
      </c>
      <c r="AT219" s="90">
        <f>AR219/L219</f>
        <v>2.3809500000000003</v>
      </c>
      <c r="AU219" s="90"/>
      <c r="AV219" s="90"/>
      <c r="AW219" s="90"/>
      <c r="AX219" s="90"/>
      <c r="AY219" s="90"/>
      <c r="AZ219" s="90"/>
      <c r="BA219" s="236"/>
      <c r="BB219" s="164"/>
      <c r="BC219" s="229"/>
      <c r="BD219" s="164"/>
      <c r="BE219" s="164"/>
      <c r="BF219" s="85"/>
      <c r="BG219" s="85"/>
      <c r="BH219" s="85"/>
      <c r="BI219" s="85"/>
      <c r="BJ219" s="85"/>
      <c r="BK219" s="88"/>
      <c r="BL219" s="85"/>
      <c r="BM219" s="88"/>
      <c r="BN219" s="111"/>
      <c r="BP219" s="139"/>
    </row>
    <row r="220" spans="1:70" s="77" customFormat="1">
      <c r="A220" s="167">
        <f>0</f>
        <v>0</v>
      </c>
      <c r="B220" s="148">
        <f t="shared" ref="B220" si="315">A220*L220</f>
        <v>0</v>
      </c>
      <c r="C220" s="150"/>
      <c r="D220" s="149" t="s">
        <v>114</v>
      </c>
      <c r="E220" s="149"/>
      <c r="F220" s="261" t="s">
        <v>168</v>
      </c>
      <c r="G220" s="149" t="s">
        <v>111</v>
      </c>
      <c r="H220" s="151">
        <v>45</v>
      </c>
      <c r="I220" s="150" t="s">
        <v>102</v>
      </c>
      <c r="J220" s="151">
        <v>200</v>
      </c>
      <c r="K220" s="151">
        <v>2</v>
      </c>
      <c r="L220" s="151">
        <f>K$220*L$217</f>
        <v>144</v>
      </c>
      <c r="M220" s="167">
        <f>2*H220*J220/10^6*L220*0</f>
        <v>0</v>
      </c>
      <c r="N220" s="150" t="s">
        <v>112</v>
      </c>
      <c r="P220" s="150"/>
      <c r="Q220" s="169"/>
      <c r="R220" s="150"/>
      <c r="S220" s="150"/>
      <c r="T220" s="150"/>
      <c r="U220" s="150"/>
      <c r="V220" s="150"/>
      <c r="W220" s="150"/>
      <c r="X220" s="150"/>
      <c r="Y220" s="150"/>
      <c r="Z220" s="150"/>
      <c r="AA220" s="150"/>
      <c r="AB220" s="150" t="s">
        <v>104</v>
      </c>
      <c r="AC220" s="170"/>
      <c r="AD220" s="170"/>
      <c r="AE220" s="170"/>
      <c r="AF220" s="171"/>
      <c r="AG220" s="171"/>
      <c r="AH220" s="170"/>
      <c r="AI220" s="165"/>
      <c r="AJ220" s="98"/>
      <c r="AL220" s="201"/>
      <c r="AN220" s="94"/>
      <c r="AO220" s="77" t="s">
        <v>48</v>
      </c>
      <c r="AP220" s="372">
        <v>25</v>
      </c>
      <c r="AQ220" s="77">
        <v>1.1000000000000001</v>
      </c>
      <c r="AR220" s="172">
        <f>AP220*AQ220*L220</f>
        <v>3960.0000000000005</v>
      </c>
      <c r="AT220" s="90"/>
      <c r="AU220" s="90"/>
      <c r="AV220" s="90"/>
      <c r="AW220" s="90"/>
      <c r="AX220" s="90"/>
      <c r="AY220" s="90"/>
      <c r="AZ220" s="90"/>
      <c r="BA220" s="236"/>
      <c r="BB220" s="164"/>
      <c r="BC220" s="229"/>
      <c r="BD220" s="164"/>
      <c r="BE220" s="164"/>
      <c r="BF220" s="164"/>
      <c r="BG220" s="85"/>
      <c r="BH220" s="85"/>
      <c r="BI220" s="85"/>
      <c r="BJ220" s="85"/>
      <c r="BK220" s="85"/>
      <c r="BL220" s="139"/>
      <c r="BM220" s="139"/>
      <c r="BN220" s="139"/>
      <c r="BO220" s="111"/>
      <c r="BQ220" s="111"/>
      <c r="BR220" s="111"/>
    </row>
    <row r="221" spans="1:70" s="77" customFormat="1">
      <c r="A221" s="167">
        <v>69</v>
      </c>
      <c r="B221" s="148">
        <f t="shared" ref="B221:B222" si="316">A221*L221</f>
        <v>4968</v>
      </c>
      <c r="C221" s="150" t="s">
        <v>169</v>
      </c>
      <c r="D221" s="149" t="s">
        <v>119</v>
      </c>
      <c r="E221" s="149"/>
      <c r="F221" s="261" t="s">
        <v>170</v>
      </c>
      <c r="G221" s="149" t="s">
        <v>111</v>
      </c>
      <c r="H221" s="151">
        <v>45</v>
      </c>
      <c r="I221" s="150" t="s">
        <v>102</v>
      </c>
      <c r="J221" s="151">
        <v>255</v>
      </c>
      <c r="K221" s="151">
        <v>1</v>
      </c>
      <c r="L221" s="151">
        <f>K$221*L$217</f>
        <v>72</v>
      </c>
      <c r="M221" s="148">
        <f>2*H221*J221/10^6*L221*0</f>
        <v>0</v>
      </c>
      <c r="N221" s="150" t="s">
        <v>112</v>
      </c>
      <c r="P221" s="150"/>
      <c r="Q221" s="169">
        <v>4</v>
      </c>
      <c r="R221" s="150"/>
      <c r="S221" s="150"/>
      <c r="T221" s="150"/>
      <c r="U221" s="150"/>
      <c r="V221" s="150"/>
      <c r="W221" s="150"/>
      <c r="X221" s="150"/>
      <c r="Y221" s="150"/>
      <c r="Z221" s="150"/>
      <c r="AA221" s="150"/>
      <c r="AB221" s="150" t="s">
        <v>104</v>
      </c>
      <c r="AC221" s="170"/>
      <c r="AD221" s="170"/>
      <c r="AE221" s="170"/>
      <c r="AF221" s="171"/>
      <c r="AG221" s="171"/>
      <c r="AH221" s="170"/>
      <c r="AI221" s="165">
        <f t="shared" ref="AI221:AI222" si="317">AL221*L221/60</f>
        <v>12</v>
      </c>
      <c r="AJ221" s="98"/>
      <c r="AL221" s="201">
        <v>10</v>
      </c>
      <c r="AN221" s="94"/>
      <c r="AO221" s="77" t="s">
        <v>48</v>
      </c>
      <c r="AP221" s="372">
        <v>40</v>
      </c>
      <c r="AQ221" s="77">
        <v>1.1000000000000001</v>
      </c>
      <c r="AR221" s="172">
        <f>AP221*AQ221*L221</f>
        <v>3168</v>
      </c>
      <c r="AT221" s="90"/>
      <c r="AU221" s="90"/>
      <c r="AV221" s="90"/>
      <c r="AW221" s="90"/>
      <c r="AX221" s="90"/>
      <c r="AY221" s="90"/>
      <c r="AZ221" s="90"/>
      <c r="BA221" s="236"/>
      <c r="BB221" s="164"/>
      <c r="BC221" s="229"/>
      <c r="BD221" s="164"/>
      <c r="BE221" s="164"/>
      <c r="BF221" s="164"/>
      <c r="BG221" s="85"/>
      <c r="BH221" s="85"/>
      <c r="BI221" s="85"/>
      <c r="BJ221" s="85"/>
      <c r="BK221" s="85"/>
      <c r="BL221" s="139"/>
      <c r="BM221" s="139"/>
      <c r="BN221" s="139"/>
      <c r="BO221" s="111"/>
      <c r="BQ221" s="111"/>
      <c r="BR221" s="111"/>
    </row>
    <row r="222" spans="1:70" s="77" customFormat="1" ht="16.5" customHeight="1">
      <c r="A222" s="148">
        <f t="shared" ref="A222" si="318">H222*J222*(RIGHT(F222,2))*7.85/(10^6)</f>
        <v>2.2608000000000001</v>
      </c>
      <c r="B222" s="148">
        <f t="shared" si="316"/>
        <v>325.55520000000001</v>
      </c>
      <c r="C222" s="150" t="s">
        <v>108</v>
      </c>
      <c r="D222" s="149" t="s">
        <v>121</v>
      </c>
      <c r="E222" s="149"/>
      <c r="F222" s="150" t="s">
        <v>117</v>
      </c>
      <c r="G222" s="149" t="s">
        <v>111</v>
      </c>
      <c r="H222" s="151">
        <v>80</v>
      </c>
      <c r="I222" s="150" t="s">
        <v>102</v>
      </c>
      <c r="J222" s="151">
        <v>240</v>
      </c>
      <c r="K222" s="151">
        <v>2</v>
      </c>
      <c r="L222" s="151">
        <f>K$222*L$217</f>
        <v>144</v>
      </c>
      <c r="M222" s="148">
        <f t="shared" ref="M222" si="319">2*H222*J222/10^6*L222</f>
        <v>5.5295999999999994</v>
      </c>
      <c r="N222" s="150" t="s">
        <v>112</v>
      </c>
      <c r="P222" s="150"/>
      <c r="Q222" s="175">
        <v>2</v>
      </c>
      <c r="R222" s="150"/>
      <c r="S222" s="150"/>
      <c r="T222" s="150"/>
      <c r="U222" s="150"/>
      <c r="V222" s="150"/>
      <c r="W222" s="150"/>
      <c r="X222" s="150"/>
      <c r="Y222" s="150"/>
      <c r="Z222" s="150"/>
      <c r="AA222" s="150"/>
      <c r="AB222" s="150" t="s">
        <v>104</v>
      </c>
      <c r="AC222" s="170">
        <f>((((H222+J222)*2/1000)*L222*(5/(VLOOKUP(F222,[1]Plasmalõikus!$A$7:$E$46,2,FALSE)/1000*60)))+(Q222*L222*(5*(VLOOKUP(F222,[1]Plasmalõikus!$A$7:$E$48,3,FALSE))/60/60)))</f>
        <v>7.8666666666666671</v>
      </c>
      <c r="AD222" s="170">
        <f t="shared" ref="AD222" si="320">0.012*((H222+J222)*2/1000*L222)</f>
        <v>1.10592</v>
      </c>
      <c r="AE222" s="170"/>
      <c r="AF222" s="171"/>
      <c r="AG222" s="171">
        <f t="shared" ref="AG222" si="321">IF(VALUE(MID(F222,SEARCH(" ",F222)+1,LEN(F222)))&lt;35,0,IF(VALUE(MID(F222,SEARCH(" ",F222)+1,LEN(F222)))&lt;40,3,IF(VALUE(MID(F222,SEARCH(" ",F222)+1,LEN(F222)))&lt;50,4,IF(VALUE(MID(F222,SEARCH(" ",F222)+1,LEN(F222)))&lt;60,5,IF(VALUE(MID(F222,SEARCH(" ",F222)+1,LEN(F222)))&lt;70,6,IF(VALUE(MID(F222,SEARCH(" ",F222)+1,LEN(F222)))&lt;80,7,IF(VALUE(MID(F222,SEARCH(" ",F222)+1,LEN(F222)))&lt;90,8,IF(VALUE(MID(F222,SEARCH(" ",F222)+1,LEN(F222)))&lt;100,9,10))))))))/60*Q222*L222</f>
        <v>0</v>
      </c>
      <c r="AH222" s="170"/>
      <c r="AI222" s="165">
        <f t="shared" si="317"/>
        <v>24</v>
      </c>
      <c r="AJ222" s="98">
        <f>(J222*2*AK222)*1*L222/1000</f>
        <v>69.12</v>
      </c>
      <c r="AK222" s="77">
        <v>1</v>
      </c>
      <c r="AL222" s="201" t="str">
        <f>IF(AND(Q222&gt;0,A222&lt;3),"10",IF(AND(Q222&gt;0,A222&lt;10),"15",IF(AND(Q222&gt;0,A222&lt;20),"20",IF(AND(Q222&gt;0,A222&lt;500),"30",IF(AND(Q222=0,A222&lt;3),"2",IF(AND(Q222=0,A222&lt;10),"5",IF(AND(Q222=0,A222&lt;20),"10",IF(AND(Q222=0,A222&lt;500),"20","2"))))))))</f>
        <v>10</v>
      </c>
      <c r="AN222" s="94"/>
      <c r="AP222" s="180">
        <f>(VLOOKUP(F222,Terasehind!$A$2:$B$157,2,FALSE))</f>
        <v>0.74</v>
      </c>
      <c r="AQ222" s="77">
        <v>1.1000000000000001</v>
      </c>
      <c r="AR222" s="172">
        <f t="shared" ref="AR222" si="322">AP222*AQ222*B222</f>
        <v>265.00193280000002</v>
      </c>
      <c r="AT222" s="90"/>
      <c r="AU222" s="90"/>
      <c r="AV222" s="90"/>
      <c r="AW222" s="90"/>
      <c r="AX222" s="90"/>
      <c r="AY222" s="90"/>
      <c r="AZ222" s="90"/>
      <c r="BA222" s="230"/>
      <c r="BB222" s="139"/>
      <c r="BC222" s="230"/>
      <c r="BD222" s="85"/>
      <c r="BE222" s="85"/>
      <c r="BF222" s="85"/>
      <c r="BG222" s="85"/>
      <c r="BH222" s="85"/>
      <c r="BK222" s="85"/>
      <c r="BL222" s="85"/>
      <c r="BN222" s="139"/>
      <c r="BO222" s="111"/>
      <c r="BQ222" s="111"/>
      <c r="BR222" s="111"/>
    </row>
  </sheetData>
  <mergeCells count="9">
    <mergeCell ref="AT1:AT2"/>
    <mergeCell ref="AC3:AJ3"/>
    <mergeCell ref="X1:Y2"/>
    <mergeCell ref="AL1:AL2"/>
    <mergeCell ref="J4:K4"/>
    <mergeCell ref="J1:K1"/>
    <mergeCell ref="J2:K2"/>
    <mergeCell ref="J3:K3"/>
    <mergeCell ref="AA1:AA2"/>
  </mergeCells>
  <phoneticPr fontId="18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scale="46" orientation="landscape" blackAndWhite="1" r:id="rId1"/>
  <headerFooter alignWithMargins="0">
    <oddHeader>&amp;RLeht &amp;P / Lehti &amp;N</oddHeader>
    <oddFooter>&amp;L&amp;F&amp;R&amp;T -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">
                <anchor>
                  <from>
                    <xdr:col>0</xdr:col>
                    <xdr:colOff>0</xdr:colOff>
                    <xdr:row>0</xdr:row>
                    <xdr:rowOff>34506</xdr:rowOff>
                  </from>
                  <to>
                    <xdr:col>1</xdr:col>
                    <xdr:colOff>17253</xdr:colOff>
                    <xdr:row>0</xdr:row>
                    <xdr:rowOff>267419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saAndmed">
                <anchor>
                  <from>
                    <xdr:col>0</xdr:col>
                    <xdr:colOff>0</xdr:colOff>
                    <xdr:row>0</xdr:row>
                    <xdr:rowOff>422694</xdr:rowOff>
                  </from>
                  <to>
                    <xdr:col>1</xdr:col>
                    <xdr:colOff>17253</xdr:colOff>
                    <xdr:row>1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mmad">
                <anchor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17253</xdr:colOff>
                    <xdr:row>2</xdr:row>
                    <xdr:rowOff>232913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ht2"/>
  <dimension ref="A1:X1054"/>
  <sheetViews>
    <sheetView workbookViewId="0">
      <selection sqref="A1:B3"/>
    </sheetView>
  </sheetViews>
  <sheetFormatPr defaultColWidth="9.140625" defaultRowHeight="16.350000000000001"/>
  <cols>
    <col min="1" max="1" width="6.140625" style="3" customWidth="1"/>
    <col min="2" max="2" width="8.5703125" style="3" bestFit="1" customWidth="1"/>
    <col min="3" max="3" width="10.42578125" style="5" customWidth="1"/>
    <col min="4" max="4" width="7.7109375" style="4" bestFit="1" customWidth="1"/>
    <col min="5" max="5" width="6.7109375" style="8" customWidth="1"/>
    <col min="6" max="6" width="29.28515625" style="5" customWidth="1"/>
    <col min="7" max="7" width="9.140625" style="5" bestFit="1" customWidth="1"/>
    <col min="8" max="8" width="8.5703125" style="6" bestFit="1" customWidth="1"/>
    <col min="9" max="9" width="1.7109375" style="5" customWidth="1"/>
    <col min="10" max="10" width="9" style="6" bestFit="1" customWidth="1"/>
    <col min="11" max="11" width="5.140625" style="6" hidden="1" customWidth="1"/>
    <col min="12" max="12" width="13" style="3" customWidth="1"/>
    <col min="13" max="13" width="7.5703125" style="5" bestFit="1" customWidth="1"/>
    <col min="14" max="19" width="3.5703125" style="5" customWidth="1"/>
    <col min="20" max="20" width="8" style="5" bestFit="1" customWidth="1"/>
    <col min="21" max="23" width="3.5703125" style="5" customWidth="1"/>
    <col min="24" max="24" width="9.5703125" style="7" bestFit="1" customWidth="1"/>
    <col min="25" max="16384" width="9.140625" style="7"/>
  </cols>
  <sheetData>
    <row r="1" spans="1:24" ht="39.200000000000003" customHeight="1">
      <c r="A1" s="450" t="s">
        <v>171</v>
      </c>
      <c r="B1" s="451"/>
      <c r="C1" s="456" t="s">
        <v>172</v>
      </c>
      <c r="D1" s="456"/>
      <c r="E1" s="456"/>
      <c r="F1" s="456"/>
      <c r="G1" s="444" t="e">
        <f>Number</f>
        <v>#REF!</v>
      </c>
      <c r="H1" s="444"/>
      <c r="I1" s="444"/>
      <c r="J1" s="444"/>
      <c r="K1" s="444" t="s">
        <v>173</v>
      </c>
      <c r="L1" s="444"/>
      <c r="M1" s="444"/>
      <c r="N1" s="439" t="s">
        <v>174</v>
      </c>
      <c r="O1" s="439" t="s">
        <v>174</v>
      </c>
      <c r="P1" s="439" t="s">
        <v>174</v>
      </c>
      <c r="Q1" s="439" t="s">
        <v>174</v>
      </c>
      <c r="R1" s="439" t="s">
        <v>174</v>
      </c>
      <c r="S1" s="439" t="s">
        <v>174</v>
      </c>
      <c r="T1" s="439" t="s">
        <v>174</v>
      </c>
      <c r="U1" s="439" t="s">
        <v>174</v>
      </c>
      <c r="V1" s="439" t="s">
        <v>174</v>
      </c>
      <c r="W1" s="439" t="s">
        <v>174</v>
      </c>
      <c r="X1" s="25"/>
    </row>
    <row r="2" spans="1:24" ht="15.75" customHeight="1">
      <c r="A2" s="452"/>
      <c r="B2" s="453"/>
      <c r="C2" s="458" t="e">
        <f>Kuupäev</f>
        <v>#REF!</v>
      </c>
      <c r="D2" s="458"/>
      <c r="E2" s="458"/>
      <c r="F2" s="17" t="s">
        <v>175</v>
      </c>
      <c r="G2" s="459" t="e">
        <f>Tellija</f>
        <v>#REF!</v>
      </c>
      <c r="H2" s="459"/>
      <c r="I2" s="459"/>
      <c r="J2" s="459"/>
      <c r="K2" s="459"/>
      <c r="L2" s="459"/>
      <c r="M2" s="460" t="s">
        <v>176</v>
      </c>
      <c r="N2" s="440"/>
      <c r="O2" s="440"/>
      <c r="P2" s="440"/>
      <c r="Q2" s="440"/>
      <c r="R2" s="440"/>
      <c r="S2" s="440"/>
      <c r="T2" s="440"/>
      <c r="U2" s="440"/>
      <c r="V2" s="440"/>
      <c r="W2" s="440"/>
      <c r="X2" s="25"/>
    </row>
    <row r="3" spans="1:24">
      <c r="A3" s="454"/>
      <c r="B3" s="455"/>
      <c r="C3" s="17" t="s">
        <v>177</v>
      </c>
      <c r="D3" s="461" t="e">
        <f>Tehnoloog</f>
        <v>#REF!</v>
      </c>
      <c r="E3" s="461"/>
      <c r="F3" s="17" t="s">
        <v>178</v>
      </c>
      <c r="G3" s="442" t="e">
        <f>Toode</f>
        <v>#REF!</v>
      </c>
      <c r="H3" s="443"/>
      <c r="I3" s="443"/>
      <c r="J3" s="443"/>
      <c r="K3" s="443"/>
      <c r="L3" s="443"/>
      <c r="M3" s="460"/>
      <c r="N3" s="441"/>
      <c r="O3" s="441"/>
      <c r="P3" s="441"/>
      <c r="Q3" s="441"/>
      <c r="R3" s="441"/>
      <c r="S3" s="441"/>
      <c r="T3" s="441"/>
      <c r="U3" s="441"/>
      <c r="V3" s="441"/>
      <c r="W3" s="441"/>
      <c r="X3" s="25"/>
    </row>
    <row r="4" spans="1:24">
      <c r="A4" s="445" t="s">
        <v>179</v>
      </c>
      <c r="B4" s="445"/>
      <c r="C4" s="434" t="s">
        <v>180</v>
      </c>
      <c r="D4" s="446" t="s">
        <v>181</v>
      </c>
      <c r="E4" s="448" t="s">
        <v>182</v>
      </c>
      <c r="F4" s="434" t="s">
        <v>183</v>
      </c>
      <c r="G4" s="434" t="s">
        <v>184</v>
      </c>
      <c r="H4" s="434" t="s">
        <v>185</v>
      </c>
      <c r="I4" s="434"/>
      <c r="J4" s="434"/>
      <c r="K4" s="435" t="s">
        <v>186</v>
      </c>
      <c r="L4" s="436"/>
      <c r="M4" s="457"/>
      <c r="N4" s="434" t="s">
        <v>187</v>
      </c>
      <c r="O4" s="434" t="s">
        <v>188</v>
      </c>
      <c r="P4" s="434" t="s">
        <v>189</v>
      </c>
      <c r="Q4" s="434" t="s">
        <v>190</v>
      </c>
      <c r="R4" s="434" t="s">
        <v>191</v>
      </c>
      <c r="S4" s="434" t="s">
        <v>192</v>
      </c>
      <c r="T4" s="434" t="s">
        <v>193</v>
      </c>
      <c r="U4" s="434" t="s">
        <v>194</v>
      </c>
      <c r="V4" s="434" t="s">
        <v>195</v>
      </c>
      <c r="W4" s="434" t="s">
        <v>196</v>
      </c>
      <c r="X4" s="25"/>
    </row>
    <row r="5" spans="1:24">
      <c r="A5" s="1" t="s">
        <v>197</v>
      </c>
      <c r="B5" s="1" t="s">
        <v>198</v>
      </c>
      <c r="C5" s="434"/>
      <c r="D5" s="447"/>
      <c r="E5" s="449"/>
      <c r="F5" s="434"/>
      <c r="G5" s="434"/>
      <c r="H5" s="1" t="s">
        <v>199</v>
      </c>
      <c r="I5" s="2"/>
      <c r="J5" s="1" t="s">
        <v>200</v>
      </c>
      <c r="K5" s="437"/>
      <c r="L5" s="438"/>
      <c r="M5" s="457"/>
      <c r="N5" s="434"/>
      <c r="O5" s="434"/>
      <c r="P5" s="434"/>
      <c r="Q5" s="434"/>
      <c r="R5" s="434"/>
      <c r="S5" s="434"/>
      <c r="T5" s="434"/>
      <c r="U5" s="434"/>
      <c r="V5" s="434"/>
      <c r="W5" s="434"/>
      <c r="X5" s="25"/>
    </row>
    <row r="6" spans="1:2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 s="385"/>
      <c r="X6" s="25"/>
    </row>
    <row r="7" spans="1:24" s="5" customFormat="1">
      <c r="A7"/>
      <c r="B7" s="22">
        <v>0</v>
      </c>
      <c r="C7" s="21" t="s">
        <v>174</v>
      </c>
      <c r="D7" s="21" t="s">
        <v>114</v>
      </c>
      <c r="E7" s="21" t="s">
        <v>174</v>
      </c>
      <c r="F7" s="21" t="s">
        <v>168</v>
      </c>
      <c r="G7" s="21" t="s">
        <v>111</v>
      </c>
      <c r="H7" s="20">
        <v>45</v>
      </c>
      <c r="I7"/>
      <c r="J7" s="20">
        <v>200</v>
      </c>
      <c r="K7"/>
      <c r="L7" s="20">
        <v>144</v>
      </c>
      <c r="M7" s="19">
        <v>0</v>
      </c>
      <c r="N7" t="s">
        <v>112</v>
      </c>
      <c r="O7"/>
      <c r="P7"/>
      <c r="Q7"/>
      <c r="R7"/>
      <c r="S7"/>
      <c r="T7"/>
      <c r="U7"/>
      <c r="V7"/>
      <c r="W7" s="385"/>
      <c r="X7" s="25"/>
    </row>
    <row r="8" spans="1:24" s="5" customFormat="1">
      <c r="A8"/>
      <c r="B8" s="22">
        <v>9.0432000000000006</v>
      </c>
      <c r="C8" s="21" t="s">
        <v>108</v>
      </c>
      <c r="D8" s="21" t="s">
        <v>109</v>
      </c>
      <c r="E8" s="21" t="s">
        <v>174</v>
      </c>
      <c r="F8" s="21" t="s">
        <v>110</v>
      </c>
      <c r="G8" s="21" t="s">
        <v>111</v>
      </c>
      <c r="H8" s="20">
        <v>120</v>
      </c>
      <c r="I8"/>
      <c r="J8" s="20">
        <v>120</v>
      </c>
      <c r="K8"/>
      <c r="L8" s="20">
        <v>8</v>
      </c>
      <c r="M8" s="19">
        <v>0.23039999999999999</v>
      </c>
      <c r="N8" t="s">
        <v>112</v>
      </c>
      <c r="O8"/>
      <c r="P8"/>
      <c r="Q8">
        <v>4</v>
      </c>
      <c r="R8"/>
      <c r="S8"/>
      <c r="T8"/>
      <c r="U8"/>
      <c r="V8"/>
      <c r="W8" s="385"/>
      <c r="X8" s="25"/>
    </row>
    <row r="9" spans="1:24" s="5" customFormat="1">
      <c r="A9"/>
      <c r="B9" s="22">
        <v>30.614999999999998</v>
      </c>
      <c r="C9" s="21" t="s">
        <v>120</v>
      </c>
      <c r="D9" s="21" t="s">
        <v>121</v>
      </c>
      <c r="E9" s="21" t="s">
        <v>174</v>
      </c>
      <c r="F9" s="21" t="s">
        <v>110</v>
      </c>
      <c r="G9" s="21" t="s">
        <v>111</v>
      </c>
      <c r="H9" s="20">
        <v>100</v>
      </c>
      <c r="I9"/>
      <c r="J9" s="20">
        <v>150</v>
      </c>
      <c r="K9"/>
      <c r="L9" s="20">
        <v>26</v>
      </c>
      <c r="M9" s="19">
        <v>0.78</v>
      </c>
      <c r="N9" t="s">
        <v>112</v>
      </c>
      <c r="O9"/>
      <c r="P9"/>
      <c r="Q9"/>
      <c r="R9"/>
      <c r="S9"/>
      <c r="T9"/>
      <c r="U9"/>
      <c r="V9"/>
      <c r="W9" s="385"/>
      <c r="X9" s="25"/>
    </row>
    <row r="10" spans="1:24" s="5" customFormat="1">
      <c r="A10"/>
      <c r="B10" s="22">
        <v>18.84</v>
      </c>
      <c r="C10" s="21" t="s">
        <v>120</v>
      </c>
      <c r="D10" s="21" t="s">
        <v>121</v>
      </c>
      <c r="E10" s="21" t="s">
        <v>174</v>
      </c>
      <c r="F10" s="21" t="s">
        <v>110</v>
      </c>
      <c r="G10" s="21" t="s">
        <v>111</v>
      </c>
      <c r="H10" s="20">
        <v>100</v>
      </c>
      <c r="I10"/>
      <c r="J10" s="20">
        <v>150</v>
      </c>
      <c r="K10"/>
      <c r="L10" s="20">
        <v>16</v>
      </c>
      <c r="M10" s="19">
        <v>0.48</v>
      </c>
      <c r="N10" t="s">
        <v>112</v>
      </c>
      <c r="O10"/>
      <c r="P10"/>
      <c r="Q10"/>
      <c r="R10"/>
      <c r="S10"/>
      <c r="T10"/>
      <c r="U10"/>
      <c r="V10"/>
      <c r="W10" s="385"/>
      <c r="X10" s="25"/>
    </row>
    <row r="11" spans="1:24" s="5" customFormat="1">
      <c r="A11"/>
      <c r="B11" s="22">
        <v>50.868000000000002</v>
      </c>
      <c r="C11" s="21" t="s">
        <v>108</v>
      </c>
      <c r="D11" s="21" t="s">
        <v>114</v>
      </c>
      <c r="E11" s="21" t="s">
        <v>174</v>
      </c>
      <c r="F11" s="21" t="s">
        <v>110</v>
      </c>
      <c r="G11" s="21" t="s">
        <v>111</v>
      </c>
      <c r="H11" s="20">
        <v>180</v>
      </c>
      <c r="I11"/>
      <c r="J11" s="20">
        <v>180</v>
      </c>
      <c r="K11"/>
      <c r="L11" s="20">
        <v>20</v>
      </c>
      <c r="M11" s="19">
        <v>1.2959999999999998</v>
      </c>
      <c r="N11" t="s">
        <v>112</v>
      </c>
      <c r="O11"/>
      <c r="P11"/>
      <c r="Q11"/>
      <c r="R11"/>
      <c r="S11"/>
      <c r="T11"/>
      <c r="U11"/>
      <c r="V11"/>
      <c r="W11" s="385"/>
      <c r="X11" s="25"/>
    </row>
    <row r="12" spans="1:24" s="5" customFormat="1">
      <c r="A12"/>
      <c r="B12" s="22">
        <v>87.92</v>
      </c>
      <c r="C12" s="21" t="s">
        <v>108</v>
      </c>
      <c r="D12" s="21" t="s">
        <v>109</v>
      </c>
      <c r="E12" s="21" t="s">
        <v>174</v>
      </c>
      <c r="F12" s="21" t="s">
        <v>110</v>
      </c>
      <c r="G12" s="21" t="s">
        <v>111</v>
      </c>
      <c r="H12" s="20">
        <v>200</v>
      </c>
      <c r="I12"/>
      <c r="J12" s="20">
        <v>200</v>
      </c>
      <c r="K12"/>
      <c r="L12" s="20">
        <v>28</v>
      </c>
      <c r="M12" s="19">
        <v>2.2400000000000002</v>
      </c>
      <c r="N12" t="s">
        <v>112</v>
      </c>
      <c r="O12"/>
      <c r="P12"/>
      <c r="Q12">
        <v>4</v>
      </c>
      <c r="R12"/>
      <c r="S12"/>
      <c r="T12"/>
      <c r="U12"/>
      <c r="V12"/>
      <c r="W12" s="385"/>
      <c r="X12" s="25"/>
    </row>
    <row r="13" spans="1:24" s="5" customFormat="1">
      <c r="A13"/>
      <c r="B13" s="22">
        <v>25.12</v>
      </c>
      <c r="C13" s="21" t="s">
        <v>113</v>
      </c>
      <c r="D13" s="21" t="s">
        <v>125</v>
      </c>
      <c r="E13" s="21" t="s">
        <v>174</v>
      </c>
      <c r="F13" s="21" t="s">
        <v>110</v>
      </c>
      <c r="G13" s="21" t="s">
        <v>111</v>
      </c>
      <c r="H13" s="20">
        <v>100</v>
      </c>
      <c r="I13"/>
      <c r="J13" s="20">
        <v>200</v>
      </c>
      <c r="K13"/>
      <c r="L13" s="20">
        <v>16</v>
      </c>
      <c r="M13" s="19">
        <v>0.64</v>
      </c>
      <c r="N13" t="s">
        <v>112</v>
      </c>
      <c r="O13"/>
      <c r="P13"/>
      <c r="Q13">
        <v>2</v>
      </c>
      <c r="R13"/>
      <c r="S13"/>
      <c r="T13"/>
      <c r="U13"/>
      <c r="V13"/>
      <c r="W13" s="385"/>
      <c r="X13" s="25"/>
    </row>
    <row r="14" spans="1:24" s="5" customFormat="1">
      <c r="A14"/>
      <c r="B14" s="22">
        <v>50.24</v>
      </c>
      <c r="C14" s="21" t="s">
        <v>108</v>
      </c>
      <c r="D14" s="21" t="s">
        <v>109</v>
      </c>
      <c r="E14" s="21" t="s">
        <v>174</v>
      </c>
      <c r="F14" s="21" t="s">
        <v>110</v>
      </c>
      <c r="G14" s="21" t="s">
        <v>111</v>
      </c>
      <c r="H14" s="20">
        <v>100</v>
      </c>
      <c r="I14"/>
      <c r="J14" s="20">
        <v>200</v>
      </c>
      <c r="K14"/>
      <c r="L14" s="20">
        <v>32</v>
      </c>
      <c r="M14" s="19">
        <v>1.28</v>
      </c>
      <c r="N14" t="s">
        <v>112</v>
      </c>
      <c r="O14"/>
      <c r="P14"/>
      <c r="Q14">
        <v>4</v>
      </c>
      <c r="R14"/>
      <c r="S14"/>
      <c r="T14"/>
      <c r="U14"/>
      <c r="V14"/>
      <c r="W14" s="385"/>
      <c r="X14" s="25"/>
    </row>
    <row r="15" spans="1:24">
      <c r="A15"/>
      <c r="B15" s="22">
        <v>79.128</v>
      </c>
      <c r="C15" s="21" t="s">
        <v>108</v>
      </c>
      <c r="D15" s="21" t="s">
        <v>109</v>
      </c>
      <c r="E15" s="21" t="s">
        <v>174</v>
      </c>
      <c r="F15" s="21" t="s">
        <v>110</v>
      </c>
      <c r="G15" s="21" t="s">
        <v>111</v>
      </c>
      <c r="H15" s="20">
        <v>120</v>
      </c>
      <c r="I15"/>
      <c r="J15" s="20">
        <v>210</v>
      </c>
      <c r="K15"/>
      <c r="L15" s="20">
        <v>40</v>
      </c>
      <c r="M15" s="19">
        <v>2.016</v>
      </c>
      <c r="N15" t="s">
        <v>112</v>
      </c>
      <c r="O15"/>
      <c r="P15"/>
      <c r="Q15">
        <v>4</v>
      </c>
      <c r="R15"/>
      <c r="S15"/>
      <c r="T15"/>
      <c r="U15"/>
      <c r="V15"/>
      <c r="W15" s="385"/>
      <c r="X15" s="25"/>
    </row>
    <row r="16" spans="1:24">
      <c r="A16"/>
      <c r="B16" s="22">
        <v>431.05920000000003</v>
      </c>
      <c r="C16" s="21" t="s">
        <v>108</v>
      </c>
      <c r="D16" s="21" t="s">
        <v>114</v>
      </c>
      <c r="E16" s="21" t="s">
        <v>174</v>
      </c>
      <c r="F16" s="21" t="s">
        <v>110</v>
      </c>
      <c r="G16" s="21" t="s">
        <v>111</v>
      </c>
      <c r="H16" s="20">
        <v>120</v>
      </c>
      <c r="I16"/>
      <c r="J16" s="20">
        <v>220</v>
      </c>
      <c r="K16"/>
      <c r="L16" s="20">
        <v>208</v>
      </c>
      <c r="M16" s="19">
        <v>10.9824</v>
      </c>
      <c r="N16" t="s">
        <v>112</v>
      </c>
      <c r="O16"/>
      <c r="P16"/>
      <c r="Q16">
        <v>4</v>
      </c>
      <c r="R16"/>
      <c r="S16"/>
      <c r="T16"/>
      <c r="U16"/>
      <c r="V16"/>
      <c r="W16" s="385"/>
      <c r="X16" s="25"/>
    </row>
    <row r="17" spans="1:22">
      <c r="A17"/>
      <c r="B17" s="22">
        <v>302.57040000000001</v>
      </c>
      <c r="C17" s="21" t="s">
        <v>108</v>
      </c>
      <c r="D17" s="21" t="s">
        <v>114</v>
      </c>
      <c r="E17" s="21" t="s">
        <v>174</v>
      </c>
      <c r="F17" s="21" t="s">
        <v>110</v>
      </c>
      <c r="G17" s="21" t="s">
        <v>111</v>
      </c>
      <c r="H17" s="20">
        <v>120</v>
      </c>
      <c r="I17"/>
      <c r="J17" s="20">
        <v>220</v>
      </c>
      <c r="K17"/>
      <c r="L17" s="20">
        <v>146</v>
      </c>
      <c r="M17" s="19">
        <v>7.7088000000000001</v>
      </c>
      <c r="N17" t="s">
        <v>112</v>
      </c>
      <c r="O17"/>
      <c r="P17"/>
      <c r="Q17">
        <v>4</v>
      </c>
      <c r="R17"/>
      <c r="S17"/>
      <c r="T17"/>
      <c r="U17"/>
      <c r="V17"/>
    </row>
    <row r="18" spans="1:22">
      <c r="A18"/>
      <c r="B18" s="22">
        <v>84.905600000000007</v>
      </c>
      <c r="C18" s="21" t="s">
        <v>108</v>
      </c>
      <c r="D18" s="21" t="s">
        <v>109</v>
      </c>
      <c r="E18" s="21" t="s">
        <v>174</v>
      </c>
      <c r="F18" s="21" t="s">
        <v>110</v>
      </c>
      <c r="G18" s="21" t="s">
        <v>111</v>
      </c>
      <c r="H18" s="20">
        <v>260</v>
      </c>
      <c r="I18"/>
      <c r="J18" s="20">
        <v>260</v>
      </c>
      <c r="K18"/>
      <c r="L18" s="20">
        <v>16</v>
      </c>
      <c r="M18" s="19">
        <v>2.1631999999999998</v>
      </c>
      <c r="N18" t="s">
        <v>112</v>
      </c>
      <c r="O18"/>
      <c r="P18"/>
      <c r="Q18">
        <v>4</v>
      </c>
      <c r="R18"/>
      <c r="S18"/>
      <c r="T18"/>
      <c r="U18"/>
      <c r="V18"/>
    </row>
    <row r="19" spans="1:22">
      <c r="A19"/>
      <c r="B19" s="22">
        <v>28.26</v>
      </c>
      <c r="C19" s="21" t="s">
        <v>108</v>
      </c>
      <c r="D19" s="21" t="s">
        <v>109</v>
      </c>
      <c r="E19" s="21" t="s">
        <v>174</v>
      </c>
      <c r="F19" s="21" t="s">
        <v>110</v>
      </c>
      <c r="G19" s="21" t="s">
        <v>111</v>
      </c>
      <c r="H19" s="20">
        <v>120</v>
      </c>
      <c r="I19"/>
      <c r="J19" s="20">
        <v>300</v>
      </c>
      <c r="K19"/>
      <c r="L19" s="20">
        <v>10</v>
      </c>
      <c r="M19" s="19">
        <v>0.72</v>
      </c>
      <c r="N19" t="s">
        <v>112</v>
      </c>
      <c r="O19"/>
      <c r="P19"/>
      <c r="Q19">
        <v>4</v>
      </c>
      <c r="R19"/>
      <c r="S19"/>
      <c r="T19"/>
      <c r="U19"/>
      <c r="V19"/>
    </row>
    <row r="20" spans="1:22">
      <c r="A20"/>
      <c r="B20" s="22">
        <v>606.64800000000002</v>
      </c>
      <c r="C20" s="21" t="s">
        <v>108</v>
      </c>
      <c r="D20" s="21" t="s">
        <v>100</v>
      </c>
      <c r="E20" s="21" t="s">
        <v>174</v>
      </c>
      <c r="F20" s="21" t="s">
        <v>110</v>
      </c>
      <c r="G20" s="21" t="s">
        <v>111</v>
      </c>
      <c r="H20" s="20">
        <v>140</v>
      </c>
      <c r="I20"/>
      <c r="J20" s="20">
        <v>1200</v>
      </c>
      <c r="K20"/>
      <c r="L20" s="20">
        <v>46</v>
      </c>
      <c r="M20" s="19">
        <v>15.456000000000001</v>
      </c>
      <c r="N20" t="s">
        <v>112</v>
      </c>
      <c r="O20"/>
      <c r="P20"/>
      <c r="Q20">
        <v>4</v>
      </c>
      <c r="R20"/>
      <c r="S20"/>
      <c r="T20"/>
      <c r="U20"/>
      <c r="V20"/>
    </row>
    <row r="21" spans="1:22">
      <c r="A21"/>
      <c r="B21" s="22">
        <v>606.64800000000002</v>
      </c>
      <c r="C21" s="21" t="s">
        <v>108</v>
      </c>
      <c r="D21" s="21" t="s">
        <v>109</v>
      </c>
      <c r="E21" s="21" t="s">
        <v>174</v>
      </c>
      <c r="F21" s="21" t="s">
        <v>110</v>
      </c>
      <c r="G21" s="21" t="s">
        <v>111</v>
      </c>
      <c r="H21" s="20">
        <v>120</v>
      </c>
      <c r="I21"/>
      <c r="J21" s="20">
        <v>1400</v>
      </c>
      <c r="K21"/>
      <c r="L21" s="20">
        <v>46</v>
      </c>
      <c r="M21" s="19">
        <v>15.456000000000001</v>
      </c>
      <c r="N21" t="s">
        <v>112</v>
      </c>
      <c r="O21"/>
      <c r="P21"/>
      <c r="Q21">
        <v>4</v>
      </c>
      <c r="R21"/>
      <c r="S21"/>
      <c r="T21"/>
      <c r="U21"/>
      <c r="V21"/>
    </row>
    <row r="22" spans="1:22">
      <c r="A22"/>
      <c r="B22" s="22">
        <v>44.085599999999999</v>
      </c>
      <c r="C22" s="21" t="s">
        <v>124</v>
      </c>
      <c r="D22" s="21" t="s">
        <v>125</v>
      </c>
      <c r="E22" s="21" t="s">
        <v>174</v>
      </c>
      <c r="F22" s="21" t="s">
        <v>123</v>
      </c>
      <c r="G22" s="21" t="s">
        <v>111</v>
      </c>
      <c r="H22" s="20">
        <v>120</v>
      </c>
      <c r="I22"/>
      <c r="J22" s="20">
        <v>150</v>
      </c>
      <c r="K22"/>
      <c r="L22" s="20">
        <v>26</v>
      </c>
      <c r="M22" s="19">
        <v>0.93599999999999994</v>
      </c>
      <c r="N22" t="s">
        <v>112</v>
      </c>
      <c r="O22"/>
      <c r="P22"/>
      <c r="Q22"/>
      <c r="R22"/>
      <c r="S22"/>
      <c r="T22"/>
      <c r="U22"/>
      <c r="V22"/>
    </row>
    <row r="23" spans="1:22">
      <c r="A23"/>
      <c r="B23" s="22">
        <v>101.28384</v>
      </c>
      <c r="C23" s="21" t="s">
        <v>155</v>
      </c>
      <c r="D23" s="21" t="s">
        <v>119</v>
      </c>
      <c r="E23" s="21" t="s">
        <v>174</v>
      </c>
      <c r="F23" s="21" t="s">
        <v>123</v>
      </c>
      <c r="G23" s="21" t="s">
        <v>111</v>
      </c>
      <c r="H23" s="20">
        <v>160</v>
      </c>
      <c r="I23"/>
      <c r="J23" s="20">
        <v>210</v>
      </c>
      <c r="K23"/>
      <c r="L23" s="20">
        <v>32</v>
      </c>
      <c r="M23" s="19">
        <v>2.1503999999999999</v>
      </c>
      <c r="N23" t="s">
        <v>112</v>
      </c>
      <c r="O23"/>
      <c r="P23"/>
      <c r="Q23">
        <v>4</v>
      </c>
      <c r="R23"/>
      <c r="S23"/>
      <c r="T23"/>
      <c r="U23"/>
      <c r="V23"/>
    </row>
    <row r="24" spans="1:22">
      <c r="A24"/>
      <c r="B24" s="22">
        <v>12.66048</v>
      </c>
      <c r="C24" s="21" t="s">
        <v>155</v>
      </c>
      <c r="D24" s="21" t="s">
        <v>119</v>
      </c>
      <c r="E24" s="21" t="s">
        <v>174</v>
      </c>
      <c r="F24" s="21" t="s">
        <v>123</v>
      </c>
      <c r="G24" s="21" t="s">
        <v>111</v>
      </c>
      <c r="H24" s="20">
        <v>160</v>
      </c>
      <c r="I24"/>
      <c r="J24" s="20">
        <v>210</v>
      </c>
      <c r="K24"/>
      <c r="L24" s="20">
        <v>4</v>
      </c>
      <c r="M24" s="19">
        <v>0.26879999999999998</v>
      </c>
      <c r="N24" t="s">
        <v>112</v>
      </c>
      <c r="O24"/>
      <c r="P24"/>
      <c r="Q24">
        <v>4</v>
      </c>
      <c r="R24"/>
      <c r="S24"/>
      <c r="T24"/>
      <c r="U24"/>
      <c r="V24"/>
    </row>
    <row r="25" spans="1:22">
      <c r="A25"/>
      <c r="B25" s="22">
        <v>47.024639999999998</v>
      </c>
      <c r="C25" s="21" t="s">
        <v>146</v>
      </c>
      <c r="D25" s="21" t="s">
        <v>114</v>
      </c>
      <c r="E25" s="21" t="s">
        <v>174</v>
      </c>
      <c r="F25" s="21" t="s">
        <v>123</v>
      </c>
      <c r="G25" s="21" t="s">
        <v>111</v>
      </c>
      <c r="H25" s="20">
        <v>80</v>
      </c>
      <c r="I25"/>
      <c r="J25" s="20">
        <v>240</v>
      </c>
      <c r="K25"/>
      <c r="L25" s="20">
        <v>26</v>
      </c>
      <c r="M25" s="19">
        <v>0.99839999999999995</v>
      </c>
      <c r="N25" t="s">
        <v>112</v>
      </c>
      <c r="O25"/>
      <c r="P25"/>
      <c r="Q25"/>
      <c r="R25"/>
      <c r="S25"/>
      <c r="T25"/>
      <c r="U25"/>
      <c r="V25"/>
    </row>
    <row r="26" spans="1:22">
      <c r="A26"/>
      <c r="B26" s="22">
        <v>99.927360000000007</v>
      </c>
      <c r="C26" s="21" t="s">
        <v>120</v>
      </c>
      <c r="D26" s="21" t="s">
        <v>122</v>
      </c>
      <c r="E26" s="21" t="s">
        <v>174</v>
      </c>
      <c r="F26" s="21" t="s">
        <v>123</v>
      </c>
      <c r="G26" s="21" t="s">
        <v>111</v>
      </c>
      <c r="H26" s="20">
        <v>120</v>
      </c>
      <c r="I26"/>
      <c r="J26" s="20">
        <v>340</v>
      </c>
      <c r="K26"/>
      <c r="L26" s="20">
        <v>26</v>
      </c>
      <c r="M26" s="19">
        <v>2.1215999999999999</v>
      </c>
      <c r="N26" t="s">
        <v>112</v>
      </c>
      <c r="O26"/>
      <c r="P26"/>
      <c r="Q26">
        <v>4</v>
      </c>
      <c r="R26"/>
      <c r="S26"/>
      <c r="T26"/>
      <c r="U26"/>
      <c r="V26"/>
    </row>
    <row r="27" spans="1:22">
      <c r="A27"/>
      <c r="B27" s="22">
        <v>61.493760000000002</v>
      </c>
      <c r="C27" s="21" t="s">
        <v>120</v>
      </c>
      <c r="D27" s="21" t="s">
        <v>122</v>
      </c>
      <c r="E27" s="21" t="s">
        <v>174</v>
      </c>
      <c r="F27" s="21" t="s">
        <v>123</v>
      </c>
      <c r="G27" s="21" t="s">
        <v>111</v>
      </c>
      <c r="H27" s="20">
        <v>120</v>
      </c>
      <c r="I27"/>
      <c r="J27" s="20">
        <v>340</v>
      </c>
      <c r="K27"/>
      <c r="L27" s="20">
        <v>16</v>
      </c>
      <c r="M27" s="19">
        <v>1.3056000000000001</v>
      </c>
      <c r="N27" t="s">
        <v>112</v>
      </c>
      <c r="O27"/>
      <c r="P27"/>
      <c r="Q27">
        <v>4</v>
      </c>
      <c r="R27"/>
      <c r="S27"/>
      <c r="T27"/>
      <c r="U27"/>
      <c r="V27"/>
    </row>
    <row r="28" spans="1:22">
      <c r="A28"/>
      <c r="B28" s="22">
        <v>184.3023</v>
      </c>
      <c r="C28" s="21" t="s">
        <v>108</v>
      </c>
      <c r="D28" s="21" t="s">
        <v>121</v>
      </c>
      <c r="E28" s="21" t="s">
        <v>174</v>
      </c>
      <c r="F28" s="21" t="s">
        <v>123</v>
      </c>
      <c r="G28" s="21" t="s">
        <v>111</v>
      </c>
      <c r="H28" s="20">
        <v>215</v>
      </c>
      <c r="I28"/>
      <c r="J28" s="20">
        <v>350</v>
      </c>
      <c r="K28"/>
      <c r="L28" s="20">
        <v>26</v>
      </c>
      <c r="M28" s="19">
        <v>3.9129999999999998</v>
      </c>
      <c r="N28" t="s">
        <v>112</v>
      </c>
      <c r="O28"/>
      <c r="P28"/>
      <c r="Q28">
        <v>4</v>
      </c>
      <c r="R28"/>
      <c r="S28"/>
      <c r="T28"/>
      <c r="U28"/>
      <c r="V28"/>
    </row>
    <row r="29" spans="1:22">
      <c r="A29"/>
      <c r="B29" s="22">
        <v>67.823999999999998</v>
      </c>
      <c r="C29" s="21" t="s">
        <v>113</v>
      </c>
      <c r="D29" s="21" t="s">
        <v>121</v>
      </c>
      <c r="E29" s="21" t="s">
        <v>174</v>
      </c>
      <c r="F29" s="21" t="s">
        <v>117</v>
      </c>
      <c r="G29" s="21" t="s">
        <v>111</v>
      </c>
      <c r="H29" s="20">
        <v>120</v>
      </c>
      <c r="I29"/>
      <c r="J29" s="20">
        <v>120</v>
      </c>
      <c r="K29"/>
      <c r="L29" s="20">
        <v>40</v>
      </c>
      <c r="M29" s="19">
        <v>1.1519999999999999</v>
      </c>
      <c r="N29" t="s">
        <v>112</v>
      </c>
      <c r="O29"/>
      <c r="P29"/>
      <c r="Q29">
        <v>2</v>
      </c>
      <c r="R29"/>
      <c r="S29"/>
      <c r="T29"/>
      <c r="U29"/>
      <c r="V29"/>
    </row>
    <row r="30" spans="1:22">
      <c r="A30"/>
      <c r="B30" s="22">
        <v>73.852800000000002</v>
      </c>
      <c r="C30" s="21" t="s">
        <v>113</v>
      </c>
      <c r="D30" s="21" t="s">
        <v>119</v>
      </c>
      <c r="E30" s="21" t="s">
        <v>174</v>
      </c>
      <c r="F30" s="21" t="s">
        <v>117</v>
      </c>
      <c r="G30" s="21" t="s">
        <v>111</v>
      </c>
      <c r="H30" s="20">
        <v>140</v>
      </c>
      <c r="I30"/>
      <c r="J30" s="20">
        <v>140</v>
      </c>
      <c r="K30"/>
      <c r="L30" s="20">
        <v>32</v>
      </c>
      <c r="M30" s="19">
        <v>1.2544</v>
      </c>
      <c r="N30" t="s">
        <v>112</v>
      </c>
      <c r="O30"/>
      <c r="P30"/>
      <c r="Q30">
        <v>2</v>
      </c>
      <c r="R30"/>
      <c r="S30"/>
      <c r="T30"/>
      <c r="U30"/>
      <c r="V30"/>
    </row>
    <row r="31" spans="1:22">
      <c r="A31"/>
      <c r="B31" s="22">
        <v>316.512</v>
      </c>
      <c r="C31" s="21" t="s">
        <v>108</v>
      </c>
      <c r="D31" s="21" t="s">
        <v>109</v>
      </c>
      <c r="E31" s="21" t="s">
        <v>174</v>
      </c>
      <c r="F31" s="21" t="s">
        <v>117</v>
      </c>
      <c r="G31" s="21" t="s">
        <v>111</v>
      </c>
      <c r="H31" s="20">
        <v>120</v>
      </c>
      <c r="I31"/>
      <c r="J31" s="20">
        <v>140</v>
      </c>
      <c r="K31"/>
      <c r="L31" s="20">
        <v>160</v>
      </c>
      <c r="M31" s="19">
        <v>5.3759999999999994</v>
      </c>
      <c r="N31" t="s">
        <v>112</v>
      </c>
      <c r="O31"/>
      <c r="P31"/>
      <c r="Q31"/>
      <c r="R31"/>
      <c r="S31"/>
      <c r="T31"/>
      <c r="U31"/>
      <c r="V31"/>
    </row>
    <row r="32" spans="1:22">
      <c r="A32"/>
      <c r="B32" s="22">
        <v>316.512</v>
      </c>
      <c r="C32" s="21" t="s">
        <v>174</v>
      </c>
      <c r="D32" s="21" t="s">
        <v>114</v>
      </c>
      <c r="E32" s="21" t="s">
        <v>174</v>
      </c>
      <c r="F32" s="21" t="s">
        <v>117</v>
      </c>
      <c r="G32" s="21" t="s">
        <v>111</v>
      </c>
      <c r="H32" s="20">
        <v>120</v>
      </c>
      <c r="I32"/>
      <c r="J32" s="20">
        <v>140</v>
      </c>
      <c r="K32"/>
      <c r="L32" s="20">
        <v>160</v>
      </c>
      <c r="M32" s="19">
        <v>5.3759999999999994</v>
      </c>
      <c r="N32" t="s">
        <v>112</v>
      </c>
      <c r="O32"/>
      <c r="P32"/>
      <c r="Q32">
        <v>2</v>
      </c>
      <c r="R32"/>
      <c r="S32"/>
      <c r="T32"/>
      <c r="U32"/>
      <c r="V32"/>
    </row>
    <row r="33" spans="1:22">
      <c r="A33"/>
      <c r="B33" s="22">
        <v>122.08320000000001</v>
      </c>
      <c r="C33" s="21" t="s">
        <v>174</v>
      </c>
      <c r="D33" s="21" t="s">
        <v>114</v>
      </c>
      <c r="E33" s="21" t="s">
        <v>174</v>
      </c>
      <c r="F33" s="21" t="s">
        <v>117</v>
      </c>
      <c r="G33" s="21" t="s">
        <v>111</v>
      </c>
      <c r="H33" s="20">
        <v>180</v>
      </c>
      <c r="I33"/>
      <c r="J33" s="20">
        <v>180</v>
      </c>
      <c r="K33"/>
      <c r="L33" s="20">
        <v>32</v>
      </c>
      <c r="M33" s="19">
        <v>2.0735999999999999</v>
      </c>
      <c r="N33" t="s">
        <v>112</v>
      </c>
      <c r="O33"/>
      <c r="P33"/>
      <c r="Q33">
        <v>2</v>
      </c>
      <c r="R33"/>
      <c r="S33"/>
      <c r="T33"/>
      <c r="U33"/>
      <c r="V33"/>
    </row>
    <row r="34" spans="1:22">
      <c r="A34"/>
      <c r="B34" s="22">
        <v>70.838399999999993</v>
      </c>
      <c r="C34" s="21" t="s">
        <v>174</v>
      </c>
      <c r="D34" s="21" t="s">
        <v>114</v>
      </c>
      <c r="E34" s="21" t="s">
        <v>174</v>
      </c>
      <c r="F34" s="21" t="s">
        <v>117</v>
      </c>
      <c r="G34" s="21" t="s">
        <v>111</v>
      </c>
      <c r="H34" s="20">
        <v>160</v>
      </c>
      <c r="I34"/>
      <c r="J34" s="20">
        <v>235</v>
      </c>
      <c r="K34"/>
      <c r="L34" s="20">
        <v>16</v>
      </c>
      <c r="M34" s="19">
        <v>1.2032</v>
      </c>
      <c r="N34" t="s">
        <v>112</v>
      </c>
      <c r="O34"/>
      <c r="P34"/>
      <c r="Q34">
        <v>2</v>
      </c>
      <c r="R34"/>
      <c r="S34"/>
      <c r="T34"/>
      <c r="U34"/>
      <c r="V34"/>
    </row>
    <row r="35" spans="1:22">
      <c r="A35"/>
      <c r="B35" s="22">
        <v>8.8547999999999991</v>
      </c>
      <c r="C35" s="21" t="s">
        <v>174</v>
      </c>
      <c r="D35" s="21" t="s">
        <v>114</v>
      </c>
      <c r="E35" s="21" t="s">
        <v>174</v>
      </c>
      <c r="F35" s="21" t="s">
        <v>117</v>
      </c>
      <c r="G35" s="21" t="s">
        <v>111</v>
      </c>
      <c r="H35" s="20">
        <v>160</v>
      </c>
      <c r="I35"/>
      <c r="J35" s="20">
        <v>235</v>
      </c>
      <c r="K35"/>
      <c r="L35" s="20">
        <v>2</v>
      </c>
      <c r="M35" s="19">
        <v>0.15040000000000001</v>
      </c>
      <c r="N35" t="s">
        <v>112</v>
      </c>
      <c r="O35"/>
      <c r="P35"/>
      <c r="Q35">
        <v>2</v>
      </c>
      <c r="R35"/>
      <c r="S35"/>
      <c r="T35"/>
      <c r="U35"/>
      <c r="V35"/>
    </row>
    <row r="36" spans="1:22">
      <c r="A36"/>
      <c r="B36" s="22">
        <v>325.55520000000001</v>
      </c>
      <c r="C36" s="21" t="s">
        <v>108</v>
      </c>
      <c r="D36" s="21" t="s">
        <v>121</v>
      </c>
      <c r="E36" s="21" t="s">
        <v>174</v>
      </c>
      <c r="F36" s="21" t="s">
        <v>117</v>
      </c>
      <c r="G36" s="21" t="s">
        <v>111</v>
      </c>
      <c r="H36" s="20">
        <v>80</v>
      </c>
      <c r="I36"/>
      <c r="J36" s="20">
        <v>240</v>
      </c>
      <c r="K36"/>
      <c r="L36" s="20">
        <v>144</v>
      </c>
      <c r="M36" s="19">
        <v>5.5295999999999994</v>
      </c>
      <c r="N36" t="s">
        <v>112</v>
      </c>
      <c r="O36"/>
      <c r="P36"/>
      <c r="Q36">
        <v>2</v>
      </c>
      <c r="R36"/>
      <c r="S36"/>
      <c r="T36"/>
      <c r="U36"/>
      <c r="V36"/>
    </row>
    <row r="37" spans="1:22">
      <c r="A37"/>
      <c r="B37" s="22">
        <v>44.15625</v>
      </c>
      <c r="C37" s="21" t="s">
        <v>108</v>
      </c>
      <c r="D37" s="21" t="s">
        <v>109</v>
      </c>
      <c r="E37" s="21" t="s">
        <v>174</v>
      </c>
      <c r="F37" s="21" t="s">
        <v>117</v>
      </c>
      <c r="G37" s="21" t="s">
        <v>111</v>
      </c>
      <c r="H37" s="20">
        <v>250</v>
      </c>
      <c r="I37"/>
      <c r="J37" s="20">
        <v>250</v>
      </c>
      <c r="K37"/>
      <c r="L37" s="20">
        <v>6</v>
      </c>
      <c r="M37" s="19">
        <v>0.75</v>
      </c>
      <c r="N37" t="s">
        <v>112</v>
      </c>
      <c r="O37"/>
      <c r="P37"/>
      <c r="Q37">
        <v>4</v>
      </c>
      <c r="R37"/>
      <c r="S37"/>
      <c r="T37"/>
      <c r="U37"/>
      <c r="V37"/>
    </row>
    <row r="38" spans="1:22">
      <c r="A38"/>
      <c r="B38" s="22">
        <v>95.671875</v>
      </c>
      <c r="C38" s="21" t="s">
        <v>108</v>
      </c>
      <c r="D38" s="21" t="s">
        <v>109</v>
      </c>
      <c r="E38" s="21" t="s">
        <v>174</v>
      </c>
      <c r="F38" s="21" t="s">
        <v>117</v>
      </c>
      <c r="G38" s="21" t="s">
        <v>111</v>
      </c>
      <c r="H38" s="20">
        <v>250</v>
      </c>
      <c r="I38"/>
      <c r="J38" s="20">
        <v>250</v>
      </c>
      <c r="K38"/>
      <c r="L38" s="20">
        <v>13</v>
      </c>
      <c r="M38" s="19">
        <v>1.625</v>
      </c>
      <c r="N38" t="s">
        <v>112</v>
      </c>
      <c r="O38"/>
      <c r="P38"/>
      <c r="Q38">
        <v>4</v>
      </c>
      <c r="R38"/>
      <c r="S38"/>
      <c r="T38"/>
      <c r="U38"/>
      <c r="V38"/>
    </row>
    <row r="39" spans="1:22">
      <c r="A39"/>
      <c r="B39" s="22">
        <v>129.52500000000001</v>
      </c>
      <c r="C39" s="21" t="s">
        <v>113</v>
      </c>
      <c r="D39" s="21" t="s">
        <v>122</v>
      </c>
      <c r="E39" s="21" t="s">
        <v>174</v>
      </c>
      <c r="F39" s="21" t="s">
        <v>117</v>
      </c>
      <c r="G39" s="21" t="s">
        <v>111</v>
      </c>
      <c r="H39" s="20">
        <v>220</v>
      </c>
      <c r="I39"/>
      <c r="J39" s="20">
        <v>250</v>
      </c>
      <c r="K39"/>
      <c r="L39" s="20">
        <v>20</v>
      </c>
      <c r="M39" s="19">
        <v>2.2000000000000002</v>
      </c>
      <c r="N39" t="s">
        <v>112</v>
      </c>
      <c r="O39"/>
      <c r="P39"/>
      <c r="Q39">
        <v>6</v>
      </c>
      <c r="R39"/>
      <c r="S39"/>
      <c r="T39"/>
      <c r="U39"/>
      <c r="V39"/>
    </row>
    <row r="40" spans="1:22">
      <c r="A40"/>
      <c r="B40" s="22">
        <v>49.926000000000002</v>
      </c>
      <c r="C40" s="21" t="s">
        <v>113</v>
      </c>
      <c r="D40" s="21" t="s">
        <v>125</v>
      </c>
      <c r="E40" s="21" t="s">
        <v>174</v>
      </c>
      <c r="F40" s="21" t="s">
        <v>117</v>
      </c>
      <c r="G40" s="21" t="s">
        <v>111</v>
      </c>
      <c r="H40" s="20">
        <v>200</v>
      </c>
      <c r="I40"/>
      <c r="J40" s="20">
        <v>265</v>
      </c>
      <c r="K40"/>
      <c r="L40" s="20">
        <v>8</v>
      </c>
      <c r="M40" s="19">
        <v>0.84799999999999998</v>
      </c>
      <c r="N40" t="s">
        <v>112</v>
      </c>
      <c r="O40"/>
      <c r="P40"/>
      <c r="Q40">
        <v>3</v>
      </c>
      <c r="R40"/>
      <c r="S40"/>
      <c r="T40"/>
      <c r="U40"/>
      <c r="V40"/>
    </row>
    <row r="41" spans="1:22">
      <c r="A41"/>
      <c r="B41" s="22">
        <v>166.1688</v>
      </c>
      <c r="C41" s="21" t="s">
        <v>146</v>
      </c>
      <c r="D41" s="21" t="s">
        <v>119</v>
      </c>
      <c r="E41" s="21" t="s">
        <v>174</v>
      </c>
      <c r="F41" s="21" t="s">
        <v>117</v>
      </c>
      <c r="G41" s="21" t="s">
        <v>111</v>
      </c>
      <c r="H41" s="20">
        <v>140</v>
      </c>
      <c r="I41"/>
      <c r="J41" s="20">
        <v>315</v>
      </c>
      <c r="K41"/>
      <c r="L41" s="20">
        <v>32</v>
      </c>
      <c r="M41" s="19">
        <v>2.8224</v>
      </c>
      <c r="N41" t="s">
        <v>112</v>
      </c>
      <c r="O41"/>
      <c r="P41"/>
      <c r="Q41"/>
      <c r="R41"/>
      <c r="S41"/>
      <c r="T41"/>
      <c r="U41"/>
      <c r="V41"/>
    </row>
    <row r="42" spans="1:22">
      <c r="A42"/>
      <c r="B42" s="22">
        <v>65.94</v>
      </c>
      <c r="C42" s="21" t="s">
        <v>108</v>
      </c>
      <c r="D42" s="21" t="s">
        <v>114</v>
      </c>
      <c r="E42" s="21" t="s">
        <v>174</v>
      </c>
      <c r="F42" s="21" t="s">
        <v>117</v>
      </c>
      <c r="G42" s="21" t="s">
        <v>111</v>
      </c>
      <c r="H42" s="20">
        <v>200</v>
      </c>
      <c r="I42"/>
      <c r="J42" s="20">
        <v>350</v>
      </c>
      <c r="K42"/>
      <c r="L42" s="20">
        <v>8</v>
      </c>
      <c r="M42" s="19">
        <v>1.1200000000000001</v>
      </c>
      <c r="N42" t="s">
        <v>112</v>
      </c>
      <c r="O42"/>
      <c r="P42"/>
      <c r="Q42">
        <v>4</v>
      </c>
      <c r="R42"/>
      <c r="S42"/>
      <c r="T42"/>
      <c r="U42"/>
      <c r="V42"/>
    </row>
    <row r="43" spans="1:22">
      <c r="A43"/>
      <c r="B43" s="22">
        <v>335.72880000000004</v>
      </c>
      <c r="C43" s="21" t="s">
        <v>108</v>
      </c>
      <c r="D43" s="21" t="s">
        <v>109</v>
      </c>
      <c r="E43" s="21" t="s">
        <v>174</v>
      </c>
      <c r="F43" s="21" t="s">
        <v>117</v>
      </c>
      <c r="G43" s="21" t="s">
        <v>111</v>
      </c>
      <c r="H43" s="20">
        <v>180</v>
      </c>
      <c r="I43"/>
      <c r="J43" s="20">
        <v>360</v>
      </c>
      <c r="K43"/>
      <c r="L43" s="20">
        <v>44</v>
      </c>
      <c r="M43" s="19">
        <v>5.7023999999999999</v>
      </c>
      <c r="N43" t="s">
        <v>112</v>
      </c>
      <c r="O43"/>
      <c r="P43"/>
      <c r="Q43"/>
      <c r="R43"/>
      <c r="S43"/>
      <c r="T43"/>
      <c r="U43"/>
      <c r="V43"/>
    </row>
    <row r="44" spans="1:22">
      <c r="A44"/>
      <c r="B44" s="22">
        <v>335.72880000000004</v>
      </c>
      <c r="C44" s="21" t="s">
        <v>174</v>
      </c>
      <c r="D44" s="21" t="s">
        <v>114</v>
      </c>
      <c r="E44" s="21" t="s">
        <v>174</v>
      </c>
      <c r="F44" s="21" t="s">
        <v>117</v>
      </c>
      <c r="G44" s="21" t="s">
        <v>111</v>
      </c>
      <c r="H44" s="20">
        <v>180</v>
      </c>
      <c r="I44"/>
      <c r="J44" s="20">
        <v>360</v>
      </c>
      <c r="K44"/>
      <c r="L44" s="20">
        <v>44</v>
      </c>
      <c r="M44" s="19">
        <v>5.7023999999999999</v>
      </c>
      <c r="N44" t="s">
        <v>112</v>
      </c>
      <c r="O44"/>
      <c r="P44"/>
      <c r="Q44">
        <v>3</v>
      </c>
      <c r="R44"/>
      <c r="S44"/>
      <c r="T44"/>
      <c r="U44"/>
      <c r="V44"/>
    </row>
    <row r="45" spans="1:22">
      <c r="A45"/>
      <c r="B45" s="22">
        <v>10.738799999999999</v>
      </c>
      <c r="C45" s="21" t="s">
        <v>113</v>
      </c>
      <c r="D45" s="21" t="s">
        <v>114</v>
      </c>
      <c r="E45" s="21" t="s">
        <v>174</v>
      </c>
      <c r="F45" s="21" t="s">
        <v>117</v>
      </c>
      <c r="G45" s="21" t="s">
        <v>111</v>
      </c>
      <c r="H45" s="20">
        <v>240</v>
      </c>
      <c r="I45"/>
      <c r="J45" s="20">
        <v>380</v>
      </c>
      <c r="K45"/>
      <c r="L45" s="20">
        <v>1</v>
      </c>
      <c r="M45" s="19">
        <v>0.18240000000000001</v>
      </c>
      <c r="N45" t="s">
        <v>112</v>
      </c>
      <c r="O45"/>
      <c r="P45"/>
      <c r="Q45">
        <v>8</v>
      </c>
      <c r="R45"/>
      <c r="S45"/>
      <c r="T45"/>
      <c r="U45"/>
      <c r="V45"/>
    </row>
    <row r="46" spans="1:22">
      <c r="A46"/>
      <c r="B46" s="22">
        <v>75.36</v>
      </c>
      <c r="C46" s="21" t="s">
        <v>146</v>
      </c>
      <c r="D46" s="21" t="s">
        <v>114</v>
      </c>
      <c r="E46" s="21" t="s">
        <v>174</v>
      </c>
      <c r="F46" s="21" t="s">
        <v>117</v>
      </c>
      <c r="G46" s="21" t="s">
        <v>111</v>
      </c>
      <c r="H46" s="20">
        <v>100</v>
      </c>
      <c r="I46"/>
      <c r="J46" s="20">
        <v>400</v>
      </c>
      <c r="K46"/>
      <c r="L46" s="20">
        <v>16</v>
      </c>
      <c r="M46" s="19">
        <v>1.28</v>
      </c>
      <c r="N46" t="s">
        <v>112</v>
      </c>
      <c r="O46"/>
      <c r="P46"/>
      <c r="Q46"/>
      <c r="R46"/>
      <c r="S46"/>
      <c r="T46"/>
      <c r="U46"/>
      <c r="V46"/>
    </row>
    <row r="47" spans="1:22">
      <c r="A47"/>
      <c r="B47" s="22">
        <v>221.55840000000001</v>
      </c>
      <c r="C47" s="21" t="s">
        <v>124</v>
      </c>
      <c r="D47" s="21" t="s">
        <v>125</v>
      </c>
      <c r="E47" s="21" t="s">
        <v>174</v>
      </c>
      <c r="F47" s="21" t="s">
        <v>117</v>
      </c>
      <c r="G47" s="21" t="s">
        <v>111</v>
      </c>
      <c r="H47" s="20">
        <v>140</v>
      </c>
      <c r="I47"/>
      <c r="J47" s="20">
        <v>420</v>
      </c>
      <c r="K47"/>
      <c r="L47" s="20">
        <v>32</v>
      </c>
      <c r="M47" s="19">
        <v>3.7631999999999999</v>
      </c>
      <c r="N47" t="s">
        <v>112</v>
      </c>
      <c r="O47"/>
      <c r="P47"/>
      <c r="Q47"/>
      <c r="R47"/>
      <c r="S47"/>
      <c r="T47"/>
      <c r="U47"/>
      <c r="V47"/>
    </row>
    <row r="48" spans="1:22">
      <c r="A48"/>
      <c r="B48" s="22">
        <v>221.55840000000001</v>
      </c>
      <c r="C48" s="21" t="s">
        <v>124</v>
      </c>
      <c r="D48" s="21" t="s">
        <v>125</v>
      </c>
      <c r="E48" s="21" t="s">
        <v>174</v>
      </c>
      <c r="F48" s="21" t="s">
        <v>117</v>
      </c>
      <c r="G48" s="21" t="s">
        <v>111</v>
      </c>
      <c r="H48" s="20">
        <v>140</v>
      </c>
      <c r="I48"/>
      <c r="J48" s="20">
        <v>420</v>
      </c>
      <c r="K48"/>
      <c r="L48" s="20">
        <v>32</v>
      </c>
      <c r="M48" s="19">
        <v>3.7631999999999999</v>
      </c>
      <c r="N48" t="s">
        <v>112</v>
      </c>
      <c r="O48"/>
      <c r="P48"/>
      <c r="Q48"/>
      <c r="R48"/>
      <c r="S48"/>
      <c r="T48"/>
      <c r="U48"/>
      <c r="V48"/>
    </row>
    <row r="49" spans="1:22">
      <c r="A49"/>
      <c r="B49" s="22">
        <v>98.344799999999992</v>
      </c>
      <c r="C49" s="21" t="s">
        <v>113</v>
      </c>
      <c r="D49" s="21" t="s">
        <v>119</v>
      </c>
      <c r="E49" s="21" t="s">
        <v>174</v>
      </c>
      <c r="F49" s="21" t="s">
        <v>117</v>
      </c>
      <c r="G49" s="21" t="s">
        <v>111</v>
      </c>
      <c r="H49" s="20">
        <v>160</v>
      </c>
      <c r="I49"/>
      <c r="J49" s="20">
        <v>435</v>
      </c>
      <c r="K49"/>
      <c r="L49" s="20">
        <v>12</v>
      </c>
      <c r="M49" s="19">
        <v>1.6703999999999999</v>
      </c>
      <c r="N49" t="s">
        <v>112</v>
      </c>
      <c r="O49"/>
      <c r="P49"/>
      <c r="Q49">
        <v>2</v>
      </c>
      <c r="R49"/>
      <c r="S49"/>
      <c r="T49"/>
      <c r="U49"/>
      <c r="V49"/>
    </row>
    <row r="50" spans="1:22">
      <c r="A50"/>
      <c r="B50" s="22">
        <v>106.5402</v>
      </c>
      <c r="C50" s="21" t="s">
        <v>113</v>
      </c>
      <c r="D50" s="21" t="s">
        <v>119</v>
      </c>
      <c r="E50" s="21" t="s">
        <v>174</v>
      </c>
      <c r="F50" s="21" t="s">
        <v>117</v>
      </c>
      <c r="G50" s="21" t="s">
        <v>111</v>
      </c>
      <c r="H50" s="20">
        <v>160</v>
      </c>
      <c r="I50"/>
      <c r="J50" s="20">
        <v>435</v>
      </c>
      <c r="K50"/>
      <c r="L50" s="20">
        <v>13</v>
      </c>
      <c r="M50" s="19">
        <v>1.8095999999999999</v>
      </c>
      <c r="N50" t="s">
        <v>112</v>
      </c>
      <c r="O50"/>
      <c r="P50"/>
      <c r="Q50">
        <v>2</v>
      </c>
      <c r="R50"/>
      <c r="S50"/>
      <c r="T50"/>
      <c r="U50"/>
      <c r="V50"/>
    </row>
    <row r="51" spans="1:22">
      <c r="A51"/>
      <c r="B51" s="22">
        <v>353.4384</v>
      </c>
      <c r="C51" s="21" t="s">
        <v>146</v>
      </c>
      <c r="D51" s="21" t="s">
        <v>122</v>
      </c>
      <c r="E51" s="21" t="s">
        <v>174</v>
      </c>
      <c r="F51" s="21" t="s">
        <v>117</v>
      </c>
      <c r="G51" s="21" t="s">
        <v>111</v>
      </c>
      <c r="H51" s="20">
        <v>140</v>
      </c>
      <c r="I51"/>
      <c r="J51" s="20">
        <v>1340</v>
      </c>
      <c r="K51"/>
      <c r="L51" s="20">
        <v>16</v>
      </c>
      <c r="M51" s="19">
        <v>6.0031999999999996</v>
      </c>
      <c r="N51" t="s">
        <v>112</v>
      </c>
      <c r="O51"/>
      <c r="P51"/>
      <c r="Q51">
        <v>3</v>
      </c>
      <c r="R51"/>
      <c r="S51"/>
      <c r="T51"/>
      <c r="U51"/>
      <c r="V51"/>
    </row>
    <row r="52" spans="1:22">
      <c r="A52"/>
      <c r="B52" s="22">
        <v>312.64351999999997</v>
      </c>
      <c r="C52" s="21" t="s">
        <v>113</v>
      </c>
      <c r="D52" s="21" t="s">
        <v>114</v>
      </c>
      <c r="E52" s="21" t="s">
        <v>174</v>
      </c>
      <c r="F52" s="21" t="s">
        <v>115</v>
      </c>
      <c r="G52" s="21" t="s">
        <v>111</v>
      </c>
      <c r="H52" s="20">
        <v>254</v>
      </c>
      <c r="I52"/>
      <c r="J52" s="20">
        <v>140</v>
      </c>
      <c r="K52"/>
      <c r="L52" s="20">
        <v>56</v>
      </c>
      <c r="M52" s="19">
        <v>3.98272</v>
      </c>
      <c r="N52" t="s">
        <v>112</v>
      </c>
      <c r="O52"/>
      <c r="P52"/>
      <c r="Q52">
        <v>2</v>
      </c>
      <c r="R52"/>
      <c r="S52"/>
      <c r="T52"/>
      <c r="U52"/>
      <c r="V52"/>
    </row>
    <row r="53" spans="1:22">
      <c r="A53"/>
      <c r="B53" s="22">
        <v>19.625</v>
      </c>
      <c r="C53" s="21" t="s">
        <v>108</v>
      </c>
      <c r="D53" s="21" t="s">
        <v>109</v>
      </c>
      <c r="E53" s="21" t="s">
        <v>174</v>
      </c>
      <c r="F53" s="21" t="s">
        <v>115</v>
      </c>
      <c r="G53" s="21" t="s">
        <v>111</v>
      </c>
      <c r="H53" s="20">
        <v>250</v>
      </c>
      <c r="I53"/>
      <c r="J53" s="20">
        <v>250</v>
      </c>
      <c r="K53"/>
      <c r="L53" s="20">
        <v>2</v>
      </c>
      <c r="M53" s="19">
        <v>0.25</v>
      </c>
      <c r="N53" t="s">
        <v>112</v>
      </c>
      <c r="O53"/>
      <c r="P53"/>
      <c r="Q53">
        <v>4</v>
      </c>
      <c r="R53"/>
      <c r="S53"/>
      <c r="T53"/>
      <c r="U53"/>
      <c r="V53"/>
    </row>
    <row r="54" spans="1:22">
      <c r="A54"/>
      <c r="B54" s="22">
        <v>282.60000000000002</v>
      </c>
      <c r="C54" s="21" t="s">
        <v>108</v>
      </c>
      <c r="D54" s="21" t="s">
        <v>109</v>
      </c>
      <c r="E54" s="21" t="s">
        <v>174</v>
      </c>
      <c r="F54" s="21" t="s">
        <v>115</v>
      </c>
      <c r="G54" s="21" t="s">
        <v>111</v>
      </c>
      <c r="H54" s="20">
        <v>300</v>
      </c>
      <c r="I54"/>
      <c r="J54" s="20">
        <v>300</v>
      </c>
      <c r="K54"/>
      <c r="L54" s="20">
        <v>20</v>
      </c>
      <c r="M54" s="19">
        <v>3.5999999999999996</v>
      </c>
      <c r="N54" t="s">
        <v>112</v>
      </c>
      <c r="O54"/>
      <c r="P54"/>
      <c r="Q54">
        <v>4</v>
      </c>
      <c r="R54"/>
      <c r="S54"/>
      <c r="T54"/>
      <c r="U54"/>
      <c r="V54"/>
    </row>
    <row r="55" spans="1:22">
      <c r="A55"/>
      <c r="B55" s="22">
        <v>113.04</v>
      </c>
      <c r="C55" s="21" t="s">
        <v>108</v>
      </c>
      <c r="D55" s="21" t="s">
        <v>109</v>
      </c>
      <c r="E55" s="21" t="s">
        <v>174</v>
      </c>
      <c r="F55" s="21" t="s">
        <v>115</v>
      </c>
      <c r="G55" s="21" t="s">
        <v>111</v>
      </c>
      <c r="H55" s="20">
        <v>300</v>
      </c>
      <c r="I55"/>
      <c r="J55" s="20">
        <v>300</v>
      </c>
      <c r="K55"/>
      <c r="L55" s="20">
        <v>8</v>
      </c>
      <c r="M55" s="19">
        <v>1.44</v>
      </c>
      <c r="N55" t="s">
        <v>112</v>
      </c>
      <c r="O55"/>
      <c r="P55"/>
      <c r="Q55">
        <v>4</v>
      </c>
      <c r="R55"/>
      <c r="S55"/>
      <c r="T55"/>
      <c r="U55"/>
      <c r="V55"/>
    </row>
    <row r="56" spans="1:22">
      <c r="A56"/>
      <c r="B56" s="22">
        <v>82.425000000000011</v>
      </c>
      <c r="C56" s="21" t="s">
        <v>108</v>
      </c>
      <c r="D56" s="21" t="s">
        <v>114</v>
      </c>
      <c r="E56" s="21" t="s">
        <v>174</v>
      </c>
      <c r="F56" s="21" t="s">
        <v>115</v>
      </c>
      <c r="G56" s="21" t="s">
        <v>111</v>
      </c>
      <c r="H56" s="20">
        <v>250</v>
      </c>
      <c r="I56"/>
      <c r="J56" s="20">
        <v>350</v>
      </c>
      <c r="K56"/>
      <c r="L56" s="20">
        <v>6</v>
      </c>
      <c r="M56" s="19">
        <v>1.0499999999999998</v>
      </c>
      <c r="N56" t="s">
        <v>112</v>
      </c>
      <c r="O56"/>
      <c r="P56"/>
      <c r="Q56">
        <v>4</v>
      </c>
      <c r="R56"/>
      <c r="S56"/>
      <c r="T56"/>
      <c r="U56"/>
      <c r="V56"/>
    </row>
    <row r="57" spans="1:22">
      <c r="A57"/>
      <c r="B57" s="22">
        <v>178.58750000000001</v>
      </c>
      <c r="C57" s="21" t="s">
        <v>108</v>
      </c>
      <c r="D57" s="21" t="s">
        <v>114</v>
      </c>
      <c r="E57" s="21" t="s">
        <v>174</v>
      </c>
      <c r="F57" s="21" t="s">
        <v>115</v>
      </c>
      <c r="G57" s="21" t="s">
        <v>111</v>
      </c>
      <c r="H57" s="20">
        <v>250</v>
      </c>
      <c r="I57"/>
      <c r="J57" s="20">
        <v>350</v>
      </c>
      <c r="K57"/>
      <c r="L57" s="20">
        <v>13</v>
      </c>
      <c r="M57" s="19">
        <v>2.2749999999999999</v>
      </c>
      <c r="N57" t="s">
        <v>112</v>
      </c>
      <c r="O57"/>
      <c r="P57"/>
      <c r="Q57">
        <v>4</v>
      </c>
      <c r="R57"/>
      <c r="S57"/>
      <c r="T57"/>
      <c r="U57"/>
      <c r="V57"/>
    </row>
    <row r="58" spans="1:22">
      <c r="A58"/>
      <c r="B58" s="22">
        <v>254.34</v>
      </c>
      <c r="C58" s="21" t="s">
        <v>113</v>
      </c>
      <c r="D58" s="21" t="s">
        <v>119</v>
      </c>
      <c r="E58" s="21" t="s">
        <v>174</v>
      </c>
      <c r="F58" s="21" t="s">
        <v>115</v>
      </c>
      <c r="G58" s="21" t="s">
        <v>111</v>
      </c>
      <c r="H58" s="20">
        <v>180</v>
      </c>
      <c r="I58"/>
      <c r="J58" s="20">
        <v>450</v>
      </c>
      <c r="K58"/>
      <c r="L58" s="20">
        <v>20</v>
      </c>
      <c r="M58" s="19">
        <v>3.24</v>
      </c>
      <c r="N58" t="s">
        <v>112</v>
      </c>
      <c r="O58"/>
      <c r="P58"/>
      <c r="Q58">
        <v>12</v>
      </c>
      <c r="R58"/>
      <c r="S58"/>
      <c r="T58"/>
      <c r="U58"/>
      <c r="V58"/>
    </row>
    <row r="59" spans="1:22">
      <c r="A59"/>
      <c r="B59" s="22">
        <v>5306.8041000000003</v>
      </c>
      <c r="C59" s="21" t="s">
        <v>120</v>
      </c>
      <c r="D59" s="21" t="s">
        <v>114</v>
      </c>
      <c r="E59" s="21" t="s">
        <v>174</v>
      </c>
      <c r="F59" s="21" t="s">
        <v>115</v>
      </c>
      <c r="G59" s="21" t="s">
        <v>111</v>
      </c>
      <c r="H59" s="20">
        <v>540</v>
      </c>
      <c r="I59"/>
      <c r="J59" s="20">
        <v>4815</v>
      </c>
      <c r="K59"/>
      <c r="L59" s="20">
        <v>13</v>
      </c>
      <c r="M59" s="19">
        <v>67.602599999999995</v>
      </c>
      <c r="N59" t="s">
        <v>112</v>
      </c>
      <c r="O59"/>
      <c r="P59"/>
      <c r="Q59"/>
      <c r="R59"/>
      <c r="S59"/>
      <c r="T59"/>
      <c r="U59"/>
      <c r="V59"/>
    </row>
    <row r="60" spans="1:22">
      <c r="A60"/>
      <c r="B60" s="22">
        <v>381.51</v>
      </c>
      <c r="C60" s="21" t="s">
        <v>108</v>
      </c>
      <c r="D60" s="21" t="s">
        <v>114</v>
      </c>
      <c r="E60" s="21" t="s">
        <v>174</v>
      </c>
      <c r="F60" s="21" t="s">
        <v>131</v>
      </c>
      <c r="G60" s="21" t="s">
        <v>111</v>
      </c>
      <c r="H60" s="20">
        <v>300</v>
      </c>
      <c r="I60"/>
      <c r="J60" s="20">
        <v>405</v>
      </c>
      <c r="K60"/>
      <c r="L60" s="20">
        <v>16</v>
      </c>
      <c r="M60" s="19">
        <v>3.8879999999999999</v>
      </c>
      <c r="N60" t="s">
        <v>112</v>
      </c>
      <c r="O60"/>
      <c r="P60"/>
      <c r="Q60">
        <v>8</v>
      </c>
      <c r="R60"/>
      <c r="S60"/>
      <c r="T60"/>
      <c r="U60"/>
      <c r="V60"/>
    </row>
    <row r="61" spans="1:22">
      <c r="A61"/>
      <c r="B61" s="22">
        <v>230.79</v>
      </c>
      <c r="C61" s="21" t="s">
        <v>174</v>
      </c>
      <c r="D61" s="21" t="s">
        <v>114</v>
      </c>
      <c r="E61" s="21" t="s">
        <v>174</v>
      </c>
      <c r="F61" s="21" t="s">
        <v>131</v>
      </c>
      <c r="G61" s="21" t="s">
        <v>111</v>
      </c>
      <c r="H61" s="20">
        <v>300</v>
      </c>
      <c r="I61"/>
      <c r="J61" s="20">
        <v>490</v>
      </c>
      <c r="K61"/>
      <c r="L61" s="20">
        <v>8</v>
      </c>
      <c r="M61" s="19">
        <v>2.3519999999999999</v>
      </c>
      <c r="N61" t="s">
        <v>112</v>
      </c>
      <c r="O61"/>
      <c r="P61"/>
      <c r="Q61">
        <v>4</v>
      </c>
      <c r="R61"/>
      <c r="S61"/>
      <c r="T61"/>
      <c r="U61"/>
      <c r="V61"/>
    </row>
    <row r="62" spans="1:22">
      <c r="A62"/>
      <c r="B62" s="22">
        <v>273.18</v>
      </c>
      <c r="C62" s="21" t="s">
        <v>174</v>
      </c>
      <c r="D62" s="21" t="s">
        <v>114</v>
      </c>
      <c r="E62" s="21" t="s">
        <v>174</v>
      </c>
      <c r="F62" s="21" t="s">
        <v>131</v>
      </c>
      <c r="G62" s="21" t="s">
        <v>111</v>
      </c>
      <c r="H62" s="20">
        <v>300</v>
      </c>
      <c r="I62"/>
      <c r="J62" s="20">
        <v>580</v>
      </c>
      <c r="K62"/>
      <c r="L62" s="20">
        <v>8</v>
      </c>
      <c r="M62" s="19">
        <v>2.7839999999999998</v>
      </c>
      <c r="N62" t="s">
        <v>112</v>
      </c>
      <c r="O62"/>
      <c r="P62"/>
      <c r="Q62">
        <v>4</v>
      </c>
      <c r="R62"/>
      <c r="S62"/>
      <c r="T62"/>
      <c r="U62"/>
      <c r="V62"/>
    </row>
    <row r="63" spans="1:22">
      <c r="A63"/>
      <c r="B63" s="22">
        <v>1083.3</v>
      </c>
      <c r="C63" s="21" t="s">
        <v>146</v>
      </c>
      <c r="D63" s="21" t="s">
        <v>109</v>
      </c>
      <c r="E63" s="21" t="s">
        <v>174</v>
      </c>
      <c r="F63" s="21" t="s">
        <v>131</v>
      </c>
      <c r="G63" s="21" t="s">
        <v>111</v>
      </c>
      <c r="H63" s="20">
        <v>250</v>
      </c>
      <c r="I63"/>
      <c r="J63" s="20">
        <v>690</v>
      </c>
      <c r="K63"/>
      <c r="L63" s="20">
        <v>32</v>
      </c>
      <c r="M63" s="19">
        <v>11.04</v>
      </c>
      <c r="N63" t="s">
        <v>112</v>
      </c>
      <c r="O63"/>
      <c r="P63"/>
      <c r="Q63">
        <v>8</v>
      </c>
      <c r="R63"/>
      <c r="S63"/>
      <c r="T63"/>
      <c r="U63"/>
      <c r="V63"/>
    </row>
    <row r="64" spans="1:22">
      <c r="A64"/>
      <c r="B64" s="22">
        <v>1106.8499999999999</v>
      </c>
      <c r="C64" s="21" t="s">
        <v>174</v>
      </c>
      <c r="D64" s="21" t="s">
        <v>119</v>
      </c>
      <c r="E64" s="21" t="s">
        <v>174</v>
      </c>
      <c r="F64" s="21" t="s">
        <v>131</v>
      </c>
      <c r="G64" s="21" t="s">
        <v>111</v>
      </c>
      <c r="H64" s="20">
        <v>300</v>
      </c>
      <c r="I64"/>
      <c r="J64" s="20">
        <v>2350</v>
      </c>
      <c r="K64"/>
      <c r="L64" s="20">
        <v>8</v>
      </c>
      <c r="M64" s="19">
        <v>11.28</v>
      </c>
      <c r="N64" t="s">
        <v>112</v>
      </c>
      <c r="O64"/>
      <c r="P64"/>
      <c r="Q64">
        <v>14</v>
      </c>
      <c r="R64"/>
      <c r="S64"/>
      <c r="T64"/>
      <c r="U64"/>
      <c r="V64"/>
    </row>
    <row r="65" spans="1:22">
      <c r="A65"/>
      <c r="B65" s="22">
        <v>1106.8499999999999</v>
      </c>
      <c r="C65" s="21" t="s">
        <v>174</v>
      </c>
      <c r="D65" s="21" t="s">
        <v>119</v>
      </c>
      <c r="E65" s="21" t="s">
        <v>174</v>
      </c>
      <c r="F65" s="21" t="s">
        <v>131</v>
      </c>
      <c r="G65" s="21" t="s">
        <v>111</v>
      </c>
      <c r="H65" s="20">
        <v>300</v>
      </c>
      <c r="I65"/>
      <c r="J65" s="20">
        <v>2350</v>
      </c>
      <c r="K65"/>
      <c r="L65" s="20">
        <v>8</v>
      </c>
      <c r="M65" s="19">
        <v>11.28</v>
      </c>
      <c r="N65" t="s">
        <v>112</v>
      </c>
      <c r="O65"/>
      <c r="P65"/>
      <c r="Q65">
        <v>14</v>
      </c>
      <c r="R65"/>
      <c r="S65"/>
      <c r="T65"/>
      <c r="U65"/>
      <c r="V65"/>
    </row>
    <row r="66" spans="1:22">
      <c r="A66"/>
      <c r="B66" s="22">
        <v>2079.9360000000001</v>
      </c>
      <c r="C66" s="21" t="s">
        <v>174</v>
      </c>
      <c r="D66" s="21" t="s">
        <v>100</v>
      </c>
      <c r="E66" s="21" t="s">
        <v>174</v>
      </c>
      <c r="F66" s="21" t="s">
        <v>131</v>
      </c>
      <c r="G66" s="21" t="s">
        <v>111</v>
      </c>
      <c r="H66" s="20">
        <v>300</v>
      </c>
      <c r="I66"/>
      <c r="J66" s="20">
        <v>4416</v>
      </c>
      <c r="K66"/>
      <c r="L66" s="20">
        <v>8</v>
      </c>
      <c r="M66" s="19">
        <v>21.1968</v>
      </c>
      <c r="N66" t="s">
        <v>112</v>
      </c>
      <c r="O66"/>
      <c r="P66"/>
      <c r="Q66"/>
      <c r="R66"/>
      <c r="S66"/>
      <c r="T66"/>
      <c r="U66"/>
      <c r="V66"/>
    </row>
    <row r="67" spans="1:22">
      <c r="A67"/>
      <c r="B67" s="22">
        <v>2712.96</v>
      </c>
      <c r="C67" s="21" t="s">
        <v>174</v>
      </c>
      <c r="D67" s="21" t="s">
        <v>109</v>
      </c>
      <c r="E67" s="21" t="s">
        <v>174</v>
      </c>
      <c r="F67" s="21" t="s">
        <v>131</v>
      </c>
      <c r="G67" s="21" t="s">
        <v>111</v>
      </c>
      <c r="H67" s="20">
        <v>300</v>
      </c>
      <c r="I67"/>
      <c r="J67" s="20">
        <v>5760</v>
      </c>
      <c r="K67"/>
      <c r="L67" s="20">
        <v>8</v>
      </c>
      <c r="M67" s="19">
        <v>27.648</v>
      </c>
      <c r="N67" t="s">
        <v>112</v>
      </c>
      <c r="O67"/>
      <c r="P67"/>
      <c r="Q67"/>
      <c r="R67"/>
      <c r="S67"/>
      <c r="T67"/>
      <c r="U67"/>
      <c r="V67"/>
    </row>
    <row r="68" spans="1:22">
      <c r="A68"/>
      <c r="B68" s="22">
        <v>2856.1439999999998</v>
      </c>
      <c r="C68" s="21" t="s">
        <v>174</v>
      </c>
      <c r="D68" s="21" t="s">
        <v>100</v>
      </c>
      <c r="E68" s="21" t="s">
        <v>174</v>
      </c>
      <c r="F68" s="21" t="s">
        <v>131</v>
      </c>
      <c r="G68" s="21" t="s">
        <v>111</v>
      </c>
      <c r="H68" s="20">
        <v>300</v>
      </c>
      <c r="I68"/>
      <c r="J68" s="20">
        <v>6064</v>
      </c>
      <c r="K68"/>
      <c r="L68" s="20">
        <v>8</v>
      </c>
      <c r="M68" s="19">
        <v>29.107199999999999</v>
      </c>
      <c r="N68" t="s">
        <v>112</v>
      </c>
      <c r="O68"/>
      <c r="P68"/>
      <c r="Q68"/>
      <c r="R68"/>
      <c r="S68"/>
      <c r="T68"/>
      <c r="U68"/>
      <c r="V68"/>
    </row>
    <row r="69" spans="1:22">
      <c r="A69"/>
      <c r="B69" s="22">
        <v>3521.6669999999999</v>
      </c>
      <c r="C69" s="21" t="s">
        <v>174</v>
      </c>
      <c r="D69" s="21" t="s">
        <v>109</v>
      </c>
      <c r="E69" s="21" t="s">
        <v>174</v>
      </c>
      <c r="F69" s="21" t="s">
        <v>131</v>
      </c>
      <c r="G69" s="21" t="s">
        <v>111</v>
      </c>
      <c r="H69" s="20">
        <v>300</v>
      </c>
      <c r="I69"/>
      <c r="J69" s="20">
        <v>7477</v>
      </c>
      <c r="K69"/>
      <c r="L69" s="20">
        <v>8</v>
      </c>
      <c r="M69" s="19">
        <v>35.889600000000002</v>
      </c>
      <c r="N69" t="s">
        <v>112</v>
      </c>
      <c r="O69"/>
      <c r="P69"/>
      <c r="Q69"/>
      <c r="R69"/>
      <c r="S69"/>
      <c r="T69"/>
      <c r="U69"/>
      <c r="V69"/>
    </row>
    <row r="70" spans="1:22">
      <c r="A70"/>
      <c r="B70" s="22">
        <v>174.50550000000001</v>
      </c>
      <c r="C70" s="21" t="s">
        <v>124</v>
      </c>
      <c r="D70" s="21" t="s">
        <v>126</v>
      </c>
      <c r="E70" s="21" t="s">
        <v>174</v>
      </c>
      <c r="F70" s="21" t="s">
        <v>127</v>
      </c>
      <c r="G70" s="21" t="s">
        <v>111</v>
      </c>
      <c r="H70" s="20">
        <v>150</v>
      </c>
      <c r="I70"/>
      <c r="J70" s="20">
        <v>190</v>
      </c>
      <c r="K70"/>
      <c r="L70" s="20">
        <v>26</v>
      </c>
      <c r="M70" s="19">
        <v>1.482</v>
      </c>
      <c r="N70" t="s">
        <v>112</v>
      </c>
      <c r="O70"/>
      <c r="P70"/>
      <c r="Q70"/>
      <c r="R70"/>
      <c r="S70"/>
      <c r="T70"/>
      <c r="U70"/>
      <c r="V70"/>
    </row>
    <row r="71" spans="1:22">
      <c r="A71"/>
      <c r="B71" s="22">
        <v>4299.4940624999999</v>
      </c>
      <c r="C71" s="21" t="s">
        <v>120</v>
      </c>
      <c r="D71" s="21" t="s">
        <v>109</v>
      </c>
      <c r="E71" s="21" t="s">
        <v>174</v>
      </c>
      <c r="F71" s="21" t="s">
        <v>139</v>
      </c>
      <c r="G71" s="21" t="s">
        <v>111</v>
      </c>
      <c r="H71" s="20">
        <v>250</v>
      </c>
      <c r="I71"/>
      <c r="J71" s="20">
        <v>4815</v>
      </c>
      <c r="K71"/>
      <c r="L71" s="20">
        <v>13</v>
      </c>
      <c r="M71" s="19">
        <v>31.297500000000003</v>
      </c>
      <c r="N71" t="s">
        <v>112</v>
      </c>
      <c r="O71"/>
      <c r="P71"/>
      <c r="Q71"/>
      <c r="R71"/>
      <c r="S71"/>
      <c r="T71"/>
      <c r="U71"/>
      <c r="V71"/>
    </row>
    <row r="72" spans="1:22">
      <c r="A72"/>
      <c r="B72" s="22">
        <v>52.249599999999994</v>
      </c>
      <c r="C72" s="21" t="s">
        <v>201</v>
      </c>
      <c r="D72" s="21" t="s">
        <v>126</v>
      </c>
      <c r="E72" s="21" t="s">
        <v>174</v>
      </c>
      <c r="F72" s="21" t="s">
        <v>143</v>
      </c>
      <c r="G72" s="21" t="s">
        <v>111</v>
      </c>
      <c r="H72" s="20">
        <v>80</v>
      </c>
      <c r="I72"/>
      <c r="J72" s="20">
        <v>80</v>
      </c>
      <c r="K72"/>
      <c r="L72" s="20">
        <v>26</v>
      </c>
      <c r="M72" s="19">
        <v>0.33280000000000004</v>
      </c>
      <c r="N72" t="s">
        <v>112</v>
      </c>
      <c r="O72"/>
      <c r="P72"/>
      <c r="Q72">
        <v>1</v>
      </c>
      <c r="R72"/>
      <c r="S72"/>
      <c r="T72"/>
      <c r="U72"/>
      <c r="V72"/>
    </row>
    <row r="73" spans="1:22">
      <c r="A73"/>
      <c r="B73" s="22">
        <v>9.0432000000000006</v>
      </c>
      <c r="C73" s="21" t="s">
        <v>108</v>
      </c>
      <c r="D73" s="21" t="s">
        <v>109</v>
      </c>
      <c r="E73" s="21" t="s">
        <v>174</v>
      </c>
      <c r="F73" s="21" t="s">
        <v>138</v>
      </c>
      <c r="G73" s="21" t="s">
        <v>111</v>
      </c>
      <c r="H73" s="20">
        <v>60</v>
      </c>
      <c r="I73"/>
      <c r="J73" s="20">
        <v>120</v>
      </c>
      <c r="K73"/>
      <c r="L73" s="20">
        <v>32</v>
      </c>
      <c r="M73" s="19">
        <v>0.46079999999999999</v>
      </c>
      <c r="N73" t="s">
        <v>112</v>
      </c>
      <c r="O73"/>
      <c r="P73"/>
      <c r="Q73"/>
      <c r="R73"/>
      <c r="S73"/>
      <c r="T73"/>
      <c r="U73"/>
      <c r="V73"/>
    </row>
    <row r="74" spans="1:22">
      <c r="A74"/>
      <c r="B74" s="22">
        <v>1.1304000000000001</v>
      </c>
      <c r="C74" s="21" t="s">
        <v>108</v>
      </c>
      <c r="D74" s="21" t="s">
        <v>109</v>
      </c>
      <c r="E74" s="21" t="s">
        <v>174</v>
      </c>
      <c r="F74" s="21" t="s">
        <v>138</v>
      </c>
      <c r="G74" s="21" t="s">
        <v>111</v>
      </c>
      <c r="H74" s="20">
        <v>60</v>
      </c>
      <c r="I74"/>
      <c r="J74" s="20">
        <v>120</v>
      </c>
      <c r="K74"/>
      <c r="L74" s="20">
        <v>4</v>
      </c>
      <c r="M74" s="19">
        <v>5.7599999999999998E-2</v>
      </c>
      <c r="N74" t="s">
        <v>112</v>
      </c>
      <c r="O74"/>
      <c r="P74"/>
      <c r="Q74"/>
      <c r="R74"/>
      <c r="S74"/>
      <c r="T74"/>
      <c r="U74"/>
      <c r="V74"/>
    </row>
    <row r="75" spans="1:22">
      <c r="A75"/>
      <c r="B75" s="22">
        <v>18.1492</v>
      </c>
      <c r="C75" s="21" t="s">
        <v>108</v>
      </c>
      <c r="D75" s="21" t="s">
        <v>109</v>
      </c>
      <c r="E75" s="21" t="s">
        <v>174</v>
      </c>
      <c r="F75" s="21" t="s">
        <v>138</v>
      </c>
      <c r="G75" s="21" t="s">
        <v>111</v>
      </c>
      <c r="H75" s="20">
        <v>170</v>
      </c>
      <c r="I75"/>
      <c r="J75" s="20">
        <v>170</v>
      </c>
      <c r="K75"/>
      <c r="L75" s="20">
        <v>16</v>
      </c>
      <c r="M75" s="19">
        <v>0.92479999999999996</v>
      </c>
      <c r="N75" t="s">
        <v>112</v>
      </c>
      <c r="O75"/>
      <c r="P75"/>
      <c r="Q75">
        <v>4</v>
      </c>
      <c r="R75"/>
      <c r="S75"/>
      <c r="T75"/>
      <c r="U75"/>
      <c r="V75"/>
    </row>
    <row r="76" spans="1:22">
      <c r="A76"/>
      <c r="B76" s="22">
        <v>191.98156250000002</v>
      </c>
      <c r="C76" s="21" t="s">
        <v>140</v>
      </c>
      <c r="D76" s="21" t="s">
        <v>122</v>
      </c>
      <c r="E76" s="21" t="s">
        <v>174</v>
      </c>
      <c r="F76" s="21" t="s">
        <v>138</v>
      </c>
      <c r="G76" s="21" t="s">
        <v>111</v>
      </c>
      <c r="H76" s="20">
        <v>215</v>
      </c>
      <c r="I76"/>
      <c r="J76" s="20">
        <v>250</v>
      </c>
      <c r="K76"/>
      <c r="L76" s="20">
        <v>91</v>
      </c>
      <c r="M76" s="19">
        <v>0</v>
      </c>
      <c r="N76" t="s">
        <v>112</v>
      </c>
      <c r="O76"/>
      <c r="P76"/>
      <c r="Q76"/>
      <c r="R76"/>
      <c r="S76"/>
      <c r="T76"/>
      <c r="U76"/>
      <c r="V76"/>
    </row>
    <row r="77" spans="1:22">
      <c r="A77"/>
      <c r="B77" s="22">
        <v>1056.4471125</v>
      </c>
      <c r="C77" s="21" t="s">
        <v>120</v>
      </c>
      <c r="D77" s="21" t="s">
        <v>100</v>
      </c>
      <c r="E77" s="21" t="s">
        <v>174</v>
      </c>
      <c r="F77" s="21" t="s">
        <v>138</v>
      </c>
      <c r="G77" s="21" t="s">
        <v>111</v>
      </c>
      <c r="H77" s="20">
        <v>215</v>
      </c>
      <c r="I77"/>
      <c r="J77" s="20">
        <v>4815</v>
      </c>
      <c r="K77"/>
      <c r="L77" s="20">
        <v>26</v>
      </c>
      <c r="M77" s="19">
        <v>53.831700000000005</v>
      </c>
      <c r="N77" t="s">
        <v>112</v>
      </c>
      <c r="O77"/>
      <c r="P77"/>
      <c r="Q77">
        <v>4</v>
      </c>
      <c r="R77"/>
      <c r="S77"/>
      <c r="T77"/>
      <c r="U77"/>
      <c r="V77"/>
    </row>
    <row r="78" spans="1:22">
      <c r="A78"/>
      <c r="B78" s="22">
        <v>2988.1344494999994</v>
      </c>
      <c r="C78" s="21" t="s">
        <v>174</v>
      </c>
      <c r="D78" s="21" t="s">
        <v>121</v>
      </c>
      <c r="E78" s="21" t="s">
        <v>174</v>
      </c>
      <c r="F78" s="21" t="s">
        <v>145</v>
      </c>
      <c r="G78" s="21" t="s">
        <v>111</v>
      </c>
      <c r="H78" s="20">
        <v>1697</v>
      </c>
      <c r="I78"/>
      <c r="J78" s="20">
        <v>7477</v>
      </c>
      <c r="K78"/>
      <c r="L78" s="20">
        <v>8</v>
      </c>
      <c r="M78" s="19">
        <v>203.01550399999999</v>
      </c>
      <c r="N78" t="s">
        <v>112</v>
      </c>
      <c r="O78"/>
      <c r="P78"/>
      <c r="Q78">
        <v>4</v>
      </c>
      <c r="R78"/>
      <c r="S78"/>
      <c r="T78"/>
      <c r="U78"/>
      <c r="V78"/>
    </row>
    <row r="79" spans="1:22">
      <c r="A79"/>
      <c r="B79" s="22">
        <v>2945.4685094399997</v>
      </c>
      <c r="C79" s="21" t="s">
        <v>174</v>
      </c>
      <c r="D79" s="21" t="s">
        <v>121</v>
      </c>
      <c r="E79" s="21" t="s">
        <v>174</v>
      </c>
      <c r="F79" s="21" t="s">
        <v>132</v>
      </c>
      <c r="G79" s="21" t="s">
        <v>111</v>
      </c>
      <c r="H79" s="20">
        <v>1697</v>
      </c>
      <c r="I79"/>
      <c r="J79" s="20">
        <v>5758</v>
      </c>
      <c r="K79"/>
      <c r="L79" s="20">
        <v>8</v>
      </c>
      <c r="M79" s="19">
        <v>156.341216</v>
      </c>
      <c r="N79" t="s">
        <v>112</v>
      </c>
      <c r="O79"/>
      <c r="P79"/>
      <c r="Q79"/>
      <c r="R79"/>
      <c r="S79"/>
      <c r="T79"/>
      <c r="U79"/>
      <c r="V79"/>
    </row>
    <row r="80" spans="1:22">
      <c r="A80"/>
      <c r="B80" s="22">
        <v>4968</v>
      </c>
      <c r="C80" s="21" t="s">
        <v>169</v>
      </c>
      <c r="D80" s="21" t="s">
        <v>119</v>
      </c>
      <c r="E80" s="21" t="s">
        <v>174</v>
      </c>
      <c r="F80" s="21" t="s">
        <v>170</v>
      </c>
      <c r="G80" s="21" t="s">
        <v>111</v>
      </c>
      <c r="H80" s="20">
        <v>45</v>
      </c>
      <c r="I80"/>
      <c r="J80" s="20">
        <v>255</v>
      </c>
      <c r="K80"/>
      <c r="L80" s="20">
        <v>72</v>
      </c>
      <c r="M80" s="19">
        <v>0</v>
      </c>
      <c r="N80" t="s">
        <v>112</v>
      </c>
      <c r="O80"/>
      <c r="P80"/>
      <c r="Q80">
        <v>4</v>
      </c>
      <c r="R80"/>
      <c r="S80"/>
      <c r="T80"/>
      <c r="U80"/>
      <c r="V80"/>
    </row>
    <row r="81" spans="1:2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>
      <c r="A84"/>
      <c r="B84"/>
      <c r="C84"/>
      <c r="D84"/>
      <c r="E84"/>
      <c r="F84" s="63" t="s">
        <v>202</v>
      </c>
      <c r="G84" s="63" t="s">
        <v>184</v>
      </c>
      <c r="H84" s="63" t="s">
        <v>203</v>
      </c>
      <c r="I84" s="63"/>
      <c r="J84" s="63" t="s">
        <v>204</v>
      </c>
      <c r="K84" s="63"/>
      <c r="L84" s="63" t="s">
        <v>205</v>
      </c>
      <c r="M84"/>
      <c r="N84"/>
      <c r="O84"/>
      <c r="P84"/>
      <c r="Q84"/>
      <c r="R84"/>
      <c r="S84"/>
      <c r="T84"/>
      <c r="U84"/>
      <c r="V84"/>
    </row>
    <row r="85" spans="1:22">
      <c r="A85"/>
      <c r="B85"/>
      <c r="C85"/>
      <c r="D85"/>
      <c r="E85"/>
      <c r="F85" s="21" t="s">
        <v>168</v>
      </c>
      <c r="G85" s="21" t="s">
        <v>111</v>
      </c>
      <c r="H85" s="22">
        <v>0</v>
      </c>
      <c r="I85"/>
      <c r="J85">
        <v>144</v>
      </c>
      <c r="K85"/>
      <c r="L85" s="19">
        <v>0</v>
      </c>
      <c r="M85"/>
      <c r="N85"/>
      <c r="O85"/>
      <c r="P85"/>
      <c r="Q85"/>
      <c r="R85"/>
      <c r="S85"/>
      <c r="T85"/>
      <c r="U85"/>
      <c r="V85"/>
    </row>
    <row r="86" spans="1:22">
      <c r="A86"/>
      <c r="B86"/>
      <c r="C86"/>
      <c r="D86"/>
      <c r="E86"/>
      <c r="F86" s="21" t="s">
        <v>110</v>
      </c>
      <c r="G86" s="21" t="s">
        <v>111</v>
      </c>
      <c r="H86" s="22">
        <v>2411.8654000000001</v>
      </c>
      <c r="I86"/>
      <c r="J86" s="20">
        <v>658</v>
      </c>
      <c r="K86"/>
      <c r="L86" s="19">
        <v>61.448800000000006</v>
      </c>
      <c r="M86"/>
      <c r="N86"/>
      <c r="O86"/>
      <c r="P86"/>
      <c r="Q86"/>
      <c r="R86"/>
      <c r="S86"/>
      <c r="T86"/>
      <c r="U86"/>
      <c r="V86"/>
    </row>
    <row r="87" spans="1:22">
      <c r="A87"/>
      <c r="B87"/>
      <c r="C87"/>
      <c r="D87"/>
      <c r="E87"/>
      <c r="F87" s="21" t="s">
        <v>123</v>
      </c>
      <c r="G87" s="21" t="s">
        <v>111</v>
      </c>
      <c r="H87" s="22">
        <v>550.77798000000007</v>
      </c>
      <c r="I87"/>
      <c r="J87" s="20">
        <v>156</v>
      </c>
      <c r="K87"/>
      <c r="L87" s="19">
        <v>11.6938</v>
      </c>
      <c r="M87"/>
      <c r="N87"/>
      <c r="O87"/>
      <c r="P87"/>
      <c r="Q87"/>
      <c r="R87"/>
      <c r="S87"/>
      <c r="T87"/>
      <c r="U87"/>
      <c r="V87"/>
    </row>
    <row r="88" spans="1:22">
      <c r="A88"/>
      <c r="B88"/>
      <c r="C88"/>
      <c r="D88"/>
      <c r="E88"/>
      <c r="F88" s="21" t="s">
        <v>117</v>
      </c>
      <c r="G88" s="21" t="s">
        <v>111</v>
      </c>
      <c r="H88" s="22">
        <v>3612.4169249999995</v>
      </c>
      <c r="I88"/>
      <c r="J88" s="20">
        <v>883</v>
      </c>
      <c r="K88"/>
      <c r="L88" s="19">
        <v>61.357399999999998</v>
      </c>
      <c r="M88"/>
      <c r="N88"/>
      <c r="O88"/>
      <c r="P88"/>
      <c r="Q88"/>
      <c r="R88"/>
      <c r="S88"/>
      <c r="T88"/>
      <c r="U88"/>
      <c r="V88"/>
    </row>
    <row r="89" spans="1:22">
      <c r="A89"/>
      <c r="B89"/>
      <c r="C89"/>
      <c r="D89"/>
      <c r="E89"/>
      <c r="F89" s="21" t="s">
        <v>115</v>
      </c>
      <c r="G89" s="21" t="s">
        <v>111</v>
      </c>
      <c r="H89" s="22">
        <v>6550.0651200000002</v>
      </c>
      <c r="I89"/>
      <c r="J89" s="20">
        <v>138</v>
      </c>
      <c r="K89"/>
      <c r="L89" s="19">
        <v>83.44032</v>
      </c>
      <c r="M89"/>
      <c r="N89"/>
      <c r="O89"/>
      <c r="P89"/>
      <c r="Q89"/>
      <c r="R89"/>
      <c r="S89"/>
      <c r="T89"/>
      <c r="U89"/>
      <c r="V89"/>
    </row>
    <row r="90" spans="1:22">
      <c r="A90"/>
      <c r="B90"/>
      <c r="C90"/>
      <c r="D90"/>
      <c r="E90"/>
      <c r="F90" s="21" t="s">
        <v>131</v>
      </c>
      <c r="G90" s="21" t="s">
        <v>111</v>
      </c>
      <c r="H90" s="22">
        <v>15353.187</v>
      </c>
      <c r="I90"/>
      <c r="J90" s="20">
        <v>112</v>
      </c>
      <c r="K90"/>
      <c r="L90" s="19">
        <v>156.46559999999999</v>
      </c>
      <c r="M90"/>
      <c r="N90"/>
      <c r="O90"/>
      <c r="P90"/>
      <c r="Q90"/>
      <c r="R90"/>
      <c r="S90"/>
      <c r="T90"/>
      <c r="U90"/>
      <c r="V90"/>
    </row>
    <row r="91" spans="1:22">
      <c r="A91"/>
      <c r="B91"/>
      <c r="C91"/>
      <c r="D91"/>
      <c r="E91"/>
      <c r="F91" s="21" t="s">
        <v>127</v>
      </c>
      <c r="G91" s="21" t="s">
        <v>111</v>
      </c>
      <c r="H91" s="22">
        <v>174.50550000000001</v>
      </c>
      <c r="I91"/>
      <c r="J91">
        <v>26</v>
      </c>
      <c r="K91"/>
      <c r="L91" s="19">
        <v>1.482</v>
      </c>
      <c r="M91"/>
      <c r="N91"/>
      <c r="O91"/>
      <c r="P91"/>
      <c r="Q91"/>
      <c r="R91"/>
      <c r="S91"/>
      <c r="T91"/>
      <c r="U91"/>
      <c r="V91"/>
    </row>
    <row r="92" spans="1:22">
      <c r="A92"/>
      <c r="B92"/>
      <c r="C92"/>
      <c r="D92"/>
      <c r="E92"/>
      <c r="F92" s="21" t="s">
        <v>139</v>
      </c>
      <c r="G92" s="21" t="s">
        <v>111</v>
      </c>
      <c r="H92" s="22">
        <v>4299.4940624999999</v>
      </c>
      <c r="I92"/>
      <c r="J92">
        <v>13</v>
      </c>
      <c r="K92"/>
      <c r="L92" s="19">
        <v>31.297500000000003</v>
      </c>
      <c r="M92"/>
      <c r="N92"/>
      <c r="O92"/>
      <c r="P92"/>
      <c r="Q92"/>
      <c r="R92"/>
      <c r="S92"/>
      <c r="T92"/>
      <c r="U92"/>
      <c r="V92"/>
    </row>
    <row r="93" spans="1:22">
      <c r="A93"/>
      <c r="B93"/>
      <c r="C93"/>
      <c r="D93"/>
      <c r="E93"/>
      <c r="F93" s="21" t="s">
        <v>143</v>
      </c>
      <c r="G93" s="21" t="s">
        <v>111</v>
      </c>
      <c r="H93" s="22">
        <v>52.249599999999994</v>
      </c>
      <c r="I93"/>
      <c r="J93">
        <v>26</v>
      </c>
      <c r="K93"/>
      <c r="L93" s="19">
        <v>0.33280000000000004</v>
      </c>
      <c r="M93"/>
      <c r="N93"/>
      <c r="O93"/>
      <c r="P93"/>
      <c r="Q93"/>
      <c r="R93"/>
      <c r="S93"/>
      <c r="T93"/>
      <c r="U93"/>
      <c r="V93"/>
    </row>
    <row r="94" spans="1:22">
      <c r="A94"/>
      <c r="B94"/>
      <c r="C94"/>
      <c r="D94"/>
      <c r="E94"/>
      <c r="F94" s="21" t="s">
        <v>138</v>
      </c>
      <c r="G94" s="21" t="s">
        <v>111</v>
      </c>
      <c r="H94" s="22">
        <v>1276.751475</v>
      </c>
      <c r="I94"/>
      <c r="J94" s="20">
        <v>169</v>
      </c>
      <c r="K94"/>
      <c r="L94" s="19">
        <v>55.274900000000002</v>
      </c>
      <c r="M94"/>
      <c r="N94"/>
      <c r="O94"/>
      <c r="P94"/>
      <c r="Q94"/>
      <c r="R94"/>
      <c r="S94"/>
      <c r="T94"/>
      <c r="U94"/>
      <c r="V94"/>
    </row>
    <row r="95" spans="1:22">
      <c r="A95"/>
      <c r="B95"/>
      <c r="C95"/>
      <c r="D95"/>
      <c r="E95"/>
      <c r="F95" s="21" t="s">
        <v>145</v>
      </c>
      <c r="G95" s="21" t="s">
        <v>111</v>
      </c>
      <c r="H95" s="22">
        <v>2988.1344494999994</v>
      </c>
      <c r="I95"/>
      <c r="J95">
        <v>8</v>
      </c>
      <c r="K95"/>
      <c r="L95" s="19">
        <v>203.01550399999999</v>
      </c>
      <c r="M95"/>
      <c r="N95"/>
      <c r="O95"/>
      <c r="P95"/>
      <c r="Q95"/>
      <c r="R95"/>
      <c r="S95"/>
      <c r="T95"/>
      <c r="U95"/>
      <c r="V95"/>
    </row>
    <row r="96" spans="1:22">
      <c r="A96"/>
      <c r="B96"/>
      <c r="C96"/>
      <c r="D96"/>
      <c r="E96"/>
      <c r="F96" s="21" t="s">
        <v>132</v>
      </c>
      <c r="G96" s="21" t="s">
        <v>111</v>
      </c>
      <c r="H96" s="22">
        <v>2945.4685094399997</v>
      </c>
      <c r="I96"/>
      <c r="J96">
        <v>8</v>
      </c>
      <c r="K96"/>
      <c r="L96" s="19">
        <v>156.341216</v>
      </c>
      <c r="M96"/>
      <c r="N96"/>
      <c r="O96"/>
      <c r="P96"/>
      <c r="Q96"/>
      <c r="R96"/>
      <c r="S96"/>
      <c r="T96"/>
      <c r="U96"/>
      <c r="V96"/>
    </row>
    <row r="97" spans="1:22">
      <c r="A97"/>
      <c r="B97"/>
      <c r="C97"/>
      <c r="D97"/>
      <c r="E97"/>
      <c r="F97" s="21" t="s">
        <v>170</v>
      </c>
      <c r="G97" s="21" t="s">
        <v>111</v>
      </c>
      <c r="H97" s="22">
        <v>4968</v>
      </c>
      <c r="I97"/>
      <c r="J97">
        <v>72</v>
      </c>
      <c r="K97"/>
      <c r="L97" s="19">
        <v>0</v>
      </c>
      <c r="M97"/>
      <c r="N97"/>
      <c r="O97"/>
      <c r="P97"/>
      <c r="Q97"/>
      <c r="R97"/>
      <c r="S97"/>
      <c r="T97"/>
      <c r="U97"/>
      <c r="V97"/>
    </row>
    <row r="98" spans="1:2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1:2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1:2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1:2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1:2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1:2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1:2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1:2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1:2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1:2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1:2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1:2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1:2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1:2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1:2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1:2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1:2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1:2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1:2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1:2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1:2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1:2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1:2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1:2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1:2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1:2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1:2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1:2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1:2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1:2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1:2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</row>
    <row r="678" spans="1:2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</row>
    <row r="679" spans="1:2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</row>
    <row r="680" spans="1:2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</row>
    <row r="681" spans="1:2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</row>
    <row r="682" spans="1:2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</row>
    <row r="683" spans="1:2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</row>
    <row r="684" spans="1:2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</row>
    <row r="685" spans="1:2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</row>
    <row r="686" spans="1:2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</row>
    <row r="687" spans="1:2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</row>
    <row r="688" spans="1:2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</row>
    <row r="689" spans="1:2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</row>
    <row r="690" spans="1:2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</row>
    <row r="691" spans="1:2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</row>
    <row r="692" spans="1:2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</row>
    <row r="693" spans="1:2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</row>
    <row r="694" spans="1:2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</row>
    <row r="695" spans="1:2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</row>
    <row r="696" spans="1:2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</row>
    <row r="697" spans="1:2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</row>
    <row r="698" spans="1:2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</row>
    <row r="699" spans="1:2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</row>
    <row r="700" spans="1:2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</row>
    <row r="701" spans="1:2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</row>
    <row r="702" spans="1:2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</row>
    <row r="703" spans="1:2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</row>
    <row r="704" spans="1:2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</row>
    <row r="705" spans="1:2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</row>
    <row r="706" spans="1:2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</row>
    <row r="707" spans="1:2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</row>
    <row r="708" spans="1:2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</row>
    <row r="709" spans="1:2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</row>
    <row r="710" spans="1:2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</row>
    <row r="711" spans="1:2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</row>
    <row r="712" spans="1:2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</row>
    <row r="713" spans="1:2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</row>
    <row r="714" spans="1:2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</row>
    <row r="715" spans="1:2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</row>
    <row r="716" spans="1:2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</row>
    <row r="717" spans="1:2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</row>
    <row r="718" spans="1:2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</row>
    <row r="719" spans="1:2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</row>
    <row r="720" spans="1:2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</row>
    <row r="721" spans="1:2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</row>
    <row r="722" spans="1:2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</row>
    <row r="723" spans="1:2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</row>
    <row r="724" spans="1:2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</row>
    <row r="725" spans="1:2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</row>
    <row r="726" spans="1:2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</row>
    <row r="727" spans="1:2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</row>
    <row r="728" spans="1:2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</row>
    <row r="729" spans="1:2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</row>
    <row r="730" spans="1:2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</row>
    <row r="731" spans="1:2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</row>
    <row r="732" spans="1:2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</row>
    <row r="733" spans="1:2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</row>
    <row r="734" spans="1:2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</row>
    <row r="735" spans="1:2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</row>
    <row r="736" spans="1:2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</row>
    <row r="737" spans="1:2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</row>
    <row r="738" spans="1:2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</row>
    <row r="739" spans="1:2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</row>
    <row r="740" spans="1:2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</row>
    <row r="741" spans="1:2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</row>
    <row r="742" spans="1:2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</row>
    <row r="743" spans="1:2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</row>
    <row r="744" spans="1:2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</row>
    <row r="745" spans="1:2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</row>
    <row r="746" spans="1:2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</row>
    <row r="747" spans="1:2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</row>
    <row r="748" spans="1:2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</row>
    <row r="749" spans="1:2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</row>
    <row r="750" spans="1:2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</row>
    <row r="751" spans="1:2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</row>
    <row r="752" spans="1:2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</row>
    <row r="753" spans="1:2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</row>
    <row r="754" spans="1:2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</row>
    <row r="755" spans="1:2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</row>
    <row r="756" spans="1:2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</row>
    <row r="757" spans="1:2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</row>
    <row r="758" spans="1:2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</row>
    <row r="759" spans="1:2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</row>
    <row r="760" spans="1:2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</row>
    <row r="761" spans="1:2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</row>
    <row r="762" spans="1:2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</row>
    <row r="763" spans="1:2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</row>
    <row r="764" spans="1:2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</row>
    <row r="765" spans="1:2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</row>
    <row r="766" spans="1:2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</row>
    <row r="767" spans="1:2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</row>
    <row r="768" spans="1:2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</row>
    <row r="769" spans="1:2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</row>
    <row r="770" spans="1:2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</row>
    <row r="771" spans="1:2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</row>
    <row r="772" spans="1:2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</row>
    <row r="773" spans="1:2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</row>
    <row r="774" spans="1:2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</row>
    <row r="775" spans="1:2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</row>
    <row r="776" spans="1:2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</row>
    <row r="777" spans="1:2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</row>
    <row r="778" spans="1:2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</row>
    <row r="779" spans="1:2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</row>
    <row r="780" spans="1:2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</row>
    <row r="781" spans="1:2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</row>
    <row r="782" spans="1:2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</row>
    <row r="783" spans="1:2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</row>
    <row r="784" spans="1:2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</row>
    <row r="785" spans="1:2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</row>
    <row r="786" spans="1:2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</row>
    <row r="787" spans="1:2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</row>
    <row r="788" spans="1:2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</row>
    <row r="789" spans="1:2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</row>
    <row r="790" spans="1:2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</row>
    <row r="791" spans="1:2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</row>
    <row r="792" spans="1:2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</row>
    <row r="793" spans="1:2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</row>
    <row r="794" spans="1:2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</row>
    <row r="795" spans="1:2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</row>
    <row r="796" spans="1:2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</row>
    <row r="797" spans="1:2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</row>
    <row r="798" spans="1:2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</row>
    <row r="799" spans="1:2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</row>
    <row r="800" spans="1:2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</row>
    <row r="801" spans="1:2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</row>
    <row r="802" spans="1:2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</row>
    <row r="803" spans="1:2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</row>
    <row r="804" spans="1:2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</row>
    <row r="805" spans="1:2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</row>
    <row r="806" spans="1:2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</row>
    <row r="807" spans="1:2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</row>
    <row r="808" spans="1:2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</row>
    <row r="809" spans="1:2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</row>
    <row r="810" spans="1:2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</row>
    <row r="811" spans="1:2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</row>
    <row r="812" spans="1:2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</row>
    <row r="813" spans="1:2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</row>
    <row r="814" spans="1:2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</row>
    <row r="815" spans="1:2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</row>
    <row r="816" spans="1:2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</row>
    <row r="817" spans="1:2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</row>
    <row r="818" spans="1:2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</row>
    <row r="819" spans="1:2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</row>
    <row r="820" spans="1:2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</row>
    <row r="821" spans="1:2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</row>
    <row r="822" spans="1:2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</row>
    <row r="823" spans="1:2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</row>
    <row r="824" spans="1:2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</row>
    <row r="825" spans="1:2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</row>
    <row r="826" spans="1:2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</row>
    <row r="827" spans="1:2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</row>
    <row r="828" spans="1:2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</row>
    <row r="829" spans="1:2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</row>
    <row r="830" spans="1:2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</row>
    <row r="831" spans="1:2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</row>
    <row r="832" spans="1:2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</row>
    <row r="833" spans="1:2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</row>
    <row r="834" spans="1:2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</row>
    <row r="835" spans="1:2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</row>
    <row r="836" spans="1:2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</row>
    <row r="837" spans="1:2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</row>
    <row r="838" spans="1:2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</row>
    <row r="839" spans="1:2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</row>
    <row r="840" spans="1:2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</row>
    <row r="841" spans="1:2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</row>
    <row r="842" spans="1:2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</row>
    <row r="843" spans="1:2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</row>
    <row r="844" spans="1:2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</row>
    <row r="845" spans="1:2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</row>
    <row r="846" spans="1:2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</row>
    <row r="847" spans="1:2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</row>
    <row r="848" spans="1:2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</row>
    <row r="849" spans="1:2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</row>
    <row r="850" spans="1:2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</row>
    <row r="851" spans="1:2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</row>
    <row r="852" spans="1:2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</row>
    <row r="853" spans="1:2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</row>
    <row r="854" spans="1:2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</row>
    <row r="855" spans="1:2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</row>
    <row r="856" spans="1:2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</row>
    <row r="857" spans="1:2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</row>
    <row r="858" spans="1:2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</row>
    <row r="859" spans="1:2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</row>
    <row r="860" spans="1:2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</row>
    <row r="861" spans="1:2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</row>
    <row r="862" spans="1:2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</row>
    <row r="863" spans="1:2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</row>
    <row r="864" spans="1:2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</row>
    <row r="865" spans="1:2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</row>
    <row r="866" spans="1:2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</row>
    <row r="867" spans="1:2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</row>
    <row r="868" spans="1:2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</row>
    <row r="869" spans="1:2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</row>
    <row r="870" spans="1:2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</row>
    <row r="871" spans="1:2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</row>
    <row r="872" spans="1:2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</row>
    <row r="873" spans="1:2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</row>
    <row r="874" spans="1:2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</row>
    <row r="875" spans="1:2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</row>
    <row r="876" spans="1:2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</row>
    <row r="877" spans="1:2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</row>
    <row r="878" spans="1:2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</row>
    <row r="879" spans="1:2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</row>
    <row r="880" spans="1:2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</row>
    <row r="881" spans="1:2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 s="385"/>
    </row>
    <row r="882" spans="1:2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 s="385"/>
    </row>
    <row r="883" spans="1:2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 s="385"/>
    </row>
    <row r="884" spans="1:2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</row>
    <row r="885" spans="1:2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 s="385"/>
    </row>
    <row r="886" spans="1:2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 s="385"/>
    </row>
    <row r="887" spans="1:2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 s="385"/>
    </row>
    <row r="888" spans="1:2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 s="385"/>
    </row>
    <row r="889" spans="1:2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 s="385"/>
    </row>
    <row r="890" spans="1:2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 s="385"/>
    </row>
    <row r="891" spans="1:2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 s="385"/>
    </row>
    <row r="892" spans="1:2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 s="385"/>
    </row>
    <row r="893" spans="1:2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 s="385"/>
    </row>
    <row r="894" spans="1:2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 s="385"/>
    </row>
    <row r="895" spans="1:2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 s="385"/>
    </row>
    <row r="896" spans="1:2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 s="385"/>
    </row>
    <row r="897" spans="1:2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</row>
    <row r="898" spans="1:2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</row>
    <row r="899" spans="1:2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</row>
    <row r="900" spans="1:2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</row>
    <row r="901" spans="1:2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</row>
    <row r="902" spans="1:2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</row>
    <row r="903" spans="1:2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</row>
    <row r="904" spans="1:2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</row>
    <row r="905" spans="1:2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</row>
    <row r="906" spans="1:2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</row>
    <row r="907" spans="1:2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</row>
    <row r="908" spans="1:2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</row>
    <row r="909" spans="1:2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</row>
    <row r="910" spans="1:2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</row>
    <row r="911" spans="1:2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</row>
    <row r="912" spans="1:2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</row>
    <row r="913" spans="1:2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</row>
    <row r="914" spans="1:2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</row>
    <row r="915" spans="1:2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</row>
    <row r="916" spans="1:2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</row>
    <row r="917" spans="1:2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</row>
    <row r="918" spans="1:2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</row>
    <row r="919" spans="1:2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</row>
    <row r="920" spans="1:2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</row>
    <row r="921" spans="1:2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</row>
    <row r="922" spans="1:2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</row>
    <row r="923" spans="1:2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</row>
    <row r="924" spans="1:2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</row>
    <row r="925" spans="1:2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</row>
    <row r="926" spans="1:2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</row>
    <row r="927" spans="1:2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</row>
    <row r="928" spans="1:2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1:2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1:2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1:2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1:2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1:2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1:2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1:2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1:2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1:2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1:2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1:2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1:2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1:2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1:2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</row>
    <row r="943" spans="1:2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</row>
    <row r="944" spans="1:2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</row>
    <row r="945" spans="1:2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</row>
    <row r="946" spans="1:2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</row>
    <row r="947" spans="1:2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</row>
    <row r="948" spans="1:2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</row>
    <row r="949" spans="1:2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</row>
    <row r="950" spans="1:2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</row>
    <row r="951" spans="1:2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</row>
    <row r="952" spans="1:2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</row>
    <row r="953" spans="1:2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</row>
    <row r="954" spans="1:2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</row>
    <row r="955" spans="1:2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</row>
    <row r="956" spans="1:2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</row>
    <row r="957" spans="1:2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</row>
    <row r="958" spans="1:2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</row>
    <row r="959" spans="1:2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</row>
    <row r="960" spans="1:2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</row>
    <row r="961" spans="1:2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</row>
    <row r="962" spans="1:2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</row>
    <row r="963" spans="1:2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</row>
    <row r="964" spans="1:2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</row>
    <row r="965" spans="1:2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</row>
    <row r="966" spans="1:2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</row>
    <row r="967" spans="1:2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</row>
    <row r="968" spans="1:2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</row>
    <row r="969" spans="1:2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</row>
    <row r="970" spans="1:2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</row>
    <row r="971" spans="1:2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</row>
    <row r="972" spans="1:2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</row>
    <row r="973" spans="1:2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</row>
    <row r="974" spans="1:2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</row>
    <row r="975" spans="1:2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</row>
    <row r="976" spans="1:2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</row>
    <row r="977" spans="1:2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</row>
    <row r="978" spans="1:2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</row>
    <row r="979" spans="1:2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</row>
    <row r="980" spans="1:2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</row>
    <row r="981" spans="1:2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</row>
    <row r="982" spans="1:2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</row>
    <row r="983" spans="1:2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</row>
    <row r="984" spans="1:2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</row>
    <row r="985" spans="1:2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</row>
    <row r="986" spans="1:2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</row>
    <row r="987" spans="1:2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</row>
    <row r="988" spans="1:2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</row>
    <row r="989" spans="1:2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</row>
    <row r="990" spans="1:2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</row>
    <row r="991" spans="1:2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</row>
    <row r="992" spans="1:2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</row>
    <row r="993" spans="1:2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</row>
    <row r="994" spans="1:2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</row>
    <row r="995" spans="1:2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</row>
    <row r="996" spans="1:2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</row>
    <row r="997" spans="1:2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</row>
    <row r="998" spans="1:2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</row>
    <row r="999" spans="1:2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</row>
    <row r="1000" spans="1:2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</row>
    <row r="1001" spans="1:2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</row>
    <row r="1002" spans="1:2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</row>
    <row r="1003" spans="1:2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</row>
    <row r="1004" spans="1:2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</row>
    <row r="1005" spans="1:2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</row>
    <row r="1006" spans="1:2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</row>
    <row r="1007" spans="1:2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</row>
    <row r="1008" spans="1:2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</row>
    <row r="1009" spans="1:2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</row>
    <row r="1010" spans="1:2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</row>
    <row r="1011" spans="1:2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</row>
    <row r="1012" spans="1:2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</row>
    <row r="1013" spans="1:2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</row>
    <row r="1014" spans="1:2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</row>
    <row r="1015" spans="1:2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</row>
    <row r="1016" spans="1:2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</row>
    <row r="1017" spans="1:2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</row>
    <row r="1018" spans="1:2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</row>
    <row r="1019" spans="1:2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</row>
    <row r="1020" spans="1:2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</row>
    <row r="1021" spans="1:2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</row>
    <row r="1022" spans="1:2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</row>
    <row r="1023" spans="1:2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</row>
    <row r="1024" spans="1:2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</row>
    <row r="1025" spans="1:2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</row>
    <row r="1026" spans="1:2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</row>
    <row r="1027" spans="1:2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</row>
    <row r="1028" spans="1:2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</row>
    <row r="1029" spans="1:2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</row>
    <row r="1030" spans="1:2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</row>
    <row r="1031" spans="1:2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</row>
    <row r="1032" spans="1:2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</row>
    <row r="1033" spans="1:2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</row>
    <row r="1034" spans="1:2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</row>
    <row r="1035" spans="1:2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</row>
    <row r="1036" spans="1:2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</row>
    <row r="1037" spans="1:2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</row>
    <row r="1038" spans="1:2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</row>
    <row r="1039" spans="1:2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</row>
    <row r="1040" spans="1:2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</row>
    <row r="1041" spans="1:2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</row>
    <row r="1042" spans="1:2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</row>
    <row r="1043" spans="1:2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</row>
    <row r="1044" spans="1:2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</row>
    <row r="1045" spans="1:2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</row>
    <row r="1046" spans="1:2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</row>
    <row r="1047" spans="1:2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</row>
    <row r="1048" spans="1:2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</row>
    <row r="1049" spans="1:2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</row>
    <row r="1050" spans="1:2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</row>
    <row r="1051" spans="1:2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</row>
    <row r="1052" spans="1:2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</row>
    <row r="1053" spans="1:2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</row>
    <row r="1054" spans="1:2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</row>
  </sheetData>
  <sortState xmlns:xlrd2="http://schemas.microsoft.com/office/spreadsheetml/2017/richdata2" ref="A7:W81">
    <sortCondition ref="F7"/>
    <sortCondition ref="G7"/>
    <sortCondition ref="J7"/>
  </sortState>
  <dataConsolidate link="1"/>
  <mergeCells count="38">
    <mergeCell ref="P1:P3"/>
    <mergeCell ref="Q1:Q3"/>
    <mergeCell ref="O4:O5"/>
    <mergeCell ref="V1:V3"/>
    <mergeCell ref="W1:W3"/>
    <mergeCell ref="T1:T3"/>
    <mergeCell ref="U1:U3"/>
    <mergeCell ref="U4:U5"/>
    <mergeCell ref="V4:V5"/>
    <mergeCell ref="W4:W5"/>
    <mergeCell ref="P4:P5"/>
    <mergeCell ref="Q4:Q5"/>
    <mergeCell ref="R4:R5"/>
    <mergeCell ref="S4:S5"/>
    <mergeCell ref="T4:T5"/>
    <mergeCell ref="O1:O3"/>
    <mergeCell ref="R1:R3"/>
    <mergeCell ref="S1:S3"/>
    <mergeCell ref="A4:B4"/>
    <mergeCell ref="C4:C5"/>
    <mergeCell ref="D4:D5"/>
    <mergeCell ref="E4:E5"/>
    <mergeCell ref="A1:B3"/>
    <mergeCell ref="C1:F1"/>
    <mergeCell ref="M4:M5"/>
    <mergeCell ref="N4:N5"/>
    <mergeCell ref="C2:E2"/>
    <mergeCell ref="G2:L2"/>
    <mergeCell ref="M2:M3"/>
    <mergeCell ref="D3:E3"/>
    <mergeCell ref="F4:F5"/>
    <mergeCell ref="G4:G5"/>
    <mergeCell ref="H4:J4"/>
    <mergeCell ref="K4:L5"/>
    <mergeCell ref="N1:N3"/>
    <mergeCell ref="G3:L3"/>
    <mergeCell ref="G1:J1"/>
    <mergeCell ref="K1:M1"/>
  </mergeCells>
  <phoneticPr fontId="10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orientation="landscape" blackAndWhite="1" horizontalDpi="360" verticalDpi="360" r:id="rId1"/>
  <headerFooter alignWithMargins="0">
    <oddHeader>&amp;RLeht &amp;P / Lehti &amp;N</oddHeader>
    <oddFooter>&amp;L&amp;F&amp;R&amp;T -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ht3">
    <pageSetUpPr fitToPage="1"/>
  </sheetPr>
  <dimension ref="A1:Y662"/>
  <sheetViews>
    <sheetView topLeftCell="A14" workbookViewId="0">
      <selection activeCell="H40" sqref="H40:H58"/>
    </sheetView>
  </sheetViews>
  <sheetFormatPr defaultColWidth="9.140625" defaultRowHeight="16.350000000000001"/>
  <cols>
    <col min="1" max="1" width="6.140625" style="3" customWidth="1"/>
    <col min="2" max="2" width="9.140625" style="3" bestFit="1" customWidth="1"/>
    <col min="3" max="3" width="10.42578125" style="5" customWidth="1"/>
    <col min="4" max="4" width="16.7109375" style="4" bestFit="1" customWidth="1"/>
    <col min="5" max="5" width="10.85546875" style="8" customWidth="1"/>
    <col min="6" max="6" width="29.28515625" style="5" customWidth="1"/>
    <col min="7" max="7" width="13.28515625" style="5" customWidth="1"/>
    <col min="8" max="8" width="10.42578125" style="6" bestFit="1" customWidth="1"/>
    <col min="9" max="9" width="1.7109375" style="5" customWidth="1"/>
    <col min="10" max="10" width="8" style="6" customWidth="1"/>
    <col min="11" max="11" width="5.140625" style="6" hidden="1" customWidth="1"/>
    <col min="12" max="12" width="13" style="3" customWidth="1"/>
    <col min="13" max="13" width="18.42578125" style="5" customWidth="1"/>
    <col min="14" max="14" width="10.5703125" style="5" customWidth="1"/>
    <col min="15" max="16" width="3.5703125" style="5" customWidth="1"/>
    <col min="17" max="17" width="16" style="5" bestFit="1" customWidth="1"/>
    <col min="18" max="18" width="8" style="5" bestFit="1" customWidth="1"/>
    <col min="19" max="22" width="3.5703125" style="5" customWidth="1"/>
    <col min="23" max="23" width="16" style="5" bestFit="1" customWidth="1"/>
    <col min="24" max="24" width="14.7109375" style="7" customWidth="1"/>
    <col min="25" max="16384" width="9.140625" style="7"/>
  </cols>
  <sheetData>
    <row r="1" spans="1:25" ht="39.200000000000003" customHeight="1">
      <c r="A1" s="450" t="s">
        <v>206</v>
      </c>
      <c r="B1" s="451"/>
      <c r="C1" s="456" t="s">
        <v>172</v>
      </c>
      <c r="D1" s="456"/>
      <c r="E1" s="456"/>
      <c r="F1" s="456"/>
      <c r="G1" s="444" t="e">
        <f>Number</f>
        <v>#REF!</v>
      </c>
      <c r="H1" s="444"/>
      <c r="I1" s="444"/>
      <c r="J1" s="444"/>
      <c r="K1" s="444" t="s">
        <v>207</v>
      </c>
      <c r="L1" s="444"/>
      <c r="M1" s="444"/>
      <c r="N1" s="439" t="s">
        <v>174</v>
      </c>
      <c r="O1" s="439" t="s">
        <v>174</v>
      </c>
      <c r="P1" s="439" t="s">
        <v>174</v>
      </c>
      <c r="Q1" s="439" t="s">
        <v>174</v>
      </c>
      <c r="R1" s="439" t="s">
        <v>174</v>
      </c>
      <c r="S1" s="439" t="s">
        <v>174</v>
      </c>
      <c r="T1" s="439" t="s">
        <v>174</v>
      </c>
      <c r="U1" s="439" t="s">
        <v>174</v>
      </c>
      <c r="V1" s="462" t="s">
        <v>174</v>
      </c>
      <c r="W1" s="465"/>
      <c r="X1" s="25"/>
      <c r="Y1" s="25"/>
    </row>
    <row r="2" spans="1:25" ht="15.75" customHeight="1">
      <c r="A2" s="452"/>
      <c r="B2" s="453"/>
      <c r="C2" s="458" t="e">
        <f>Kuupäev</f>
        <v>#REF!</v>
      </c>
      <c r="D2" s="458"/>
      <c r="E2" s="458"/>
      <c r="F2" s="386" t="s">
        <v>175</v>
      </c>
      <c r="G2" s="459" t="e">
        <f>Tellija</f>
        <v>#REF!</v>
      </c>
      <c r="H2" s="459"/>
      <c r="I2" s="459"/>
      <c r="J2" s="459"/>
      <c r="K2" s="459"/>
      <c r="L2" s="459"/>
      <c r="M2" s="460" t="s">
        <v>176</v>
      </c>
      <c r="N2" s="440"/>
      <c r="O2" s="440"/>
      <c r="P2" s="440"/>
      <c r="Q2" s="440"/>
      <c r="R2" s="440"/>
      <c r="S2" s="440"/>
      <c r="T2" s="440"/>
      <c r="U2" s="440"/>
      <c r="V2" s="463"/>
      <c r="W2" s="465"/>
      <c r="X2" s="25"/>
      <c r="Y2" s="25"/>
    </row>
    <row r="3" spans="1:25">
      <c r="A3" s="454"/>
      <c r="B3" s="455"/>
      <c r="C3" s="386" t="s">
        <v>177</v>
      </c>
      <c r="D3" s="461" t="e">
        <f>Tehnoloog</f>
        <v>#REF!</v>
      </c>
      <c r="E3" s="461"/>
      <c r="F3" s="386" t="s">
        <v>178</v>
      </c>
      <c r="G3" s="442" t="e">
        <f>Toode</f>
        <v>#REF!</v>
      </c>
      <c r="H3" s="443"/>
      <c r="I3" s="443"/>
      <c r="J3" s="443"/>
      <c r="K3" s="443"/>
      <c r="L3" s="443"/>
      <c r="M3" s="460"/>
      <c r="N3" s="441"/>
      <c r="O3" s="441"/>
      <c r="P3" s="441"/>
      <c r="Q3" s="441"/>
      <c r="R3" s="441"/>
      <c r="S3" s="441"/>
      <c r="T3" s="441"/>
      <c r="U3" s="441"/>
      <c r="V3" s="464"/>
      <c r="W3" s="465"/>
      <c r="X3" s="25"/>
      <c r="Y3" s="25"/>
    </row>
    <row r="4" spans="1:25">
      <c r="A4" s="445" t="s">
        <v>179</v>
      </c>
      <c r="B4" s="445"/>
      <c r="C4" s="434" t="s">
        <v>180</v>
      </c>
      <c r="D4" s="446" t="s">
        <v>181</v>
      </c>
      <c r="E4" s="448" t="s">
        <v>182</v>
      </c>
      <c r="F4" s="434" t="s">
        <v>183</v>
      </c>
      <c r="G4" s="434" t="s">
        <v>184</v>
      </c>
      <c r="H4" s="434" t="s">
        <v>185</v>
      </c>
      <c r="I4" s="434"/>
      <c r="J4" s="434"/>
      <c r="K4" s="435" t="s">
        <v>186</v>
      </c>
      <c r="L4" s="436"/>
      <c r="M4" s="434"/>
      <c r="N4" s="434" t="s">
        <v>187</v>
      </c>
      <c r="O4" s="434" t="s">
        <v>188</v>
      </c>
      <c r="P4" s="434" t="s">
        <v>189</v>
      </c>
      <c r="Q4" s="434" t="s">
        <v>190</v>
      </c>
      <c r="R4" s="434" t="s">
        <v>191</v>
      </c>
      <c r="S4" s="434" t="s">
        <v>192</v>
      </c>
      <c r="T4" s="434" t="s">
        <v>193</v>
      </c>
      <c r="U4" s="434" t="s">
        <v>194</v>
      </c>
      <c r="V4" s="466" t="s">
        <v>195</v>
      </c>
      <c r="W4" s="467"/>
      <c r="X4" s="25"/>
      <c r="Y4" s="25"/>
    </row>
    <row r="5" spans="1:25">
      <c r="A5" s="1" t="s">
        <v>197</v>
      </c>
      <c r="B5" s="1" t="s">
        <v>198</v>
      </c>
      <c r="C5" s="434"/>
      <c r="D5" s="447"/>
      <c r="E5" s="449"/>
      <c r="F5" s="434"/>
      <c r="G5" s="434"/>
      <c r="H5" s="1" t="s">
        <v>199</v>
      </c>
      <c r="I5" s="2"/>
      <c r="J5" s="1" t="s">
        <v>200</v>
      </c>
      <c r="K5" s="437"/>
      <c r="L5" s="438"/>
      <c r="M5" s="434"/>
      <c r="N5" s="434"/>
      <c r="O5" s="434"/>
      <c r="P5" s="434"/>
      <c r="Q5" s="434"/>
      <c r="R5" s="434"/>
      <c r="S5" s="434"/>
      <c r="T5" s="434"/>
      <c r="U5" s="434"/>
      <c r="V5" s="466"/>
      <c r="W5" s="467"/>
      <c r="X5" s="25"/>
      <c r="Y5" s="25"/>
    </row>
    <row r="6" spans="1:25" customFormat="1" ht="14.25"/>
    <row r="7" spans="1:25" customFormat="1" ht="14.25">
      <c r="B7" s="22">
        <v>291.2</v>
      </c>
      <c r="C7" s="21" t="s">
        <v>174</v>
      </c>
      <c r="D7" s="21" t="s">
        <v>100</v>
      </c>
      <c r="E7" s="21" t="s">
        <v>174</v>
      </c>
      <c r="F7" s="21" t="s">
        <v>165</v>
      </c>
      <c r="G7" s="21" t="s">
        <v>107</v>
      </c>
      <c r="H7" s="20">
        <v>168.3</v>
      </c>
      <c r="J7" s="20">
        <v>1000</v>
      </c>
      <c r="L7" s="20">
        <v>16</v>
      </c>
      <c r="M7" s="19">
        <v>8.4640000000000004</v>
      </c>
      <c r="P7" t="s">
        <v>104</v>
      </c>
      <c r="Q7">
        <v>8</v>
      </c>
    </row>
    <row r="8" spans="1:25" customFormat="1" ht="14.25">
      <c r="B8" s="22">
        <v>60.254999999999995</v>
      </c>
      <c r="C8" s="21" t="s">
        <v>174</v>
      </c>
      <c r="D8" s="21" t="s">
        <v>119</v>
      </c>
      <c r="E8" s="21" t="s">
        <v>174</v>
      </c>
      <c r="F8" s="21" t="s">
        <v>208</v>
      </c>
      <c r="G8" s="21" t="s">
        <v>107</v>
      </c>
      <c r="H8" s="20">
        <v>42.4</v>
      </c>
      <c r="J8" s="20">
        <v>250</v>
      </c>
      <c r="L8" s="20">
        <v>78</v>
      </c>
      <c r="M8" s="19">
        <v>0</v>
      </c>
      <c r="P8" t="s">
        <v>104</v>
      </c>
    </row>
    <row r="9" spans="1:25" customFormat="1" ht="14.25">
      <c r="B9" s="374">
        <v>2855.3199999999997</v>
      </c>
      <c r="C9" s="21" t="s">
        <v>158</v>
      </c>
      <c r="D9" s="21" t="s">
        <v>100</v>
      </c>
      <c r="E9" s="21" t="s">
        <v>174</v>
      </c>
      <c r="F9" s="328" t="s">
        <v>106</v>
      </c>
      <c r="G9" s="328" t="s">
        <v>107</v>
      </c>
      <c r="H9" s="329">
        <v>100</v>
      </c>
      <c r="I9" s="35"/>
      <c r="J9" s="329">
        <v>1615</v>
      </c>
      <c r="K9" s="35"/>
      <c r="L9" s="329">
        <v>104</v>
      </c>
      <c r="M9" s="330">
        <v>63.656840000000003</v>
      </c>
      <c r="P9" t="s">
        <v>104</v>
      </c>
    </row>
    <row r="10" spans="1:25" customFormat="1" ht="14.25">
      <c r="B10" s="22">
        <v>768.40000000000009</v>
      </c>
      <c r="C10" s="21" t="s">
        <v>174</v>
      </c>
      <c r="D10" s="21" t="s">
        <v>100</v>
      </c>
      <c r="E10" s="21" t="s">
        <v>174</v>
      </c>
      <c r="F10" s="328" t="s">
        <v>106</v>
      </c>
      <c r="G10" s="328" t="s">
        <v>107</v>
      </c>
      <c r="H10" s="329">
        <v>100</v>
      </c>
      <c r="I10" s="35"/>
      <c r="J10" s="329">
        <v>2260</v>
      </c>
      <c r="K10" s="35"/>
      <c r="L10" s="329">
        <v>20</v>
      </c>
      <c r="M10" s="330">
        <v>17.130800000000001</v>
      </c>
      <c r="P10" t="s">
        <v>104</v>
      </c>
      <c r="Q10">
        <v>8</v>
      </c>
      <c r="W10">
        <v>964978</v>
      </c>
      <c r="X10">
        <v>996000</v>
      </c>
      <c r="Y10">
        <f>X10/W10</f>
        <v>1.0321478831641757</v>
      </c>
    </row>
    <row r="11" spans="1:25" customFormat="1" ht="14.25">
      <c r="B11" s="374">
        <v>601.42600000000004</v>
      </c>
      <c r="C11" s="21" t="s">
        <v>105</v>
      </c>
      <c r="D11" s="21" t="s">
        <v>100</v>
      </c>
      <c r="E11" s="21" t="s">
        <v>174</v>
      </c>
      <c r="F11" s="328" t="s">
        <v>106</v>
      </c>
      <c r="G11" s="328" t="s">
        <v>107</v>
      </c>
      <c r="H11" s="329">
        <v>100</v>
      </c>
      <c r="I11" s="35"/>
      <c r="J11" s="329">
        <v>2527</v>
      </c>
      <c r="K11" s="35"/>
      <c r="L11" s="329">
        <v>14</v>
      </c>
      <c r="M11" s="330">
        <v>13.408262000000001</v>
      </c>
      <c r="P11" t="s">
        <v>104</v>
      </c>
      <c r="Q11">
        <v>8</v>
      </c>
    </row>
    <row r="12" spans="1:25" customFormat="1" ht="14.25">
      <c r="B12" s="22">
        <v>708.56</v>
      </c>
      <c r="C12" s="21" t="s">
        <v>174</v>
      </c>
      <c r="D12" s="21" t="s">
        <v>100</v>
      </c>
      <c r="E12" s="21" t="s">
        <v>174</v>
      </c>
      <c r="F12" s="328" t="s">
        <v>106</v>
      </c>
      <c r="G12" s="328" t="s">
        <v>107</v>
      </c>
      <c r="H12" s="329">
        <v>100</v>
      </c>
      <c r="I12" s="35"/>
      <c r="J12" s="329">
        <v>2605</v>
      </c>
      <c r="K12" s="35"/>
      <c r="L12" s="329">
        <v>16</v>
      </c>
      <c r="M12" s="330">
        <v>15.796719999999999</v>
      </c>
      <c r="P12" t="s">
        <v>104</v>
      </c>
      <c r="Q12">
        <v>8</v>
      </c>
    </row>
    <row r="13" spans="1:25" customFormat="1" ht="14.25">
      <c r="B13" s="374">
        <v>5861.5999999999995</v>
      </c>
      <c r="C13" s="21" t="s">
        <v>153</v>
      </c>
      <c r="D13" s="21" t="s">
        <v>100</v>
      </c>
      <c r="E13" s="21" t="s">
        <v>174</v>
      </c>
      <c r="F13" s="328" t="s">
        <v>106</v>
      </c>
      <c r="G13" s="328" t="s">
        <v>107</v>
      </c>
      <c r="H13" s="329">
        <v>100</v>
      </c>
      <c r="I13" s="35"/>
      <c r="J13" s="329">
        <v>4310</v>
      </c>
      <c r="K13" s="35"/>
      <c r="L13" s="329">
        <v>80</v>
      </c>
      <c r="M13" s="330">
        <v>130.67920000000001</v>
      </c>
      <c r="P13" t="s">
        <v>104</v>
      </c>
    </row>
    <row r="14" spans="1:25" customFormat="1" ht="14.25">
      <c r="B14" s="374">
        <v>5609.3200000000006</v>
      </c>
      <c r="C14" s="21" t="s">
        <v>158</v>
      </c>
      <c r="D14" s="21" t="s">
        <v>100</v>
      </c>
      <c r="E14" s="21" t="s">
        <v>174</v>
      </c>
      <c r="F14" s="328" t="s">
        <v>106</v>
      </c>
      <c r="G14" s="328" t="s">
        <v>107</v>
      </c>
      <c r="H14" s="329">
        <v>100</v>
      </c>
      <c r="I14" s="35"/>
      <c r="J14" s="329">
        <v>4520</v>
      </c>
      <c r="K14" s="35"/>
      <c r="L14" s="329">
        <v>73</v>
      </c>
      <c r="M14" s="330">
        <v>125.05484</v>
      </c>
      <c r="P14" t="s">
        <v>104</v>
      </c>
      <c r="Q14">
        <v>8</v>
      </c>
    </row>
    <row r="15" spans="1:25" customFormat="1" ht="14.25">
      <c r="B15" s="374">
        <v>160.59</v>
      </c>
      <c r="C15" s="21" t="s">
        <v>153</v>
      </c>
      <c r="D15" s="21" t="s">
        <v>100</v>
      </c>
      <c r="E15" s="21" t="s">
        <v>174</v>
      </c>
      <c r="F15" s="21" t="s">
        <v>6</v>
      </c>
      <c r="G15" s="21" t="s">
        <v>107</v>
      </c>
      <c r="H15" s="20">
        <v>120</v>
      </c>
      <c r="J15" s="20">
        <v>5050</v>
      </c>
      <c r="L15" s="20">
        <v>1</v>
      </c>
      <c r="M15" s="19">
        <v>2.2068499999999998</v>
      </c>
      <c r="P15" t="s">
        <v>104</v>
      </c>
    </row>
    <row r="16" spans="1:25" customFormat="1" ht="14.25">
      <c r="B16" s="374">
        <v>1934.5920000000001</v>
      </c>
      <c r="C16" s="21" t="s">
        <v>153</v>
      </c>
      <c r="D16" s="21" t="s">
        <v>100</v>
      </c>
      <c r="E16" s="21" t="s">
        <v>174</v>
      </c>
      <c r="F16" s="21" t="s">
        <v>154</v>
      </c>
      <c r="G16" s="21" t="s">
        <v>107</v>
      </c>
      <c r="H16" s="20">
        <v>120</v>
      </c>
      <c r="J16" s="20">
        <v>9160</v>
      </c>
      <c r="L16" s="20">
        <v>8</v>
      </c>
      <c r="M16" s="19">
        <v>32.682880000000004</v>
      </c>
      <c r="P16" t="s">
        <v>104</v>
      </c>
    </row>
    <row r="17" spans="2:25" customFormat="1" ht="14.25">
      <c r="B17" s="374">
        <v>66.727500000000006</v>
      </c>
      <c r="C17" s="21" t="s">
        <v>105</v>
      </c>
      <c r="D17" s="21" t="s">
        <v>100</v>
      </c>
      <c r="E17" s="21" t="s">
        <v>174</v>
      </c>
      <c r="F17" s="21" t="s">
        <v>116</v>
      </c>
      <c r="G17" s="21" t="s">
        <v>107</v>
      </c>
      <c r="H17" s="20">
        <v>150</v>
      </c>
      <c r="J17" s="20">
        <v>3075</v>
      </c>
      <c r="L17" s="20">
        <v>1</v>
      </c>
      <c r="M17" s="19">
        <v>1.472925</v>
      </c>
      <c r="P17" t="s">
        <v>104</v>
      </c>
      <c r="Q17">
        <v>4</v>
      </c>
    </row>
    <row r="18" spans="2:25" customFormat="1" ht="14.25">
      <c r="B18" s="374">
        <v>342.86</v>
      </c>
      <c r="C18" s="21" t="s">
        <v>158</v>
      </c>
      <c r="D18" s="21" t="s">
        <v>100</v>
      </c>
      <c r="E18" s="21" t="s">
        <v>174</v>
      </c>
      <c r="F18" s="21" t="s">
        <v>116</v>
      </c>
      <c r="G18" s="21" t="s">
        <v>107</v>
      </c>
      <c r="H18" s="20">
        <v>150</v>
      </c>
      <c r="J18" s="20">
        <v>3160</v>
      </c>
      <c r="L18" s="20">
        <v>5</v>
      </c>
      <c r="M18" s="19">
        <v>7.5681999999999992</v>
      </c>
      <c r="P18" t="s">
        <v>104</v>
      </c>
    </row>
    <row r="19" spans="2:25" customFormat="1" ht="14.25">
      <c r="B19" s="374">
        <v>2555.52</v>
      </c>
      <c r="C19" s="21" t="s">
        <v>153</v>
      </c>
      <c r="D19" s="21" t="s">
        <v>100</v>
      </c>
      <c r="E19" s="21" t="s">
        <v>174</v>
      </c>
      <c r="F19" s="21" t="s">
        <v>156</v>
      </c>
      <c r="G19" s="21" t="s">
        <v>107</v>
      </c>
      <c r="H19" s="20">
        <v>150</v>
      </c>
      <c r="J19" s="20">
        <v>4400</v>
      </c>
      <c r="L19" s="20">
        <v>22</v>
      </c>
      <c r="M19" s="19">
        <v>56.047199999999997</v>
      </c>
      <c r="P19" t="s">
        <v>104</v>
      </c>
    </row>
    <row r="20" spans="2:25" customFormat="1" ht="14.25">
      <c r="B20" s="374">
        <v>916.98</v>
      </c>
      <c r="C20" s="21" t="s">
        <v>105</v>
      </c>
      <c r="D20" s="21" t="s">
        <v>100</v>
      </c>
      <c r="E20" s="21" t="s">
        <v>174</v>
      </c>
      <c r="F20" s="21" t="s">
        <v>118</v>
      </c>
      <c r="G20" s="21" t="s">
        <v>107</v>
      </c>
      <c r="H20" s="20">
        <v>150</v>
      </c>
      <c r="J20" s="20">
        <v>4495</v>
      </c>
      <c r="L20" s="20">
        <v>6</v>
      </c>
      <c r="M20" s="19">
        <v>15.265019999999996</v>
      </c>
      <c r="P20" t="s">
        <v>104</v>
      </c>
      <c r="Q20">
        <v>8</v>
      </c>
    </row>
    <row r="21" spans="2:25" customFormat="1" ht="14.25">
      <c r="B21" s="374">
        <v>3113.89</v>
      </c>
      <c r="C21" s="21" t="s">
        <v>105</v>
      </c>
      <c r="D21" s="21" t="s">
        <v>100</v>
      </c>
      <c r="E21" s="21" t="s">
        <v>174</v>
      </c>
      <c r="F21" s="21" t="s">
        <v>118</v>
      </c>
      <c r="G21" s="21" t="s">
        <v>107</v>
      </c>
      <c r="H21" s="20">
        <v>150</v>
      </c>
      <c r="J21" s="20">
        <v>7045</v>
      </c>
      <c r="L21" s="20">
        <v>13</v>
      </c>
      <c r="M21" s="19">
        <v>51.837110000000003</v>
      </c>
      <c r="P21" t="s">
        <v>104</v>
      </c>
      <c r="Q21">
        <v>8</v>
      </c>
    </row>
    <row r="22" spans="2:25" customFormat="1" ht="14.25">
      <c r="B22" s="374">
        <v>5490.81</v>
      </c>
      <c r="C22" s="21" t="s">
        <v>105</v>
      </c>
      <c r="D22" s="21" t="s">
        <v>100</v>
      </c>
      <c r="E22" s="21" t="s">
        <v>174</v>
      </c>
      <c r="F22" s="21" t="s">
        <v>128</v>
      </c>
      <c r="G22" s="21" t="s">
        <v>107</v>
      </c>
      <c r="H22" s="20">
        <v>180</v>
      </c>
      <c r="J22" s="20">
        <v>5415</v>
      </c>
      <c r="L22" s="20">
        <v>20</v>
      </c>
      <c r="M22" s="19">
        <v>73.319100000000006</v>
      </c>
      <c r="P22" t="s">
        <v>104</v>
      </c>
    </row>
    <row r="23" spans="2:25" customFormat="1" ht="14.25">
      <c r="B23" s="374">
        <v>2191.1999999999998</v>
      </c>
      <c r="C23" s="21" t="s">
        <v>105</v>
      </c>
      <c r="D23" s="21" t="s">
        <v>100</v>
      </c>
      <c r="E23" s="21" t="s">
        <v>174</v>
      </c>
      <c r="F23" s="21" t="s">
        <v>129</v>
      </c>
      <c r="G23" s="21" t="s">
        <v>107</v>
      </c>
      <c r="H23" s="20">
        <v>180</v>
      </c>
      <c r="J23" s="20">
        <v>6600</v>
      </c>
      <c r="L23" s="20">
        <v>8</v>
      </c>
      <c r="M23" s="19">
        <v>36.220800000000004</v>
      </c>
      <c r="P23" t="s">
        <v>104</v>
      </c>
    </row>
    <row r="24" spans="2:25" customFormat="1" ht="14.25">
      <c r="B24" s="22">
        <v>103.896</v>
      </c>
      <c r="C24" s="21" t="s">
        <v>174</v>
      </c>
      <c r="D24" s="21" t="s">
        <v>109</v>
      </c>
      <c r="E24" s="21" t="s">
        <v>174</v>
      </c>
      <c r="F24" s="21" t="s">
        <v>167</v>
      </c>
      <c r="G24" s="21" t="s">
        <v>107</v>
      </c>
      <c r="H24" s="20">
        <v>30</v>
      </c>
      <c r="J24" s="20">
        <v>260</v>
      </c>
      <c r="L24" s="20">
        <v>72</v>
      </c>
      <c r="M24" s="19">
        <v>7.0948799999999999</v>
      </c>
      <c r="P24" t="s">
        <v>104</v>
      </c>
      <c r="Q24">
        <v>8</v>
      </c>
    </row>
    <row r="25" spans="2:25" customFormat="1" ht="14.25">
      <c r="B25" s="22">
        <v>2193.8040000000001</v>
      </c>
      <c r="C25" s="21" t="s">
        <v>174</v>
      </c>
      <c r="D25" s="21" t="s">
        <v>100</v>
      </c>
      <c r="E25" s="21" t="s">
        <v>174</v>
      </c>
      <c r="F25" s="21" t="s">
        <v>167</v>
      </c>
      <c r="G25" s="21" t="s">
        <v>107</v>
      </c>
      <c r="H25" s="20">
        <v>30</v>
      </c>
      <c r="J25" s="20">
        <v>5490</v>
      </c>
      <c r="L25" s="20">
        <v>72</v>
      </c>
      <c r="M25" s="19">
        <v>149.81111999999999</v>
      </c>
      <c r="P25" t="s">
        <v>104</v>
      </c>
      <c r="Q25">
        <v>8</v>
      </c>
    </row>
    <row r="26" spans="2:25" customFormat="1" ht="14.25">
      <c r="B26" s="374">
        <v>6793.28</v>
      </c>
      <c r="C26" s="21" t="s">
        <v>147</v>
      </c>
      <c r="D26" s="21" t="s">
        <v>109</v>
      </c>
      <c r="E26" s="21" t="s">
        <v>174</v>
      </c>
      <c r="F26" s="328" t="s">
        <v>148</v>
      </c>
      <c r="G26" s="328" t="s">
        <v>111</v>
      </c>
      <c r="H26" s="329">
        <v>310</v>
      </c>
      <c r="I26" s="35"/>
      <c r="J26" s="329">
        <v>2990</v>
      </c>
      <c r="L26" s="20">
        <v>16</v>
      </c>
      <c r="M26" s="19">
        <v>88.504000000000005</v>
      </c>
      <c r="P26" t="s">
        <v>104</v>
      </c>
      <c r="Q26">
        <v>8</v>
      </c>
      <c r="W26">
        <v>238240</v>
      </c>
      <c r="X26">
        <v>240000</v>
      </c>
      <c r="Y26">
        <f>X26/W26</f>
        <v>1.007387508394896</v>
      </c>
    </row>
    <row r="27" spans="2:25" customFormat="1" ht="14.25">
      <c r="B27" s="374">
        <v>27036.799999999999</v>
      </c>
      <c r="C27" s="21" t="s">
        <v>147</v>
      </c>
      <c r="D27" s="21" t="s">
        <v>100</v>
      </c>
      <c r="E27" s="21" t="s">
        <v>174</v>
      </c>
      <c r="F27" s="328" t="s">
        <v>148</v>
      </c>
      <c r="G27" s="328" t="s">
        <v>111</v>
      </c>
      <c r="H27" s="329">
        <v>360</v>
      </c>
      <c r="I27" s="35"/>
      <c r="J27" s="329">
        <v>11900</v>
      </c>
      <c r="L27" s="20">
        <v>16</v>
      </c>
      <c r="M27" s="19">
        <v>352.24</v>
      </c>
      <c r="P27" t="s">
        <v>104</v>
      </c>
      <c r="Q27">
        <v>8</v>
      </c>
    </row>
    <row r="28" spans="2:25" customFormat="1" ht="14.25">
      <c r="B28" s="22">
        <v>195.52</v>
      </c>
      <c r="C28" s="21" t="s">
        <v>174</v>
      </c>
      <c r="D28" s="21" t="s">
        <v>100</v>
      </c>
      <c r="E28" s="21" t="s">
        <v>174</v>
      </c>
      <c r="F28" s="21" t="s">
        <v>162</v>
      </c>
      <c r="G28" s="21" t="s">
        <v>111</v>
      </c>
      <c r="H28" s="20">
        <v>120</v>
      </c>
      <c r="J28" s="20">
        <v>4700</v>
      </c>
      <c r="L28" s="20">
        <v>4</v>
      </c>
      <c r="M28" s="19">
        <v>9.4</v>
      </c>
      <c r="P28" t="s">
        <v>104</v>
      </c>
      <c r="Q28">
        <v>8</v>
      </c>
    </row>
    <row r="29" spans="2:25" customFormat="1" ht="14.25">
      <c r="B29" s="374">
        <v>1905.7025000000001</v>
      </c>
      <c r="C29" s="21" t="s">
        <v>147</v>
      </c>
      <c r="D29" s="21" t="s">
        <v>100</v>
      </c>
      <c r="E29" s="21" t="s">
        <v>174</v>
      </c>
      <c r="F29" s="21" t="s">
        <v>150</v>
      </c>
      <c r="G29" s="21" t="s">
        <v>111</v>
      </c>
      <c r="H29" s="20">
        <v>240</v>
      </c>
      <c r="J29" s="20">
        <v>4775</v>
      </c>
      <c r="L29" s="20">
        <v>13</v>
      </c>
      <c r="M29" s="19">
        <v>55.8675</v>
      </c>
      <c r="P29" t="s">
        <v>104</v>
      </c>
      <c r="Q29">
        <v>16</v>
      </c>
    </row>
    <row r="30" spans="2:25" customFormat="1" ht="14.25">
      <c r="B30" s="374">
        <v>775.71</v>
      </c>
      <c r="C30" s="21" t="s">
        <v>147</v>
      </c>
      <c r="D30" s="21" t="s">
        <v>109</v>
      </c>
      <c r="E30" s="21" t="s">
        <v>174</v>
      </c>
      <c r="F30" s="21" t="s">
        <v>149</v>
      </c>
      <c r="G30" s="21" t="s">
        <v>111</v>
      </c>
      <c r="H30" s="20">
        <v>310</v>
      </c>
      <c r="J30" s="20">
        <v>2925</v>
      </c>
      <c r="L30" s="20">
        <v>4</v>
      </c>
      <c r="M30" s="19">
        <v>17.55</v>
      </c>
      <c r="P30" t="s">
        <v>104</v>
      </c>
      <c r="Q30">
        <v>8</v>
      </c>
    </row>
    <row r="31" spans="2:25" customFormat="1" ht="14.25">
      <c r="B31" s="374">
        <v>3155.88</v>
      </c>
      <c r="C31" s="21" t="s">
        <v>147</v>
      </c>
      <c r="D31" s="21" t="s">
        <v>100</v>
      </c>
      <c r="E31" s="21" t="s">
        <v>174</v>
      </c>
      <c r="F31" s="21" t="s">
        <v>149</v>
      </c>
      <c r="G31" s="21" t="s">
        <v>111</v>
      </c>
      <c r="H31" s="20">
        <v>400</v>
      </c>
      <c r="J31" s="20">
        <v>11900</v>
      </c>
      <c r="L31" s="20">
        <v>4</v>
      </c>
      <c r="M31" s="19">
        <v>71.400000000000006</v>
      </c>
      <c r="P31" t="s">
        <v>104</v>
      </c>
      <c r="Q31">
        <v>6</v>
      </c>
    </row>
    <row r="32" spans="2:25" customFormat="1" ht="14.25">
      <c r="B32" s="374">
        <v>14698.56</v>
      </c>
      <c r="C32" s="21" t="s">
        <v>147</v>
      </c>
      <c r="D32" s="21" t="s">
        <v>100</v>
      </c>
      <c r="E32" s="21" t="s">
        <v>174</v>
      </c>
      <c r="F32" s="21" t="s">
        <v>151</v>
      </c>
      <c r="G32" s="21" t="s">
        <v>111</v>
      </c>
      <c r="H32" s="20">
        <v>600</v>
      </c>
      <c r="J32" s="20">
        <v>7530</v>
      </c>
      <c r="L32" s="20">
        <v>16</v>
      </c>
      <c r="M32" s="19">
        <v>240.96</v>
      </c>
      <c r="P32" t="s">
        <v>104</v>
      </c>
    </row>
    <row r="33" spans="2:17" customFormat="1" ht="14.25">
      <c r="B33" s="22">
        <v>52.547999999999995</v>
      </c>
      <c r="C33" s="21" t="s">
        <v>174</v>
      </c>
      <c r="D33" s="21" t="s">
        <v>100</v>
      </c>
      <c r="E33" s="21" t="s">
        <v>174</v>
      </c>
      <c r="F33" s="21" t="s">
        <v>159</v>
      </c>
      <c r="G33" s="21" t="s">
        <v>111</v>
      </c>
      <c r="H33" s="20">
        <v>100</v>
      </c>
      <c r="J33" s="20">
        <v>145</v>
      </c>
      <c r="L33" s="20">
        <v>24</v>
      </c>
      <c r="M33" s="19">
        <v>1.3572</v>
      </c>
      <c r="P33" t="s">
        <v>104</v>
      </c>
    </row>
    <row r="34" spans="2:17" customFormat="1" ht="14.25">
      <c r="B34" s="22">
        <v>987.04</v>
      </c>
      <c r="C34" s="21" t="s">
        <v>174</v>
      </c>
      <c r="D34" s="21" t="s">
        <v>100</v>
      </c>
      <c r="E34" s="21" t="s">
        <v>174</v>
      </c>
      <c r="F34" s="21" t="s">
        <v>163</v>
      </c>
      <c r="G34" s="21" t="s">
        <v>111</v>
      </c>
      <c r="H34" s="20">
        <v>120</v>
      </c>
      <c r="J34" s="20">
        <v>2480</v>
      </c>
      <c r="L34" s="20">
        <v>20</v>
      </c>
      <c r="M34" s="19">
        <v>23.2624</v>
      </c>
      <c r="P34" t="s">
        <v>104</v>
      </c>
      <c r="Q34">
        <v>8</v>
      </c>
    </row>
    <row r="35" spans="2:17" customFormat="1" ht="14.25">
      <c r="B35" s="22">
        <v>52.92</v>
      </c>
      <c r="C35" s="21" t="s">
        <v>174</v>
      </c>
      <c r="D35" s="21" t="s">
        <v>100</v>
      </c>
      <c r="E35" s="21" t="s">
        <v>174</v>
      </c>
      <c r="F35" s="21" t="s">
        <v>134</v>
      </c>
      <c r="G35" s="21" t="s">
        <v>111</v>
      </c>
      <c r="H35" s="20">
        <v>60</v>
      </c>
      <c r="J35" s="20">
        <v>1470</v>
      </c>
      <c r="L35" s="20">
        <v>8</v>
      </c>
      <c r="M35" s="19">
        <v>2.2932000000000001</v>
      </c>
      <c r="P35" t="s">
        <v>104</v>
      </c>
    </row>
    <row r="36" spans="2:17" customFormat="1" ht="14.25"/>
    <row r="37" spans="2:17" customFormat="1" ht="14.25">
      <c r="K37" s="63"/>
    </row>
    <row r="38" spans="2:17" customFormat="1" ht="14.25"/>
    <row r="39" spans="2:17" customFormat="1" ht="14.25">
      <c r="F39" s="63" t="s">
        <v>202</v>
      </c>
      <c r="G39" s="63" t="s">
        <v>184</v>
      </c>
      <c r="H39" s="63" t="s">
        <v>203</v>
      </c>
      <c r="I39" s="63"/>
      <c r="J39" s="63" t="s">
        <v>204</v>
      </c>
      <c r="K39" s="63"/>
      <c r="L39" s="63"/>
    </row>
    <row r="40" spans="2:17" customFormat="1" ht="14.25">
      <c r="F40" s="21" t="s">
        <v>165</v>
      </c>
      <c r="G40" s="21" t="s">
        <v>107</v>
      </c>
      <c r="H40" s="22">
        <v>291.2</v>
      </c>
      <c r="J40">
        <v>16</v>
      </c>
    </row>
    <row r="41" spans="2:17" customFormat="1" ht="14.25">
      <c r="F41" s="21" t="s">
        <v>208</v>
      </c>
      <c r="G41" s="21" t="s">
        <v>107</v>
      </c>
      <c r="H41" s="22">
        <v>60.254999999999995</v>
      </c>
      <c r="J41">
        <v>78</v>
      </c>
    </row>
    <row r="42" spans="2:17" customFormat="1" ht="14.25">
      <c r="F42" s="328" t="s">
        <v>106</v>
      </c>
      <c r="G42" s="21" t="s">
        <v>107</v>
      </c>
      <c r="H42" s="374">
        <v>16404.626</v>
      </c>
      <c r="J42" s="20">
        <v>307</v>
      </c>
    </row>
    <row r="43" spans="2:17" customFormat="1" ht="14.25">
      <c r="F43" s="21" t="s">
        <v>6</v>
      </c>
      <c r="G43" s="21" t="s">
        <v>107</v>
      </c>
      <c r="H43" s="22">
        <v>160.59</v>
      </c>
      <c r="J43">
        <v>1</v>
      </c>
    </row>
    <row r="44" spans="2:17" customFormat="1" ht="14.25">
      <c r="F44" s="21" t="s">
        <v>154</v>
      </c>
      <c r="G44" s="21" t="s">
        <v>107</v>
      </c>
      <c r="H44" s="22">
        <v>1934.5920000000001</v>
      </c>
      <c r="J44">
        <v>8</v>
      </c>
    </row>
    <row r="45" spans="2:17" customFormat="1" ht="14.25">
      <c r="F45" s="21" t="s">
        <v>116</v>
      </c>
      <c r="G45" s="21" t="s">
        <v>107</v>
      </c>
      <c r="H45" s="22">
        <v>409.58750000000003</v>
      </c>
      <c r="J45" s="20">
        <v>6</v>
      </c>
    </row>
    <row r="46" spans="2:17" customFormat="1" ht="14.25">
      <c r="F46" s="21" t="s">
        <v>156</v>
      </c>
      <c r="G46" s="21" t="s">
        <v>107</v>
      </c>
      <c r="H46" s="22">
        <v>2555.52</v>
      </c>
      <c r="J46">
        <v>22</v>
      </c>
    </row>
    <row r="47" spans="2:17" customFormat="1" ht="14.25">
      <c r="F47" s="21" t="s">
        <v>118</v>
      </c>
      <c r="G47" s="21" t="s">
        <v>107</v>
      </c>
      <c r="H47" s="22">
        <v>4030.87</v>
      </c>
      <c r="J47" s="20">
        <v>19</v>
      </c>
    </row>
    <row r="48" spans="2:17" customFormat="1" ht="14.25">
      <c r="F48" s="21" t="s">
        <v>128</v>
      </c>
      <c r="G48" s="21" t="s">
        <v>107</v>
      </c>
      <c r="H48" s="22">
        <v>5490.81</v>
      </c>
      <c r="J48">
        <v>20</v>
      </c>
    </row>
    <row r="49" spans="2:10" customFormat="1" ht="14.25">
      <c r="F49" s="21" t="s">
        <v>129</v>
      </c>
      <c r="G49" s="21" t="s">
        <v>107</v>
      </c>
      <c r="H49" s="22">
        <v>2191.1999999999998</v>
      </c>
      <c r="J49">
        <v>8</v>
      </c>
    </row>
    <row r="50" spans="2:10" customFormat="1" ht="14.25">
      <c r="F50" s="21" t="s">
        <v>167</v>
      </c>
      <c r="G50" s="21" t="s">
        <v>107</v>
      </c>
      <c r="H50" s="22">
        <v>2297.7000000000003</v>
      </c>
      <c r="J50" s="20">
        <v>144</v>
      </c>
    </row>
    <row r="51" spans="2:10" customFormat="1" ht="14.25">
      <c r="F51" s="328" t="s">
        <v>148</v>
      </c>
      <c r="G51" s="21" t="s">
        <v>111</v>
      </c>
      <c r="H51" s="374">
        <v>33830.080000000002</v>
      </c>
      <c r="J51" s="20">
        <v>32</v>
      </c>
    </row>
    <row r="52" spans="2:10" customFormat="1" ht="14.25">
      <c r="F52" s="21" t="s">
        <v>162</v>
      </c>
      <c r="G52" s="21" t="s">
        <v>111</v>
      </c>
      <c r="H52" s="22">
        <v>195.52</v>
      </c>
      <c r="J52">
        <v>4</v>
      </c>
    </row>
    <row r="53" spans="2:10" customFormat="1" ht="14.25">
      <c r="F53" s="21" t="s">
        <v>150</v>
      </c>
      <c r="G53" s="21" t="s">
        <v>111</v>
      </c>
      <c r="H53" s="22">
        <v>1905.7025000000001</v>
      </c>
      <c r="J53">
        <v>13</v>
      </c>
    </row>
    <row r="54" spans="2:10" customFormat="1" ht="14.25">
      <c r="F54" s="21" t="s">
        <v>149</v>
      </c>
      <c r="G54" s="21" t="s">
        <v>111</v>
      </c>
      <c r="H54" s="22">
        <v>3931.59</v>
      </c>
      <c r="J54" s="20">
        <v>8</v>
      </c>
    </row>
    <row r="55" spans="2:10" customFormat="1" ht="14.25">
      <c r="F55" s="328" t="s">
        <v>151</v>
      </c>
      <c r="G55" s="21" t="s">
        <v>111</v>
      </c>
      <c r="H55" s="374">
        <v>14698.56</v>
      </c>
      <c r="J55">
        <v>16</v>
      </c>
    </row>
    <row r="56" spans="2:10" customFormat="1" ht="14.25">
      <c r="F56" s="21" t="s">
        <v>159</v>
      </c>
      <c r="G56" s="21" t="s">
        <v>111</v>
      </c>
      <c r="H56" s="22">
        <v>52.547999999999995</v>
      </c>
      <c r="J56">
        <v>24</v>
      </c>
    </row>
    <row r="57" spans="2:10" customFormat="1" ht="14.25">
      <c r="F57" s="21" t="s">
        <v>163</v>
      </c>
      <c r="G57" s="21" t="s">
        <v>111</v>
      </c>
      <c r="H57" s="22">
        <v>987.04</v>
      </c>
      <c r="J57">
        <v>20</v>
      </c>
    </row>
    <row r="58" spans="2:10" customFormat="1" ht="14.25">
      <c r="F58" s="21" t="s">
        <v>134</v>
      </c>
      <c r="G58" s="21" t="s">
        <v>111</v>
      </c>
      <c r="H58" s="22">
        <v>52.92</v>
      </c>
      <c r="J58">
        <v>8</v>
      </c>
    </row>
    <row r="59" spans="2:10" customFormat="1" ht="14.25"/>
    <row r="60" spans="2:10" customFormat="1" ht="14.25"/>
    <row r="61" spans="2:10" customFormat="1" ht="14.25"/>
    <row r="62" spans="2:10" customFormat="1" ht="14.25"/>
    <row r="63" spans="2:10" customFormat="1" ht="14.25"/>
    <row r="64" spans="2:10" customFormat="1">
      <c r="B64" s="22">
        <v>291.2</v>
      </c>
      <c r="C64" s="21" t="s">
        <v>174</v>
      </c>
      <c r="D64" s="21" t="s">
        <v>165</v>
      </c>
      <c r="E64" s="21" t="s">
        <v>174</v>
      </c>
      <c r="F64" s="385"/>
    </row>
    <row r="65" spans="2:6" customFormat="1">
      <c r="B65" s="22">
        <v>60.254999999999995</v>
      </c>
      <c r="C65" s="21" t="s">
        <v>174</v>
      </c>
      <c r="D65" s="21" t="s">
        <v>208</v>
      </c>
      <c r="E65" s="21" t="s">
        <v>174</v>
      </c>
      <c r="F65" s="385"/>
    </row>
    <row r="66" spans="2:6" customFormat="1" ht="14.25"/>
    <row r="67" spans="2:6" customFormat="1">
      <c r="B67" s="22">
        <v>768.40000000000009</v>
      </c>
      <c r="C67" s="21" t="s">
        <v>174</v>
      </c>
      <c r="D67" s="21" t="s">
        <v>106</v>
      </c>
      <c r="E67" s="21" t="s">
        <v>174</v>
      </c>
      <c r="F67" s="385"/>
    </row>
    <row r="68" spans="2:6" customFormat="1" ht="14.25"/>
    <row r="69" spans="2:6" customFormat="1">
      <c r="B69" s="22">
        <v>708.56</v>
      </c>
      <c r="C69" s="21" t="s">
        <v>174</v>
      </c>
      <c r="D69" s="21" t="s">
        <v>106</v>
      </c>
      <c r="E69" s="21" t="s">
        <v>174</v>
      </c>
      <c r="F69" s="385"/>
    </row>
    <row r="70" spans="2:6" customFormat="1" ht="14.25"/>
    <row r="71" spans="2:6" customFormat="1" ht="14.25"/>
    <row r="72" spans="2:6" customFormat="1" ht="14.25"/>
    <row r="73" spans="2:6" customFormat="1" ht="14.25"/>
    <row r="74" spans="2:6" customFormat="1" ht="14.25"/>
    <row r="75" spans="2:6" customFormat="1" ht="14.25"/>
    <row r="76" spans="2:6" customFormat="1" ht="14.25"/>
    <row r="77" spans="2:6" customFormat="1" ht="14.25"/>
    <row r="78" spans="2:6" customFormat="1" ht="14.25"/>
    <row r="79" spans="2:6" customFormat="1">
      <c r="B79" s="22">
        <v>103.896</v>
      </c>
      <c r="C79" s="21" t="s">
        <v>174</v>
      </c>
      <c r="D79" s="21" t="s">
        <v>167</v>
      </c>
      <c r="E79" s="21" t="s">
        <v>174</v>
      </c>
      <c r="F79" s="385"/>
    </row>
    <row r="80" spans="2:6" customFormat="1">
      <c r="B80" s="22">
        <v>2193.8040000000001</v>
      </c>
      <c r="C80" s="21" t="s">
        <v>174</v>
      </c>
      <c r="D80" s="21" t="s">
        <v>167</v>
      </c>
      <c r="E80" s="21" t="s">
        <v>174</v>
      </c>
      <c r="F80" s="385"/>
    </row>
    <row r="81" spans="2:6" customFormat="1" ht="14.25"/>
    <row r="82" spans="2:6" customFormat="1" ht="14.25"/>
    <row r="83" spans="2:6" customFormat="1">
      <c r="B83" s="22">
        <v>195.52</v>
      </c>
      <c r="C83" s="21" t="s">
        <v>174</v>
      </c>
      <c r="D83" s="21" t="s">
        <v>162</v>
      </c>
      <c r="E83" s="21" t="s">
        <v>174</v>
      </c>
      <c r="F83" s="385"/>
    </row>
    <row r="84" spans="2:6" customFormat="1" ht="14.25"/>
    <row r="85" spans="2:6" customFormat="1" ht="14.25"/>
    <row r="86" spans="2:6" customFormat="1" ht="14.25"/>
    <row r="87" spans="2:6" customFormat="1" ht="14.25"/>
    <row r="88" spans="2:6" customFormat="1">
      <c r="B88" s="22">
        <v>52.547999999999995</v>
      </c>
      <c r="C88" s="21" t="s">
        <v>174</v>
      </c>
      <c r="D88" s="21" t="s">
        <v>159</v>
      </c>
      <c r="E88" s="21" t="s">
        <v>174</v>
      </c>
      <c r="F88" s="385"/>
    </row>
    <row r="89" spans="2:6" customFormat="1">
      <c r="B89" s="22">
        <v>987.04</v>
      </c>
      <c r="C89" s="21" t="s">
        <v>174</v>
      </c>
      <c r="D89" s="21" t="s">
        <v>163</v>
      </c>
      <c r="E89" s="21" t="s">
        <v>174</v>
      </c>
      <c r="F89" s="385"/>
    </row>
    <row r="90" spans="2:6" customFormat="1">
      <c r="B90" s="22">
        <v>52.92</v>
      </c>
      <c r="C90" s="21" t="s">
        <v>174</v>
      </c>
      <c r="D90" s="21" t="s">
        <v>134</v>
      </c>
      <c r="E90" s="21" t="s">
        <v>174</v>
      </c>
      <c r="F90" s="385"/>
    </row>
    <row r="91" spans="2:6" customFormat="1" ht="13.7" customHeight="1"/>
    <row r="92" spans="2:6" customFormat="1" ht="14.25"/>
    <row r="93" spans="2:6" customFormat="1" ht="14.25"/>
    <row r="94" spans="2:6" customFormat="1" ht="14.25"/>
    <row r="95" spans="2:6" customFormat="1" ht="14.25"/>
    <row r="96" spans="2:6" customFormat="1" ht="14.25"/>
    <row r="97" customFormat="1" ht="14.25"/>
    <row r="98" customFormat="1" ht="14.25"/>
    <row r="99" customFormat="1" ht="14.25"/>
    <row r="100" customFormat="1" ht="14.25"/>
    <row r="101" customFormat="1" ht="14.25"/>
    <row r="102" customFormat="1" ht="14.25"/>
    <row r="103" customFormat="1" ht="14.25"/>
    <row r="104" customFormat="1" ht="14.25"/>
    <row r="105" customFormat="1" ht="14.25"/>
    <row r="106" customFormat="1" ht="14.25"/>
    <row r="107" customFormat="1" ht="14.25"/>
    <row r="108" customFormat="1" ht="14.25"/>
    <row r="109" customFormat="1" ht="14.25"/>
    <row r="110" customFormat="1" ht="14.25"/>
    <row r="111" customFormat="1" ht="14.25"/>
    <row r="112" customFormat="1" ht="14.25"/>
    <row r="113" customFormat="1" ht="14.25"/>
    <row r="114" customFormat="1" ht="14.25"/>
    <row r="115" customFormat="1" ht="14.25"/>
    <row r="116" customFormat="1" ht="14.25"/>
    <row r="117" customFormat="1" ht="14.25"/>
    <row r="118" customFormat="1" ht="14.25"/>
    <row r="119" customFormat="1" ht="14.25"/>
    <row r="120" customFormat="1" ht="14.25"/>
    <row r="121" customFormat="1" ht="14.25"/>
    <row r="122" customFormat="1" ht="14.25"/>
    <row r="123" customFormat="1" ht="14.25"/>
    <row r="124" customFormat="1" ht="14.25"/>
    <row r="125" customFormat="1" ht="14.25"/>
    <row r="126" customFormat="1" ht="14.25"/>
    <row r="127" customFormat="1" ht="14.25"/>
    <row r="128" customFormat="1" ht="14.25"/>
    <row r="129" customFormat="1" ht="14.25"/>
    <row r="130" customFormat="1" ht="14.25"/>
    <row r="131" customFormat="1" ht="14.25"/>
    <row r="132" customFormat="1" ht="14.25"/>
    <row r="133" customFormat="1" ht="14.25"/>
    <row r="134" customFormat="1" ht="14.25"/>
    <row r="135" customFormat="1" ht="14.25"/>
    <row r="136" customFormat="1" ht="14.25"/>
    <row r="137" customFormat="1" ht="14.25"/>
    <row r="138" customFormat="1" ht="14.25"/>
    <row r="139" customFormat="1" ht="14.25"/>
    <row r="140" customFormat="1" ht="14.25"/>
    <row r="141" customFormat="1" ht="14.25"/>
    <row r="142" customFormat="1" ht="14.25"/>
    <row r="143" customFormat="1" ht="14.25"/>
    <row r="144" customFormat="1" ht="14.25"/>
    <row r="145" customFormat="1" ht="14.25"/>
    <row r="146" customFormat="1" ht="14.25"/>
    <row r="147" customFormat="1" ht="14.25"/>
    <row r="148" customFormat="1" ht="14.25"/>
    <row r="149" customFormat="1" ht="14.25"/>
    <row r="150" customFormat="1" ht="14.25"/>
    <row r="151" customFormat="1" ht="14.25"/>
    <row r="152" customFormat="1" ht="14.25"/>
    <row r="153" customFormat="1" ht="14.25"/>
    <row r="154" customFormat="1" ht="14.25"/>
    <row r="155" customFormat="1" ht="14.25"/>
    <row r="156" customFormat="1" ht="14.25"/>
    <row r="157" customFormat="1" ht="14.25"/>
    <row r="158" customFormat="1" ht="14.25"/>
    <row r="159" customFormat="1" ht="14.25"/>
    <row r="160" customFormat="1" ht="14.25"/>
    <row r="161" customFormat="1" ht="14.25"/>
    <row r="162" customFormat="1" ht="14.25"/>
    <row r="163" customFormat="1" ht="14.25"/>
    <row r="164" customFormat="1" ht="14.25"/>
    <row r="165" customFormat="1" ht="14.25"/>
    <row r="166" customFormat="1" ht="14.25"/>
    <row r="167" customFormat="1" ht="14.25"/>
    <row r="168" customFormat="1" ht="14.25"/>
    <row r="169" customFormat="1" ht="14.25"/>
    <row r="170" customFormat="1" ht="14.25"/>
    <row r="171" customFormat="1" ht="14.25"/>
    <row r="172" customFormat="1" ht="14.25"/>
    <row r="173" customFormat="1" ht="14.25"/>
    <row r="174" customFormat="1" ht="14.25"/>
    <row r="175" customFormat="1" ht="14.25"/>
    <row r="176" customFormat="1" ht="14.25"/>
    <row r="177" customFormat="1" ht="14.25"/>
    <row r="178" customFormat="1" ht="14.25"/>
    <row r="179" customFormat="1" ht="14.25"/>
    <row r="180" customFormat="1" ht="14.25"/>
    <row r="181" customFormat="1" ht="14.25"/>
    <row r="182" customFormat="1" ht="14.25"/>
    <row r="183" customFormat="1" ht="14.25"/>
    <row r="184" customFormat="1" ht="14.25"/>
    <row r="185" customFormat="1" ht="14.25"/>
    <row r="186" customFormat="1" ht="14.25"/>
    <row r="187" customFormat="1" ht="14.25"/>
    <row r="188" customFormat="1" ht="14.25"/>
    <row r="189" customFormat="1" ht="14.25"/>
    <row r="190" customFormat="1" ht="14.25"/>
    <row r="191" customFormat="1" ht="14.25"/>
    <row r="192" customFormat="1" ht="14.25"/>
    <row r="193" customFormat="1" ht="14.25"/>
    <row r="194" customFormat="1" ht="14.25"/>
    <row r="195" customFormat="1" ht="14.25"/>
    <row r="196" customFormat="1" ht="14.25"/>
    <row r="197" customFormat="1" ht="14.25"/>
    <row r="198" customFormat="1" ht="14.25"/>
    <row r="199" customFormat="1" ht="14.25"/>
    <row r="200" customFormat="1" ht="14.25"/>
    <row r="201" customFormat="1" ht="14.25"/>
    <row r="202" customFormat="1" ht="14.25"/>
    <row r="203" customFormat="1" ht="14.25"/>
    <row r="204" customFormat="1" ht="14.25"/>
    <row r="205" customFormat="1" ht="14.25"/>
    <row r="206" customFormat="1" ht="14.25"/>
    <row r="207" customFormat="1" ht="14.25"/>
    <row r="208" customFormat="1" ht="14.25"/>
    <row r="209" customFormat="1" ht="14.25"/>
    <row r="210" customFormat="1" ht="14.25"/>
    <row r="211" customFormat="1" ht="14.25"/>
    <row r="212" customFormat="1" ht="14.25"/>
    <row r="213" customFormat="1" ht="14.25"/>
    <row r="214" customFormat="1" ht="14.25"/>
    <row r="215" customFormat="1" ht="14.25"/>
    <row r="216" customFormat="1" ht="14.25"/>
    <row r="217" customFormat="1" ht="14.25"/>
    <row r="218" customFormat="1" ht="14.25"/>
    <row r="219" customFormat="1" ht="14.25"/>
    <row r="220" customFormat="1" ht="14.25"/>
    <row r="221" customFormat="1" ht="14.25"/>
    <row r="222" customFormat="1" ht="14.25"/>
    <row r="223" customFormat="1" ht="14.25"/>
    <row r="224" customFormat="1" ht="14.25"/>
    <row r="225" customFormat="1" ht="14.25"/>
    <row r="226" customFormat="1" ht="14.25"/>
    <row r="227" customFormat="1" ht="14.25"/>
    <row r="228" customFormat="1" ht="14.25"/>
    <row r="229" customFormat="1" ht="14.25"/>
    <row r="230" customFormat="1" ht="14.25"/>
    <row r="231" customFormat="1" ht="14.25"/>
    <row r="232" customFormat="1" ht="14.25"/>
    <row r="233" customFormat="1" ht="14.25"/>
    <row r="234" customFormat="1" ht="14.25"/>
    <row r="235" customFormat="1" ht="14.25"/>
    <row r="236" customFormat="1" ht="14.25"/>
    <row r="237" customFormat="1" ht="14.25"/>
    <row r="238" customFormat="1" ht="14.25"/>
    <row r="239" customFormat="1" ht="14.25"/>
    <row r="240" customFormat="1" ht="14.25"/>
    <row r="241" customFormat="1" ht="14.25"/>
    <row r="242" customFormat="1" ht="14.25"/>
    <row r="243" customFormat="1" ht="14.25"/>
    <row r="244" customFormat="1" ht="14.25"/>
    <row r="245" customFormat="1" ht="14.25"/>
    <row r="246" customFormat="1" ht="14.25"/>
    <row r="247" customFormat="1" ht="14.25"/>
    <row r="248" customFormat="1" ht="14.25"/>
    <row r="249" customFormat="1" ht="14.25"/>
    <row r="250" customFormat="1" ht="14.25"/>
    <row r="251" customFormat="1" ht="14.25"/>
    <row r="252" customFormat="1" ht="14.25"/>
    <row r="253" customFormat="1" ht="14.25"/>
    <row r="254" customFormat="1" ht="14.25"/>
    <row r="255" customFormat="1" ht="14.25"/>
    <row r="256" customFormat="1" ht="14.25"/>
    <row r="257" customFormat="1" ht="14.25"/>
    <row r="258" customFormat="1" ht="14.25"/>
    <row r="259" customFormat="1" ht="14.25"/>
    <row r="260" customFormat="1" ht="14.25"/>
    <row r="261" customFormat="1" ht="14.25"/>
    <row r="262" customFormat="1" ht="14.25"/>
    <row r="263" customFormat="1" ht="14.25"/>
    <row r="264" customFormat="1" ht="14.25"/>
    <row r="265" customFormat="1" ht="14.25"/>
    <row r="266" customFormat="1" ht="14.25"/>
    <row r="267" customFormat="1" ht="14.25"/>
    <row r="268" customFormat="1" ht="14.25"/>
    <row r="269" customFormat="1" ht="14.25"/>
    <row r="270" customFormat="1" ht="14.25"/>
    <row r="271" customFormat="1" ht="14.25"/>
    <row r="272" customFormat="1" ht="14.25"/>
    <row r="273" customFormat="1" ht="14.25"/>
    <row r="274" customFormat="1" ht="14.25"/>
    <row r="275" customFormat="1" ht="14.25"/>
    <row r="276" customFormat="1" ht="14.25"/>
    <row r="277" customFormat="1" ht="14.25"/>
    <row r="278" customFormat="1" ht="14.25"/>
    <row r="279" customFormat="1" ht="14.25"/>
    <row r="280" customFormat="1" ht="14.25"/>
    <row r="281" customFormat="1" ht="14.25"/>
    <row r="282" customFormat="1" ht="14.25"/>
    <row r="283" customFormat="1" ht="14.25"/>
    <row r="284" customFormat="1" ht="14.25"/>
    <row r="285" customFormat="1" ht="14.25"/>
    <row r="286" customFormat="1" ht="14.25"/>
    <row r="287" customFormat="1" ht="14.25"/>
    <row r="288" customFormat="1" ht="14.25"/>
    <row r="289" spans="1:22" customFormat="1" ht="14.25"/>
    <row r="290" spans="1:22" customFormat="1" ht="14.25"/>
    <row r="291" spans="1:22" customFormat="1" ht="14.25"/>
    <row r="292" spans="1:2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1:2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1:2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1:2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1:2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1:2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1:2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1:2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1:2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1:2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1:2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1:2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1:2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1:22">
      <c r="A660" s="387"/>
      <c r="B660" s="387"/>
      <c r="C660" s="385"/>
      <c r="D660" s="388"/>
      <c r="E660" s="389"/>
      <c r="F660"/>
      <c r="G660"/>
      <c r="H660"/>
      <c r="I660"/>
      <c r="J660"/>
      <c r="K660" s="390"/>
      <c r="L660" s="387"/>
      <c r="M660" s="385"/>
      <c r="N660" s="385"/>
      <c r="O660" s="385"/>
      <c r="P660" s="385"/>
      <c r="Q660" s="385"/>
      <c r="R660" s="385"/>
      <c r="S660" s="385"/>
      <c r="T660" s="385"/>
      <c r="U660" s="385"/>
      <c r="V660" s="385"/>
    </row>
    <row r="661" spans="1:22">
      <c r="A661" s="387"/>
      <c r="B661" s="387"/>
      <c r="C661" s="385"/>
      <c r="D661" s="388"/>
      <c r="E661" s="389"/>
      <c r="F661"/>
      <c r="G661"/>
      <c r="H661"/>
      <c r="I661"/>
      <c r="J661"/>
      <c r="K661" s="390"/>
      <c r="L661" s="387"/>
      <c r="M661" s="385"/>
      <c r="N661" s="385"/>
      <c r="O661" s="385"/>
      <c r="P661" s="385"/>
      <c r="Q661" s="385"/>
      <c r="R661" s="385"/>
      <c r="S661" s="385"/>
      <c r="T661" s="385"/>
      <c r="U661" s="385"/>
      <c r="V661" s="385"/>
    </row>
    <row r="662" spans="1:22">
      <c r="A662" s="387"/>
      <c r="B662" s="387"/>
      <c r="C662" s="385"/>
      <c r="D662" s="388"/>
      <c r="E662" s="389"/>
      <c r="F662"/>
      <c r="G662"/>
      <c r="H662"/>
      <c r="I662"/>
      <c r="J662"/>
      <c r="K662" s="390"/>
      <c r="L662" s="387"/>
      <c r="M662" s="385"/>
      <c r="N662" s="385"/>
      <c r="O662" s="385"/>
      <c r="P662" s="385"/>
      <c r="Q662" s="385"/>
      <c r="R662" s="385"/>
      <c r="S662" s="385"/>
      <c r="T662" s="385"/>
      <c r="U662" s="385"/>
      <c r="V662" s="385"/>
    </row>
  </sheetData>
  <autoFilter ref="B6:Q35" xr:uid="{00000000-0001-0000-0300-000000000000}"/>
  <sortState xmlns:xlrd2="http://schemas.microsoft.com/office/spreadsheetml/2017/richdata2" ref="A7:W36">
    <sortCondition ref="F7"/>
    <sortCondition ref="G7"/>
    <sortCondition ref="J7"/>
  </sortState>
  <mergeCells count="38">
    <mergeCell ref="P1:P3"/>
    <mergeCell ref="Q1:Q3"/>
    <mergeCell ref="O4:O5"/>
    <mergeCell ref="V1:V3"/>
    <mergeCell ref="W1:W3"/>
    <mergeCell ref="T1:T3"/>
    <mergeCell ref="U1:U3"/>
    <mergeCell ref="U4:U5"/>
    <mergeCell ref="V4:V5"/>
    <mergeCell ref="W4:W5"/>
    <mergeCell ref="P4:P5"/>
    <mergeCell ref="Q4:Q5"/>
    <mergeCell ref="R4:R5"/>
    <mergeCell ref="S4:S5"/>
    <mergeCell ref="T4:T5"/>
    <mergeCell ref="O1:O3"/>
    <mergeCell ref="R1:R3"/>
    <mergeCell ref="S1:S3"/>
    <mergeCell ref="A4:B4"/>
    <mergeCell ref="C4:C5"/>
    <mergeCell ref="D4:D5"/>
    <mergeCell ref="E4:E5"/>
    <mergeCell ref="A1:B3"/>
    <mergeCell ref="C1:F1"/>
    <mergeCell ref="M4:M5"/>
    <mergeCell ref="N4:N5"/>
    <mergeCell ref="C2:E2"/>
    <mergeCell ref="G2:L2"/>
    <mergeCell ref="M2:M3"/>
    <mergeCell ref="D3:E3"/>
    <mergeCell ref="F4:F5"/>
    <mergeCell ref="G4:G5"/>
    <mergeCell ref="H4:J4"/>
    <mergeCell ref="K4:L5"/>
    <mergeCell ref="N1:N3"/>
    <mergeCell ref="G3:L3"/>
    <mergeCell ref="G1:J1"/>
    <mergeCell ref="K1:M1"/>
  </mergeCells>
  <phoneticPr fontId="10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scale="32" orientation="portrait" blackAndWhite="1" r:id="rId1"/>
  <headerFooter alignWithMargins="0">
    <oddHeader>&amp;RLeht &amp;P / Lehti &amp;N</oddHeader>
    <oddFooter>&amp;L&amp;F&amp;R&amp;T -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eht10"/>
  <dimension ref="A1:V169"/>
  <sheetViews>
    <sheetView workbookViewId="0"/>
  </sheetViews>
  <sheetFormatPr defaultColWidth="9.140625" defaultRowHeight="16.350000000000001"/>
  <cols>
    <col min="1" max="1" width="6" style="3" bestFit="1" customWidth="1"/>
    <col min="2" max="2" width="17.28515625" style="13" bestFit="1" customWidth="1"/>
    <col min="3" max="3" width="8" style="5" bestFit="1" customWidth="1"/>
    <col min="4" max="4" width="9" style="14" bestFit="1" customWidth="1"/>
    <col min="5" max="5" width="8.140625" style="14" bestFit="1" customWidth="1"/>
    <col min="6" max="6" width="11.5703125" style="14" bestFit="1" customWidth="1"/>
    <col min="7" max="7" width="14.85546875" style="14" customWidth="1"/>
    <col min="8" max="8" width="12.140625" style="12" bestFit="1" customWidth="1"/>
    <col min="9" max="9" width="9.140625" style="7"/>
    <col min="10" max="10" width="13.42578125" style="7" customWidth="1"/>
    <col min="11" max="11" width="14.42578125" style="7" bestFit="1" customWidth="1"/>
    <col min="12" max="17" width="9.140625" style="7"/>
    <col min="18" max="18" width="10.7109375" style="7" bestFit="1" customWidth="1"/>
    <col min="19" max="16384" width="9.140625" style="7"/>
  </cols>
  <sheetData>
    <row r="1" spans="1:11" ht="39.200000000000003" customHeight="1">
      <c r="A1" s="24" t="s">
        <v>209</v>
      </c>
      <c r="B1" s="9" t="s">
        <v>210</v>
      </c>
      <c r="C1" s="10"/>
      <c r="D1" s="10"/>
      <c r="E1" s="469" t="s">
        <v>211</v>
      </c>
      <c r="F1" s="469"/>
      <c r="G1" s="469"/>
      <c r="H1" s="11"/>
      <c r="I1" s="468" t="s">
        <v>212</v>
      </c>
      <c r="J1" s="25"/>
      <c r="K1" s="25"/>
    </row>
    <row r="2" spans="1:11">
      <c r="A2" s="470" t="s">
        <v>213</v>
      </c>
      <c r="B2" s="472" t="s">
        <v>183</v>
      </c>
      <c r="C2" s="472" t="s">
        <v>184</v>
      </c>
      <c r="D2" s="474" t="s">
        <v>214</v>
      </c>
      <c r="E2" s="474" t="s">
        <v>215</v>
      </c>
      <c r="F2" s="476" t="s">
        <v>216</v>
      </c>
      <c r="G2" s="477"/>
      <c r="H2" s="472" t="s">
        <v>217</v>
      </c>
      <c r="I2" s="468"/>
      <c r="J2" s="30" t="s">
        <v>218</v>
      </c>
      <c r="K2" s="25"/>
    </row>
    <row r="3" spans="1:11" ht="15.75" customHeight="1">
      <c r="A3" s="471"/>
      <c r="B3" s="473"/>
      <c r="C3" s="473"/>
      <c r="D3" s="475"/>
      <c r="E3" s="475"/>
      <c r="F3" s="27" t="s">
        <v>219</v>
      </c>
      <c r="G3" s="27" t="s">
        <v>220</v>
      </c>
      <c r="H3" s="473"/>
      <c r="I3" s="468"/>
      <c r="J3" s="25"/>
      <c r="K3" s="25"/>
    </row>
    <row r="4" spans="1:11" customFormat="1" ht="14.25"/>
    <row r="5" spans="1:11" customFormat="1" ht="14.25"/>
    <row r="6" spans="1:11" customFormat="1" ht="14.25"/>
    <row r="7" spans="1:11" customFormat="1" ht="14.25">
      <c r="A7">
        <v>18.2</v>
      </c>
      <c r="B7" s="21" t="s">
        <v>165</v>
      </c>
      <c r="C7" s="21" t="s">
        <v>107</v>
      </c>
      <c r="D7">
        <v>291.2</v>
      </c>
      <c r="E7" s="22">
        <v>16</v>
      </c>
      <c r="F7" s="19">
        <f t="shared" ref="F7:F38" si="0">D7*K7</f>
        <v>320.32</v>
      </c>
      <c r="G7" s="19">
        <f t="shared" ref="G7:G38" si="1">E7*K7</f>
        <v>17.600000000000001</v>
      </c>
      <c r="H7" s="19">
        <f t="shared" ref="H7:H38" si="2">E7*K7/12</f>
        <v>1.4666666666666668</v>
      </c>
      <c r="I7" s="19">
        <v>0.52900000000000003</v>
      </c>
      <c r="J7" s="19">
        <v>8.4600000000000009</v>
      </c>
      <c r="K7">
        <v>1.1000000000000001</v>
      </c>
    </row>
    <row r="8" spans="1:11" customFormat="1" ht="14.25">
      <c r="A8">
        <v>3.1</v>
      </c>
      <c r="B8" s="21" t="s">
        <v>208</v>
      </c>
      <c r="C8" s="21" t="s">
        <v>107</v>
      </c>
      <c r="D8">
        <v>60.3</v>
      </c>
      <c r="E8" s="22">
        <v>19.5</v>
      </c>
      <c r="F8" s="19">
        <f t="shared" si="0"/>
        <v>66.33</v>
      </c>
      <c r="G8" s="19">
        <f t="shared" si="1"/>
        <v>21.450000000000003</v>
      </c>
      <c r="H8" s="19">
        <f t="shared" si="2"/>
        <v>1.7875000000000003</v>
      </c>
      <c r="I8" s="19">
        <v>0</v>
      </c>
      <c r="J8" s="19">
        <v>0</v>
      </c>
      <c r="K8">
        <v>1.1000000000000001</v>
      </c>
    </row>
    <row r="9" spans="1:11" customFormat="1" ht="14.25">
      <c r="A9">
        <v>17</v>
      </c>
      <c r="B9" s="21" t="s">
        <v>106</v>
      </c>
      <c r="C9" s="21" t="s">
        <v>107</v>
      </c>
      <c r="D9">
        <v>16404.599999999999</v>
      </c>
      <c r="E9" s="22">
        <v>965.1</v>
      </c>
      <c r="F9" s="19">
        <f t="shared" si="0"/>
        <v>18045.060000000001</v>
      </c>
      <c r="G9" s="19">
        <f t="shared" si="1"/>
        <v>1061.6100000000001</v>
      </c>
      <c r="H9" s="19">
        <f t="shared" si="2"/>
        <v>88.467500000000015</v>
      </c>
      <c r="I9" s="19">
        <v>0.379</v>
      </c>
      <c r="J9" s="19">
        <v>365.73</v>
      </c>
      <c r="K9">
        <v>1.1000000000000001</v>
      </c>
    </row>
    <row r="10" spans="1:11" customFormat="1" ht="14.25">
      <c r="A10">
        <v>31.8</v>
      </c>
      <c r="B10" s="21" t="s">
        <v>6</v>
      </c>
      <c r="C10" s="21" t="s">
        <v>107</v>
      </c>
      <c r="D10">
        <v>160.6</v>
      </c>
      <c r="E10" s="22">
        <v>5.05</v>
      </c>
      <c r="F10" s="19">
        <f t="shared" si="0"/>
        <v>176.66</v>
      </c>
      <c r="G10" s="19">
        <f t="shared" si="1"/>
        <v>5.5550000000000006</v>
      </c>
      <c r="H10" s="19">
        <f t="shared" si="2"/>
        <v>0.4629166666666667</v>
      </c>
      <c r="I10" s="19">
        <v>0.437</v>
      </c>
      <c r="J10" s="19">
        <v>2.21</v>
      </c>
      <c r="K10">
        <v>1.1000000000000001</v>
      </c>
    </row>
    <row r="11" spans="1:11" customFormat="1" ht="14.25">
      <c r="A11">
        <v>26.4</v>
      </c>
      <c r="B11" s="21" t="s">
        <v>154</v>
      </c>
      <c r="C11" s="21" t="s">
        <v>107</v>
      </c>
      <c r="D11">
        <v>1934.6</v>
      </c>
      <c r="E11" s="22">
        <v>73.28</v>
      </c>
      <c r="F11" s="19">
        <f t="shared" si="0"/>
        <v>2128.06</v>
      </c>
      <c r="G11" s="19">
        <f t="shared" si="1"/>
        <v>80.608000000000004</v>
      </c>
      <c r="H11" s="19">
        <f t="shared" si="2"/>
        <v>6.7173333333333334</v>
      </c>
      <c r="I11" s="19">
        <v>0.44600000000000001</v>
      </c>
      <c r="J11" s="19">
        <v>32.68</v>
      </c>
      <c r="K11">
        <v>1.1000000000000001</v>
      </c>
    </row>
    <row r="12" spans="1:11" customFormat="1" ht="14.25">
      <c r="A12">
        <v>21.7</v>
      </c>
      <c r="B12" s="21" t="s">
        <v>116</v>
      </c>
      <c r="C12" s="21" t="s">
        <v>107</v>
      </c>
      <c r="D12">
        <v>409.6</v>
      </c>
      <c r="E12" s="22">
        <v>18.899999999999999</v>
      </c>
      <c r="F12" s="19">
        <f t="shared" si="0"/>
        <v>450.56000000000006</v>
      </c>
      <c r="G12" s="19">
        <f t="shared" si="1"/>
        <v>20.79</v>
      </c>
      <c r="H12" s="19">
        <f t="shared" si="2"/>
        <v>1.7324999999999999</v>
      </c>
      <c r="I12" s="19">
        <v>0.47899999999999998</v>
      </c>
      <c r="J12" s="19">
        <v>9.0399999999999991</v>
      </c>
      <c r="K12">
        <v>1.1000000000000001</v>
      </c>
    </row>
    <row r="13" spans="1:11" customFormat="1" ht="14.25">
      <c r="A13">
        <v>26.4</v>
      </c>
      <c r="B13" s="21" t="s">
        <v>156</v>
      </c>
      <c r="C13" s="21" t="s">
        <v>107</v>
      </c>
      <c r="D13">
        <v>2555.5</v>
      </c>
      <c r="E13" s="22">
        <v>96.8</v>
      </c>
      <c r="F13" s="19">
        <f t="shared" si="0"/>
        <v>2811.05</v>
      </c>
      <c r="G13" s="19">
        <f t="shared" si="1"/>
        <v>106.48</v>
      </c>
      <c r="H13" s="19">
        <f t="shared" si="2"/>
        <v>8.8733333333333331</v>
      </c>
      <c r="I13" s="19">
        <v>0.57899999999999996</v>
      </c>
      <c r="J13" s="19">
        <v>56.05</v>
      </c>
      <c r="K13">
        <v>1.1000000000000001</v>
      </c>
    </row>
    <row r="14" spans="1:11" customFormat="1" ht="14.25">
      <c r="A14">
        <v>34</v>
      </c>
      <c r="B14" s="21" t="s">
        <v>118</v>
      </c>
      <c r="C14" s="21" t="s">
        <v>107</v>
      </c>
      <c r="D14">
        <v>4030.9</v>
      </c>
      <c r="E14" s="22">
        <v>118.6</v>
      </c>
      <c r="F14" s="19">
        <f t="shared" si="0"/>
        <v>4433.9900000000007</v>
      </c>
      <c r="G14" s="19">
        <f t="shared" si="1"/>
        <v>130.46</v>
      </c>
      <c r="H14" s="19">
        <f t="shared" si="2"/>
        <v>10.871666666666668</v>
      </c>
      <c r="I14" s="19">
        <v>0.56599999999999995</v>
      </c>
      <c r="J14" s="19">
        <v>67.11</v>
      </c>
      <c r="K14">
        <v>1.1000000000000001</v>
      </c>
    </row>
    <row r="15" spans="1:11" customFormat="1" ht="14.25">
      <c r="A15">
        <v>50.7</v>
      </c>
      <c r="B15" s="21" t="s">
        <v>128</v>
      </c>
      <c r="C15" s="21" t="s">
        <v>107</v>
      </c>
      <c r="D15">
        <v>5490.8</v>
      </c>
      <c r="E15" s="22">
        <v>108.3</v>
      </c>
      <c r="F15" s="19">
        <f t="shared" si="0"/>
        <v>6039.880000000001</v>
      </c>
      <c r="G15" s="19">
        <f t="shared" si="1"/>
        <v>119.13000000000001</v>
      </c>
      <c r="H15" s="19">
        <f t="shared" si="2"/>
        <v>9.9275000000000002</v>
      </c>
      <c r="I15" s="19">
        <v>0.67700000000000005</v>
      </c>
      <c r="J15" s="19">
        <v>73.319999999999993</v>
      </c>
      <c r="K15">
        <v>1.1000000000000001</v>
      </c>
    </row>
    <row r="16" spans="1:11" customFormat="1" ht="14.25">
      <c r="A16">
        <v>41.5</v>
      </c>
      <c r="B16" s="21" t="s">
        <v>129</v>
      </c>
      <c r="C16" s="21" t="s">
        <v>107</v>
      </c>
      <c r="D16">
        <v>2191.1999999999998</v>
      </c>
      <c r="E16" s="22">
        <v>52.8</v>
      </c>
      <c r="F16" s="19">
        <f t="shared" si="0"/>
        <v>2410.3200000000002</v>
      </c>
      <c r="G16" s="19">
        <f t="shared" si="1"/>
        <v>58.08</v>
      </c>
      <c r="H16" s="19">
        <f t="shared" si="2"/>
        <v>4.84</v>
      </c>
      <c r="I16" s="19">
        <v>0.68600000000000005</v>
      </c>
      <c r="J16" s="19">
        <v>36.22</v>
      </c>
      <c r="K16">
        <v>1.1000000000000001</v>
      </c>
    </row>
    <row r="17" spans="1:11" customFormat="1" ht="14.25">
      <c r="A17">
        <v>5.6</v>
      </c>
      <c r="B17" s="21" t="s">
        <v>167</v>
      </c>
      <c r="C17" s="21" t="s">
        <v>107</v>
      </c>
      <c r="D17">
        <v>2297.6999999999998</v>
      </c>
      <c r="E17" s="22">
        <v>414</v>
      </c>
      <c r="F17" s="19">
        <f t="shared" si="0"/>
        <v>2527.4699999999998</v>
      </c>
      <c r="G17" s="19">
        <f t="shared" si="1"/>
        <v>455.40000000000003</v>
      </c>
      <c r="H17" s="19">
        <f t="shared" si="2"/>
        <v>37.950000000000003</v>
      </c>
      <c r="I17" s="19">
        <v>0.379</v>
      </c>
      <c r="J17" s="19">
        <v>156.9</v>
      </c>
      <c r="K17">
        <v>1.1000000000000001</v>
      </c>
    </row>
    <row r="18" spans="1:11" customFormat="1" ht="14.25">
      <c r="A18">
        <v>142</v>
      </c>
      <c r="B18" s="21" t="s">
        <v>148</v>
      </c>
      <c r="C18" s="21" t="s">
        <v>111</v>
      </c>
      <c r="D18">
        <v>33830.1</v>
      </c>
      <c r="E18" s="22">
        <v>238.2</v>
      </c>
      <c r="F18" s="19">
        <f t="shared" si="0"/>
        <v>37213.11</v>
      </c>
      <c r="G18" s="19">
        <f t="shared" si="1"/>
        <v>262.02</v>
      </c>
      <c r="H18" s="19">
        <f t="shared" si="2"/>
        <v>21.834999999999997</v>
      </c>
      <c r="I18" s="19">
        <v>1.85</v>
      </c>
      <c r="J18" s="19">
        <v>440.74</v>
      </c>
      <c r="K18">
        <v>1.1000000000000001</v>
      </c>
    </row>
    <row r="19" spans="1:11" customFormat="1" ht="14.25">
      <c r="A19">
        <v>10.4</v>
      </c>
      <c r="B19" s="21" t="s">
        <v>162</v>
      </c>
      <c r="C19" s="21" t="s">
        <v>111</v>
      </c>
      <c r="D19">
        <v>195.5</v>
      </c>
      <c r="E19" s="22">
        <v>18.8</v>
      </c>
      <c r="F19" s="19">
        <f t="shared" si="0"/>
        <v>215.05</v>
      </c>
      <c r="G19" s="19">
        <f t="shared" si="1"/>
        <v>20.680000000000003</v>
      </c>
      <c r="H19" s="19">
        <f t="shared" si="2"/>
        <v>1.7233333333333336</v>
      </c>
      <c r="I19" s="19">
        <v>0.5</v>
      </c>
      <c r="J19" s="19">
        <v>9.4</v>
      </c>
      <c r="K19">
        <v>1.1000000000000001</v>
      </c>
    </row>
    <row r="20" spans="1:11" customFormat="1" ht="14.25">
      <c r="A20">
        <v>30.7</v>
      </c>
      <c r="B20" s="21" t="s">
        <v>150</v>
      </c>
      <c r="C20" s="21" t="s">
        <v>111</v>
      </c>
      <c r="D20">
        <v>1905.7</v>
      </c>
      <c r="E20" s="22">
        <v>62.075000000000003</v>
      </c>
      <c r="F20" s="19">
        <f t="shared" si="0"/>
        <v>2096.2700000000004</v>
      </c>
      <c r="G20" s="19">
        <f t="shared" si="1"/>
        <v>68.282500000000013</v>
      </c>
      <c r="H20" s="19">
        <f t="shared" si="2"/>
        <v>5.6902083333333344</v>
      </c>
      <c r="I20" s="19">
        <v>0.9</v>
      </c>
      <c r="J20" s="19">
        <v>55.87</v>
      </c>
      <c r="K20">
        <v>1.1000000000000001</v>
      </c>
    </row>
    <row r="21" spans="1:11" customFormat="1" ht="14.25">
      <c r="A21">
        <v>66.3</v>
      </c>
      <c r="B21" s="21" t="s">
        <v>149</v>
      </c>
      <c r="C21" s="21" t="s">
        <v>111</v>
      </c>
      <c r="D21">
        <v>3931.6</v>
      </c>
      <c r="E21" s="22">
        <v>59.3</v>
      </c>
      <c r="F21" s="19">
        <f t="shared" si="0"/>
        <v>4324.76</v>
      </c>
      <c r="G21" s="19">
        <f t="shared" si="1"/>
        <v>65.23</v>
      </c>
      <c r="H21" s="19">
        <f t="shared" si="2"/>
        <v>5.435833333333334</v>
      </c>
      <c r="I21" s="19">
        <v>1.5</v>
      </c>
      <c r="J21" s="19">
        <v>88.95</v>
      </c>
      <c r="K21">
        <v>1.1000000000000001</v>
      </c>
    </row>
    <row r="22" spans="1:11" customFormat="1" ht="14.25">
      <c r="A22">
        <v>122</v>
      </c>
      <c r="B22" s="21" t="s">
        <v>151</v>
      </c>
      <c r="C22" s="21" t="s">
        <v>111</v>
      </c>
      <c r="D22">
        <v>14698.6</v>
      </c>
      <c r="E22" s="22">
        <v>120.48</v>
      </c>
      <c r="F22" s="19">
        <f t="shared" si="0"/>
        <v>16168.460000000001</v>
      </c>
      <c r="G22" s="19">
        <f t="shared" si="1"/>
        <v>132.52800000000002</v>
      </c>
      <c r="H22" s="19">
        <f t="shared" si="2"/>
        <v>11.044000000000002</v>
      </c>
      <c r="I22" s="19">
        <v>2</v>
      </c>
      <c r="J22" s="19">
        <v>240.96</v>
      </c>
      <c r="K22">
        <v>1.1000000000000001</v>
      </c>
    </row>
    <row r="23" spans="1:11" customFormat="1" ht="14.25">
      <c r="A23">
        <v>0</v>
      </c>
      <c r="B23" s="21" t="s">
        <v>168</v>
      </c>
      <c r="C23" s="21" t="s">
        <v>111</v>
      </c>
      <c r="D23">
        <v>0</v>
      </c>
      <c r="E23" s="22">
        <v>28.8</v>
      </c>
      <c r="F23" s="19">
        <f t="shared" si="0"/>
        <v>0</v>
      </c>
      <c r="G23" s="19">
        <f t="shared" si="1"/>
        <v>31.680000000000003</v>
      </c>
      <c r="H23" s="19">
        <f t="shared" si="2"/>
        <v>2.64</v>
      </c>
      <c r="I23" s="19">
        <v>0</v>
      </c>
      <c r="J23" s="19">
        <v>0</v>
      </c>
      <c r="K23">
        <v>1.1000000000000001</v>
      </c>
    </row>
    <row r="24" spans="1:11" customFormat="1" ht="14.25">
      <c r="A24">
        <v>15.1</v>
      </c>
      <c r="B24" s="21" t="s">
        <v>159</v>
      </c>
      <c r="C24" s="21" t="s">
        <v>111</v>
      </c>
      <c r="D24">
        <v>52.5</v>
      </c>
      <c r="E24" s="22">
        <v>3.48</v>
      </c>
      <c r="F24" s="19">
        <f t="shared" si="0"/>
        <v>57.750000000000007</v>
      </c>
      <c r="G24" s="19">
        <f t="shared" si="1"/>
        <v>3.8280000000000003</v>
      </c>
      <c r="H24" s="19">
        <f t="shared" si="2"/>
        <v>0.31900000000000001</v>
      </c>
      <c r="I24" s="19">
        <v>0.39</v>
      </c>
      <c r="J24" s="19">
        <v>1.36</v>
      </c>
      <c r="K24">
        <v>1.1000000000000001</v>
      </c>
    </row>
    <row r="25" spans="1:11" customFormat="1" ht="14.25">
      <c r="A25">
        <v>19.899999999999999</v>
      </c>
      <c r="B25" s="21" t="s">
        <v>163</v>
      </c>
      <c r="C25" s="21" t="s">
        <v>111</v>
      </c>
      <c r="D25">
        <v>987</v>
      </c>
      <c r="E25" s="22">
        <v>49.6</v>
      </c>
      <c r="F25" s="19">
        <f t="shared" si="0"/>
        <v>1085.7</v>
      </c>
      <c r="G25" s="19">
        <f t="shared" si="1"/>
        <v>54.560000000000009</v>
      </c>
      <c r="H25" s="19">
        <f t="shared" si="2"/>
        <v>4.5466666666666677</v>
      </c>
      <c r="I25" s="19">
        <v>0.46899999999999997</v>
      </c>
      <c r="J25" s="19">
        <v>23.26</v>
      </c>
      <c r="K25">
        <v>1.1000000000000001</v>
      </c>
    </row>
    <row r="26" spans="1:11" customFormat="1" ht="14.25">
      <c r="A26">
        <v>4.5</v>
      </c>
      <c r="B26" s="21" t="s">
        <v>134</v>
      </c>
      <c r="C26" s="21" t="s">
        <v>111</v>
      </c>
      <c r="D26">
        <v>52.9</v>
      </c>
      <c r="E26" s="22">
        <v>11.76</v>
      </c>
      <c r="F26" s="19">
        <f t="shared" si="0"/>
        <v>58.190000000000005</v>
      </c>
      <c r="G26" s="19">
        <f t="shared" si="1"/>
        <v>12.936</v>
      </c>
      <c r="H26" s="19">
        <f t="shared" si="2"/>
        <v>1.0780000000000001</v>
      </c>
      <c r="I26" s="19">
        <v>0.19500000000000001</v>
      </c>
      <c r="J26" s="19">
        <v>2.29</v>
      </c>
      <c r="K26">
        <v>1.1000000000000001</v>
      </c>
    </row>
    <row r="27" spans="1:11" customFormat="1" ht="14.25">
      <c r="A27">
        <v>15.7</v>
      </c>
      <c r="B27" s="21" t="s">
        <v>110</v>
      </c>
      <c r="C27" s="21" t="s">
        <v>111</v>
      </c>
      <c r="D27">
        <v>2411.6999999999998</v>
      </c>
      <c r="E27" s="22">
        <v>239.2</v>
      </c>
      <c r="F27" s="19">
        <f t="shared" si="0"/>
        <v>2652.87</v>
      </c>
      <c r="G27" s="19">
        <f t="shared" si="1"/>
        <v>263.12</v>
      </c>
      <c r="H27" s="19">
        <f t="shared" si="2"/>
        <v>21.926666666666666</v>
      </c>
      <c r="I27" s="19">
        <v>0.4</v>
      </c>
      <c r="J27" s="19">
        <v>61.46</v>
      </c>
      <c r="K27">
        <v>1.1000000000000001</v>
      </c>
    </row>
    <row r="28" spans="1:11" customFormat="1" ht="14.25">
      <c r="A28">
        <v>11.3</v>
      </c>
      <c r="B28" s="21" t="s">
        <v>123</v>
      </c>
      <c r="C28" s="21" t="s">
        <v>111</v>
      </c>
      <c r="D28">
        <v>550.79999999999995</v>
      </c>
      <c r="E28" s="22">
        <v>40.9</v>
      </c>
      <c r="F28" s="19">
        <f t="shared" si="0"/>
        <v>605.88</v>
      </c>
      <c r="G28" s="19">
        <f t="shared" si="1"/>
        <v>44.99</v>
      </c>
      <c r="H28" s="19">
        <f t="shared" si="2"/>
        <v>3.749166666666667</v>
      </c>
      <c r="I28" s="19">
        <v>0.24</v>
      </c>
      <c r="J28" s="19">
        <v>11.7</v>
      </c>
      <c r="K28">
        <v>1.1000000000000001</v>
      </c>
    </row>
    <row r="29" spans="1:11" customFormat="1" ht="14.25">
      <c r="A29">
        <v>28.3</v>
      </c>
      <c r="B29" s="21" t="s">
        <v>117</v>
      </c>
      <c r="C29" s="21" t="s">
        <v>111</v>
      </c>
      <c r="D29">
        <v>3612.4</v>
      </c>
      <c r="E29" s="22">
        <v>221.1</v>
      </c>
      <c r="F29" s="19">
        <f t="shared" si="0"/>
        <v>3973.6400000000003</v>
      </c>
      <c r="G29" s="19">
        <f t="shared" si="1"/>
        <v>243.21</v>
      </c>
      <c r="H29" s="19">
        <f t="shared" si="2"/>
        <v>20.267500000000002</v>
      </c>
      <c r="I29" s="19">
        <v>0.48</v>
      </c>
      <c r="J29" s="19">
        <v>61.33</v>
      </c>
      <c r="K29">
        <v>1.1000000000000001</v>
      </c>
    </row>
    <row r="30" spans="1:11" customFormat="1" ht="14.25">
      <c r="A30">
        <v>39.9</v>
      </c>
      <c r="B30" s="21" t="s">
        <v>115</v>
      </c>
      <c r="C30" s="21" t="s">
        <v>111</v>
      </c>
      <c r="D30">
        <v>6549.9</v>
      </c>
      <c r="E30" s="22">
        <v>95</v>
      </c>
      <c r="F30" s="19">
        <f t="shared" si="0"/>
        <v>7204.89</v>
      </c>
      <c r="G30" s="19">
        <f t="shared" si="1"/>
        <v>104.50000000000001</v>
      </c>
      <c r="H30" s="19">
        <f t="shared" si="2"/>
        <v>8.7083333333333339</v>
      </c>
      <c r="I30" s="19">
        <v>0.50800000000000001</v>
      </c>
      <c r="J30" s="19">
        <v>83.44</v>
      </c>
      <c r="K30">
        <v>1.1000000000000001</v>
      </c>
    </row>
    <row r="31" spans="1:11" customFormat="1" ht="14.25">
      <c r="A31">
        <v>58.9</v>
      </c>
      <c r="B31" s="21" t="s">
        <v>131</v>
      </c>
      <c r="C31" s="21" t="s">
        <v>111</v>
      </c>
      <c r="D31">
        <v>15353.2</v>
      </c>
      <c r="E31" s="22">
        <v>264.39999999999998</v>
      </c>
      <c r="F31" s="19">
        <f t="shared" si="0"/>
        <v>16888.52</v>
      </c>
      <c r="G31" s="19">
        <f t="shared" si="1"/>
        <v>290.83999999999997</v>
      </c>
      <c r="H31" s="19">
        <f t="shared" si="2"/>
        <v>24.236666666666665</v>
      </c>
      <c r="I31" s="19">
        <v>0.6</v>
      </c>
      <c r="J31" s="19">
        <v>156.47</v>
      </c>
      <c r="K31">
        <v>1.1000000000000001</v>
      </c>
    </row>
    <row r="32" spans="1:11" customFormat="1" ht="14.25">
      <c r="A32">
        <v>35.299999999999997</v>
      </c>
      <c r="B32" s="21" t="s">
        <v>127</v>
      </c>
      <c r="C32" s="21" t="s">
        <v>111</v>
      </c>
      <c r="D32">
        <v>174.5</v>
      </c>
      <c r="E32" s="22">
        <v>4.9400000000000004</v>
      </c>
      <c r="F32" s="19">
        <f t="shared" si="0"/>
        <v>191.95000000000002</v>
      </c>
      <c r="G32" s="19">
        <f t="shared" si="1"/>
        <v>5.4340000000000011</v>
      </c>
      <c r="H32" s="19">
        <f t="shared" si="2"/>
        <v>0.45283333333333342</v>
      </c>
      <c r="I32" s="19">
        <v>0.3</v>
      </c>
      <c r="J32" s="19">
        <v>1.48</v>
      </c>
      <c r="K32">
        <v>1.1000000000000001</v>
      </c>
    </row>
    <row r="33" spans="1:22" customFormat="1" ht="14.25">
      <c r="A33">
        <v>68.7</v>
      </c>
      <c r="B33" s="21" t="s">
        <v>139</v>
      </c>
      <c r="C33" s="21" t="s">
        <v>111</v>
      </c>
      <c r="D33">
        <v>4299.5</v>
      </c>
      <c r="E33" s="22">
        <v>62.594999999999999</v>
      </c>
      <c r="F33" s="19">
        <f t="shared" si="0"/>
        <v>4729.4500000000007</v>
      </c>
      <c r="G33" s="19">
        <f t="shared" si="1"/>
        <v>68.854500000000002</v>
      </c>
      <c r="H33" s="19">
        <f t="shared" si="2"/>
        <v>5.7378749999999998</v>
      </c>
      <c r="I33" s="19">
        <v>0.5</v>
      </c>
      <c r="J33" s="19">
        <v>31.3</v>
      </c>
      <c r="K33">
        <v>1.1000000000000001</v>
      </c>
    </row>
    <row r="34" spans="1:22" customFormat="1" ht="14.25">
      <c r="A34">
        <v>25.1</v>
      </c>
      <c r="B34" s="21" t="s">
        <v>143</v>
      </c>
      <c r="C34" s="21" t="s">
        <v>111</v>
      </c>
      <c r="D34">
        <v>52.2</v>
      </c>
      <c r="E34" s="22">
        <v>2.08</v>
      </c>
      <c r="F34" s="19">
        <f t="shared" si="0"/>
        <v>57.420000000000009</v>
      </c>
      <c r="G34" s="19">
        <f t="shared" si="1"/>
        <v>2.2880000000000003</v>
      </c>
      <c r="H34" s="19">
        <f t="shared" si="2"/>
        <v>0.19066666666666668</v>
      </c>
      <c r="I34" s="19">
        <v>0.16</v>
      </c>
      <c r="J34" s="19">
        <v>0.33</v>
      </c>
      <c r="K34">
        <v>1.1000000000000001</v>
      </c>
    </row>
    <row r="35" spans="1:22" customFormat="1" ht="14.25">
      <c r="A35">
        <v>8.4</v>
      </c>
      <c r="B35" s="21" t="s">
        <v>138</v>
      </c>
      <c r="C35" s="21" t="s">
        <v>111</v>
      </c>
      <c r="D35">
        <v>1276.5999999999999</v>
      </c>
      <c r="E35" s="22">
        <v>154.9</v>
      </c>
      <c r="F35" s="19">
        <f t="shared" si="0"/>
        <v>1404.26</v>
      </c>
      <c r="G35" s="19">
        <f t="shared" si="1"/>
        <v>170.39000000000001</v>
      </c>
      <c r="H35" s="19">
        <f t="shared" si="2"/>
        <v>14.199166666666668</v>
      </c>
      <c r="I35" s="19">
        <v>0.43</v>
      </c>
      <c r="J35" s="19">
        <v>55.27</v>
      </c>
      <c r="K35">
        <v>1.1000000000000001</v>
      </c>
    </row>
    <row r="36" spans="1:22" customFormat="1" ht="14.25">
      <c r="A36">
        <v>50</v>
      </c>
      <c r="B36" s="21" t="s">
        <v>145</v>
      </c>
      <c r="C36" s="21" t="s">
        <v>111</v>
      </c>
      <c r="D36">
        <v>2988.1</v>
      </c>
      <c r="E36" s="22">
        <v>59.816000000000003</v>
      </c>
      <c r="F36" s="19">
        <f t="shared" si="0"/>
        <v>3286.9100000000003</v>
      </c>
      <c r="G36" s="19">
        <f t="shared" si="1"/>
        <v>65.797600000000003</v>
      </c>
      <c r="H36" s="19">
        <f t="shared" si="2"/>
        <v>5.4831333333333339</v>
      </c>
      <c r="I36" s="19">
        <v>3.3940000000000001</v>
      </c>
      <c r="J36" s="19">
        <v>203.02</v>
      </c>
      <c r="K36">
        <v>1.1000000000000001</v>
      </c>
    </row>
    <row r="37" spans="1:22" customFormat="1" ht="14.25">
      <c r="A37">
        <v>63.9</v>
      </c>
      <c r="B37" s="21" t="s">
        <v>132</v>
      </c>
      <c r="C37" s="21" t="s">
        <v>111</v>
      </c>
      <c r="D37">
        <v>2945.5</v>
      </c>
      <c r="E37" s="22">
        <v>46.064</v>
      </c>
      <c r="F37" s="19">
        <f t="shared" si="0"/>
        <v>3240.05</v>
      </c>
      <c r="G37" s="19">
        <f t="shared" si="1"/>
        <v>50.670400000000001</v>
      </c>
      <c r="H37" s="19">
        <f t="shared" si="2"/>
        <v>4.2225333333333337</v>
      </c>
      <c r="I37" s="19">
        <v>3.3940000000000001</v>
      </c>
      <c r="J37" s="19">
        <v>156.34</v>
      </c>
      <c r="K37">
        <v>1.1000000000000001</v>
      </c>
    </row>
    <row r="38" spans="1:22">
      <c r="A38">
        <v>270.60000000000002</v>
      </c>
      <c r="B38" s="21" t="s">
        <v>170</v>
      </c>
      <c r="C38" s="21" t="s">
        <v>111</v>
      </c>
      <c r="D38">
        <v>4968</v>
      </c>
      <c r="E38" s="22">
        <v>18.36</v>
      </c>
      <c r="F38" s="19">
        <f t="shared" si="0"/>
        <v>5464.8</v>
      </c>
      <c r="G38" s="19">
        <f t="shared" si="1"/>
        <v>20.196000000000002</v>
      </c>
      <c r="H38" s="19">
        <f t="shared" si="2"/>
        <v>1.6830000000000001</v>
      </c>
      <c r="I38" s="19">
        <v>0</v>
      </c>
      <c r="J38" s="19">
        <v>0</v>
      </c>
      <c r="K38">
        <v>1.1000000000000001</v>
      </c>
      <c r="L38"/>
      <c r="M38"/>
      <c r="N38"/>
      <c r="O38"/>
      <c r="P38"/>
      <c r="Q38"/>
      <c r="R38"/>
      <c r="S38"/>
      <c r="T38"/>
      <c r="U38"/>
      <c r="V38"/>
    </row>
    <row r="39" spans="1:2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</sheetData>
  <sortState xmlns:xlrd2="http://schemas.microsoft.com/office/spreadsheetml/2017/richdata2" ref="A7:K39">
    <sortCondition ref="B7"/>
    <sortCondition ref="C7"/>
  </sortState>
  <dataConsolidate link="1"/>
  <mergeCells count="9">
    <mergeCell ref="I1:I3"/>
    <mergeCell ref="E1:G1"/>
    <mergeCell ref="A2:A3"/>
    <mergeCell ref="B2:B3"/>
    <mergeCell ref="C2:C3"/>
    <mergeCell ref="D2:D3"/>
    <mergeCell ref="E2:E3"/>
    <mergeCell ref="F2:G2"/>
    <mergeCell ref="H2:H3"/>
  </mergeCells>
  <phoneticPr fontId="10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orientation="landscape" blackAndWhite="1" horizontalDpi="360" verticalDpi="360" r:id="rId1"/>
  <headerFooter alignWithMargins="0">
    <oddHeader>&amp;RLeht &amp;P / Lehti &amp;N</oddHeader>
    <oddFooter>&amp;L&amp;F&amp;R&amp;T -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eht11"/>
  <dimension ref="A1:V484"/>
  <sheetViews>
    <sheetView workbookViewId="0">
      <selection sqref="A1:B1"/>
    </sheetView>
  </sheetViews>
  <sheetFormatPr defaultColWidth="9.140625" defaultRowHeight="16.350000000000001"/>
  <cols>
    <col min="1" max="1" width="8.42578125" style="8" bestFit="1" customWidth="1"/>
    <col min="2" max="2" width="29.7109375" style="5" bestFit="1" customWidth="1"/>
    <col min="3" max="3" width="12.140625" style="12" customWidth="1"/>
    <col min="4" max="4" width="8.140625" style="12" customWidth="1"/>
    <col min="5" max="5" width="10.7109375" style="13" customWidth="1"/>
    <col min="6" max="6" width="10.85546875" style="8" bestFit="1" customWidth="1"/>
    <col min="7" max="7" width="21.28515625" style="12" customWidth="1"/>
    <col min="8" max="8" width="21.28515625" style="15" customWidth="1"/>
    <col min="9" max="9" width="9.140625" style="15" bestFit="1" customWidth="1"/>
    <col min="10" max="10" width="15" style="16" customWidth="1"/>
    <col min="11" max="11" width="13.85546875" style="16" customWidth="1"/>
    <col min="12" max="16384" width="9.140625" style="7"/>
  </cols>
  <sheetData>
    <row r="1" spans="1:22" ht="39.200000000000003" customHeight="1">
      <c r="A1" s="481" t="s">
        <v>221</v>
      </c>
      <c r="B1" s="482"/>
      <c r="C1" s="483"/>
      <c r="D1" s="483"/>
      <c r="E1" s="484"/>
      <c r="F1" s="391"/>
      <c r="G1" s="392"/>
      <c r="H1" s="393"/>
      <c r="I1" s="393"/>
      <c r="J1" s="485" t="s">
        <v>222</v>
      </c>
      <c r="K1" s="48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</row>
    <row r="2" spans="1:22" ht="19.149999999999999">
      <c r="A2" s="485" t="s">
        <v>222</v>
      </c>
      <c r="B2" s="485"/>
      <c r="C2" s="486"/>
      <c r="D2" s="486"/>
      <c r="E2" s="394"/>
      <c r="F2" s="391"/>
      <c r="G2" s="392"/>
      <c r="H2" s="393"/>
      <c r="I2" s="393"/>
      <c r="J2" s="395"/>
      <c r="K2" s="39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</row>
    <row r="3" spans="1:22">
      <c r="A3" s="487" t="s">
        <v>223</v>
      </c>
      <c r="B3" s="487"/>
      <c r="C3" s="486"/>
      <c r="D3" s="486"/>
      <c r="E3" s="394"/>
      <c r="F3" s="391"/>
      <c r="G3" s="392"/>
      <c r="H3" s="393"/>
      <c r="I3" s="393"/>
      <c r="J3" s="395"/>
      <c r="K3" s="39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2">
      <c r="A4" s="478" t="s">
        <v>35</v>
      </c>
      <c r="B4" s="478"/>
      <c r="C4" s="479" t="s">
        <v>224</v>
      </c>
      <c r="D4" s="480"/>
      <c r="E4" s="480"/>
      <c r="F4" s="480"/>
      <c r="G4" s="480"/>
      <c r="H4" s="393"/>
      <c r="I4" s="393"/>
      <c r="J4" s="395"/>
      <c r="K4" s="39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</row>
    <row r="5" spans="1:22" s="15" customFormat="1">
      <c r="A5" s="384" t="s">
        <v>225</v>
      </c>
      <c r="B5" s="396" t="s">
        <v>202</v>
      </c>
      <c r="C5" s="383" t="s">
        <v>226</v>
      </c>
      <c r="D5" s="383" t="s">
        <v>186</v>
      </c>
      <c r="E5" s="383" t="s">
        <v>227</v>
      </c>
      <c r="F5" s="397" t="s">
        <v>228</v>
      </c>
      <c r="G5" s="383" t="s">
        <v>229</v>
      </c>
      <c r="H5" s="383" t="s">
        <v>230</v>
      </c>
      <c r="I5" s="383" t="s">
        <v>231</v>
      </c>
      <c r="J5" s="383" t="s">
        <v>180</v>
      </c>
      <c r="K5" s="383" t="s">
        <v>232</v>
      </c>
      <c r="L5" s="393"/>
      <c r="M5" s="393"/>
      <c r="N5" s="393"/>
      <c r="O5" s="393"/>
      <c r="P5" s="393"/>
      <c r="Q5" s="393"/>
      <c r="R5" s="393"/>
      <c r="S5" s="393"/>
      <c r="T5" s="393"/>
      <c r="U5" s="393"/>
      <c r="V5" s="393"/>
    </row>
    <row r="6" spans="1:2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>
      <c r="A7">
        <f t="shared" ref="A7:A35" si="0">ROW()-6</f>
        <v>1</v>
      </c>
      <c r="B7" t="s">
        <v>233</v>
      </c>
      <c r="C7" s="21" t="s">
        <v>100</v>
      </c>
      <c r="D7">
        <v>104</v>
      </c>
      <c r="E7">
        <v>32</v>
      </c>
      <c r="F7">
        <v>3286</v>
      </c>
      <c r="G7" t="s">
        <v>234</v>
      </c>
      <c r="H7"/>
      <c r="I7"/>
      <c r="J7" s="21" t="s">
        <v>174</v>
      </c>
      <c r="K7"/>
      <c r="L7"/>
      <c r="M7"/>
      <c r="N7"/>
      <c r="O7"/>
      <c r="P7"/>
      <c r="Q7"/>
      <c r="R7"/>
      <c r="S7"/>
      <c r="T7"/>
      <c r="U7"/>
      <c r="V7"/>
    </row>
    <row r="8" spans="1:22">
      <c r="A8">
        <f t="shared" si="0"/>
        <v>2</v>
      </c>
      <c r="B8" t="s">
        <v>233</v>
      </c>
      <c r="C8" s="21" t="s">
        <v>100</v>
      </c>
      <c r="D8">
        <v>73</v>
      </c>
      <c r="E8">
        <v>81</v>
      </c>
      <c r="F8">
        <v>5912</v>
      </c>
      <c r="G8" t="s">
        <v>235</v>
      </c>
      <c r="H8"/>
      <c r="I8"/>
      <c r="J8" s="21" t="s">
        <v>174</v>
      </c>
      <c r="K8"/>
      <c r="L8"/>
      <c r="M8"/>
      <c r="N8"/>
      <c r="O8"/>
      <c r="P8"/>
      <c r="Q8"/>
      <c r="R8"/>
      <c r="S8"/>
      <c r="T8"/>
      <c r="U8"/>
      <c r="V8"/>
    </row>
    <row r="9" spans="1:22">
      <c r="A9">
        <f t="shared" si="0"/>
        <v>3</v>
      </c>
      <c r="B9" t="s">
        <v>236</v>
      </c>
      <c r="C9" s="21" t="s">
        <v>109</v>
      </c>
      <c r="D9">
        <v>5</v>
      </c>
      <c r="E9">
        <v>74</v>
      </c>
      <c r="F9">
        <v>371</v>
      </c>
      <c r="G9" t="s">
        <v>237</v>
      </c>
      <c r="H9"/>
      <c r="I9"/>
      <c r="J9" s="21" t="s">
        <v>174</v>
      </c>
      <c r="K9"/>
      <c r="L9"/>
      <c r="M9"/>
      <c r="N9"/>
      <c r="O9"/>
      <c r="P9"/>
      <c r="Q9"/>
      <c r="R9"/>
      <c r="S9"/>
      <c r="T9"/>
      <c r="U9"/>
      <c r="V9"/>
    </row>
    <row r="10" spans="1:22">
      <c r="A10">
        <f t="shared" si="0"/>
        <v>4</v>
      </c>
      <c r="B10" t="s">
        <v>144</v>
      </c>
      <c r="C10" s="21" t="s">
        <v>109</v>
      </c>
      <c r="D10">
        <v>8</v>
      </c>
      <c r="E10">
        <v>1421</v>
      </c>
      <c r="F10">
        <v>11371</v>
      </c>
      <c r="G10" t="s">
        <v>238</v>
      </c>
      <c r="H10"/>
      <c r="I10"/>
      <c r="J10" s="21" t="s">
        <v>174</v>
      </c>
      <c r="K10"/>
      <c r="L10"/>
      <c r="M10"/>
      <c r="N10"/>
      <c r="O10"/>
      <c r="P10"/>
      <c r="Q10"/>
      <c r="R10"/>
      <c r="S10"/>
      <c r="T10"/>
      <c r="U10"/>
      <c r="V10"/>
    </row>
    <row r="11" spans="1:22">
      <c r="A11">
        <f t="shared" si="0"/>
        <v>5</v>
      </c>
      <c r="B11" t="s">
        <v>103</v>
      </c>
      <c r="C11" s="21" t="s">
        <v>100</v>
      </c>
      <c r="D11">
        <v>8</v>
      </c>
      <c r="E11">
        <v>1165</v>
      </c>
      <c r="F11">
        <v>9323</v>
      </c>
      <c r="G11" t="s">
        <v>239</v>
      </c>
      <c r="H11"/>
      <c r="I11"/>
      <c r="J11" s="21" t="s">
        <v>174</v>
      </c>
      <c r="K11"/>
      <c r="L11"/>
      <c r="M11"/>
      <c r="N11"/>
      <c r="O11"/>
      <c r="P11"/>
      <c r="Q11"/>
      <c r="R11"/>
      <c r="S11"/>
      <c r="T11"/>
      <c r="U11"/>
      <c r="V11"/>
    </row>
    <row r="12" spans="1:22">
      <c r="A12">
        <f t="shared" si="0"/>
        <v>6</v>
      </c>
      <c r="B12" t="s">
        <v>240</v>
      </c>
      <c r="C12" s="21" t="s">
        <v>100</v>
      </c>
      <c r="D12">
        <v>16</v>
      </c>
      <c r="E12">
        <v>2149</v>
      </c>
      <c r="F12">
        <v>34378</v>
      </c>
      <c r="G12" t="s">
        <v>241</v>
      </c>
      <c r="H12"/>
      <c r="I12"/>
      <c r="J12" s="21" t="s">
        <v>174</v>
      </c>
      <c r="K12"/>
      <c r="L12"/>
      <c r="M12"/>
      <c r="N12"/>
      <c r="O12"/>
      <c r="P12"/>
      <c r="Q12"/>
      <c r="R12"/>
      <c r="S12"/>
      <c r="T12"/>
      <c r="U12"/>
      <c r="V12"/>
    </row>
    <row r="13" spans="1:22">
      <c r="A13">
        <f t="shared" si="0"/>
        <v>7</v>
      </c>
      <c r="B13" t="s">
        <v>242</v>
      </c>
      <c r="C13" s="21" t="s">
        <v>100</v>
      </c>
      <c r="D13">
        <v>4</v>
      </c>
      <c r="E13">
        <v>1002</v>
      </c>
      <c r="F13">
        <v>4007</v>
      </c>
      <c r="G13" t="s">
        <v>243</v>
      </c>
      <c r="H13"/>
      <c r="I13"/>
      <c r="J13" s="21" t="s">
        <v>174</v>
      </c>
      <c r="K13"/>
      <c r="L13"/>
      <c r="M13"/>
      <c r="N13"/>
      <c r="O13"/>
      <c r="P13"/>
      <c r="Q13"/>
      <c r="R13"/>
      <c r="S13"/>
      <c r="T13"/>
      <c r="U13"/>
      <c r="V13"/>
    </row>
    <row r="14" spans="1:22">
      <c r="A14">
        <f t="shared" si="0"/>
        <v>8</v>
      </c>
      <c r="B14" t="s">
        <v>244</v>
      </c>
      <c r="C14" s="21" t="s">
        <v>100</v>
      </c>
      <c r="D14">
        <v>16</v>
      </c>
      <c r="E14">
        <v>994</v>
      </c>
      <c r="F14">
        <v>15904</v>
      </c>
      <c r="G14" t="s">
        <v>245</v>
      </c>
      <c r="H14"/>
      <c r="I14"/>
      <c r="J14" s="21" t="s">
        <v>174</v>
      </c>
      <c r="K14"/>
      <c r="L14"/>
      <c r="M14"/>
      <c r="N14"/>
      <c r="O14"/>
      <c r="P14"/>
      <c r="Q14"/>
      <c r="R14"/>
      <c r="S14"/>
      <c r="T14"/>
      <c r="U14"/>
      <c r="V14"/>
    </row>
    <row r="15" spans="1:22">
      <c r="A15">
        <f t="shared" si="0"/>
        <v>9</v>
      </c>
      <c r="B15" t="s">
        <v>130</v>
      </c>
      <c r="C15" s="21" t="s">
        <v>100</v>
      </c>
      <c r="D15">
        <v>46</v>
      </c>
      <c r="E15">
        <v>26</v>
      </c>
      <c r="F15">
        <v>1213</v>
      </c>
      <c r="G15" t="s">
        <v>246</v>
      </c>
      <c r="H15"/>
      <c r="I15"/>
      <c r="J15" s="21" t="s">
        <v>174</v>
      </c>
      <c r="K15"/>
      <c r="L15"/>
      <c r="M15"/>
      <c r="N15"/>
      <c r="O15"/>
      <c r="P15"/>
      <c r="Q15"/>
      <c r="R15"/>
      <c r="S15"/>
      <c r="T15"/>
      <c r="U15"/>
      <c r="V15"/>
    </row>
    <row r="16" spans="1:22">
      <c r="A16">
        <f t="shared" si="0"/>
        <v>10</v>
      </c>
      <c r="B16" t="s">
        <v>247</v>
      </c>
      <c r="C16" s="21" t="s">
        <v>100</v>
      </c>
      <c r="D16">
        <v>16</v>
      </c>
      <c r="E16">
        <v>25</v>
      </c>
      <c r="F16">
        <v>394</v>
      </c>
      <c r="G16" t="s">
        <v>248</v>
      </c>
      <c r="H16"/>
      <c r="I16"/>
      <c r="J16" s="21" t="s">
        <v>174</v>
      </c>
      <c r="K16"/>
      <c r="L16"/>
      <c r="M16"/>
      <c r="N16"/>
      <c r="O16"/>
      <c r="P16"/>
      <c r="Q16"/>
      <c r="R16"/>
      <c r="S16"/>
      <c r="T16"/>
      <c r="U16"/>
      <c r="V16"/>
    </row>
    <row r="17" spans="1:22">
      <c r="A17">
        <f t="shared" si="0"/>
        <v>11</v>
      </c>
      <c r="B17" t="s">
        <v>249</v>
      </c>
      <c r="C17" s="21" t="s">
        <v>100</v>
      </c>
      <c r="D17">
        <v>14</v>
      </c>
      <c r="E17">
        <v>72</v>
      </c>
      <c r="F17">
        <v>1002</v>
      </c>
      <c r="G17" t="s">
        <v>250</v>
      </c>
      <c r="H17"/>
      <c r="I17"/>
      <c r="J17" s="21" t="s">
        <v>174</v>
      </c>
      <c r="K17"/>
      <c r="L17"/>
      <c r="M17"/>
      <c r="N17"/>
      <c r="O17"/>
      <c r="P17"/>
      <c r="Q17"/>
      <c r="R17"/>
      <c r="S17"/>
      <c r="T17"/>
      <c r="U17"/>
      <c r="V17"/>
    </row>
    <row r="18" spans="1:22">
      <c r="A18">
        <f t="shared" si="0"/>
        <v>12</v>
      </c>
      <c r="B18" t="s">
        <v>249</v>
      </c>
      <c r="C18" s="21" t="s">
        <v>100</v>
      </c>
      <c r="D18">
        <v>20</v>
      </c>
      <c r="E18">
        <v>42</v>
      </c>
      <c r="F18">
        <v>848</v>
      </c>
      <c r="G18" t="s">
        <v>251</v>
      </c>
      <c r="H18"/>
      <c r="I18"/>
      <c r="J18" s="21" t="s">
        <v>174</v>
      </c>
      <c r="K18"/>
      <c r="L18"/>
      <c r="M18"/>
      <c r="N18"/>
      <c r="O18"/>
      <c r="P18"/>
      <c r="Q18"/>
      <c r="R18"/>
      <c r="S18"/>
      <c r="T18"/>
      <c r="U18"/>
      <c r="V18"/>
    </row>
    <row r="19" spans="1:22">
      <c r="A19">
        <f t="shared" si="0"/>
        <v>13</v>
      </c>
      <c r="B19" t="s">
        <v>252</v>
      </c>
      <c r="C19" s="21" t="s">
        <v>100</v>
      </c>
      <c r="D19">
        <v>1</v>
      </c>
      <c r="E19">
        <v>97</v>
      </c>
      <c r="F19">
        <v>97</v>
      </c>
      <c r="G19" t="s">
        <v>253</v>
      </c>
      <c r="H19"/>
      <c r="I19"/>
      <c r="J19" s="21" t="s">
        <v>174</v>
      </c>
      <c r="K19"/>
      <c r="L19"/>
      <c r="M19"/>
      <c r="N19"/>
      <c r="O19"/>
      <c r="P19"/>
      <c r="Q19"/>
      <c r="R19"/>
      <c r="S19"/>
      <c r="T19"/>
      <c r="U19"/>
      <c r="V19"/>
    </row>
    <row r="20" spans="1:22">
      <c r="A20">
        <f t="shared" si="0"/>
        <v>14</v>
      </c>
      <c r="B20" t="s">
        <v>254</v>
      </c>
      <c r="C20" s="21" t="s">
        <v>100</v>
      </c>
      <c r="D20">
        <v>6</v>
      </c>
      <c r="E20">
        <v>190</v>
      </c>
      <c r="F20">
        <v>1142</v>
      </c>
      <c r="G20" t="s">
        <v>255</v>
      </c>
      <c r="H20"/>
      <c r="I20"/>
      <c r="J20" s="21" t="s">
        <v>174</v>
      </c>
      <c r="K20"/>
      <c r="L20"/>
      <c r="M20"/>
      <c r="N20"/>
      <c r="O20"/>
      <c r="P20"/>
      <c r="Q20"/>
      <c r="R20"/>
      <c r="S20"/>
      <c r="T20"/>
      <c r="U20"/>
      <c r="V20"/>
    </row>
    <row r="21" spans="1:22">
      <c r="A21">
        <f t="shared" si="0"/>
        <v>15</v>
      </c>
      <c r="B21" t="s">
        <v>254</v>
      </c>
      <c r="C21" s="21" t="s">
        <v>100</v>
      </c>
      <c r="D21">
        <v>13</v>
      </c>
      <c r="E21">
        <v>296</v>
      </c>
      <c r="F21">
        <v>3844</v>
      </c>
      <c r="G21" t="s">
        <v>256</v>
      </c>
      <c r="H21"/>
      <c r="I21"/>
      <c r="J21" s="21" t="s">
        <v>174</v>
      </c>
      <c r="K21"/>
      <c r="L21"/>
      <c r="M21"/>
      <c r="N21"/>
      <c r="O21"/>
      <c r="P21"/>
      <c r="Q21"/>
      <c r="R21"/>
      <c r="S21"/>
      <c r="T21"/>
      <c r="U21"/>
      <c r="V21"/>
    </row>
    <row r="22" spans="1:22">
      <c r="A22">
        <f t="shared" si="0"/>
        <v>16</v>
      </c>
      <c r="B22" t="s">
        <v>257</v>
      </c>
      <c r="C22" s="21" t="s">
        <v>100</v>
      </c>
      <c r="D22">
        <v>20</v>
      </c>
      <c r="E22">
        <v>314</v>
      </c>
      <c r="F22">
        <v>6276</v>
      </c>
      <c r="G22" t="s">
        <v>258</v>
      </c>
      <c r="H22"/>
      <c r="I22"/>
      <c r="J22" s="21" t="s">
        <v>174</v>
      </c>
      <c r="K22"/>
      <c r="L22"/>
      <c r="M22"/>
      <c r="N22"/>
      <c r="O22"/>
      <c r="P22"/>
      <c r="Q22"/>
      <c r="R22"/>
      <c r="S22"/>
      <c r="T22"/>
      <c r="U22"/>
      <c r="V22"/>
    </row>
    <row r="23" spans="1:22">
      <c r="A23">
        <f t="shared" si="0"/>
        <v>17</v>
      </c>
      <c r="B23" t="s">
        <v>259</v>
      </c>
      <c r="C23" s="21" t="s">
        <v>100</v>
      </c>
      <c r="D23">
        <v>8</v>
      </c>
      <c r="E23">
        <v>316</v>
      </c>
      <c r="F23">
        <v>2524</v>
      </c>
      <c r="G23" t="s">
        <v>260</v>
      </c>
      <c r="H23"/>
      <c r="I23"/>
      <c r="J23" s="21" t="s">
        <v>174</v>
      </c>
      <c r="K23"/>
      <c r="L23"/>
      <c r="M23"/>
      <c r="N23"/>
      <c r="O23"/>
      <c r="P23"/>
      <c r="Q23"/>
      <c r="R23"/>
      <c r="S23"/>
      <c r="T23"/>
      <c r="U23"/>
      <c r="V23"/>
    </row>
    <row r="24" spans="1:22">
      <c r="A24">
        <f t="shared" si="0"/>
        <v>18</v>
      </c>
      <c r="B24" t="s">
        <v>261</v>
      </c>
      <c r="C24" s="21" t="s">
        <v>100</v>
      </c>
      <c r="D24">
        <v>4</v>
      </c>
      <c r="E24">
        <v>51</v>
      </c>
      <c r="F24">
        <v>205</v>
      </c>
      <c r="G24" t="s">
        <v>262</v>
      </c>
      <c r="H24"/>
      <c r="I24"/>
      <c r="J24" s="21" t="s">
        <v>174</v>
      </c>
      <c r="K24"/>
      <c r="L24"/>
      <c r="M24"/>
      <c r="N24"/>
      <c r="O24"/>
      <c r="P24"/>
      <c r="Q24"/>
      <c r="R24"/>
      <c r="S24"/>
      <c r="T24"/>
      <c r="U24"/>
      <c r="V24"/>
    </row>
    <row r="25" spans="1:22">
      <c r="A25">
        <f t="shared" si="0"/>
        <v>19</v>
      </c>
      <c r="B25" t="s">
        <v>263</v>
      </c>
      <c r="C25" s="21" t="s">
        <v>100</v>
      </c>
      <c r="D25">
        <v>13</v>
      </c>
      <c r="E25">
        <v>150</v>
      </c>
      <c r="F25">
        <v>1953</v>
      </c>
      <c r="G25" t="s">
        <v>264</v>
      </c>
      <c r="H25"/>
      <c r="I25"/>
      <c r="J25" s="21" t="s">
        <v>174</v>
      </c>
      <c r="K25"/>
      <c r="L25"/>
      <c r="M25"/>
      <c r="N25"/>
      <c r="O25"/>
      <c r="P25"/>
      <c r="Q25"/>
      <c r="R25"/>
      <c r="S25"/>
      <c r="T25"/>
      <c r="U25"/>
      <c r="V25"/>
    </row>
    <row r="26" spans="1:22">
      <c r="A26">
        <f t="shared" si="0"/>
        <v>20</v>
      </c>
      <c r="B26" t="s">
        <v>265</v>
      </c>
      <c r="C26" s="21" t="s">
        <v>100</v>
      </c>
      <c r="D26">
        <v>80</v>
      </c>
      <c r="E26">
        <v>81</v>
      </c>
      <c r="F26">
        <v>6495</v>
      </c>
      <c r="G26" t="s">
        <v>266</v>
      </c>
      <c r="H26"/>
      <c r="I26"/>
      <c r="J26" s="21" t="s">
        <v>174</v>
      </c>
      <c r="K26"/>
      <c r="L26"/>
      <c r="M26"/>
      <c r="N26"/>
      <c r="O26"/>
      <c r="P26"/>
      <c r="Q26"/>
      <c r="R26"/>
      <c r="S26"/>
      <c r="T26"/>
      <c r="U26"/>
      <c r="V26"/>
    </row>
    <row r="27" spans="1:22">
      <c r="A27">
        <f t="shared" si="0"/>
        <v>21</v>
      </c>
      <c r="B27" t="s">
        <v>267</v>
      </c>
      <c r="C27" s="21" t="s">
        <v>100</v>
      </c>
      <c r="D27">
        <v>1</v>
      </c>
      <c r="E27">
        <v>183</v>
      </c>
      <c r="F27">
        <v>183</v>
      </c>
      <c r="G27" t="s">
        <v>268</v>
      </c>
      <c r="H27"/>
      <c r="I27"/>
      <c r="J27" s="21" t="s">
        <v>174</v>
      </c>
      <c r="K27"/>
      <c r="L27"/>
      <c r="M27"/>
      <c r="N27"/>
      <c r="O27"/>
      <c r="P27"/>
      <c r="Q27"/>
      <c r="R27"/>
      <c r="S27"/>
      <c r="T27"/>
      <c r="U27"/>
      <c r="V27"/>
    </row>
    <row r="28" spans="1:22">
      <c r="A28">
        <f t="shared" si="0"/>
        <v>22</v>
      </c>
      <c r="B28" t="s">
        <v>269</v>
      </c>
      <c r="C28" s="21" t="s">
        <v>100</v>
      </c>
      <c r="D28">
        <v>8</v>
      </c>
      <c r="E28">
        <v>264</v>
      </c>
      <c r="F28">
        <v>2116</v>
      </c>
      <c r="G28" t="s">
        <v>270</v>
      </c>
      <c r="H28"/>
      <c r="I28"/>
      <c r="J28" s="21" t="s">
        <v>174</v>
      </c>
      <c r="K28"/>
      <c r="L28"/>
      <c r="M28"/>
      <c r="N28"/>
      <c r="O28"/>
      <c r="P28"/>
      <c r="Q28"/>
      <c r="R28"/>
      <c r="S28"/>
      <c r="T28"/>
      <c r="U28"/>
      <c r="V28"/>
    </row>
    <row r="29" spans="1:22">
      <c r="A29">
        <f t="shared" si="0"/>
        <v>23</v>
      </c>
      <c r="B29" t="s">
        <v>271</v>
      </c>
      <c r="C29" s="21" t="s">
        <v>109</v>
      </c>
      <c r="D29">
        <v>22</v>
      </c>
      <c r="E29">
        <v>147</v>
      </c>
      <c r="F29">
        <v>3227</v>
      </c>
      <c r="G29" t="s">
        <v>272</v>
      </c>
      <c r="H29"/>
      <c r="I29"/>
      <c r="J29" s="21" t="s">
        <v>174</v>
      </c>
      <c r="K29"/>
      <c r="L29"/>
      <c r="M29"/>
      <c r="N29"/>
      <c r="O29"/>
      <c r="P29"/>
      <c r="Q29"/>
      <c r="R29"/>
      <c r="S29"/>
      <c r="T29"/>
      <c r="U29"/>
      <c r="V29"/>
    </row>
    <row r="30" spans="1:22">
      <c r="A30">
        <f t="shared" si="0"/>
        <v>24</v>
      </c>
      <c r="B30" t="s">
        <v>273</v>
      </c>
      <c r="C30" s="21" t="s">
        <v>100</v>
      </c>
      <c r="D30">
        <v>16</v>
      </c>
      <c r="E30">
        <v>47</v>
      </c>
      <c r="F30">
        <v>759</v>
      </c>
      <c r="G30" t="s">
        <v>274</v>
      </c>
      <c r="H30"/>
      <c r="I30"/>
      <c r="J30" s="21" t="s">
        <v>174</v>
      </c>
      <c r="K30"/>
      <c r="L30"/>
      <c r="M30"/>
      <c r="N30"/>
      <c r="O30"/>
      <c r="P30"/>
      <c r="Q30"/>
      <c r="R30"/>
      <c r="S30"/>
      <c r="T30"/>
      <c r="U30"/>
      <c r="V30"/>
    </row>
    <row r="31" spans="1:22">
      <c r="A31">
        <f t="shared" si="0"/>
        <v>25</v>
      </c>
      <c r="B31" t="s">
        <v>275</v>
      </c>
      <c r="C31" s="21" t="s">
        <v>100</v>
      </c>
      <c r="D31">
        <v>20</v>
      </c>
      <c r="E31">
        <v>49</v>
      </c>
      <c r="F31">
        <v>987</v>
      </c>
      <c r="G31" t="s">
        <v>276</v>
      </c>
      <c r="H31"/>
      <c r="I31"/>
      <c r="J31" s="21" t="s">
        <v>174</v>
      </c>
      <c r="K31"/>
      <c r="L31"/>
      <c r="M31"/>
      <c r="N31"/>
      <c r="O31"/>
      <c r="P31"/>
      <c r="Q31"/>
      <c r="R31"/>
      <c r="S31"/>
      <c r="T31"/>
      <c r="U31"/>
      <c r="V31"/>
    </row>
    <row r="32" spans="1:22">
      <c r="A32">
        <f t="shared" si="0"/>
        <v>26</v>
      </c>
      <c r="B32" t="s">
        <v>277</v>
      </c>
      <c r="C32" s="21" t="s">
        <v>100</v>
      </c>
      <c r="D32">
        <v>72</v>
      </c>
      <c r="E32">
        <v>105</v>
      </c>
      <c r="F32">
        <v>7591</v>
      </c>
      <c r="G32" t="s">
        <v>278</v>
      </c>
      <c r="H32"/>
      <c r="I32"/>
      <c r="J32" s="21" t="s">
        <v>174</v>
      </c>
      <c r="K32"/>
      <c r="L32"/>
      <c r="M32"/>
      <c r="N32"/>
      <c r="O32"/>
      <c r="P32"/>
      <c r="Q32"/>
      <c r="R32"/>
      <c r="S32"/>
      <c r="T32"/>
      <c r="U32"/>
      <c r="V32"/>
    </row>
    <row r="33" spans="1:22">
      <c r="A33">
        <f t="shared" si="0"/>
        <v>27</v>
      </c>
      <c r="B33" t="s">
        <v>133</v>
      </c>
      <c r="C33" s="21" t="s">
        <v>109</v>
      </c>
      <c r="D33">
        <v>8</v>
      </c>
      <c r="E33">
        <v>7</v>
      </c>
      <c r="F33">
        <v>53</v>
      </c>
      <c r="G33" t="s">
        <v>279</v>
      </c>
      <c r="H33"/>
      <c r="I33"/>
      <c r="J33" s="21" t="s">
        <v>174</v>
      </c>
      <c r="K33"/>
      <c r="L33"/>
      <c r="M33"/>
      <c r="N33"/>
      <c r="O33"/>
      <c r="P33"/>
      <c r="Q33"/>
      <c r="R33"/>
      <c r="S33"/>
      <c r="T33"/>
      <c r="U33"/>
      <c r="V33"/>
    </row>
    <row r="34" spans="1:22">
      <c r="A34">
        <f t="shared" si="0"/>
        <v>28</v>
      </c>
      <c r="B34" t="s">
        <v>133</v>
      </c>
      <c r="C34" s="21" t="s">
        <v>109</v>
      </c>
      <c r="D34">
        <v>24</v>
      </c>
      <c r="E34">
        <v>2</v>
      </c>
      <c r="F34">
        <v>53</v>
      </c>
      <c r="G34" t="s">
        <v>280</v>
      </c>
      <c r="H34"/>
      <c r="I34"/>
      <c r="J34" s="21" t="s">
        <v>174</v>
      </c>
      <c r="K34"/>
      <c r="L34"/>
      <c r="M34"/>
      <c r="N34"/>
      <c r="O34"/>
      <c r="P34"/>
      <c r="Q34"/>
      <c r="R34"/>
      <c r="S34"/>
      <c r="T34"/>
      <c r="U34"/>
      <c r="V34"/>
    </row>
    <row r="35" spans="1:22">
      <c r="A35">
        <f t="shared" si="0"/>
        <v>29</v>
      </c>
      <c r="B35" t="s">
        <v>137</v>
      </c>
      <c r="C35" s="21" t="s">
        <v>100</v>
      </c>
      <c r="D35">
        <v>13</v>
      </c>
      <c r="E35">
        <v>858</v>
      </c>
      <c r="F35">
        <v>11152</v>
      </c>
      <c r="G35" t="s">
        <v>246</v>
      </c>
      <c r="H35"/>
      <c r="I35"/>
      <c r="J35" s="21" t="s">
        <v>174</v>
      </c>
      <c r="K35"/>
      <c r="L35"/>
      <c r="M35"/>
      <c r="N35"/>
      <c r="O35"/>
      <c r="P35"/>
      <c r="Q35"/>
      <c r="R35"/>
      <c r="S35"/>
      <c r="T35"/>
      <c r="U35"/>
      <c r="V35"/>
    </row>
    <row r="36" spans="1:2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>
      <c r="A37"/>
      <c r="B37"/>
      <c r="C37" t="s">
        <v>281</v>
      </c>
      <c r="D37">
        <f>SUM(D7:D36)</f>
        <v>659</v>
      </c>
      <c r="E37"/>
      <c r="F37">
        <f>SUM(F7:F36)</f>
        <v>136666</v>
      </c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</sheetData>
  <sortState xmlns:xlrd2="http://schemas.microsoft.com/office/spreadsheetml/2017/richdata2" ref="A7:V36">
    <sortCondition ref="B7"/>
  </sortState>
  <mergeCells count="9">
    <mergeCell ref="A4:B4"/>
    <mergeCell ref="C4:G4"/>
    <mergeCell ref="A1:B1"/>
    <mergeCell ref="C1:E1"/>
    <mergeCell ref="J1:K1"/>
    <mergeCell ref="A2:B2"/>
    <mergeCell ref="C2:D2"/>
    <mergeCell ref="A3:B3"/>
    <mergeCell ref="C3:D3"/>
  </mergeCells>
  <phoneticPr fontId="10" type="noConversion"/>
  <printOptions horizontalCentered="1" gridLines="1"/>
  <pageMargins left="0.19685039370078741" right="0.19685039370078741" top="0.39370078740157483" bottom="0.39370078740157483" header="0.19685039370078741" footer="0.19685039370078741"/>
  <pageSetup paperSize="9" scale="99" orientation="portrait" blackAndWhite="1" r:id="rId1"/>
  <headerFooter alignWithMargins="0">
    <oddHeader>&amp;RLeht &amp;P / Lehti &amp;N</oddHeader>
    <oddFooter>&amp;L&amp;F&amp;R&amp;T -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rgb="FFFFC000"/>
    <outlinePr summaryBelow="0"/>
    <pageSetUpPr fitToPage="1"/>
  </sheetPr>
  <dimension ref="B1:R25"/>
  <sheetViews>
    <sheetView workbookViewId="0">
      <selection activeCell="L16" sqref="L16"/>
    </sheetView>
  </sheetViews>
  <sheetFormatPr defaultRowHeight="16.350000000000001"/>
  <cols>
    <col min="1" max="1" width="9.140625" style="288"/>
    <col min="2" max="2" width="6.42578125" style="294" customWidth="1"/>
    <col min="3" max="3" width="38.5703125" style="292" customWidth="1"/>
    <col min="4" max="4" width="19.42578125" style="292" bestFit="1" customWidth="1"/>
    <col min="5" max="5" width="3.140625" style="299" hidden="1" customWidth="1"/>
    <col min="6" max="6" width="9.140625" style="292" bestFit="1" customWidth="1"/>
    <col min="7" max="7" width="5.42578125" style="292" bestFit="1" customWidth="1"/>
    <col min="8" max="8" width="8.42578125" style="292" bestFit="1" customWidth="1"/>
    <col min="9" max="9" width="7.5703125" style="288" customWidth="1"/>
    <col min="10" max="10" width="10.85546875" style="29" customWidth="1"/>
    <col min="11" max="11" width="13.140625" style="29" bestFit="1" customWidth="1"/>
    <col min="12" max="12" width="13.7109375" style="288" customWidth="1"/>
    <col min="13" max="13" width="9.140625" style="288"/>
    <col min="14" max="14" width="11" style="288" bestFit="1" customWidth="1"/>
    <col min="15" max="15" width="12.140625" style="288" customWidth="1"/>
    <col min="16" max="16" width="9.42578125" style="288" customWidth="1"/>
    <col min="17" max="18" width="11.5703125" style="288" bestFit="1" customWidth="1"/>
    <col min="19" max="19" width="12.42578125" style="288" customWidth="1"/>
    <col min="20" max="174" width="9.140625" style="288"/>
    <col min="175" max="175" width="9" style="288" customWidth="1"/>
    <col min="176" max="176" width="71" style="288" customWidth="1"/>
    <col min="177" max="177" width="8.7109375" style="288" customWidth="1"/>
    <col min="178" max="178" width="7.7109375" style="288" customWidth="1"/>
    <col min="179" max="179" width="29.7109375" style="288" customWidth="1"/>
    <col min="180" max="430" width="9.140625" style="288"/>
    <col min="431" max="431" width="9" style="288" customWidth="1"/>
    <col min="432" max="432" width="71" style="288" customWidth="1"/>
    <col min="433" max="433" width="8.7109375" style="288" customWidth="1"/>
    <col min="434" max="434" width="7.7109375" style="288" customWidth="1"/>
    <col min="435" max="435" width="29.7109375" style="288" customWidth="1"/>
    <col min="436" max="686" width="9.140625" style="288"/>
    <col min="687" max="687" width="9" style="288" customWidth="1"/>
    <col min="688" max="688" width="71" style="288" customWidth="1"/>
    <col min="689" max="689" width="8.7109375" style="288" customWidth="1"/>
    <col min="690" max="690" width="7.7109375" style="288" customWidth="1"/>
    <col min="691" max="691" width="29.7109375" style="288" customWidth="1"/>
    <col min="692" max="942" width="9.140625" style="288"/>
    <col min="943" max="943" width="9" style="288" customWidth="1"/>
    <col min="944" max="944" width="71" style="288" customWidth="1"/>
    <col min="945" max="945" width="8.7109375" style="288" customWidth="1"/>
    <col min="946" max="946" width="7.7109375" style="288" customWidth="1"/>
    <col min="947" max="947" width="29.7109375" style="288" customWidth="1"/>
    <col min="948" max="1198" width="9.140625" style="288"/>
    <col min="1199" max="1199" width="9" style="288" customWidth="1"/>
    <col min="1200" max="1200" width="71" style="288" customWidth="1"/>
    <col min="1201" max="1201" width="8.7109375" style="288" customWidth="1"/>
    <col min="1202" max="1202" width="7.7109375" style="288" customWidth="1"/>
    <col min="1203" max="1203" width="29.7109375" style="288" customWidth="1"/>
    <col min="1204" max="1454" width="9.140625" style="288"/>
    <col min="1455" max="1455" width="9" style="288" customWidth="1"/>
    <col min="1456" max="1456" width="71" style="288" customWidth="1"/>
    <col min="1457" max="1457" width="8.7109375" style="288" customWidth="1"/>
    <col min="1458" max="1458" width="7.7109375" style="288" customWidth="1"/>
    <col min="1459" max="1459" width="29.7109375" style="288" customWidth="1"/>
    <col min="1460" max="1710" width="9.140625" style="288"/>
    <col min="1711" max="1711" width="9" style="288" customWidth="1"/>
    <col min="1712" max="1712" width="71" style="288" customWidth="1"/>
    <col min="1713" max="1713" width="8.7109375" style="288" customWidth="1"/>
    <col min="1714" max="1714" width="7.7109375" style="288" customWidth="1"/>
    <col min="1715" max="1715" width="29.7109375" style="288" customWidth="1"/>
    <col min="1716" max="1966" width="9.140625" style="288"/>
    <col min="1967" max="1967" width="9" style="288" customWidth="1"/>
    <col min="1968" max="1968" width="71" style="288" customWidth="1"/>
    <col min="1969" max="1969" width="8.7109375" style="288" customWidth="1"/>
    <col min="1970" max="1970" width="7.7109375" style="288" customWidth="1"/>
    <col min="1971" max="1971" width="29.7109375" style="288" customWidth="1"/>
    <col min="1972" max="2222" width="9.140625" style="288"/>
    <col min="2223" max="2223" width="9" style="288" customWidth="1"/>
    <col min="2224" max="2224" width="71" style="288" customWidth="1"/>
    <col min="2225" max="2225" width="8.7109375" style="288" customWidth="1"/>
    <col min="2226" max="2226" width="7.7109375" style="288" customWidth="1"/>
    <col min="2227" max="2227" width="29.7109375" style="288" customWidth="1"/>
    <col min="2228" max="2478" width="9.140625" style="288"/>
    <col min="2479" max="2479" width="9" style="288" customWidth="1"/>
    <col min="2480" max="2480" width="71" style="288" customWidth="1"/>
    <col min="2481" max="2481" width="8.7109375" style="288" customWidth="1"/>
    <col min="2482" max="2482" width="7.7109375" style="288" customWidth="1"/>
    <col min="2483" max="2483" width="29.7109375" style="288" customWidth="1"/>
    <col min="2484" max="2734" width="9.140625" style="288"/>
    <col min="2735" max="2735" width="9" style="288" customWidth="1"/>
    <col min="2736" max="2736" width="71" style="288" customWidth="1"/>
    <col min="2737" max="2737" width="8.7109375" style="288" customWidth="1"/>
    <col min="2738" max="2738" width="7.7109375" style="288" customWidth="1"/>
    <col min="2739" max="2739" width="29.7109375" style="288" customWidth="1"/>
    <col min="2740" max="2990" width="9.140625" style="288"/>
    <col min="2991" max="2991" width="9" style="288" customWidth="1"/>
    <col min="2992" max="2992" width="71" style="288" customWidth="1"/>
    <col min="2993" max="2993" width="8.7109375" style="288" customWidth="1"/>
    <col min="2994" max="2994" width="7.7109375" style="288" customWidth="1"/>
    <col min="2995" max="2995" width="29.7109375" style="288" customWidth="1"/>
    <col min="2996" max="3246" width="9.140625" style="288"/>
    <col min="3247" max="3247" width="9" style="288" customWidth="1"/>
    <col min="3248" max="3248" width="71" style="288" customWidth="1"/>
    <col min="3249" max="3249" width="8.7109375" style="288" customWidth="1"/>
    <col min="3250" max="3250" width="7.7109375" style="288" customWidth="1"/>
    <col min="3251" max="3251" width="29.7109375" style="288" customWidth="1"/>
    <col min="3252" max="3502" width="9.140625" style="288"/>
    <col min="3503" max="3503" width="9" style="288" customWidth="1"/>
    <col min="3504" max="3504" width="71" style="288" customWidth="1"/>
    <col min="3505" max="3505" width="8.7109375" style="288" customWidth="1"/>
    <col min="3506" max="3506" width="7.7109375" style="288" customWidth="1"/>
    <col min="3507" max="3507" width="29.7109375" style="288" customWidth="1"/>
    <col min="3508" max="3758" width="9.140625" style="288"/>
    <col min="3759" max="3759" width="9" style="288" customWidth="1"/>
    <col min="3760" max="3760" width="71" style="288" customWidth="1"/>
    <col min="3761" max="3761" width="8.7109375" style="288" customWidth="1"/>
    <col min="3762" max="3762" width="7.7109375" style="288" customWidth="1"/>
    <col min="3763" max="3763" width="29.7109375" style="288" customWidth="1"/>
    <col min="3764" max="4014" width="9.140625" style="288"/>
    <col min="4015" max="4015" width="9" style="288" customWidth="1"/>
    <col min="4016" max="4016" width="71" style="288" customWidth="1"/>
    <col min="4017" max="4017" width="8.7109375" style="288" customWidth="1"/>
    <col min="4018" max="4018" width="7.7109375" style="288" customWidth="1"/>
    <col min="4019" max="4019" width="29.7109375" style="288" customWidth="1"/>
    <col min="4020" max="4270" width="9.140625" style="288"/>
    <col min="4271" max="4271" width="9" style="288" customWidth="1"/>
    <col min="4272" max="4272" width="71" style="288" customWidth="1"/>
    <col min="4273" max="4273" width="8.7109375" style="288" customWidth="1"/>
    <col min="4274" max="4274" width="7.7109375" style="288" customWidth="1"/>
    <col min="4275" max="4275" width="29.7109375" style="288" customWidth="1"/>
    <col min="4276" max="4526" width="9.140625" style="288"/>
    <col min="4527" max="4527" width="9" style="288" customWidth="1"/>
    <col min="4528" max="4528" width="71" style="288" customWidth="1"/>
    <col min="4529" max="4529" width="8.7109375" style="288" customWidth="1"/>
    <col min="4530" max="4530" width="7.7109375" style="288" customWidth="1"/>
    <col min="4531" max="4531" width="29.7109375" style="288" customWidth="1"/>
    <col min="4532" max="4782" width="9.140625" style="288"/>
    <col min="4783" max="4783" width="9" style="288" customWidth="1"/>
    <col min="4784" max="4784" width="71" style="288" customWidth="1"/>
    <col min="4785" max="4785" width="8.7109375" style="288" customWidth="1"/>
    <col min="4786" max="4786" width="7.7109375" style="288" customWidth="1"/>
    <col min="4787" max="4787" width="29.7109375" style="288" customWidth="1"/>
    <col min="4788" max="5038" width="9.140625" style="288"/>
    <col min="5039" max="5039" width="9" style="288" customWidth="1"/>
    <col min="5040" max="5040" width="71" style="288" customWidth="1"/>
    <col min="5041" max="5041" width="8.7109375" style="288" customWidth="1"/>
    <col min="5042" max="5042" width="7.7109375" style="288" customWidth="1"/>
    <col min="5043" max="5043" width="29.7109375" style="288" customWidth="1"/>
    <col min="5044" max="5294" width="9.140625" style="288"/>
    <col min="5295" max="5295" width="9" style="288" customWidth="1"/>
    <col min="5296" max="5296" width="71" style="288" customWidth="1"/>
    <col min="5297" max="5297" width="8.7109375" style="288" customWidth="1"/>
    <col min="5298" max="5298" width="7.7109375" style="288" customWidth="1"/>
    <col min="5299" max="5299" width="29.7109375" style="288" customWidth="1"/>
    <col min="5300" max="5550" width="9.140625" style="288"/>
    <col min="5551" max="5551" width="9" style="288" customWidth="1"/>
    <col min="5552" max="5552" width="71" style="288" customWidth="1"/>
    <col min="5553" max="5553" width="8.7109375" style="288" customWidth="1"/>
    <col min="5554" max="5554" width="7.7109375" style="288" customWidth="1"/>
    <col min="5555" max="5555" width="29.7109375" style="288" customWidth="1"/>
    <col min="5556" max="5806" width="9.140625" style="288"/>
    <col min="5807" max="5807" width="9" style="288" customWidth="1"/>
    <col min="5808" max="5808" width="71" style="288" customWidth="1"/>
    <col min="5809" max="5809" width="8.7109375" style="288" customWidth="1"/>
    <col min="5810" max="5810" width="7.7109375" style="288" customWidth="1"/>
    <col min="5811" max="5811" width="29.7109375" style="288" customWidth="1"/>
    <col min="5812" max="6062" width="9.140625" style="288"/>
    <col min="6063" max="6063" width="9" style="288" customWidth="1"/>
    <col min="6064" max="6064" width="71" style="288" customWidth="1"/>
    <col min="6065" max="6065" width="8.7109375" style="288" customWidth="1"/>
    <col min="6066" max="6066" width="7.7109375" style="288" customWidth="1"/>
    <col min="6067" max="6067" width="29.7109375" style="288" customWidth="1"/>
    <col min="6068" max="6318" width="9.140625" style="288"/>
    <col min="6319" max="6319" width="9" style="288" customWidth="1"/>
    <col min="6320" max="6320" width="71" style="288" customWidth="1"/>
    <col min="6321" max="6321" width="8.7109375" style="288" customWidth="1"/>
    <col min="6322" max="6322" width="7.7109375" style="288" customWidth="1"/>
    <col min="6323" max="6323" width="29.7109375" style="288" customWidth="1"/>
    <col min="6324" max="6574" width="9.140625" style="288"/>
    <col min="6575" max="6575" width="9" style="288" customWidth="1"/>
    <col min="6576" max="6576" width="71" style="288" customWidth="1"/>
    <col min="6577" max="6577" width="8.7109375" style="288" customWidth="1"/>
    <col min="6578" max="6578" width="7.7109375" style="288" customWidth="1"/>
    <col min="6579" max="6579" width="29.7109375" style="288" customWidth="1"/>
    <col min="6580" max="6830" width="9.140625" style="288"/>
    <col min="6831" max="6831" width="9" style="288" customWidth="1"/>
    <col min="6832" max="6832" width="71" style="288" customWidth="1"/>
    <col min="6833" max="6833" width="8.7109375" style="288" customWidth="1"/>
    <col min="6834" max="6834" width="7.7109375" style="288" customWidth="1"/>
    <col min="6835" max="6835" width="29.7109375" style="288" customWidth="1"/>
    <col min="6836" max="7086" width="9.140625" style="288"/>
    <col min="7087" max="7087" width="9" style="288" customWidth="1"/>
    <col min="7088" max="7088" width="71" style="288" customWidth="1"/>
    <col min="7089" max="7089" width="8.7109375" style="288" customWidth="1"/>
    <col min="7090" max="7090" width="7.7109375" style="288" customWidth="1"/>
    <col min="7091" max="7091" width="29.7109375" style="288" customWidth="1"/>
    <col min="7092" max="7342" width="9.140625" style="288"/>
    <col min="7343" max="7343" width="9" style="288" customWidth="1"/>
    <col min="7344" max="7344" width="71" style="288" customWidth="1"/>
    <col min="7345" max="7345" width="8.7109375" style="288" customWidth="1"/>
    <col min="7346" max="7346" width="7.7109375" style="288" customWidth="1"/>
    <col min="7347" max="7347" width="29.7109375" style="288" customWidth="1"/>
    <col min="7348" max="7598" width="9.140625" style="288"/>
    <col min="7599" max="7599" width="9" style="288" customWidth="1"/>
    <col min="7600" max="7600" width="71" style="288" customWidth="1"/>
    <col min="7601" max="7601" width="8.7109375" style="288" customWidth="1"/>
    <col min="7602" max="7602" width="7.7109375" style="288" customWidth="1"/>
    <col min="7603" max="7603" width="29.7109375" style="288" customWidth="1"/>
    <col min="7604" max="7854" width="9.140625" style="288"/>
    <col min="7855" max="7855" width="9" style="288" customWidth="1"/>
    <col min="7856" max="7856" width="71" style="288" customWidth="1"/>
    <col min="7857" max="7857" width="8.7109375" style="288" customWidth="1"/>
    <col min="7858" max="7858" width="7.7109375" style="288" customWidth="1"/>
    <col min="7859" max="7859" width="29.7109375" style="288" customWidth="1"/>
    <col min="7860" max="8110" width="9.140625" style="288"/>
    <col min="8111" max="8111" width="9" style="288" customWidth="1"/>
    <col min="8112" max="8112" width="71" style="288" customWidth="1"/>
    <col min="8113" max="8113" width="8.7109375" style="288" customWidth="1"/>
    <col min="8114" max="8114" width="7.7109375" style="288" customWidth="1"/>
    <col min="8115" max="8115" width="29.7109375" style="288" customWidth="1"/>
    <col min="8116" max="8366" width="9.140625" style="288"/>
    <col min="8367" max="8367" width="9" style="288" customWidth="1"/>
    <col min="8368" max="8368" width="71" style="288" customWidth="1"/>
    <col min="8369" max="8369" width="8.7109375" style="288" customWidth="1"/>
    <col min="8370" max="8370" width="7.7109375" style="288" customWidth="1"/>
    <col min="8371" max="8371" width="29.7109375" style="288" customWidth="1"/>
    <col min="8372" max="8622" width="9.140625" style="288"/>
    <col min="8623" max="8623" width="9" style="288" customWidth="1"/>
    <col min="8624" max="8624" width="71" style="288" customWidth="1"/>
    <col min="8625" max="8625" width="8.7109375" style="288" customWidth="1"/>
    <col min="8626" max="8626" width="7.7109375" style="288" customWidth="1"/>
    <col min="8627" max="8627" width="29.7109375" style="288" customWidth="1"/>
    <col min="8628" max="8878" width="9.140625" style="288"/>
    <col min="8879" max="8879" width="9" style="288" customWidth="1"/>
    <col min="8880" max="8880" width="71" style="288" customWidth="1"/>
    <col min="8881" max="8881" width="8.7109375" style="288" customWidth="1"/>
    <col min="8882" max="8882" width="7.7109375" style="288" customWidth="1"/>
    <col min="8883" max="8883" width="29.7109375" style="288" customWidth="1"/>
    <col min="8884" max="9134" width="9.140625" style="288"/>
    <col min="9135" max="9135" width="9" style="288" customWidth="1"/>
    <col min="9136" max="9136" width="71" style="288" customWidth="1"/>
    <col min="9137" max="9137" width="8.7109375" style="288" customWidth="1"/>
    <col min="9138" max="9138" width="7.7109375" style="288" customWidth="1"/>
    <col min="9139" max="9139" width="29.7109375" style="288" customWidth="1"/>
    <col min="9140" max="9390" width="9.140625" style="288"/>
    <col min="9391" max="9391" width="9" style="288" customWidth="1"/>
    <col min="9392" max="9392" width="71" style="288" customWidth="1"/>
    <col min="9393" max="9393" width="8.7109375" style="288" customWidth="1"/>
    <col min="9394" max="9394" width="7.7109375" style="288" customWidth="1"/>
    <col min="9395" max="9395" width="29.7109375" style="288" customWidth="1"/>
    <col min="9396" max="9646" width="9.140625" style="288"/>
    <col min="9647" max="9647" width="9" style="288" customWidth="1"/>
    <col min="9648" max="9648" width="71" style="288" customWidth="1"/>
    <col min="9649" max="9649" width="8.7109375" style="288" customWidth="1"/>
    <col min="9650" max="9650" width="7.7109375" style="288" customWidth="1"/>
    <col min="9651" max="9651" width="29.7109375" style="288" customWidth="1"/>
    <col min="9652" max="9902" width="9.140625" style="288"/>
    <col min="9903" max="9903" width="9" style="288" customWidth="1"/>
    <col min="9904" max="9904" width="71" style="288" customWidth="1"/>
    <col min="9905" max="9905" width="8.7109375" style="288" customWidth="1"/>
    <col min="9906" max="9906" width="7.7109375" style="288" customWidth="1"/>
    <col min="9907" max="9907" width="29.7109375" style="288" customWidth="1"/>
    <col min="9908" max="10158" width="9.140625" style="288"/>
    <col min="10159" max="10159" width="9" style="288" customWidth="1"/>
    <col min="10160" max="10160" width="71" style="288" customWidth="1"/>
    <col min="10161" max="10161" width="8.7109375" style="288" customWidth="1"/>
    <col min="10162" max="10162" width="7.7109375" style="288" customWidth="1"/>
    <col min="10163" max="10163" width="29.7109375" style="288" customWidth="1"/>
    <col min="10164" max="10414" width="9.140625" style="288"/>
    <col min="10415" max="10415" width="9" style="288" customWidth="1"/>
    <col min="10416" max="10416" width="71" style="288" customWidth="1"/>
    <col min="10417" max="10417" width="8.7109375" style="288" customWidth="1"/>
    <col min="10418" max="10418" width="7.7109375" style="288" customWidth="1"/>
    <col min="10419" max="10419" width="29.7109375" style="288" customWidth="1"/>
    <col min="10420" max="10670" width="9.140625" style="288"/>
    <col min="10671" max="10671" width="9" style="288" customWidth="1"/>
    <col min="10672" max="10672" width="71" style="288" customWidth="1"/>
    <col min="10673" max="10673" width="8.7109375" style="288" customWidth="1"/>
    <col min="10674" max="10674" width="7.7109375" style="288" customWidth="1"/>
    <col min="10675" max="10675" width="29.7109375" style="288" customWidth="1"/>
    <col min="10676" max="10926" width="9.140625" style="288"/>
    <col min="10927" max="10927" width="9" style="288" customWidth="1"/>
    <col min="10928" max="10928" width="71" style="288" customWidth="1"/>
    <col min="10929" max="10929" width="8.7109375" style="288" customWidth="1"/>
    <col min="10930" max="10930" width="7.7109375" style="288" customWidth="1"/>
    <col min="10931" max="10931" width="29.7109375" style="288" customWidth="1"/>
    <col min="10932" max="11182" width="9.140625" style="288"/>
    <col min="11183" max="11183" width="9" style="288" customWidth="1"/>
    <col min="11184" max="11184" width="71" style="288" customWidth="1"/>
    <col min="11185" max="11185" width="8.7109375" style="288" customWidth="1"/>
    <col min="11186" max="11186" width="7.7109375" style="288" customWidth="1"/>
    <col min="11187" max="11187" width="29.7109375" style="288" customWidth="1"/>
    <col min="11188" max="11438" width="9.140625" style="288"/>
    <col min="11439" max="11439" width="9" style="288" customWidth="1"/>
    <col min="11440" max="11440" width="71" style="288" customWidth="1"/>
    <col min="11441" max="11441" width="8.7109375" style="288" customWidth="1"/>
    <col min="11442" max="11442" width="7.7109375" style="288" customWidth="1"/>
    <col min="11443" max="11443" width="29.7109375" style="288" customWidth="1"/>
    <col min="11444" max="11694" width="9.140625" style="288"/>
    <col min="11695" max="11695" width="9" style="288" customWidth="1"/>
    <col min="11696" max="11696" width="71" style="288" customWidth="1"/>
    <col min="11697" max="11697" width="8.7109375" style="288" customWidth="1"/>
    <col min="11698" max="11698" width="7.7109375" style="288" customWidth="1"/>
    <col min="11699" max="11699" width="29.7109375" style="288" customWidth="1"/>
    <col min="11700" max="11950" width="9.140625" style="288"/>
    <col min="11951" max="11951" width="9" style="288" customWidth="1"/>
    <col min="11952" max="11952" width="71" style="288" customWidth="1"/>
    <col min="11953" max="11953" width="8.7109375" style="288" customWidth="1"/>
    <col min="11954" max="11954" width="7.7109375" style="288" customWidth="1"/>
    <col min="11955" max="11955" width="29.7109375" style="288" customWidth="1"/>
    <col min="11956" max="12206" width="9.140625" style="288"/>
    <col min="12207" max="12207" width="9" style="288" customWidth="1"/>
    <col min="12208" max="12208" width="71" style="288" customWidth="1"/>
    <col min="12209" max="12209" width="8.7109375" style="288" customWidth="1"/>
    <col min="12210" max="12210" width="7.7109375" style="288" customWidth="1"/>
    <col min="12211" max="12211" width="29.7109375" style="288" customWidth="1"/>
    <col min="12212" max="12462" width="9.140625" style="288"/>
    <col min="12463" max="12463" width="9" style="288" customWidth="1"/>
    <col min="12464" max="12464" width="71" style="288" customWidth="1"/>
    <col min="12465" max="12465" width="8.7109375" style="288" customWidth="1"/>
    <col min="12466" max="12466" width="7.7109375" style="288" customWidth="1"/>
    <col min="12467" max="12467" width="29.7109375" style="288" customWidth="1"/>
    <col min="12468" max="12718" width="9.140625" style="288"/>
    <col min="12719" max="12719" width="9" style="288" customWidth="1"/>
    <col min="12720" max="12720" width="71" style="288" customWidth="1"/>
    <col min="12721" max="12721" width="8.7109375" style="288" customWidth="1"/>
    <col min="12722" max="12722" width="7.7109375" style="288" customWidth="1"/>
    <col min="12723" max="12723" width="29.7109375" style="288" customWidth="1"/>
    <col min="12724" max="12974" width="9.140625" style="288"/>
    <col min="12975" max="12975" width="9" style="288" customWidth="1"/>
    <col min="12976" max="12976" width="71" style="288" customWidth="1"/>
    <col min="12977" max="12977" width="8.7109375" style="288" customWidth="1"/>
    <col min="12978" max="12978" width="7.7109375" style="288" customWidth="1"/>
    <col min="12979" max="12979" width="29.7109375" style="288" customWidth="1"/>
    <col min="12980" max="13230" width="9.140625" style="288"/>
    <col min="13231" max="13231" width="9" style="288" customWidth="1"/>
    <col min="13232" max="13232" width="71" style="288" customWidth="1"/>
    <col min="13233" max="13233" width="8.7109375" style="288" customWidth="1"/>
    <col min="13234" max="13234" width="7.7109375" style="288" customWidth="1"/>
    <col min="13235" max="13235" width="29.7109375" style="288" customWidth="1"/>
    <col min="13236" max="13486" width="9.140625" style="288"/>
    <col min="13487" max="13487" width="9" style="288" customWidth="1"/>
    <col min="13488" max="13488" width="71" style="288" customWidth="1"/>
    <col min="13489" max="13489" width="8.7109375" style="288" customWidth="1"/>
    <col min="13490" max="13490" width="7.7109375" style="288" customWidth="1"/>
    <col min="13491" max="13491" width="29.7109375" style="288" customWidth="1"/>
    <col min="13492" max="13742" width="9.140625" style="288"/>
    <col min="13743" max="13743" width="9" style="288" customWidth="1"/>
    <col min="13744" max="13744" width="71" style="288" customWidth="1"/>
    <col min="13745" max="13745" width="8.7109375" style="288" customWidth="1"/>
    <col min="13746" max="13746" width="7.7109375" style="288" customWidth="1"/>
    <col min="13747" max="13747" width="29.7109375" style="288" customWidth="1"/>
    <col min="13748" max="13998" width="9.140625" style="288"/>
    <col min="13999" max="13999" width="9" style="288" customWidth="1"/>
    <col min="14000" max="14000" width="71" style="288" customWidth="1"/>
    <col min="14001" max="14001" width="8.7109375" style="288" customWidth="1"/>
    <col min="14002" max="14002" width="7.7109375" style="288" customWidth="1"/>
    <col min="14003" max="14003" width="29.7109375" style="288" customWidth="1"/>
    <col min="14004" max="14254" width="9.140625" style="288"/>
    <col min="14255" max="14255" width="9" style="288" customWidth="1"/>
    <col min="14256" max="14256" width="71" style="288" customWidth="1"/>
    <col min="14257" max="14257" width="8.7109375" style="288" customWidth="1"/>
    <col min="14258" max="14258" width="7.7109375" style="288" customWidth="1"/>
    <col min="14259" max="14259" width="29.7109375" style="288" customWidth="1"/>
    <col min="14260" max="14510" width="9.140625" style="288"/>
    <col min="14511" max="14511" width="9" style="288" customWidth="1"/>
    <col min="14512" max="14512" width="71" style="288" customWidth="1"/>
    <col min="14513" max="14513" width="8.7109375" style="288" customWidth="1"/>
    <col min="14514" max="14514" width="7.7109375" style="288" customWidth="1"/>
    <col min="14515" max="14515" width="29.7109375" style="288" customWidth="1"/>
    <col min="14516" max="14766" width="9.140625" style="288"/>
    <col min="14767" max="14767" width="9" style="288" customWidth="1"/>
    <col min="14768" max="14768" width="71" style="288" customWidth="1"/>
    <col min="14769" max="14769" width="8.7109375" style="288" customWidth="1"/>
    <col min="14770" max="14770" width="7.7109375" style="288" customWidth="1"/>
    <col min="14771" max="14771" width="29.7109375" style="288" customWidth="1"/>
    <col min="14772" max="15022" width="9.140625" style="288"/>
    <col min="15023" max="15023" width="9" style="288" customWidth="1"/>
    <col min="15024" max="15024" width="71" style="288" customWidth="1"/>
    <col min="15025" max="15025" width="8.7109375" style="288" customWidth="1"/>
    <col min="15026" max="15026" width="7.7109375" style="288" customWidth="1"/>
    <col min="15027" max="15027" width="29.7109375" style="288" customWidth="1"/>
    <col min="15028" max="15278" width="9.140625" style="288"/>
    <col min="15279" max="15279" width="9" style="288" customWidth="1"/>
    <col min="15280" max="15280" width="71" style="288" customWidth="1"/>
    <col min="15281" max="15281" width="8.7109375" style="288" customWidth="1"/>
    <col min="15282" max="15282" width="7.7109375" style="288" customWidth="1"/>
    <col min="15283" max="15283" width="29.7109375" style="288" customWidth="1"/>
    <col min="15284" max="15534" width="9.140625" style="288"/>
    <col min="15535" max="15535" width="9" style="288" customWidth="1"/>
    <col min="15536" max="15536" width="71" style="288" customWidth="1"/>
    <col min="15537" max="15537" width="8.7109375" style="288" customWidth="1"/>
    <col min="15538" max="15538" width="7.7109375" style="288" customWidth="1"/>
    <col min="15539" max="15539" width="29.7109375" style="288" customWidth="1"/>
    <col min="15540" max="15790" width="9.140625" style="288"/>
    <col min="15791" max="15791" width="9" style="288" customWidth="1"/>
    <col min="15792" max="15792" width="71" style="288" customWidth="1"/>
    <col min="15793" max="15793" width="8.7109375" style="288" customWidth="1"/>
    <col min="15794" max="15794" width="7.7109375" style="288" customWidth="1"/>
    <col min="15795" max="15795" width="29.7109375" style="288" customWidth="1"/>
    <col min="15796" max="16046" width="9.140625" style="288"/>
    <col min="16047" max="16047" width="9" style="288" customWidth="1"/>
    <col min="16048" max="16048" width="71" style="288" customWidth="1"/>
    <col min="16049" max="16049" width="8.7109375" style="288" customWidth="1"/>
    <col min="16050" max="16050" width="7.7109375" style="288" customWidth="1"/>
    <col min="16051" max="16051" width="29.7109375" style="288" customWidth="1"/>
    <col min="16052" max="16384" width="9.140625" style="288"/>
  </cols>
  <sheetData>
    <row r="1" spans="2:15">
      <c r="B1" s="281" t="s">
        <v>282</v>
      </c>
      <c r="C1" s="282" t="str">
        <f>Koostamine!Number</f>
        <v>HK11109-01</v>
      </c>
      <c r="D1" s="283"/>
      <c r="E1" s="283"/>
      <c r="F1" s="283"/>
      <c r="G1" s="284"/>
      <c r="H1" s="285"/>
      <c r="I1" s="488"/>
      <c r="J1" s="488"/>
      <c r="K1" s="33"/>
      <c r="M1" s="289"/>
      <c r="N1" s="290"/>
      <c r="O1" s="290"/>
    </row>
    <row r="2" spans="2:15">
      <c r="B2" s="291" t="s">
        <v>283</v>
      </c>
      <c r="C2" s="292" t="str">
        <f>Koostamine!Toode</f>
        <v xml:space="preserve">Akkasæter, Målselv kommune, Norra </v>
      </c>
      <c r="D2" s="283"/>
      <c r="E2" s="283"/>
      <c r="F2" s="283"/>
      <c r="G2" s="284"/>
      <c r="H2" s="285"/>
      <c r="I2" s="286"/>
      <c r="J2" s="45"/>
      <c r="K2" s="33"/>
      <c r="M2" s="289"/>
      <c r="N2" s="290"/>
      <c r="O2" s="290"/>
    </row>
    <row r="3" spans="2:15">
      <c r="B3" s="291" t="s">
        <v>284</v>
      </c>
      <c r="C3" s="292" t="str">
        <f>Koostamine!Toode</f>
        <v xml:space="preserve">Akkasæter, Målselv kommune, Norra </v>
      </c>
      <c r="D3" s="283"/>
      <c r="E3" s="283"/>
      <c r="F3" s="283"/>
      <c r="G3" s="284"/>
      <c r="H3" s="285"/>
      <c r="I3" s="286"/>
      <c r="J3" s="45"/>
      <c r="K3" s="33"/>
      <c r="M3" s="289"/>
      <c r="N3" s="290"/>
      <c r="O3" s="290"/>
    </row>
    <row r="4" spans="2:15">
      <c r="B4" s="291"/>
      <c r="C4" s="293"/>
      <c r="D4" s="283"/>
      <c r="E4" s="283"/>
      <c r="F4" s="283"/>
      <c r="G4" s="284"/>
      <c r="H4" s="285"/>
      <c r="I4" s="286"/>
      <c r="J4" s="45"/>
      <c r="K4" s="33"/>
      <c r="M4" s="398">
        <f>M7+M14</f>
        <v>148315</v>
      </c>
      <c r="N4" s="398">
        <f>N7+N14</f>
        <v>148315.27762017559</v>
      </c>
      <c r="O4" s="290"/>
    </row>
    <row r="5" spans="2:15" ht="28.5" customHeight="1">
      <c r="B5" s="70" t="s">
        <v>285</v>
      </c>
      <c r="C5" s="70" t="s">
        <v>286</v>
      </c>
      <c r="D5" s="69" t="s">
        <v>287</v>
      </c>
      <c r="E5" s="69" t="s">
        <v>288</v>
      </c>
      <c r="F5" s="71" t="s">
        <v>289</v>
      </c>
      <c r="G5" s="70" t="s">
        <v>290</v>
      </c>
      <c r="H5" s="70" t="s">
        <v>291</v>
      </c>
      <c r="I5" s="69" t="s">
        <v>292</v>
      </c>
      <c r="J5" s="28"/>
      <c r="K5" s="292"/>
      <c r="M5" s="489" t="s">
        <v>293</v>
      </c>
      <c r="N5" s="489"/>
      <c r="O5" s="286"/>
    </row>
    <row r="6" spans="2:15">
      <c r="B6" s="332" t="s">
        <v>294</v>
      </c>
      <c r="C6" s="333" t="s">
        <v>295</v>
      </c>
      <c r="D6" s="334"/>
      <c r="E6" s="335"/>
      <c r="F6" s="336">
        <f>SUBTOTAL(9,F8:F15)</f>
        <v>148315.27762017559</v>
      </c>
      <c r="G6" s="337" t="s">
        <v>219</v>
      </c>
      <c r="H6" s="336">
        <f>SUBTOTAL(9,H8:H15)</f>
        <v>272219.26528218354</v>
      </c>
      <c r="I6" s="338"/>
      <c r="J6" s="413">
        <f>H6/F6</f>
        <v>1.8354094712974671</v>
      </c>
      <c r="K6" s="280"/>
      <c r="L6" s="295"/>
      <c r="M6" s="375" t="s">
        <v>296</v>
      </c>
      <c r="N6" s="376" t="s">
        <v>297</v>
      </c>
      <c r="O6" s="286"/>
    </row>
    <row r="7" spans="2:15">
      <c r="B7" s="365"/>
      <c r="C7" s="366" t="str">
        <f>Koostamine!F11</f>
        <v>Phase 1 + 2</v>
      </c>
      <c r="D7" s="367"/>
      <c r="E7" s="66"/>
      <c r="F7" s="368"/>
      <c r="G7" s="369"/>
      <c r="H7" s="368"/>
      <c r="I7" s="370"/>
      <c r="J7" s="280"/>
      <c r="K7" s="399"/>
      <c r="L7" s="295"/>
      <c r="M7" s="375">
        <v>145313</v>
      </c>
      <c r="N7" s="377">
        <f>SUM(F8:F12)</f>
        <v>145313.27762017559</v>
      </c>
      <c r="O7" s="286"/>
    </row>
    <row r="8" spans="2:15">
      <c r="B8" s="262" t="s">
        <v>298</v>
      </c>
      <c r="C8" s="65" t="str">
        <f>Koostamine!F16</f>
        <v>Columns</v>
      </c>
      <c r="D8" s="75" t="str">
        <f>Koostamine!G16</f>
        <v>C2M</v>
      </c>
      <c r="E8" s="66"/>
      <c r="F8" s="67">
        <f>Koostamine!B16*J8</f>
        <v>35140.864896937572</v>
      </c>
      <c r="G8" s="68" t="s">
        <v>219</v>
      </c>
      <c r="H8" s="67">
        <f t="shared" ref="H8:H15" si="0">I8*F8</f>
        <v>68313.841359646642</v>
      </c>
      <c r="I8" s="74">
        <f>Koostamine!AZ16</f>
        <v>1.944</v>
      </c>
      <c r="J8" s="44">
        <v>1.00989</v>
      </c>
      <c r="K8" s="400">
        <v>18613</v>
      </c>
      <c r="M8" s="292"/>
      <c r="O8" s="286"/>
    </row>
    <row r="9" spans="2:15" ht="31.35">
      <c r="B9" s="262" t="s">
        <v>299</v>
      </c>
      <c r="C9" s="65" t="str">
        <f>Koostamine!F82</f>
        <v>WQ beams (incuded plates)</v>
      </c>
      <c r="D9" s="75" t="str">
        <f>Koostamine!G83</f>
        <v>primer, lower flange painted C2M</v>
      </c>
      <c r="E9" s="66"/>
      <c r="F9" s="67">
        <f>Koostamine!B82*J9</f>
        <v>11380.8966375</v>
      </c>
      <c r="G9" s="68" t="s">
        <v>219</v>
      </c>
      <c r="H9" s="67">
        <f t="shared" ref="H9:H12" si="1">I9*F9</f>
        <v>22636.6034119875</v>
      </c>
      <c r="I9" s="74">
        <f>Koostamine!AZ82</f>
        <v>1.9890000000000001</v>
      </c>
      <c r="J9" s="278">
        <v>1</v>
      </c>
      <c r="K9" s="400">
        <v>10654</v>
      </c>
      <c r="L9" s="288">
        <f>K9/F9</f>
        <v>0.93613010814061182</v>
      </c>
    </row>
    <row r="10" spans="2:15">
      <c r="B10" s="262" t="s">
        <v>300</v>
      </c>
      <c r="C10" s="65" t="str">
        <f>Koostamine!F95</f>
        <v>Beams</v>
      </c>
      <c r="D10" s="75" t="str">
        <f>Koostamine!G95</f>
        <v>C2M</v>
      </c>
      <c r="E10" s="66"/>
      <c r="F10" s="67">
        <f>Koostamine!B95*J10</f>
        <v>75914.097283961994</v>
      </c>
      <c r="G10" s="68" t="s">
        <v>219</v>
      </c>
      <c r="H10" s="67">
        <f t="shared" si="1"/>
        <v>131862.78698224199</v>
      </c>
      <c r="I10" s="74">
        <f>Koostamine!AZ95</f>
        <v>1.7370000000000001</v>
      </c>
      <c r="J10" s="44">
        <v>0.95799999999999996</v>
      </c>
      <c r="K10" s="400">
        <f>37510+14755+22357</f>
        <v>74622</v>
      </c>
      <c r="L10" s="288">
        <f>K10/F10</f>
        <v>0.9829794816748092</v>
      </c>
      <c r="M10" s="296"/>
      <c r="O10" s="286"/>
    </row>
    <row r="11" spans="2:15">
      <c r="B11" s="262" t="s">
        <v>301</v>
      </c>
      <c r="C11" s="65" t="str">
        <f>Koostamine!F136</f>
        <v>Bracings</v>
      </c>
      <c r="D11" s="75" t="str">
        <f>Koostamine!G136</f>
        <v>C2M</v>
      </c>
      <c r="E11" s="66"/>
      <c r="F11" s="67">
        <f>Koostamine!B136*J11</f>
        <v>12601.189444976</v>
      </c>
      <c r="G11" s="68" t="s">
        <v>219</v>
      </c>
      <c r="H11" s="67">
        <f t="shared" si="1"/>
        <v>23160.986199865889</v>
      </c>
      <c r="I11" s="74">
        <f>Koostamine!AZ136</f>
        <v>1.8380000000000001</v>
      </c>
      <c r="J11" s="44">
        <v>1.0483</v>
      </c>
      <c r="K11" s="401"/>
      <c r="M11" s="292"/>
      <c r="O11" s="286"/>
    </row>
    <row r="12" spans="2:15" ht="31.35">
      <c r="B12" s="262" t="s">
        <v>302</v>
      </c>
      <c r="C12" s="76" t="str">
        <f>Koostamine!F163</f>
        <v>Window- and door frames (ifc yellow elements)</v>
      </c>
      <c r="D12" s="75" t="str">
        <f>Koostamine!G163</f>
        <v>C2M</v>
      </c>
      <c r="E12" s="66"/>
      <c r="F12" s="67">
        <f>Koostamine!B163*J12</f>
        <v>10276.2293568</v>
      </c>
      <c r="G12" s="68" t="s">
        <v>219</v>
      </c>
      <c r="H12" s="67">
        <f t="shared" si="1"/>
        <v>18877.433328441599</v>
      </c>
      <c r="I12" s="74">
        <f>Koostamine!AZ163</f>
        <v>1.837</v>
      </c>
      <c r="J12" s="44">
        <v>1.0680000000000001</v>
      </c>
      <c r="K12" s="401"/>
      <c r="M12" s="297"/>
      <c r="O12" s="286"/>
    </row>
    <row r="13" spans="2:15">
      <c r="B13" s="262"/>
      <c r="C13" s="373" t="str">
        <f>Koostamine!F183</f>
        <v>Phase 3</v>
      </c>
      <c r="D13" s="75"/>
      <c r="E13" s="66"/>
      <c r="F13" s="67"/>
      <c r="G13" s="68"/>
      <c r="H13" s="67"/>
      <c r="I13" s="74"/>
      <c r="J13" s="44"/>
      <c r="K13" s="401"/>
      <c r="M13" s="297"/>
      <c r="O13" s="286"/>
    </row>
    <row r="14" spans="2:15">
      <c r="B14" s="262" t="s">
        <v>303</v>
      </c>
      <c r="C14" s="76" t="str">
        <f>Koostamine!F186</f>
        <v>Outside entrance steel</v>
      </c>
      <c r="D14" s="75" t="str">
        <f>Koostamine!G186</f>
        <v>HDG</v>
      </c>
      <c r="E14" s="66"/>
      <c r="F14" s="67">
        <f>Koostamine!B186*J14</f>
        <v>2714</v>
      </c>
      <c r="G14" s="68" t="s">
        <v>219</v>
      </c>
      <c r="H14" s="67">
        <f t="shared" si="0"/>
        <v>6413.1819999999998</v>
      </c>
      <c r="I14" s="74">
        <f>Koostamine!AZ186</f>
        <v>2.363</v>
      </c>
      <c r="J14" s="44">
        <v>0.9700024074930792</v>
      </c>
      <c r="K14" s="400">
        <v>2714</v>
      </c>
      <c r="L14" s="288">
        <f t="shared" ref="L14:L15" si="2">K14/F14</f>
        <v>1</v>
      </c>
      <c r="M14" s="292">
        <v>3002</v>
      </c>
      <c r="N14" s="298">
        <f>SUM(F14:F15)</f>
        <v>3002</v>
      </c>
      <c r="O14" s="286"/>
    </row>
    <row r="15" spans="2:15">
      <c r="B15" s="262" t="s">
        <v>304</v>
      </c>
      <c r="C15" s="76" t="str">
        <f>Koostamine!F205</f>
        <v xml:space="preserve">Indoor bollard (tubes) </v>
      </c>
      <c r="D15" s="75" t="str">
        <f>Koostamine!G205</f>
        <v>HDG</v>
      </c>
      <c r="E15" s="66"/>
      <c r="F15" s="67">
        <f>Koostamine!B205*J15</f>
        <v>288</v>
      </c>
      <c r="G15" s="68" t="s">
        <v>219</v>
      </c>
      <c r="H15" s="67">
        <f t="shared" si="0"/>
        <v>954.43200000000002</v>
      </c>
      <c r="I15" s="74">
        <f>Koostamine!AZ205</f>
        <v>3.3140000000000001</v>
      </c>
      <c r="J15" s="44">
        <v>0.73049205742073398</v>
      </c>
      <c r="K15" s="400">
        <v>288</v>
      </c>
      <c r="L15" s="288">
        <f t="shared" si="2"/>
        <v>1</v>
      </c>
      <c r="M15" s="292" t="s">
        <v>305</v>
      </c>
      <c r="O15" s="286"/>
    </row>
    <row r="16" spans="2:15" ht="71.45" customHeight="1">
      <c r="B16" s="378" t="s">
        <v>306</v>
      </c>
      <c r="C16" s="379" t="str">
        <f>Koostamine!F214</f>
        <v>Bracings D30 with turnbuckles</v>
      </c>
      <c r="D16" s="335"/>
      <c r="E16" s="335"/>
      <c r="F16" s="380">
        <f>Koostamine!K217</f>
        <v>72</v>
      </c>
      <c r="G16" s="381" t="s">
        <v>307</v>
      </c>
      <c r="H16" s="380">
        <f>F16*I16</f>
        <v>17563.714685440002</v>
      </c>
      <c r="I16" s="382">
        <f>Koostamine!AY215</f>
        <v>243.94048174222223</v>
      </c>
      <c r="J16" s="44"/>
      <c r="K16" s="401"/>
      <c r="M16" s="292"/>
      <c r="O16" s="286"/>
    </row>
    <row r="17" spans="2:18">
      <c r="B17" s="339" t="s">
        <v>308</v>
      </c>
      <c r="C17" s="379" t="s">
        <v>309</v>
      </c>
      <c r="D17" s="335"/>
      <c r="E17" s="335"/>
      <c r="F17" s="380">
        <v>150</v>
      </c>
      <c r="G17" s="381" t="s">
        <v>307</v>
      </c>
      <c r="H17" s="380">
        <f>10*L17*1.1</f>
        <v>935.00000000000011</v>
      </c>
      <c r="I17" s="382"/>
      <c r="J17" s="44">
        <f>71/25</f>
        <v>2.84</v>
      </c>
      <c r="L17" s="288">
        <v>85</v>
      </c>
      <c r="M17" s="292" t="s">
        <v>310</v>
      </c>
      <c r="O17" s="292">
        <v>16</v>
      </c>
      <c r="P17" s="292" t="s">
        <v>311</v>
      </c>
      <c r="Q17" s="288">
        <f>F17/O17</f>
        <v>9.375</v>
      </c>
      <c r="R17" s="288" t="s">
        <v>312</v>
      </c>
    </row>
    <row r="18" spans="2:18" ht="31.35">
      <c r="B18" s="402" t="s">
        <v>313</v>
      </c>
      <c r="C18" s="414" t="s">
        <v>314</v>
      </c>
      <c r="D18" s="405"/>
      <c r="E18" s="405"/>
      <c r="F18" s="415">
        <v>1</v>
      </c>
      <c r="G18" s="416" t="s">
        <v>315</v>
      </c>
      <c r="H18" s="415">
        <f>P18*Q18</f>
        <v>5302.2711749212776</v>
      </c>
      <c r="I18" s="417"/>
      <c r="J18" s="44"/>
      <c r="L18" s="418">
        <v>6.5</v>
      </c>
      <c r="M18" s="292" t="s">
        <v>316</v>
      </c>
      <c r="N18" s="288">
        <f>0.005*F6</f>
        <v>741.57638810087792</v>
      </c>
      <c r="O18" s="292" t="s">
        <v>219</v>
      </c>
      <c r="P18" s="292">
        <f>L18*N18</f>
        <v>4820.2465226557069</v>
      </c>
      <c r="Q18" s="288">
        <v>1.1000000000000001</v>
      </c>
    </row>
    <row r="19" spans="2:18" ht="50.25" customHeight="1">
      <c r="B19" s="402" t="s">
        <v>54</v>
      </c>
      <c r="C19" s="403" t="s">
        <v>317</v>
      </c>
      <c r="D19" s="404"/>
      <c r="E19" s="405"/>
      <c r="F19" s="406">
        <v>1</v>
      </c>
      <c r="G19" s="407" t="s">
        <v>315</v>
      </c>
      <c r="H19" s="406">
        <f>Koostamine!BF7</f>
        <v>37375</v>
      </c>
      <c r="I19" s="408"/>
      <c r="K19" s="39"/>
      <c r="O19" s="286"/>
    </row>
    <row r="20" spans="2:18">
      <c r="B20" s="409"/>
      <c r="C20" s="410" t="s">
        <v>318</v>
      </c>
      <c r="D20" s="410"/>
      <c r="E20" s="410"/>
      <c r="F20" s="410"/>
      <c r="G20" s="410"/>
      <c r="H20" s="411">
        <f>SUBTOTAL(9,H6:H19)</f>
        <v>333395.25114254485</v>
      </c>
      <c r="I20" s="412"/>
      <c r="K20" s="34"/>
      <c r="L20" s="292"/>
      <c r="M20" s="292"/>
      <c r="O20" s="286"/>
    </row>
    <row r="21" spans="2:18">
      <c r="B21" s="36"/>
      <c r="C21" s="40"/>
      <c r="D21" s="37"/>
      <c r="E21" s="37"/>
      <c r="F21" s="37"/>
      <c r="G21" s="37"/>
      <c r="H21" s="73"/>
      <c r="I21" s="38"/>
      <c r="K21" s="419"/>
      <c r="L21" s="287"/>
    </row>
    <row r="22" spans="2:18" ht="17.100000000000001" thickBot="1">
      <c r="J22" s="43"/>
      <c r="L22" s="300"/>
    </row>
    <row r="23" spans="2:18">
      <c r="B23" s="301" t="s">
        <v>319</v>
      </c>
      <c r="C23" s="302"/>
      <c r="D23" s="303"/>
      <c r="E23" s="304"/>
      <c r="F23" s="302"/>
      <c r="G23" s="302"/>
      <c r="H23" s="305">
        <f>ROUND(H20/F6,3)</f>
        <v>2.2480000000000002</v>
      </c>
      <c r="I23" s="306" t="s">
        <v>316</v>
      </c>
    </row>
    <row r="24" spans="2:18" ht="17.100000000000001" thickBot="1">
      <c r="B24" s="307"/>
      <c r="C24" s="308"/>
      <c r="D24" s="309"/>
      <c r="E24" s="310"/>
      <c r="F24" s="308"/>
      <c r="G24" s="308"/>
      <c r="H24" s="311">
        <f>H23*F6</f>
        <v>333412.74409015477</v>
      </c>
      <c r="I24" s="312" t="s">
        <v>49</v>
      </c>
    </row>
    <row r="25" spans="2:18">
      <c r="B25" s="313"/>
      <c r="C25" s="284"/>
      <c r="D25" s="314"/>
      <c r="E25" s="315"/>
      <c r="F25" s="284"/>
      <c r="G25" s="284"/>
      <c r="H25" s="316"/>
      <c r="I25" s="289"/>
      <c r="J25" s="32"/>
      <c r="L25" s="317"/>
    </row>
  </sheetData>
  <mergeCells count="2">
    <mergeCell ref="I1:J1"/>
    <mergeCell ref="M5:N5"/>
  </mergeCells>
  <phoneticPr fontId="18" type="noConversion"/>
  <pageMargins left="0.74803149606299213" right="0.74803149606299213" top="0.98425196850393704" bottom="0.98425196850393704" header="0.51181102362204722" footer="0.51181102362204722"/>
  <pageSetup paperSize="9" scale="69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C3DE-E19D-4949-A629-3FF3A21A2E70}">
  <sheetPr codeName="Sheet5">
    <tabColor rgb="FFFFFF00"/>
  </sheetPr>
  <dimension ref="A1:V57"/>
  <sheetViews>
    <sheetView workbookViewId="0">
      <selection activeCell="J31" sqref="J31"/>
    </sheetView>
  </sheetViews>
  <sheetFormatPr defaultRowHeight="14.25"/>
  <cols>
    <col min="1" max="1" width="23" customWidth="1"/>
    <col min="2" max="2" width="16.85546875" customWidth="1"/>
    <col min="3" max="3" width="11.42578125" customWidth="1"/>
    <col min="4" max="4" width="15.140625" bestFit="1" customWidth="1"/>
    <col min="5" max="5" width="16.7109375" bestFit="1" customWidth="1"/>
    <col min="6" max="6" width="8.5703125" bestFit="1" customWidth="1"/>
    <col min="7" max="7" width="11.85546875" bestFit="1" customWidth="1"/>
    <col min="9" max="9" width="26.140625" bestFit="1" customWidth="1"/>
    <col min="14" max="14" width="16.7109375" bestFit="1" customWidth="1"/>
    <col min="20" max="20" width="18.42578125" bestFit="1" customWidth="1"/>
  </cols>
  <sheetData>
    <row r="1" spans="1:22" ht="15.6" thickTop="1" thickBot="1">
      <c r="A1" s="41" t="s">
        <v>202</v>
      </c>
      <c r="B1" s="42" t="s">
        <v>320</v>
      </c>
      <c r="C1" s="26" t="s">
        <v>321</v>
      </c>
      <c r="E1" s="250" t="s">
        <v>322</v>
      </c>
      <c r="F1" s="318" t="s">
        <v>323</v>
      </c>
      <c r="G1" s="340" t="s">
        <v>324</v>
      </c>
      <c r="I1" s="252">
        <v>45902</v>
      </c>
      <c r="J1" s="72" t="s">
        <v>325</v>
      </c>
      <c r="N1" s="252">
        <v>45940</v>
      </c>
      <c r="O1" s="72" t="s">
        <v>325</v>
      </c>
      <c r="P1" s="318" t="s">
        <v>203</v>
      </c>
      <c r="Q1" s="319" t="s">
        <v>99</v>
      </c>
      <c r="T1" s="252">
        <v>45932</v>
      </c>
      <c r="U1" s="72" t="s">
        <v>325</v>
      </c>
    </row>
    <row r="2" spans="1:22" ht="17.649999999999999" thickTop="1" thickBot="1">
      <c r="A2" s="21" t="s">
        <v>165</v>
      </c>
      <c r="B2" s="31">
        <v>0.9</v>
      </c>
      <c r="C2" s="26">
        <v>1.1000000000000001</v>
      </c>
      <c r="E2" s="251" t="s">
        <v>326</v>
      </c>
      <c r="F2" s="270">
        <v>1138</v>
      </c>
      <c r="G2" s="341">
        <v>0.9</v>
      </c>
      <c r="H2" s="19"/>
      <c r="I2" s="264" t="s">
        <v>322</v>
      </c>
      <c r="J2" s="265" t="s">
        <v>203</v>
      </c>
      <c r="K2" s="266" t="s">
        <v>99</v>
      </c>
      <c r="N2" s="251" t="s">
        <v>327</v>
      </c>
      <c r="O2" s="271" t="s">
        <v>111</v>
      </c>
      <c r="P2" s="270">
        <v>5220.5</v>
      </c>
      <c r="Q2" s="320">
        <v>1.3</v>
      </c>
      <c r="T2" s="250" t="s">
        <v>322</v>
      </c>
      <c r="U2" s="322" t="s">
        <v>179</v>
      </c>
      <c r="V2" s="322" t="s">
        <v>328</v>
      </c>
    </row>
    <row r="3" spans="1:22" ht="15" thickBot="1">
      <c r="A3" s="21" t="s">
        <v>208</v>
      </c>
      <c r="B3" s="31">
        <v>0.85</v>
      </c>
      <c r="C3" s="26">
        <v>1.1000000000000001</v>
      </c>
      <c r="E3" s="251" t="s">
        <v>329</v>
      </c>
      <c r="F3" s="270">
        <v>1148.9000000000001</v>
      </c>
      <c r="G3" s="341" t="s">
        <v>330</v>
      </c>
      <c r="H3" s="19"/>
      <c r="I3" s="251" t="s">
        <v>331</v>
      </c>
      <c r="J3" s="267">
        <v>3225</v>
      </c>
      <c r="K3" s="268">
        <v>0.74</v>
      </c>
      <c r="N3" s="251" t="s">
        <v>332</v>
      </c>
      <c r="O3" s="271" t="s">
        <v>111</v>
      </c>
      <c r="P3" s="270">
        <v>2964.3</v>
      </c>
      <c r="Q3" s="320">
        <v>1.3</v>
      </c>
      <c r="T3" s="251" t="s">
        <v>333</v>
      </c>
      <c r="U3" s="271" t="s">
        <v>334</v>
      </c>
      <c r="V3" s="323" t="s">
        <v>335</v>
      </c>
    </row>
    <row r="4" spans="1:22" ht="15" thickBot="1">
      <c r="A4" s="21" t="s">
        <v>106</v>
      </c>
      <c r="B4" s="31">
        <v>0.74</v>
      </c>
      <c r="C4" s="272">
        <v>1.05</v>
      </c>
      <c r="E4" s="251" t="s">
        <v>336</v>
      </c>
      <c r="F4" s="270">
        <v>915.1</v>
      </c>
      <c r="G4" s="341">
        <v>1.03</v>
      </c>
      <c r="H4" s="19"/>
      <c r="I4" s="251" t="s">
        <v>337</v>
      </c>
      <c r="J4" s="267">
        <v>7915</v>
      </c>
      <c r="K4" s="269">
        <v>0.74</v>
      </c>
      <c r="N4" s="251" t="s">
        <v>338</v>
      </c>
      <c r="O4" s="271" t="s">
        <v>107</v>
      </c>
      <c r="P4" s="270">
        <v>39.4</v>
      </c>
      <c r="Q4" s="320">
        <v>0.84</v>
      </c>
      <c r="T4" s="251" t="s">
        <v>128</v>
      </c>
      <c r="U4" s="271" t="s">
        <v>339</v>
      </c>
      <c r="V4" s="323" t="s">
        <v>340</v>
      </c>
    </row>
    <row r="5" spans="1:22" ht="15" thickBot="1">
      <c r="A5" s="21" t="s">
        <v>6</v>
      </c>
      <c r="B5" s="31">
        <v>0.79</v>
      </c>
      <c r="C5" s="26">
        <v>1.1000000000000001</v>
      </c>
      <c r="D5" s="35"/>
      <c r="E5" s="251" t="s">
        <v>341</v>
      </c>
      <c r="F5" s="270">
        <v>6642</v>
      </c>
      <c r="G5" s="341">
        <v>0.93</v>
      </c>
      <c r="H5" s="19"/>
      <c r="I5" s="251" t="s">
        <v>342</v>
      </c>
      <c r="J5" s="267">
        <v>2838</v>
      </c>
      <c r="K5" s="269">
        <v>0.74</v>
      </c>
      <c r="N5" s="251" t="s">
        <v>331</v>
      </c>
      <c r="O5" s="271" t="s">
        <v>107</v>
      </c>
      <c r="P5" s="270">
        <v>4909.1000000000004</v>
      </c>
      <c r="Q5" s="320">
        <v>0.74</v>
      </c>
      <c r="T5" s="251" t="s">
        <v>343</v>
      </c>
      <c r="U5" s="271" t="s">
        <v>344</v>
      </c>
      <c r="V5" s="323" t="s">
        <v>345</v>
      </c>
    </row>
    <row r="6" spans="1:22" ht="15" thickBot="1">
      <c r="A6" s="21" t="s">
        <v>154</v>
      </c>
      <c r="B6" s="31">
        <v>0.78</v>
      </c>
      <c r="C6" s="26">
        <v>1.1000000000000001</v>
      </c>
      <c r="D6" s="35"/>
      <c r="E6" s="251" t="s">
        <v>346</v>
      </c>
      <c r="F6" s="270">
        <v>3974</v>
      </c>
      <c r="G6" s="341">
        <v>1.03</v>
      </c>
      <c r="H6" s="19"/>
      <c r="I6" s="251" t="s">
        <v>154</v>
      </c>
      <c r="J6" s="267">
        <v>1649</v>
      </c>
      <c r="K6" s="268">
        <v>0.75</v>
      </c>
      <c r="N6" s="251" t="s">
        <v>337</v>
      </c>
      <c r="O6" s="271" t="s">
        <v>107</v>
      </c>
      <c r="P6" s="270">
        <v>2160</v>
      </c>
      <c r="Q6" s="320">
        <v>0.74</v>
      </c>
      <c r="T6" s="251" t="s">
        <v>347</v>
      </c>
      <c r="U6" s="271" t="s">
        <v>348</v>
      </c>
      <c r="V6" s="323" t="s">
        <v>349</v>
      </c>
    </row>
    <row r="7" spans="1:22" ht="15" thickBot="1">
      <c r="A7" s="21" t="s">
        <v>116</v>
      </c>
      <c r="B7" s="31">
        <v>0.74</v>
      </c>
      <c r="C7" s="26">
        <v>1.1000000000000001</v>
      </c>
      <c r="E7" s="251" t="s">
        <v>350</v>
      </c>
      <c r="F7" s="270">
        <v>10631.5</v>
      </c>
      <c r="G7" s="341">
        <v>1.1299999999999999</v>
      </c>
      <c r="H7" s="19"/>
      <c r="I7" s="251" t="s">
        <v>351</v>
      </c>
      <c r="J7" s="267">
        <v>3083</v>
      </c>
      <c r="K7" s="268">
        <v>0.74</v>
      </c>
      <c r="N7" s="251" t="s">
        <v>106</v>
      </c>
      <c r="O7" s="271" t="s">
        <v>107</v>
      </c>
      <c r="P7" s="270">
        <v>2162.4</v>
      </c>
      <c r="Q7" s="320">
        <v>0.74</v>
      </c>
      <c r="T7" s="251" t="s">
        <v>352</v>
      </c>
      <c r="U7" s="271" t="s">
        <v>339</v>
      </c>
      <c r="V7" s="323" t="s">
        <v>353</v>
      </c>
    </row>
    <row r="8" spans="1:22" ht="15" thickBot="1">
      <c r="A8" s="21" t="s">
        <v>156</v>
      </c>
      <c r="B8" s="31">
        <v>0.74</v>
      </c>
      <c r="C8" s="26">
        <v>1.1000000000000001</v>
      </c>
      <c r="E8" s="251" t="s">
        <v>354</v>
      </c>
      <c r="F8" s="270">
        <v>1224.3</v>
      </c>
      <c r="G8" s="341">
        <v>0.83</v>
      </c>
      <c r="H8" s="19"/>
      <c r="I8" s="251" t="s">
        <v>355</v>
      </c>
      <c r="J8" s="267">
        <v>2765</v>
      </c>
      <c r="K8" s="268">
        <v>0.74</v>
      </c>
      <c r="N8" s="251" t="s">
        <v>356</v>
      </c>
      <c r="O8" s="271" t="s">
        <v>107</v>
      </c>
      <c r="P8" s="270">
        <v>9095.1</v>
      </c>
      <c r="Q8" s="320">
        <v>0.74</v>
      </c>
      <c r="T8" s="251" t="s">
        <v>357</v>
      </c>
      <c r="U8" s="271" t="s">
        <v>358</v>
      </c>
      <c r="V8" s="323" t="s">
        <v>359</v>
      </c>
    </row>
    <row r="9" spans="1:22" ht="15" thickBot="1">
      <c r="A9" s="21" t="s">
        <v>118</v>
      </c>
      <c r="B9" s="31">
        <v>0.78</v>
      </c>
      <c r="C9" s="26">
        <v>1.1000000000000001</v>
      </c>
      <c r="E9" s="251" t="s">
        <v>360</v>
      </c>
      <c r="F9" s="270">
        <v>1048.0999999999999</v>
      </c>
      <c r="G9" s="341">
        <v>0.83</v>
      </c>
      <c r="H9" s="19"/>
      <c r="I9" s="251" t="s">
        <v>361</v>
      </c>
      <c r="J9" s="270">
        <v>668</v>
      </c>
      <c r="K9" s="268">
        <v>0.74</v>
      </c>
      <c r="N9" s="251" t="s">
        <v>362</v>
      </c>
      <c r="O9" s="271" t="s">
        <v>107</v>
      </c>
      <c r="P9" s="270">
        <v>10799.4</v>
      </c>
      <c r="Q9" s="320">
        <v>0.74</v>
      </c>
      <c r="T9" s="251" t="s">
        <v>363</v>
      </c>
      <c r="U9" s="271" t="s">
        <v>364</v>
      </c>
      <c r="V9" s="323" t="s">
        <v>365</v>
      </c>
    </row>
    <row r="10" spans="1:22" ht="15" thickBot="1">
      <c r="A10" s="21" t="s">
        <v>128</v>
      </c>
      <c r="B10" s="31">
        <v>0.79</v>
      </c>
      <c r="C10" s="26">
        <v>1.1000000000000001</v>
      </c>
      <c r="E10" s="251" t="s">
        <v>337</v>
      </c>
      <c r="F10" s="270">
        <v>2021.7</v>
      </c>
      <c r="G10" s="341">
        <v>0.74</v>
      </c>
      <c r="H10" s="19"/>
      <c r="I10" s="251" t="s">
        <v>366</v>
      </c>
      <c r="J10" s="270">
        <v>229</v>
      </c>
      <c r="K10" s="268">
        <v>0.75</v>
      </c>
      <c r="N10" s="251" t="s">
        <v>342</v>
      </c>
      <c r="O10" s="271" t="s">
        <v>107</v>
      </c>
      <c r="P10" s="270">
        <v>2766</v>
      </c>
      <c r="Q10" s="320">
        <v>0.74</v>
      </c>
      <c r="T10" s="251" t="s">
        <v>367</v>
      </c>
      <c r="U10" s="271" t="s">
        <v>368</v>
      </c>
      <c r="V10" s="323" t="s">
        <v>369</v>
      </c>
    </row>
    <row r="11" spans="1:22" ht="15" thickBot="1">
      <c r="A11" s="21" t="s">
        <v>129</v>
      </c>
      <c r="B11" s="31">
        <v>0.78</v>
      </c>
      <c r="C11" s="26">
        <v>1.1000000000000001</v>
      </c>
      <c r="E11" s="251" t="s">
        <v>370</v>
      </c>
      <c r="F11" s="270">
        <v>4698.3</v>
      </c>
      <c r="G11" s="341">
        <v>0.74</v>
      </c>
      <c r="H11" s="19"/>
      <c r="I11" s="251" t="s">
        <v>371</v>
      </c>
      <c r="J11" s="267">
        <v>4155</v>
      </c>
      <c r="K11" s="268">
        <v>0.76</v>
      </c>
      <c r="N11" s="251" t="s">
        <v>372</v>
      </c>
      <c r="O11" s="271" t="s">
        <v>107</v>
      </c>
      <c r="P11" s="270">
        <v>393</v>
      </c>
      <c r="Q11" s="320">
        <v>0.74</v>
      </c>
      <c r="T11" s="251" t="s">
        <v>373</v>
      </c>
      <c r="U11" s="271" t="s">
        <v>374</v>
      </c>
      <c r="V11" s="323" t="s">
        <v>375</v>
      </c>
    </row>
    <row r="12" spans="1:22" ht="15" thickBot="1">
      <c r="A12" s="21" t="s">
        <v>148</v>
      </c>
      <c r="B12" s="31">
        <v>0.9</v>
      </c>
      <c r="C12" s="272">
        <v>1.05</v>
      </c>
      <c r="H12" s="19"/>
      <c r="I12" s="251" t="s">
        <v>118</v>
      </c>
      <c r="J12" s="270">
        <v>607</v>
      </c>
      <c r="K12" s="268">
        <v>0.77</v>
      </c>
      <c r="N12" s="251" t="s">
        <v>355</v>
      </c>
      <c r="O12" s="271" t="s">
        <v>107</v>
      </c>
      <c r="P12" s="270">
        <v>11469.2</v>
      </c>
      <c r="Q12" s="320">
        <v>0.74</v>
      </c>
      <c r="T12" s="251" t="s">
        <v>376</v>
      </c>
      <c r="U12" s="271" t="s">
        <v>377</v>
      </c>
      <c r="V12" s="323" t="s">
        <v>375</v>
      </c>
    </row>
    <row r="13" spans="1:22" ht="15" thickBot="1">
      <c r="A13" s="21" t="s">
        <v>162</v>
      </c>
      <c r="B13" s="31">
        <v>0.78</v>
      </c>
      <c r="C13" s="26">
        <v>1.1000000000000001</v>
      </c>
      <c r="E13" s="251" t="s">
        <v>116</v>
      </c>
      <c r="F13" s="270">
        <v>1224.5</v>
      </c>
      <c r="G13" s="341">
        <v>0.74</v>
      </c>
      <c r="H13" s="19"/>
      <c r="I13" s="251" t="s">
        <v>378</v>
      </c>
      <c r="J13" s="267">
        <v>1014</v>
      </c>
      <c r="K13" s="268">
        <v>0.76</v>
      </c>
      <c r="N13" s="251" t="s">
        <v>379</v>
      </c>
      <c r="O13" s="271" t="s">
        <v>107</v>
      </c>
      <c r="P13" s="270">
        <v>13159.1</v>
      </c>
      <c r="Q13" s="320">
        <v>0.74</v>
      </c>
      <c r="T13" s="251" t="s">
        <v>380</v>
      </c>
      <c r="U13" s="271" t="s">
        <v>381</v>
      </c>
      <c r="V13" s="323" t="s">
        <v>369</v>
      </c>
    </row>
    <row r="14" spans="1:22" ht="15" thickBot="1">
      <c r="A14" s="21" t="s">
        <v>150</v>
      </c>
      <c r="B14" s="31">
        <v>0.78</v>
      </c>
      <c r="C14" s="26">
        <v>1.1000000000000001</v>
      </c>
      <c r="E14" s="251" t="s">
        <v>118</v>
      </c>
      <c r="F14" s="270">
        <v>3695.1</v>
      </c>
      <c r="G14" s="341">
        <v>0.78</v>
      </c>
      <c r="H14" s="19"/>
      <c r="I14" s="251" t="s">
        <v>382</v>
      </c>
      <c r="J14" s="270">
        <v>738</v>
      </c>
      <c r="K14" s="268">
        <v>0.76</v>
      </c>
      <c r="N14" s="251" t="s">
        <v>383</v>
      </c>
      <c r="O14" s="271" t="s">
        <v>107</v>
      </c>
      <c r="P14" s="270">
        <v>6793.8</v>
      </c>
      <c r="Q14" s="320">
        <v>0.74</v>
      </c>
      <c r="T14" s="251" t="s">
        <v>384</v>
      </c>
      <c r="U14" s="271" t="s">
        <v>385</v>
      </c>
      <c r="V14" s="323" t="s">
        <v>369</v>
      </c>
    </row>
    <row r="15" spans="1:22" ht="15" thickBot="1">
      <c r="A15" s="21" t="s">
        <v>149</v>
      </c>
      <c r="B15" s="31">
        <v>0.9</v>
      </c>
      <c r="C15" s="26">
        <v>1.1000000000000001</v>
      </c>
      <c r="E15" s="251" t="s">
        <v>386</v>
      </c>
      <c r="F15" s="270">
        <v>558.5</v>
      </c>
      <c r="G15" s="341">
        <v>0.78</v>
      </c>
      <c r="H15" s="19"/>
      <c r="I15" s="251" t="s">
        <v>387</v>
      </c>
      <c r="J15" s="270">
        <v>685</v>
      </c>
      <c r="K15" s="268">
        <v>0.77</v>
      </c>
      <c r="N15" s="251" t="s">
        <v>371</v>
      </c>
      <c r="O15" s="271" t="s">
        <v>107</v>
      </c>
      <c r="P15" s="270">
        <v>1508.1</v>
      </c>
      <c r="Q15" s="320">
        <v>0.76</v>
      </c>
      <c r="T15" s="251" t="s">
        <v>388</v>
      </c>
      <c r="U15" s="271" t="s">
        <v>389</v>
      </c>
      <c r="V15" s="323" t="s">
        <v>390</v>
      </c>
    </row>
    <row r="16" spans="1:22" ht="15" thickBot="1">
      <c r="A16" s="21" t="s">
        <v>151</v>
      </c>
      <c r="B16" s="31">
        <v>1.05</v>
      </c>
      <c r="C16" s="272">
        <v>1.1000000000000001</v>
      </c>
      <c r="E16" s="251" t="s">
        <v>391</v>
      </c>
      <c r="F16" s="270">
        <v>4325.2</v>
      </c>
      <c r="G16" s="341">
        <v>0.8</v>
      </c>
      <c r="H16" s="19"/>
      <c r="I16" s="251" t="s">
        <v>347</v>
      </c>
      <c r="J16" s="267">
        <v>2289</v>
      </c>
      <c r="K16" s="268">
        <v>0.8</v>
      </c>
      <c r="N16" s="251" t="s">
        <v>118</v>
      </c>
      <c r="O16" s="271" t="s">
        <v>107</v>
      </c>
      <c r="P16" s="270">
        <v>865.4</v>
      </c>
      <c r="Q16" s="320">
        <v>0.77</v>
      </c>
      <c r="T16" s="251" t="s">
        <v>392</v>
      </c>
      <c r="U16" s="271" t="s">
        <v>393</v>
      </c>
      <c r="V16" s="323" t="s">
        <v>394</v>
      </c>
    </row>
    <row r="17" spans="1:22" ht="15" thickBot="1">
      <c r="A17" s="21" t="s">
        <v>159</v>
      </c>
      <c r="B17" s="31">
        <v>0.98</v>
      </c>
      <c r="C17" s="26">
        <v>1.1000000000000001</v>
      </c>
      <c r="E17" s="251" t="s">
        <v>395</v>
      </c>
      <c r="F17" s="270">
        <v>2478.3000000000002</v>
      </c>
      <c r="G17" s="341">
        <v>0.95</v>
      </c>
      <c r="H17" s="19"/>
      <c r="I17" s="251" t="s">
        <v>386</v>
      </c>
      <c r="J17" s="267">
        <v>4240</v>
      </c>
      <c r="K17" s="268">
        <v>0.78</v>
      </c>
      <c r="N17" s="251" t="s">
        <v>396</v>
      </c>
      <c r="O17" s="271" t="s">
        <v>107</v>
      </c>
      <c r="P17" s="270">
        <v>4280.2</v>
      </c>
      <c r="Q17" s="320">
        <v>0.79</v>
      </c>
      <c r="T17" s="251" t="s">
        <v>397</v>
      </c>
      <c r="U17" s="271" t="s">
        <v>398</v>
      </c>
      <c r="V17" s="323" t="s">
        <v>353</v>
      </c>
    </row>
    <row r="18" spans="1:22" ht="15" thickBot="1">
      <c r="A18" s="21" t="s">
        <v>163</v>
      </c>
      <c r="B18" s="31">
        <v>0.98</v>
      </c>
      <c r="C18" s="26">
        <v>1.1000000000000001</v>
      </c>
      <c r="D18" s="35"/>
      <c r="E18" s="251" t="s">
        <v>399</v>
      </c>
      <c r="F18" s="270">
        <v>889.2</v>
      </c>
      <c r="G18" s="341">
        <v>0.98</v>
      </c>
      <c r="H18" s="19"/>
      <c r="I18" s="251" t="s">
        <v>391</v>
      </c>
      <c r="J18" s="267">
        <v>6805</v>
      </c>
      <c r="K18" s="268">
        <v>0.79</v>
      </c>
      <c r="N18" s="251" t="s">
        <v>400</v>
      </c>
      <c r="O18" s="271" t="s">
        <v>107</v>
      </c>
      <c r="P18" s="270">
        <v>16709.900000000001</v>
      </c>
      <c r="Q18" s="320">
        <v>0.78</v>
      </c>
    </row>
    <row r="19" spans="1:22" ht="15" thickBot="1">
      <c r="A19" s="21" t="s">
        <v>134</v>
      </c>
      <c r="B19" s="31">
        <v>0.98</v>
      </c>
      <c r="C19" s="26">
        <v>1.1000000000000001</v>
      </c>
      <c r="D19" s="35"/>
      <c r="E19" s="251" t="s">
        <v>401</v>
      </c>
      <c r="F19" s="270">
        <v>614</v>
      </c>
      <c r="G19" s="341">
        <v>0.82</v>
      </c>
      <c r="H19" s="19"/>
      <c r="I19" s="251" t="s">
        <v>402</v>
      </c>
      <c r="J19" s="267">
        <v>9025</v>
      </c>
      <c r="K19" s="268">
        <v>0.8</v>
      </c>
      <c r="N19" s="251" t="s">
        <v>403</v>
      </c>
      <c r="O19" s="271" t="s">
        <v>107</v>
      </c>
      <c r="P19" s="270">
        <v>246.3</v>
      </c>
      <c r="Q19" s="320">
        <v>0.75</v>
      </c>
    </row>
    <row r="20" spans="1:22" ht="15" thickBot="1">
      <c r="B20" s="31"/>
      <c r="C20" s="26"/>
      <c r="E20" s="251" t="s">
        <v>402</v>
      </c>
      <c r="F20" s="270">
        <v>1536</v>
      </c>
      <c r="G20" s="341">
        <v>0.8</v>
      </c>
      <c r="H20" s="19"/>
      <c r="I20" s="251" t="s">
        <v>404</v>
      </c>
      <c r="J20" s="267">
        <v>3147</v>
      </c>
      <c r="K20" s="268">
        <v>0.85</v>
      </c>
      <c r="N20" s="251" t="s">
        <v>382</v>
      </c>
      <c r="O20" s="271" t="s">
        <v>107</v>
      </c>
      <c r="P20" s="270">
        <v>271.3</v>
      </c>
      <c r="Q20" s="320">
        <v>0.76</v>
      </c>
    </row>
    <row r="21" spans="1:22" ht="15.6" thickTop="1" thickBot="1">
      <c r="A21" s="21"/>
      <c r="B21" s="31"/>
      <c r="C21" s="26"/>
      <c r="E21" s="251" t="s">
        <v>405</v>
      </c>
      <c r="F21" s="270">
        <v>887.1</v>
      </c>
      <c r="G21" s="341">
        <v>0.74</v>
      </c>
      <c r="I21" s="251" t="s">
        <v>406</v>
      </c>
      <c r="J21" s="267">
        <v>4636</v>
      </c>
      <c r="K21" s="268">
        <v>0.94</v>
      </c>
      <c r="N21" s="251" t="s">
        <v>407</v>
      </c>
      <c r="O21" s="271" t="s">
        <v>107</v>
      </c>
      <c r="P21" s="270">
        <v>143.19999999999999</v>
      </c>
      <c r="Q21" s="320">
        <v>0.76</v>
      </c>
      <c r="T21" s="252">
        <v>45835</v>
      </c>
      <c r="U21" s="72" t="s">
        <v>325</v>
      </c>
    </row>
    <row r="22" spans="1:22" ht="15" thickBot="1">
      <c r="A22" s="21"/>
      <c r="B22" s="31"/>
      <c r="C22" s="26"/>
      <c r="I22" s="251" t="s">
        <v>408</v>
      </c>
      <c r="J22" s="267">
        <v>2469</v>
      </c>
      <c r="K22" s="268">
        <v>0.74</v>
      </c>
      <c r="N22" s="251" t="s">
        <v>409</v>
      </c>
      <c r="O22" s="271" t="s">
        <v>107</v>
      </c>
      <c r="P22" s="270">
        <v>1210.8</v>
      </c>
      <c r="Q22" s="321">
        <v>0.74</v>
      </c>
      <c r="T22" s="250" t="s">
        <v>202</v>
      </c>
      <c r="U22" s="318" t="s">
        <v>203</v>
      </c>
      <c r="V22" s="324" t="s">
        <v>410</v>
      </c>
    </row>
    <row r="23" spans="1:22" ht="15" thickBot="1">
      <c r="A23" s="21"/>
      <c r="B23" s="31"/>
      <c r="C23" s="26"/>
      <c r="E23" s="251" t="s">
        <v>411</v>
      </c>
      <c r="F23" s="270">
        <v>2280.6</v>
      </c>
      <c r="G23" s="341">
        <v>0.85499999999999998</v>
      </c>
      <c r="H23" s="19"/>
      <c r="I23" s="251" t="s">
        <v>405</v>
      </c>
      <c r="J23" s="267">
        <v>1602</v>
      </c>
      <c r="K23" s="269">
        <v>0.74</v>
      </c>
      <c r="N23" s="251" t="s">
        <v>412</v>
      </c>
      <c r="O23" s="271" t="s">
        <v>107</v>
      </c>
      <c r="P23" s="270">
        <v>3168.5</v>
      </c>
      <c r="Q23" s="321">
        <v>0.74</v>
      </c>
      <c r="T23" s="251" t="s">
        <v>336</v>
      </c>
      <c r="U23" s="325">
        <v>512</v>
      </c>
      <c r="V23" s="326" t="s">
        <v>413</v>
      </c>
    </row>
    <row r="24" spans="1:22" ht="15" thickBot="1">
      <c r="A24" s="21"/>
      <c r="B24" s="31"/>
      <c r="C24" s="26"/>
      <c r="E24" s="251" t="s">
        <v>363</v>
      </c>
      <c r="F24" s="270">
        <v>2456.8000000000002</v>
      </c>
      <c r="G24" s="341">
        <v>0.86499999999999999</v>
      </c>
      <c r="H24" s="19"/>
      <c r="I24" s="251" t="s">
        <v>414</v>
      </c>
      <c r="J24" s="267">
        <v>2193</v>
      </c>
      <c r="K24" s="269">
        <v>0.74</v>
      </c>
      <c r="N24" s="251" t="s">
        <v>415</v>
      </c>
      <c r="O24" s="271" t="s">
        <v>107</v>
      </c>
      <c r="P24" s="270">
        <v>333.3</v>
      </c>
      <c r="Q24" s="321">
        <v>0.74</v>
      </c>
      <c r="T24" s="251" t="s">
        <v>416</v>
      </c>
      <c r="U24" s="325">
        <v>338</v>
      </c>
      <c r="V24" s="326" t="s">
        <v>417</v>
      </c>
    </row>
    <row r="25" spans="1:22" ht="15" thickBot="1">
      <c r="A25" s="21"/>
      <c r="B25" s="31"/>
      <c r="C25" s="26"/>
      <c r="E25" s="251" t="s">
        <v>418</v>
      </c>
      <c r="F25" s="270">
        <v>8719.4</v>
      </c>
      <c r="G25" s="341">
        <v>0.89500000000000002</v>
      </c>
      <c r="H25" s="19"/>
      <c r="I25" s="251" t="s">
        <v>419</v>
      </c>
      <c r="J25" s="270">
        <v>661</v>
      </c>
      <c r="K25" s="269">
        <v>0.74</v>
      </c>
      <c r="N25" s="251" t="s">
        <v>408</v>
      </c>
      <c r="O25" s="271" t="s">
        <v>107</v>
      </c>
      <c r="P25" s="270">
        <v>166.7</v>
      </c>
      <c r="Q25" s="321">
        <v>0.74</v>
      </c>
      <c r="T25" s="251" t="s">
        <v>420</v>
      </c>
      <c r="U25" s="325">
        <v>282</v>
      </c>
      <c r="V25" s="326" t="s">
        <v>421</v>
      </c>
    </row>
    <row r="26" spans="1:22" ht="15" thickBot="1">
      <c r="A26" s="21"/>
      <c r="B26" s="31"/>
      <c r="C26" s="26"/>
      <c r="E26" s="251" t="s">
        <v>422</v>
      </c>
      <c r="F26" s="270">
        <v>9246.7000000000007</v>
      </c>
      <c r="G26" s="341">
        <v>0.92500000000000004</v>
      </c>
      <c r="H26" s="19"/>
      <c r="I26" s="251" t="s">
        <v>423</v>
      </c>
      <c r="J26" s="267">
        <v>2408</v>
      </c>
      <c r="K26" s="268">
        <v>0.85499999999999998</v>
      </c>
      <c r="N26" s="251" t="s">
        <v>405</v>
      </c>
      <c r="O26" s="271" t="s">
        <v>107</v>
      </c>
      <c r="P26" s="270">
        <v>393.6</v>
      </c>
      <c r="Q26" s="321">
        <v>0.74</v>
      </c>
      <c r="T26" s="251" t="s">
        <v>424</v>
      </c>
      <c r="U26" s="327">
        <v>3276</v>
      </c>
      <c r="V26" s="326" t="s">
        <v>421</v>
      </c>
    </row>
    <row r="27" spans="1:22" ht="15" thickBot="1">
      <c r="A27" s="21"/>
      <c r="B27" s="31"/>
      <c r="C27" s="26"/>
      <c r="E27" s="251" t="s">
        <v>425</v>
      </c>
      <c r="F27" s="270">
        <v>3793.2</v>
      </c>
      <c r="G27" s="341">
        <v>0.86</v>
      </c>
      <c r="H27" s="19"/>
      <c r="I27" s="251" t="s">
        <v>363</v>
      </c>
      <c r="J27" s="270">
        <v>520</v>
      </c>
      <c r="K27" s="268">
        <v>0.86499999999999999</v>
      </c>
      <c r="N27" s="251" t="s">
        <v>414</v>
      </c>
      <c r="O27" s="271" t="s">
        <v>107</v>
      </c>
      <c r="P27" s="270">
        <v>1119.0999999999999</v>
      </c>
      <c r="Q27" s="321">
        <v>0.74</v>
      </c>
      <c r="T27" s="251" t="s">
        <v>426</v>
      </c>
      <c r="U27" s="327">
        <v>26675</v>
      </c>
      <c r="V27" s="326" t="s">
        <v>427</v>
      </c>
    </row>
    <row r="28" spans="1:22" ht="15" thickBot="1">
      <c r="A28" s="21"/>
      <c r="B28" s="31"/>
      <c r="C28" s="272"/>
      <c r="E28" s="251" t="s">
        <v>428</v>
      </c>
      <c r="F28" s="270">
        <v>11598.9</v>
      </c>
      <c r="G28" s="341">
        <v>0.87</v>
      </c>
      <c r="H28" s="19"/>
      <c r="I28" s="251" t="s">
        <v>429</v>
      </c>
      <c r="J28" s="267">
        <v>9042</v>
      </c>
      <c r="K28" s="268">
        <v>0.91</v>
      </c>
      <c r="N28" s="251" t="s">
        <v>430</v>
      </c>
      <c r="O28" s="271" t="s">
        <v>107</v>
      </c>
      <c r="P28" s="270">
        <v>445.9</v>
      </c>
      <c r="Q28" s="321">
        <v>0.74</v>
      </c>
      <c r="T28" s="251" t="s">
        <v>208</v>
      </c>
      <c r="U28" s="325">
        <v>491</v>
      </c>
      <c r="V28" s="326" t="s">
        <v>431</v>
      </c>
    </row>
    <row r="29" spans="1:22" ht="15" thickBot="1">
      <c r="A29" s="21"/>
      <c r="B29" s="31"/>
      <c r="C29" s="26"/>
      <c r="E29" s="251" t="s">
        <v>432</v>
      </c>
      <c r="F29" s="270">
        <v>13857</v>
      </c>
      <c r="G29" s="341">
        <v>0.89</v>
      </c>
      <c r="H29" s="19"/>
      <c r="I29" s="251" t="s">
        <v>433</v>
      </c>
      <c r="J29" s="270">
        <v>486</v>
      </c>
      <c r="K29" s="268">
        <v>0.89500000000000002</v>
      </c>
      <c r="N29" s="251" t="s">
        <v>419</v>
      </c>
      <c r="O29" s="271" t="s">
        <v>107</v>
      </c>
      <c r="P29" s="270">
        <v>5725.3</v>
      </c>
      <c r="Q29" s="321">
        <v>0.74</v>
      </c>
    </row>
    <row r="30" spans="1:22" ht="15" thickBot="1">
      <c r="A30" s="21"/>
      <c r="B30" s="31"/>
      <c r="C30" s="26"/>
      <c r="E30" s="251" t="s">
        <v>434</v>
      </c>
      <c r="F30" s="270">
        <v>2424.3000000000002</v>
      </c>
      <c r="G30" s="341">
        <v>0.87</v>
      </c>
      <c r="H30" s="19"/>
      <c r="I30" s="251" t="s">
        <v>435</v>
      </c>
      <c r="J30" s="267">
        <v>2689</v>
      </c>
      <c r="K30" s="268">
        <v>0.99</v>
      </c>
      <c r="N30" s="251" t="s">
        <v>411</v>
      </c>
      <c r="O30" s="271" t="s">
        <v>111</v>
      </c>
      <c r="P30" s="270">
        <v>4378.3</v>
      </c>
      <c r="Q30" s="320">
        <v>0.85499999999999998</v>
      </c>
    </row>
    <row r="31" spans="1:22" ht="15" thickBot="1">
      <c r="A31" s="21"/>
      <c r="B31" s="31"/>
      <c r="C31" s="26"/>
      <c r="E31" s="251" t="s">
        <v>436</v>
      </c>
      <c r="F31" s="270">
        <v>485.4</v>
      </c>
      <c r="G31" s="341">
        <v>0.92</v>
      </c>
      <c r="H31" s="19"/>
      <c r="I31" s="251" t="s">
        <v>437</v>
      </c>
      <c r="J31" s="267">
        <v>9963</v>
      </c>
      <c r="K31" s="268">
        <v>0.99</v>
      </c>
      <c r="N31" s="251" t="s">
        <v>423</v>
      </c>
      <c r="O31" s="271" t="s">
        <v>111</v>
      </c>
      <c r="P31" s="270">
        <v>859</v>
      </c>
      <c r="Q31" s="320">
        <v>0.85499999999999998</v>
      </c>
    </row>
    <row r="32" spans="1:22" ht="15" thickBot="1">
      <c r="A32" s="21"/>
      <c r="B32" s="31"/>
      <c r="C32" s="26"/>
      <c r="E32" s="251" t="s">
        <v>438</v>
      </c>
      <c r="F32" s="270">
        <v>1306</v>
      </c>
      <c r="G32" s="341">
        <v>0.94</v>
      </c>
      <c r="H32" s="19"/>
      <c r="I32" s="251" t="s">
        <v>439</v>
      </c>
      <c r="J32" s="267">
        <v>13942</v>
      </c>
      <c r="K32" s="268">
        <v>0.99</v>
      </c>
      <c r="N32" s="251" t="s">
        <v>363</v>
      </c>
      <c r="O32" s="271" t="s">
        <v>111</v>
      </c>
      <c r="P32" s="270">
        <v>2973.7</v>
      </c>
      <c r="Q32" s="320">
        <v>0.86499999999999999</v>
      </c>
    </row>
    <row r="33" spans="1:17" ht="15" thickBot="1">
      <c r="A33" s="21"/>
      <c r="B33" s="31"/>
      <c r="C33" s="26"/>
      <c r="E33" s="251" t="s">
        <v>440</v>
      </c>
      <c r="F33" s="271" t="s">
        <v>441</v>
      </c>
      <c r="G33" s="341">
        <v>0.74</v>
      </c>
      <c r="H33" s="19"/>
      <c r="I33" s="251" t="s">
        <v>442</v>
      </c>
      <c r="J33" s="267">
        <v>3670</v>
      </c>
      <c r="K33" s="268">
        <v>0.99</v>
      </c>
      <c r="N33" s="251" t="s">
        <v>443</v>
      </c>
      <c r="O33" s="271" t="s">
        <v>111</v>
      </c>
      <c r="P33" s="270">
        <v>54.3</v>
      </c>
      <c r="Q33" s="320">
        <v>0.875</v>
      </c>
    </row>
    <row r="34" spans="1:17" ht="15" thickBot="1">
      <c r="A34" s="21"/>
      <c r="B34" s="31"/>
      <c r="C34" s="26"/>
      <c r="H34" s="19"/>
      <c r="I34" s="251" t="s">
        <v>444</v>
      </c>
      <c r="J34" s="271" t="s">
        <v>445</v>
      </c>
      <c r="K34" s="268">
        <v>0.73</v>
      </c>
      <c r="N34" s="251" t="s">
        <v>367</v>
      </c>
      <c r="O34" s="271" t="s">
        <v>111</v>
      </c>
      <c r="P34" s="270">
        <v>12334</v>
      </c>
      <c r="Q34" s="320">
        <v>0.875</v>
      </c>
    </row>
    <row r="35" spans="1:17" ht="15" thickBot="1">
      <c r="A35" s="21"/>
      <c r="B35" s="31"/>
      <c r="C35" s="26"/>
      <c r="D35" s="64"/>
      <c r="H35" s="19"/>
      <c r="N35" s="251" t="s">
        <v>446</v>
      </c>
      <c r="O35" s="271" t="s">
        <v>111</v>
      </c>
      <c r="P35" s="270">
        <v>10153.6</v>
      </c>
      <c r="Q35" s="320">
        <v>0.88</v>
      </c>
    </row>
    <row r="36" spans="1:17" ht="15" thickBot="1">
      <c r="A36" s="21"/>
      <c r="B36" s="31"/>
      <c r="C36" s="26"/>
      <c r="D36" s="64"/>
      <c r="H36" s="19"/>
      <c r="N36" s="251" t="s">
        <v>447</v>
      </c>
      <c r="O36" s="271" t="s">
        <v>111</v>
      </c>
      <c r="P36" s="270">
        <v>11656.3</v>
      </c>
      <c r="Q36" s="320">
        <v>0.88</v>
      </c>
    </row>
    <row r="37" spans="1:17" ht="15" thickBot="1">
      <c r="A37" s="21"/>
      <c r="B37" s="31"/>
      <c r="C37" s="26"/>
      <c r="D37" s="64"/>
      <c r="H37" s="19"/>
      <c r="N37" s="251" t="s">
        <v>448</v>
      </c>
      <c r="O37" s="271" t="s">
        <v>111</v>
      </c>
      <c r="P37" s="270">
        <v>18480.3</v>
      </c>
      <c r="Q37" s="320">
        <v>0.92</v>
      </c>
    </row>
    <row r="38" spans="1:17" ht="15" thickBot="1">
      <c r="A38" s="21"/>
      <c r="B38" s="31"/>
      <c r="C38" s="26"/>
      <c r="D38" s="64"/>
      <c r="H38" s="19"/>
      <c r="N38" s="251" t="s">
        <v>434</v>
      </c>
      <c r="O38" s="271" t="s">
        <v>111</v>
      </c>
      <c r="P38" s="270">
        <v>464.2</v>
      </c>
      <c r="Q38" s="320">
        <v>0.875</v>
      </c>
    </row>
    <row r="39" spans="1:17" ht="15" thickBot="1">
      <c r="A39" s="21"/>
      <c r="B39" s="31"/>
      <c r="C39" s="26"/>
      <c r="D39" s="64"/>
      <c r="N39" s="251" t="s">
        <v>449</v>
      </c>
      <c r="O39" s="271" t="s">
        <v>111</v>
      </c>
      <c r="P39" s="270">
        <v>102.5</v>
      </c>
      <c r="Q39" s="320">
        <v>0.84</v>
      </c>
    </row>
    <row r="40" spans="1:17" ht="15" thickBot="1">
      <c r="A40" s="21"/>
      <c r="B40" s="31"/>
      <c r="C40" s="26"/>
      <c r="D40" s="64"/>
      <c r="N40" s="251" t="s">
        <v>450</v>
      </c>
      <c r="O40" s="271" t="s">
        <v>111</v>
      </c>
      <c r="P40" s="270">
        <v>206.8</v>
      </c>
      <c r="Q40" s="320">
        <v>0.88500000000000001</v>
      </c>
    </row>
    <row r="41" spans="1:17" ht="15" thickBot="1">
      <c r="A41" s="21"/>
      <c r="B41" s="31"/>
      <c r="C41" s="26"/>
      <c r="D41" s="64"/>
      <c r="N41" s="251" t="s">
        <v>451</v>
      </c>
      <c r="O41" s="271" t="s">
        <v>111</v>
      </c>
      <c r="P41" s="270">
        <v>428.7</v>
      </c>
      <c r="Q41" s="320">
        <v>1.1000000000000001</v>
      </c>
    </row>
    <row r="42" spans="1:17">
      <c r="A42" s="26" t="s">
        <v>452</v>
      </c>
      <c r="B42" s="31">
        <v>0.75</v>
      </c>
      <c r="C42" s="26">
        <v>1.1000000000000001</v>
      </c>
    </row>
    <row r="43" spans="1:17">
      <c r="A43" s="26" t="s">
        <v>453</v>
      </c>
      <c r="B43" s="31">
        <v>0.74</v>
      </c>
      <c r="C43" s="26">
        <v>1.1000000000000001</v>
      </c>
    </row>
    <row r="44" spans="1:17">
      <c r="A44" s="26" t="s">
        <v>454</v>
      </c>
      <c r="B44" s="31">
        <v>0.74</v>
      </c>
      <c r="C44" s="26">
        <v>1.1000000000000001</v>
      </c>
    </row>
    <row r="45" spans="1:17">
      <c r="A45" s="26" t="s">
        <v>455</v>
      </c>
      <c r="B45" s="31">
        <v>0.74</v>
      </c>
      <c r="C45" s="26">
        <v>1.1000000000000001</v>
      </c>
    </row>
    <row r="46" spans="1:17">
      <c r="A46" s="26" t="s">
        <v>456</v>
      </c>
      <c r="B46" s="31">
        <v>0.74</v>
      </c>
      <c r="C46" s="26">
        <v>1.1000000000000001</v>
      </c>
    </row>
    <row r="47" spans="1:17">
      <c r="A47" s="26" t="s">
        <v>457</v>
      </c>
      <c r="B47" s="31">
        <v>0.74</v>
      </c>
      <c r="C47" s="26">
        <v>1.1000000000000001</v>
      </c>
    </row>
    <row r="48" spans="1:17">
      <c r="A48" s="26" t="s">
        <v>458</v>
      </c>
      <c r="B48" s="31">
        <v>0.74</v>
      </c>
      <c r="C48" s="26">
        <v>1.1000000000000001</v>
      </c>
    </row>
    <row r="49" spans="1:3">
      <c r="A49" s="26" t="s">
        <v>459</v>
      </c>
      <c r="B49" s="31">
        <v>0.74</v>
      </c>
      <c r="C49" s="26">
        <v>1.1000000000000001</v>
      </c>
    </row>
    <row r="50" spans="1:3">
      <c r="A50" s="26" t="s">
        <v>115</v>
      </c>
      <c r="B50" s="31">
        <v>0.74</v>
      </c>
      <c r="C50" s="26">
        <v>1.1000000000000001</v>
      </c>
    </row>
    <row r="51" spans="1:3">
      <c r="A51" s="26" t="s">
        <v>460</v>
      </c>
      <c r="B51" s="31">
        <v>0.74</v>
      </c>
      <c r="C51" s="26">
        <v>1.1000000000000001</v>
      </c>
    </row>
    <row r="52" spans="1:3">
      <c r="A52" s="26" t="s">
        <v>131</v>
      </c>
      <c r="B52" s="31">
        <v>0.74</v>
      </c>
      <c r="C52" s="26">
        <v>1.1000000000000001</v>
      </c>
    </row>
    <row r="53" spans="1:3">
      <c r="A53" s="26" t="s">
        <v>127</v>
      </c>
      <c r="B53" s="31">
        <v>0.74</v>
      </c>
      <c r="C53" s="26">
        <v>1.1000000000000001</v>
      </c>
    </row>
    <row r="54" spans="1:3">
      <c r="A54" s="26" t="s">
        <v>139</v>
      </c>
      <c r="B54" s="31">
        <f t="shared" ref="B54:B57" si="0">$B$52+0.45</f>
        <v>1.19</v>
      </c>
      <c r="C54" s="26">
        <v>1.1000000000000001</v>
      </c>
    </row>
    <row r="55" spans="1:3">
      <c r="A55" s="26" t="s">
        <v>143</v>
      </c>
      <c r="B55" s="31">
        <f t="shared" si="0"/>
        <v>1.19</v>
      </c>
      <c r="C55" s="26">
        <v>1.1000000000000001</v>
      </c>
    </row>
    <row r="56" spans="1:3">
      <c r="A56" s="26" t="s">
        <v>461</v>
      </c>
      <c r="B56" s="31">
        <f t="shared" si="0"/>
        <v>1.19</v>
      </c>
      <c r="C56" s="26">
        <v>1.1000000000000001</v>
      </c>
    </row>
    <row r="57" spans="1:3">
      <c r="A57" s="26" t="s">
        <v>462</v>
      </c>
      <c r="B57" s="31">
        <f t="shared" si="0"/>
        <v>1.19</v>
      </c>
      <c r="C57" s="26">
        <v>1.1000000000000001</v>
      </c>
    </row>
  </sheetData>
  <sortState xmlns:xlrd2="http://schemas.microsoft.com/office/spreadsheetml/2017/richdata2" ref="A2:C34">
    <sortCondition ref="A2:A34"/>
  </sortState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8A669-92E4-469E-B004-297F307C5F7E}">
  <sheetPr codeName="Sheet3"/>
  <dimension ref="A1:T2694"/>
  <sheetViews>
    <sheetView topLeftCell="A327" workbookViewId="0">
      <selection activeCell="G359" sqref="G359"/>
    </sheetView>
  </sheetViews>
  <sheetFormatPr defaultRowHeight="14.25"/>
  <cols>
    <col min="1" max="1" width="17.28515625" bestFit="1" customWidth="1"/>
    <col min="2" max="2" width="21" bestFit="1" customWidth="1"/>
    <col min="3" max="3" width="14.5703125" bestFit="1" customWidth="1"/>
    <col min="4" max="4" width="12.42578125" bestFit="1" customWidth="1"/>
    <col min="7" max="7" width="19.140625" bestFit="1" customWidth="1"/>
    <col min="8" max="8" width="21.7109375" bestFit="1" customWidth="1"/>
    <col min="9" max="9" width="19.140625" bestFit="1" customWidth="1"/>
    <col min="10" max="10" width="16.85546875" bestFit="1" customWidth="1"/>
  </cols>
  <sheetData>
    <row r="1" spans="1:10">
      <c r="A1" t="s">
        <v>463</v>
      </c>
      <c r="B1" t="s">
        <v>464</v>
      </c>
      <c r="C1" t="s">
        <v>465</v>
      </c>
      <c r="D1" t="s">
        <v>466</v>
      </c>
    </row>
    <row r="2" spans="1:10">
      <c r="A2" t="s">
        <v>467</v>
      </c>
      <c r="B2" t="s">
        <v>468</v>
      </c>
      <c r="C2" s="342">
        <v>120</v>
      </c>
      <c r="D2" s="344">
        <v>2E-3</v>
      </c>
    </row>
    <row r="3" spans="1:10">
      <c r="A3" t="s">
        <v>467</v>
      </c>
      <c r="B3" t="s">
        <v>468</v>
      </c>
      <c r="C3" s="343">
        <v>120</v>
      </c>
      <c r="D3" s="345">
        <v>2E-3</v>
      </c>
    </row>
    <row r="4" spans="1:10">
      <c r="A4" t="s">
        <v>467</v>
      </c>
      <c r="B4" t="s">
        <v>468</v>
      </c>
      <c r="C4" s="342">
        <v>120</v>
      </c>
      <c r="D4" s="344">
        <v>2E-3</v>
      </c>
      <c r="G4" s="347" t="s">
        <v>469</v>
      </c>
      <c r="H4" t="s">
        <v>470</v>
      </c>
      <c r="I4" t="s">
        <v>471</v>
      </c>
      <c r="J4" t="s">
        <v>472</v>
      </c>
    </row>
    <row r="5" spans="1:10">
      <c r="A5" t="s">
        <v>467</v>
      </c>
      <c r="B5" t="s">
        <v>468</v>
      </c>
      <c r="C5" s="343">
        <v>120</v>
      </c>
      <c r="D5" s="345">
        <v>2E-3</v>
      </c>
      <c r="G5" s="348" t="s">
        <v>467</v>
      </c>
      <c r="H5">
        <v>156</v>
      </c>
      <c r="I5">
        <v>40520</v>
      </c>
      <c r="J5">
        <v>0.84000000000000064</v>
      </c>
    </row>
    <row r="6" spans="1:10">
      <c r="A6" t="s">
        <v>467</v>
      </c>
      <c r="B6" t="s">
        <v>468</v>
      </c>
      <c r="C6" s="342">
        <v>120</v>
      </c>
      <c r="D6" s="344">
        <v>2E-3</v>
      </c>
      <c r="G6" s="352" t="s">
        <v>473</v>
      </c>
      <c r="H6" s="35">
        <v>34</v>
      </c>
      <c r="I6" s="35">
        <v>4760</v>
      </c>
      <c r="J6">
        <v>6.8000000000000047E-2</v>
      </c>
    </row>
    <row r="7" spans="1:10">
      <c r="A7" t="s">
        <v>467</v>
      </c>
      <c r="B7" t="s">
        <v>468</v>
      </c>
      <c r="C7" s="343">
        <v>120</v>
      </c>
      <c r="D7" s="345">
        <v>2E-3</v>
      </c>
      <c r="G7" s="353">
        <v>140</v>
      </c>
      <c r="H7" s="35">
        <v>34</v>
      </c>
      <c r="I7" s="35">
        <v>4760</v>
      </c>
      <c r="J7">
        <v>6.8000000000000047E-2</v>
      </c>
    </row>
    <row r="8" spans="1:10">
      <c r="A8" t="s">
        <v>467</v>
      </c>
      <c r="B8" t="s">
        <v>468</v>
      </c>
      <c r="C8" s="342">
        <v>120</v>
      </c>
      <c r="D8" s="344">
        <v>2E-3</v>
      </c>
      <c r="G8" s="352" t="s">
        <v>468</v>
      </c>
      <c r="H8" s="35">
        <v>34</v>
      </c>
      <c r="I8" s="35">
        <v>4080</v>
      </c>
      <c r="J8">
        <v>6.8000000000000047E-2</v>
      </c>
    </row>
    <row r="9" spans="1:10">
      <c r="A9" t="s">
        <v>467</v>
      </c>
      <c r="B9" t="s">
        <v>468</v>
      </c>
      <c r="C9" s="343">
        <v>120</v>
      </c>
      <c r="D9" s="345">
        <v>2E-3</v>
      </c>
      <c r="G9" s="353">
        <v>120</v>
      </c>
      <c r="H9" s="35">
        <v>34</v>
      </c>
      <c r="I9" s="35">
        <v>4080</v>
      </c>
      <c r="J9">
        <v>6.8000000000000047E-2</v>
      </c>
    </row>
    <row r="10" spans="1:10">
      <c r="A10" t="s">
        <v>467</v>
      </c>
      <c r="B10" t="s">
        <v>468</v>
      </c>
      <c r="C10" s="342">
        <v>120</v>
      </c>
      <c r="D10" s="344">
        <v>2E-3</v>
      </c>
      <c r="G10" s="352" t="s">
        <v>474</v>
      </c>
      <c r="H10" s="35">
        <v>88</v>
      </c>
      <c r="I10" s="35">
        <v>31680</v>
      </c>
      <c r="J10">
        <v>0.70400000000000051</v>
      </c>
    </row>
    <row r="11" spans="1:10">
      <c r="A11" t="s">
        <v>467</v>
      </c>
      <c r="B11" t="s">
        <v>468</v>
      </c>
      <c r="C11" s="343">
        <v>120</v>
      </c>
      <c r="D11" s="345">
        <v>2E-3</v>
      </c>
      <c r="G11" s="353">
        <v>360</v>
      </c>
      <c r="H11" s="35">
        <v>88</v>
      </c>
      <c r="I11" s="35">
        <v>31680</v>
      </c>
      <c r="J11">
        <v>0.70400000000000051</v>
      </c>
    </row>
    <row r="12" spans="1:10">
      <c r="A12" t="s">
        <v>467</v>
      </c>
      <c r="B12" t="s">
        <v>468</v>
      </c>
      <c r="C12" s="342">
        <v>120</v>
      </c>
      <c r="D12" s="344">
        <v>2E-3</v>
      </c>
      <c r="G12" s="348" t="s">
        <v>475</v>
      </c>
      <c r="H12">
        <v>138</v>
      </c>
      <c r="I12">
        <v>74308</v>
      </c>
      <c r="J12">
        <v>1.4819999999999982</v>
      </c>
    </row>
    <row r="13" spans="1:10">
      <c r="A13" t="s">
        <v>467</v>
      </c>
      <c r="B13" t="s">
        <v>468</v>
      </c>
      <c r="C13" s="343">
        <v>120</v>
      </c>
      <c r="D13" s="345">
        <v>2E-3</v>
      </c>
      <c r="G13" s="349" t="s">
        <v>476</v>
      </c>
      <c r="H13">
        <v>16</v>
      </c>
      <c r="I13">
        <v>5744</v>
      </c>
      <c r="J13">
        <v>3.2000000000000015E-2</v>
      </c>
    </row>
    <row r="14" spans="1:10">
      <c r="A14" t="s">
        <v>467</v>
      </c>
      <c r="B14" t="s">
        <v>468</v>
      </c>
      <c r="C14" s="342">
        <v>120</v>
      </c>
      <c r="D14" s="344">
        <v>2E-3</v>
      </c>
      <c r="G14" s="350">
        <v>261</v>
      </c>
      <c r="H14">
        <v>2</v>
      </c>
      <c r="I14">
        <v>522</v>
      </c>
      <c r="J14">
        <v>4.0000000000000001E-3</v>
      </c>
    </row>
    <row r="15" spans="1:10">
      <c r="A15" t="s">
        <v>467</v>
      </c>
      <c r="B15" t="s">
        <v>468</v>
      </c>
      <c r="C15" s="343">
        <v>120</v>
      </c>
      <c r="D15" s="345">
        <v>2E-3</v>
      </c>
      <c r="G15" s="350">
        <v>373</v>
      </c>
      <c r="H15">
        <v>14</v>
      </c>
      <c r="I15">
        <v>5222</v>
      </c>
      <c r="J15">
        <v>2.8000000000000011E-2</v>
      </c>
    </row>
    <row r="16" spans="1:10">
      <c r="A16" t="s">
        <v>467</v>
      </c>
      <c r="B16" t="s">
        <v>468</v>
      </c>
      <c r="C16" s="342">
        <v>120</v>
      </c>
      <c r="D16" s="344">
        <v>2E-3</v>
      </c>
      <c r="G16" s="349" t="s">
        <v>477</v>
      </c>
      <c r="H16">
        <v>76</v>
      </c>
      <c r="I16">
        <v>52364</v>
      </c>
      <c r="J16">
        <v>0.85200000000000065</v>
      </c>
    </row>
    <row r="17" spans="1:14">
      <c r="A17" t="s">
        <v>467</v>
      </c>
      <c r="B17" t="s">
        <v>468</v>
      </c>
      <c r="C17" s="343">
        <v>120</v>
      </c>
      <c r="D17" s="345">
        <v>2E-3</v>
      </c>
      <c r="G17" s="350">
        <v>211</v>
      </c>
      <c r="H17">
        <v>18</v>
      </c>
      <c r="I17">
        <v>3798</v>
      </c>
      <c r="J17">
        <v>5.4000000000000013E-2</v>
      </c>
    </row>
    <row r="18" spans="1:14">
      <c r="A18" t="s">
        <v>467</v>
      </c>
      <c r="B18" t="s">
        <v>468</v>
      </c>
      <c r="C18" s="342">
        <v>120</v>
      </c>
      <c r="D18" s="344">
        <v>2E-3</v>
      </c>
      <c r="G18" s="350">
        <v>315</v>
      </c>
      <c r="H18">
        <v>14</v>
      </c>
      <c r="I18">
        <v>4410</v>
      </c>
      <c r="J18">
        <v>6.9999999999999993E-2</v>
      </c>
    </row>
    <row r="19" spans="1:14">
      <c r="A19" t="s">
        <v>467</v>
      </c>
      <c r="B19" t="s">
        <v>468</v>
      </c>
      <c r="C19" s="343">
        <v>120</v>
      </c>
      <c r="D19" s="345">
        <v>2E-3</v>
      </c>
      <c r="G19" s="350">
        <v>413</v>
      </c>
      <c r="H19">
        <v>16</v>
      </c>
      <c r="I19">
        <v>6608</v>
      </c>
      <c r="J19">
        <v>0.11200000000000004</v>
      </c>
    </row>
    <row r="20" spans="1:14">
      <c r="A20" t="s">
        <v>467</v>
      </c>
      <c r="B20" t="s">
        <v>468</v>
      </c>
      <c r="C20" s="342">
        <v>120</v>
      </c>
      <c r="D20" s="344">
        <v>2E-3</v>
      </c>
      <c r="G20" s="350">
        <v>1341</v>
      </c>
      <c r="H20">
        <v>28</v>
      </c>
      <c r="I20">
        <v>37548</v>
      </c>
      <c r="J20">
        <v>0.61600000000000021</v>
      </c>
    </row>
    <row r="21" spans="1:14">
      <c r="A21" t="s">
        <v>467</v>
      </c>
      <c r="B21" t="s">
        <v>468</v>
      </c>
      <c r="C21" s="343">
        <v>120</v>
      </c>
      <c r="D21" s="345">
        <v>2E-3</v>
      </c>
      <c r="G21" s="349" t="s">
        <v>478</v>
      </c>
      <c r="H21">
        <v>4</v>
      </c>
      <c r="I21">
        <v>1200</v>
      </c>
      <c r="J21">
        <v>2.8000000000000001E-2</v>
      </c>
    </row>
    <row r="22" spans="1:14">
      <c r="A22" t="s">
        <v>467</v>
      </c>
      <c r="B22" t="s">
        <v>468</v>
      </c>
      <c r="C22" s="342">
        <v>120</v>
      </c>
      <c r="D22" s="344">
        <v>2E-3</v>
      </c>
      <c r="G22" s="350">
        <v>300</v>
      </c>
      <c r="H22">
        <v>4</v>
      </c>
      <c r="I22">
        <v>1200</v>
      </c>
      <c r="J22">
        <v>2.8000000000000001E-2</v>
      </c>
    </row>
    <row r="23" spans="1:14">
      <c r="A23" t="s">
        <v>467</v>
      </c>
      <c r="B23" t="s">
        <v>468</v>
      </c>
      <c r="C23" s="343">
        <v>120</v>
      </c>
      <c r="D23" s="345">
        <v>2E-3</v>
      </c>
      <c r="G23" s="349" t="s">
        <v>479</v>
      </c>
      <c r="H23">
        <v>16</v>
      </c>
      <c r="I23">
        <v>9280</v>
      </c>
      <c r="J23">
        <v>0.54400000000000026</v>
      </c>
    </row>
    <row r="24" spans="1:14">
      <c r="A24" t="s">
        <v>467</v>
      </c>
      <c r="B24" t="s">
        <v>468</v>
      </c>
      <c r="C24" s="342">
        <v>120</v>
      </c>
      <c r="D24" s="344">
        <v>2E-3</v>
      </c>
      <c r="G24" s="350">
        <v>580</v>
      </c>
      <c r="H24">
        <v>16</v>
      </c>
      <c r="I24">
        <v>9280</v>
      </c>
      <c r="J24">
        <v>0.54400000000000026</v>
      </c>
    </row>
    <row r="25" spans="1:14">
      <c r="A25" t="s">
        <v>467</v>
      </c>
      <c r="B25" t="s">
        <v>468</v>
      </c>
      <c r="C25" s="343">
        <v>120</v>
      </c>
      <c r="D25" s="345">
        <v>2E-3</v>
      </c>
      <c r="G25" s="349" t="s">
        <v>480</v>
      </c>
      <c r="H25">
        <v>26</v>
      </c>
      <c r="I25">
        <v>5720</v>
      </c>
      <c r="J25">
        <v>2.6000000000000016E-2</v>
      </c>
    </row>
    <row r="26" spans="1:14">
      <c r="A26" t="s">
        <v>467</v>
      </c>
      <c r="B26" t="s">
        <v>468</v>
      </c>
      <c r="C26" s="342">
        <v>120</v>
      </c>
      <c r="D26" s="344">
        <v>2E-3</v>
      </c>
      <c r="G26" s="350">
        <v>220</v>
      </c>
      <c r="H26">
        <v>26</v>
      </c>
      <c r="I26">
        <v>5720</v>
      </c>
      <c r="J26">
        <v>2.6000000000000016E-2</v>
      </c>
    </row>
    <row r="27" spans="1:14">
      <c r="A27" t="s">
        <v>467</v>
      </c>
      <c r="B27" t="s">
        <v>468</v>
      </c>
      <c r="C27" s="343">
        <v>120</v>
      </c>
      <c r="D27" s="345">
        <v>2E-3</v>
      </c>
      <c r="G27" s="348" t="s">
        <v>481</v>
      </c>
      <c r="H27">
        <v>69</v>
      </c>
      <c r="I27">
        <v>17595</v>
      </c>
      <c r="J27">
        <v>6.9000000000000047E-2</v>
      </c>
      <c r="L27" t="s">
        <v>482</v>
      </c>
    </row>
    <row r="28" spans="1:14">
      <c r="A28" t="s">
        <v>467</v>
      </c>
      <c r="B28" t="s">
        <v>468</v>
      </c>
      <c r="C28" s="342">
        <v>120</v>
      </c>
      <c r="D28" s="344">
        <v>2E-3</v>
      </c>
      <c r="G28" s="349" t="s">
        <v>170</v>
      </c>
      <c r="H28">
        <v>69</v>
      </c>
      <c r="I28">
        <v>17595</v>
      </c>
      <c r="J28">
        <v>6.9000000000000047E-2</v>
      </c>
    </row>
    <row r="29" spans="1:14">
      <c r="A29" t="s">
        <v>467</v>
      </c>
      <c r="B29" t="s">
        <v>468</v>
      </c>
      <c r="C29" s="343">
        <v>120</v>
      </c>
      <c r="D29" s="345">
        <v>2E-3</v>
      </c>
      <c r="G29" s="350">
        <v>255</v>
      </c>
      <c r="H29">
        <v>69</v>
      </c>
      <c r="I29">
        <v>17595</v>
      </c>
      <c r="J29">
        <v>6.9000000000000047E-2</v>
      </c>
      <c r="N29">
        <f>GETPIVOTDATA("Sum of Weight (t)",$G$4,"Product Name","Bardunstrammere","Product Description","PD45*7.5","Length (mm)",255)*1000</f>
        <v>69.000000000000043</v>
      </c>
    </row>
    <row r="30" spans="1:14">
      <c r="A30" t="s">
        <v>467</v>
      </c>
      <c r="B30" t="s">
        <v>468</v>
      </c>
      <c r="C30" s="342">
        <v>120</v>
      </c>
      <c r="D30" s="344">
        <v>2E-3</v>
      </c>
      <c r="G30" s="356" t="s">
        <v>483</v>
      </c>
      <c r="H30">
        <v>16</v>
      </c>
      <c r="I30">
        <v>92128</v>
      </c>
      <c r="J30">
        <v>5.8880000000000008</v>
      </c>
      <c r="L30" t="s">
        <v>484</v>
      </c>
    </row>
    <row r="31" spans="1:14">
      <c r="A31" t="s">
        <v>467</v>
      </c>
      <c r="B31" t="s">
        <v>468</v>
      </c>
      <c r="C31" s="343">
        <v>120</v>
      </c>
      <c r="D31" s="345">
        <v>2E-3</v>
      </c>
      <c r="G31" s="357" t="s">
        <v>485</v>
      </c>
      <c r="H31">
        <v>16</v>
      </c>
      <c r="I31">
        <v>92128</v>
      </c>
      <c r="J31">
        <v>5.8880000000000008</v>
      </c>
    </row>
    <row r="32" spans="1:14">
      <c r="A32" t="s">
        <v>467</v>
      </c>
      <c r="B32" t="s">
        <v>468</v>
      </c>
      <c r="C32" s="342">
        <v>120</v>
      </c>
      <c r="D32" s="344">
        <v>2E-3</v>
      </c>
      <c r="G32" s="358">
        <v>5758</v>
      </c>
      <c r="H32">
        <v>16</v>
      </c>
      <c r="I32">
        <v>92128</v>
      </c>
      <c r="J32">
        <v>5.8880000000000008</v>
      </c>
    </row>
    <row r="33" spans="1:13">
      <c r="A33" t="s">
        <v>467</v>
      </c>
      <c r="B33" t="s">
        <v>468</v>
      </c>
      <c r="C33" s="343">
        <v>120</v>
      </c>
      <c r="D33" s="345">
        <v>2E-3</v>
      </c>
      <c r="G33" s="348" t="s">
        <v>486</v>
      </c>
      <c r="H33">
        <v>65</v>
      </c>
      <c r="I33">
        <v>374818</v>
      </c>
      <c r="J33">
        <v>39.714000000000055</v>
      </c>
    </row>
    <row r="34" spans="1:13">
      <c r="A34" t="s">
        <v>467</v>
      </c>
      <c r="B34" t="s">
        <v>468</v>
      </c>
      <c r="C34" s="342">
        <v>120</v>
      </c>
      <c r="D34" s="344">
        <v>2E-3</v>
      </c>
      <c r="G34" s="352" t="s">
        <v>148</v>
      </c>
      <c r="H34" s="35">
        <v>16</v>
      </c>
      <c r="I34" s="35">
        <v>238256</v>
      </c>
      <c r="J34">
        <v>33.776000000000003</v>
      </c>
    </row>
    <row r="35" spans="1:13">
      <c r="A35" t="s">
        <v>467</v>
      </c>
      <c r="B35" t="s">
        <v>468</v>
      </c>
      <c r="C35" s="343">
        <v>120</v>
      </c>
      <c r="D35" s="345">
        <v>2E-3</v>
      </c>
      <c r="G35" s="353">
        <v>14891</v>
      </c>
      <c r="H35" s="35">
        <v>16</v>
      </c>
      <c r="I35" s="35">
        <v>238256</v>
      </c>
      <c r="J35">
        <v>33.776000000000003</v>
      </c>
    </row>
    <row r="36" spans="1:13">
      <c r="A36" t="s">
        <v>467</v>
      </c>
      <c r="B36" t="s">
        <v>474</v>
      </c>
      <c r="C36" s="342">
        <v>360</v>
      </c>
      <c r="D36" s="344">
        <v>8.0000000000000002E-3</v>
      </c>
      <c r="G36" s="352" t="s">
        <v>150</v>
      </c>
      <c r="H36" s="35">
        <v>13</v>
      </c>
      <c r="I36" s="35">
        <v>62090</v>
      </c>
      <c r="J36">
        <v>1.905</v>
      </c>
      <c r="L36">
        <f>GETPIVOTDATA("Sum of Length (mm)",$G$4,"Product Name","Drager","Product Description","IPE240")/GETPIVOTDATA("Count of Length (mm)2",$G$4,"Product Name","Drager","Product Description","IPE240")</f>
        <v>4776.1538461538457</v>
      </c>
    </row>
    <row r="37" spans="1:13">
      <c r="A37" t="s">
        <v>467</v>
      </c>
      <c r="B37" t="s">
        <v>474</v>
      </c>
      <c r="C37" s="343">
        <v>360</v>
      </c>
      <c r="D37" s="345">
        <v>8.0000000000000002E-3</v>
      </c>
      <c r="G37" s="353">
        <v>4700</v>
      </c>
      <c r="H37" s="35">
        <v>2</v>
      </c>
      <c r="I37" s="35">
        <v>9400</v>
      </c>
      <c r="J37">
        <v>0.28799999999999998</v>
      </c>
    </row>
    <row r="38" spans="1:13">
      <c r="A38" t="s">
        <v>467</v>
      </c>
      <c r="B38" t="s">
        <v>474</v>
      </c>
      <c r="C38" s="342">
        <v>360</v>
      </c>
      <c r="D38" s="344">
        <v>8.0000000000000002E-3</v>
      </c>
      <c r="G38" s="353">
        <v>4790</v>
      </c>
      <c r="H38" s="35">
        <v>11</v>
      </c>
      <c r="I38" s="35">
        <v>52690</v>
      </c>
      <c r="J38">
        <v>1.617</v>
      </c>
    </row>
    <row r="39" spans="1:13">
      <c r="A39" t="s">
        <v>467</v>
      </c>
      <c r="B39" t="s">
        <v>474</v>
      </c>
      <c r="C39" s="343">
        <v>360</v>
      </c>
      <c r="D39" s="345">
        <v>8.0000000000000002E-3</v>
      </c>
      <c r="G39" s="352" t="s">
        <v>149</v>
      </c>
      <c r="H39" s="35">
        <v>4</v>
      </c>
      <c r="I39" s="35">
        <v>59302</v>
      </c>
      <c r="J39">
        <v>3.9319999999999999</v>
      </c>
      <c r="L39">
        <f>GETPIVOTDATA("Sum of Length (mm)",$G$4,"Product Name","Drager","Product Description","IPE400")/GETPIVOTDATA("Count of Length (mm)2",$G$4,"Product Name","Drager","Product Description","IPE400")</f>
        <v>14825.5</v>
      </c>
    </row>
    <row r="40" spans="1:13">
      <c r="A40" t="s">
        <v>467</v>
      </c>
      <c r="B40" t="s">
        <v>474</v>
      </c>
      <c r="C40" s="342">
        <v>360</v>
      </c>
      <c r="D40" s="344">
        <v>8.0000000000000002E-3</v>
      </c>
      <c r="G40" s="353">
        <v>14810</v>
      </c>
      <c r="H40" s="35">
        <v>2</v>
      </c>
      <c r="I40" s="35">
        <v>29620</v>
      </c>
      <c r="J40">
        <v>1.964</v>
      </c>
    </row>
    <row r="41" spans="1:13">
      <c r="A41" t="s">
        <v>467</v>
      </c>
      <c r="B41" t="s">
        <v>474</v>
      </c>
      <c r="C41" s="343">
        <v>360</v>
      </c>
      <c r="D41" s="345">
        <v>8.0000000000000002E-3</v>
      </c>
      <c r="G41" s="353">
        <v>14841</v>
      </c>
      <c r="H41" s="35">
        <v>2</v>
      </c>
      <c r="I41" s="35">
        <v>29682</v>
      </c>
      <c r="J41">
        <v>1.968</v>
      </c>
    </row>
    <row r="42" spans="1:13">
      <c r="A42" t="s">
        <v>467</v>
      </c>
      <c r="B42" t="s">
        <v>474</v>
      </c>
      <c r="C42" s="342">
        <v>360</v>
      </c>
      <c r="D42" s="344">
        <v>8.0000000000000002E-3</v>
      </c>
      <c r="G42" s="362" t="s">
        <v>487</v>
      </c>
      <c r="H42" s="363">
        <v>24</v>
      </c>
      <c r="I42">
        <v>3440</v>
      </c>
      <c r="J42">
        <v>4.8000000000000029E-2</v>
      </c>
      <c r="L42" t="s">
        <v>488</v>
      </c>
      <c r="M42">
        <f>GETPIVOTDATA("Sum of Length (mm)",$G$4,"Product Name","Drager","Product Description","L100*10")/GETPIVOTDATA("Count of Length (mm)2",$G$4,"Product Name","Drager","Product Description","L100*10")</f>
        <v>143.33333333333334</v>
      </c>
    </row>
    <row r="43" spans="1:13">
      <c r="A43" t="s">
        <v>467</v>
      </c>
      <c r="B43" t="s">
        <v>474</v>
      </c>
      <c r="C43" s="343">
        <v>360</v>
      </c>
      <c r="D43" s="345">
        <v>8.0000000000000002E-3</v>
      </c>
      <c r="G43" s="364">
        <v>130</v>
      </c>
      <c r="H43" s="363">
        <v>8</v>
      </c>
      <c r="I43">
        <v>1040</v>
      </c>
      <c r="J43">
        <v>1.6E-2</v>
      </c>
    </row>
    <row r="44" spans="1:13">
      <c r="A44" t="s">
        <v>467</v>
      </c>
      <c r="B44" t="s">
        <v>474</v>
      </c>
      <c r="C44" s="342">
        <v>360</v>
      </c>
      <c r="D44" s="344">
        <v>8.0000000000000002E-3</v>
      </c>
      <c r="G44" s="364">
        <v>150</v>
      </c>
      <c r="H44" s="363">
        <v>16</v>
      </c>
      <c r="I44">
        <v>2400</v>
      </c>
      <c r="J44">
        <v>3.2000000000000015E-2</v>
      </c>
    </row>
    <row r="45" spans="1:13">
      <c r="A45" t="s">
        <v>467</v>
      </c>
      <c r="B45" t="s">
        <v>474</v>
      </c>
      <c r="C45" s="343">
        <v>360</v>
      </c>
      <c r="D45" s="345">
        <v>8.0000000000000002E-3</v>
      </c>
      <c r="G45" s="357" t="s">
        <v>489</v>
      </c>
      <c r="H45">
        <v>8</v>
      </c>
      <c r="I45">
        <v>11730</v>
      </c>
      <c r="J45">
        <v>5.2999999999999999E-2</v>
      </c>
      <c r="L45" t="s">
        <v>490</v>
      </c>
      <c r="M45">
        <f>GETPIVOTDATA("Sum of Length (mm)",$G$4,"Product Name","Drager","Product Description","L60*40*6")/GETPIVOTDATA("Count of Length (mm)2",$G$4,"Product Name","Drager","Product Description","L60*40*6")</f>
        <v>1466.25</v>
      </c>
    </row>
    <row r="46" spans="1:13">
      <c r="A46" t="s">
        <v>467</v>
      </c>
      <c r="B46" t="s">
        <v>474</v>
      </c>
      <c r="C46" s="342">
        <v>360</v>
      </c>
      <c r="D46" s="344">
        <v>8.0000000000000002E-3</v>
      </c>
      <c r="G46" s="358">
        <v>500</v>
      </c>
      <c r="H46">
        <v>2</v>
      </c>
      <c r="I46">
        <v>1000</v>
      </c>
      <c r="J46">
        <v>4.0000000000000001E-3</v>
      </c>
    </row>
    <row r="47" spans="1:13">
      <c r="A47" t="s">
        <v>467</v>
      </c>
      <c r="B47" t="s">
        <v>474</v>
      </c>
      <c r="C47" s="343">
        <v>360</v>
      </c>
      <c r="D47" s="345">
        <v>8.0000000000000002E-3</v>
      </c>
      <c r="G47" s="358">
        <v>690</v>
      </c>
      <c r="H47">
        <v>1</v>
      </c>
      <c r="I47">
        <v>690</v>
      </c>
      <c r="J47">
        <v>3.0000000000000001E-3</v>
      </c>
    </row>
    <row r="48" spans="1:13">
      <c r="A48" t="s">
        <v>467</v>
      </c>
      <c r="B48" t="s">
        <v>474</v>
      </c>
      <c r="C48" s="342">
        <v>360</v>
      </c>
      <c r="D48" s="344">
        <v>8.0000000000000002E-3</v>
      </c>
      <c r="G48" s="358">
        <v>1090</v>
      </c>
      <c r="H48">
        <v>2</v>
      </c>
      <c r="I48">
        <v>2180</v>
      </c>
      <c r="J48">
        <v>0.01</v>
      </c>
    </row>
    <row r="49" spans="1:12">
      <c r="A49" t="s">
        <v>467</v>
      </c>
      <c r="B49" t="s">
        <v>474</v>
      </c>
      <c r="C49" s="343">
        <v>360</v>
      </c>
      <c r="D49" s="345">
        <v>8.0000000000000002E-3</v>
      </c>
      <c r="G49" s="358">
        <v>1260</v>
      </c>
      <c r="H49">
        <v>1</v>
      </c>
      <c r="I49">
        <v>1260</v>
      </c>
      <c r="J49">
        <v>6.0000000000000001E-3</v>
      </c>
    </row>
    <row r="50" spans="1:12">
      <c r="A50" t="s">
        <v>467</v>
      </c>
      <c r="B50" t="s">
        <v>474</v>
      </c>
      <c r="C50" s="342">
        <v>360</v>
      </c>
      <c r="D50" s="344">
        <v>8.0000000000000002E-3</v>
      </c>
      <c r="G50" s="358">
        <v>3300</v>
      </c>
      <c r="H50">
        <v>2</v>
      </c>
      <c r="I50">
        <v>6600</v>
      </c>
      <c r="J50">
        <v>0.03</v>
      </c>
    </row>
    <row r="51" spans="1:12">
      <c r="A51" t="s">
        <v>467</v>
      </c>
      <c r="B51" t="s">
        <v>474</v>
      </c>
      <c r="C51" s="343">
        <v>360</v>
      </c>
      <c r="D51" s="345">
        <v>8.0000000000000002E-3</v>
      </c>
      <c r="G51" s="354" t="s">
        <v>491</v>
      </c>
      <c r="H51" s="35">
        <v>138</v>
      </c>
      <c r="I51" s="35">
        <v>35880</v>
      </c>
      <c r="J51" s="35">
        <v>0.13800000000000009</v>
      </c>
      <c r="L51" t="s">
        <v>482</v>
      </c>
    </row>
    <row r="52" spans="1:12">
      <c r="A52" t="s">
        <v>467</v>
      </c>
      <c r="B52" t="s">
        <v>474</v>
      </c>
      <c r="C52" s="342">
        <v>360</v>
      </c>
      <c r="D52" s="344">
        <v>8.0000000000000002E-3</v>
      </c>
      <c r="G52" s="352" t="s">
        <v>167</v>
      </c>
      <c r="H52" s="35">
        <v>138</v>
      </c>
      <c r="I52" s="35">
        <v>35880</v>
      </c>
      <c r="J52" s="35">
        <v>0.13800000000000009</v>
      </c>
    </row>
    <row r="53" spans="1:12">
      <c r="A53" t="s">
        <v>467</v>
      </c>
      <c r="B53" t="s">
        <v>474</v>
      </c>
      <c r="C53" s="343">
        <v>360</v>
      </c>
      <c r="D53" s="345">
        <v>8.0000000000000002E-3</v>
      </c>
      <c r="G53" s="353">
        <v>260</v>
      </c>
      <c r="H53" s="35">
        <v>138</v>
      </c>
      <c r="I53" s="35">
        <v>35880</v>
      </c>
      <c r="J53" s="35">
        <v>0.13800000000000009</v>
      </c>
    </row>
    <row r="54" spans="1:12">
      <c r="A54" t="s">
        <v>467</v>
      </c>
      <c r="B54" t="s">
        <v>474</v>
      </c>
      <c r="C54" s="342">
        <v>360</v>
      </c>
      <c r="D54" s="344">
        <v>8.0000000000000002E-3</v>
      </c>
      <c r="G54" s="348" t="s">
        <v>492</v>
      </c>
      <c r="H54">
        <v>518</v>
      </c>
      <c r="I54">
        <v>191063</v>
      </c>
      <c r="J54">
        <v>7.2879999999999869</v>
      </c>
    </row>
    <row r="55" spans="1:12">
      <c r="A55" t="s">
        <v>467</v>
      </c>
      <c r="B55" t="s">
        <v>474</v>
      </c>
      <c r="C55" s="343">
        <v>360</v>
      </c>
      <c r="D55" s="345">
        <v>8.0000000000000002E-3</v>
      </c>
      <c r="G55" s="349" t="s">
        <v>493</v>
      </c>
      <c r="H55">
        <v>26</v>
      </c>
      <c r="I55">
        <v>3848</v>
      </c>
      <c r="J55">
        <v>2.6000000000000016E-2</v>
      </c>
    </row>
    <row r="56" spans="1:12">
      <c r="A56" t="s">
        <v>467</v>
      </c>
      <c r="B56" t="s">
        <v>474</v>
      </c>
      <c r="C56" s="342">
        <v>360</v>
      </c>
      <c r="D56" s="344">
        <v>8.0000000000000002E-3</v>
      </c>
      <c r="G56" s="350">
        <v>124</v>
      </c>
      <c r="H56">
        <v>2</v>
      </c>
      <c r="I56">
        <v>248</v>
      </c>
      <c r="J56">
        <v>2E-3</v>
      </c>
    </row>
    <row r="57" spans="1:12">
      <c r="A57" t="s">
        <v>467</v>
      </c>
      <c r="B57" t="s">
        <v>474</v>
      </c>
      <c r="C57" s="343">
        <v>360</v>
      </c>
      <c r="D57" s="345">
        <v>8.0000000000000002E-3</v>
      </c>
      <c r="G57" s="350">
        <v>150</v>
      </c>
      <c r="H57">
        <v>24</v>
      </c>
      <c r="I57">
        <v>3600</v>
      </c>
      <c r="J57">
        <v>2.4000000000000014E-2</v>
      </c>
    </row>
    <row r="58" spans="1:12">
      <c r="A58" t="s">
        <v>467</v>
      </c>
      <c r="B58" t="s">
        <v>474</v>
      </c>
      <c r="C58" s="342">
        <v>360</v>
      </c>
      <c r="D58" s="344">
        <v>8.0000000000000002E-3</v>
      </c>
      <c r="G58" s="349" t="s">
        <v>494</v>
      </c>
      <c r="H58">
        <v>4</v>
      </c>
      <c r="I58">
        <v>600</v>
      </c>
      <c r="J58">
        <v>4.0000000000000001E-3</v>
      </c>
    </row>
    <row r="59" spans="1:12">
      <c r="A59" t="s">
        <v>467</v>
      </c>
      <c r="B59" t="s">
        <v>474</v>
      </c>
      <c r="C59" s="343">
        <v>360</v>
      </c>
      <c r="D59" s="345">
        <v>8.0000000000000002E-3</v>
      </c>
      <c r="G59" s="350">
        <v>150</v>
      </c>
      <c r="H59">
        <v>4</v>
      </c>
      <c r="I59">
        <v>600</v>
      </c>
      <c r="J59">
        <v>4.0000000000000001E-3</v>
      </c>
    </row>
    <row r="60" spans="1:12">
      <c r="A60" t="s">
        <v>467</v>
      </c>
      <c r="B60" t="s">
        <v>474</v>
      </c>
      <c r="C60" s="342">
        <v>360</v>
      </c>
      <c r="D60" s="344">
        <v>8.0000000000000002E-3</v>
      </c>
      <c r="G60" s="349" t="s">
        <v>495</v>
      </c>
      <c r="H60">
        <v>2</v>
      </c>
      <c r="I60">
        <v>380</v>
      </c>
      <c r="J60">
        <v>4.0000000000000001E-3</v>
      </c>
    </row>
    <row r="61" spans="1:12">
      <c r="A61" t="s">
        <v>467</v>
      </c>
      <c r="B61" t="s">
        <v>474</v>
      </c>
      <c r="C61" s="343">
        <v>360</v>
      </c>
      <c r="D61" s="345">
        <v>8.0000000000000002E-3</v>
      </c>
      <c r="G61" s="350">
        <v>190</v>
      </c>
      <c r="H61">
        <v>2</v>
      </c>
      <c r="I61">
        <v>380</v>
      </c>
      <c r="J61">
        <v>4.0000000000000001E-3</v>
      </c>
    </row>
    <row r="62" spans="1:12">
      <c r="A62" t="s">
        <v>467</v>
      </c>
      <c r="B62" t="s">
        <v>474</v>
      </c>
      <c r="C62" s="342">
        <v>360</v>
      </c>
      <c r="D62" s="344">
        <v>8.0000000000000002E-3</v>
      </c>
      <c r="G62" s="349" t="s">
        <v>496</v>
      </c>
      <c r="H62">
        <v>2</v>
      </c>
      <c r="I62">
        <v>300</v>
      </c>
      <c r="J62">
        <v>4.0000000000000001E-3</v>
      </c>
    </row>
    <row r="63" spans="1:12">
      <c r="A63" t="s">
        <v>467</v>
      </c>
      <c r="B63" t="s">
        <v>474</v>
      </c>
      <c r="C63" s="343">
        <v>360</v>
      </c>
      <c r="D63" s="345">
        <v>8.0000000000000002E-3</v>
      </c>
      <c r="G63" s="350">
        <v>150</v>
      </c>
      <c r="H63">
        <v>2</v>
      </c>
      <c r="I63">
        <v>300</v>
      </c>
      <c r="J63">
        <v>4.0000000000000001E-3</v>
      </c>
    </row>
    <row r="64" spans="1:12">
      <c r="A64" t="s">
        <v>467</v>
      </c>
      <c r="B64" t="s">
        <v>474</v>
      </c>
      <c r="C64" s="342">
        <v>360</v>
      </c>
      <c r="D64" s="344">
        <v>8.0000000000000002E-3</v>
      </c>
      <c r="G64" s="349" t="s">
        <v>497</v>
      </c>
      <c r="H64">
        <v>15</v>
      </c>
      <c r="I64">
        <v>5336</v>
      </c>
      <c r="J64">
        <v>5.2000000000000005E-2</v>
      </c>
    </row>
    <row r="65" spans="1:10">
      <c r="A65" t="s">
        <v>467</v>
      </c>
      <c r="B65" t="s">
        <v>474</v>
      </c>
      <c r="C65" s="343">
        <v>360</v>
      </c>
      <c r="D65" s="345">
        <v>8.0000000000000002E-3</v>
      </c>
      <c r="G65" s="350">
        <v>220</v>
      </c>
      <c r="H65">
        <v>13</v>
      </c>
      <c r="I65">
        <v>2860</v>
      </c>
      <c r="J65">
        <v>2.6000000000000009E-2</v>
      </c>
    </row>
    <row r="66" spans="1:10">
      <c r="A66" t="s">
        <v>467</v>
      </c>
      <c r="B66" t="s">
        <v>474</v>
      </c>
      <c r="C66" s="342">
        <v>360</v>
      </c>
      <c r="D66" s="344">
        <v>8.0000000000000002E-3</v>
      </c>
      <c r="G66" s="350">
        <v>1238</v>
      </c>
      <c r="H66">
        <v>2</v>
      </c>
      <c r="I66">
        <v>2476</v>
      </c>
      <c r="J66">
        <v>2.5999999999999999E-2</v>
      </c>
    </row>
    <row r="67" spans="1:10">
      <c r="A67" t="s">
        <v>467</v>
      </c>
      <c r="B67" t="s">
        <v>474</v>
      </c>
      <c r="C67" s="343">
        <v>360</v>
      </c>
      <c r="D67" s="345">
        <v>8.0000000000000002E-3</v>
      </c>
      <c r="G67" s="349" t="s">
        <v>498</v>
      </c>
      <c r="H67">
        <v>2</v>
      </c>
      <c r="I67">
        <v>300</v>
      </c>
      <c r="J67">
        <v>2E-3</v>
      </c>
    </row>
    <row r="68" spans="1:10">
      <c r="A68" t="s">
        <v>467</v>
      </c>
      <c r="B68" t="s">
        <v>474</v>
      </c>
      <c r="C68" s="342">
        <v>360</v>
      </c>
      <c r="D68" s="344">
        <v>8.0000000000000002E-3</v>
      </c>
      <c r="G68" s="350">
        <v>150</v>
      </c>
      <c r="H68">
        <v>2</v>
      </c>
      <c r="I68">
        <v>300</v>
      </c>
      <c r="J68">
        <v>2E-3</v>
      </c>
    </row>
    <row r="69" spans="1:10">
      <c r="A69" t="s">
        <v>467</v>
      </c>
      <c r="B69" t="s">
        <v>474</v>
      </c>
      <c r="C69" s="343">
        <v>360</v>
      </c>
      <c r="D69" s="345">
        <v>8.0000000000000002E-3</v>
      </c>
      <c r="G69" s="349" t="s">
        <v>499</v>
      </c>
      <c r="H69">
        <v>20</v>
      </c>
      <c r="I69">
        <v>3600</v>
      </c>
      <c r="J69">
        <v>4.0000000000000022E-2</v>
      </c>
    </row>
    <row r="70" spans="1:10">
      <c r="A70" t="s">
        <v>467</v>
      </c>
      <c r="B70" t="s">
        <v>474</v>
      </c>
      <c r="C70" s="342">
        <v>360</v>
      </c>
      <c r="D70" s="344">
        <v>8.0000000000000002E-3</v>
      </c>
      <c r="G70" s="350">
        <v>180</v>
      </c>
      <c r="H70">
        <v>20</v>
      </c>
      <c r="I70">
        <v>3600</v>
      </c>
      <c r="J70">
        <v>4.0000000000000022E-2</v>
      </c>
    </row>
    <row r="71" spans="1:10">
      <c r="A71" t="s">
        <v>467</v>
      </c>
      <c r="B71" t="s">
        <v>474</v>
      </c>
      <c r="C71" s="343">
        <v>360</v>
      </c>
      <c r="D71" s="345">
        <v>8.0000000000000002E-3</v>
      </c>
      <c r="G71" s="349" t="s">
        <v>500</v>
      </c>
      <c r="H71">
        <v>6</v>
      </c>
      <c r="I71">
        <v>1600</v>
      </c>
      <c r="J71">
        <v>2.6000000000000002E-2</v>
      </c>
    </row>
    <row r="72" spans="1:10">
      <c r="A72" t="s">
        <v>467</v>
      </c>
      <c r="B72" t="s">
        <v>474</v>
      </c>
      <c r="C72" s="342">
        <v>360</v>
      </c>
      <c r="D72" s="344">
        <v>8.0000000000000002E-3</v>
      </c>
      <c r="G72" s="350">
        <v>250</v>
      </c>
      <c r="H72">
        <v>4</v>
      </c>
      <c r="I72">
        <v>1000</v>
      </c>
      <c r="J72">
        <v>1.6E-2</v>
      </c>
    </row>
    <row r="73" spans="1:10">
      <c r="A73" t="s">
        <v>467</v>
      </c>
      <c r="B73" t="s">
        <v>474</v>
      </c>
      <c r="C73" s="343">
        <v>360</v>
      </c>
      <c r="D73" s="345">
        <v>8.0000000000000002E-3</v>
      </c>
      <c r="G73" s="350">
        <v>300</v>
      </c>
      <c r="H73">
        <v>2</v>
      </c>
      <c r="I73">
        <v>600</v>
      </c>
      <c r="J73">
        <v>0.01</v>
      </c>
    </row>
    <row r="74" spans="1:10">
      <c r="A74" t="s">
        <v>467</v>
      </c>
      <c r="B74" t="s">
        <v>474</v>
      </c>
      <c r="C74" s="342">
        <v>360</v>
      </c>
      <c r="D74" s="344">
        <v>8.0000000000000002E-3</v>
      </c>
      <c r="G74" s="349" t="s">
        <v>501</v>
      </c>
      <c r="H74">
        <v>2</v>
      </c>
      <c r="I74">
        <v>500</v>
      </c>
      <c r="J74">
        <v>2E-3</v>
      </c>
    </row>
    <row r="75" spans="1:10">
      <c r="A75" t="s">
        <v>467</v>
      </c>
      <c r="B75" t="s">
        <v>474</v>
      </c>
      <c r="C75" s="343">
        <v>360</v>
      </c>
      <c r="D75" s="345">
        <v>8.0000000000000002E-3</v>
      </c>
      <c r="G75" s="350">
        <v>250</v>
      </c>
      <c r="H75">
        <v>2</v>
      </c>
      <c r="I75">
        <v>500</v>
      </c>
      <c r="J75">
        <v>2E-3</v>
      </c>
    </row>
    <row r="76" spans="1:10">
      <c r="A76" t="s">
        <v>467</v>
      </c>
      <c r="B76" t="s">
        <v>474</v>
      </c>
      <c r="C76" s="342">
        <v>360</v>
      </c>
      <c r="D76" s="344">
        <v>8.0000000000000002E-3</v>
      </c>
      <c r="G76" s="349" t="s">
        <v>502</v>
      </c>
      <c r="H76">
        <v>139</v>
      </c>
      <c r="I76">
        <v>20470</v>
      </c>
      <c r="J76">
        <v>0.1420000000000001</v>
      </c>
    </row>
    <row r="77" spans="1:10">
      <c r="A77" t="s">
        <v>467</v>
      </c>
      <c r="B77" t="s">
        <v>474</v>
      </c>
      <c r="C77" s="343">
        <v>360</v>
      </c>
      <c r="D77" s="345">
        <v>8.0000000000000002E-3</v>
      </c>
      <c r="G77" s="350">
        <v>90</v>
      </c>
      <c r="H77">
        <v>1</v>
      </c>
      <c r="I77">
        <v>90</v>
      </c>
      <c r="J77">
        <v>1E-3</v>
      </c>
    </row>
    <row r="78" spans="1:10">
      <c r="A78" t="s">
        <v>467</v>
      </c>
      <c r="B78" t="s">
        <v>474</v>
      </c>
      <c r="C78" s="342">
        <v>360</v>
      </c>
      <c r="D78" s="344">
        <v>8.0000000000000002E-3</v>
      </c>
      <c r="G78" s="350">
        <v>100</v>
      </c>
      <c r="H78">
        <v>1</v>
      </c>
      <c r="I78">
        <v>100</v>
      </c>
      <c r="J78">
        <v>1E-3</v>
      </c>
    </row>
    <row r="79" spans="1:10">
      <c r="A79" t="s">
        <v>467</v>
      </c>
      <c r="B79" t="s">
        <v>474</v>
      </c>
      <c r="C79" s="343">
        <v>360</v>
      </c>
      <c r="D79" s="345">
        <v>8.0000000000000002E-3</v>
      </c>
      <c r="G79" s="350">
        <v>140</v>
      </c>
      <c r="H79">
        <v>118</v>
      </c>
      <c r="I79">
        <v>16520</v>
      </c>
      <c r="J79">
        <v>0.11800000000000009</v>
      </c>
    </row>
    <row r="80" spans="1:10">
      <c r="A80" t="s">
        <v>467</v>
      </c>
      <c r="B80" t="s">
        <v>474</v>
      </c>
      <c r="C80" s="342">
        <v>360</v>
      </c>
      <c r="D80" s="344">
        <v>8.0000000000000002E-3</v>
      </c>
      <c r="G80" s="350">
        <v>190</v>
      </c>
      <c r="H80">
        <v>16</v>
      </c>
      <c r="I80">
        <v>3040</v>
      </c>
      <c r="J80">
        <v>1.6000000000000007E-2</v>
      </c>
    </row>
    <row r="81" spans="1:10">
      <c r="A81" t="s">
        <v>467</v>
      </c>
      <c r="B81" t="s">
        <v>474</v>
      </c>
      <c r="C81" s="343">
        <v>360</v>
      </c>
      <c r="D81" s="345">
        <v>8.0000000000000002E-3</v>
      </c>
      <c r="G81" s="350">
        <v>240</v>
      </c>
      <c r="H81">
        <v>3</v>
      </c>
      <c r="I81">
        <v>720</v>
      </c>
      <c r="J81">
        <v>6.0000000000000001E-3</v>
      </c>
    </row>
    <row r="82" spans="1:10">
      <c r="A82" t="s">
        <v>467</v>
      </c>
      <c r="B82" t="s">
        <v>474</v>
      </c>
      <c r="C82" s="342">
        <v>360</v>
      </c>
      <c r="D82" s="344">
        <v>8.0000000000000002E-3</v>
      </c>
      <c r="G82" s="349" t="s">
        <v>503</v>
      </c>
      <c r="H82">
        <v>48</v>
      </c>
      <c r="I82">
        <v>11760</v>
      </c>
      <c r="J82">
        <v>0.1440000000000001</v>
      </c>
    </row>
    <row r="83" spans="1:10">
      <c r="A83" t="s">
        <v>467</v>
      </c>
      <c r="B83" t="s">
        <v>474</v>
      </c>
      <c r="C83" s="343">
        <v>360</v>
      </c>
      <c r="D83" s="345">
        <v>8.0000000000000002E-3</v>
      </c>
      <c r="G83" s="350">
        <v>150</v>
      </c>
      <c r="H83">
        <v>24</v>
      </c>
      <c r="I83">
        <v>3600</v>
      </c>
      <c r="J83">
        <v>4.8000000000000029E-2</v>
      </c>
    </row>
    <row r="84" spans="1:10">
      <c r="A84" t="s">
        <v>467</v>
      </c>
      <c r="B84" t="s">
        <v>474</v>
      </c>
      <c r="C84" s="342">
        <v>360</v>
      </c>
      <c r="D84" s="344">
        <v>8.0000000000000002E-3</v>
      </c>
      <c r="G84" s="350">
        <v>340</v>
      </c>
      <c r="H84">
        <v>24</v>
      </c>
      <c r="I84">
        <v>8160</v>
      </c>
      <c r="J84">
        <v>9.6000000000000058E-2</v>
      </c>
    </row>
    <row r="85" spans="1:10">
      <c r="A85" t="s">
        <v>467</v>
      </c>
      <c r="B85" t="s">
        <v>474</v>
      </c>
      <c r="C85" s="343">
        <v>360</v>
      </c>
      <c r="D85" s="345">
        <v>8.0000000000000002E-3</v>
      </c>
      <c r="G85" s="349" t="s">
        <v>504</v>
      </c>
      <c r="H85">
        <v>10</v>
      </c>
      <c r="I85">
        <v>4500</v>
      </c>
      <c r="J85">
        <v>8.0000000000000016E-2</v>
      </c>
    </row>
    <row r="86" spans="1:10">
      <c r="A86" t="s">
        <v>467</v>
      </c>
      <c r="B86" t="s">
        <v>474</v>
      </c>
      <c r="C86" s="342">
        <v>360</v>
      </c>
      <c r="D86" s="344">
        <v>8.0000000000000002E-3</v>
      </c>
      <c r="G86" s="350">
        <v>450</v>
      </c>
      <c r="H86">
        <v>10</v>
      </c>
      <c r="I86">
        <v>4500</v>
      </c>
      <c r="J86">
        <v>8.0000000000000016E-2</v>
      </c>
    </row>
    <row r="87" spans="1:10">
      <c r="A87" t="s">
        <v>467</v>
      </c>
      <c r="B87" t="s">
        <v>474</v>
      </c>
      <c r="C87" s="343">
        <v>360</v>
      </c>
      <c r="D87" s="345">
        <v>8.0000000000000002E-3</v>
      </c>
      <c r="G87" s="349" t="s">
        <v>505</v>
      </c>
      <c r="H87">
        <v>6</v>
      </c>
      <c r="I87">
        <v>1080</v>
      </c>
      <c r="J87">
        <v>1.2E-2</v>
      </c>
    </row>
    <row r="88" spans="1:10">
      <c r="A88" t="s">
        <v>467</v>
      </c>
      <c r="B88" t="s">
        <v>474</v>
      </c>
      <c r="C88" s="342">
        <v>360</v>
      </c>
      <c r="D88" s="344">
        <v>8.0000000000000002E-3</v>
      </c>
      <c r="G88" s="350">
        <v>180</v>
      </c>
      <c r="H88">
        <v>6</v>
      </c>
      <c r="I88">
        <v>1080</v>
      </c>
      <c r="J88">
        <v>1.2E-2</v>
      </c>
    </row>
    <row r="89" spans="1:10">
      <c r="A89" t="s">
        <v>467</v>
      </c>
      <c r="B89" t="s">
        <v>474</v>
      </c>
      <c r="C89" s="343">
        <v>360</v>
      </c>
      <c r="D89" s="345">
        <v>8.0000000000000002E-3</v>
      </c>
      <c r="G89" s="349" t="s">
        <v>473</v>
      </c>
      <c r="H89">
        <v>2</v>
      </c>
      <c r="I89">
        <v>240</v>
      </c>
      <c r="J89">
        <v>2E-3</v>
      </c>
    </row>
    <row r="90" spans="1:10">
      <c r="A90" t="s">
        <v>467</v>
      </c>
      <c r="B90" t="s">
        <v>474</v>
      </c>
      <c r="C90" s="342">
        <v>360</v>
      </c>
      <c r="D90" s="344">
        <v>8.0000000000000002E-3</v>
      </c>
      <c r="G90" s="350">
        <v>120</v>
      </c>
      <c r="H90">
        <v>2</v>
      </c>
      <c r="I90">
        <v>240</v>
      </c>
      <c r="J90">
        <v>2E-3</v>
      </c>
    </row>
    <row r="91" spans="1:10">
      <c r="A91" t="s">
        <v>467</v>
      </c>
      <c r="B91" t="s">
        <v>474</v>
      </c>
      <c r="C91" s="343">
        <v>360</v>
      </c>
      <c r="D91" s="345">
        <v>8.0000000000000002E-3</v>
      </c>
      <c r="G91" s="349" t="s">
        <v>468</v>
      </c>
      <c r="H91">
        <v>34</v>
      </c>
      <c r="I91">
        <v>4720</v>
      </c>
      <c r="J91">
        <v>6.8000000000000047E-2</v>
      </c>
    </row>
    <row r="92" spans="1:10">
      <c r="A92" t="s">
        <v>467</v>
      </c>
      <c r="B92" t="s">
        <v>474</v>
      </c>
      <c r="C92" s="342">
        <v>360</v>
      </c>
      <c r="D92" s="344">
        <v>8.0000000000000002E-3</v>
      </c>
      <c r="G92" s="350">
        <v>120</v>
      </c>
      <c r="H92">
        <v>2</v>
      </c>
      <c r="I92">
        <v>240</v>
      </c>
      <c r="J92">
        <v>4.0000000000000001E-3</v>
      </c>
    </row>
    <row r="93" spans="1:10">
      <c r="A93" t="s">
        <v>467</v>
      </c>
      <c r="B93" t="s">
        <v>474</v>
      </c>
      <c r="C93" s="343">
        <v>360</v>
      </c>
      <c r="D93" s="345">
        <v>8.0000000000000002E-3</v>
      </c>
      <c r="G93" s="350">
        <v>140</v>
      </c>
      <c r="H93">
        <v>32</v>
      </c>
      <c r="I93">
        <v>4480</v>
      </c>
      <c r="J93">
        <v>6.4000000000000043E-2</v>
      </c>
    </row>
    <row r="94" spans="1:10">
      <c r="A94" t="s">
        <v>467</v>
      </c>
      <c r="B94" t="s">
        <v>474</v>
      </c>
      <c r="C94" s="342">
        <v>360</v>
      </c>
      <c r="D94" s="344">
        <v>8.0000000000000002E-3</v>
      </c>
      <c r="G94" s="349" t="s">
        <v>506</v>
      </c>
      <c r="H94">
        <v>4</v>
      </c>
      <c r="I94">
        <v>560</v>
      </c>
      <c r="J94">
        <v>8.0000000000000002E-3</v>
      </c>
    </row>
    <row r="95" spans="1:10">
      <c r="A95" t="s">
        <v>467</v>
      </c>
      <c r="B95" t="s">
        <v>474</v>
      </c>
      <c r="C95" s="343">
        <v>360</v>
      </c>
      <c r="D95" s="345">
        <v>8.0000000000000002E-3</v>
      </c>
      <c r="G95" s="350">
        <v>140</v>
      </c>
      <c r="H95">
        <v>4</v>
      </c>
      <c r="I95">
        <v>560</v>
      </c>
      <c r="J95">
        <v>8.0000000000000002E-3</v>
      </c>
    </row>
    <row r="96" spans="1:10">
      <c r="A96" t="s">
        <v>467</v>
      </c>
      <c r="B96" t="s">
        <v>474</v>
      </c>
      <c r="C96" s="342">
        <v>360</v>
      </c>
      <c r="D96" s="344">
        <v>8.0000000000000002E-3</v>
      </c>
      <c r="G96" s="349" t="s">
        <v>477</v>
      </c>
      <c r="H96">
        <v>1</v>
      </c>
      <c r="I96">
        <v>170</v>
      </c>
      <c r="J96">
        <v>3.0000000000000001E-3</v>
      </c>
    </row>
    <row r="97" spans="1:10">
      <c r="A97" t="s">
        <v>467</v>
      </c>
      <c r="B97" t="s">
        <v>474</v>
      </c>
      <c r="C97" s="343">
        <v>360</v>
      </c>
      <c r="D97" s="345">
        <v>8.0000000000000002E-3</v>
      </c>
      <c r="G97" s="350">
        <v>170</v>
      </c>
      <c r="H97">
        <v>1</v>
      </c>
      <c r="I97">
        <v>170</v>
      </c>
      <c r="J97">
        <v>3.0000000000000001E-3</v>
      </c>
    </row>
    <row r="98" spans="1:10">
      <c r="A98" t="s">
        <v>467</v>
      </c>
      <c r="B98" t="s">
        <v>474</v>
      </c>
      <c r="C98" s="342">
        <v>360</v>
      </c>
      <c r="D98" s="344">
        <v>8.0000000000000002E-3</v>
      </c>
      <c r="G98" s="349" t="s">
        <v>507</v>
      </c>
      <c r="H98">
        <v>4</v>
      </c>
      <c r="I98">
        <v>1080</v>
      </c>
      <c r="J98">
        <v>1.6E-2</v>
      </c>
    </row>
    <row r="99" spans="1:10">
      <c r="A99" t="s">
        <v>467</v>
      </c>
      <c r="B99" t="s">
        <v>474</v>
      </c>
      <c r="C99" s="343">
        <v>360</v>
      </c>
      <c r="D99" s="345">
        <v>8.0000000000000002E-3</v>
      </c>
      <c r="G99" s="350">
        <v>270</v>
      </c>
      <c r="H99">
        <v>4</v>
      </c>
      <c r="I99">
        <v>1080</v>
      </c>
      <c r="J99">
        <v>1.6E-2</v>
      </c>
    </row>
    <row r="100" spans="1:10">
      <c r="A100" t="s">
        <v>467</v>
      </c>
      <c r="B100" t="s">
        <v>474</v>
      </c>
      <c r="C100" s="342">
        <v>360</v>
      </c>
      <c r="D100" s="344">
        <v>8.0000000000000002E-3</v>
      </c>
      <c r="G100" s="349" t="s">
        <v>508</v>
      </c>
      <c r="H100">
        <v>3</v>
      </c>
      <c r="I100">
        <v>510</v>
      </c>
      <c r="J100">
        <v>9.0000000000000011E-3</v>
      </c>
    </row>
    <row r="101" spans="1:10">
      <c r="A101" t="s">
        <v>467</v>
      </c>
      <c r="B101" t="s">
        <v>474</v>
      </c>
      <c r="C101" s="343">
        <v>360</v>
      </c>
      <c r="D101" s="345">
        <v>8.0000000000000002E-3</v>
      </c>
      <c r="G101" s="350">
        <v>170</v>
      </c>
      <c r="H101">
        <v>3</v>
      </c>
      <c r="I101">
        <v>510</v>
      </c>
      <c r="J101">
        <v>9.0000000000000011E-3</v>
      </c>
    </row>
    <row r="102" spans="1:10">
      <c r="A102" t="s">
        <v>467</v>
      </c>
      <c r="B102" t="s">
        <v>474</v>
      </c>
      <c r="C102" s="342">
        <v>360</v>
      </c>
      <c r="D102" s="344">
        <v>8.0000000000000002E-3</v>
      </c>
      <c r="G102" s="349" t="s">
        <v>509</v>
      </c>
      <c r="H102">
        <v>1</v>
      </c>
      <c r="I102">
        <v>180</v>
      </c>
      <c r="J102">
        <v>4.0000000000000001E-3</v>
      </c>
    </row>
    <row r="103" spans="1:10">
      <c r="A103" t="s">
        <v>467</v>
      </c>
      <c r="B103" t="s">
        <v>474</v>
      </c>
      <c r="C103" s="343">
        <v>360</v>
      </c>
      <c r="D103" s="345">
        <v>8.0000000000000002E-3</v>
      </c>
      <c r="G103" s="350">
        <v>180</v>
      </c>
      <c r="H103">
        <v>1</v>
      </c>
      <c r="I103">
        <v>180</v>
      </c>
      <c r="J103">
        <v>4.0000000000000001E-3</v>
      </c>
    </row>
    <row r="104" spans="1:10">
      <c r="A104" t="s">
        <v>467</v>
      </c>
      <c r="B104" t="s">
        <v>474</v>
      </c>
      <c r="C104" s="342">
        <v>360</v>
      </c>
      <c r="D104" s="344">
        <v>8.0000000000000002E-3</v>
      </c>
      <c r="G104" s="349" t="s">
        <v>474</v>
      </c>
      <c r="H104">
        <v>3</v>
      </c>
      <c r="I104">
        <v>795</v>
      </c>
      <c r="J104">
        <v>1.8000000000000002E-2</v>
      </c>
    </row>
    <row r="105" spans="1:10">
      <c r="A105" t="s">
        <v>467</v>
      </c>
      <c r="B105" t="s">
        <v>474</v>
      </c>
      <c r="C105" s="343">
        <v>360</v>
      </c>
      <c r="D105" s="345">
        <v>8.0000000000000002E-3</v>
      </c>
      <c r="G105" s="350">
        <v>265</v>
      </c>
      <c r="H105">
        <v>3</v>
      </c>
      <c r="I105">
        <v>795</v>
      </c>
      <c r="J105">
        <v>1.8000000000000002E-2</v>
      </c>
    </row>
    <row r="106" spans="1:10">
      <c r="A106" t="s">
        <v>467</v>
      </c>
      <c r="B106" t="s">
        <v>474</v>
      </c>
      <c r="C106" s="342">
        <v>360</v>
      </c>
      <c r="D106" s="344">
        <v>8.0000000000000002E-3</v>
      </c>
      <c r="G106" s="349" t="s">
        <v>478</v>
      </c>
      <c r="H106">
        <v>40</v>
      </c>
      <c r="I106">
        <v>12150</v>
      </c>
      <c r="J106">
        <v>0.27800000000000014</v>
      </c>
    </row>
    <row r="107" spans="1:10">
      <c r="A107" t="s">
        <v>467</v>
      </c>
      <c r="B107" t="s">
        <v>474</v>
      </c>
      <c r="C107" s="343">
        <v>360</v>
      </c>
      <c r="D107" s="345">
        <v>8.0000000000000002E-3</v>
      </c>
      <c r="G107" s="350">
        <v>200</v>
      </c>
      <c r="H107">
        <v>2</v>
      </c>
      <c r="I107">
        <v>400</v>
      </c>
      <c r="J107">
        <v>0.01</v>
      </c>
    </row>
    <row r="108" spans="1:10">
      <c r="A108" t="s">
        <v>467</v>
      </c>
      <c r="B108" t="s">
        <v>474</v>
      </c>
      <c r="C108" s="342">
        <v>360</v>
      </c>
      <c r="D108" s="344">
        <v>8.0000000000000002E-3</v>
      </c>
      <c r="G108" s="350">
        <v>265</v>
      </c>
      <c r="H108">
        <v>22</v>
      </c>
      <c r="I108">
        <v>5830</v>
      </c>
      <c r="J108">
        <v>0.13200000000000003</v>
      </c>
    </row>
    <row r="109" spans="1:10">
      <c r="A109" t="s">
        <v>467</v>
      </c>
      <c r="B109" t="s">
        <v>474</v>
      </c>
      <c r="C109" s="343">
        <v>360</v>
      </c>
      <c r="D109" s="345">
        <v>8.0000000000000002E-3</v>
      </c>
      <c r="G109" s="350">
        <v>350</v>
      </c>
      <c r="H109">
        <v>8</v>
      </c>
      <c r="I109">
        <v>2800</v>
      </c>
      <c r="J109">
        <v>6.4000000000000001E-2</v>
      </c>
    </row>
    <row r="110" spans="1:10">
      <c r="A110" t="s">
        <v>467</v>
      </c>
      <c r="B110" t="s">
        <v>474</v>
      </c>
      <c r="C110" s="342">
        <v>360</v>
      </c>
      <c r="D110" s="344">
        <v>8.0000000000000002E-3</v>
      </c>
      <c r="G110" s="350">
        <v>390</v>
      </c>
      <c r="H110">
        <v>8</v>
      </c>
      <c r="I110">
        <v>3120</v>
      </c>
      <c r="J110">
        <v>7.1999999999999995E-2</v>
      </c>
    </row>
    <row r="111" spans="1:10">
      <c r="A111" t="s">
        <v>467</v>
      </c>
      <c r="B111" t="s">
        <v>474</v>
      </c>
      <c r="C111" s="343">
        <v>360</v>
      </c>
      <c r="D111" s="345">
        <v>8.0000000000000002E-3</v>
      </c>
      <c r="G111" s="349" t="s">
        <v>510</v>
      </c>
      <c r="H111">
        <v>16</v>
      </c>
      <c r="I111">
        <v>4000</v>
      </c>
      <c r="J111">
        <v>9.6000000000000016E-2</v>
      </c>
    </row>
    <row r="112" spans="1:10">
      <c r="A112" t="s">
        <v>467</v>
      </c>
      <c r="B112" t="s">
        <v>474</v>
      </c>
      <c r="C112" s="342">
        <v>360</v>
      </c>
      <c r="D112" s="344">
        <v>8.0000000000000002E-3</v>
      </c>
      <c r="G112" s="350">
        <v>250</v>
      </c>
      <c r="H112">
        <v>16</v>
      </c>
      <c r="I112">
        <v>4000</v>
      </c>
      <c r="J112">
        <v>9.6000000000000016E-2</v>
      </c>
    </row>
    <row r="113" spans="1:10">
      <c r="A113" t="s">
        <v>467</v>
      </c>
      <c r="B113" t="s">
        <v>474</v>
      </c>
      <c r="C113" s="343">
        <v>360</v>
      </c>
      <c r="D113" s="345">
        <v>8.0000000000000002E-3</v>
      </c>
      <c r="G113" s="349" t="s">
        <v>511</v>
      </c>
      <c r="H113">
        <v>2</v>
      </c>
      <c r="I113">
        <v>600</v>
      </c>
      <c r="J113">
        <v>1.7999999999999999E-2</v>
      </c>
    </row>
    <row r="114" spans="1:10">
      <c r="A114" t="s">
        <v>467</v>
      </c>
      <c r="B114" t="s">
        <v>474</v>
      </c>
      <c r="C114" s="342">
        <v>360</v>
      </c>
      <c r="D114" s="344">
        <v>8.0000000000000002E-3</v>
      </c>
      <c r="G114" s="350">
        <v>300</v>
      </c>
      <c r="H114">
        <v>2</v>
      </c>
      <c r="I114">
        <v>600</v>
      </c>
      <c r="J114">
        <v>1.7999999999999999E-2</v>
      </c>
    </row>
    <row r="115" spans="1:10">
      <c r="A115" t="s">
        <v>467</v>
      </c>
      <c r="B115" t="s">
        <v>474</v>
      </c>
      <c r="C115" s="343">
        <v>360</v>
      </c>
      <c r="D115" s="345">
        <v>8.0000000000000002E-3</v>
      </c>
      <c r="G115" s="349" t="s">
        <v>512</v>
      </c>
      <c r="H115">
        <v>2</v>
      </c>
      <c r="I115">
        <v>780</v>
      </c>
      <c r="J115">
        <v>2.8000000000000001E-2</v>
      </c>
    </row>
    <row r="116" spans="1:10">
      <c r="A116" t="s">
        <v>467</v>
      </c>
      <c r="B116" t="s">
        <v>474</v>
      </c>
      <c r="C116" s="342">
        <v>360</v>
      </c>
      <c r="D116" s="344">
        <v>8.0000000000000002E-3</v>
      </c>
      <c r="G116" s="350">
        <v>390</v>
      </c>
      <c r="H116">
        <v>2</v>
      </c>
      <c r="I116">
        <v>780</v>
      </c>
      <c r="J116">
        <v>2.8000000000000001E-2</v>
      </c>
    </row>
    <row r="117" spans="1:10">
      <c r="A117" t="s">
        <v>467</v>
      </c>
      <c r="B117" t="s">
        <v>474</v>
      </c>
      <c r="C117" s="343">
        <v>360</v>
      </c>
      <c r="D117" s="345">
        <v>8.0000000000000002E-3</v>
      </c>
      <c r="G117" s="349" t="s">
        <v>513</v>
      </c>
      <c r="H117">
        <v>18</v>
      </c>
      <c r="I117">
        <v>6200</v>
      </c>
      <c r="J117">
        <v>0.24800000000000011</v>
      </c>
    </row>
    <row r="118" spans="1:10">
      <c r="A118" t="s">
        <v>467</v>
      </c>
      <c r="B118" t="s">
        <v>474</v>
      </c>
      <c r="C118" s="342">
        <v>360</v>
      </c>
      <c r="D118" s="344">
        <v>8.0000000000000002E-3</v>
      </c>
      <c r="G118" s="350">
        <v>300</v>
      </c>
      <c r="H118">
        <v>2</v>
      </c>
      <c r="I118">
        <v>600</v>
      </c>
      <c r="J118">
        <v>2.4E-2</v>
      </c>
    </row>
    <row r="119" spans="1:10">
      <c r="A119" t="s">
        <v>467</v>
      </c>
      <c r="B119" t="s">
        <v>474</v>
      </c>
      <c r="C119" s="343">
        <v>360</v>
      </c>
      <c r="D119" s="345">
        <v>8.0000000000000002E-3</v>
      </c>
      <c r="G119" s="350">
        <v>350</v>
      </c>
      <c r="H119">
        <v>16</v>
      </c>
      <c r="I119">
        <v>5600</v>
      </c>
      <c r="J119">
        <v>0.22400000000000009</v>
      </c>
    </row>
    <row r="120" spans="1:10">
      <c r="A120" t="s">
        <v>467</v>
      </c>
      <c r="B120" t="s">
        <v>474</v>
      </c>
      <c r="C120" s="342">
        <v>360</v>
      </c>
      <c r="D120" s="344">
        <v>8.0000000000000002E-3</v>
      </c>
      <c r="G120" s="349" t="s">
        <v>514</v>
      </c>
      <c r="H120">
        <v>16</v>
      </c>
      <c r="I120">
        <v>10656</v>
      </c>
      <c r="J120">
        <v>0.52800000000000025</v>
      </c>
    </row>
    <row r="121" spans="1:10">
      <c r="A121" t="s">
        <v>467</v>
      </c>
      <c r="B121" t="s">
        <v>474</v>
      </c>
      <c r="C121" s="343">
        <v>360</v>
      </c>
      <c r="D121" s="345">
        <v>8.0000000000000002E-3</v>
      </c>
      <c r="G121" s="350">
        <v>666</v>
      </c>
      <c r="H121">
        <v>16</v>
      </c>
      <c r="I121">
        <v>10656</v>
      </c>
      <c r="J121">
        <v>0.52800000000000025</v>
      </c>
    </row>
    <row r="122" spans="1:10">
      <c r="A122" t="s">
        <v>467</v>
      </c>
      <c r="B122" t="s">
        <v>474</v>
      </c>
      <c r="C122" s="342">
        <v>360</v>
      </c>
      <c r="D122" s="344">
        <v>8.0000000000000002E-3</v>
      </c>
      <c r="G122" s="349" t="s">
        <v>479</v>
      </c>
      <c r="H122">
        <v>64</v>
      </c>
      <c r="I122">
        <v>89488</v>
      </c>
      <c r="J122">
        <v>5.2639999999999976</v>
      </c>
    </row>
    <row r="123" spans="1:10">
      <c r="A123" t="s">
        <v>467</v>
      </c>
      <c r="B123" t="s">
        <v>474</v>
      </c>
      <c r="C123" s="343">
        <v>360</v>
      </c>
      <c r="D123" s="345">
        <v>8.0000000000000002E-3</v>
      </c>
      <c r="G123" s="350">
        <v>403</v>
      </c>
      <c r="H123">
        <v>16</v>
      </c>
      <c r="I123">
        <v>6448</v>
      </c>
      <c r="J123">
        <v>0.38400000000000006</v>
      </c>
    </row>
    <row r="124" spans="1:10">
      <c r="A124" t="s">
        <v>467</v>
      </c>
      <c r="B124" t="s">
        <v>473</v>
      </c>
      <c r="C124" s="342">
        <v>140</v>
      </c>
      <c r="D124" s="344">
        <v>2E-3</v>
      </c>
      <c r="G124" s="350">
        <v>488</v>
      </c>
      <c r="H124">
        <v>16</v>
      </c>
      <c r="I124">
        <v>7808</v>
      </c>
      <c r="J124">
        <v>0.46400000000000019</v>
      </c>
    </row>
    <row r="125" spans="1:10">
      <c r="A125" t="s">
        <v>467</v>
      </c>
      <c r="B125" t="s">
        <v>473</v>
      </c>
      <c r="C125" s="343">
        <v>140</v>
      </c>
      <c r="D125" s="345">
        <v>2E-3</v>
      </c>
      <c r="G125" s="350">
        <v>2351</v>
      </c>
      <c r="H125">
        <v>32</v>
      </c>
      <c r="I125">
        <v>75232</v>
      </c>
      <c r="J125">
        <v>4.4159999999999977</v>
      </c>
    </row>
    <row r="126" spans="1:10">
      <c r="A126" t="s">
        <v>467</v>
      </c>
      <c r="B126" t="s">
        <v>473</v>
      </c>
      <c r="C126" s="342">
        <v>140</v>
      </c>
      <c r="D126" s="344">
        <v>2E-3</v>
      </c>
      <c r="G126" s="349" t="s">
        <v>515</v>
      </c>
      <c r="H126">
        <v>2</v>
      </c>
      <c r="I126">
        <v>300</v>
      </c>
      <c r="J126">
        <v>8.0000000000000002E-3</v>
      </c>
    </row>
    <row r="127" spans="1:10">
      <c r="A127" t="s">
        <v>467</v>
      </c>
      <c r="B127" t="s">
        <v>473</v>
      </c>
      <c r="C127" s="343">
        <v>140</v>
      </c>
      <c r="D127" s="345">
        <v>2E-3</v>
      </c>
      <c r="G127" s="350">
        <v>150</v>
      </c>
      <c r="H127">
        <v>2</v>
      </c>
      <c r="I127">
        <v>300</v>
      </c>
      <c r="J127">
        <v>8.0000000000000002E-3</v>
      </c>
    </row>
    <row r="128" spans="1:10">
      <c r="A128" t="s">
        <v>467</v>
      </c>
      <c r="B128" t="s">
        <v>473</v>
      </c>
      <c r="C128" s="342">
        <v>140</v>
      </c>
      <c r="D128" s="344">
        <v>2E-3</v>
      </c>
      <c r="G128" s="349" t="s">
        <v>516</v>
      </c>
      <c r="H128">
        <v>22</v>
      </c>
      <c r="I128">
        <v>4180</v>
      </c>
      <c r="J128">
        <v>0.15400000000000008</v>
      </c>
    </row>
    <row r="129" spans="1:12">
      <c r="A129" t="s">
        <v>467</v>
      </c>
      <c r="B129" t="s">
        <v>473</v>
      </c>
      <c r="C129" s="343">
        <v>140</v>
      </c>
      <c r="D129" s="345">
        <v>2E-3</v>
      </c>
      <c r="G129" s="350">
        <v>190</v>
      </c>
      <c r="H129">
        <v>22</v>
      </c>
      <c r="I129">
        <v>4180</v>
      </c>
      <c r="J129">
        <v>0.15400000000000008</v>
      </c>
    </row>
    <row r="130" spans="1:12">
      <c r="A130" t="s">
        <v>467</v>
      </c>
      <c r="B130" t="s">
        <v>473</v>
      </c>
      <c r="C130" s="342">
        <v>140</v>
      </c>
      <c r="D130" s="344">
        <v>2E-3</v>
      </c>
      <c r="G130" s="349" t="s">
        <v>517</v>
      </c>
      <c r="H130">
        <v>2</v>
      </c>
      <c r="I130">
        <v>180</v>
      </c>
      <c r="J130">
        <v>0</v>
      </c>
    </row>
    <row r="131" spans="1:12">
      <c r="A131" t="s">
        <v>467</v>
      </c>
      <c r="B131" t="s">
        <v>473</v>
      </c>
      <c r="C131" s="343">
        <v>140</v>
      </c>
      <c r="D131" s="345">
        <v>2E-3</v>
      </c>
      <c r="G131" s="350">
        <v>90</v>
      </c>
      <c r="H131">
        <v>2</v>
      </c>
      <c r="I131">
        <v>180</v>
      </c>
      <c r="J131">
        <v>0</v>
      </c>
    </row>
    <row r="132" spans="1:12">
      <c r="A132" t="s">
        <v>467</v>
      </c>
      <c r="B132" t="s">
        <v>473</v>
      </c>
      <c r="C132" s="342">
        <v>140</v>
      </c>
      <c r="D132" s="344">
        <v>2E-3</v>
      </c>
      <c r="G132" s="361" t="s">
        <v>518</v>
      </c>
      <c r="H132">
        <v>64</v>
      </c>
      <c r="I132">
        <v>379440</v>
      </c>
      <c r="J132">
        <v>22.336000000000013</v>
      </c>
    </row>
    <row r="133" spans="1:12">
      <c r="A133" t="s">
        <v>467</v>
      </c>
      <c r="B133" t="s">
        <v>473</v>
      </c>
      <c r="C133" s="343">
        <v>140</v>
      </c>
      <c r="D133" s="345">
        <v>2E-3</v>
      </c>
      <c r="G133" s="359" t="s">
        <v>479</v>
      </c>
      <c r="H133">
        <v>64</v>
      </c>
      <c r="I133">
        <v>379440</v>
      </c>
      <c r="J133">
        <v>22.336000000000013</v>
      </c>
    </row>
    <row r="134" spans="1:12">
      <c r="A134" t="s">
        <v>467</v>
      </c>
      <c r="B134" t="s">
        <v>473</v>
      </c>
      <c r="C134" s="342">
        <v>140</v>
      </c>
      <c r="D134" s="344">
        <v>2E-3</v>
      </c>
      <c r="G134" s="360">
        <v>4416</v>
      </c>
      <c r="H134">
        <v>16</v>
      </c>
      <c r="I134">
        <v>70656</v>
      </c>
      <c r="J134">
        <v>4.1599999999999984</v>
      </c>
    </row>
    <row r="135" spans="1:12">
      <c r="A135" t="s">
        <v>467</v>
      </c>
      <c r="B135" t="s">
        <v>473</v>
      </c>
      <c r="C135" s="343">
        <v>140</v>
      </c>
      <c r="D135" s="345">
        <v>2E-3</v>
      </c>
      <c r="G135" s="360">
        <v>5758</v>
      </c>
      <c r="H135">
        <v>16</v>
      </c>
      <c r="I135">
        <v>92128</v>
      </c>
      <c r="J135">
        <v>5.4240000000000022</v>
      </c>
    </row>
    <row r="136" spans="1:12">
      <c r="A136" t="s">
        <v>467</v>
      </c>
      <c r="B136" t="s">
        <v>473</v>
      </c>
      <c r="C136" s="342">
        <v>140</v>
      </c>
      <c r="D136" s="344">
        <v>2E-3</v>
      </c>
      <c r="G136" s="360">
        <v>6064</v>
      </c>
      <c r="H136">
        <v>16</v>
      </c>
      <c r="I136">
        <v>97024</v>
      </c>
      <c r="J136">
        <v>5.7120000000000015</v>
      </c>
    </row>
    <row r="137" spans="1:12">
      <c r="A137" t="s">
        <v>467</v>
      </c>
      <c r="B137" t="s">
        <v>473</v>
      </c>
      <c r="C137" s="343">
        <v>140</v>
      </c>
      <c r="D137" s="345">
        <v>2E-3</v>
      </c>
      <c r="G137" s="360">
        <v>7477</v>
      </c>
      <c r="H137">
        <v>16</v>
      </c>
      <c r="I137">
        <v>119632</v>
      </c>
      <c r="J137">
        <v>7.0400000000000027</v>
      </c>
    </row>
    <row r="138" spans="1:12">
      <c r="A138" t="s">
        <v>467</v>
      </c>
      <c r="B138" t="s">
        <v>473</v>
      </c>
      <c r="C138" s="342">
        <v>140</v>
      </c>
      <c r="D138" s="344">
        <v>2E-3</v>
      </c>
      <c r="G138" s="354" t="s">
        <v>519</v>
      </c>
      <c r="H138" s="35">
        <v>52</v>
      </c>
      <c r="I138" s="35">
        <v>250380</v>
      </c>
      <c r="J138">
        <v>10.665000000000001</v>
      </c>
      <c r="L138">
        <f>GETPIVOTDATA("Sum of Length (mm)",$G$4,"Product Name","HSQ")/GETPIVOTDATA("Count of Length (mm)2",$G$4,"Product Name","HSQ")</f>
        <v>4815</v>
      </c>
    </row>
    <row r="139" spans="1:12">
      <c r="A139" t="s">
        <v>467</v>
      </c>
      <c r="B139" t="s">
        <v>473</v>
      </c>
      <c r="C139" s="343">
        <v>140</v>
      </c>
      <c r="D139" s="345">
        <v>2E-3</v>
      </c>
      <c r="G139" s="352" t="s">
        <v>520</v>
      </c>
      <c r="H139" s="35">
        <v>13</v>
      </c>
      <c r="I139" s="35">
        <v>62590</v>
      </c>
      <c r="J139">
        <v>5.2969999999999988</v>
      </c>
      <c r="L139">
        <f>GETPIVOTDATA("Sum of Length (mm)",$G$4,"Product Name","HSQ","Product Description","FL20*540")/GETPIVOTDATA("Count of Length (mm)2",$G$4,"Product Name","HSQ","Product Description","FL20*540")</f>
        <v>4814.6153846153848</v>
      </c>
    </row>
    <row r="140" spans="1:12">
      <c r="A140" t="s">
        <v>467</v>
      </c>
      <c r="B140" t="s">
        <v>473</v>
      </c>
      <c r="C140" s="342">
        <v>140</v>
      </c>
      <c r="D140" s="344">
        <v>2E-3</v>
      </c>
      <c r="G140" s="353">
        <v>4695</v>
      </c>
      <c r="H140" s="35">
        <v>2</v>
      </c>
      <c r="I140" s="35">
        <v>9390</v>
      </c>
      <c r="J140">
        <v>0.79600000000000004</v>
      </c>
    </row>
    <row r="141" spans="1:12">
      <c r="A141" t="s">
        <v>467</v>
      </c>
      <c r="B141" t="s">
        <v>473</v>
      </c>
      <c r="C141" s="343">
        <v>140</v>
      </c>
      <c r="D141" s="345">
        <v>2E-3</v>
      </c>
      <c r="G141" s="353">
        <v>4800</v>
      </c>
      <c r="H141" s="35">
        <v>9</v>
      </c>
      <c r="I141" s="35">
        <v>43200</v>
      </c>
      <c r="J141">
        <v>3.6629999999999998</v>
      </c>
    </row>
    <row r="142" spans="1:12">
      <c r="A142" t="s">
        <v>467</v>
      </c>
      <c r="B142" t="s">
        <v>473</v>
      </c>
      <c r="C142" s="342">
        <v>140</v>
      </c>
      <c r="D142" s="344">
        <v>2E-3</v>
      </c>
      <c r="G142" s="353">
        <v>5000</v>
      </c>
      <c r="H142" s="35">
        <v>2</v>
      </c>
      <c r="I142" s="35">
        <v>10000</v>
      </c>
      <c r="J142">
        <v>0.83799999999999997</v>
      </c>
    </row>
    <row r="143" spans="1:12">
      <c r="A143" t="s">
        <v>467</v>
      </c>
      <c r="B143" t="s">
        <v>473</v>
      </c>
      <c r="C143" s="343">
        <v>140</v>
      </c>
      <c r="D143" s="345">
        <v>2E-3</v>
      </c>
      <c r="G143" s="352" t="s">
        <v>521</v>
      </c>
      <c r="H143" s="35">
        <v>13</v>
      </c>
      <c r="I143" s="35">
        <v>62610</v>
      </c>
      <c r="J143">
        <v>4.3020000000000005</v>
      </c>
    </row>
    <row r="144" spans="1:12">
      <c r="A144" t="s">
        <v>467</v>
      </c>
      <c r="B144" t="s">
        <v>473</v>
      </c>
      <c r="C144" s="342">
        <v>140</v>
      </c>
      <c r="D144" s="344">
        <v>2E-3</v>
      </c>
      <c r="G144" s="353">
        <v>4695</v>
      </c>
      <c r="H144" s="35">
        <v>2</v>
      </c>
      <c r="I144" s="35">
        <v>9390</v>
      </c>
      <c r="J144">
        <v>0.64400000000000002</v>
      </c>
    </row>
    <row r="145" spans="1:10">
      <c r="A145" t="s">
        <v>467</v>
      </c>
      <c r="B145" t="s">
        <v>473</v>
      </c>
      <c r="C145" s="343">
        <v>140</v>
      </c>
      <c r="D145" s="345">
        <v>2E-3</v>
      </c>
      <c r="G145" s="353">
        <v>4800</v>
      </c>
      <c r="H145" s="35">
        <v>9</v>
      </c>
      <c r="I145" s="35">
        <v>43200</v>
      </c>
      <c r="J145">
        <v>2.97</v>
      </c>
    </row>
    <row r="146" spans="1:10">
      <c r="A146" t="s">
        <v>467</v>
      </c>
      <c r="B146" t="s">
        <v>473</v>
      </c>
      <c r="C146" s="342">
        <v>140</v>
      </c>
      <c r="D146" s="344">
        <v>2E-3</v>
      </c>
      <c r="G146" s="353">
        <v>5010</v>
      </c>
      <c r="H146" s="35">
        <v>2</v>
      </c>
      <c r="I146" s="35">
        <v>10020</v>
      </c>
      <c r="J146">
        <v>0.68799999999999994</v>
      </c>
    </row>
    <row r="147" spans="1:10">
      <c r="A147" t="s">
        <v>467</v>
      </c>
      <c r="B147" t="s">
        <v>473</v>
      </c>
      <c r="C147" s="343">
        <v>140</v>
      </c>
      <c r="D147" s="345">
        <v>2E-3</v>
      </c>
      <c r="G147" s="352" t="s">
        <v>522</v>
      </c>
      <c r="H147" s="35">
        <v>26</v>
      </c>
      <c r="I147" s="35">
        <v>125180</v>
      </c>
      <c r="J147">
        <v>1.0660000000000003</v>
      </c>
    </row>
    <row r="148" spans="1:10">
      <c r="A148" t="s">
        <v>467</v>
      </c>
      <c r="B148" t="s">
        <v>473</v>
      </c>
      <c r="C148" s="342">
        <v>140</v>
      </c>
      <c r="D148" s="344">
        <v>2E-3</v>
      </c>
      <c r="G148" s="353">
        <v>4695</v>
      </c>
      <c r="H148" s="35">
        <v>4</v>
      </c>
      <c r="I148" s="35">
        <v>18780</v>
      </c>
      <c r="J148">
        <v>0.16</v>
      </c>
    </row>
    <row r="149" spans="1:10">
      <c r="A149" t="s">
        <v>467</v>
      </c>
      <c r="B149" t="s">
        <v>473</v>
      </c>
      <c r="C149" s="343">
        <v>140</v>
      </c>
      <c r="D149" s="345">
        <v>2E-3</v>
      </c>
      <c r="G149" s="353">
        <v>4800</v>
      </c>
      <c r="H149" s="35">
        <v>18</v>
      </c>
      <c r="I149" s="35">
        <v>86400</v>
      </c>
      <c r="J149">
        <v>0.7380000000000001</v>
      </c>
    </row>
    <row r="150" spans="1:10">
      <c r="A150" t="s">
        <v>467</v>
      </c>
      <c r="B150" t="s">
        <v>473</v>
      </c>
      <c r="C150" s="342">
        <v>140</v>
      </c>
      <c r="D150" s="344">
        <v>2E-3</v>
      </c>
      <c r="G150" s="353">
        <v>5000</v>
      </c>
      <c r="H150" s="35">
        <v>4</v>
      </c>
      <c r="I150" s="35">
        <v>20000</v>
      </c>
      <c r="J150">
        <v>0.16800000000000001</v>
      </c>
    </row>
    <row r="151" spans="1:10">
      <c r="A151" t="s">
        <v>467</v>
      </c>
      <c r="B151" t="s">
        <v>473</v>
      </c>
      <c r="C151" s="343">
        <v>140</v>
      </c>
      <c r="D151" s="345">
        <v>2E-3</v>
      </c>
      <c r="G151" s="348" t="s">
        <v>523</v>
      </c>
      <c r="H151">
        <v>46</v>
      </c>
      <c r="I151">
        <v>9264</v>
      </c>
      <c r="J151">
        <v>0.12400000000000004</v>
      </c>
    </row>
    <row r="152" spans="1:10">
      <c r="A152" t="s">
        <v>467</v>
      </c>
      <c r="B152" t="s">
        <v>473</v>
      </c>
      <c r="C152" s="342">
        <v>140</v>
      </c>
      <c r="D152" s="344">
        <v>2E-3</v>
      </c>
      <c r="G152" s="349" t="s">
        <v>497</v>
      </c>
      <c r="H152">
        <v>4</v>
      </c>
      <c r="I152">
        <v>680</v>
      </c>
      <c r="J152">
        <v>8.0000000000000002E-3</v>
      </c>
    </row>
    <row r="153" spans="1:10">
      <c r="A153" t="s">
        <v>467</v>
      </c>
      <c r="B153" t="s">
        <v>473</v>
      </c>
      <c r="C153" s="343">
        <v>140</v>
      </c>
      <c r="D153" s="345">
        <v>2E-3</v>
      </c>
      <c r="G153" s="350">
        <v>170</v>
      </c>
      <c r="H153">
        <v>4</v>
      </c>
      <c r="I153">
        <v>680</v>
      </c>
      <c r="J153">
        <v>8.0000000000000002E-3</v>
      </c>
    </row>
    <row r="154" spans="1:10">
      <c r="A154" t="s">
        <v>467</v>
      </c>
      <c r="B154" t="s">
        <v>473</v>
      </c>
      <c r="C154" s="342">
        <v>140</v>
      </c>
      <c r="D154" s="344">
        <v>2E-3</v>
      </c>
      <c r="G154" s="349" t="s">
        <v>524</v>
      </c>
      <c r="H154">
        <v>32</v>
      </c>
      <c r="I154">
        <v>6720</v>
      </c>
      <c r="J154">
        <v>9.6000000000000044E-2</v>
      </c>
    </row>
    <row r="155" spans="1:10">
      <c r="A155" t="s">
        <v>467</v>
      </c>
      <c r="B155" t="s">
        <v>473</v>
      </c>
      <c r="C155" s="343">
        <v>140</v>
      </c>
      <c r="D155" s="345">
        <v>2E-3</v>
      </c>
      <c r="G155" s="350">
        <v>210</v>
      </c>
      <c r="H155">
        <v>32</v>
      </c>
      <c r="I155">
        <v>6720</v>
      </c>
      <c r="J155">
        <v>9.6000000000000044E-2</v>
      </c>
    </row>
    <row r="156" spans="1:10">
      <c r="A156" t="s">
        <v>467</v>
      </c>
      <c r="B156" t="s">
        <v>473</v>
      </c>
      <c r="C156" s="342">
        <v>140</v>
      </c>
      <c r="D156" s="344">
        <v>2E-3</v>
      </c>
      <c r="G156" s="349" t="s">
        <v>517</v>
      </c>
      <c r="H156">
        <v>8</v>
      </c>
      <c r="I156">
        <v>864</v>
      </c>
      <c r="J156">
        <v>0</v>
      </c>
    </row>
    <row r="157" spans="1:10">
      <c r="A157" t="s">
        <v>467</v>
      </c>
      <c r="B157" t="s">
        <v>473</v>
      </c>
      <c r="C157" s="343">
        <v>140</v>
      </c>
      <c r="D157" s="345">
        <v>2E-3</v>
      </c>
      <c r="G157" s="350">
        <v>108</v>
      </c>
      <c r="H157">
        <v>8</v>
      </c>
      <c r="I157">
        <v>864</v>
      </c>
      <c r="J157">
        <v>0</v>
      </c>
    </row>
    <row r="158" spans="1:10">
      <c r="A158" t="s">
        <v>475</v>
      </c>
      <c r="B158" t="s">
        <v>480</v>
      </c>
      <c r="C158" s="342">
        <v>220</v>
      </c>
      <c r="D158" s="344">
        <v>1E-3</v>
      </c>
      <c r="G158" s="349" t="s">
        <v>525</v>
      </c>
      <c r="H158">
        <v>2</v>
      </c>
      <c r="I158">
        <v>1000</v>
      </c>
      <c r="J158">
        <v>0.02</v>
      </c>
    </row>
    <row r="159" spans="1:10">
      <c r="A159" t="s">
        <v>475</v>
      </c>
      <c r="B159" t="s">
        <v>480</v>
      </c>
      <c r="C159" s="343">
        <v>220</v>
      </c>
      <c r="D159" s="345">
        <v>1E-3</v>
      </c>
      <c r="G159" s="350">
        <v>500</v>
      </c>
      <c r="H159">
        <v>2</v>
      </c>
      <c r="I159">
        <v>1000</v>
      </c>
      <c r="J159">
        <v>0.02</v>
      </c>
    </row>
    <row r="160" spans="1:10">
      <c r="A160" t="s">
        <v>475</v>
      </c>
      <c r="B160" t="s">
        <v>480</v>
      </c>
      <c r="C160" s="342">
        <v>220</v>
      </c>
      <c r="D160" s="344">
        <v>1E-3</v>
      </c>
      <c r="G160" s="354" t="s">
        <v>526</v>
      </c>
      <c r="H160" s="35">
        <v>94</v>
      </c>
      <c r="I160" s="35">
        <v>88173</v>
      </c>
      <c r="J160" s="35">
        <v>0.89800000000000058</v>
      </c>
    </row>
    <row r="161" spans="1:10">
      <c r="A161" t="s">
        <v>475</v>
      </c>
      <c r="B161" t="s">
        <v>480</v>
      </c>
      <c r="C161" s="343">
        <v>220</v>
      </c>
      <c r="D161" s="345">
        <v>1E-3</v>
      </c>
      <c r="G161" s="352" t="s">
        <v>527</v>
      </c>
      <c r="H161" s="35">
        <v>4</v>
      </c>
      <c r="I161" s="35">
        <v>3046</v>
      </c>
      <c r="J161" s="35">
        <v>0.06</v>
      </c>
    </row>
    <row r="162" spans="1:10">
      <c r="A162" t="s">
        <v>475</v>
      </c>
      <c r="B162" t="s">
        <v>480</v>
      </c>
      <c r="C162" s="342">
        <v>220</v>
      </c>
      <c r="D162" s="344">
        <v>1E-3</v>
      </c>
      <c r="G162" s="353">
        <v>760</v>
      </c>
      <c r="H162" s="35">
        <v>1</v>
      </c>
      <c r="I162" s="35">
        <v>760</v>
      </c>
      <c r="J162" s="35">
        <v>1.4999999999999999E-2</v>
      </c>
    </row>
    <row r="163" spans="1:10">
      <c r="A163" t="s">
        <v>475</v>
      </c>
      <c r="B163" t="s">
        <v>480</v>
      </c>
      <c r="C163" s="343">
        <v>220</v>
      </c>
      <c r="D163" s="345">
        <v>1E-3</v>
      </c>
      <c r="G163" s="353">
        <v>762</v>
      </c>
      <c r="H163" s="35">
        <v>3</v>
      </c>
      <c r="I163" s="35">
        <v>2286</v>
      </c>
      <c r="J163" s="35">
        <v>4.4999999999999998E-2</v>
      </c>
    </row>
    <row r="164" spans="1:10">
      <c r="A164" t="s">
        <v>475</v>
      </c>
      <c r="B164" t="s">
        <v>480</v>
      </c>
      <c r="C164" s="342">
        <v>220</v>
      </c>
      <c r="D164" s="344">
        <v>1E-3</v>
      </c>
      <c r="G164" s="352" t="s">
        <v>528</v>
      </c>
      <c r="H164" s="35">
        <v>42</v>
      </c>
      <c r="I164" s="35">
        <v>45200</v>
      </c>
      <c r="J164" s="35">
        <v>0.4100000000000002</v>
      </c>
    </row>
    <row r="165" spans="1:10">
      <c r="A165" t="s">
        <v>475</v>
      </c>
      <c r="B165" t="s">
        <v>480</v>
      </c>
      <c r="C165" s="343">
        <v>220</v>
      </c>
      <c r="D165" s="345">
        <v>1E-3</v>
      </c>
      <c r="G165" s="353">
        <v>1000</v>
      </c>
      <c r="H165" s="35">
        <v>34</v>
      </c>
      <c r="I165" s="35">
        <v>34000</v>
      </c>
      <c r="J165" s="35">
        <v>0.30600000000000011</v>
      </c>
    </row>
    <row r="166" spans="1:10">
      <c r="A166" t="s">
        <v>475</v>
      </c>
      <c r="B166" t="s">
        <v>480</v>
      </c>
      <c r="C166" s="342">
        <v>220</v>
      </c>
      <c r="D166" s="344">
        <v>1E-3</v>
      </c>
      <c r="G166" s="353">
        <v>1400</v>
      </c>
      <c r="H166" s="35">
        <v>8</v>
      </c>
      <c r="I166" s="35">
        <v>11200</v>
      </c>
      <c r="J166" s="35">
        <v>0.104</v>
      </c>
    </row>
    <row r="167" spans="1:10">
      <c r="A167" t="s">
        <v>475</v>
      </c>
      <c r="B167" t="s">
        <v>480</v>
      </c>
      <c r="C167" s="343">
        <v>220</v>
      </c>
      <c r="D167" s="345">
        <v>1E-3</v>
      </c>
      <c r="G167" s="352" t="s">
        <v>529</v>
      </c>
      <c r="H167" s="35">
        <v>45</v>
      </c>
      <c r="I167" s="35">
        <v>37677</v>
      </c>
      <c r="J167" s="35">
        <v>0.41300000000000031</v>
      </c>
    </row>
    <row r="168" spans="1:10">
      <c r="A168" t="s">
        <v>475</v>
      </c>
      <c r="B168" t="s">
        <v>480</v>
      </c>
      <c r="C168" s="342">
        <v>220</v>
      </c>
      <c r="D168" s="344">
        <v>1E-3</v>
      </c>
      <c r="G168" s="353">
        <v>597</v>
      </c>
      <c r="H168" s="35">
        <v>2</v>
      </c>
      <c r="I168" s="35">
        <v>1194</v>
      </c>
      <c r="J168" s="35">
        <v>1.2E-2</v>
      </c>
    </row>
    <row r="169" spans="1:10">
      <c r="A169" t="s">
        <v>475</v>
      </c>
      <c r="B169" t="s">
        <v>480</v>
      </c>
      <c r="C169" s="343">
        <v>220</v>
      </c>
      <c r="D169" s="345">
        <v>1E-3</v>
      </c>
      <c r="G169" s="353">
        <v>679</v>
      </c>
      <c r="H169" s="35">
        <v>1</v>
      </c>
      <c r="I169" s="35">
        <v>679</v>
      </c>
      <c r="J169" s="35">
        <v>7.0000000000000001E-3</v>
      </c>
    </row>
    <row r="170" spans="1:10">
      <c r="A170" t="s">
        <v>475</v>
      </c>
      <c r="B170" t="s">
        <v>480</v>
      </c>
      <c r="C170" s="342">
        <v>220</v>
      </c>
      <c r="D170" s="344">
        <v>1E-3</v>
      </c>
      <c r="G170" s="353">
        <v>761</v>
      </c>
      <c r="H170" s="35">
        <v>16</v>
      </c>
      <c r="I170" s="35">
        <v>12176</v>
      </c>
      <c r="J170" s="35">
        <v>0.12800000000000006</v>
      </c>
    </row>
    <row r="171" spans="1:10">
      <c r="A171" t="s">
        <v>475</v>
      </c>
      <c r="B171" t="s">
        <v>477</v>
      </c>
      <c r="C171" s="343">
        <v>1341</v>
      </c>
      <c r="D171" s="345">
        <v>2.1999999999999999E-2</v>
      </c>
      <c r="G171" s="353">
        <v>780</v>
      </c>
      <c r="H171" s="35">
        <v>2</v>
      </c>
      <c r="I171" s="35">
        <v>1560</v>
      </c>
      <c r="J171" s="35">
        <v>1.7999999999999999E-2</v>
      </c>
    </row>
    <row r="172" spans="1:10">
      <c r="A172" t="s">
        <v>475</v>
      </c>
      <c r="B172" t="s">
        <v>477</v>
      </c>
      <c r="C172" s="342">
        <v>1341</v>
      </c>
      <c r="D172" s="344">
        <v>2.1999999999999999E-2</v>
      </c>
      <c r="G172" s="353">
        <v>784</v>
      </c>
      <c r="H172" s="35">
        <v>16</v>
      </c>
      <c r="I172" s="35">
        <v>12544</v>
      </c>
      <c r="J172" s="35">
        <v>0.14399999999999999</v>
      </c>
    </row>
    <row r="173" spans="1:10">
      <c r="A173" t="s">
        <v>475</v>
      </c>
      <c r="B173" t="s">
        <v>477</v>
      </c>
      <c r="C173" s="343">
        <v>1341</v>
      </c>
      <c r="D173" s="345">
        <v>2.1999999999999999E-2</v>
      </c>
      <c r="G173" s="353">
        <v>1185</v>
      </c>
      <c r="H173" s="35">
        <v>4</v>
      </c>
      <c r="I173" s="35">
        <v>4740</v>
      </c>
      <c r="J173" s="35">
        <v>5.1999999999999998E-2</v>
      </c>
    </row>
    <row r="174" spans="1:10">
      <c r="A174" t="s">
        <v>475</v>
      </c>
      <c r="B174" t="s">
        <v>477</v>
      </c>
      <c r="C174" s="342">
        <v>1341</v>
      </c>
      <c r="D174" s="344">
        <v>2.1999999999999999E-2</v>
      </c>
      <c r="G174" s="353">
        <v>1196</v>
      </c>
      <c r="H174" s="35">
        <v>4</v>
      </c>
      <c r="I174" s="35">
        <v>4784</v>
      </c>
      <c r="J174" s="35">
        <v>5.1999999999999998E-2</v>
      </c>
    </row>
    <row r="175" spans="1:10">
      <c r="A175" t="s">
        <v>475</v>
      </c>
      <c r="B175" t="s">
        <v>477</v>
      </c>
      <c r="C175" s="343">
        <v>1341</v>
      </c>
      <c r="D175" s="345">
        <v>2.1999999999999999E-2</v>
      </c>
      <c r="G175" s="352" t="s">
        <v>530</v>
      </c>
      <c r="H175" s="35">
        <v>3</v>
      </c>
      <c r="I175" s="35">
        <v>2250</v>
      </c>
      <c r="J175" s="35">
        <v>1.4999999999999999E-2</v>
      </c>
    </row>
    <row r="176" spans="1:10">
      <c r="A176" t="s">
        <v>475</v>
      </c>
      <c r="B176" t="s">
        <v>477</v>
      </c>
      <c r="C176" s="342">
        <v>1341</v>
      </c>
      <c r="D176" s="344">
        <v>2.1999999999999999E-2</v>
      </c>
      <c r="G176" s="353">
        <v>750</v>
      </c>
      <c r="H176" s="35">
        <v>3</v>
      </c>
      <c r="I176" s="35">
        <v>2250</v>
      </c>
      <c r="J176" s="35">
        <v>1.4999999999999999E-2</v>
      </c>
    </row>
    <row r="177" spans="1:10">
      <c r="A177" t="s">
        <v>475</v>
      </c>
      <c r="B177" t="s">
        <v>477</v>
      </c>
      <c r="C177" s="343">
        <v>1341</v>
      </c>
      <c r="D177" s="345">
        <v>2.1999999999999999E-2</v>
      </c>
      <c r="G177" s="348" t="s">
        <v>531</v>
      </c>
      <c r="H177">
        <v>35</v>
      </c>
      <c r="I177">
        <v>4900</v>
      </c>
      <c r="J177">
        <v>7.0000000000000048E-2</v>
      </c>
    </row>
    <row r="178" spans="1:10">
      <c r="A178" t="s">
        <v>475</v>
      </c>
      <c r="B178" t="s">
        <v>477</v>
      </c>
      <c r="C178" s="342">
        <v>1341</v>
      </c>
      <c r="D178" s="344">
        <v>2.1999999999999999E-2</v>
      </c>
      <c r="G178" s="349" t="s">
        <v>532</v>
      </c>
      <c r="H178">
        <v>35</v>
      </c>
      <c r="I178">
        <v>4900</v>
      </c>
      <c r="J178">
        <v>7.0000000000000048E-2</v>
      </c>
    </row>
    <row r="179" spans="1:10">
      <c r="A179" t="s">
        <v>475</v>
      </c>
      <c r="B179" t="s">
        <v>477</v>
      </c>
      <c r="C179" s="343">
        <v>1341</v>
      </c>
      <c r="D179" s="345">
        <v>2.1999999999999999E-2</v>
      </c>
      <c r="G179" s="350">
        <v>140</v>
      </c>
      <c r="H179">
        <v>35</v>
      </c>
      <c r="I179">
        <v>4900</v>
      </c>
      <c r="J179">
        <v>7.0000000000000048E-2</v>
      </c>
    </row>
    <row r="180" spans="1:10">
      <c r="A180" t="s">
        <v>475</v>
      </c>
      <c r="B180" t="s">
        <v>477</v>
      </c>
      <c r="C180" s="342">
        <v>1341</v>
      </c>
      <c r="D180" s="344">
        <v>2.1999999999999999E-2</v>
      </c>
      <c r="G180" s="348" t="s">
        <v>533</v>
      </c>
      <c r="H180">
        <v>401</v>
      </c>
      <c r="I180">
        <v>73373</v>
      </c>
      <c r="J180">
        <v>0.82100000000000062</v>
      </c>
    </row>
    <row r="181" spans="1:10">
      <c r="A181" t="s">
        <v>475</v>
      </c>
      <c r="B181" t="s">
        <v>477</v>
      </c>
      <c r="C181" s="343">
        <v>1341</v>
      </c>
      <c r="D181" s="345">
        <v>2.1999999999999999E-2</v>
      </c>
      <c r="G181" s="349" t="s">
        <v>473</v>
      </c>
      <c r="H181">
        <v>10</v>
      </c>
      <c r="I181">
        <v>1400</v>
      </c>
      <c r="J181">
        <v>2.0000000000000004E-2</v>
      </c>
    </row>
    <row r="182" spans="1:10">
      <c r="A182" t="s">
        <v>475</v>
      </c>
      <c r="B182" t="s">
        <v>477</v>
      </c>
      <c r="C182" s="342">
        <v>1341</v>
      </c>
      <c r="D182" s="344">
        <v>2.1999999999999999E-2</v>
      </c>
      <c r="G182" s="350">
        <v>140</v>
      </c>
      <c r="H182">
        <v>10</v>
      </c>
      <c r="I182">
        <v>1400</v>
      </c>
      <c r="J182">
        <v>2.0000000000000004E-2</v>
      </c>
    </row>
    <row r="183" spans="1:10">
      <c r="A183" t="s">
        <v>475</v>
      </c>
      <c r="B183" t="s">
        <v>477</v>
      </c>
      <c r="C183" s="343">
        <v>1341</v>
      </c>
      <c r="D183" s="345">
        <v>2.1999999999999999E-2</v>
      </c>
      <c r="G183" s="349" t="s">
        <v>468</v>
      </c>
      <c r="H183">
        <v>32</v>
      </c>
      <c r="I183">
        <v>4474</v>
      </c>
      <c r="J183">
        <v>6.4000000000000043E-2</v>
      </c>
    </row>
    <row r="184" spans="1:10">
      <c r="A184" t="s">
        <v>475</v>
      </c>
      <c r="B184" t="s">
        <v>477</v>
      </c>
      <c r="C184" s="342">
        <v>1341</v>
      </c>
      <c r="D184" s="344">
        <v>2.1999999999999999E-2</v>
      </c>
      <c r="G184" s="350">
        <v>137</v>
      </c>
      <c r="H184">
        <v>2</v>
      </c>
      <c r="I184">
        <v>274</v>
      </c>
      <c r="J184">
        <v>4.0000000000000001E-3</v>
      </c>
    </row>
    <row r="185" spans="1:10">
      <c r="A185" t="s">
        <v>475</v>
      </c>
      <c r="B185" t="s">
        <v>476</v>
      </c>
      <c r="C185" s="343">
        <v>373</v>
      </c>
      <c r="D185" s="345">
        <v>2E-3</v>
      </c>
      <c r="G185" s="350">
        <v>140</v>
      </c>
      <c r="H185">
        <v>30</v>
      </c>
      <c r="I185">
        <v>4200</v>
      </c>
      <c r="J185">
        <v>6.0000000000000039E-2</v>
      </c>
    </row>
    <row r="186" spans="1:10">
      <c r="A186" t="s">
        <v>475</v>
      </c>
      <c r="B186" t="s">
        <v>476</v>
      </c>
      <c r="C186" s="342">
        <v>373</v>
      </c>
      <c r="D186" s="344">
        <v>2E-3</v>
      </c>
      <c r="G186" s="349" t="s">
        <v>477</v>
      </c>
      <c r="H186">
        <v>4</v>
      </c>
      <c r="I186">
        <v>740</v>
      </c>
      <c r="J186">
        <v>1.2E-2</v>
      </c>
    </row>
    <row r="187" spans="1:10">
      <c r="A187" t="s">
        <v>475</v>
      </c>
      <c r="B187" t="s">
        <v>476</v>
      </c>
      <c r="C187" s="343">
        <v>373</v>
      </c>
      <c r="D187" s="345">
        <v>2E-3</v>
      </c>
      <c r="G187" s="350">
        <v>140</v>
      </c>
      <c r="H187">
        <v>2</v>
      </c>
      <c r="I187">
        <v>280</v>
      </c>
      <c r="J187">
        <v>4.0000000000000001E-3</v>
      </c>
    </row>
    <row r="188" spans="1:10">
      <c r="A188" t="s">
        <v>475</v>
      </c>
      <c r="B188" t="s">
        <v>476</v>
      </c>
      <c r="C188" s="342">
        <v>373</v>
      </c>
      <c r="D188" s="344">
        <v>2E-3</v>
      </c>
      <c r="G188" s="350">
        <v>230</v>
      </c>
      <c r="H188">
        <v>2</v>
      </c>
      <c r="I188">
        <v>460</v>
      </c>
      <c r="J188">
        <v>8.0000000000000002E-3</v>
      </c>
    </row>
    <row r="189" spans="1:10">
      <c r="A189" t="s">
        <v>475</v>
      </c>
      <c r="B189" t="s">
        <v>476</v>
      </c>
      <c r="C189" s="343">
        <v>373</v>
      </c>
      <c r="D189" s="345">
        <v>2E-3</v>
      </c>
      <c r="G189" s="349" t="s">
        <v>534</v>
      </c>
      <c r="H189">
        <v>1</v>
      </c>
      <c r="I189">
        <v>216</v>
      </c>
      <c r="J189">
        <v>3.0000000000000001E-3</v>
      </c>
    </row>
    <row r="190" spans="1:10">
      <c r="A190" t="s">
        <v>475</v>
      </c>
      <c r="B190" t="s">
        <v>476</v>
      </c>
      <c r="C190" s="342">
        <v>373</v>
      </c>
      <c r="D190" s="344">
        <v>2E-3</v>
      </c>
      <c r="G190" s="350">
        <v>216</v>
      </c>
      <c r="H190">
        <v>1</v>
      </c>
      <c r="I190">
        <v>216</v>
      </c>
      <c r="J190">
        <v>3.0000000000000001E-3</v>
      </c>
    </row>
    <row r="191" spans="1:10">
      <c r="A191" t="s">
        <v>475</v>
      </c>
      <c r="B191" t="s">
        <v>477</v>
      </c>
      <c r="C191" s="343">
        <v>413</v>
      </c>
      <c r="D191" s="345">
        <v>7.0000000000000001E-3</v>
      </c>
      <c r="G191" s="349" t="s">
        <v>508</v>
      </c>
      <c r="H191">
        <v>16</v>
      </c>
      <c r="I191">
        <v>6960</v>
      </c>
      <c r="J191">
        <v>0.11200000000000004</v>
      </c>
    </row>
    <row r="192" spans="1:10">
      <c r="A192" t="s">
        <v>475</v>
      </c>
      <c r="B192" t="s">
        <v>477</v>
      </c>
      <c r="C192" s="342">
        <v>413</v>
      </c>
      <c r="D192" s="344">
        <v>7.0000000000000001E-3</v>
      </c>
      <c r="G192" s="350">
        <v>435</v>
      </c>
      <c r="H192">
        <v>16</v>
      </c>
      <c r="I192">
        <v>6960</v>
      </c>
      <c r="J192">
        <v>0.11200000000000004</v>
      </c>
    </row>
    <row r="193" spans="1:10">
      <c r="A193" t="s">
        <v>475</v>
      </c>
      <c r="B193" t="s">
        <v>477</v>
      </c>
      <c r="C193" s="343">
        <v>413</v>
      </c>
      <c r="D193" s="345">
        <v>7.0000000000000001E-3</v>
      </c>
      <c r="G193" s="349" t="s">
        <v>535</v>
      </c>
      <c r="H193">
        <v>1</v>
      </c>
      <c r="I193">
        <v>250</v>
      </c>
      <c r="J193">
        <v>3.0000000000000001E-3</v>
      </c>
    </row>
    <row r="194" spans="1:10">
      <c r="A194" t="s">
        <v>475</v>
      </c>
      <c r="B194" t="s">
        <v>477</v>
      </c>
      <c r="C194" s="342">
        <v>413</v>
      </c>
      <c r="D194" s="344">
        <v>7.0000000000000001E-3</v>
      </c>
      <c r="G194" s="350">
        <v>250</v>
      </c>
      <c r="H194">
        <v>1</v>
      </c>
      <c r="I194">
        <v>250</v>
      </c>
      <c r="J194">
        <v>3.0000000000000001E-3</v>
      </c>
    </row>
    <row r="195" spans="1:10">
      <c r="A195" t="s">
        <v>475</v>
      </c>
      <c r="B195" t="s">
        <v>477</v>
      </c>
      <c r="C195" s="343">
        <v>413</v>
      </c>
      <c r="D195" s="345">
        <v>7.0000000000000001E-3</v>
      </c>
      <c r="G195" s="349" t="s">
        <v>536</v>
      </c>
      <c r="H195">
        <v>8</v>
      </c>
      <c r="I195">
        <v>1752</v>
      </c>
      <c r="J195">
        <v>3.2000000000000001E-2</v>
      </c>
    </row>
    <row r="196" spans="1:10">
      <c r="A196" t="s">
        <v>475</v>
      </c>
      <c r="B196" t="s">
        <v>477</v>
      </c>
      <c r="C196" s="342">
        <v>413</v>
      </c>
      <c r="D196" s="344">
        <v>7.0000000000000001E-3</v>
      </c>
      <c r="G196" s="350">
        <v>219</v>
      </c>
      <c r="H196">
        <v>8</v>
      </c>
      <c r="I196">
        <v>1752</v>
      </c>
      <c r="J196">
        <v>3.2000000000000001E-2</v>
      </c>
    </row>
    <row r="197" spans="1:10">
      <c r="A197" t="s">
        <v>475</v>
      </c>
      <c r="B197" t="s">
        <v>477</v>
      </c>
      <c r="C197" s="343">
        <v>413</v>
      </c>
      <c r="D197" s="345">
        <v>7.0000000000000001E-3</v>
      </c>
      <c r="G197" s="349" t="s">
        <v>537</v>
      </c>
      <c r="H197">
        <v>4</v>
      </c>
      <c r="I197">
        <v>944</v>
      </c>
      <c r="J197">
        <v>1.6E-2</v>
      </c>
    </row>
    <row r="198" spans="1:10">
      <c r="A198" t="s">
        <v>475</v>
      </c>
      <c r="B198" t="s">
        <v>477</v>
      </c>
      <c r="C198" s="342">
        <v>413</v>
      </c>
      <c r="D198" s="344">
        <v>7.0000000000000001E-3</v>
      </c>
      <c r="G198" s="350">
        <v>236</v>
      </c>
      <c r="H198">
        <v>4</v>
      </c>
      <c r="I198">
        <v>944</v>
      </c>
      <c r="J198">
        <v>1.6E-2</v>
      </c>
    </row>
    <row r="199" spans="1:10">
      <c r="A199" t="s">
        <v>475</v>
      </c>
      <c r="B199" t="s">
        <v>477</v>
      </c>
      <c r="C199" s="343">
        <v>413</v>
      </c>
      <c r="D199" s="345">
        <v>7.0000000000000001E-3</v>
      </c>
      <c r="G199" s="349" t="s">
        <v>478</v>
      </c>
      <c r="H199">
        <v>7</v>
      </c>
      <c r="I199">
        <v>1855</v>
      </c>
      <c r="J199">
        <v>4.1999999999999996E-2</v>
      </c>
    </row>
    <row r="200" spans="1:10">
      <c r="A200" t="s">
        <v>475</v>
      </c>
      <c r="B200" t="s">
        <v>477</v>
      </c>
      <c r="C200" s="342">
        <v>413</v>
      </c>
      <c r="D200" s="344">
        <v>7.0000000000000001E-3</v>
      </c>
      <c r="G200" s="350">
        <v>265</v>
      </c>
      <c r="H200">
        <v>7</v>
      </c>
      <c r="I200">
        <v>1855</v>
      </c>
      <c r="J200">
        <v>4.1999999999999996E-2</v>
      </c>
    </row>
    <row r="201" spans="1:10">
      <c r="A201" t="s">
        <v>475</v>
      </c>
      <c r="B201" t="s">
        <v>477</v>
      </c>
      <c r="C201" s="343">
        <v>413</v>
      </c>
      <c r="D201" s="345">
        <v>7.0000000000000001E-3</v>
      </c>
      <c r="G201" s="349" t="s">
        <v>538</v>
      </c>
      <c r="H201">
        <v>4</v>
      </c>
      <c r="I201">
        <v>916</v>
      </c>
      <c r="J201">
        <v>1.6E-2</v>
      </c>
    </row>
    <row r="202" spans="1:10">
      <c r="A202" t="s">
        <v>475</v>
      </c>
      <c r="B202" t="s">
        <v>477</v>
      </c>
      <c r="C202" s="342">
        <v>413</v>
      </c>
      <c r="D202" s="344">
        <v>7.0000000000000001E-3</v>
      </c>
      <c r="G202" s="350">
        <v>229</v>
      </c>
      <c r="H202">
        <v>4</v>
      </c>
      <c r="I202">
        <v>916</v>
      </c>
      <c r="J202">
        <v>1.6E-2</v>
      </c>
    </row>
    <row r="203" spans="1:10">
      <c r="A203" t="s">
        <v>475</v>
      </c>
      <c r="B203" t="s">
        <v>477</v>
      </c>
      <c r="C203" s="343">
        <v>413</v>
      </c>
      <c r="D203" s="345">
        <v>7.0000000000000001E-3</v>
      </c>
      <c r="G203" s="349" t="s">
        <v>539</v>
      </c>
      <c r="H203">
        <v>4</v>
      </c>
      <c r="I203">
        <v>1068</v>
      </c>
      <c r="J203">
        <v>0.02</v>
      </c>
    </row>
    <row r="204" spans="1:10">
      <c r="A204" t="s">
        <v>475</v>
      </c>
      <c r="B204" t="s">
        <v>477</v>
      </c>
      <c r="C204" s="342">
        <v>413</v>
      </c>
      <c r="D204" s="344">
        <v>7.0000000000000001E-3</v>
      </c>
      <c r="G204" s="350">
        <v>267</v>
      </c>
      <c r="H204">
        <v>4</v>
      </c>
      <c r="I204">
        <v>1068</v>
      </c>
      <c r="J204">
        <v>0.02</v>
      </c>
    </row>
    <row r="205" spans="1:10">
      <c r="A205" t="s">
        <v>475</v>
      </c>
      <c r="B205" t="s">
        <v>477</v>
      </c>
      <c r="C205" s="343">
        <v>413</v>
      </c>
      <c r="D205" s="345">
        <v>7.0000000000000001E-3</v>
      </c>
      <c r="G205" s="349" t="s">
        <v>540</v>
      </c>
      <c r="H205">
        <v>8</v>
      </c>
      <c r="I205">
        <v>2004</v>
      </c>
      <c r="J205">
        <v>3.2000000000000001E-2</v>
      </c>
    </row>
    <row r="206" spans="1:10">
      <c r="A206" t="s">
        <v>475</v>
      </c>
      <c r="B206" t="s">
        <v>477</v>
      </c>
      <c r="C206" s="342">
        <v>413</v>
      </c>
      <c r="D206" s="344">
        <v>7.0000000000000001E-3</v>
      </c>
      <c r="G206" s="350">
        <v>244</v>
      </c>
      <c r="H206">
        <v>4</v>
      </c>
      <c r="I206">
        <v>976</v>
      </c>
      <c r="J206">
        <v>1.6E-2</v>
      </c>
    </row>
    <row r="207" spans="1:10">
      <c r="A207" t="s">
        <v>475</v>
      </c>
      <c r="B207" t="s">
        <v>480</v>
      </c>
      <c r="C207" s="343">
        <v>220</v>
      </c>
      <c r="D207" s="345">
        <v>1E-3</v>
      </c>
      <c r="G207" s="350">
        <v>257</v>
      </c>
      <c r="H207">
        <v>4</v>
      </c>
      <c r="I207">
        <v>1028</v>
      </c>
      <c r="J207">
        <v>1.6E-2</v>
      </c>
    </row>
    <row r="208" spans="1:10">
      <c r="A208" t="s">
        <v>475</v>
      </c>
      <c r="B208" t="s">
        <v>480</v>
      </c>
      <c r="C208" s="342">
        <v>220</v>
      </c>
      <c r="D208" s="344">
        <v>1E-3</v>
      </c>
      <c r="G208" s="349" t="s">
        <v>541</v>
      </c>
      <c r="H208">
        <v>4</v>
      </c>
      <c r="I208">
        <v>920</v>
      </c>
      <c r="J208">
        <v>0.02</v>
      </c>
    </row>
    <row r="209" spans="1:10">
      <c r="A209" t="s">
        <v>475</v>
      </c>
      <c r="B209" t="s">
        <v>480</v>
      </c>
      <c r="C209" s="343">
        <v>220</v>
      </c>
      <c r="D209" s="345">
        <v>1E-3</v>
      </c>
      <c r="G209" s="350">
        <v>230</v>
      </c>
      <c r="H209">
        <v>4</v>
      </c>
      <c r="I209">
        <v>920</v>
      </c>
      <c r="J209">
        <v>0.02</v>
      </c>
    </row>
    <row r="210" spans="1:10">
      <c r="A210" t="s">
        <v>475</v>
      </c>
      <c r="B210" t="s">
        <v>480</v>
      </c>
      <c r="C210" s="342">
        <v>220</v>
      </c>
      <c r="D210" s="344">
        <v>1E-3</v>
      </c>
      <c r="G210" s="349" t="s">
        <v>542</v>
      </c>
      <c r="H210">
        <v>4</v>
      </c>
      <c r="I210">
        <v>1120</v>
      </c>
      <c r="J210">
        <v>0.02</v>
      </c>
    </row>
    <row r="211" spans="1:10">
      <c r="A211" t="s">
        <v>475</v>
      </c>
      <c r="B211" t="s">
        <v>480</v>
      </c>
      <c r="C211" s="343">
        <v>220</v>
      </c>
      <c r="D211" s="345">
        <v>1E-3</v>
      </c>
      <c r="G211" s="350">
        <v>280</v>
      </c>
      <c r="H211">
        <v>4</v>
      </c>
      <c r="I211">
        <v>1120</v>
      </c>
      <c r="J211">
        <v>0.02</v>
      </c>
    </row>
    <row r="212" spans="1:10">
      <c r="A212" t="s">
        <v>475</v>
      </c>
      <c r="B212" t="s">
        <v>480</v>
      </c>
      <c r="C212" s="342">
        <v>220</v>
      </c>
      <c r="D212" s="344">
        <v>1E-3</v>
      </c>
      <c r="G212" s="349" t="s">
        <v>517</v>
      </c>
      <c r="H212">
        <v>92</v>
      </c>
      <c r="I212">
        <v>8280</v>
      </c>
      <c r="J212">
        <v>0</v>
      </c>
    </row>
    <row r="213" spans="1:10">
      <c r="A213" t="s">
        <v>475</v>
      </c>
      <c r="B213" t="s">
        <v>480</v>
      </c>
      <c r="C213" s="343">
        <v>220</v>
      </c>
      <c r="D213" s="345">
        <v>1E-3</v>
      </c>
      <c r="G213" s="350">
        <v>90</v>
      </c>
      <c r="H213">
        <v>92</v>
      </c>
      <c r="I213">
        <v>8280</v>
      </c>
      <c r="J213">
        <v>0</v>
      </c>
    </row>
    <row r="214" spans="1:10">
      <c r="A214" t="s">
        <v>475</v>
      </c>
      <c r="B214" t="s">
        <v>480</v>
      </c>
      <c r="C214" s="342">
        <v>220</v>
      </c>
      <c r="D214" s="344">
        <v>1E-3</v>
      </c>
      <c r="G214" s="349" t="s">
        <v>543</v>
      </c>
      <c r="H214">
        <v>38</v>
      </c>
      <c r="I214">
        <v>7898</v>
      </c>
      <c r="J214">
        <v>3.8000000000000027E-2</v>
      </c>
    </row>
    <row r="215" spans="1:10">
      <c r="A215" t="s">
        <v>475</v>
      </c>
      <c r="B215" t="s">
        <v>480</v>
      </c>
      <c r="C215" s="343">
        <v>220</v>
      </c>
      <c r="D215" s="345">
        <v>1E-3</v>
      </c>
      <c r="G215" s="350">
        <v>201</v>
      </c>
      <c r="H215">
        <v>12</v>
      </c>
      <c r="I215">
        <v>2412</v>
      </c>
      <c r="J215">
        <v>1.2000000000000004E-2</v>
      </c>
    </row>
    <row r="216" spans="1:10">
      <c r="A216" t="s">
        <v>475</v>
      </c>
      <c r="B216" t="s">
        <v>480</v>
      </c>
      <c r="C216" s="342">
        <v>220</v>
      </c>
      <c r="D216" s="344">
        <v>1E-3</v>
      </c>
      <c r="G216" s="350">
        <v>211</v>
      </c>
      <c r="H216">
        <v>26</v>
      </c>
      <c r="I216">
        <v>5486</v>
      </c>
      <c r="J216">
        <v>2.6000000000000016E-2</v>
      </c>
    </row>
    <row r="217" spans="1:10">
      <c r="A217" t="s">
        <v>475</v>
      </c>
      <c r="B217" t="s">
        <v>480</v>
      </c>
      <c r="C217" s="343">
        <v>220</v>
      </c>
      <c r="D217" s="345">
        <v>1E-3</v>
      </c>
      <c r="G217" s="349" t="s">
        <v>544</v>
      </c>
      <c r="H217">
        <v>38</v>
      </c>
      <c r="I217">
        <v>3800</v>
      </c>
      <c r="J217">
        <v>3.8000000000000027E-2</v>
      </c>
    </row>
    <row r="218" spans="1:10">
      <c r="A218" t="s">
        <v>475</v>
      </c>
      <c r="B218" t="s">
        <v>480</v>
      </c>
      <c r="C218" s="342">
        <v>220</v>
      </c>
      <c r="D218" s="344">
        <v>1E-3</v>
      </c>
      <c r="G218" s="350">
        <v>100</v>
      </c>
      <c r="H218">
        <v>38</v>
      </c>
      <c r="I218">
        <v>3800</v>
      </c>
      <c r="J218">
        <v>3.8000000000000027E-2</v>
      </c>
    </row>
    <row r="219" spans="1:10">
      <c r="A219" t="s">
        <v>475</v>
      </c>
      <c r="B219" t="s">
        <v>480</v>
      </c>
      <c r="C219" s="343">
        <v>220</v>
      </c>
      <c r="D219" s="345">
        <v>1E-3</v>
      </c>
      <c r="G219" s="349" t="s">
        <v>545</v>
      </c>
      <c r="H219">
        <v>2</v>
      </c>
      <c r="I219">
        <v>216</v>
      </c>
      <c r="J219">
        <v>0</v>
      </c>
    </row>
    <row r="220" spans="1:10">
      <c r="A220" t="s">
        <v>475</v>
      </c>
      <c r="B220" t="s">
        <v>476</v>
      </c>
      <c r="C220" s="342">
        <v>373</v>
      </c>
      <c r="D220" s="344">
        <v>2E-3</v>
      </c>
      <c r="G220" s="350">
        <v>108</v>
      </c>
      <c r="H220">
        <v>2</v>
      </c>
      <c r="I220">
        <v>216</v>
      </c>
      <c r="J220">
        <v>0</v>
      </c>
    </row>
    <row r="221" spans="1:10">
      <c r="A221" t="s">
        <v>475</v>
      </c>
      <c r="B221" t="s">
        <v>476</v>
      </c>
      <c r="C221" s="343">
        <v>373</v>
      </c>
      <c r="D221" s="345">
        <v>2E-3</v>
      </c>
      <c r="G221" s="349" t="s">
        <v>546</v>
      </c>
      <c r="H221">
        <v>19</v>
      </c>
      <c r="I221">
        <v>1900</v>
      </c>
      <c r="J221">
        <v>1.6000000000000007E-2</v>
      </c>
    </row>
    <row r="222" spans="1:10">
      <c r="A222" t="s">
        <v>475</v>
      </c>
      <c r="B222" t="s">
        <v>476</v>
      </c>
      <c r="C222" s="342">
        <v>373</v>
      </c>
      <c r="D222" s="344">
        <v>2E-3</v>
      </c>
      <c r="G222" s="350">
        <v>100</v>
      </c>
      <c r="H222">
        <v>19</v>
      </c>
      <c r="I222">
        <v>1900</v>
      </c>
      <c r="J222">
        <v>1.6000000000000007E-2</v>
      </c>
    </row>
    <row r="223" spans="1:10">
      <c r="A223" t="s">
        <v>475</v>
      </c>
      <c r="B223" t="s">
        <v>476</v>
      </c>
      <c r="C223" s="343">
        <v>373</v>
      </c>
      <c r="D223" s="345">
        <v>2E-3</v>
      </c>
      <c r="G223" s="349" t="s">
        <v>547</v>
      </c>
      <c r="H223">
        <v>2</v>
      </c>
      <c r="I223">
        <v>236</v>
      </c>
      <c r="J223">
        <v>0</v>
      </c>
    </row>
    <row r="224" spans="1:10">
      <c r="A224" t="s">
        <v>475</v>
      </c>
      <c r="B224" t="s">
        <v>476</v>
      </c>
      <c r="C224" s="342">
        <v>373</v>
      </c>
      <c r="D224" s="344">
        <v>2E-3</v>
      </c>
      <c r="G224" s="350">
        <v>118</v>
      </c>
      <c r="H224">
        <v>2</v>
      </c>
      <c r="I224">
        <v>236</v>
      </c>
      <c r="J224">
        <v>0</v>
      </c>
    </row>
    <row r="225" spans="1:10">
      <c r="A225" t="s">
        <v>475</v>
      </c>
      <c r="B225" t="s">
        <v>476</v>
      </c>
      <c r="C225" s="343">
        <v>373</v>
      </c>
      <c r="D225" s="345">
        <v>2E-3</v>
      </c>
      <c r="G225" s="349" t="s">
        <v>548</v>
      </c>
      <c r="H225">
        <v>24</v>
      </c>
      <c r="I225">
        <v>8160</v>
      </c>
      <c r="J225">
        <v>0.19200000000000012</v>
      </c>
    </row>
    <row r="226" spans="1:10">
      <c r="A226" t="s">
        <v>475</v>
      </c>
      <c r="B226" t="s">
        <v>476</v>
      </c>
      <c r="C226" s="342">
        <v>373</v>
      </c>
      <c r="D226" s="344">
        <v>2E-3</v>
      </c>
      <c r="G226" s="350">
        <v>340</v>
      </c>
      <c r="H226">
        <v>24</v>
      </c>
      <c r="I226">
        <v>8160</v>
      </c>
      <c r="J226">
        <v>0.19200000000000012</v>
      </c>
    </row>
    <row r="227" spans="1:10">
      <c r="A227" t="s">
        <v>475</v>
      </c>
      <c r="B227" t="s">
        <v>476</v>
      </c>
      <c r="C227" s="343">
        <v>373</v>
      </c>
      <c r="D227" s="345">
        <v>2E-3</v>
      </c>
      <c r="G227" s="349" t="s">
        <v>532</v>
      </c>
      <c r="H227">
        <v>1</v>
      </c>
      <c r="I227">
        <v>146</v>
      </c>
      <c r="J227">
        <v>2E-3</v>
      </c>
    </row>
    <row r="228" spans="1:10">
      <c r="A228" t="s">
        <v>475</v>
      </c>
      <c r="B228" t="s">
        <v>477</v>
      </c>
      <c r="C228" s="342">
        <v>211</v>
      </c>
      <c r="D228" s="344">
        <v>3.0000000000000001E-3</v>
      </c>
      <c r="G228" s="350">
        <v>146</v>
      </c>
      <c r="H228">
        <v>1</v>
      </c>
      <c r="I228">
        <v>146</v>
      </c>
      <c r="J228">
        <v>2E-3</v>
      </c>
    </row>
    <row r="229" spans="1:10">
      <c r="A229" t="s">
        <v>475</v>
      </c>
      <c r="B229" t="s">
        <v>477</v>
      </c>
      <c r="C229" s="343">
        <v>211</v>
      </c>
      <c r="D229" s="345">
        <v>3.0000000000000001E-3</v>
      </c>
      <c r="G229" s="349" t="s">
        <v>549</v>
      </c>
      <c r="H229">
        <v>4</v>
      </c>
      <c r="I229">
        <v>1100</v>
      </c>
      <c r="J229">
        <v>1.6E-2</v>
      </c>
    </row>
    <row r="230" spans="1:10">
      <c r="A230" t="s">
        <v>475</v>
      </c>
      <c r="B230" t="s">
        <v>477</v>
      </c>
      <c r="C230" s="342">
        <v>211</v>
      </c>
      <c r="D230" s="344">
        <v>3.0000000000000001E-3</v>
      </c>
      <c r="G230" s="350">
        <v>275</v>
      </c>
      <c r="H230">
        <v>4</v>
      </c>
      <c r="I230">
        <v>1100</v>
      </c>
      <c r="J230">
        <v>1.6E-2</v>
      </c>
    </row>
    <row r="231" spans="1:10">
      <c r="A231" t="s">
        <v>475</v>
      </c>
      <c r="B231" t="s">
        <v>477</v>
      </c>
      <c r="C231" s="343">
        <v>211</v>
      </c>
      <c r="D231" s="345">
        <v>3.0000000000000001E-3</v>
      </c>
      <c r="G231" s="349" t="s">
        <v>550</v>
      </c>
      <c r="H231">
        <v>4</v>
      </c>
      <c r="I231">
        <v>844</v>
      </c>
      <c r="J231">
        <v>1.6E-2</v>
      </c>
    </row>
    <row r="232" spans="1:10">
      <c r="A232" t="s">
        <v>475</v>
      </c>
      <c r="B232" t="s">
        <v>477</v>
      </c>
      <c r="C232" s="342">
        <v>211</v>
      </c>
      <c r="D232" s="344">
        <v>3.0000000000000001E-3</v>
      </c>
      <c r="G232" s="350">
        <v>211</v>
      </c>
      <c r="H232">
        <v>4</v>
      </c>
      <c r="I232">
        <v>844</v>
      </c>
      <c r="J232">
        <v>1.6E-2</v>
      </c>
    </row>
    <row r="233" spans="1:10">
      <c r="A233" t="s">
        <v>475</v>
      </c>
      <c r="B233" t="s">
        <v>477</v>
      </c>
      <c r="C233" s="343">
        <v>211</v>
      </c>
      <c r="D233" s="345">
        <v>3.0000000000000001E-3</v>
      </c>
      <c r="G233" s="349" t="s">
        <v>551</v>
      </c>
      <c r="H233">
        <v>4</v>
      </c>
      <c r="I233">
        <v>844</v>
      </c>
      <c r="J233">
        <v>1.6E-2</v>
      </c>
    </row>
    <row r="234" spans="1:10">
      <c r="A234" t="s">
        <v>475</v>
      </c>
      <c r="B234" t="s">
        <v>477</v>
      </c>
      <c r="C234" s="342">
        <v>211</v>
      </c>
      <c r="D234" s="344">
        <v>3.0000000000000001E-3</v>
      </c>
      <c r="G234" s="350">
        <v>211</v>
      </c>
      <c r="H234">
        <v>4</v>
      </c>
      <c r="I234">
        <v>844</v>
      </c>
      <c r="J234">
        <v>1.6E-2</v>
      </c>
    </row>
    <row r="235" spans="1:10">
      <c r="A235" t="s">
        <v>475</v>
      </c>
      <c r="B235" t="s">
        <v>477</v>
      </c>
      <c r="C235" s="343">
        <v>211</v>
      </c>
      <c r="D235" s="345">
        <v>3.0000000000000001E-3</v>
      </c>
      <c r="G235" s="349" t="s">
        <v>552</v>
      </c>
      <c r="H235">
        <v>1</v>
      </c>
      <c r="I235">
        <v>380</v>
      </c>
      <c r="J235">
        <v>0.01</v>
      </c>
    </row>
    <row r="236" spans="1:10">
      <c r="A236" t="s">
        <v>475</v>
      </c>
      <c r="B236" t="s">
        <v>477</v>
      </c>
      <c r="C236" s="342">
        <v>211</v>
      </c>
      <c r="D236" s="344">
        <v>3.0000000000000001E-3</v>
      </c>
      <c r="G236" s="350">
        <v>380</v>
      </c>
      <c r="H236">
        <v>1</v>
      </c>
      <c r="I236">
        <v>380</v>
      </c>
      <c r="J236">
        <v>0.01</v>
      </c>
    </row>
    <row r="237" spans="1:10">
      <c r="A237" t="s">
        <v>475</v>
      </c>
      <c r="B237" t="s">
        <v>477</v>
      </c>
      <c r="C237" s="343">
        <v>211</v>
      </c>
      <c r="D237" s="345">
        <v>3.0000000000000001E-3</v>
      </c>
      <c r="G237" s="349" t="s">
        <v>553</v>
      </c>
      <c r="H237">
        <v>65</v>
      </c>
      <c r="I237">
        <v>14950</v>
      </c>
      <c r="J237">
        <v>6.5000000000000044E-2</v>
      </c>
    </row>
    <row r="238" spans="1:10">
      <c r="A238" t="s">
        <v>475</v>
      </c>
      <c r="B238" t="s">
        <v>477</v>
      </c>
      <c r="C238" s="342">
        <v>211</v>
      </c>
      <c r="D238" s="344">
        <v>3.0000000000000001E-3</v>
      </c>
      <c r="G238" s="350">
        <v>230</v>
      </c>
      <c r="H238">
        <v>65</v>
      </c>
      <c r="I238">
        <v>14950</v>
      </c>
      <c r="J238">
        <v>6.5000000000000044E-2</v>
      </c>
    </row>
    <row r="239" spans="1:10">
      <c r="A239" t="s">
        <v>475</v>
      </c>
      <c r="B239" t="s">
        <v>477</v>
      </c>
      <c r="C239" s="343">
        <v>211</v>
      </c>
      <c r="D239" s="345">
        <v>3.0000000000000001E-3</v>
      </c>
      <c r="G239" s="348" t="s">
        <v>554</v>
      </c>
      <c r="H239">
        <v>180</v>
      </c>
      <c r="I239">
        <v>516637</v>
      </c>
      <c r="J239">
        <v>8.8690000000000033</v>
      </c>
    </row>
    <row r="240" spans="1:10">
      <c r="A240" t="s">
        <v>475</v>
      </c>
      <c r="B240" t="s">
        <v>477</v>
      </c>
      <c r="C240" s="342">
        <v>211</v>
      </c>
      <c r="D240" s="344">
        <v>3.0000000000000001E-3</v>
      </c>
      <c r="G240" s="352" t="s">
        <v>555</v>
      </c>
      <c r="H240" s="35">
        <v>174</v>
      </c>
      <c r="I240" s="35">
        <v>497814</v>
      </c>
      <c r="J240">
        <v>8.4260000000000019</v>
      </c>
    </row>
    <row r="241" spans="1:18">
      <c r="A241" t="s">
        <v>475</v>
      </c>
      <c r="B241" t="s">
        <v>477</v>
      </c>
      <c r="C241" s="343">
        <v>211</v>
      </c>
      <c r="D241" s="345">
        <v>3.0000000000000001E-3</v>
      </c>
      <c r="G241" s="353">
        <v>1095</v>
      </c>
      <c r="H241" s="35">
        <v>1</v>
      </c>
      <c r="I241" s="35">
        <v>1095</v>
      </c>
      <c r="J241">
        <v>1.9E-2</v>
      </c>
      <c r="L241" s="350">
        <v>1095</v>
      </c>
      <c r="M241">
        <v>1</v>
      </c>
      <c r="N241">
        <v>1095</v>
      </c>
      <c r="P241" s="350">
        <v>3149</v>
      </c>
      <c r="Q241">
        <v>1</v>
      </c>
      <c r="R241">
        <v>3149</v>
      </c>
    </row>
    <row r="242" spans="1:18">
      <c r="A242" t="s">
        <v>475</v>
      </c>
      <c r="B242" t="s">
        <v>477</v>
      </c>
      <c r="C242" s="342">
        <v>211</v>
      </c>
      <c r="D242" s="344">
        <v>3.0000000000000001E-3</v>
      </c>
      <c r="G242" s="353">
        <v>1100</v>
      </c>
      <c r="H242" s="35">
        <v>4</v>
      </c>
      <c r="I242" s="35">
        <v>4400</v>
      </c>
      <c r="J242">
        <v>7.5999999999999998E-2</v>
      </c>
      <c r="L242" s="350">
        <v>1100</v>
      </c>
      <c r="M242">
        <v>4</v>
      </c>
      <c r="N242">
        <v>4400</v>
      </c>
      <c r="P242" s="350">
        <v>3185</v>
      </c>
      <c r="Q242">
        <v>3</v>
      </c>
      <c r="R242">
        <v>9555</v>
      </c>
    </row>
    <row r="243" spans="1:18">
      <c r="A243" t="s">
        <v>475</v>
      </c>
      <c r="B243" t="s">
        <v>477</v>
      </c>
      <c r="C243" s="343">
        <v>211</v>
      </c>
      <c r="D243" s="345">
        <v>3.0000000000000001E-3</v>
      </c>
      <c r="G243" s="353">
        <v>1170</v>
      </c>
      <c r="H243" s="35">
        <v>42</v>
      </c>
      <c r="I243" s="35">
        <v>49140</v>
      </c>
      <c r="J243">
        <v>0.84000000000000041</v>
      </c>
      <c r="L243" s="350">
        <v>1170</v>
      </c>
      <c r="M243">
        <v>42</v>
      </c>
      <c r="N243">
        <v>49140</v>
      </c>
      <c r="P243" s="350">
        <v>3194</v>
      </c>
      <c r="Q243">
        <v>2</v>
      </c>
      <c r="R243">
        <v>6388</v>
      </c>
    </row>
    <row r="244" spans="1:18">
      <c r="A244" t="s">
        <v>475</v>
      </c>
      <c r="B244" t="s">
        <v>477</v>
      </c>
      <c r="C244" s="342">
        <v>211</v>
      </c>
      <c r="D244" s="344">
        <v>3.0000000000000001E-3</v>
      </c>
      <c r="G244" s="353">
        <v>1190</v>
      </c>
      <c r="H244" s="35">
        <v>4</v>
      </c>
      <c r="I244" s="35">
        <v>4760</v>
      </c>
      <c r="J244">
        <v>0.08</v>
      </c>
      <c r="L244" s="350">
        <v>1190</v>
      </c>
      <c r="M244">
        <v>4</v>
      </c>
      <c r="N244">
        <v>4760</v>
      </c>
      <c r="P244" s="350">
        <v>3450</v>
      </c>
      <c r="Q244">
        <v>2</v>
      </c>
      <c r="R244">
        <v>6900</v>
      </c>
    </row>
    <row r="245" spans="1:18">
      <c r="A245" t="s">
        <v>475</v>
      </c>
      <c r="B245" t="s">
        <v>477</v>
      </c>
      <c r="C245" s="343">
        <v>211</v>
      </c>
      <c r="D245" s="345">
        <v>3.0000000000000001E-3</v>
      </c>
      <c r="G245" s="353">
        <v>1200</v>
      </c>
      <c r="H245" s="35">
        <v>12</v>
      </c>
      <c r="I245" s="35">
        <v>14400</v>
      </c>
      <c r="J245">
        <v>0.23999999999999996</v>
      </c>
      <c r="L245" s="350">
        <v>1200</v>
      </c>
      <c r="M245">
        <v>12</v>
      </c>
      <c r="N245">
        <v>14400</v>
      </c>
      <c r="P245" s="350">
        <v>3455</v>
      </c>
      <c r="Q245">
        <v>1</v>
      </c>
      <c r="R245">
        <v>3455</v>
      </c>
    </row>
    <row r="246" spans="1:18">
      <c r="A246" t="s">
        <v>475</v>
      </c>
      <c r="B246" t="s">
        <v>477</v>
      </c>
      <c r="C246" s="342">
        <v>315</v>
      </c>
      <c r="D246" s="344">
        <v>5.0000000000000001E-3</v>
      </c>
      <c r="G246" s="353">
        <v>1900</v>
      </c>
      <c r="H246" s="35">
        <v>1</v>
      </c>
      <c r="I246" s="35">
        <v>1900</v>
      </c>
      <c r="J246">
        <v>3.2000000000000001E-2</v>
      </c>
      <c r="L246" s="350">
        <v>1900</v>
      </c>
      <c r="M246">
        <v>1</v>
      </c>
      <c r="N246">
        <v>1900</v>
      </c>
      <c r="P246" s="350">
        <v>3480</v>
      </c>
      <c r="Q246">
        <v>1</v>
      </c>
      <c r="R246">
        <v>3480</v>
      </c>
    </row>
    <row r="247" spans="1:18">
      <c r="A247" t="s">
        <v>475</v>
      </c>
      <c r="B247" t="s">
        <v>477</v>
      </c>
      <c r="C247" s="343">
        <v>315</v>
      </c>
      <c r="D247" s="345">
        <v>5.0000000000000001E-3</v>
      </c>
      <c r="G247" s="353">
        <v>1960</v>
      </c>
      <c r="H247" s="35">
        <v>2</v>
      </c>
      <c r="I247" s="35">
        <v>3920</v>
      </c>
      <c r="J247">
        <v>6.6000000000000003E-2</v>
      </c>
      <c r="L247" s="350">
        <v>1960</v>
      </c>
      <c r="M247">
        <v>2</v>
      </c>
      <c r="N247">
        <v>3920</v>
      </c>
      <c r="P247" s="350">
        <v>3515</v>
      </c>
      <c r="Q247">
        <v>3</v>
      </c>
      <c r="R247">
        <v>10545</v>
      </c>
    </row>
    <row r="248" spans="1:18">
      <c r="A248" t="s">
        <v>475</v>
      </c>
      <c r="B248" t="s">
        <v>477</v>
      </c>
      <c r="C248" s="342">
        <v>315</v>
      </c>
      <c r="D248" s="344">
        <v>5.0000000000000001E-3</v>
      </c>
      <c r="G248" s="353">
        <v>2090</v>
      </c>
      <c r="H248" s="35">
        <v>3</v>
      </c>
      <c r="I248" s="35">
        <v>6270</v>
      </c>
      <c r="J248">
        <v>0.10500000000000001</v>
      </c>
      <c r="L248" s="350">
        <v>2090</v>
      </c>
      <c r="M248">
        <v>3</v>
      </c>
      <c r="N248">
        <v>6270</v>
      </c>
      <c r="P248" s="350">
        <v>4645</v>
      </c>
      <c r="Q248">
        <v>4</v>
      </c>
      <c r="R248">
        <v>18580</v>
      </c>
    </row>
    <row r="249" spans="1:18">
      <c r="A249" t="s">
        <v>475</v>
      </c>
      <c r="B249" t="s">
        <v>477</v>
      </c>
      <c r="C249" s="343">
        <v>315</v>
      </c>
      <c r="D249" s="345">
        <v>5.0000000000000001E-3</v>
      </c>
      <c r="G249" s="353">
        <v>2120</v>
      </c>
      <c r="H249" s="35">
        <v>7</v>
      </c>
      <c r="I249" s="35">
        <v>14840</v>
      </c>
      <c r="J249">
        <v>0.252</v>
      </c>
      <c r="L249" s="350">
        <v>2120</v>
      </c>
      <c r="M249">
        <v>7</v>
      </c>
      <c r="N249">
        <v>14840</v>
      </c>
      <c r="P249" s="350">
        <v>4655</v>
      </c>
      <c r="Q249">
        <v>12</v>
      </c>
      <c r="R249">
        <v>55860</v>
      </c>
    </row>
    <row r="250" spans="1:18">
      <c r="A250" t="s">
        <v>475</v>
      </c>
      <c r="B250" t="s">
        <v>477</v>
      </c>
      <c r="C250" s="342">
        <v>315</v>
      </c>
      <c r="D250" s="344">
        <v>5.0000000000000001E-3</v>
      </c>
      <c r="G250" s="353">
        <v>2200</v>
      </c>
      <c r="H250" s="35">
        <v>3</v>
      </c>
      <c r="I250" s="35">
        <v>6600</v>
      </c>
      <c r="J250">
        <v>0.11099999999999999</v>
      </c>
      <c r="L250" s="350">
        <v>2200</v>
      </c>
      <c r="M250">
        <v>3</v>
      </c>
      <c r="N250">
        <v>6600</v>
      </c>
      <c r="P250" s="350">
        <v>4670</v>
      </c>
      <c r="Q250">
        <v>15</v>
      </c>
      <c r="R250">
        <v>70050</v>
      </c>
    </row>
    <row r="251" spans="1:18">
      <c r="A251" t="s">
        <v>475</v>
      </c>
      <c r="B251" t="s">
        <v>477</v>
      </c>
      <c r="C251" s="343">
        <v>315</v>
      </c>
      <c r="D251" s="345">
        <v>5.0000000000000001E-3</v>
      </c>
      <c r="G251" s="353">
        <v>2245</v>
      </c>
      <c r="H251" s="35">
        <v>1</v>
      </c>
      <c r="I251" s="35">
        <v>2245</v>
      </c>
      <c r="J251">
        <v>3.7999999999999999E-2</v>
      </c>
      <c r="L251" s="350">
        <v>2245</v>
      </c>
      <c r="M251">
        <v>1</v>
      </c>
      <c r="N251">
        <v>2245</v>
      </c>
      <c r="P251" s="350">
        <v>4730</v>
      </c>
      <c r="Q251">
        <v>8</v>
      </c>
      <c r="R251">
        <v>37840</v>
      </c>
    </row>
    <row r="252" spans="1:18">
      <c r="A252" t="s">
        <v>475</v>
      </c>
      <c r="B252" t="s">
        <v>477</v>
      </c>
      <c r="C252" s="342">
        <v>315</v>
      </c>
      <c r="D252" s="344">
        <v>5.0000000000000001E-3</v>
      </c>
      <c r="G252" s="353">
        <v>2325</v>
      </c>
      <c r="H252" s="35">
        <v>1</v>
      </c>
      <c r="I252" s="35">
        <v>2325</v>
      </c>
      <c r="J252">
        <v>3.9E-2</v>
      </c>
      <c r="L252" s="350">
        <v>2325</v>
      </c>
      <c r="M252">
        <v>1</v>
      </c>
      <c r="N252">
        <v>2325</v>
      </c>
      <c r="P252" s="350">
        <v>4790</v>
      </c>
      <c r="Q252">
        <v>14</v>
      </c>
      <c r="R252">
        <v>67060</v>
      </c>
    </row>
    <row r="253" spans="1:18">
      <c r="A253" t="s">
        <v>475</v>
      </c>
      <c r="B253" t="s">
        <v>479</v>
      </c>
      <c r="C253" s="343">
        <v>580</v>
      </c>
      <c r="D253" s="345">
        <v>3.4000000000000002E-2</v>
      </c>
      <c r="G253" s="353">
        <v>2335</v>
      </c>
      <c r="H253" s="35">
        <v>9</v>
      </c>
      <c r="I253" s="35">
        <v>21015</v>
      </c>
      <c r="J253">
        <v>0.35099999999999998</v>
      </c>
      <c r="L253" s="350">
        <v>2335</v>
      </c>
      <c r="M253">
        <v>9</v>
      </c>
      <c r="N253">
        <v>21015</v>
      </c>
      <c r="P253" s="350">
        <v>4960</v>
      </c>
      <c r="Q253">
        <v>1</v>
      </c>
      <c r="R253">
        <v>4960</v>
      </c>
    </row>
    <row r="254" spans="1:18">
      <c r="A254" t="s">
        <v>475</v>
      </c>
      <c r="B254" t="s">
        <v>479</v>
      </c>
      <c r="C254" s="342">
        <v>580</v>
      </c>
      <c r="D254" s="344">
        <v>3.4000000000000002E-2</v>
      </c>
      <c r="G254" s="353">
        <v>2340</v>
      </c>
      <c r="H254" s="35">
        <v>1</v>
      </c>
      <c r="I254" s="35">
        <v>2340</v>
      </c>
      <c r="J254">
        <v>0.04</v>
      </c>
      <c r="L254" s="350">
        <v>2340</v>
      </c>
      <c r="M254">
        <v>1</v>
      </c>
      <c r="N254">
        <v>2340</v>
      </c>
      <c r="P254" s="350">
        <v>5470</v>
      </c>
      <c r="Q254">
        <v>2</v>
      </c>
      <c r="R254">
        <v>10940</v>
      </c>
    </row>
    <row r="255" spans="1:18">
      <c r="A255" t="s">
        <v>475</v>
      </c>
      <c r="B255" t="s">
        <v>479</v>
      </c>
      <c r="C255" s="343">
        <v>580</v>
      </c>
      <c r="D255" s="345">
        <v>3.4000000000000002E-2</v>
      </c>
      <c r="G255" s="353">
        <v>2345</v>
      </c>
      <c r="H255" s="35">
        <v>1</v>
      </c>
      <c r="I255" s="35">
        <v>2345</v>
      </c>
      <c r="J255">
        <v>0.04</v>
      </c>
      <c r="L255" s="350">
        <v>2345</v>
      </c>
      <c r="M255">
        <v>1</v>
      </c>
      <c r="N255">
        <v>2345</v>
      </c>
      <c r="P255" s="350">
        <f>21060/4</f>
        <v>5265</v>
      </c>
      <c r="Q255">
        <v>4</v>
      </c>
      <c r="R255">
        <v>21060</v>
      </c>
    </row>
    <row r="256" spans="1:18">
      <c r="A256" t="s">
        <v>475</v>
      </c>
      <c r="B256" t="s">
        <v>479</v>
      </c>
      <c r="C256" s="342">
        <v>580</v>
      </c>
      <c r="D256" s="344">
        <v>3.4000000000000002E-2</v>
      </c>
      <c r="G256" s="353">
        <v>2350</v>
      </c>
      <c r="H256" s="35">
        <v>4</v>
      </c>
      <c r="I256" s="35">
        <v>9400</v>
      </c>
      <c r="J256">
        <v>0.16</v>
      </c>
      <c r="L256" s="350">
        <v>2350</v>
      </c>
      <c r="M256">
        <v>4</v>
      </c>
      <c r="N256">
        <v>9400</v>
      </c>
      <c r="Q256">
        <f>SUM(Q241:Q255)</f>
        <v>73</v>
      </c>
      <c r="R256">
        <f>SUM(R241:R255)</f>
        <v>329822</v>
      </c>
    </row>
    <row r="257" spans="1:18">
      <c r="A257" t="s">
        <v>475</v>
      </c>
      <c r="B257" t="s">
        <v>479</v>
      </c>
      <c r="C257" s="343">
        <v>580</v>
      </c>
      <c r="D257" s="345">
        <v>3.4000000000000002E-2</v>
      </c>
      <c r="G257" s="353">
        <v>2395</v>
      </c>
      <c r="H257" s="35">
        <v>2</v>
      </c>
      <c r="I257" s="35">
        <v>4790</v>
      </c>
      <c r="J257">
        <v>8.2000000000000003E-2</v>
      </c>
      <c r="L257" s="350">
        <v>2395</v>
      </c>
      <c r="M257">
        <v>2</v>
      </c>
      <c r="N257">
        <v>4790</v>
      </c>
      <c r="R257">
        <f>R256/Q256</f>
        <v>4518.1095890410961</v>
      </c>
    </row>
    <row r="258" spans="1:18">
      <c r="A258" t="s">
        <v>475</v>
      </c>
      <c r="B258" t="s">
        <v>479</v>
      </c>
      <c r="C258" s="342">
        <v>580</v>
      </c>
      <c r="D258" s="344">
        <v>3.4000000000000002E-2</v>
      </c>
      <c r="G258" s="353">
        <v>2590</v>
      </c>
      <c r="H258" s="35">
        <v>2</v>
      </c>
      <c r="I258" s="35">
        <v>5180</v>
      </c>
      <c r="J258">
        <v>8.7999999999999995E-2</v>
      </c>
      <c r="L258" s="350">
        <v>2590</v>
      </c>
      <c r="M258">
        <v>2</v>
      </c>
      <c r="N258">
        <v>5180</v>
      </c>
    </row>
    <row r="259" spans="1:18">
      <c r="A259" t="s">
        <v>475</v>
      </c>
      <c r="B259" t="s">
        <v>479</v>
      </c>
      <c r="C259" s="343">
        <v>580</v>
      </c>
      <c r="D259" s="345">
        <v>3.4000000000000002E-2</v>
      </c>
      <c r="G259" s="353">
        <v>2640</v>
      </c>
      <c r="H259" s="35">
        <v>1</v>
      </c>
      <c r="I259" s="35">
        <v>2640</v>
      </c>
      <c r="J259">
        <v>4.4999999999999998E-2</v>
      </c>
      <c r="L259" s="350">
        <v>2640</v>
      </c>
      <c r="M259">
        <v>1</v>
      </c>
      <c r="N259">
        <v>2640</v>
      </c>
    </row>
    <row r="260" spans="1:18">
      <c r="A260" t="s">
        <v>475</v>
      </c>
      <c r="B260" t="s">
        <v>479</v>
      </c>
      <c r="C260" s="342">
        <v>580</v>
      </c>
      <c r="D260" s="344">
        <v>3.4000000000000002E-2</v>
      </c>
      <c r="G260" s="353">
        <v>2725</v>
      </c>
      <c r="H260" s="35">
        <v>1</v>
      </c>
      <c r="I260" s="35">
        <v>2725</v>
      </c>
      <c r="J260">
        <v>4.5999999999999999E-2</v>
      </c>
      <c r="L260" s="350">
        <v>2725</v>
      </c>
      <c r="M260">
        <v>1</v>
      </c>
      <c r="N260">
        <v>2725</v>
      </c>
    </row>
    <row r="261" spans="1:18">
      <c r="A261" t="s">
        <v>475</v>
      </c>
      <c r="B261" t="s">
        <v>479</v>
      </c>
      <c r="C261" s="343">
        <v>580</v>
      </c>
      <c r="D261" s="345">
        <v>3.4000000000000002E-2</v>
      </c>
      <c r="G261" s="353">
        <v>2798</v>
      </c>
      <c r="H261" s="35">
        <v>1</v>
      </c>
      <c r="I261" s="35">
        <v>2798</v>
      </c>
      <c r="J261">
        <v>4.7E-2</v>
      </c>
      <c r="L261" s="350">
        <v>2798</v>
      </c>
      <c r="M261">
        <v>1</v>
      </c>
      <c r="N261">
        <v>2798</v>
      </c>
    </row>
    <row r="262" spans="1:18">
      <c r="A262" t="s">
        <v>475</v>
      </c>
      <c r="B262" t="s">
        <v>479</v>
      </c>
      <c r="C262" s="342">
        <v>580</v>
      </c>
      <c r="D262" s="344">
        <v>3.4000000000000002E-2</v>
      </c>
      <c r="G262" s="353">
        <v>2864</v>
      </c>
      <c r="H262" s="35">
        <v>1</v>
      </c>
      <c r="I262" s="35">
        <v>2864</v>
      </c>
      <c r="J262">
        <v>4.8000000000000001E-2</v>
      </c>
      <c r="L262" s="350">
        <v>2864</v>
      </c>
      <c r="M262">
        <v>1</v>
      </c>
      <c r="N262">
        <v>2864</v>
      </c>
    </row>
    <row r="263" spans="1:18">
      <c r="A263" t="s">
        <v>475</v>
      </c>
      <c r="B263" t="s">
        <v>479</v>
      </c>
      <c r="C263" s="343">
        <v>580</v>
      </c>
      <c r="D263" s="345">
        <v>3.4000000000000002E-2</v>
      </c>
      <c r="G263" s="353">
        <v>3149</v>
      </c>
      <c r="H263" s="35">
        <v>1</v>
      </c>
      <c r="I263" s="35">
        <v>3149</v>
      </c>
      <c r="J263">
        <v>5.2999999999999999E-2</v>
      </c>
      <c r="M263">
        <f>SUM(M241:M262)</f>
        <v>104</v>
      </c>
      <c r="N263">
        <f>SUM(N241:N262)</f>
        <v>167992</v>
      </c>
    </row>
    <row r="264" spans="1:18">
      <c r="A264" t="s">
        <v>475</v>
      </c>
      <c r="B264" t="s">
        <v>479</v>
      </c>
      <c r="C264" s="342">
        <v>580</v>
      </c>
      <c r="D264" s="344">
        <v>3.4000000000000002E-2</v>
      </c>
      <c r="G264" s="353">
        <v>3185</v>
      </c>
      <c r="H264" s="35">
        <v>3</v>
      </c>
      <c r="I264" s="35">
        <v>9555</v>
      </c>
      <c r="J264">
        <v>0.16200000000000001</v>
      </c>
      <c r="N264">
        <f>N263/M263</f>
        <v>1615.3076923076924</v>
      </c>
    </row>
    <row r="265" spans="1:18">
      <c r="A265" t="s">
        <v>475</v>
      </c>
      <c r="B265" t="s">
        <v>479</v>
      </c>
      <c r="C265" s="343">
        <v>580</v>
      </c>
      <c r="D265" s="345">
        <v>3.4000000000000002E-2</v>
      </c>
      <c r="G265" s="353">
        <v>3194</v>
      </c>
      <c r="H265" s="35">
        <v>2</v>
      </c>
      <c r="I265" s="35">
        <v>6388</v>
      </c>
      <c r="J265">
        <v>0.108</v>
      </c>
    </row>
    <row r="266" spans="1:18">
      <c r="A266" t="s">
        <v>475</v>
      </c>
      <c r="B266" t="s">
        <v>479</v>
      </c>
      <c r="C266" s="342">
        <v>580</v>
      </c>
      <c r="D266" s="344">
        <v>3.4000000000000002E-2</v>
      </c>
      <c r="G266" s="353">
        <v>3450</v>
      </c>
      <c r="H266" s="35">
        <v>2</v>
      </c>
      <c r="I266" s="35">
        <v>6900</v>
      </c>
      <c r="J266">
        <v>0.11600000000000001</v>
      </c>
    </row>
    <row r="267" spans="1:18">
      <c r="A267" t="s">
        <v>475</v>
      </c>
      <c r="B267" t="s">
        <v>479</v>
      </c>
      <c r="C267" s="343">
        <v>580</v>
      </c>
      <c r="D267" s="345">
        <v>3.4000000000000002E-2</v>
      </c>
      <c r="G267" s="353">
        <v>3455</v>
      </c>
      <c r="H267" s="35">
        <v>1</v>
      </c>
      <c r="I267" s="35">
        <v>3455</v>
      </c>
      <c r="J267">
        <v>5.8000000000000003E-2</v>
      </c>
    </row>
    <row r="268" spans="1:18">
      <c r="A268" t="s">
        <v>475</v>
      </c>
      <c r="B268" t="s">
        <v>479</v>
      </c>
      <c r="C268" s="342">
        <v>580</v>
      </c>
      <c r="D268" s="344">
        <v>3.4000000000000002E-2</v>
      </c>
      <c r="G268" s="353">
        <v>3480</v>
      </c>
      <c r="H268" s="35">
        <v>1</v>
      </c>
      <c r="I268" s="35">
        <v>3480</v>
      </c>
      <c r="J268">
        <v>5.8999999999999997E-2</v>
      </c>
    </row>
    <row r="269" spans="1:18">
      <c r="A269" t="s">
        <v>475</v>
      </c>
      <c r="B269" t="s">
        <v>478</v>
      </c>
      <c r="C269" s="343">
        <v>300</v>
      </c>
      <c r="D269" s="345">
        <v>7.0000000000000001E-3</v>
      </c>
      <c r="G269" s="353">
        <v>3515</v>
      </c>
      <c r="H269" s="35">
        <v>3</v>
      </c>
      <c r="I269" s="35">
        <v>10545</v>
      </c>
      <c r="J269">
        <v>0.17699999999999999</v>
      </c>
    </row>
    <row r="270" spans="1:18">
      <c r="A270" t="s">
        <v>475</v>
      </c>
      <c r="B270" t="s">
        <v>478</v>
      </c>
      <c r="C270" s="342">
        <v>300</v>
      </c>
      <c r="D270" s="344">
        <v>7.0000000000000001E-3</v>
      </c>
      <c r="G270" s="353">
        <v>4645</v>
      </c>
      <c r="H270" s="35">
        <v>4</v>
      </c>
      <c r="I270" s="35">
        <v>18580</v>
      </c>
      <c r="J270">
        <v>0.316</v>
      </c>
    </row>
    <row r="271" spans="1:18">
      <c r="A271" t="s">
        <v>475</v>
      </c>
      <c r="B271" t="s">
        <v>478</v>
      </c>
      <c r="C271" s="343">
        <v>300</v>
      </c>
      <c r="D271" s="345">
        <v>7.0000000000000001E-3</v>
      </c>
      <c r="G271" s="353">
        <v>4655</v>
      </c>
      <c r="H271" s="35">
        <v>12</v>
      </c>
      <c r="I271" s="35">
        <v>55860</v>
      </c>
      <c r="J271">
        <v>0.94799999999999984</v>
      </c>
    </row>
    <row r="272" spans="1:18">
      <c r="A272" t="s">
        <v>475</v>
      </c>
      <c r="B272" t="s">
        <v>478</v>
      </c>
      <c r="C272" s="342">
        <v>300</v>
      </c>
      <c r="D272" s="344">
        <v>7.0000000000000001E-3</v>
      </c>
      <c r="G272" s="353">
        <v>4670</v>
      </c>
      <c r="H272" s="35">
        <v>15</v>
      </c>
      <c r="I272" s="35">
        <v>70050</v>
      </c>
      <c r="J272">
        <v>1.1849999999999998</v>
      </c>
    </row>
    <row r="273" spans="1:12">
      <c r="A273" t="s">
        <v>475</v>
      </c>
      <c r="B273" t="s">
        <v>477</v>
      </c>
      <c r="C273" s="343">
        <v>1341</v>
      </c>
      <c r="D273" s="345">
        <v>2.1999999999999999E-2</v>
      </c>
      <c r="G273" s="353">
        <v>4730</v>
      </c>
      <c r="H273" s="35">
        <v>8</v>
      </c>
      <c r="I273" s="35">
        <v>37840</v>
      </c>
      <c r="J273">
        <v>0.64</v>
      </c>
    </row>
    <row r="274" spans="1:12">
      <c r="A274" t="s">
        <v>475</v>
      </c>
      <c r="B274" t="s">
        <v>477</v>
      </c>
      <c r="C274" s="342">
        <v>1341</v>
      </c>
      <c r="D274" s="344">
        <v>2.1999999999999999E-2</v>
      </c>
      <c r="G274" s="353">
        <v>4790</v>
      </c>
      <c r="H274" s="35">
        <v>14</v>
      </c>
      <c r="I274" s="35">
        <v>67060</v>
      </c>
      <c r="J274">
        <v>1.1339999999999999</v>
      </c>
    </row>
    <row r="275" spans="1:12">
      <c r="A275" t="s">
        <v>475</v>
      </c>
      <c r="B275" t="s">
        <v>477</v>
      </c>
      <c r="C275" s="343">
        <v>1341</v>
      </c>
      <c r="D275" s="345">
        <v>2.1999999999999999E-2</v>
      </c>
      <c r="G275" s="353">
        <v>4960</v>
      </c>
      <c r="H275" s="35">
        <v>1</v>
      </c>
      <c r="I275" s="35">
        <v>4960</v>
      </c>
      <c r="J275">
        <v>8.3000000000000004E-2</v>
      </c>
    </row>
    <row r="276" spans="1:12">
      <c r="A276" t="s">
        <v>475</v>
      </c>
      <c r="B276" t="s">
        <v>477</v>
      </c>
      <c r="C276" s="342">
        <v>1341</v>
      </c>
      <c r="D276" s="344">
        <v>2.1999999999999999E-2</v>
      </c>
      <c r="G276" s="353">
        <v>5470</v>
      </c>
      <c r="H276" s="35">
        <v>2</v>
      </c>
      <c r="I276" s="35">
        <v>10940</v>
      </c>
      <c r="J276">
        <v>0.186</v>
      </c>
    </row>
    <row r="277" spans="1:12">
      <c r="A277" t="s">
        <v>475</v>
      </c>
      <c r="B277" t="s">
        <v>477</v>
      </c>
      <c r="C277" s="343">
        <v>1341</v>
      </c>
      <c r="D277" s="345">
        <v>2.1999999999999999E-2</v>
      </c>
      <c r="G277" s="353">
        <v>21060</v>
      </c>
      <c r="H277" s="35">
        <v>1</v>
      </c>
      <c r="I277" s="35">
        <v>21060</v>
      </c>
      <c r="J277">
        <v>0.35599999999999998</v>
      </c>
    </row>
    <row r="278" spans="1:12">
      <c r="A278" t="s">
        <v>475</v>
      </c>
      <c r="B278" t="s">
        <v>477</v>
      </c>
      <c r="C278" s="342">
        <v>1341</v>
      </c>
      <c r="D278" s="344">
        <v>2.1999999999999999E-2</v>
      </c>
      <c r="G278" s="362" t="s">
        <v>556</v>
      </c>
      <c r="H278" s="363">
        <v>5</v>
      </c>
      <c r="I278" s="363">
        <v>15790</v>
      </c>
      <c r="J278">
        <v>0.34100000000000003</v>
      </c>
      <c r="L278">
        <f>GETPIVOTDATA("Sum of Length (mm)",$G$4,"Product Name","Portomfatning","Product Description","RHS150X100X6")/GETPIVOTDATA("Count of Length (mm)2",$G$4,"Product Name","Portomfatning","Product Description","RHS150X100X6")</f>
        <v>3158</v>
      </c>
    </row>
    <row r="279" spans="1:12">
      <c r="A279" t="s">
        <v>475</v>
      </c>
      <c r="B279" t="s">
        <v>477</v>
      </c>
      <c r="C279" s="343">
        <v>1341</v>
      </c>
      <c r="D279" s="345">
        <v>2.1999999999999999E-2</v>
      </c>
      <c r="G279" s="364">
        <v>1545</v>
      </c>
      <c r="H279" s="363">
        <v>2</v>
      </c>
      <c r="I279" s="363">
        <v>3090</v>
      </c>
      <c r="J279">
        <v>6.6000000000000003E-2</v>
      </c>
    </row>
    <row r="280" spans="1:12">
      <c r="A280" t="s">
        <v>475</v>
      </c>
      <c r="B280" t="s">
        <v>477</v>
      </c>
      <c r="C280" s="342">
        <v>1341</v>
      </c>
      <c r="D280" s="344">
        <v>2.1999999999999999E-2</v>
      </c>
      <c r="G280" s="364">
        <v>1896</v>
      </c>
      <c r="H280" s="363">
        <v>1</v>
      </c>
      <c r="I280" s="363">
        <v>1896</v>
      </c>
      <c r="J280">
        <v>4.1000000000000002E-2</v>
      </c>
    </row>
    <row r="281" spans="1:12">
      <c r="A281" t="s">
        <v>475</v>
      </c>
      <c r="B281" t="s">
        <v>477</v>
      </c>
      <c r="C281" s="343">
        <v>1341</v>
      </c>
      <c r="D281" s="345">
        <v>2.1999999999999999E-2</v>
      </c>
      <c r="G281" s="364">
        <v>5402</v>
      </c>
      <c r="H281" s="363">
        <v>2</v>
      </c>
      <c r="I281" s="363">
        <v>10804</v>
      </c>
      <c r="J281">
        <v>0.23400000000000001</v>
      </c>
    </row>
    <row r="282" spans="1:12">
      <c r="A282" t="s">
        <v>475</v>
      </c>
      <c r="B282" t="s">
        <v>477</v>
      </c>
      <c r="C282" s="342">
        <v>1341</v>
      </c>
      <c r="D282" s="344">
        <v>2.1999999999999999E-2</v>
      </c>
      <c r="G282" s="362" t="s">
        <v>557</v>
      </c>
      <c r="H282" s="363">
        <v>1</v>
      </c>
      <c r="I282" s="363">
        <v>3033</v>
      </c>
      <c r="J282">
        <v>0.10199999999999999</v>
      </c>
    </row>
    <row r="283" spans="1:12">
      <c r="A283" t="s">
        <v>475</v>
      </c>
      <c r="B283" t="s">
        <v>477</v>
      </c>
      <c r="C283" s="343">
        <v>1341</v>
      </c>
      <c r="D283" s="345">
        <v>2.1999999999999999E-2</v>
      </c>
      <c r="G283" s="364">
        <v>3033</v>
      </c>
      <c r="H283" s="363">
        <v>1</v>
      </c>
      <c r="I283" s="363">
        <v>3033</v>
      </c>
      <c r="J283">
        <v>0.10199999999999999</v>
      </c>
    </row>
    <row r="284" spans="1:12">
      <c r="A284" t="s">
        <v>475</v>
      </c>
      <c r="B284" t="s">
        <v>477</v>
      </c>
      <c r="C284" s="342">
        <v>1341</v>
      </c>
      <c r="D284" s="344">
        <v>2.1999999999999999E-2</v>
      </c>
      <c r="G284" s="371" t="s">
        <v>558</v>
      </c>
      <c r="H284" s="363">
        <v>16</v>
      </c>
      <c r="I284" s="363">
        <v>120496</v>
      </c>
      <c r="J284">
        <v>14.752000000000004</v>
      </c>
    </row>
    <row r="285" spans="1:12">
      <c r="A285" t="s">
        <v>475</v>
      </c>
      <c r="B285" t="s">
        <v>477</v>
      </c>
      <c r="C285" s="343">
        <v>1341</v>
      </c>
      <c r="D285" s="345">
        <v>2.1999999999999999E-2</v>
      </c>
      <c r="G285" s="362" t="s">
        <v>151</v>
      </c>
      <c r="H285" s="363">
        <v>16</v>
      </c>
      <c r="I285" s="363">
        <v>120496</v>
      </c>
      <c r="J285">
        <v>14.752000000000004</v>
      </c>
    </row>
    <row r="286" spans="1:12">
      <c r="A286" t="s">
        <v>475</v>
      </c>
      <c r="B286" t="s">
        <v>477</v>
      </c>
      <c r="C286" s="342">
        <v>1341</v>
      </c>
      <c r="D286" s="344">
        <v>2.1999999999999999E-2</v>
      </c>
      <c r="G286" s="364">
        <v>7531</v>
      </c>
      <c r="H286" s="363">
        <v>16</v>
      </c>
      <c r="I286" s="363">
        <v>120496</v>
      </c>
      <c r="J286">
        <v>14.752000000000004</v>
      </c>
    </row>
    <row r="287" spans="1:12">
      <c r="A287" t="s">
        <v>475</v>
      </c>
      <c r="B287" t="s">
        <v>477</v>
      </c>
      <c r="C287" s="343">
        <v>315</v>
      </c>
      <c r="D287" s="345">
        <v>5.0000000000000001E-3</v>
      </c>
      <c r="G287" s="348" t="s">
        <v>559</v>
      </c>
      <c r="H287">
        <v>62</v>
      </c>
      <c r="I287">
        <v>318079</v>
      </c>
      <c r="J287">
        <v>12.305000000000005</v>
      </c>
    </row>
    <row r="288" spans="1:12">
      <c r="A288" t="s">
        <v>475</v>
      </c>
      <c r="B288" t="s">
        <v>477</v>
      </c>
      <c r="C288" s="342">
        <v>315</v>
      </c>
      <c r="D288" s="344">
        <v>5.0000000000000001E-3</v>
      </c>
      <c r="G288" s="352" t="s">
        <v>555</v>
      </c>
      <c r="H288" s="35">
        <v>14</v>
      </c>
      <c r="I288" s="35">
        <v>35380</v>
      </c>
      <c r="J288" s="35">
        <v>0.59799999999999998</v>
      </c>
      <c r="L288">
        <f>GETPIVOTDATA("Sum of Length (mm)",$G$4,"Product Name","Søjle","Product Description","RHS100X100X6")/GETPIVOTDATA("Count of Length (mm)2",$G$4,"Product Name","Søjle","Product Description","RHS100X100X6")</f>
        <v>2527.1428571428573</v>
      </c>
    </row>
    <row r="289" spans="1:20">
      <c r="A289" t="s">
        <v>475</v>
      </c>
      <c r="B289" t="s">
        <v>477</v>
      </c>
      <c r="C289" s="343">
        <v>315</v>
      </c>
      <c r="D289" s="345">
        <v>5.0000000000000001E-3</v>
      </c>
      <c r="G289" s="353">
        <v>2485</v>
      </c>
      <c r="H289" s="35">
        <v>13</v>
      </c>
      <c r="I289" s="35">
        <v>32305</v>
      </c>
      <c r="J289" s="35">
        <v>0.54599999999999993</v>
      </c>
    </row>
    <row r="290" spans="1:20">
      <c r="A290" t="s">
        <v>475</v>
      </c>
      <c r="B290" t="s">
        <v>477</v>
      </c>
      <c r="C290" s="342">
        <v>315</v>
      </c>
      <c r="D290" s="344">
        <v>5.0000000000000001E-3</v>
      </c>
      <c r="G290" s="353">
        <v>3075</v>
      </c>
      <c r="H290" s="35">
        <v>1</v>
      </c>
      <c r="I290" s="35">
        <v>3075</v>
      </c>
      <c r="J290" s="35">
        <v>5.1999999999999998E-2</v>
      </c>
    </row>
    <row r="291" spans="1:20">
      <c r="A291" t="s">
        <v>475</v>
      </c>
      <c r="B291" t="s">
        <v>477</v>
      </c>
      <c r="C291" s="343">
        <v>315</v>
      </c>
      <c r="D291" s="345">
        <v>5.0000000000000001E-3</v>
      </c>
      <c r="G291" s="352" t="s">
        <v>556</v>
      </c>
      <c r="H291" s="35">
        <v>1</v>
      </c>
      <c r="I291" s="35">
        <v>3075</v>
      </c>
      <c r="J291" s="35">
        <v>6.6000000000000003E-2</v>
      </c>
    </row>
    <row r="292" spans="1:20">
      <c r="A292" t="s">
        <v>475</v>
      </c>
      <c r="B292" t="s">
        <v>477</v>
      </c>
      <c r="C292" s="342">
        <v>315</v>
      </c>
      <c r="D292" s="344">
        <v>5.0000000000000001E-3</v>
      </c>
      <c r="G292" s="353">
        <v>3075</v>
      </c>
      <c r="H292" s="35">
        <v>1</v>
      </c>
      <c r="I292" s="35">
        <v>3075</v>
      </c>
      <c r="J292" s="35">
        <v>6.6000000000000003E-2</v>
      </c>
    </row>
    <row r="293" spans="1:20">
      <c r="A293" t="s">
        <v>475</v>
      </c>
      <c r="B293" t="s">
        <v>477</v>
      </c>
      <c r="C293" s="343">
        <v>315</v>
      </c>
      <c r="D293" s="345">
        <v>5.0000000000000001E-3</v>
      </c>
      <c r="G293" s="352" t="s">
        <v>557</v>
      </c>
      <c r="H293" s="35">
        <v>19</v>
      </c>
      <c r="I293" s="35">
        <v>118558</v>
      </c>
      <c r="J293" s="35">
        <v>3.9970000000000008</v>
      </c>
      <c r="L293">
        <f>GETPIVOTDATA("Sum of Length (mm)",$G$4,"Product Name","Søjle","Product Description","RHS150X150X8")/GETPIVOTDATA("Count of Length (mm)2",$G$4,"Product Name","Søjle","Product Description","RHS150X150X8")</f>
        <v>6239.894736842105</v>
      </c>
    </row>
    <row r="294" spans="1:20">
      <c r="A294" t="s">
        <v>475</v>
      </c>
      <c r="B294" t="s">
        <v>476</v>
      </c>
      <c r="C294" s="342">
        <v>261</v>
      </c>
      <c r="D294" s="344">
        <v>2E-3</v>
      </c>
      <c r="G294" s="353">
        <v>3677</v>
      </c>
      <c r="H294" s="35">
        <v>2</v>
      </c>
      <c r="I294" s="35">
        <v>7354</v>
      </c>
      <c r="J294" s="35">
        <v>0.248</v>
      </c>
      <c r="N294" s="350">
        <v>3677</v>
      </c>
      <c r="O294">
        <v>2</v>
      </c>
      <c r="P294">
        <v>7354</v>
      </c>
      <c r="R294" s="350">
        <v>6530</v>
      </c>
      <c r="S294">
        <v>1</v>
      </c>
      <c r="T294">
        <v>6530</v>
      </c>
    </row>
    <row r="295" spans="1:20">
      <c r="A295" t="s">
        <v>475</v>
      </c>
      <c r="B295" t="s">
        <v>476</v>
      </c>
      <c r="C295" s="343">
        <v>261</v>
      </c>
      <c r="D295" s="345">
        <v>2E-3</v>
      </c>
      <c r="G295" s="353">
        <v>3957</v>
      </c>
      <c r="H295" s="35">
        <v>2</v>
      </c>
      <c r="I295" s="35">
        <v>7914</v>
      </c>
      <c r="J295" s="35">
        <v>0.26600000000000001</v>
      </c>
      <c r="N295" s="350">
        <v>3957</v>
      </c>
      <c r="O295">
        <v>2</v>
      </c>
      <c r="P295">
        <v>7914</v>
      </c>
      <c r="R295" s="350">
        <v>7062</v>
      </c>
      <c r="S295">
        <v>8</v>
      </c>
      <c r="T295">
        <v>56496</v>
      </c>
    </row>
    <row r="296" spans="1:20">
      <c r="A296" t="s">
        <v>481</v>
      </c>
      <c r="B296" t="s">
        <v>170</v>
      </c>
      <c r="C296" s="342">
        <v>255</v>
      </c>
      <c r="D296" s="344">
        <v>1E-3</v>
      </c>
      <c r="G296" s="353">
        <v>5848</v>
      </c>
      <c r="H296" s="35">
        <v>2</v>
      </c>
      <c r="I296" s="35">
        <v>11696</v>
      </c>
      <c r="J296" s="35">
        <v>0.39400000000000002</v>
      </c>
      <c r="N296" s="350">
        <v>5848</v>
      </c>
      <c r="O296">
        <v>2</v>
      </c>
      <c r="P296">
        <v>11696</v>
      </c>
      <c r="R296" s="350">
        <v>7142</v>
      </c>
      <c r="S296">
        <v>4</v>
      </c>
      <c r="T296">
        <v>28568</v>
      </c>
    </row>
    <row r="297" spans="1:20">
      <c r="A297" t="s">
        <v>481</v>
      </c>
      <c r="B297" t="s">
        <v>170</v>
      </c>
      <c r="C297" s="343">
        <v>255</v>
      </c>
      <c r="D297" s="345">
        <v>1E-3</v>
      </c>
      <c r="G297" s="353">
        <v>6530</v>
      </c>
      <c r="H297" s="35">
        <v>1</v>
      </c>
      <c r="I297" s="35">
        <v>6530</v>
      </c>
      <c r="J297" s="35">
        <v>0.221</v>
      </c>
      <c r="O297">
        <f>SUM(O294:O296)</f>
        <v>6</v>
      </c>
      <c r="P297">
        <f>SUM(P294:P296)</f>
        <v>26964</v>
      </c>
      <c r="S297">
        <f>SUM(S294:S296)</f>
        <v>13</v>
      </c>
      <c r="T297">
        <f>SUM(T294:T296)</f>
        <v>91594</v>
      </c>
    </row>
    <row r="298" spans="1:20">
      <c r="A298" t="s">
        <v>481</v>
      </c>
      <c r="B298" t="s">
        <v>170</v>
      </c>
      <c r="C298" s="342">
        <v>255</v>
      </c>
      <c r="D298" s="344">
        <v>1E-3</v>
      </c>
      <c r="G298" s="353">
        <v>7062</v>
      </c>
      <c r="H298" s="35">
        <v>8</v>
      </c>
      <c r="I298" s="35">
        <v>56496</v>
      </c>
      <c r="J298" s="35">
        <v>1.9039999999999999</v>
      </c>
      <c r="P298">
        <f>P297/O297</f>
        <v>4494</v>
      </c>
      <c r="T298">
        <f>T297/S297</f>
        <v>7045.6923076923076</v>
      </c>
    </row>
    <row r="299" spans="1:20">
      <c r="A299" t="s">
        <v>481</v>
      </c>
      <c r="B299" t="s">
        <v>170</v>
      </c>
      <c r="C299" s="343">
        <v>255</v>
      </c>
      <c r="D299" s="345">
        <v>1E-3</v>
      </c>
      <c r="G299" s="353">
        <v>7142</v>
      </c>
      <c r="H299" s="35">
        <v>4</v>
      </c>
      <c r="I299" s="35">
        <v>28568</v>
      </c>
      <c r="J299" s="35">
        <v>0.96399999999999997</v>
      </c>
    </row>
    <row r="300" spans="1:20">
      <c r="A300" t="s">
        <v>481</v>
      </c>
      <c r="B300" t="s">
        <v>170</v>
      </c>
      <c r="C300" s="342">
        <v>255</v>
      </c>
      <c r="D300" s="344">
        <v>1E-3</v>
      </c>
      <c r="G300" s="352" t="s">
        <v>560</v>
      </c>
      <c r="H300" s="35">
        <v>20</v>
      </c>
      <c r="I300" s="35">
        <v>108248</v>
      </c>
      <c r="J300">
        <v>5.4419999999999993</v>
      </c>
      <c r="L300">
        <f>GETPIVOTDATA("Sum of Length (mm)",$G$4,"Product Name","Søjle","Product Description","RHS180X180X10")/GETPIVOTDATA("Count of Length (mm)2",$G$4,"Product Name","Søjle","Product Description","RHS180X180X10")</f>
        <v>5412.4</v>
      </c>
    </row>
    <row r="301" spans="1:20">
      <c r="A301" t="s">
        <v>481</v>
      </c>
      <c r="B301" t="s">
        <v>170</v>
      </c>
      <c r="C301" s="343">
        <v>255</v>
      </c>
      <c r="D301" s="345">
        <v>1E-3</v>
      </c>
      <c r="G301" s="353">
        <v>3115</v>
      </c>
      <c r="H301" s="35">
        <v>2</v>
      </c>
      <c r="I301" s="35">
        <v>6230</v>
      </c>
      <c r="J301">
        <v>0.314</v>
      </c>
    </row>
    <row r="302" spans="1:20">
      <c r="A302" t="s">
        <v>481</v>
      </c>
      <c r="B302" t="s">
        <v>170</v>
      </c>
      <c r="C302" s="342">
        <v>255</v>
      </c>
      <c r="D302" s="344">
        <v>1E-3</v>
      </c>
      <c r="G302" s="353">
        <v>3400</v>
      </c>
      <c r="H302" s="35">
        <v>2</v>
      </c>
      <c r="I302" s="35">
        <v>6800</v>
      </c>
      <c r="J302">
        <v>0.34200000000000003</v>
      </c>
    </row>
    <row r="303" spans="1:20">
      <c r="A303" t="s">
        <v>481</v>
      </c>
      <c r="B303" t="s">
        <v>170</v>
      </c>
      <c r="C303" s="343">
        <v>255</v>
      </c>
      <c r="D303" s="345">
        <v>1E-3</v>
      </c>
      <c r="G303" s="353">
        <v>5850</v>
      </c>
      <c r="H303" s="35">
        <v>14</v>
      </c>
      <c r="I303" s="35">
        <v>81900</v>
      </c>
      <c r="J303">
        <v>4.1159999999999997</v>
      </c>
    </row>
    <row r="304" spans="1:20">
      <c r="A304" t="s">
        <v>481</v>
      </c>
      <c r="B304" t="s">
        <v>170</v>
      </c>
      <c r="C304" s="342">
        <v>255</v>
      </c>
      <c r="D304" s="344">
        <v>1E-3</v>
      </c>
      <c r="G304" s="353">
        <v>6659</v>
      </c>
      <c r="H304" s="35">
        <v>2</v>
      </c>
      <c r="I304" s="35">
        <v>13318</v>
      </c>
      <c r="J304">
        <v>0.67</v>
      </c>
    </row>
    <row r="305" spans="1:15">
      <c r="A305" t="s">
        <v>481</v>
      </c>
      <c r="B305" t="s">
        <v>170</v>
      </c>
      <c r="C305" s="343">
        <v>255</v>
      </c>
      <c r="D305" s="345">
        <v>1E-3</v>
      </c>
      <c r="G305" s="352" t="s">
        <v>561</v>
      </c>
      <c r="H305" s="35">
        <v>8</v>
      </c>
      <c r="I305" s="35">
        <v>52818</v>
      </c>
      <c r="J305">
        <v>2.202</v>
      </c>
      <c r="L305">
        <f>GETPIVOTDATA("Sum of Length (mm)",$G$4,"Product Name","Søjle","Product Description","RHS180X180X8")/GETPIVOTDATA("Count of Length (mm)2",$G$4,"Product Name","Søjle","Product Description","RHS180X180X8")</f>
        <v>6602.25</v>
      </c>
    </row>
    <row r="306" spans="1:15">
      <c r="A306" t="s">
        <v>481</v>
      </c>
      <c r="B306" t="s">
        <v>170</v>
      </c>
      <c r="C306" s="342">
        <v>255</v>
      </c>
      <c r="D306" s="344">
        <v>1E-3</v>
      </c>
      <c r="G306" s="353">
        <v>6045</v>
      </c>
      <c r="H306" s="35">
        <v>4</v>
      </c>
      <c r="I306" s="35">
        <v>24180</v>
      </c>
      <c r="J306">
        <v>1.008</v>
      </c>
    </row>
    <row r="307" spans="1:15">
      <c r="A307" t="s">
        <v>481</v>
      </c>
      <c r="B307" t="s">
        <v>170</v>
      </c>
      <c r="C307" s="343">
        <v>255</v>
      </c>
      <c r="D307" s="345">
        <v>1E-3</v>
      </c>
      <c r="G307" s="353">
        <v>6659</v>
      </c>
      <c r="H307" s="35">
        <v>2</v>
      </c>
      <c r="I307" s="35">
        <v>13318</v>
      </c>
      <c r="J307">
        <v>0.55600000000000005</v>
      </c>
    </row>
    <row r="308" spans="1:15">
      <c r="A308" t="s">
        <v>481</v>
      </c>
      <c r="B308" t="s">
        <v>170</v>
      </c>
      <c r="C308" s="342">
        <v>255</v>
      </c>
      <c r="D308" s="344">
        <v>1E-3</v>
      </c>
      <c r="G308" s="353">
        <v>7660</v>
      </c>
      <c r="H308" s="35">
        <v>2</v>
      </c>
      <c r="I308" s="35">
        <v>15320</v>
      </c>
      <c r="J308">
        <v>0.63800000000000001</v>
      </c>
    </row>
    <row r="309" spans="1:15">
      <c r="A309" t="s">
        <v>481</v>
      </c>
      <c r="B309" t="s">
        <v>170</v>
      </c>
      <c r="C309" s="343">
        <v>255</v>
      </c>
      <c r="D309" s="345">
        <v>1E-3</v>
      </c>
      <c r="G309" s="354" t="s">
        <v>562</v>
      </c>
      <c r="H309" s="35">
        <v>16</v>
      </c>
      <c r="I309" s="35">
        <v>119632</v>
      </c>
      <c r="J309" s="35">
        <v>5.976</v>
      </c>
      <c r="L309">
        <f>GETPIVOTDATA("Sum of Weight (t)",$G$4,"Product Name","Tagkile")/GETPIVOTDATA("Count of Length (mm)2",$G$4,"Product Name","Tagkile")</f>
        <v>0.3735</v>
      </c>
    </row>
    <row r="310" spans="1:15">
      <c r="A310" t="s">
        <v>481</v>
      </c>
      <c r="B310" t="s">
        <v>170</v>
      </c>
      <c r="C310" s="342">
        <v>255</v>
      </c>
      <c r="D310" s="344">
        <v>1E-3</v>
      </c>
      <c r="G310" s="352" t="s">
        <v>563</v>
      </c>
      <c r="H310" s="35">
        <v>16</v>
      </c>
      <c r="I310" s="35">
        <v>119632</v>
      </c>
      <c r="J310" s="35">
        <v>5.976</v>
      </c>
    </row>
    <row r="311" spans="1:15">
      <c r="A311" t="s">
        <v>481</v>
      </c>
      <c r="B311" t="s">
        <v>170</v>
      </c>
      <c r="C311" s="343">
        <v>255</v>
      </c>
      <c r="D311" s="345">
        <v>1E-3</v>
      </c>
      <c r="G311" s="353">
        <v>7477</v>
      </c>
      <c r="H311" s="35">
        <v>16</v>
      </c>
      <c r="I311" s="35">
        <v>119632</v>
      </c>
      <c r="J311" s="35">
        <v>5.976</v>
      </c>
    </row>
    <row r="312" spans="1:15">
      <c r="A312" t="s">
        <v>481</v>
      </c>
      <c r="B312" t="s">
        <v>170</v>
      </c>
      <c r="C312" s="342">
        <v>255</v>
      </c>
      <c r="D312" s="344">
        <v>1E-3</v>
      </c>
      <c r="G312" s="348" t="s">
        <v>564</v>
      </c>
      <c r="H312">
        <v>181</v>
      </c>
      <c r="I312">
        <v>885970</v>
      </c>
      <c r="J312">
        <v>12.380999999999986</v>
      </c>
    </row>
    <row r="313" spans="1:15">
      <c r="A313" t="s">
        <v>481</v>
      </c>
      <c r="B313" t="s">
        <v>170</v>
      </c>
      <c r="C313" s="343">
        <v>255</v>
      </c>
      <c r="D313" s="345">
        <v>1E-3</v>
      </c>
      <c r="G313" s="349" t="s">
        <v>167</v>
      </c>
      <c r="H313">
        <v>70</v>
      </c>
      <c r="I313">
        <v>366213</v>
      </c>
      <c r="J313">
        <v>1.9299999999999982</v>
      </c>
      <c r="L313">
        <f>GETPIVOTDATA("Sum of Length (mm)",$G$4,"Product Name","Vind-X","Product Description","D30")/GETPIVOTDATA("Count of Length (mm)2",$G$4,"Product Name","Vind-X","Product Description","D30")</f>
        <v>5231.6142857142859</v>
      </c>
      <c r="M313">
        <f>L313+260</f>
        <v>5491.6142857142859</v>
      </c>
      <c r="O313">
        <f>GETPIVOTDATA("Sum of Weight (t)",$G$4,"Product Name","Vind-X")/(L313/1000)</f>
        <v>2.3665735514577557</v>
      </c>
    </row>
    <row r="314" spans="1:15">
      <c r="A314" t="s">
        <v>481</v>
      </c>
      <c r="B314" t="s">
        <v>170</v>
      </c>
      <c r="C314" s="342">
        <v>255</v>
      </c>
      <c r="D314" s="344">
        <v>1E-3</v>
      </c>
      <c r="G314" s="350">
        <v>1675</v>
      </c>
      <c r="H314">
        <v>4</v>
      </c>
      <c r="I314">
        <v>6700</v>
      </c>
      <c r="J314">
        <v>3.5999999999999997E-2</v>
      </c>
    </row>
    <row r="315" spans="1:15">
      <c r="A315" t="s">
        <v>481</v>
      </c>
      <c r="B315" t="s">
        <v>170</v>
      </c>
      <c r="C315" s="343">
        <v>255</v>
      </c>
      <c r="D315" s="345">
        <v>1E-3</v>
      </c>
      <c r="G315" s="350">
        <v>4503</v>
      </c>
      <c r="H315">
        <v>2</v>
      </c>
      <c r="I315">
        <v>9006</v>
      </c>
      <c r="J315">
        <v>4.8000000000000001E-2</v>
      </c>
    </row>
    <row r="316" spans="1:15">
      <c r="A316" t="s">
        <v>481</v>
      </c>
      <c r="B316" t="s">
        <v>170</v>
      </c>
      <c r="C316" s="342">
        <v>255</v>
      </c>
      <c r="D316" s="344">
        <v>1E-3</v>
      </c>
      <c r="G316" s="350">
        <v>4524</v>
      </c>
      <c r="H316">
        <v>4</v>
      </c>
      <c r="I316">
        <v>18096</v>
      </c>
      <c r="J316">
        <v>9.6000000000000002E-2</v>
      </c>
    </row>
    <row r="317" spans="1:15">
      <c r="A317" t="s">
        <v>481</v>
      </c>
      <c r="B317" t="s">
        <v>170</v>
      </c>
      <c r="C317" s="343">
        <v>255</v>
      </c>
      <c r="D317" s="345">
        <v>1E-3</v>
      </c>
      <c r="G317" s="350">
        <v>4649</v>
      </c>
      <c r="H317">
        <v>1</v>
      </c>
      <c r="I317">
        <v>4649</v>
      </c>
      <c r="J317">
        <v>2.5000000000000001E-2</v>
      </c>
    </row>
    <row r="318" spans="1:15">
      <c r="A318" t="s">
        <v>481</v>
      </c>
      <c r="B318" t="s">
        <v>170</v>
      </c>
      <c r="C318" s="342">
        <v>255</v>
      </c>
      <c r="D318" s="344">
        <v>1E-3</v>
      </c>
      <c r="G318" s="350">
        <v>4732</v>
      </c>
      <c r="H318">
        <v>1</v>
      </c>
      <c r="I318">
        <v>4732</v>
      </c>
      <c r="J318">
        <v>2.5000000000000001E-2</v>
      </c>
    </row>
    <row r="319" spans="1:15">
      <c r="A319" t="s">
        <v>481</v>
      </c>
      <c r="B319" t="s">
        <v>170</v>
      </c>
      <c r="C319" s="343">
        <v>255</v>
      </c>
      <c r="D319" s="345">
        <v>1E-3</v>
      </c>
      <c r="G319" s="350">
        <v>4742</v>
      </c>
      <c r="H319">
        <v>1</v>
      </c>
      <c r="I319">
        <v>4742</v>
      </c>
      <c r="J319">
        <v>2.5000000000000001E-2</v>
      </c>
    </row>
    <row r="320" spans="1:15">
      <c r="A320" t="s">
        <v>481</v>
      </c>
      <c r="B320" t="s">
        <v>170</v>
      </c>
      <c r="C320" s="342">
        <v>255</v>
      </c>
      <c r="D320" s="344">
        <v>1E-3</v>
      </c>
      <c r="G320" s="350">
        <v>4808</v>
      </c>
      <c r="H320">
        <v>4</v>
      </c>
      <c r="I320">
        <v>19232</v>
      </c>
      <c r="J320">
        <v>0.1</v>
      </c>
    </row>
    <row r="321" spans="1:12">
      <c r="A321" t="s">
        <v>481</v>
      </c>
      <c r="B321" t="s">
        <v>170</v>
      </c>
      <c r="C321" s="343">
        <v>255</v>
      </c>
      <c r="D321" s="345">
        <v>1E-3</v>
      </c>
      <c r="G321" s="350">
        <v>4942</v>
      </c>
      <c r="H321">
        <v>2</v>
      </c>
      <c r="I321">
        <v>9884</v>
      </c>
      <c r="J321">
        <v>5.1999999999999998E-2</v>
      </c>
    </row>
    <row r="322" spans="1:12">
      <c r="A322" t="s">
        <v>481</v>
      </c>
      <c r="B322" t="s">
        <v>170</v>
      </c>
      <c r="C322" s="342">
        <v>255</v>
      </c>
      <c r="D322" s="344">
        <v>1E-3</v>
      </c>
      <c r="G322" s="350">
        <v>4950</v>
      </c>
      <c r="H322">
        <v>1</v>
      </c>
      <c r="I322">
        <v>4950</v>
      </c>
      <c r="J322">
        <v>2.5999999999999999E-2</v>
      </c>
    </row>
    <row r="323" spans="1:12">
      <c r="A323" t="s">
        <v>481</v>
      </c>
      <c r="B323" t="s">
        <v>170</v>
      </c>
      <c r="C323" s="343">
        <v>255</v>
      </c>
      <c r="D323" s="345">
        <v>1E-3</v>
      </c>
      <c r="G323" s="350">
        <v>5025</v>
      </c>
      <c r="H323">
        <v>1</v>
      </c>
      <c r="I323">
        <v>5025</v>
      </c>
      <c r="J323">
        <v>2.7E-2</v>
      </c>
    </row>
    <row r="324" spans="1:12">
      <c r="A324" t="s">
        <v>481</v>
      </c>
      <c r="B324" t="s">
        <v>170</v>
      </c>
      <c r="C324" s="342">
        <v>255</v>
      </c>
      <c r="D324" s="344">
        <v>1E-3</v>
      </c>
      <c r="G324" s="350">
        <v>5053</v>
      </c>
      <c r="H324">
        <v>1</v>
      </c>
      <c r="I324">
        <v>5053</v>
      </c>
      <c r="J324">
        <v>2.7E-2</v>
      </c>
    </row>
    <row r="325" spans="1:12">
      <c r="A325" t="s">
        <v>481</v>
      </c>
      <c r="B325" t="s">
        <v>170</v>
      </c>
      <c r="C325" s="343">
        <v>255</v>
      </c>
      <c r="D325" s="345">
        <v>1E-3</v>
      </c>
      <c r="G325" s="350">
        <v>5137</v>
      </c>
      <c r="H325">
        <v>8</v>
      </c>
      <c r="I325">
        <v>41096</v>
      </c>
      <c r="J325">
        <v>0.216</v>
      </c>
    </row>
    <row r="326" spans="1:12">
      <c r="A326" t="s">
        <v>481</v>
      </c>
      <c r="B326" t="s">
        <v>170</v>
      </c>
      <c r="C326" s="342">
        <v>255</v>
      </c>
      <c r="D326" s="344">
        <v>1E-3</v>
      </c>
      <c r="G326" s="350">
        <v>5250</v>
      </c>
      <c r="H326">
        <v>4</v>
      </c>
      <c r="I326">
        <v>21000</v>
      </c>
      <c r="J326">
        <v>0.112</v>
      </c>
    </row>
    <row r="327" spans="1:12">
      <c r="A327" t="s">
        <v>481</v>
      </c>
      <c r="B327" t="s">
        <v>170</v>
      </c>
      <c r="C327" s="343">
        <v>255</v>
      </c>
      <c r="D327" s="345">
        <v>1E-3</v>
      </c>
      <c r="G327" s="350">
        <v>5303</v>
      </c>
      <c r="H327">
        <v>4</v>
      </c>
      <c r="I327">
        <v>21212</v>
      </c>
      <c r="J327">
        <v>0.112</v>
      </c>
    </row>
    <row r="328" spans="1:12">
      <c r="A328" t="s">
        <v>481</v>
      </c>
      <c r="B328" t="s">
        <v>170</v>
      </c>
      <c r="C328" s="342">
        <v>255</v>
      </c>
      <c r="D328" s="344">
        <v>1E-3</v>
      </c>
      <c r="G328" s="350">
        <v>5817</v>
      </c>
      <c r="H328">
        <v>3</v>
      </c>
      <c r="I328">
        <v>17451</v>
      </c>
      <c r="J328">
        <v>9.2999999999999999E-2</v>
      </c>
    </row>
    <row r="329" spans="1:12">
      <c r="A329" t="s">
        <v>481</v>
      </c>
      <c r="B329" t="s">
        <v>170</v>
      </c>
      <c r="C329" s="343">
        <v>255</v>
      </c>
      <c r="D329" s="345">
        <v>1E-3</v>
      </c>
      <c r="G329" s="350">
        <v>5864</v>
      </c>
      <c r="H329">
        <v>2</v>
      </c>
      <c r="I329">
        <v>11728</v>
      </c>
      <c r="J329">
        <v>6.2E-2</v>
      </c>
    </row>
    <row r="330" spans="1:12">
      <c r="A330" t="s">
        <v>481</v>
      </c>
      <c r="B330" t="s">
        <v>170</v>
      </c>
      <c r="C330" s="342">
        <v>255</v>
      </c>
      <c r="D330" s="344">
        <v>1E-3</v>
      </c>
      <c r="G330" s="350">
        <v>5873</v>
      </c>
      <c r="H330">
        <v>4</v>
      </c>
      <c r="I330">
        <v>23492</v>
      </c>
      <c r="J330">
        <v>0.124</v>
      </c>
    </row>
    <row r="331" spans="1:12">
      <c r="A331" t="s">
        <v>481</v>
      </c>
      <c r="B331" t="s">
        <v>170</v>
      </c>
      <c r="C331" s="343">
        <v>255</v>
      </c>
      <c r="D331" s="345">
        <v>1E-3</v>
      </c>
      <c r="G331" s="350">
        <v>5922</v>
      </c>
      <c r="H331">
        <v>16</v>
      </c>
      <c r="I331">
        <v>94752</v>
      </c>
      <c r="J331">
        <v>0.49600000000000022</v>
      </c>
    </row>
    <row r="332" spans="1:12">
      <c r="A332" t="s">
        <v>481</v>
      </c>
      <c r="B332" t="s">
        <v>170</v>
      </c>
      <c r="C332" s="342">
        <v>255</v>
      </c>
      <c r="D332" s="344">
        <v>1E-3</v>
      </c>
      <c r="G332" s="350">
        <v>5924</v>
      </c>
      <c r="H332">
        <v>1</v>
      </c>
      <c r="I332">
        <v>5924</v>
      </c>
      <c r="J332">
        <v>3.1E-2</v>
      </c>
    </row>
    <row r="333" spans="1:12">
      <c r="A333" t="s">
        <v>481</v>
      </c>
      <c r="B333" t="s">
        <v>170</v>
      </c>
      <c r="C333" s="343">
        <v>255</v>
      </c>
      <c r="D333" s="345">
        <v>1E-3</v>
      </c>
      <c r="G333" s="350">
        <v>5936</v>
      </c>
      <c r="H333">
        <v>1</v>
      </c>
      <c r="I333">
        <v>5936</v>
      </c>
      <c r="J333">
        <v>3.1E-2</v>
      </c>
    </row>
    <row r="334" spans="1:12">
      <c r="A334" t="s">
        <v>481</v>
      </c>
      <c r="B334" t="s">
        <v>170</v>
      </c>
      <c r="C334" s="342">
        <v>255</v>
      </c>
      <c r="D334" s="344">
        <v>1E-3</v>
      </c>
      <c r="G334" s="350">
        <v>6289</v>
      </c>
      <c r="H334">
        <v>4</v>
      </c>
      <c r="I334">
        <v>25156</v>
      </c>
      <c r="J334">
        <v>0.13200000000000001</v>
      </c>
    </row>
    <row r="335" spans="1:12">
      <c r="A335" t="s">
        <v>481</v>
      </c>
      <c r="B335" t="s">
        <v>170</v>
      </c>
      <c r="C335" s="343">
        <v>255</v>
      </c>
      <c r="D335" s="345">
        <v>1E-3</v>
      </c>
      <c r="G335" s="350">
        <v>6397</v>
      </c>
      <c r="H335">
        <v>1</v>
      </c>
      <c r="I335">
        <v>6397</v>
      </c>
      <c r="J335">
        <v>3.4000000000000002E-2</v>
      </c>
    </row>
    <row r="336" spans="1:12">
      <c r="A336" t="s">
        <v>481</v>
      </c>
      <c r="B336" t="s">
        <v>170</v>
      </c>
      <c r="C336" s="342">
        <v>255</v>
      </c>
      <c r="D336" s="344">
        <v>1E-3</v>
      </c>
      <c r="G336" s="352" t="s">
        <v>555</v>
      </c>
      <c r="H336" s="35">
        <v>80</v>
      </c>
      <c r="I336" s="35">
        <v>344611</v>
      </c>
      <c r="J336">
        <v>5.8180000000000014</v>
      </c>
      <c r="L336">
        <f>GETPIVOTDATA("Sum of Length (mm)",$G$4,"Product Name","Vind-X","Product Description","RHS100X100X6")/GETPIVOTDATA("Count of Length (mm)2",$G$4,"Product Name","Vind-X","Product Description","RHS100X100X6")</f>
        <v>4307.6374999999998</v>
      </c>
    </row>
    <row r="337" spans="1:10">
      <c r="A337" t="s">
        <v>481</v>
      </c>
      <c r="B337" t="s">
        <v>170</v>
      </c>
      <c r="C337" s="343">
        <v>255</v>
      </c>
      <c r="D337" s="345">
        <v>1E-3</v>
      </c>
      <c r="G337" s="353">
        <v>1490</v>
      </c>
      <c r="H337" s="35">
        <v>4</v>
      </c>
      <c r="I337" s="35">
        <v>5960</v>
      </c>
      <c r="J337">
        <v>0.1</v>
      </c>
    </row>
    <row r="338" spans="1:10">
      <c r="A338" t="s">
        <v>481</v>
      </c>
      <c r="B338" t="s">
        <v>170</v>
      </c>
      <c r="C338" s="342">
        <v>255</v>
      </c>
      <c r="D338" s="344">
        <v>1E-3</v>
      </c>
      <c r="G338" s="353">
        <v>1580</v>
      </c>
      <c r="H338" s="35">
        <v>1</v>
      </c>
      <c r="I338" s="35">
        <v>1580</v>
      </c>
      <c r="J338">
        <v>2.7E-2</v>
      </c>
    </row>
    <row r="339" spans="1:10">
      <c r="A339" t="s">
        <v>481</v>
      </c>
      <c r="B339" t="s">
        <v>170</v>
      </c>
      <c r="C339" s="343">
        <v>255</v>
      </c>
      <c r="D339" s="345">
        <v>1E-3</v>
      </c>
      <c r="G339" s="353">
        <v>1750</v>
      </c>
      <c r="H339" s="35">
        <v>1</v>
      </c>
      <c r="I339" s="35">
        <v>1750</v>
      </c>
      <c r="J339">
        <v>0.03</v>
      </c>
    </row>
    <row r="340" spans="1:10">
      <c r="A340" t="s">
        <v>481</v>
      </c>
      <c r="B340" t="s">
        <v>170</v>
      </c>
      <c r="C340" s="342">
        <v>255</v>
      </c>
      <c r="D340" s="344">
        <v>1E-3</v>
      </c>
      <c r="G340" s="353">
        <v>4290</v>
      </c>
      <c r="H340" s="35">
        <v>1</v>
      </c>
      <c r="I340" s="35">
        <v>4290</v>
      </c>
      <c r="J340">
        <v>7.2999999999999995E-2</v>
      </c>
    </row>
    <row r="341" spans="1:10">
      <c r="A341" t="s">
        <v>481</v>
      </c>
      <c r="B341" t="s">
        <v>170</v>
      </c>
      <c r="C341" s="343">
        <v>255</v>
      </c>
      <c r="D341" s="345">
        <v>1E-3</v>
      </c>
      <c r="G341" s="353">
        <v>4318</v>
      </c>
      <c r="H341" s="35">
        <v>2</v>
      </c>
      <c r="I341" s="35">
        <v>8636</v>
      </c>
      <c r="J341">
        <v>0.14599999999999999</v>
      </c>
    </row>
    <row r="342" spans="1:10">
      <c r="A342" t="s">
        <v>481</v>
      </c>
      <c r="B342" t="s">
        <v>170</v>
      </c>
      <c r="C342" s="342">
        <v>255</v>
      </c>
      <c r="D342" s="344">
        <v>1E-3</v>
      </c>
      <c r="G342" s="353">
        <v>4390</v>
      </c>
      <c r="H342" s="35">
        <v>10</v>
      </c>
      <c r="I342" s="35">
        <v>43900</v>
      </c>
      <c r="J342">
        <v>0.73999999999999988</v>
      </c>
    </row>
    <row r="343" spans="1:10">
      <c r="A343" t="s">
        <v>481</v>
      </c>
      <c r="B343" t="s">
        <v>170</v>
      </c>
      <c r="C343" s="343">
        <v>255</v>
      </c>
      <c r="D343" s="345">
        <v>1E-3</v>
      </c>
      <c r="G343" s="353">
        <v>4420</v>
      </c>
      <c r="H343" s="35">
        <v>2</v>
      </c>
      <c r="I343" s="35">
        <v>8840</v>
      </c>
      <c r="J343">
        <v>0.15</v>
      </c>
    </row>
    <row r="344" spans="1:10">
      <c r="A344" t="s">
        <v>481</v>
      </c>
      <c r="B344" t="s">
        <v>170</v>
      </c>
      <c r="C344" s="342">
        <v>255</v>
      </c>
      <c r="D344" s="344">
        <v>1E-3</v>
      </c>
      <c r="G344" s="353">
        <v>4434</v>
      </c>
      <c r="H344" s="35">
        <v>2</v>
      </c>
      <c r="I344" s="35">
        <v>8868</v>
      </c>
      <c r="J344">
        <v>0.15</v>
      </c>
    </row>
    <row r="345" spans="1:10">
      <c r="A345" t="s">
        <v>481</v>
      </c>
      <c r="B345" t="s">
        <v>170</v>
      </c>
      <c r="C345" s="343">
        <v>255</v>
      </c>
      <c r="D345" s="345">
        <v>1E-3</v>
      </c>
      <c r="G345" s="353">
        <v>4450</v>
      </c>
      <c r="H345" s="35">
        <v>2</v>
      </c>
      <c r="I345" s="35">
        <v>8900</v>
      </c>
      <c r="J345">
        <v>0.15</v>
      </c>
    </row>
    <row r="346" spans="1:10">
      <c r="A346" t="s">
        <v>481</v>
      </c>
      <c r="B346" t="s">
        <v>170</v>
      </c>
      <c r="C346" s="342">
        <v>255</v>
      </c>
      <c r="D346" s="344">
        <v>1E-3</v>
      </c>
      <c r="G346" s="353">
        <v>4455</v>
      </c>
      <c r="H346" s="35">
        <v>1</v>
      </c>
      <c r="I346" s="35">
        <v>4455</v>
      </c>
      <c r="J346">
        <v>7.4999999999999997E-2</v>
      </c>
    </row>
    <row r="347" spans="1:10">
      <c r="A347" t="s">
        <v>481</v>
      </c>
      <c r="B347" t="s">
        <v>170</v>
      </c>
      <c r="C347" s="343">
        <v>255</v>
      </c>
      <c r="D347" s="345">
        <v>1E-3</v>
      </c>
      <c r="G347" s="353">
        <v>4460</v>
      </c>
      <c r="H347" s="35">
        <v>2</v>
      </c>
      <c r="I347" s="35">
        <v>8920</v>
      </c>
      <c r="J347">
        <v>0.15</v>
      </c>
    </row>
    <row r="348" spans="1:10">
      <c r="A348" t="s">
        <v>481</v>
      </c>
      <c r="B348" t="s">
        <v>170</v>
      </c>
      <c r="C348" s="342">
        <v>255</v>
      </c>
      <c r="D348" s="344">
        <v>1E-3</v>
      </c>
      <c r="G348" s="353">
        <v>4470</v>
      </c>
      <c r="H348" s="35">
        <v>1</v>
      </c>
      <c r="I348" s="35">
        <v>4470</v>
      </c>
      <c r="J348">
        <v>7.5999999999999998E-2</v>
      </c>
    </row>
    <row r="349" spans="1:10">
      <c r="A349" t="s">
        <v>481</v>
      </c>
      <c r="B349" t="s">
        <v>170</v>
      </c>
      <c r="C349" s="343">
        <v>255</v>
      </c>
      <c r="D349" s="345">
        <v>1E-3</v>
      </c>
      <c r="G349" s="353">
        <v>4510</v>
      </c>
      <c r="H349" s="35">
        <v>14</v>
      </c>
      <c r="I349" s="35">
        <v>63140</v>
      </c>
      <c r="J349">
        <v>1.0639999999999998</v>
      </c>
    </row>
    <row r="350" spans="1:10">
      <c r="A350" t="s">
        <v>481</v>
      </c>
      <c r="B350" t="s">
        <v>170</v>
      </c>
      <c r="C350" s="342">
        <v>255</v>
      </c>
      <c r="D350" s="344">
        <v>1E-3</v>
      </c>
      <c r="G350" s="353">
        <v>4518</v>
      </c>
      <c r="H350" s="35">
        <v>16</v>
      </c>
      <c r="I350" s="35">
        <v>72288</v>
      </c>
      <c r="J350">
        <v>1.216</v>
      </c>
    </row>
    <row r="351" spans="1:10">
      <c r="A351" t="s">
        <v>481</v>
      </c>
      <c r="B351" t="s">
        <v>170</v>
      </c>
      <c r="C351" s="343">
        <v>255</v>
      </c>
      <c r="D351" s="345">
        <v>1E-3</v>
      </c>
      <c r="G351" s="353">
        <v>4521</v>
      </c>
      <c r="H351" s="35">
        <v>1</v>
      </c>
      <c r="I351" s="35">
        <v>4521</v>
      </c>
      <c r="J351">
        <v>7.5999999999999998E-2</v>
      </c>
    </row>
    <row r="352" spans="1:10">
      <c r="A352" t="s">
        <v>481</v>
      </c>
      <c r="B352" t="s">
        <v>170</v>
      </c>
      <c r="C352" s="342">
        <v>255</v>
      </c>
      <c r="D352" s="344">
        <v>1E-3</v>
      </c>
      <c r="G352" s="353">
        <v>4538</v>
      </c>
      <c r="H352" s="35">
        <v>1</v>
      </c>
      <c r="I352" s="35">
        <v>4538</v>
      </c>
      <c r="J352">
        <v>7.6999999999999999E-2</v>
      </c>
    </row>
    <row r="353" spans="1:12">
      <c r="A353" t="s">
        <v>481</v>
      </c>
      <c r="B353" t="s">
        <v>170</v>
      </c>
      <c r="C353" s="343">
        <v>255</v>
      </c>
      <c r="D353" s="345">
        <v>1E-3</v>
      </c>
      <c r="G353" s="353">
        <v>4550</v>
      </c>
      <c r="H353" s="35">
        <v>3</v>
      </c>
      <c r="I353" s="35">
        <v>13650</v>
      </c>
      <c r="J353">
        <v>0.23099999999999998</v>
      </c>
    </row>
    <row r="354" spans="1:12">
      <c r="A354" t="s">
        <v>481</v>
      </c>
      <c r="B354" t="s">
        <v>170</v>
      </c>
      <c r="C354" s="342">
        <v>255</v>
      </c>
      <c r="D354" s="344">
        <v>1E-3</v>
      </c>
      <c r="G354" s="353">
        <v>4600</v>
      </c>
      <c r="H354" s="35">
        <v>7</v>
      </c>
      <c r="I354" s="35">
        <v>32200</v>
      </c>
      <c r="J354">
        <v>0.54600000000000004</v>
      </c>
    </row>
    <row r="355" spans="1:12">
      <c r="A355" t="s">
        <v>481</v>
      </c>
      <c r="B355" t="s">
        <v>170</v>
      </c>
      <c r="C355" s="343">
        <v>255</v>
      </c>
      <c r="D355" s="345">
        <v>1E-3</v>
      </c>
      <c r="G355" s="353">
        <v>4625</v>
      </c>
      <c r="H355" s="35">
        <v>1</v>
      </c>
      <c r="I355" s="35">
        <v>4625</v>
      </c>
      <c r="J355">
        <v>7.8E-2</v>
      </c>
    </row>
    <row r="356" spans="1:12">
      <c r="A356" t="s">
        <v>481</v>
      </c>
      <c r="B356" t="s">
        <v>170</v>
      </c>
      <c r="C356" s="342">
        <v>255</v>
      </c>
      <c r="D356" s="344">
        <v>1E-3</v>
      </c>
      <c r="G356" s="353">
        <v>4650</v>
      </c>
      <c r="H356" s="35">
        <v>5</v>
      </c>
      <c r="I356" s="35">
        <v>23250</v>
      </c>
      <c r="J356">
        <v>0.39500000000000002</v>
      </c>
    </row>
    <row r="357" spans="1:12">
      <c r="A357" t="s">
        <v>481</v>
      </c>
      <c r="B357" t="s">
        <v>170</v>
      </c>
      <c r="C357" s="343">
        <v>255</v>
      </c>
      <c r="D357" s="345">
        <v>1E-3</v>
      </c>
      <c r="G357" s="353">
        <v>5190</v>
      </c>
      <c r="H357" s="35">
        <v>2</v>
      </c>
      <c r="I357" s="35">
        <v>10380</v>
      </c>
      <c r="J357">
        <v>0.17599999999999999</v>
      </c>
    </row>
    <row r="358" spans="1:12">
      <c r="A358" t="s">
        <v>481</v>
      </c>
      <c r="B358" t="s">
        <v>170</v>
      </c>
      <c r="C358" s="342">
        <v>255</v>
      </c>
      <c r="D358" s="344">
        <v>1E-3</v>
      </c>
      <c r="G358" s="353">
        <v>5450</v>
      </c>
      <c r="H358" s="35">
        <v>1</v>
      </c>
      <c r="I358" s="35">
        <v>5450</v>
      </c>
      <c r="J358">
        <v>9.1999999999999998E-2</v>
      </c>
    </row>
    <row r="359" spans="1:12">
      <c r="A359" t="s">
        <v>481</v>
      </c>
      <c r="B359" t="s">
        <v>170</v>
      </c>
      <c r="C359" s="343">
        <v>255</v>
      </c>
      <c r="D359" s="345">
        <v>1E-3</v>
      </c>
      <c r="G359" s="352" t="s">
        <v>565</v>
      </c>
      <c r="H359" s="35">
        <v>1</v>
      </c>
      <c r="I359" s="35">
        <v>5050</v>
      </c>
      <c r="J359">
        <v>0.16300000000000001</v>
      </c>
    </row>
    <row r="360" spans="1:12">
      <c r="A360" t="s">
        <v>481</v>
      </c>
      <c r="B360" t="s">
        <v>170</v>
      </c>
      <c r="C360" s="342">
        <v>255</v>
      </c>
      <c r="D360" s="344">
        <v>1E-3</v>
      </c>
      <c r="G360" s="353">
        <v>5050</v>
      </c>
      <c r="H360" s="35">
        <v>1</v>
      </c>
      <c r="I360" s="35">
        <v>5050</v>
      </c>
      <c r="J360">
        <v>0.16300000000000001</v>
      </c>
    </row>
    <row r="361" spans="1:12">
      <c r="A361" t="s">
        <v>481</v>
      </c>
      <c r="B361" t="s">
        <v>170</v>
      </c>
      <c r="C361" s="343">
        <v>255</v>
      </c>
      <c r="D361" s="345">
        <v>1E-3</v>
      </c>
      <c r="G361" s="352" t="s">
        <v>566</v>
      </c>
      <c r="H361" s="35">
        <v>8</v>
      </c>
      <c r="I361" s="35">
        <v>73280</v>
      </c>
      <c r="J361" s="35">
        <v>1.92</v>
      </c>
    </row>
    <row r="362" spans="1:12">
      <c r="A362" t="s">
        <v>481</v>
      </c>
      <c r="B362" t="s">
        <v>170</v>
      </c>
      <c r="C362" s="342">
        <v>255</v>
      </c>
      <c r="D362" s="344">
        <v>1E-3</v>
      </c>
      <c r="G362" s="353">
        <v>9160</v>
      </c>
      <c r="H362" s="35">
        <v>8</v>
      </c>
      <c r="I362" s="35">
        <v>73280</v>
      </c>
      <c r="J362" s="35">
        <v>1.92</v>
      </c>
    </row>
    <row r="363" spans="1:12">
      <c r="A363" t="s">
        <v>481</v>
      </c>
      <c r="B363" t="s">
        <v>170</v>
      </c>
      <c r="C363" s="343">
        <v>255</v>
      </c>
      <c r="D363" s="345">
        <v>1E-3</v>
      </c>
      <c r="G363" s="352" t="s">
        <v>567</v>
      </c>
      <c r="H363" s="35">
        <v>22</v>
      </c>
      <c r="I363" s="35">
        <v>96816</v>
      </c>
      <c r="J363">
        <v>2.5500000000000003</v>
      </c>
      <c r="L363">
        <f>GETPIVOTDATA("Sum of Length (mm)",$G$4,"Product Name","Vind-X","Product Description","RHS150X150X6")/GETPIVOTDATA("Count of Length (mm)2",$G$4,"Product Name","Vind-X","Product Description","RHS150X150X6")</f>
        <v>4400.727272727273</v>
      </c>
    </row>
    <row r="364" spans="1:12">
      <c r="A364" t="s">
        <v>481</v>
      </c>
      <c r="B364" t="s">
        <v>170</v>
      </c>
      <c r="C364" s="342">
        <v>255</v>
      </c>
      <c r="D364" s="344">
        <v>1E-3</v>
      </c>
      <c r="G364" s="353">
        <v>1624</v>
      </c>
      <c r="H364" s="35">
        <v>2</v>
      </c>
      <c r="I364" s="35">
        <v>3248</v>
      </c>
      <c r="J364">
        <v>8.5999999999999993E-2</v>
      </c>
    </row>
    <row r="365" spans="1:12">
      <c r="A365" t="s">
        <v>483</v>
      </c>
      <c r="B365" t="s">
        <v>485</v>
      </c>
      <c r="C365" s="343">
        <v>5758</v>
      </c>
      <c r="D365" s="345">
        <v>0.36799999999999999</v>
      </c>
      <c r="G365" s="353">
        <v>4510</v>
      </c>
      <c r="H365" s="35">
        <v>6</v>
      </c>
      <c r="I365" s="35">
        <v>27060</v>
      </c>
      <c r="J365">
        <v>0.71399999999999997</v>
      </c>
    </row>
    <row r="366" spans="1:12">
      <c r="A366" t="s">
        <v>483</v>
      </c>
      <c r="B366" t="s">
        <v>485</v>
      </c>
      <c r="C366" s="342">
        <v>5758</v>
      </c>
      <c r="D366" s="344">
        <v>0.36799999999999999</v>
      </c>
      <c r="G366" s="353">
        <v>4524</v>
      </c>
      <c r="H366" s="35">
        <v>10</v>
      </c>
      <c r="I366" s="35">
        <v>45240</v>
      </c>
      <c r="J366">
        <v>1.19</v>
      </c>
    </row>
    <row r="367" spans="1:12">
      <c r="A367" t="s">
        <v>483</v>
      </c>
      <c r="B367" t="s">
        <v>485</v>
      </c>
      <c r="C367" s="343">
        <v>5758</v>
      </c>
      <c r="D367" s="345">
        <v>0.36799999999999999</v>
      </c>
      <c r="G367" s="353">
        <v>5310</v>
      </c>
      <c r="H367" s="35">
        <v>2</v>
      </c>
      <c r="I367" s="35">
        <v>10620</v>
      </c>
      <c r="J367">
        <v>0.28000000000000003</v>
      </c>
    </row>
    <row r="368" spans="1:12">
      <c r="A368" t="s">
        <v>483</v>
      </c>
      <c r="B368" t="s">
        <v>485</v>
      </c>
      <c r="C368" s="342">
        <v>5758</v>
      </c>
      <c r="D368" s="344">
        <v>0.36799999999999999</v>
      </c>
      <c r="G368" s="353">
        <v>5324</v>
      </c>
      <c r="H368" s="35">
        <v>2</v>
      </c>
      <c r="I368" s="35">
        <v>10648</v>
      </c>
      <c r="J368">
        <v>0.28000000000000003</v>
      </c>
    </row>
    <row r="369" spans="1:10">
      <c r="A369" t="s">
        <v>483</v>
      </c>
      <c r="B369" t="s">
        <v>485</v>
      </c>
      <c r="C369" s="343">
        <v>5758</v>
      </c>
      <c r="D369" s="345">
        <v>0.36799999999999999</v>
      </c>
      <c r="G369" s="348" t="s">
        <v>568</v>
      </c>
      <c r="H369">
        <v>446</v>
      </c>
      <c r="I369">
        <v>77970</v>
      </c>
      <c r="J369">
        <v>0.86800000000000066</v>
      </c>
    </row>
    <row r="370" spans="1:10">
      <c r="A370" t="s">
        <v>483</v>
      </c>
      <c r="B370" t="s">
        <v>485</v>
      </c>
      <c r="C370" s="342">
        <v>5758</v>
      </c>
      <c r="D370" s="344">
        <v>0.36799999999999999</v>
      </c>
      <c r="G370" s="349" t="s">
        <v>473</v>
      </c>
      <c r="H370">
        <v>14</v>
      </c>
      <c r="I370">
        <v>1960</v>
      </c>
      <c r="J370">
        <v>2.8000000000000011E-2</v>
      </c>
    </row>
    <row r="371" spans="1:10">
      <c r="A371" t="s">
        <v>483</v>
      </c>
      <c r="B371" t="s">
        <v>485</v>
      </c>
      <c r="C371" s="343">
        <v>5758</v>
      </c>
      <c r="D371" s="345">
        <v>0.36799999999999999</v>
      </c>
      <c r="G371" s="350">
        <v>140</v>
      </c>
      <c r="H371">
        <v>14</v>
      </c>
      <c r="I371">
        <v>1960</v>
      </c>
      <c r="J371">
        <v>2.8000000000000011E-2</v>
      </c>
    </row>
    <row r="372" spans="1:10">
      <c r="A372" t="s">
        <v>483</v>
      </c>
      <c r="B372" t="s">
        <v>485</v>
      </c>
      <c r="C372" s="342">
        <v>5758</v>
      </c>
      <c r="D372" s="344">
        <v>0.36799999999999999</v>
      </c>
      <c r="G372" s="349" t="s">
        <v>468</v>
      </c>
      <c r="H372">
        <v>156</v>
      </c>
      <c r="I372">
        <v>21840</v>
      </c>
      <c r="J372">
        <v>0.31200000000000022</v>
      </c>
    </row>
    <row r="373" spans="1:10">
      <c r="A373" t="s">
        <v>483</v>
      </c>
      <c r="B373" t="s">
        <v>485</v>
      </c>
      <c r="C373" s="343">
        <v>5758</v>
      </c>
      <c r="D373" s="345">
        <v>0.36799999999999999</v>
      </c>
      <c r="G373" s="350">
        <v>140</v>
      </c>
      <c r="H373">
        <v>156</v>
      </c>
      <c r="I373">
        <v>21840</v>
      </c>
      <c r="J373">
        <v>0.31200000000000022</v>
      </c>
    </row>
    <row r="374" spans="1:10">
      <c r="A374" t="s">
        <v>483</v>
      </c>
      <c r="B374" t="s">
        <v>485</v>
      </c>
      <c r="C374" s="342">
        <v>5758</v>
      </c>
      <c r="D374" s="344">
        <v>0.36799999999999999</v>
      </c>
      <c r="G374" s="349" t="s">
        <v>477</v>
      </c>
      <c r="H374">
        <v>42</v>
      </c>
      <c r="I374">
        <v>10830</v>
      </c>
      <c r="J374">
        <v>0.16800000000000012</v>
      </c>
    </row>
    <row r="375" spans="1:10">
      <c r="A375" t="s">
        <v>483</v>
      </c>
      <c r="B375" t="s">
        <v>485</v>
      </c>
      <c r="C375" s="343">
        <v>5758</v>
      </c>
      <c r="D375" s="345">
        <v>0.36799999999999999</v>
      </c>
      <c r="G375" s="350">
        <v>215</v>
      </c>
      <c r="H375">
        <v>2</v>
      </c>
      <c r="I375">
        <v>430</v>
      </c>
      <c r="J375">
        <v>8.0000000000000002E-3</v>
      </c>
    </row>
    <row r="376" spans="1:10">
      <c r="A376" t="s">
        <v>483</v>
      </c>
      <c r="B376" t="s">
        <v>485</v>
      </c>
      <c r="C376" s="342">
        <v>5758</v>
      </c>
      <c r="D376" s="344">
        <v>0.36799999999999999</v>
      </c>
      <c r="G376" s="350">
        <v>260</v>
      </c>
      <c r="H376">
        <v>40</v>
      </c>
      <c r="I376">
        <v>10400</v>
      </c>
      <c r="J376">
        <v>0.16000000000000011</v>
      </c>
    </row>
    <row r="377" spans="1:10">
      <c r="A377" t="s">
        <v>483</v>
      </c>
      <c r="B377" t="s">
        <v>485</v>
      </c>
      <c r="C377" s="343">
        <v>5758</v>
      </c>
      <c r="D377" s="345">
        <v>0.36799999999999999</v>
      </c>
      <c r="G377" s="349" t="s">
        <v>508</v>
      </c>
      <c r="H377">
        <v>16</v>
      </c>
      <c r="I377">
        <v>3760</v>
      </c>
      <c r="J377">
        <v>6.4000000000000029E-2</v>
      </c>
    </row>
    <row r="378" spans="1:10">
      <c r="A378" t="s">
        <v>483</v>
      </c>
      <c r="B378" t="s">
        <v>485</v>
      </c>
      <c r="C378" s="342">
        <v>5758</v>
      </c>
      <c r="D378" s="344">
        <v>0.36799999999999999</v>
      </c>
      <c r="G378" s="350">
        <v>235</v>
      </c>
      <c r="H378">
        <v>16</v>
      </c>
      <c r="I378">
        <v>3760</v>
      </c>
      <c r="J378">
        <v>6.4000000000000029E-2</v>
      </c>
    </row>
    <row r="379" spans="1:10">
      <c r="A379" t="s">
        <v>483</v>
      </c>
      <c r="B379" t="s">
        <v>485</v>
      </c>
      <c r="C379" s="343">
        <v>5758</v>
      </c>
      <c r="D379" s="345">
        <v>0.36799999999999999</v>
      </c>
      <c r="G379" s="349" t="s">
        <v>569</v>
      </c>
      <c r="H379">
        <v>82</v>
      </c>
      <c r="I379">
        <v>11620</v>
      </c>
      <c r="J379">
        <v>9.6000000000000071E-2</v>
      </c>
    </row>
    <row r="380" spans="1:10">
      <c r="A380" t="s">
        <v>483</v>
      </c>
      <c r="B380" t="s">
        <v>485</v>
      </c>
      <c r="C380" s="342">
        <v>5758</v>
      </c>
      <c r="D380" s="344">
        <v>0.36799999999999999</v>
      </c>
      <c r="G380" s="350">
        <v>140</v>
      </c>
      <c r="H380">
        <v>68</v>
      </c>
      <c r="I380">
        <v>9520</v>
      </c>
      <c r="J380">
        <v>6.8000000000000047E-2</v>
      </c>
    </row>
    <row r="381" spans="1:10">
      <c r="A381" t="s">
        <v>486</v>
      </c>
      <c r="B381" t="s">
        <v>148</v>
      </c>
      <c r="C381" s="343">
        <v>14891</v>
      </c>
      <c r="D381" s="345">
        <v>2.1110000000000002</v>
      </c>
      <c r="G381" s="350">
        <v>150</v>
      </c>
      <c r="H381">
        <v>14</v>
      </c>
      <c r="I381">
        <v>2100</v>
      </c>
      <c r="J381">
        <v>2.8000000000000011E-2</v>
      </c>
    </row>
    <row r="382" spans="1:10">
      <c r="A382" t="s">
        <v>486</v>
      </c>
      <c r="B382" t="s">
        <v>150</v>
      </c>
      <c r="C382" s="342">
        <v>4790</v>
      </c>
      <c r="D382" s="344">
        <v>0.14699999999999999</v>
      </c>
      <c r="G382" s="349" t="s">
        <v>570</v>
      </c>
      <c r="H382">
        <v>18</v>
      </c>
      <c r="I382">
        <v>1980</v>
      </c>
      <c r="J382">
        <v>0</v>
      </c>
    </row>
    <row r="383" spans="1:10">
      <c r="A383" t="s">
        <v>486</v>
      </c>
      <c r="B383" t="s">
        <v>150</v>
      </c>
      <c r="C383" s="343">
        <v>4790</v>
      </c>
      <c r="D383" s="345">
        <v>0.14699999999999999</v>
      </c>
      <c r="G383" s="350">
        <v>110</v>
      </c>
      <c r="H383">
        <v>18</v>
      </c>
      <c r="I383">
        <v>1980</v>
      </c>
      <c r="J383">
        <v>0</v>
      </c>
    </row>
    <row r="384" spans="1:10">
      <c r="A384" t="s">
        <v>486</v>
      </c>
      <c r="B384" t="s">
        <v>150</v>
      </c>
      <c r="C384" s="342">
        <v>4790</v>
      </c>
      <c r="D384" s="344">
        <v>0.14699999999999999</v>
      </c>
      <c r="G384" s="349" t="s">
        <v>571</v>
      </c>
      <c r="H384">
        <v>18</v>
      </c>
      <c r="I384">
        <v>1980</v>
      </c>
      <c r="J384">
        <v>0</v>
      </c>
    </row>
    <row r="385" spans="1:10">
      <c r="A385" t="s">
        <v>486</v>
      </c>
      <c r="B385" t="s">
        <v>148</v>
      </c>
      <c r="C385" s="343">
        <v>14891</v>
      </c>
      <c r="D385" s="345">
        <v>2.1110000000000002</v>
      </c>
      <c r="G385" s="350">
        <v>110</v>
      </c>
      <c r="H385">
        <v>18</v>
      </c>
      <c r="I385">
        <v>1980</v>
      </c>
      <c r="J385">
        <v>0</v>
      </c>
    </row>
    <row r="386" spans="1:10">
      <c r="A386" t="s">
        <v>486</v>
      </c>
      <c r="B386" t="s">
        <v>150</v>
      </c>
      <c r="C386" s="342">
        <v>4790</v>
      </c>
      <c r="D386" s="344">
        <v>0.14699999999999999</v>
      </c>
      <c r="G386" s="349" t="s">
        <v>572</v>
      </c>
      <c r="H386">
        <v>100</v>
      </c>
      <c r="I386">
        <v>24000</v>
      </c>
      <c r="J386">
        <v>0.20000000000000015</v>
      </c>
    </row>
    <row r="387" spans="1:10">
      <c r="A387" t="s">
        <v>486</v>
      </c>
      <c r="B387" t="s">
        <v>150</v>
      </c>
      <c r="C387" s="343">
        <v>4790</v>
      </c>
      <c r="D387" s="345">
        <v>0.14699999999999999</v>
      </c>
      <c r="G387" s="350">
        <v>240</v>
      </c>
      <c r="H387">
        <v>100</v>
      </c>
      <c r="I387">
        <v>24000</v>
      </c>
      <c r="J387">
        <v>0.20000000000000015</v>
      </c>
    </row>
    <row r="388" spans="1:10">
      <c r="A388" t="s">
        <v>486</v>
      </c>
      <c r="B388" t="s">
        <v>148</v>
      </c>
      <c r="C388" s="342">
        <v>14891</v>
      </c>
      <c r="D388" s="344">
        <v>2.1110000000000002</v>
      </c>
      <c r="G388" s="348" t="s">
        <v>573</v>
      </c>
      <c r="H388">
        <v>2693</v>
      </c>
      <c r="I388">
        <v>3670626</v>
      </c>
      <c r="J388">
        <v>145.48400000000197</v>
      </c>
    </row>
    <row r="389" spans="1:10">
      <c r="A389" t="s">
        <v>486</v>
      </c>
      <c r="B389" t="s">
        <v>150</v>
      </c>
      <c r="C389" s="343">
        <v>4700</v>
      </c>
      <c r="D389" s="345">
        <v>0.14399999999999999</v>
      </c>
    </row>
    <row r="390" spans="1:10">
      <c r="A390" t="s">
        <v>486</v>
      </c>
      <c r="B390" t="s">
        <v>150</v>
      </c>
      <c r="C390" s="342">
        <v>4790</v>
      </c>
      <c r="D390" s="344">
        <v>0.14699999999999999</v>
      </c>
    </row>
    <row r="391" spans="1:10">
      <c r="A391" t="s">
        <v>486</v>
      </c>
      <c r="B391" t="s">
        <v>150</v>
      </c>
      <c r="C391" s="343">
        <v>4790</v>
      </c>
      <c r="D391" s="345">
        <v>0.14699999999999999</v>
      </c>
    </row>
    <row r="392" spans="1:10">
      <c r="A392" t="s">
        <v>486</v>
      </c>
      <c r="B392" t="s">
        <v>150</v>
      </c>
      <c r="C392" s="342">
        <v>4790</v>
      </c>
      <c r="D392" s="344">
        <v>0.14699999999999999</v>
      </c>
    </row>
    <row r="393" spans="1:10">
      <c r="A393" t="s">
        <v>486</v>
      </c>
      <c r="B393" t="s">
        <v>150</v>
      </c>
      <c r="C393" s="343">
        <v>4790</v>
      </c>
      <c r="D393" s="345">
        <v>0.14699999999999999</v>
      </c>
    </row>
    <row r="394" spans="1:10">
      <c r="A394" t="s">
        <v>486</v>
      </c>
      <c r="B394" t="s">
        <v>150</v>
      </c>
      <c r="C394" s="342">
        <v>4700</v>
      </c>
      <c r="D394" s="344">
        <v>0.14399999999999999</v>
      </c>
    </row>
    <row r="395" spans="1:10">
      <c r="A395" t="s">
        <v>486</v>
      </c>
      <c r="B395" t="s">
        <v>150</v>
      </c>
      <c r="C395" s="343">
        <v>4790</v>
      </c>
      <c r="D395" s="345">
        <v>0.14699999999999999</v>
      </c>
    </row>
    <row r="396" spans="1:10">
      <c r="A396" t="s">
        <v>486</v>
      </c>
      <c r="B396" t="s">
        <v>150</v>
      </c>
      <c r="C396" s="342">
        <v>4790</v>
      </c>
      <c r="D396" s="344">
        <v>0.14699999999999999</v>
      </c>
    </row>
    <row r="397" spans="1:10">
      <c r="A397" t="s">
        <v>486</v>
      </c>
      <c r="B397" t="s">
        <v>149</v>
      </c>
      <c r="C397" s="343">
        <v>14841</v>
      </c>
      <c r="D397" s="345">
        <v>0.98399999999999999</v>
      </c>
    </row>
    <row r="398" spans="1:10">
      <c r="A398" t="s">
        <v>486</v>
      </c>
      <c r="B398" t="s">
        <v>148</v>
      </c>
      <c r="C398" s="342">
        <v>14891</v>
      </c>
      <c r="D398" s="344">
        <v>2.1110000000000002</v>
      </c>
    </row>
    <row r="399" spans="1:10">
      <c r="A399" t="s">
        <v>486</v>
      </c>
      <c r="B399" t="s">
        <v>148</v>
      </c>
      <c r="C399" s="343">
        <v>14891</v>
      </c>
      <c r="D399" s="345">
        <v>2.1110000000000002</v>
      </c>
    </row>
    <row r="400" spans="1:10">
      <c r="A400" t="s">
        <v>486</v>
      </c>
      <c r="B400" t="s">
        <v>149</v>
      </c>
      <c r="C400" s="342">
        <v>14810</v>
      </c>
      <c r="D400" s="344">
        <v>0.98199999999999998</v>
      </c>
    </row>
    <row r="401" spans="1:4">
      <c r="A401" t="s">
        <v>486</v>
      </c>
      <c r="B401" t="s">
        <v>149</v>
      </c>
      <c r="C401" s="343">
        <v>14810</v>
      </c>
      <c r="D401" s="345">
        <v>0.98199999999999998</v>
      </c>
    </row>
    <row r="402" spans="1:4">
      <c r="A402" t="s">
        <v>486</v>
      </c>
      <c r="B402" t="s">
        <v>148</v>
      </c>
      <c r="C402" s="342">
        <v>14891</v>
      </c>
      <c r="D402" s="344">
        <v>2.1110000000000002</v>
      </c>
    </row>
    <row r="403" spans="1:4">
      <c r="A403" t="s">
        <v>486</v>
      </c>
      <c r="B403" t="s">
        <v>148</v>
      </c>
      <c r="C403" s="343">
        <v>14891</v>
      </c>
      <c r="D403" s="345">
        <v>2.1110000000000002</v>
      </c>
    </row>
    <row r="404" spans="1:4">
      <c r="A404" t="s">
        <v>486</v>
      </c>
      <c r="B404" t="s">
        <v>148</v>
      </c>
      <c r="C404" s="342">
        <v>14891</v>
      </c>
      <c r="D404" s="344">
        <v>2.1110000000000002</v>
      </c>
    </row>
    <row r="405" spans="1:4">
      <c r="A405" t="s">
        <v>486</v>
      </c>
      <c r="B405" t="s">
        <v>148</v>
      </c>
      <c r="C405" s="343">
        <v>14891</v>
      </c>
      <c r="D405" s="345">
        <v>2.1110000000000002</v>
      </c>
    </row>
    <row r="406" spans="1:4">
      <c r="A406" t="s">
        <v>486</v>
      </c>
      <c r="B406" t="s">
        <v>148</v>
      </c>
      <c r="C406" s="342">
        <v>14891</v>
      </c>
      <c r="D406" s="344">
        <v>2.1110000000000002</v>
      </c>
    </row>
    <row r="407" spans="1:4">
      <c r="A407" t="s">
        <v>486</v>
      </c>
      <c r="B407" t="s">
        <v>148</v>
      </c>
      <c r="C407" s="343">
        <v>14891</v>
      </c>
      <c r="D407" s="345">
        <v>2.1110000000000002</v>
      </c>
    </row>
    <row r="408" spans="1:4">
      <c r="A408" t="s">
        <v>486</v>
      </c>
      <c r="B408" t="s">
        <v>148</v>
      </c>
      <c r="C408" s="342">
        <v>14891</v>
      </c>
      <c r="D408" s="344">
        <v>2.1110000000000002</v>
      </c>
    </row>
    <row r="409" spans="1:4">
      <c r="A409" t="s">
        <v>486</v>
      </c>
      <c r="B409" t="s">
        <v>148</v>
      </c>
      <c r="C409" s="343">
        <v>14891</v>
      </c>
      <c r="D409" s="345">
        <v>2.1110000000000002</v>
      </c>
    </row>
    <row r="410" spans="1:4">
      <c r="A410" t="s">
        <v>486</v>
      </c>
      <c r="B410" t="s">
        <v>148</v>
      </c>
      <c r="C410" s="342">
        <v>14891</v>
      </c>
      <c r="D410" s="344">
        <v>2.1110000000000002</v>
      </c>
    </row>
    <row r="411" spans="1:4">
      <c r="A411" t="s">
        <v>486</v>
      </c>
      <c r="B411" t="s">
        <v>148</v>
      </c>
      <c r="C411" s="343">
        <v>14891</v>
      </c>
      <c r="D411" s="345">
        <v>2.1110000000000002</v>
      </c>
    </row>
    <row r="412" spans="1:4">
      <c r="A412" t="s">
        <v>486</v>
      </c>
      <c r="B412" t="s">
        <v>148</v>
      </c>
      <c r="C412" s="342">
        <v>14891</v>
      </c>
      <c r="D412" s="344">
        <v>2.1110000000000002</v>
      </c>
    </row>
    <row r="413" spans="1:4">
      <c r="A413" t="s">
        <v>486</v>
      </c>
      <c r="B413" t="s">
        <v>149</v>
      </c>
      <c r="C413" s="343">
        <v>14841</v>
      </c>
      <c r="D413" s="345">
        <v>0.98399999999999999</v>
      </c>
    </row>
    <row r="414" spans="1:4">
      <c r="A414" t="s">
        <v>486</v>
      </c>
      <c r="B414" t="s">
        <v>487</v>
      </c>
      <c r="C414" s="342">
        <v>130</v>
      </c>
      <c r="D414" s="344">
        <v>2E-3</v>
      </c>
    </row>
    <row r="415" spans="1:4">
      <c r="A415" t="s">
        <v>486</v>
      </c>
      <c r="B415" t="s">
        <v>487</v>
      </c>
      <c r="C415" s="343">
        <v>130</v>
      </c>
      <c r="D415" s="345">
        <v>2E-3</v>
      </c>
    </row>
    <row r="416" spans="1:4">
      <c r="A416" t="s">
        <v>486</v>
      </c>
      <c r="B416" t="s">
        <v>487</v>
      </c>
      <c r="C416" s="342">
        <v>130</v>
      </c>
      <c r="D416" s="344">
        <v>2E-3</v>
      </c>
    </row>
    <row r="417" spans="1:4">
      <c r="A417" t="s">
        <v>486</v>
      </c>
      <c r="B417" t="s">
        <v>487</v>
      </c>
      <c r="C417" s="343">
        <v>130</v>
      </c>
      <c r="D417" s="345">
        <v>2E-3</v>
      </c>
    </row>
    <row r="418" spans="1:4">
      <c r="A418" t="s">
        <v>486</v>
      </c>
      <c r="B418" t="s">
        <v>487</v>
      </c>
      <c r="C418" s="342">
        <v>130</v>
      </c>
      <c r="D418" s="344">
        <v>2E-3</v>
      </c>
    </row>
    <row r="419" spans="1:4">
      <c r="A419" t="s">
        <v>486</v>
      </c>
      <c r="B419" t="s">
        <v>487</v>
      </c>
      <c r="C419" s="343">
        <v>130</v>
      </c>
      <c r="D419" s="345">
        <v>2E-3</v>
      </c>
    </row>
    <row r="420" spans="1:4">
      <c r="A420" t="s">
        <v>486</v>
      </c>
      <c r="B420" t="s">
        <v>487</v>
      </c>
      <c r="C420" s="342">
        <v>130</v>
      </c>
      <c r="D420" s="344">
        <v>2E-3</v>
      </c>
    </row>
    <row r="421" spans="1:4">
      <c r="A421" t="s">
        <v>486</v>
      </c>
      <c r="B421" t="s">
        <v>487</v>
      </c>
      <c r="C421" s="343">
        <v>130</v>
      </c>
      <c r="D421" s="345">
        <v>2E-3</v>
      </c>
    </row>
    <row r="422" spans="1:4">
      <c r="A422" t="s">
        <v>486</v>
      </c>
      <c r="B422" t="s">
        <v>487</v>
      </c>
      <c r="C422" s="342">
        <v>150</v>
      </c>
      <c r="D422" s="344">
        <v>2E-3</v>
      </c>
    </row>
    <row r="423" spans="1:4">
      <c r="A423" t="s">
        <v>486</v>
      </c>
      <c r="B423" t="s">
        <v>487</v>
      </c>
      <c r="C423" s="343">
        <v>150</v>
      </c>
      <c r="D423" s="345">
        <v>2E-3</v>
      </c>
    </row>
    <row r="424" spans="1:4">
      <c r="A424" t="s">
        <v>486</v>
      </c>
      <c r="B424" t="s">
        <v>487</v>
      </c>
      <c r="C424" s="342">
        <v>150</v>
      </c>
      <c r="D424" s="344">
        <v>2E-3</v>
      </c>
    </row>
    <row r="425" spans="1:4">
      <c r="A425" t="s">
        <v>486</v>
      </c>
      <c r="B425" t="s">
        <v>487</v>
      </c>
      <c r="C425" s="343">
        <v>150</v>
      </c>
      <c r="D425" s="345">
        <v>2E-3</v>
      </c>
    </row>
    <row r="426" spans="1:4">
      <c r="A426" t="s">
        <v>486</v>
      </c>
      <c r="B426" t="s">
        <v>487</v>
      </c>
      <c r="C426" s="342">
        <v>150</v>
      </c>
      <c r="D426" s="344">
        <v>2E-3</v>
      </c>
    </row>
    <row r="427" spans="1:4">
      <c r="A427" t="s">
        <v>486</v>
      </c>
      <c r="B427" t="s">
        <v>487</v>
      </c>
      <c r="C427" s="343">
        <v>150</v>
      </c>
      <c r="D427" s="345">
        <v>2E-3</v>
      </c>
    </row>
    <row r="428" spans="1:4">
      <c r="A428" t="s">
        <v>486</v>
      </c>
      <c r="B428" t="s">
        <v>487</v>
      </c>
      <c r="C428" s="342">
        <v>150</v>
      </c>
      <c r="D428" s="344">
        <v>2E-3</v>
      </c>
    </row>
    <row r="429" spans="1:4">
      <c r="A429" t="s">
        <v>486</v>
      </c>
      <c r="B429" t="s">
        <v>487</v>
      </c>
      <c r="C429" s="343">
        <v>150</v>
      </c>
      <c r="D429" s="345">
        <v>2E-3</v>
      </c>
    </row>
    <row r="430" spans="1:4">
      <c r="A430" t="s">
        <v>486</v>
      </c>
      <c r="B430" t="s">
        <v>487</v>
      </c>
      <c r="C430" s="342">
        <v>150</v>
      </c>
      <c r="D430" s="344">
        <v>2E-3</v>
      </c>
    </row>
    <row r="431" spans="1:4">
      <c r="A431" t="s">
        <v>486</v>
      </c>
      <c r="B431" t="s">
        <v>487</v>
      </c>
      <c r="C431" s="343">
        <v>150</v>
      </c>
      <c r="D431" s="345">
        <v>2E-3</v>
      </c>
    </row>
    <row r="432" spans="1:4">
      <c r="A432" t="s">
        <v>486</v>
      </c>
      <c r="B432" t="s">
        <v>487</v>
      </c>
      <c r="C432" s="342">
        <v>150</v>
      </c>
      <c r="D432" s="344">
        <v>2E-3</v>
      </c>
    </row>
    <row r="433" spans="1:4">
      <c r="A433" t="s">
        <v>486</v>
      </c>
      <c r="B433" t="s">
        <v>487</v>
      </c>
      <c r="C433" s="343">
        <v>150</v>
      </c>
      <c r="D433" s="345">
        <v>2E-3</v>
      </c>
    </row>
    <row r="434" spans="1:4">
      <c r="A434" t="s">
        <v>486</v>
      </c>
      <c r="B434" t="s">
        <v>487</v>
      </c>
      <c r="C434" s="342">
        <v>150</v>
      </c>
      <c r="D434" s="344">
        <v>2E-3</v>
      </c>
    </row>
    <row r="435" spans="1:4">
      <c r="A435" t="s">
        <v>486</v>
      </c>
      <c r="B435" t="s">
        <v>487</v>
      </c>
      <c r="C435" s="343">
        <v>150</v>
      </c>
      <c r="D435" s="345">
        <v>2E-3</v>
      </c>
    </row>
    <row r="436" spans="1:4">
      <c r="A436" t="s">
        <v>486</v>
      </c>
      <c r="B436" t="s">
        <v>487</v>
      </c>
      <c r="C436" s="342">
        <v>150</v>
      </c>
      <c r="D436" s="344">
        <v>2E-3</v>
      </c>
    </row>
    <row r="437" spans="1:4">
      <c r="A437" t="s">
        <v>486</v>
      </c>
      <c r="B437" t="s">
        <v>487</v>
      </c>
      <c r="C437" s="343">
        <v>150</v>
      </c>
      <c r="D437" s="345">
        <v>2E-3</v>
      </c>
    </row>
    <row r="438" spans="1:4">
      <c r="A438" t="s">
        <v>486</v>
      </c>
      <c r="B438" t="s">
        <v>489</v>
      </c>
      <c r="C438" s="342">
        <v>1260</v>
      </c>
      <c r="D438" s="344">
        <v>6.0000000000000001E-3</v>
      </c>
    </row>
    <row r="439" spans="1:4">
      <c r="A439" t="s">
        <v>486</v>
      </c>
      <c r="B439" t="s">
        <v>489</v>
      </c>
      <c r="C439" s="343">
        <v>3300</v>
      </c>
      <c r="D439" s="345">
        <v>1.4999999999999999E-2</v>
      </c>
    </row>
    <row r="440" spans="1:4">
      <c r="A440" t="s">
        <v>486</v>
      </c>
      <c r="B440" t="s">
        <v>489</v>
      </c>
      <c r="C440" s="342">
        <v>500</v>
      </c>
      <c r="D440" s="344">
        <v>2E-3</v>
      </c>
    </row>
    <row r="441" spans="1:4">
      <c r="A441" t="s">
        <v>486</v>
      </c>
      <c r="B441" t="s">
        <v>489</v>
      </c>
      <c r="C441" s="343">
        <v>690</v>
      </c>
      <c r="D441" s="345">
        <v>3.0000000000000001E-3</v>
      </c>
    </row>
    <row r="442" spans="1:4">
      <c r="A442" t="s">
        <v>486</v>
      </c>
      <c r="B442" t="s">
        <v>489</v>
      </c>
      <c r="C442" s="342">
        <v>1090</v>
      </c>
      <c r="D442" s="344">
        <v>5.0000000000000001E-3</v>
      </c>
    </row>
    <row r="443" spans="1:4">
      <c r="A443" t="s">
        <v>486</v>
      </c>
      <c r="B443" t="s">
        <v>489</v>
      </c>
      <c r="C443" s="343">
        <v>1090</v>
      </c>
      <c r="D443" s="345">
        <v>5.0000000000000001E-3</v>
      </c>
    </row>
    <row r="444" spans="1:4">
      <c r="A444" t="s">
        <v>486</v>
      </c>
      <c r="B444" t="s">
        <v>489</v>
      </c>
      <c r="C444" s="342">
        <v>3300</v>
      </c>
      <c r="D444" s="344">
        <v>1.4999999999999999E-2</v>
      </c>
    </row>
    <row r="445" spans="1:4">
      <c r="A445" t="s">
        <v>486</v>
      </c>
      <c r="B445" t="s">
        <v>489</v>
      </c>
      <c r="C445" s="343">
        <v>500</v>
      </c>
      <c r="D445" s="345">
        <v>2E-3</v>
      </c>
    </row>
    <row r="446" spans="1:4">
      <c r="A446" t="s">
        <v>492</v>
      </c>
      <c r="B446" t="s">
        <v>479</v>
      </c>
      <c r="C446" s="342">
        <v>488</v>
      </c>
      <c r="D446" s="344">
        <v>2.9000000000000001E-2</v>
      </c>
    </row>
    <row r="447" spans="1:4">
      <c r="A447" t="s">
        <v>492</v>
      </c>
      <c r="B447" t="s">
        <v>479</v>
      </c>
      <c r="C447" s="343">
        <v>488</v>
      </c>
      <c r="D447" s="345">
        <v>2.9000000000000001E-2</v>
      </c>
    </row>
    <row r="448" spans="1:4">
      <c r="A448" t="s">
        <v>492</v>
      </c>
      <c r="B448" t="s">
        <v>479</v>
      </c>
      <c r="C448" s="342">
        <v>488</v>
      </c>
      <c r="D448" s="344">
        <v>2.9000000000000001E-2</v>
      </c>
    </row>
    <row r="449" spans="1:4">
      <c r="A449" t="s">
        <v>492</v>
      </c>
      <c r="B449" t="s">
        <v>479</v>
      </c>
      <c r="C449" s="343">
        <v>488</v>
      </c>
      <c r="D449" s="345">
        <v>2.9000000000000001E-2</v>
      </c>
    </row>
    <row r="450" spans="1:4">
      <c r="A450" t="s">
        <v>492</v>
      </c>
      <c r="B450" t="s">
        <v>479</v>
      </c>
      <c r="C450" s="342">
        <v>488</v>
      </c>
      <c r="D450" s="344">
        <v>2.9000000000000001E-2</v>
      </c>
    </row>
    <row r="451" spans="1:4">
      <c r="A451" t="s">
        <v>492</v>
      </c>
      <c r="B451" t="s">
        <v>479</v>
      </c>
      <c r="C451" s="343">
        <v>488</v>
      </c>
      <c r="D451" s="345">
        <v>2.9000000000000001E-2</v>
      </c>
    </row>
    <row r="452" spans="1:4">
      <c r="A452" t="s">
        <v>492</v>
      </c>
      <c r="B452" t="s">
        <v>479</v>
      </c>
      <c r="C452" s="342">
        <v>488</v>
      </c>
      <c r="D452" s="344">
        <v>2.9000000000000001E-2</v>
      </c>
    </row>
    <row r="453" spans="1:4">
      <c r="A453" t="s">
        <v>492</v>
      </c>
      <c r="B453" t="s">
        <v>479</v>
      </c>
      <c r="C453" s="343">
        <v>488</v>
      </c>
      <c r="D453" s="345">
        <v>2.9000000000000001E-2</v>
      </c>
    </row>
    <row r="454" spans="1:4">
      <c r="A454" t="s">
        <v>492</v>
      </c>
      <c r="B454" t="s">
        <v>479</v>
      </c>
      <c r="C454" s="342">
        <v>488</v>
      </c>
      <c r="D454" s="344">
        <v>2.9000000000000001E-2</v>
      </c>
    </row>
    <row r="455" spans="1:4">
      <c r="A455" t="s">
        <v>492</v>
      </c>
      <c r="B455" t="s">
        <v>479</v>
      </c>
      <c r="C455" s="343">
        <v>488</v>
      </c>
      <c r="D455" s="345">
        <v>2.9000000000000001E-2</v>
      </c>
    </row>
    <row r="456" spans="1:4">
      <c r="A456" t="s">
        <v>492</v>
      </c>
      <c r="B456" t="s">
        <v>479</v>
      </c>
      <c r="C456" s="342">
        <v>488</v>
      </c>
      <c r="D456" s="344">
        <v>2.9000000000000001E-2</v>
      </c>
    </row>
    <row r="457" spans="1:4">
      <c r="A457" t="s">
        <v>492</v>
      </c>
      <c r="B457" t="s">
        <v>479</v>
      </c>
      <c r="C457" s="343">
        <v>488</v>
      </c>
      <c r="D457" s="345">
        <v>2.9000000000000001E-2</v>
      </c>
    </row>
    <row r="458" spans="1:4">
      <c r="A458" t="s">
        <v>492</v>
      </c>
      <c r="B458" t="s">
        <v>479</v>
      </c>
      <c r="C458" s="342">
        <v>488</v>
      </c>
      <c r="D458" s="344">
        <v>2.9000000000000001E-2</v>
      </c>
    </row>
    <row r="459" spans="1:4">
      <c r="A459" t="s">
        <v>492</v>
      </c>
      <c r="B459" t="s">
        <v>479</v>
      </c>
      <c r="C459" s="343">
        <v>488</v>
      </c>
      <c r="D459" s="345">
        <v>2.9000000000000001E-2</v>
      </c>
    </row>
    <row r="460" spans="1:4">
      <c r="A460" t="s">
        <v>492</v>
      </c>
      <c r="B460" t="s">
        <v>479</v>
      </c>
      <c r="C460" s="342">
        <v>488</v>
      </c>
      <c r="D460" s="344">
        <v>2.9000000000000001E-2</v>
      </c>
    </row>
    <row r="461" spans="1:4">
      <c r="A461" t="s">
        <v>492</v>
      </c>
      <c r="B461" t="s">
        <v>479</v>
      </c>
      <c r="C461" s="343">
        <v>488</v>
      </c>
      <c r="D461" s="345">
        <v>2.9000000000000001E-2</v>
      </c>
    </row>
    <row r="462" spans="1:4">
      <c r="A462" t="s">
        <v>492</v>
      </c>
      <c r="B462" t="s">
        <v>468</v>
      </c>
      <c r="C462" s="342">
        <v>140</v>
      </c>
      <c r="D462" s="344">
        <v>2E-3</v>
      </c>
    </row>
    <row r="463" spans="1:4">
      <c r="A463" t="s">
        <v>492</v>
      </c>
      <c r="B463" t="s">
        <v>468</v>
      </c>
      <c r="C463" s="343">
        <v>140</v>
      </c>
      <c r="D463" s="345">
        <v>2E-3</v>
      </c>
    </row>
    <row r="464" spans="1:4">
      <c r="A464" t="s">
        <v>492</v>
      </c>
      <c r="B464" t="s">
        <v>468</v>
      </c>
      <c r="C464" s="342">
        <v>140</v>
      </c>
      <c r="D464" s="344">
        <v>2E-3</v>
      </c>
    </row>
    <row r="465" spans="1:4">
      <c r="A465" t="s">
        <v>492</v>
      </c>
      <c r="B465" t="s">
        <v>468</v>
      </c>
      <c r="C465" s="343">
        <v>140</v>
      </c>
      <c r="D465" s="345">
        <v>2E-3</v>
      </c>
    </row>
    <row r="466" spans="1:4">
      <c r="A466" t="s">
        <v>492</v>
      </c>
      <c r="B466" t="s">
        <v>468</v>
      </c>
      <c r="C466" s="342">
        <v>140</v>
      </c>
      <c r="D466" s="344">
        <v>2E-3</v>
      </c>
    </row>
    <row r="467" spans="1:4">
      <c r="A467" t="s">
        <v>492</v>
      </c>
      <c r="B467" t="s">
        <v>468</v>
      </c>
      <c r="C467" s="343">
        <v>140</v>
      </c>
      <c r="D467" s="345">
        <v>2E-3</v>
      </c>
    </row>
    <row r="468" spans="1:4">
      <c r="A468" t="s">
        <v>492</v>
      </c>
      <c r="B468" t="s">
        <v>468</v>
      </c>
      <c r="C468" s="342">
        <v>140</v>
      </c>
      <c r="D468" s="344">
        <v>2E-3</v>
      </c>
    </row>
    <row r="469" spans="1:4">
      <c r="A469" t="s">
        <v>492</v>
      </c>
      <c r="B469" t="s">
        <v>468</v>
      </c>
      <c r="C469" s="343">
        <v>140</v>
      </c>
      <c r="D469" s="345">
        <v>2E-3</v>
      </c>
    </row>
    <row r="470" spans="1:4">
      <c r="A470" t="s">
        <v>492</v>
      </c>
      <c r="B470" t="s">
        <v>468</v>
      </c>
      <c r="C470" s="342">
        <v>140</v>
      </c>
      <c r="D470" s="344">
        <v>2E-3</v>
      </c>
    </row>
    <row r="471" spans="1:4">
      <c r="A471" t="s">
        <v>492</v>
      </c>
      <c r="B471" t="s">
        <v>468</v>
      </c>
      <c r="C471" s="343">
        <v>140</v>
      </c>
      <c r="D471" s="345">
        <v>2E-3</v>
      </c>
    </row>
    <row r="472" spans="1:4">
      <c r="A472" t="s">
        <v>492</v>
      </c>
      <c r="B472" t="s">
        <v>468</v>
      </c>
      <c r="C472" s="342">
        <v>140</v>
      </c>
      <c r="D472" s="344">
        <v>2E-3</v>
      </c>
    </row>
    <row r="473" spans="1:4">
      <c r="A473" t="s">
        <v>492</v>
      </c>
      <c r="B473" t="s">
        <v>468</v>
      </c>
      <c r="C473" s="343">
        <v>140</v>
      </c>
      <c r="D473" s="345">
        <v>2E-3</v>
      </c>
    </row>
    <row r="474" spans="1:4">
      <c r="A474" t="s">
        <v>492</v>
      </c>
      <c r="B474" t="s">
        <v>468</v>
      </c>
      <c r="C474" s="342">
        <v>140</v>
      </c>
      <c r="D474" s="344">
        <v>2E-3</v>
      </c>
    </row>
    <row r="475" spans="1:4">
      <c r="A475" t="s">
        <v>492</v>
      </c>
      <c r="B475" t="s">
        <v>468</v>
      </c>
      <c r="C475" s="343">
        <v>140</v>
      </c>
      <c r="D475" s="345">
        <v>2E-3</v>
      </c>
    </row>
    <row r="476" spans="1:4">
      <c r="A476" t="s">
        <v>492</v>
      </c>
      <c r="B476" t="s">
        <v>468</v>
      </c>
      <c r="C476" s="342">
        <v>140</v>
      </c>
      <c r="D476" s="344">
        <v>2E-3</v>
      </c>
    </row>
    <row r="477" spans="1:4">
      <c r="A477" t="s">
        <v>492</v>
      </c>
      <c r="B477" t="s">
        <v>468</v>
      </c>
      <c r="C477" s="343">
        <v>140</v>
      </c>
      <c r="D477" s="345">
        <v>2E-3</v>
      </c>
    </row>
    <row r="478" spans="1:4">
      <c r="A478" t="s">
        <v>492</v>
      </c>
      <c r="B478" t="s">
        <v>468</v>
      </c>
      <c r="C478" s="342">
        <v>140</v>
      </c>
      <c r="D478" s="344">
        <v>2E-3</v>
      </c>
    </row>
    <row r="479" spans="1:4">
      <c r="A479" t="s">
        <v>492</v>
      </c>
      <c r="B479" t="s">
        <v>468</v>
      </c>
      <c r="C479" s="343">
        <v>140</v>
      </c>
      <c r="D479" s="345">
        <v>2E-3</v>
      </c>
    </row>
    <row r="480" spans="1:4">
      <c r="A480" t="s">
        <v>492</v>
      </c>
      <c r="B480" t="s">
        <v>468</v>
      </c>
      <c r="C480" s="342">
        <v>140</v>
      </c>
      <c r="D480" s="344">
        <v>2E-3</v>
      </c>
    </row>
    <row r="481" spans="1:4">
      <c r="A481" t="s">
        <v>492</v>
      </c>
      <c r="B481" t="s">
        <v>468</v>
      </c>
      <c r="C481" s="343">
        <v>140</v>
      </c>
      <c r="D481" s="345">
        <v>2E-3</v>
      </c>
    </row>
    <row r="482" spans="1:4">
      <c r="A482" t="s">
        <v>492</v>
      </c>
      <c r="B482" t="s">
        <v>468</v>
      </c>
      <c r="C482" s="342">
        <v>140</v>
      </c>
      <c r="D482" s="344">
        <v>2E-3</v>
      </c>
    </row>
    <row r="483" spans="1:4">
      <c r="A483" t="s">
        <v>492</v>
      </c>
      <c r="B483" t="s">
        <v>468</v>
      </c>
      <c r="C483" s="343">
        <v>140</v>
      </c>
      <c r="D483" s="345">
        <v>2E-3</v>
      </c>
    </row>
    <row r="484" spans="1:4">
      <c r="A484" t="s">
        <v>492</v>
      </c>
      <c r="B484" t="s">
        <v>468</v>
      </c>
      <c r="C484" s="342">
        <v>140</v>
      </c>
      <c r="D484" s="344">
        <v>2E-3</v>
      </c>
    </row>
    <row r="485" spans="1:4">
      <c r="A485" t="s">
        <v>492</v>
      </c>
      <c r="B485" t="s">
        <v>468</v>
      </c>
      <c r="C485" s="343">
        <v>140</v>
      </c>
      <c r="D485" s="345">
        <v>2E-3</v>
      </c>
    </row>
    <row r="486" spans="1:4">
      <c r="A486" t="s">
        <v>492</v>
      </c>
      <c r="B486" t="s">
        <v>468</v>
      </c>
      <c r="C486" s="342">
        <v>140</v>
      </c>
      <c r="D486" s="344">
        <v>2E-3</v>
      </c>
    </row>
    <row r="487" spans="1:4">
      <c r="A487" t="s">
        <v>492</v>
      </c>
      <c r="B487" t="s">
        <v>468</v>
      </c>
      <c r="C487" s="343">
        <v>140</v>
      </c>
      <c r="D487" s="345">
        <v>2E-3</v>
      </c>
    </row>
    <row r="488" spans="1:4">
      <c r="A488" t="s">
        <v>492</v>
      </c>
      <c r="B488" t="s">
        <v>468</v>
      </c>
      <c r="C488" s="342">
        <v>140</v>
      </c>
      <c r="D488" s="344">
        <v>2E-3</v>
      </c>
    </row>
    <row r="489" spans="1:4">
      <c r="A489" t="s">
        <v>492</v>
      </c>
      <c r="B489" t="s">
        <v>468</v>
      </c>
      <c r="C489" s="343">
        <v>140</v>
      </c>
      <c r="D489" s="345">
        <v>2E-3</v>
      </c>
    </row>
    <row r="490" spans="1:4">
      <c r="A490" t="s">
        <v>492</v>
      </c>
      <c r="B490" t="s">
        <v>468</v>
      </c>
      <c r="C490" s="342">
        <v>140</v>
      </c>
      <c r="D490" s="344">
        <v>2E-3</v>
      </c>
    </row>
    <row r="491" spans="1:4">
      <c r="A491" t="s">
        <v>492</v>
      </c>
      <c r="B491" t="s">
        <v>468</v>
      </c>
      <c r="C491" s="343">
        <v>140</v>
      </c>
      <c r="D491" s="345">
        <v>2E-3</v>
      </c>
    </row>
    <row r="492" spans="1:4">
      <c r="A492" t="s">
        <v>492</v>
      </c>
      <c r="B492" t="s">
        <v>468</v>
      </c>
      <c r="C492" s="342">
        <v>140</v>
      </c>
      <c r="D492" s="344">
        <v>2E-3</v>
      </c>
    </row>
    <row r="493" spans="1:4">
      <c r="A493" t="s">
        <v>492</v>
      </c>
      <c r="B493" t="s">
        <v>468</v>
      </c>
      <c r="C493" s="343">
        <v>140</v>
      </c>
      <c r="D493" s="345">
        <v>2E-3</v>
      </c>
    </row>
    <row r="494" spans="1:4">
      <c r="A494" t="s">
        <v>492</v>
      </c>
      <c r="B494" t="s">
        <v>468</v>
      </c>
      <c r="C494" s="342">
        <v>120</v>
      </c>
      <c r="D494" s="344">
        <v>2E-3</v>
      </c>
    </row>
    <row r="495" spans="1:4">
      <c r="A495" t="s">
        <v>492</v>
      </c>
      <c r="B495" t="s">
        <v>468</v>
      </c>
      <c r="C495" s="343">
        <v>120</v>
      </c>
      <c r="D495" s="345">
        <v>2E-3</v>
      </c>
    </row>
    <row r="496" spans="1:4">
      <c r="A496" t="s">
        <v>492</v>
      </c>
      <c r="B496" t="s">
        <v>502</v>
      </c>
      <c r="C496" s="342">
        <v>140</v>
      </c>
      <c r="D496" s="344">
        <v>1E-3</v>
      </c>
    </row>
    <row r="497" spans="1:4">
      <c r="A497" t="s">
        <v>492</v>
      </c>
      <c r="B497" t="s">
        <v>502</v>
      </c>
      <c r="C497" s="343">
        <v>140</v>
      </c>
      <c r="D497" s="345">
        <v>1E-3</v>
      </c>
    </row>
    <row r="498" spans="1:4">
      <c r="A498" t="s">
        <v>492</v>
      </c>
      <c r="B498" t="s">
        <v>502</v>
      </c>
      <c r="C498" s="342">
        <v>140</v>
      </c>
      <c r="D498" s="344">
        <v>1E-3</v>
      </c>
    </row>
    <row r="499" spans="1:4">
      <c r="A499" t="s">
        <v>492</v>
      </c>
      <c r="B499" t="s">
        <v>502</v>
      </c>
      <c r="C499" s="343">
        <v>140</v>
      </c>
      <c r="D499" s="345">
        <v>1E-3</v>
      </c>
    </row>
    <row r="500" spans="1:4">
      <c r="A500" t="s">
        <v>492</v>
      </c>
      <c r="B500" t="s">
        <v>502</v>
      </c>
      <c r="C500" s="342">
        <v>140</v>
      </c>
      <c r="D500" s="344">
        <v>1E-3</v>
      </c>
    </row>
    <row r="501" spans="1:4">
      <c r="A501" t="s">
        <v>492</v>
      </c>
      <c r="B501" t="s">
        <v>502</v>
      </c>
      <c r="C501" s="343">
        <v>140</v>
      </c>
      <c r="D501" s="345">
        <v>1E-3</v>
      </c>
    </row>
    <row r="502" spans="1:4">
      <c r="A502" t="s">
        <v>492</v>
      </c>
      <c r="B502" t="s">
        <v>502</v>
      </c>
      <c r="C502" s="342">
        <v>140</v>
      </c>
      <c r="D502" s="344">
        <v>1E-3</v>
      </c>
    </row>
    <row r="503" spans="1:4">
      <c r="A503" t="s">
        <v>492</v>
      </c>
      <c r="B503" t="s">
        <v>502</v>
      </c>
      <c r="C503" s="343">
        <v>140</v>
      </c>
      <c r="D503" s="345">
        <v>1E-3</v>
      </c>
    </row>
    <row r="504" spans="1:4">
      <c r="A504" t="s">
        <v>492</v>
      </c>
      <c r="B504" t="s">
        <v>502</v>
      </c>
      <c r="C504" s="342">
        <v>140</v>
      </c>
      <c r="D504" s="344">
        <v>1E-3</v>
      </c>
    </row>
    <row r="505" spans="1:4">
      <c r="A505" t="s">
        <v>492</v>
      </c>
      <c r="B505" t="s">
        <v>502</v>
      </c>
      <c r="C505" s="343">
        <v>140</v>
      </c>
      <c r="D505" s="345">
        <v>1E-3</v>
      </c>
    </row>
    <row r="506" spans="1:4">
      <c r="A506" t="s">
        <v>492</v>
      </c>
      <c r="B506" t="s">
        <v>502</v>
      </c>
      <c r="C506" s="342">
        <v>140</v>
      </c>
      <c r="D506" s="344">
        <v>1E-3</v>
      </c>
    </row>
    <row r="507" spans="1:4">
      <c r="A507" t="s">
        <v>492</v>
      </c>
      <c r="B507" t="s">
        <v>502</v>
      </c>
      <c r="C507" s="343">
        <v>140</v>
      </c>
      <c r="D507" s="345">
        <v>1E-3</v>
      </c>
    </row>
    <row r="508" spans="1:4">
      <c r="A508" t="s">
        <v>492</v>
      </c>
      <c r="B508" t="s">
        <v>502</v>
      </c>
      <c r="C508" s="342">
        <v>140</v>
      </c>
      <c r="D508" s="344">
        <v>1E-3</v>
      </c>
    </row>
    <row r="509" spans="1:4">
      <c r="A509" t="s">
        <v>492</v>
      </c>
      <c r="B509" t="s">
        <v>502</v>
      </c>
      <c r="C509" s="343">
        <v>140</v>
      </c>
      <c r="D509" s="345">
        <v>1E-3</v>
      </c>
    </row>
    <row r="510" spans="1:4">
      <c r="A510" t="s">
        <v>492</v>
      </c>
      <c r="B510" t="s">
        <v>502</v>
      </c>
      <c r="C510" s="342">
        <v>140</v>
      </c>
      <c r="D510" s="344">
        <v>1E-3</v>
      </c>
    </row>
    <row r="511" spans="1:4">
      <c r="A511" t="s">
        <v>492</v>
      </c>
      <c r="B511" t="s">
        <v>502</v>
      </c>
      <c r="C511" s="343">
        <v>140</v>
      </c>
      <c r="D511" s="345">
        <v>1E-3</v>
      </c>
    </row>
    <row r="512" spans="1:4">
      <c r="A512" t="s">
        <v>492</v>
      </c>
      <c r="B512" t="s">
        <v>502</v>
      </c>
      <c r="C512" s="342">
        <v>140</v>
      </c>
      <c r="D512" s="344">
        <v>1E-3</v>
      </c>
    </row>
    <row r="513" spans="1:4">
      <c r="A513" t="s">
        <v>492</v>
      </c>
      <c r="B513" t="s">
        <v>502</v>
      </c>
      <c r="C513" s="343">
        <v>140</v>
      </c>
      <c r="D513" s="345">
        <v>1E-3</v>
      </c>
    </row>
    <row r="514" spans="1:4">
      <c r="A514" t="s">
        <v>492</v>
      </c>
      <c r="B514" t="s">
        <v>502</v>
      </c>
      <c r="C514" s="342">
        <v>140</v>
      </c>
      <c r="D514" s="344">
        <v>1E-3</v>
      </c>
    </row>
    <row r="515" spans="1:4">
      <c r="A515" t="s">
        <v>492</v>
      </c>
      <c r="B515" t="s">
        <v>502</v>
      </c>
      <c r="C515" s="343">
        <v>140</v>
      </c>
      <c r="D515" s="345">
        <v>1E-3</v>
      </c>
    </row>
    <row r="516" spans="1:4">
      <c r="A516" t="s">
        <v>492</v>
      </c>
      <c r="B516" t="s">
        <v>502</v>
      </c>
      <c r="C516" s="342">
        <v>140</v>
      </c>
      <c r="D516" s="344">
        <v>1E-3</v>
      </c>
    </row>
    <row r="517" spans="1:4">
      <c r="A517" t="s">
        <v>492</v>
      </c>
      <c r="B517" t="s">
        <v>502</v>
      </c>
      <c r="C517" s="343">
        <v>140</v>
      </c>
      <c r="D517" s="345">
        <v>1E-3</v>
      </c>
    </row>
    <row r="518" spans="1:4">
      <c r="A518" t="s">
        <v>492</v>
      </c>
      <c r="B518" t="s">
        <v>502</v>
      </c>
      <c r="C518" s="342">
        <v>140</v>
      </c>
      <c r="D518" s="344">
        <v>1E-3</v>
      </c>
    </row>
    <row r="519" spans="1:4">
      <c r="A519" t="s">
        <v>492</v>
      </c>
      <c r="B519" t="s">
        <v>502</v>
      </c>
      <c r="C519" s="343">
        <v>140</v>
      </c>
      <c r="D519" s="345">
        <v>1E-3</v>
      </c>
    </row>
    <row r="520" spans="1:4">
      <c r="A520" t="s">
        <v>492</v>
      </c>
      <c r="B520" t="s">
        <v>502</v>
      </c>
      <c r="C520" s="342">
        <v>140</v>
      </c>
      <c r="D520" s="344">
        <v>1E-3</v>
      </c>
    </row>
    <row r="521" spans="1:4">
      <c r="A521" t="s">
        <v>492</v>
      </c>
      <c r="B521" t="s">
        <v>502</v>
      </c>
      <c r="C521" s="343">
        <v>140</v>
      </c>
      <c r="D521" s="345">
        <v>1E-3</v>
      </c>
    </row>
    <row r="522" spans="1:4">
      <c r="A522" t="s">
        <v>492</v>
      </c>
      <c r="B522" t="s">
        <v>502</v>
      </c>
      <c r="C522" s="342">
        <v>140</v>
      </c>
      <c r="D522" s="344">
        <v>1E-3</v>
      </c>
    </row>
    <row r="523" spans="1:4">
      <c r="A523" t="s">
        <v>492</v>
      </c>
      <c r="B523" t="s">
        <v>502</v>
      </c>
      <c r="C523" s="343">
        <v>140</v>
      </c>
      <c r="D523" s="345">
        <v>1E-3</v>
      </c>
    </row>
    <row r="524" spans="1:4">
      <c r="A524" t="s">
        <v>492</v>
      </c>
      <c r="B524" t="s">
        <v>502</v>
      </c>
      <c r="C524" s="342">
        <v>140</v>
      </c>
      <c r="D524" s="344">
        <v>1E-3</v>
      </c>
    </row>
    <row r="525" spans="1:4">
      <c r="A525" t="s">
        <v>492</v>
      </c>
      <c r="B525" t="s">
        <v>502</v>
      </c>
      <c r="C525" s="343">
        <v>140</v>
      </c>
      <c r="D525" s="345">
        <v>1E-3</v>
      </c>
    </row>
    <row r="526" spans="1:4">
      <c r="A526" t="s">
        <v>492</v>
      </c>
      <c r="B526" t="s">
        <v>502</v>
      </c>
      <c r="C526" s="342">
        <v>140</v>
      </c>
      <c r="D526" s="344">
        <v>1E-3</v>
      </c>
    </row>
    <row r="527" spans="1:4">
      <c r="A527" t="s">
        <v>492</v>
      </c>
      <c r="B527" t="s">
        <v>502</v>
      </c>
      <c r="C527" s="343">
        <v>140</v>
      </c>
      <c r="D527" s="345">
        <v>1E-3</v>
      </c>
    </row>
    <row r="528" spans="1:4">
      <c r="A528" t="s">
        <v>492</v>
      </c>
      <c r="B528" t="s">
        <v>502</v>
      </c>
      <c r="C528" s="342">
        <v>140</v>
      </c>
      <c r="D528" s="344">
        <v>1E-3</v>
      </c>
    </row>
    <row r="529" spans="1:4">
      <c r="A529" t="s">
        <v>492</v>
      </c>
      <c r="B529" t="s">
        <v>502</v>
      </c>
      <c r="C529" s="343">
        <v>140</v>
      </c>
      <c r="D529" s="345">
        <v>1E-3</v>
      </c>
    </row>
    <row r="530" spans="1:4">
      <c r="A530" t="s">
        <v>492</v>
      </c>
      <c r="B530" t="s">
        <v>502</v>
      </c>
      <c r="C530" s="342">
        <v>140</v>
      </c>
      <c r="D530" s="344">
        <v>1E-3</v>
      </c>
    </row>
    <row r="531" spans="1:4">
      <c r="A531" t="s">
        <v>492</v>
      </c>
      <c r="B531" t="s">
        <v>502</v>
      </c>
      <c r="C531" s="343">
        <v>140</v>
      </c>
      <c r="D531" s="345">
        <v>1E-3</v>
      </c>
    </row>
    <row r="532" spans="1:4">
      <c r="A532" t="s">
        <v>492</v>
      </c>
      <c r="B532" t="s">
        <v>502</v>
      </c>
      <c r="C532" s="342">
        <v>140</v>
      </c>
      <c r="D532" s="344">
        <v>1E-3</v>
      </c>
    </row>
    <row r="533" spans="1:4">
      <c r="A533" t="s">
        <v>492</v>
      </c>
      <c r="B533" t="s">
        <v>502</v>
      </c>
      <c r="C533" s="343">
        <v>140</v>
      </c>
      <c r="D533" s="345">
        <v>1E-3</v>
      </c>
    </row>
    <row r="534" spans="1:4">
      <c r="A534" t="s">
        <v>492</v>
      </c>
      <c r="B534" t="s">
        <v>502</v>
      </c>
      <c r="C534" s="342">
        <v>140</v>
      </c>
      <c r="D534" s="344">
        <v>1E-3</v>
      </c>
    </row>
    <row r="535" spans="1:4">
      <c r="A535" t="s">
        <v>492</v>
      </c>
      <c r="B535" t="s">
        <v>502</v>
      </c>
      <c r="C535" s="343">
        <v>140</v>
      </c>
      <c r="D535" s="345">
        <v>1E-3</v>
      </c>
    </row>
    <row r="536" spans="1:4">
      <c r="A536" t="s">
        <v>492</v>
      </c>
      <c r="B536" t="s">
        <v>502</v>
      </c>
      <c r="C536" s="342">
        <v>140</v>
      </c>
      <c r="D536" s="344">
        <v>1E-3</v>
      </c>
    </row>
    <row r="537" spans="1:4">
      <c r="A537" t="s">
        <v>492</v>
      </c>
      <c r="B537" t="s">
        <v>502</v>
      </c>
      <c r="C537" s="343">
        <v>140</v>
      </c>
      <c r="D537" s="345">
        <v>1E-3</v>
      </c>
    </row>
    <row r="538" spans="1:4">
      <c r="A538" t="s">
        <v>492</v>
      </c>
      <c r="B538" t="s">
        <v>502</v>
      </c>
      <c r="C538" s="342">
        <v>140</v>
      </c>
      <c r="D538" s="344">
        <v>1E-3</v>
      </c>
    </row>
    <row r="539" spans="1:4">
      <c r="A539" t="s">
        <v>492</v>
      </c>
      <c r="B539" t="s">
        <v>502</v>
      </c>
      <c r="C539" s="343">
        <v>140</v>
      </c>
      <c r="D539" s="345">
        <v>1E-3</v>
      </c>
    </row>
    <row r="540" spans="1:4">
      <c r="A540" t="s">
        <v>492</v>
      </c>
      <c r="B540" t="s">
        <v>502</v>
      </c>
      <c r="C540" s="342">
        <v>140</v>
      </c>
      <c r="D540" s="344">
        <v>1E-3</v>
      </c>
    </row>
    <row r="541" spans="1:4">
      <c r="A541" t="s">
        <v>492</v>
      </c>
      <c r="B541" t="s">
        <v>502</v>
      </c>
      <c r="C541" s="343">
        <v>140</v>
      </c>
      <c r="D541" s="345">
        <v>1E-3</v>
      </c>
    </row>
    <row r="542" spans="1:4">
      <c r="A542" t="s">
        <v>492</v>
      </c>
      <c r="B542" t="s">
        <v>502</v>
      </c>
      <c r="C542" s="342">
        <v>140</v>
      </c>
      <c r="D542" s="344">
        <v>1E-3</v>
      </c>
    </row>
    <row r="543" spans="1:4">
      <c r="A543" t="s">
        <v>492</v>
      </c>
      <c r="B543" t="s">
        <v>502</v>
      </c>
      <c r="C543" s="343">
        <v>140</v>
      </c>
      <c r="D543" s="345">
        <v>1E-3</v>
      </c>
    </row>
    <row r="544" spans="1:4">
      <c r="A544" t="s">
        <v>492</v>
      </c>
      <c r="B544" t="s">
        <v>502</v>
      </c>
      <c r="C544" s="342">
        <v>140</v>
      </c>
      <c r="D544" s="344">
        <v>1E-3</v>
      </c>
    </row>
    <row r="545" spans="1:4">
      <c r="A545" t="s">
        <v>492</v>
      </c>
      <c r="B545" t="s">
        <v>502</v>
      </c>
      <c r="C545" s="343">
        <v>140</v>
      </c>
      <c r="D545" s="345">
        <v>1E-3</v>
      </c>
    </row>
    <row r="546" spans="1:4">
      <c r="A546" t="s">
        <v>492</v>
      </c>
      <c r="B546" t="s">
        <v>502</v>
      </c>
      <c r="C546" s="342">
        <v>140</v>
      </c>
      <c r="D546" s="344">
        <v>1E-3</v>
      </c>
    </row>
    <row r="547" spans="1:4">
      <c r="A547" t="s">
        <v>492</v>
      </c>
      <c r="B547" t="s">
        <v>502</v>
      </c>
      <c r="C547" s="343">
        <v>140</v>
      </c>
      <c r="D547" s="345">
        <v>1E-3</v>
      </c>
    </row>
    <row r="548" spans="1:4">
      <c r="A548" t="s">
        <v>492</v>
      </c>
      <c r="B548" t="s">
        <v>502</v>
      </c>
      <c r="C548" s="342">
        <v>140</v>
      </c>
      <c r="D548" s="344">
        <v>1E-3</v>
      </c>
    </row>
    <row r="549" spans="1:4">
      <c r="A549" t="s">
        <v>492</v>
      </c>
      <c r="B549" t="s">
        <v>502</v>
      </c>
      <c r="C549" s="343">
        <v>140</v>
      </c>
      <c r="D549" s="345">
        <v>1E-3</v>
      </c>
    </row>
    <row r="550" spans="1:4">
      <c r="A550" t="s">
        <v>492</v>
      </c>
      <c r="B550" t="s">
        <v>502</v>
      </c>
      <c r="C550" s="342">
        <v>140</v>
      </c>
      <c r="D550" s="344">
        <v>1E-3</v>
      </c>
    </row>
    <row r="551" spans="1:4">
      <c r="A551" t="s">
        <v>492</v>
      </c>
      <c r="B551" t="s">
        <v>502</v>
      </c>
      <c r="C551" s="343">
        <v>140</v>
      </c>
      <c r="D551" s="345">
        <v>1E-3</v>
      </c>
    </row>
    <row r="552" spans="1:4">
      <c r="A552" t="s">
        <v>492</v>
      </c>
      <c r="B552" t="s">
        <v>502</v>
      </c>
      <c r="C552" s="342">
        <v>140</v>
      </c>
      <c r="D552" s="344">
        <v>1E-3</v>
      </c>
    </row>
    <row r="553" spans="1:4">
      <c r="A553" t="s">
        <v>492</v>
      </c>
      <c r="B553" t="s">
        <v>502</v>
      </c>
      <c r="C553" s="343">
        <v>140</v>
      </c>
      <c r="D553" s="345">
        <v>1E-3</v>
      </c>
    </row>
    <row r="554" spans="1:4">
      <c r="A554" t="s">
        <v>492</v>
      </c>
      <c r="B554" t="s">
        <v>502</v>
      </c>
      <c r="C554" s="342">
        <v>140</v>
      </c>
      <c r="D554" s="344">
        <v>1E-3</v>
      </c>
    </row>
    <row r="555" spans="1:4">
      <c r="A555" t="s">
        <v>492</v>
      </c>
      <c r="B555" t="s">
        <v>502</v>
      </c>
      <c r="C555" s="343">
        <v>140</v>
      </c>
      <c r="D555" s="345">
        <v>1E-3</v>
      </c>
    </row>
    <row r="556" spans="1:4">
      <c r="A556" t="s">
        <v>492</v>
      </c>
      <c r="B556" t="s">
        <v>502</v>
      </c>
      <c r="C556" s="342">
        <v>140</v>
      </c>
      <c r="D556" s="344">
        <v>1E-3</v>
      </c>
    </row>
    <row r="557" spans="1:4">
      <c r="A557" t="s">
        <v>492</v>
      </c>
      <c r="B557" t="s">
        <v>502</v>
      </c>
      <c r="C557" s="343">
        <v>140</v>
      </c>
      <c r="D557" s="345">
        <v>1E-3</v>
      </c>
    </row>
    <row r="558" spans="1:4">
      <c r="A558" t="s">
        <v>492</v>
      </c>
      <c r="B558" t="s">
        <v>502</v>
      </c>
      <c r="C558" s="342">
        <v>140</v>
      </c>
      <c r="D558" s="344">
        <v>1E-3</v>
      </c>
    </row>
    <row r="559" spans="1:4">
      <c r="A559" t="s">
        <v>492</v>
      </c>
      <c r="B559" t="s">
        <v>502</v>
      </c>
      <c r="C559" s="343">
        <v>140</v>
      </c>
      <c r="D559" s="345">
        <v>1E-3</v>
      </c>
    </row>
    <row r="560" spans="1:4">
      <c r="A560" t="s">
        <v>492</v>
      </c>
      <c r="B560" t="s">
        <v>502</v>
      </c>
      <c r="C560" s="342">
        <v>140</v>
      </c>
      <c r="D560" s="344">
        <v>1E-3</v>
      </c>
    </row>
    <row r="561" spans="1:4">
      <c r="A561" t="s">
        <v>492</v>
      </c>
      <c r="B561" t="s">
        <v>502</v>
      </c>
      <c r="C561" s="343">
        <v>140</v>
      </c>
      <c r="D561" s="345">
        <v>1E-3</v>
      </c>
    </row>
    <row r="562" spans="1:4">
      <c r="A562" t="s">
        <v>492</v>
      </c>
      <c r="B562" t="s">
        <v>502</v>
      </c>
      <c r="C562" s="342">
        <v>140</v>
      </c>
      <c r="D562" s="344">
        <v>1E-3</v>
      </c>
    </row>
    <row r="563" spans="1:4">
      <c r="A563" t="s">
        <v>492</v>
      </c>
      <c r="B563" t="s">
        <v>502</v>
      </c>
      <c r="C563" s="343">
        <v>140</v>
      </c>
      <c r="D563" s="345">
        <v>1E-3</v>
      </c>
    </row>
    <row r="564" spans="1:4">
      <c r="A564" t="s">
        <v>492</v>
      </c>
      <c r="B564" t="s">
        <v>502</v>
      </c>
      <c r="C564" s="342">
        <v>140</v>
      </c>
      <c r="D564" s="344">
        <v>1E-3</v>
      </c>
    </row>
    <row r="565" spans="1:4">
      <c r="A565" t="s">
        <v>492</v>
      </c>
      <c r="B565" t="s">
        <v>502</v>
      </c>
      <c r="C565" s="343">
        <v>140</v>
      </c>
      <c r="D565" s="345">
        <v>1E-3</v>
      </c>
    </row>
    <row r="566" spans="1:4">
      <c r="A566" t="s">
        <v>492</v>
      </c>
      <c r="B566" t="s">
        <v>502</v>
      </c>
      <c r="C566" s="342">
        <v>140</v>
      </c>
      <c r="D566" s="344">
        <v>1E-3</v>
      </c>
    </row>
    <row r="567" spans="1:4">
      <c r="A567" t="s">
        <v>492</v>
      </c>
      <c r="B567" t="s">
        <v>502</v>
      </c>
      <c r="C567" s="343">
        <v>140</v>
      </c>
      <c r="D567" s="345">
        <v>1E-3</v>
      </c>
    </row>
    <row r="568" spans="1:4">
      <c r="A568" t="s">
        <v>492</v>
      </c>
      <c r="B568" t="s">
        <v>502</v>
      </c>
      <c r="C568" s="342">
        <v>140</v>
      </c>
      <c r="D568" s="344">
        <v>1E-3</v>
      </c>
    </row>
    <row r="569" spans="1:4">
      <c r="A569" t="s">
        <v>492</v>
      </c>
      <c r="B569" t="s">
        <v>502</v>
      </c>
      <c r="C569" s="343">
        <v>140</v>
      </c>
      <c r="D569" s="345">
        <v>1E-3</v>
      </c>
    </row>
    <row r="570" spans="1:4">
      <c r="A570" t="s">
        <v>492</v>
      </c>
      <c r="B570" t="s">
        <v>502</v>
      </c>
      <c r="C570" s="342">
        <v>140</v>
      </c>
      <c r="D570" s="344">
        <v>1E-3</v>
      </c>
    </row>
    <row r="571" spans="1:4">
      <c r="A571" t="s">
        <v>492</v>
      </c>
      <c r="B571" t="s">
        <v>502</v>
      </c>
      <c r="C571" s="343">
        <v>140</v>
      </c>
      <c r="D571" s="345">
        <v>1E-3</v>
      </c>
    </row>
    <row r="572" spans="1:4">
      <c r="A572" t="s">
        <v>492</v>
      </c>
      <c r="B572" t="s">
        <v>502</v>
      </c>
      <c r="C572" s="342">
        <v>140</v>
      </c>
      <c r="D572" s="344">
        <v>1E-3</v>
      </c>
    </row>
    <row r="573" spans="1:4">
      <c r="A573" t="s">
        <v>492</v>
      </c>
      <c r="B573" t="s">
        <v>502</v>
      </c>
      <c r="C573" s="343">
        <v>140</v>
      </c>
      <c r="D573" s="345">
        <v>1E-3</v>
      </c>
    </row>
    <row r="574" spans="1:4">
      <c r="A574" t="s">
        <v>492</v>
      </c>
      <c r="B574" t="s">
        <v>502</v>
      </c>
      <c r="C574" s="342">
        <v>140</v>
      </c>
      <c r="D574" s="344">
        <v>1E-3</v>
      </c>
    </row>
    <row r="575" spans="1:4">
      <c r="A575" t="s">
        <v>492</v>
      </c>
      <c r="B575" t="s">
        <v>502</v>
      </c>
      <c r="C575" s="343">
        <v>140</v>
      </c>
      <c r="D575" s="345">
        <v>1E-3</v>
      </c>
    </row>
    <row r="576" spans="1:4">
      <c r="A576" t="s">
        <v>492</v>
      </c>
      <c r="B576" t="s">
        <v>502</v>
      </c>
      <c r="C576" s="342">
        <v>140</v>
      </c>
      <c r="D576" s="344">
        <v>1E-3</v>
      </c>
    </row>
    <row r="577" spans="1:4">
      <c r="A577" t="s">
        <v>492</v>
      </c>
      <c r="B577" t="s">
        <v>502</v>
      </c>
      <c r="C577" s="343">
        <v>140</v>
      </c>
      <c r="D577" s="345">
        <v>1E-3</v>
      </c>
    </row>
    <row r="578" spans="1:4">
      <c r="A578" t="s">
        <v>492</v>
      </c>
      <c r="B578" t="s">
        <v>502</v>
      </c>
      <c r="C578" s="342">
        <v>140</v>
      </c>
      <c r="D578" s="344">
        <v>1E-3</v>
      </c>
    </row>
    <row r="579" spans="1:4">
      <c r="A579" t="s">
        <v>492</v>
      </c>
      <c r="B579" t="s">
        <v>502</v>
      </c>
      <c r="C579" s="343">
        <v>140</v>
      </c>
      <c r="D579" s="345">
        <v>1E-3</v>
      </c>
    </row>
    <row r="580" spans="1:4">
      <c r="A580" t="s">
        <v>492</v>
      </c>
      <c r="B580" t="s">
        <v>502</v>
      </c>
      <c r="C580" s="342">
        <v>140</v>
      </c>
      <c r="D580" s="344">
        <v>1E-3</v>
      </c>
    </row>
    <row r="581" spans="1:4">
      <c r="A581" t="s">
        <v>492</v>
      </c>
      <c r="B581" t="s">
        <v>502</v>
      </c>
      <c r="C581" s="343">
        <v>140</v>
      </c>
      <c r="D581" s="345">
        <v>1E-3</v>
      </c>
    </row>
    <row r="582" spans="1:4">
      <c r="A582" t="s">
        <v>492</v>
      </c>
      <c r="B582" t="s">
        <v>502</v>
      </c>
      <c r="C582" s="342">
        <v>140</v>
      </c>
      <c r="D582" s="344">
        <v>1E-3</v>
      </c>
    </row>
    <row r="583" spans="1:4">
      <c r="A583" t="s">
        <v>492</v>
      </c>
      <c r="B583" t="s">
        <v>502</v>
      </c>
      <c r="C583" s="343">
        <v>140</v>
      </c>
      <c r="D583" s="345">
        <v>1E-3</v>
      </c>
    </row>
    <row r="584" spans="1:4">
      <c r="A584" t="s">
        <v>492</v>
      </c>
      <c r="B584" t="s">
        <v>502</v>
      </c>
      <c r="C584" s="342">
        <v>140</v>
      </c>
      <c r="D584" s="344">
        <v>1E-3</v>
      </c>
    </row>
    <row r="585" spans="1:4">
      <c r="A585" t="s">
        <v>492</v>
      </c>
      <c r="B585" t="s">
        <v>502</v>
      </c>
      <c r="C585" s="343">
        <v>140</v>
      </c>
      <c r="D585" s="345">
        <v>1E-3</v>
      </c>
    </row>
    <row r="586" spans="1:4">
      <c r="A586" t="s">
        <v>492</v>
      </c>
      <c r="B586" t="s">
        <v>502</v>
      </c>
      <c r="C586" s="342">
        <v>140</v>
      </c>
      <c r="D586" s="344">
        <v>1E-3</v>
      </c>
    </row>
    <row r="587" spans="1:4">
      <c r="A587" t="s">
        <v>492</v>
      </c>
      <c r="B587" t="s">
        <v>502</v>
      </c>
      <c r="C587" s="343">
        <v>140</v>
      </c>
      <c r="D587" s="345">
        <v>1E-3</v>
      </c>
    </row>
    <row r="588" spans="1:4">
      <c r="A588" t="s">
        <v>492</v>
      </c>
      <c r="B588" t="s">
        <v>502</v>
      </c>
      <c r="C588" s="342">
        <v>140</v>
      </c>
      <c r="D588" s="344">
        <v>1E-3</v>
      </c>
    </row>
    <row r="589" spans="1:4">
      <c r="A589" t="s">
        <v>492</v>
      </c>
      <c r="B589" t="s">
        <v>502</v>
      </c>
      <c r="C589" s="343">
        <v>140</v>
      </c>
      <c r="D589" s="345">
        <v>1E-3</v>
      </c>
    </row>
    <row r="590" spans="1:4">
      <c r="A590" t="s">
        <v>492</v>
      </c>
      <c r="B590" t="s">
        <v>502</v>
      </c>
      <c r="C590" s="342">
        <v>140</v>
      </c>
      <c r="D590" s="344">
        <v>1E-3</v>
      </c>
    </row>
    <row r="591" spans="1:4">
      <c r="A591" t="s">
        <v>492</v>
      </c>
      <c r="B591" t="s">
        <v>502</v>
      </c>
      <c r="C591" s="343">
        <v>140</v>
      </c>
      <c r="D591" s="345">
        <v>1E-3</v>
      </c>
    </row>
    <row r="592" spans="1:4">
      <c r="A592" t="s">
        <v>492</v>
      </c>
      <c r="B592" t="s">
        <v>502</v>
      </c>
      <c r="C592" s="342">
        <v>140</v>
      </c>
      <c r="D592" s="344">
        <v>1E-3</v>
      </c>
    </row>
    <row r="593" spans="1:4">
      <c r="A593" t="s">
        <v>492</v>
      </c>
      <c r="B593" t="s">
        <v>502</v>
      </c>
      <c r="C593" s="343">
        <v>140</v>
      </c>
      <c r="D593" s="345">
        <v>1E-3</v>
      </c>
    </row>
    <row r="594" spans="1:4">
      <c r="A594" t="s">
        <v>492</v>
      </c>
      <c r="B594" t="s">
        <v>502</v>
      </c>
      <c r="C594" s="342">
        <v>140</v>
      </c>
      <c r="D594" s="344">
        <v>1E-3</v>
      </c>
    </row>
    <row r="595" spans="1:4">
      <c r="A595" t="s">
        <v>492</v>
      </c>
      <c r="B595" t="s">
        <v>502</v>
      </c>
      <c r="C595" s="343">
        <v>140</v>
      </c>
      <c r="D595" s="345">
        <v>1E-3</v>
      </c>
    </row>
    <row r="596" spans="1:4">
      <c r="A596" t="s">
        <v>492</v>
      </c>
      <c r="B596" t="s">
        <v>502</v>
      </c>
      <c r="C596" s="342">
        <v>140</v>
      </c>
      <c r="D596" s="344">
        <v>1E-3</v>
      </c>
    </row>
    <row r="597" spans="1:4">
      <c r="A597" t="s">
        <v>492</v>
      </c>
      <c r="B597" t="s">
        <v>502</v>
      </c>
      <c r="C597" s="343">
        <v>140</v>
      </c>
      <c r="D597" s="345">
        <v>1E-3</v>
      </c>
    </row>
    <row r="598" spans="1:4">
      <c r="A598" t="s">
        <v>492</v>
      </c>
      <c r="B598" t="s">
        <v>502</v>
      </c>
      <c r="C598" s="342">
        <v>140</v>
      </c>
      <c r="D598" s="344">
        <v>1E-3</v>
      </c>
    </row>
    <row r="599" spans="1:4">
      <c r="A599" t="s">
        <v>492</v>
      </c>
      <c r="B599" t="s">
        <v>502</v>
      </c>
      <c r="C599" s="343">
        <v>140</v>
      </c>
      <c r="D599" s="345">
        <v>1E-3</v>
      </c>
    </row>
    <row r="600" spans="1:4">
      <c r="A600" t="s">
        <v>492</v>
      </c>
      <c r="B600" t="s">
        <v>502</v>
      </c>
      <c r="C600" s="342">
        <v>140</v>
      </c>
      <c r="D600" s="344">
        <v>1E-3</v>
      </c>
    </row>
    <row r="601" spans="1:4">
      <c r="A601" t="s">
        <v>492</v>
      </c>
      <c r="B601" t="s">
        <v>502</v>
      </c>
      <c r="C601" s="343">
        <v>140</v>
      </c>
      <c r="D601" s="345">
        <v>1E-3</v>
      </c>
    </row>
    <row r="602" spans="1:4">
      <c r="A602" t="s">
        <v>492</v>
      </c>
      <c r="B602" t="s">
        <v>502</v>
      </c>
      <c r="C602" s="342">
        <v>140</v>
      </c>
      <c r="D602" s="344">
        <v>1E-3</v>
      </c>
    </row>
    <row r="603" spans="1:4">
      <c r="A603" t="s">
        <v>492</v>
      </c>
      <c r="B603" t="s">
        <v>502</v>
      </c>
      <c r="C603" s="343">
        <v>140</v>
      </c>
      <c r="D603" s="345">
        <v>1E-3</v>
      </c>
    </row>
    <row r="604" spans="1:4">
      <c r="A604" t="s">
        <v>492</v>
      </c>
      <c r="B604" t="s">
        <v>502</v>
      </c>
      <c r="C604" s="342">
        <v>140</v>
      </c>
      <c r="D604" s="344">
        <v>1E-3</v>
      </c>
    </row>
    <row r="605" spans="1:4">
      <c r="A605" t="s">
        <v>492</v>
      </c>
      <c r="B605" t="s">
        <v>502</v>
      </c>
      <c r="C605" s="343">
        <v>140</v>
      </c>
      <c r="D605" s="345">
        <v>1E-3</v>
      </c>
    </row>
    <row r="606" spans="1:4">
      <c r="A606" t="s">
        <v>492</v>
      </c>
      <c r="B606" t="s">
        <v>502</v>
      </c>
      <c r="C606" s="342">
        <v>140</v>
      </c>
      <c r="D606" s="344">
        <v>1E-3</v>
      </c>
    </row>
    <row r="607" spans="1:4">
      <c r="A607" t="s">
        <v>492</v>
      </c>
      <c r="B607" t="s">
        <v>502</v>
      </c>
      <c r="C607" s="343">
        <v>140</v>
      </c>
      <c r="D607" s="345">
        <v>1E-3</v>
      </c>
    </row>
    <row r="608" spans="1:4">
      <c r="A608" t="s">
        <v>492</v>
      </c>
      <c r="B608" t="s">
        <v>502</v>
      </c>
      <c r="C608" s="342">
        <v>140</v>
      </c>
      <c r="D608" s="344">
        <v>1E-3</v>
      </c>
    </row>
    <row r="609" spans="1:4">
      <c r="A609" t="s">
        <v>492</v>
      </c>
      <c r="B609" t="s">
        <v>502</v>
      </c>
      <c r="C609" s="343">
        <v>140</v>
      </c>
      <c r="D609" s="345">
        <v>1E-3</v>
      </c>
    </row>
    <row r="610" spans="1:4">
      <c r="A610" t="s">
        <v>492</v>
      </c>
      <c r="B610" t="s">
        <v>502</v>
      </c>
      <c r="C610" s="342">
        <v>140</v>
      </c>
      <c r="D610" s="344">
        <v>1E-3</v>
      </c>
    </row>
    <row r="611" spans="1:4">
      <c r="A611" t="s">
        <v>492</v>
      </c>
      <c r="B611" t="s">
        <v>502</v>
      </c>
      <c r="C611" s="343">
        <v>140</v>
      </c>
      <c r="D611" s="345">
        <v>1E-3</v>
      </c>
    </row>
    <row r="612" spans="1:4">
      <c r="A612" t="s">
        <v>492</v>
      </c>
      <c r="B612" t="s">
        <v>502</v>
      </c>
      <c r="C612" s="342">
        <v>140</v>
      </c>
      <c r="D612" s="344">
        <v>1E-3</v>
      </c>
    </row>
    <row r="613" spans="1:4">
      <c r="A613" t="s">
        <v>492</v>
      </c>
      <c r="B613" t="s">
        <v>502</v>
      </c>
      <c r="C613" s="343">
        <v>140</v>
      </c>
      <c r="D613" s="345">
        <v>1E-3</v>
      </c>
    </row>
    <row r="614" spans="1:4">
      <c r="A614" t="s">
        <v>492</v>
      </c>
      <c r="B614" t="s">
        <v>505</v>
      </c>
      <c r="C614" s="342">
        <v>180</v>
      </c>
      <c r="D614" s="344">
        <v>2E-3</v>
      </c>
    </row>
    <row r="615" spans="1:4">
      <c r="A615" t="s">
        <v>492</v>
      </c>
      <c r="B615" t="s">
        <v>505</v>
      </c>
      <c r="C615" s="343">
        <v>180</v>
      </c>
      <c r="D615" s="345">
        <v>2E-3</v>
      </c>
    </row>
    <row r="616" spans="1:4">
      <c r="A616" t="s">
        <v>492</v>
      </c>
      <c r="B616" t="s">
        <v>505</v>
      </c>
      <c r="C616" s="342">
        <v>180</v>
      </c>
      <c r="D616" s="344">
        <v>2E-3</v>
      </c>
    </row>
    <row r="617" spans="1:4">
      <c r="A617" t="s">
        <v>492</v>
      </c>
      <c r="B617" t="s">
        <v>505</v>
      </c>
      <c r="C617" s="343">
        <v>180</v>
      </c>
      <c r="D617" s="345">
        <v>2E-3</v>
      </c>
    </row>
    <row r="618" spans="1:4">
      <c r="A618" t="s">
        <v>492</v>
      </c>
      <c r="B618" t="s">
        <v>505</v>
      </c>
      <c r="C618" s="342">
        <v>180</v>
      </c>
      <c r="D618" s="344">
        <v>2E-3</v>
      </c>
    </row>
    <row r="619" spans="1:4">
      <c r="A619" t="s">
        <v>492</v>
      </c>
      <c r="B619" t="s">
        <v>505</v>
      </c>
      <c r="C619" s="343">
        <v>180</v>
      </c>
      <c r="D619" s="345">
        <v>2E-3</v>
      </c>
    </row>
    <row r="620" spans="1:4">
      <c r="A620" t="s">
        <v>492</v>
      </c>
      <c r="B620" t="s">
        <v>479</v>
      </c>
      <c r="C620" s="342">
        <v>403</v>
      </c>
      <c r="D620" s="344">
        <v>2.4E-2</v>
      </c>
    </row>
    <row r="621" spans="1:4">
      <c r="A621" t="s">
        <v>492</v>
      </c>
      <c r="B621" t="s">
        <v>479</v>
      </c>
      <c r="C621" s="343">
        <v>403</v>
      </c>
      <c r="D621" s="345">
        <v>2.4E-2</v>
      </c>
    </row>
    <row r="622" spans="1:4">
      <c r="A622" t="s">
        <v>492</v>
      </c>
      <c r="B622" t="s">
        <v>479</v>
      </c>
      <c r="C622" s="342">
        <v>403</v>
      </c>
      <c r="D622" s="344">
        <v>2.4E-2</v>
      </c>
    </row>
    <row r="623" spans="1:4">
      <c r="A623" t="s">
        <v>492</v>
      </c>
      <c r="B623" t="s">
        <v>479</v>
      </c>
      <c r="C623" s="343">
        <v>403</v>
      </c>
      <c r="D623" s="345">
        <v>2.4E-2</v>
      </c>
    </row>
    <row r="624" spans="1:4">
      <c r="A624" t="s">
        <v>492</v>
      </c>
      <c r="B624" t="s">
        <v>479</v>
      </c>
      <c r="C624" s="342">
        <v>403</v>
      </c>
      <c r="D624" s="344">
        <v>2.4E-2</v>
      </c>
    </row>
    <row r="625" spans="1:4">
      <c r="A625" t="s">
        <v>492</v>
      </c>
      <c r="B625" t="s">
        <v>479</v>
      </c>
      <c r="C625" s="343">
        <v>403</v>
      </c>
      <c r="D625" s="345">
        <v>2.4E-2</v>
      </c>
    </row>
    <row r="626" spans="1:4">
      <c r="A626" t="s">
        <v>492</v>
      </c>
      <c r="B626" t="s">
        <v>479</v>
      </c>
      <c r="C626" s="342">
        <v>403</v>
      </c>
      <c r="D626" s="344">
        <v>2.4E-2</v>
      </c>
    </row>
    <row r="627" spans="1:4">
      <c r="A627" t="s">
        <v>492</v>
      </c>
      <c r="B627" t="s">
        <v>479</v>
      </c>
      <c r="C627" s="343">
        <v>403</v>
      </c>
      <c r="D627" s="345">
        <v>2.4E-2</v>
      </c>
    </row>
    <row r="628" spans="1:4">
      <c r="A628" t="s">
        <v>492</v>
      </c>
      <c r="B628" t="s">
        <v>479</v>
      </c>
      <c r="C628" s="342">
        <v>403</v>
      </c>
      <c r="D628" s="344">
        <v>2.4E-2</v>
      </c>
    </row>
    <row r="629" spans="1:4">
      <c r="A629" t="s">
        <v>492</v>
      </c>
      <c r="B629" t="s">
        <v>479</v>
      </c>
      <c r="C629" s="343">
        <v>403</v>
      </c>
      <c r="D629" s="345">
        <v>2.4E-2</v>
      </c>
    </row>
    <row r="630" spans="1:4">
      <c r="A630" t="s">
        <v>492</v>
      </c>
      <c r="B630" t="s">
        <v>479</v>
      </c>
      <c r="C630" s="342">
        <v>403</v>
      </c>
      <c r="D630" s="344">
        <v>2.4E-2</v>
      </c>
    </row>
    <row r="631" spans="1:4">
      <c r="A631" t="s">
        <v>492</v>
      </c>
      <c r="B631" t="s">
        <v>479</v>
      </c>
      <c r="C631" s="343">
        <v>403</v>
      </c>
      <c r="D631" s="345">
        <v>2.4E-2</v>
      </c>
    </row>
    <row r="632" spans="1:4">
      <c r="A632" t="s">
        <v>492</v>
      </c>
      <c r="B632" t="s">
        <v>479</v>
      </c>
      <c r="C632" s="342">
        <v>403</v>
      </c>
      <c r="D632" s="344">
        <v>2.4E-2</v>
      </c>
    </row>
    <row r="633" spans="1:4">
      <c r="A633" t="s">
        <v>492</v>
      </c>
      <c r="B633" t="s">
        <v>479</v>
      </c>
      <c r="C633" s="343">
        <v>403</v>
      </c>
      <c r="D633" s="345">
        <v>2.4E-2</v>
      </c>
    </row>
    <row r="634" spans="1:4">
      <c r="A634" t="s">
        <v>492</v>
      </c>
      <c r="B634" t="s">
        <v>479</v>
      </c>
      <c r="C634" s="342">
        <v>403</v>
      </c>
      <c r="D634" s="344">
        <v>2.4E-2</v>
      </c>
    </row>
    <row r="635" spans="1:4">
      <c r="A635" t="s">
        <v>492</v>
      </c>
      <c r="B635" t="s">
        <v>479</v>
      </c>
      <c r="C635" s="343">
        <v>403</v>
      </c>
      <c r="D635" s="345">
        <v>2.4E-2</v>
      </c>
    </row>
    <row r="636" spans="1:4">
      <c r="A636" t="s">
        <v>492</v>
      </c>
      <c r="B636" t="s">
        <v>514</v>
      </c>
      <c r="C636" s="342">
        <v>666</v>
      </c>
      <c r="D636" s="344">
        <v>3.3000000000000002E-2</v>
      </c>
    </row>
    <row r="637" spans="1:4">
      <c r="A637" t="s">
        <v>492</v>
      </c>
      <c r="B637" t="s">
        <v>514</v>
      </c>
      <c r="C637" s="343">
        <v>666</v>
      </c>
      <c r="D637" s="345">
        <v>3.3000000000000002E-2</v>
      </c>
    </row>
    <row r="638" spans="1:4">
      <c r="A638" t="s">
        <v>492</v>
      </c>
      <c r="B638" t="s">
        <v>514</v>
      </c>
      <c r="C638" s="342">
        <v>666</v>
      </c>
      <c r="D638" s="344">
        <v>3.3000000000000002E-2</v>
      </c>
    </row>
    <row r="639" spans="1:4">
      <c r="A639" t="s">
        <v>492</v>
      </c>
      <c r="B639" t="s">
        <v>514</v>
      </c>
      <c r="C639" s="343">
        <v>666</v>
      </c>
      <c r="D639" s="345">
        <v>3.3000000000000002E-2</v>
      </c>
    </row>
    <row r="640" spans="1:4">
      <c r="A640" t="s">
        <v>492</v>
      </c>
      <c r="B640" t="s">
        <v>514</v>
      </c>
      <c r="C640" s="342">
        <v>666</v>
      </c>
      <c r="D640" s="344">
        <v>3.3000000000000002E-2</v>
      </c>
    </row>
    <row r="641" spans="1:4">
      <c r="A641" t="s">
        <v>492</v>
      </c>
      <c r="B641" t="s">
        <v>514</v>
      </c>
      <c r="C641" s="343">
        <v>666</v>
      </c>
      <c r="D641" s="345">
        <v>3.3000000000000002E-2</v>
      </c>
    </row>
    <row r="642" spans="1:4">
      <c r="A642" t="s">
        <v>492</v>
      </c>
      <c r="B642" t="s">
        <v>514</v>
      </c>
      <c r="C642" s="342">
        <v>666</v>
      </c>
      <c r="D642" s="344">
        <v>3.3000000000000002E-2</v>
      </c>
    </row>
    <row r="643" spans="1:4">
      <c r="A643" t="s">
        <v>492</v>
      </c>
      <c r="B643" t="s">
        <v>514</v>
      </c>
      <c r="C643" s="343">
        <v>666</v>
      </c>
      <c r="D643" s="345">
        <v>3.3000000000000002E-2</v>
      </c>
    </row>
    <row r="644" spans="1:4">
      <c r="A644" t="s">
        <v>492</v>
      </c>
      <c r="B644" t="s">
        <v>514</v>
      </c>
      <c r="C644" s="342">
        <v>666</v>
      </c>
      <c r="D644" s="344">
        <v>3.3000000000000002E-2</v>
      </c>
    </row>
    <row r="645" spans="1:4">
      <c r="A645" t="s">
        <v>492</v>
      </c>
      <c r="B645" t="s">
        <v>514</v>
      </c>
      <c r="C645" s="343">
        <v>666</v>
      </c>
      <c r="D645" s="345">
        <v>3.3000000000000002E-2</v>
      </c>
    </row>
    <row r="646" spans="1:4">
      <c r="A646" t="s">
        <v>492</v>
      </c>
      <c r="B646" t="s">
        <v>514</v>
      </c>
      <c r="C646" s="342">
        <v>666</v>
      </c>
      <c r="D646" s="344">
        <v>3.3000000000000002E-2</v>
      </c>
    </row>
    <row r="647" spans="1:4">
      <c r="A647" t="s">
        <v>492</v>
      </c>
      <c r="B647" t="s">
        <v>514</v>
      </c>
      <c r="C647" s="343">
        <v>666</v>
      </c>
      <c r="D647" s="345">
        <v>3.3000000000000002E-2</v>
      </c>
    </row>
    <row r="648" spans="1:4">
      <c r="A648" t="s">
        <v>492</v>
      </c>
      <c r="B648" t="s">
        <v>514</v>
      </c>
      <c r="C648" s="342">
        <v>666</v>
      </c>
      <c r="D648" s="344">
        <v>3.3000000000000002E-2</v>
      </c>
    </row>
    <row r="649" spans="1:4">
      <c r="A649" t="s">
        <v>492</v>
      </c>
      <c r="B649" t="s">
        <v>514</v>
      </c>
      <c r="C649" s="343">
        <v>666</v>
      </c>
      <c r="D649" s="345">
        <v>3.3000000000000002E-2</v>
      </c>
    </row>
    <row r="650" spans="1:4">
      <c r="A650" t="s">
        <v>492</v>
      </c>
      <c r="B650" t="s">
        <v>514</v>
      </c>
      <c r="C650" s="342">
        <v>666</v>
      </c>
      <c r="D650" s="344">
        <v>3.3000000000000002E-2</v>
      </c>
    </row>
    <row r="651" spans="1:4">
      <c r="A651" t="s">
        <v>492</v>
      </c>
      <c r="B651" t="s">
        <v>514</v>
      </c>
      <c r="C651" s="343">
        <v>666</v>
      </c>
      <c r="D651" s="345">
        <v>3.3000000000000002E-2</v>
      </c>
    </row>
    <row r="652" spans="1:4">
      <c r="A652" t="s">
        <v>492</v>
      </c>
      <c r="B652" t="s">
        <v>474</v>
      </c>
      <c r="C652" s="342">
        <v>265</v>
      </c>
      <c r="D652" s="344">
        <v>6.0000000000000001E-3</v>
      </c>
    </row>
    <row r="653" spans="1:4">
      <c r="A653" t="s">
        <v>492</v>
      </c>
      <c r="B653" t="s">
        <v>503</v>
      </c>
      <c r="C653" s="343">
        <v>340</v>
      </c>
      <c r="D653" s="345">
        <v>4.0000000000000001E-3</v>
      </c>
    </row>
    <row r="654" spans="1:4">
      <c r="A654" t="s">
        <v>492</v>
      </c>
      <c r="B654" t="s">
        <v>503</v>
      </c>
      <c r="C654" s="342">
        <v>340</v>
      </c>
      <c r="D654" s="344">
        <v>4.0000000000000001E-3</v>
      </c>
    </row>
    <row r="655" spans="1:4">
      <c r="A655" t="s">
        <v>492</v>
      </c>
      <c r="B655" t="s">
        <v>503</v>
      </c>
      <c r="C655" s="343">
        <v>340</v>
      </c>
      <c r="D655" s="345">
        <v>4.0000000000000001E-3</v>
      </c>
    </row>
    <row r="656" spans="1:4">
      <c r="A656" t="s">
        <v>492</v>
      </c>
      <c r="B656" t="s">
        <v>503</v>
      </c>
      <c r="C656" s="342">
        <v>340</v>
      </c>
      <c r="D656" s="344">
        <v>4.0000000000000001E-3</v>
      </c>
    </row>
    <row r="657" spans="1:4">
      <c r="A657" t="s">
        <v>492</v>
      </c>
      <c r="B657" t="s">
        <v>503</v>
      </c>
      <c r="C657" s="343">
        <v>340</v>
      </c>
      <c r="D657" s="345">
        <v>4.0000000000000001E-3</v>
      </c>
    </row>
    <row r="658" spans="1:4">
      <c r="A658" t="s">
        <v>492</v>
      </c>
      <c r="B658" t="s">
        <v>503</v>
      </c>
      <c r="C658" s="342">
        <v>340</v>
      </c>
      <c r="D658" s="344">
        <v>4.0000000000000001E-3</v>
      </c>
    </row>
    <row r="659" spans="1:4">
      <c r="A659" t="s">
        <v>492</v>
      </c>
      <c r="B659" t="s">
        <v>503</v>
      </c>
      <c r="C659" s="343">
        <v>340</v>
      </c>
      <c r="D659" s="345">
        <v>4.0000000000000001E-3</v>
      </c>
    </row>
    <row r="660" spans="1:4">
      <c r="A660" t="s">
        <v>492</v>
      </c>
      <c r="B660" t="s">
        <v>503</v>
      </c>
      <c r="C660" s="342">
        <v>340</v>
      </c>
      <c r="D660" s="344">
        <v>4.0000000000000001E-3</v>
      </c>
    </row>
    <row r="661" spans="1:4">
      <c r="A661" t="s">
        <v>492</v>
      </c>
      <c r="B661" t="s">
        <v>503</v>
      </c>
      <c r="C661" s="343">
        <v>340</v>
      </c>
      <c r="D661" s="345">
        <v>4.0000000000000001E-3</v>
      </c>
    </row>
    <row r="662" spans="1:4">
      <c r="A662" t="s">
        <v>492</v>
      </c>
      <c r="B662" t="s">
        <v>503</v>
      </c>
      <c r="C662" s="342">
        <v>340</v>
      </c>
      <c r="D662" s="344">
        <v>4.0000000000000001E-3</v>
      </c>
    </row>
    <row r="663" spans="1:4">
      <c r="A663" t="s">
        <v>492</v>
      </c>
      <c r="B663" t="s">
        <v>503</v>
      </c>
      <c r="C663" s="343">
        <v>340</v>
      </c>
      <c r="D663" s="345">
        <v>4.0000000000000001E-3</v>
      </c>
    </row>
    <row r="664" spans="1:4">
      <c r="A664" t="s">
        <v>492</v>
      </c>
      <c r="B664" t="s">
        <v>503</v>
      </c>
      <c r="C664" s="342">
        <v>340</v>
      </c>
      <c r="D664" s="344">
        <v>4.0000000000000001E-3</v>
      </c>
    </row>
    <row r="665" spans="1:4">
      <c r="A665" t="s">
        <v>492</v>
      </c>
      <c r="B665" t="s">
        <v>503</v>
      </c>
      <c r="C665" s="343">
        <v>340</v>
      </c>
      <c r="D665" s="345">
        <v>4.0000000000000001E-3</v>
      </c>
    </row>
    <row r="666" spans="1:4">
      <c r="A666" t="s">
        <v>492</v>
      </c>
      <c r="B666" t="s">
        <v>503</v>
      </c>
      <c r="C666" s="342">
        <v>340</v>
      </c>
      <c r="D666" s="344">
        <v>4.0000000000000001E-3</v>
      </c>
    </row>
    <row r="667" spans="1:4">
      <c r="A667" t="s">
        <v>492</v>
      </c>
      <c r="B667" t="s">
        <v>503</v>
      </c>
      <c r="C667" s="343">
        <v>340</v>
      </c>
      <c r="D667" s="345">
        <v>4.0000000000000001E-3</v>
      </c>
    </row>
    <row r="668" spans="1:4">
      <c r="A668" t="s">
        <v>492</v>
      </c>
      <c r="B668" t="s">
        <v>503</v>
      </c>
      <c r="C668" s="342">
        <v>340</v>
      </c>
      <c r="D668" s="344">
        <v>4.0000000000000001E-3</v>
      </c>
    </row>
    <row r="669" spans="1:4">
      <c r="A669" t="s">
        <v>492</v>
      </c>
      <c r="B669" t="s">
        <v>503</v>
      </c>
      <c r="C669" s="343">
        <v>340</v>
      </c>
      <c r="D669" s="345">
        <v>4.0000000000000001E-3</v>
      </c>
    </row>
    <row r="670" spans="1:4">
      <c r="A670" t="s">
        <v>492</v>
      </c>
      <c r="B670" t="s">
        <v>503</v>
      </c>
      <c r="C670" s="342">
        <v>340</v>
      </c>
      <c r="D670" s="344">
        <v>4.0000000000000001E-3</v>
      </c>
    </row>
    <row r="671" spans="1:4">
      <c r="A671" t="s">
        <v>492</v>
      </c>
      <c r="B671" t="s">
        <v>503</v>
      </c>
      <c r="C671" s="343">
        <v>340</v>
      </c>
      <c r="D671" s="345">
        <v>4.0000000000000001E-3</v>
      </c>
    </row>
    <row r="672" spans="1:4">
      <c r="A672" t="s">
        <v>492</v>
      </c>
      <c r="B672" t="s">
        <v>503</v>
      </c>
      <c r="C672" s="342">
        <v>340</v>
      </c>
      <c r="D672" s="344">
        <v>4.0000000000000001E-3</v>
      </c>
    </row>
    <row r="673" spans="1:4">
      <c r="A673" t="s">
        <v>492</v>
      </c>
      <c r="B673" t="s">
        <v>503</v>
      </c>
      <c r="C673" s="343">
        <v>340</v>
      </c>
      <c r="D673" s="345">
        <v>4.0000000000000001E-3</v>
      </c>
    </row>
    <row r="674" spans="1:4">
      <c r="A674" t="s">
        <v>492</v>
      </c>
      <c r="B674" t="s">
        <v>503</v>
      </c>
      <c r="C674" s="342">
        <v>340</v>
      </c>
      <c r="D674" s="344">
        <v>4.0000000000000001E-3</v>
      </c>
    </row>
    <row r="675" spans="1:4">
      <c r="A675" t="s">
        <v>492</v>
      </c>
      <c r="B675" t="s">
        <v>503</v>
      </c>
      <c r="C675" s="343">
        <v>340</v>
      </c>
      <c r="D675" s="345">
        <v>4.0000000000000001E-3</v>
      </c>
    </row>
    <row r="676" spans="1:4">
      <c r="A676" t="s">
        <v>492</v>
      </c>
      <c r="B676" t="s">
        <v>503</v>
      </c>
      <c r="C676" s="342">
        <v>340</v>
      </c>
      <c r="D676" s="344">
        <v>4.0000000000000001E-3</v>
      </c>
    </row>
    <row r="677" spans="1:4">
      <c r="A677" t="s">
        <v>492</v>
      </c>
      <c r="B677" t="s">
        <v>478</v>
      </c>
      <c r="C677" s="343">
        <v>350</v>
      </c>
      <c r="D677" s="345">
        <v>8.0000000000000002E-3</v>
      </c>
    </row>
    <row r="678" spans="1:4">
      <c r="A678" t="s">
        <v>492</v>
      </c>
      <c r="B678" t="s">
        <v>478</v>
      </c>
      <c r="C678" s="342">
        <v>350</v>
      </c>
      <c r="D678" s="344">
        <v>8.0000000000000002E-3</v>
      </c>
    </row>
    <row r="679" spans="1:4">
      <c r="A679" t="s">
        <v>492</v>
      </c>
      <c r="B679" t="s">
        <v>478</v>
      </c>
      <c r="C679" s="343">
        <v>350</v>
      </c>
      <c r="D679" s="345">
        <v>8.0000000000000002E-3</v>
      </c>
    </row>
    <row r="680" spans="1:4">
      <c r="A680" t="s">
        <v>492</v>
      </c>
      <c r="B680" t="s">
        <v>478</v>
      </c>
      <c r="C680" s="342">
        <v>350</v>
      </c>
      <c r="D680" s="344">
        <v>8.0000000000000002E-3</v>
      </c>
    </row>
    <row r="681" spans="1:4">
      <c r="A681" t="s">
        <v>492</v>
      </c>
      <c r="B681" t="s">
        <v>478</v>
      </c>
      <c r="C681" s="343">
        <v>350</v>
      </c>
      <c r="D681" s="345">
        <v>8.0000000000000002E-3</v>
      </c>
    </row>
    <row r="682" spans="1:4">
      <c r="A682" t="s">
        <v>492</v>
      </c>
      <c r="B682" t="s">
        <v>478</v>
      </c>
      <c r="C682" s="342">
        <v>350</v>
      </c>
      <c r="D682" s="344">
        <v>8.0000000000000002E-3</v>
      </c>
    </row>
    <row r="683" spans="1:4">
      <c r="A683" t="s">
        <v>492</v>
      </c>
      <c r="B683" t="s">
        <v>478</v>
      </c>
      <c r="C683" s="343">
        <v>350</v>
      </c>
      <c r="D683" s="345">
        <v>8.0000000000000002E-3</v>
      </c>
    </row>
    <row r="684" spans="1:4">
      <c r="A684" t="s">
        <v>492</v>
      </c>
      <c r="B684" t="s">
        <v>478</v>
      </c>
      <c r="C684" s="342">
        <v>350</v>
      </c>
      <c r="D684" s="344">
        <v>8.0000000000000002E-3</v>
      </c>
    </row>
    <row r="685" spans="1:4">
      <c r="A685" t="s">
        <v>492</v>
      </c>
      <c r="B685" t="s">
        <v>512</v>
      </c>
      <c r="C685" s="343">
        <v>390</v>
      </c>
      <c r="D685" s="345">
        <v>1.4E-2</v>
      </c>
    </row>
    <row r="686" spans="1:4">
      <c r="A686" t="s">
        <v>492</v>
      </c>
      <c r="B686" t="s">
        <v>512</v>
      </c>
      <c r="C686" s="342">
        <v>390</v>
      </c>
      <c r="D686" s="344">
        <v>1.4E-2</v>
      </c>
    </row>
    <row r="687" spans="1:4">
      <c r="A687" t="s">
        <v>492</v>
      </c>
      <c r="B687" t="s">
        <v>497</v>
      </c>
      <c r="C687" s="343">
        <v>1238</v>
      </c>
      <c r="D687" s="345">
        <v>1.2999999999999999E-2</v>
      </c>
    </row>
    <row r="688" spans="1:4">
      <c r="A688" t="s">
        <v>492</v>
      </c>
      <c r="B688" t="s">
        <v>497</v>
      </c>
      <c r="C688" s="342">
        <v>1238</v>
      </c>
      <c r="D688" s="344">
        <v>1.2999999999999999E-2</v>
      </c>
    </row>
    <row r="689" spans="1:4">
      <c r="A689" t="s">
        <v>492</v>
      </c>
      <c r="B689" t="s">
        <v>478</v>
      </c>
      <c r="C689" s="343">
        <v>390</v>
      </c>
      <c r="D689" s="345">
        <v>8.9999999999999993E-3</v>
      </c>
    </row>
    <row r="690" spans="1:4">
      <c r="A690" t="s">
        <v>492</v>
      </c>
      <c r="B690" t="s">
        <v>478</v>
      </c>
      <c r="C690" s="342">
        <v>390</v>
      </c>
      <c r="D690" s="344">
        <v>8.9999999999999993E-3</v>
      </c>
    </row>
    <row r="691" spans="1:4">
      <c r="A691" t="s">
        <v>492</v>
      </c>
      <c r="B691" t="s">
        <v>478</v>
      </c>
      <c r="C691" s="343">
        <v>390</v>
      </c>
      <c r="D691" s="345">
        <v>8.9999999999999993E-3</v>
      </c>
    </row>
    <row r="692" spans="1:4">
      <c r="A692" t="s">
        <v>492</v>
      </c>
      <c r="B692" t="s">
        <v>478</v>
      </c>
      <c r="C692" s="342">
        <v>390</v>
      </c>
      <c r="D692" s="344">
        <v>8.9999999999999993E-3</v>
      </c>
    </row>
    <row r="693" spans="1:4">
      <c r="A693" t="s">
        <v>492</v>
      </c>
      <c r="B693" t="s">
        <v>478</v>
      </c>
      <c r="C693" s="343">
        <v>390</v>
      </c>
      <c r="D693" s="345">
        <v>8.9999999999999993E-3</v>
      </c>
    </row>
    <row r="694" spans="1:4">
      <c r="A694" t="s">
        <v>492</v>
      </c>
      <c r="B694" t="s">
        <v>478</v>
      </c>
      <c r="C694" s="342">
        <v>390</v>
      </c>
      <c r="D694" s="344">
        <v>8.9999999999999993E-3</v>
      </c>
    </row>
    <row r="695" spans="1:4">
      <c r="A695" t="s">
        <v>492</v>
      </c>
      <c r="B695" t="s">
        <v>478</v>
      </c>
      <c r="C695" s="343">
        <v>390</v>
      </c>
      <c r="D695" s="345">
        <v>8.9999999999999993E-3</v>
      </c>
    </row>
    <row r="696" spans="1:4">
      <c r="A696" t="s">
        <v>492</v>
      </c>
      <c r="B696" t="s">
        <v>478</v>
      </c>
      <c r="C696" s="342">
        <v>390</v>
      </c>
      <c r="D696" s="344">
        <v>8.9999999999999993E-3</v>
      </c>
    </row>
    <row r="697" spans="1:4">
      <c r="A697" t="s">
        <v>492</v>
      </c>
      <c r="B697" t="s">
        <v>501</v>
      </c>
      <c r="C697" s="343">
        <v>250</v>
      </c>
      <c r="D697" s="345">
        <v>1E-3</v>
      </c>
    </row>
    <row r="698" spans="1:4">
      <c r="A698" t="s">
        <v>492</v>
      </c>
      <c r="B698" t="s">
        <v>501</v>
      </c>
      <c r="C698" s="342">
        <v>250</v>
      </c>
      <c r="D698" s="344">
        <v>1E-3</v>
      </c>
    </row>
    <row r="699" spans="1:4">
      <c r="A699" t="s">
        <v>492</v>
      </c>
      <c r="B699" t="s">
        <v>497</v>
      </c>
      <c r="C699" s="343">
        <v>220</v>
      </c>
      <c r="D699" s="345">
        <v>2E-3</v>
      </c>
    </row>
    <row r="700" spans="1:4">
      <c r="A700" t="s">
        <v>492</v>
      </c>
      <c r="B700" t="s">
        <v>497</v>
      </c>
      <c r="C700" s="342">
        <v>220</v>
      </c>
      <c r="D700" s="344">
        <v>2E-3</v>
      </c>
    </row>
    <row r="701" spans="1:4">
      <c r="A701" t="s">
        <v>492</v>
      </c>
      <c r="B701" t="s">
        <v>497</v>
      </c>
      <c r="C701" s="343">
        <v>220</v>
      </c>
      <c r="D701" s="345">
        <v>2E-3</v>
      </c>
    </row>
    <row r="702" spans="1:4">
      <c r="A702" t="s">
        <v>492</v>
      </c>
      <c r="B702" t="s">
        <v>497</v>
      </c>
      <c r="C702" s="342">
        <v>220</v>
      </c>
      <c r="D702" s="344">
        <v>2E-3</v>
      </c>
    </row>
    <row r="703" spans="1:4">
      <c r="A703" t="s">
        <v>492</v>
      </c>
      <c r="B703" t="s">
        <v>497</v>
      </c>
      <c r="C703" s="343">
        <v>220</v>
      </c>
      <c r="D703" s="345">
        <v>2E-3</v>
      </c>
    </row>
    <row r="704" spans="1:4">
      <c r="A704" t="s">
        <v>492</v>
      </c>
      <c r="B704" t="s">
        <v>497</v>
      </c>
      <c r="C704" s="342">
        <v>220</v>
      </c>
      <c r="D704" s="344">
        <v>2E-3</v>
      </c>
    </row>
    <row r="705" spans="1:4">
      <c r="A705" t="s">
        <v>492</v>
      </c>
      <c r="B705" t="s">
        <v>497</v>
      </c>
      <c r="C705" s="343">
        <v>220</v>
      </c>
      <c r="D705" s="345">
        <v>2E-3</v>
      </c>
    </row>
    <row r="706" spans="1:4">
      <c r="A706" t="s">
        <v>492</v>
      </c>
      <c r="B706" t="s">
        <v>497</v>
      </c>
      <c r="C706" s="342">
        <v>220</v>
      </c>
      <c r="D706" s="344">
        <v>2E-3</v>
      </c>
    </row>
    <row r="707" spans="1:4">
      <c r="A707" t="s">
        <v>492</v>
      </c>
      <c r="B707" t="s">
        <v>497</v>
      </c>
      <c r="C707" s="343">
        <v>220</v>
      </c>
      <c r="D707" s="345">
        <v>2E-3</v>
      </c>
    </row>
    <row r="708" spans="1:4">
      <c r="A708" t="s">
        <v>492</v>
      </c>
      <c r="B708" t="s">
        <v>497</v>
      </c>
      <c r="C708" s="342">
        <v>220</v>
      </c>
      <c r="D708" s="344">
        <v>2E-3</v>
      </c>
    </row>
    <row r="709" spans="1:4">
      <c r="A709" t="s">
        <v>492</v>
      </c>
      <c r="B709" t="s">
        <v>497</v>
      </c>
      <c r="C709" s="343">
        <v>220</v>
      </c>
      <c r="D709" s="345">
        <v>2E-3</v>
      </c>
    </row>
    <row r="710" spans="1:4">
      <c r="A710" t="s">
        <v>492</v>
      </c>
      <c r="B710" t="s">
        <v>497</v>
      </c>
      <c r="C710" s="342">
        <v>220</v>
      </c>
      <c r="D710" s="344">
        <v>2E-3</v>
      </c>
    </row>
    <row r="711" spans="1:4">
      <c r="A711" t="s">
        <v>492</v>
      </c>
      <c r="B711" t="s">
        <v>497</v>
      </c>
      <c r="C711" s="343">
        <v>220</v>
      </c>
      <c r="D711" s="345">
        <v>2E-3</v>
      </c>
    </row>
    <row r="712" spans="1:4">
      <c r="A712" t="s">
        <v>492</v>
      </c>
      <c r="B712" t="s">
        <v>493</v>
      </c>
      <c r="C712" s="342">
        <v>150</v>
      </c>
      <c r="D712" s="344">
        <v>1E-3</v>
      </c>
    </row>
    <row r="713" spans="1:4">
      <c r="A713" t="s">
        <v>492</v>
      </c>
      <c r="B713" t="s">
        <v>493</v>
      </c>
      <c r="C713" s="343">
        <v>150</v>
      </c>
      <c r="D713" s="345">
        <v>1E-3</v>
      </c>
    </row>
    <row r="714" spans="1:4">
      <c r="A714" t="s">
        <v>492</v>
      </c>
      <c r="B714" t="s">
        <v>493</v>
      </c>
      <c r="C714" s="342">
        <v>150</v>
      </c>
      <c r="D714" s="344">
        <v>1E-3</v>
      </c>
    </row>
    <row r="715" spans="1:4">
      <c r="A715" t="s">
        <v>492</v>
      </c>
      <c r="B715" t="s">
        <v>493</v>
      </c>
      <c r="C715" s="343">
        <v>150</v>
      </c>
      <c r="D715" s="345">
        <v>1E-3</v>
      </c>
    </row>
    <row r="716" spans="1:4">
      <c r="A716" t="s">
        <v>492</v>
      </c>
      <c r="B716" t="s">
        <v>493</v>
      </c>
      <c r="C716" s="342">
        <v>150</v>
      </c>
      <c r="D716" s="344">
        <v>1E-3</v>
      </c>
    </row>
    <row r="717" spans="1:4">
      <c r="A717" t="s">
        <v>492</v>
      </c>
      <c r="B717" t="s">
        <v>493</v>
      </c>
      <c r="C717" s="343">
        <v>150</v>
      </c>
      <c r="D717" s="345">
        <v>1E-3</v>
      </c>
    </row>
    <row r="718" spans="1:4">
      <c r="A718" t="s">
        <v>492</v>
      </c>
      <c r="B718" t="s">
        <v>493</v>
      </c>
      <c r="C718" s="342">
        <v>150</v>
      </c>
      <c r="D718" s="344">
        <v>1E-3</v>
      </c>
    </row>
    <row r="719" spans="1:4">
      <c r="A719" t="s">
        <v>492</v>
      </c>
      <c r="B719" t="s">
        <v>493</v>
      </c>
      <c r="C719" s="343">
        <v>150</v>
      </c>
      <c r="D719" s="345">
        <v>1E-3</v>
      </c>
    </row>
    <row r="720" spans="1:4">
      <c r="A720" t="s">
        <v>492</v>
      </c>
      <c r="B720" t="s">
        <v>493</v>
      </c>
      <c r="C720" s="342">
        <v>150</v>
      </c>
      <c r="D720" s="344">
        <v>1E-3</v>
      </c>
    </row>
    <row r="721" spans="1:4">
      <c r="A721" t="s">
        <v>492</v>
      </c>
      <c r="B721" t="s">
        <v>493</v>
      </c>
      <c r="C721" s="343">
        <v>150</v>
      </c>
      <c r="D721" s="345">
        <v>1E-3</v>
      </c>
    </row>
    <row r="722" spans="1:4">
      <c r="A722" t="s">
        <v>492</v>
      </c>
      <c r="B722" t="s">
        <v>493</v>
      </c>
      <c r="C722" s="342">
        <v>150</v>
      </c>
      <c r="D722" s="344">
        <v>1E-3</v>
      </c>
    </row>
    <row r="723" spans="1:4">
      <c r="A723" t="s">
        <v>492</v>
      </c>
      <c r="B723" t="s">
        <v>493</v>
      </c>
      <c r="C723" s="343">
        <v>150</v>
      </c>
      <c r="D723" s="345">
        <v>1E-3</v>
      </c>
    </row>
    <row r="724" spans="1:4">
      <c r="A724" t="s">
        <v>492</v>
      </c>
      <c r="B724" t="s">
        <v>493</v>
      </c>
      <c r="C724" s="342">
        <v>150</v>
      </c>
      <c r="D724" s="344">
        <v>1E-3</v>
      </c>
    </row>
    <row r="725" spans="1:4">
      <c r="A725" t="s">
        <v>492</v>
      </c>
      <c r="B725" t="s">
        <v>493</v>
      </c>
      <c r="C725" s="343">
        <v>150</v>
      </c>
      <c r="D725" s="345">
        <v>1E-3</v>
      </c>
    </row>
    <row r="726" spans="1:4">
      <c r="A726" t="s">
        <v>492</v>
      </c>
      <c r="B726" t="s">
        <v>493</v>
      </c>
      <c r="C726" s="342">
        <v>150</v>
      </c>
      <c r="D726" s="344">
        <v>1E-3</v>
      </c>
    </row>
    <row r="727" spans="1:4">
      <c r="A727" t="s">
        <v>492</v>
      </c>
      <c r="B727" t="s">
        <v>493</v>
      </c>
      <c r="C727" s="343">
        <v>150</v>
      </c>
      <c r="D727" s="345">
        <v>1E-3</v>
      </c>
    </row>
    <row r="728" spans="1:4">
      <c r="A728" t="s">
        <v>492</v>
      </c>
      <c r="B728" t="s">
        <v>493</v>
      </c>
      <c r="C728" s="342">
        <v>150</v>
      </c>
      <c r="D728" s="344">
        <v>1E-3</v>
      </c>
    </row>
    <row r="729" spans="1:4">
      <c r="A729" t="s">
        <v>492</v>
      </c>
      <c r="B729" t="s">
        <v>493</v>
      </c>
      <c r="C729" s="343">
        <v>150</v>
      </c>
      <c r="D729" s="345">
        <v>1E-3</v>
      </c>
    </row>
    <row r="730" spans="1:4">
      <c r="A730" t="s">
        <v>492</v>
      </c>
      <c r="B730" t="s">
        <v>493</v>
      </c>
      <c r="C730" s="342">
        <v>150</v>
      </c>
      <c r="D730" s="344">
        <v>1E-3</v>
      </c>
    </row>
    <row r="731" spans="1:4">
      <c r="A731" t="s">
        <v>492</v>
      </c>
      <c r="B731" t="s">
        <v>493</v>
      </c>
      <c r="C731" s="343">
        <v>150</v>
      </c>
      <c r="D731" s="345">
        <v>1E-3</v>
      </c>
    </row>
    <row r="732" spans="1:4">
      <c r="A732" t="s">
        <v>492</v>
      </c>
      <c r="B732" t="s">
        <v>493</v>
      </c>
      <c r="C732" s="342">
        <v>150</v>
      </c>
      <c r="D732" s="344">
        <v>1E-3</v>
      </c>
    </row>
    <row r="733" spans="1:4">
      <c r="A733" t="s">
        <v>492</v>
      </c>
      <c r="B733" t="s">
        <v>493</v>
      </c>
      <c r="C733" s="343">
        <v>150</v>
      </c>
      <c r="D733" s="345">
        <v>1E-3</v>
      </c>
    </row>
    <row r="734" spans="1:4">
      <c r="A734" t="s">
        <v>492</v>
      </c>
      <c r="B734" t="s">
        <v>493</v>
      </c>
      <c r="C734" s="342">
        <v>150</v>
      </c>
      <c r="D734" s="344">
        <v>1E-3</v>
      </c>
    </row>
    <row r="735" spans="1:4">
      <c r="A735" t="s">
        <v>492</v>
      </c>
      <c r="B735" t="s">
        <v>493</v>
      </c>
      <c r="C735" s="343">
        <v>150</v>
      </c>
      <c r="D735" s="345">
        <v>1E-3</v>
      </c>
    </row>
    <row r="736" spans="1:4">
      <c r="A736" t="s">
        <v>492</v>
      </c>
      <c r="B736" t="s">
        <v>499</v>
      </c>
      <c r="C736" s="342">
        <v>180</v>
      </c>
      <c r="D736" s="344">
        <v>2E-3</v>
      </c>
    </row>
    <row r="737" spans="1:4">
      <c r="A737" t="s">
        <v>492</v>
      </c>
      <c r="B737" t="s">
        <v>499</v>
      </c>
      <c r="C737" s="343">
        <v>180</v>
      </c>
      <c r="D737" s="345">
        <v>2E-3</v>
      </c>
    </row>
    <row r="738" spans="1:4">
      <c r="A738" t="s">
        <v>492</v>
      </c>
      <c r="B738" t="s">
        <v>499</v>
      </c>
      <c r="C738" s="342">
        <v>180</v>
      </c>
      <c r="D738" s="344">
        <v>2E-3</v>
      </c>
    </row>
    <row r="739" spans="1:4">
      <c r="A739" t="s">
        <v>492</v>
      </c>
      <c r="B739" t="s">
        <v>499</v>
      </c>
      <c r="C739" s="343">
        <v>180</v>
      </c>
      <c r="D739" s="345">
        <v>2E-3</v>
      </c>
    </row>
    <row r="740" spans="1:4">
      <c r="A740" t="s">
        <v>492</v>
      </c>
      <c r="B740" t="s">
        <v>499</v>
      </c>
      <c r="C740" s="342">
        <v>180</v>
      </c>
      <c r="D740" s="344">
        <v>2E-3</v>
      </c>
    </row>
    <row r="741" spans="1:4">
      <c r="A741" t="s">
        <v>492</v>
      </c>
      <c r="B741" t="s">
        <v>499</v>
      </c>
      <c r="C741" s="343">
        <v>180</v>
      </c>
      <c r="D741" s="345">
        <v>2E-3</v>
      </c>
    </row>
    <row r="742" spans="1:4">
      <c r="A742" t="s">
        <v>492</v>
      </c>
      <c r="B742" t="s">
        <v>499</v>
      </c>
      <c r="C742" s="342">
        <v>180</v>
      </c>
      <c r="D742" s="344">
        <v>2E-3</v>
      </c>
    </row>
    <row r="743" spans="1:4">
      <c r="A743" t="s">
        <v>492</v>
      </c>
      <c r="B743" t="s">
        <v>499</v>
      </c>
      <c r="C743" s="343">
        <v>180</v>
      </c>
      <c r="D743" s="345">
        <v>2E-3</v>
      </c>
    </row>
    <row r="744" spans="1:4">
      <c r="A744" t="s">
        <v>492</v>
      </c>
      <c r="B744" t="s">
        <v>499</v>
      </c>
      <c r="C744" s="342">
        <v>180</v>
      </c>
      <c r="D744" s="344">
        <v>2E-3</v>
      </c>
    </row>
    <row r="745" spans="1:4">
      <c r="A745" t="s">
        <v>492</v>
      </c>
      <c r="B745" t="s">
        <v>499</v>
      </c>
      <c r="C745" s="343">
        <v>180</v>
      </c>
      <c r="D745" s="345">
        <v>2E-3</v>
      </c>
    </row>
    <row r="746" spans="1:4">
      <c r="A746" t="s">
        <v>492</v>
      </c>
      <c r="B746" t="s">
        <v>499</v>
      </c>
      <c r="C746" s="342">
        <v>180</v>
      </c>
      <c r="D746" s="344">
        <v>2E-3</v>
      </c>
    </row>
    <row r="747" spans="1:4">
      <c r="A747" t="s">
        <v>492</v>
      </c>
      <c r="B747" t="s">
        <v>499</v>
      </c>
      <c r="C747" s="343">
        <v>180</v>
      </c>
      <c r="D747" s="345">
        <v>2E-3</v>
      </c>
    </row>
    <row r="748" spans="1:4">
      <c r="A748" t="s">
        <v>492</v>
      </c>
      <c r="B748" t="s">
        <v>499</v>
      </c>
      <c r="C748" s="342">
        <v>180</v>
      </c>
      <c r="D748" s="344">
        <v>2E-3</v>
      </c>
    </row>
    <row r="749" spans="1:4">
      <c r="A749" t="s">
        <v>492</v>
      </c>
      <c r="B749" t="s">
        <v>499</v>
      </c>
      <c r="C749" s="343">
        <v>180</v>
      </c>
      <c r="D749" s="345">
        <v>2E-3</v>
      </c>
    </row>
    <row r="750" spans="1:4">
      <c r="A750" t="s">
        <v>492</v>
      </c>
      <c r="B750" t="s">
        <v>499</v>
      </c>
      <c r="C750" s="342">
        <v>180</v>
      </c>
      <c r="D750" s="344">
        <v>2E-3</v>
      </c>
    </row>
    <row r="751" spans="1:4">
      <c r="A751" t="s">
        <v>492</v>
      </c>
      <c r="B751" t="s">
        <v>499</v>
      </c>
      <c r="C751" s="343">
        <v>180</v>
      </c>
      <c r="D751" s="345">
        <v>2E-3</v>
      </c>
    </row>
    <row r="752" spans="1:4">
      <c r="A752" t="s">
        <v>492</v>
      </c>
      <c r="B752" t="s">
        <v>499</v>
      </c>
      <c r="C752" s="342">
        <v>180</v>
      </c>
      <c r="D752" s="344">
        <v>2E-3</v>
      </c>
    </row>
    <row r="753" spans="1:4">
      <c r="A753" t="s">
        <v>492</v>
      </c>
      <c r="B753" t="s">
        <v>499</v>
      </c>
      <c r="C753" s="343">
        <v>180</v>
      </c>
      <c r="D753" s="345">
        <v>2E-3</v>
      </c>
    </row>
    <row r="754" spans="1:4">
      <c r="A754" t="s">
        <v>492</v>
      </c>
      <c r="B754" t="s">
        <v>515</v>
      </c>
      <c r="C754" s="342">
        <v>150</v>
      </c>
      <c r="D754" s="344">
        <v>4.0000000000000001E-3</v>
      </c>
    </row>
    <row r="755" spans="1:4">
      <c r="A755" t="s">
        <v>492</v>
      </c>
      <c r="B755" t="s">
        <v>515</v>
      </c>
      <c r="C755" s="343">
        <v>150</v>
      </c>
      <c r="D755" s="345">
        <v>4.0000000000000001E-3</v>
      </c>
    </row>
    <row r="756" spans="1:4">
      <c r="A756" t="s">
        <v>492</v>
      </c>
      <c r="B756" t="s">
        <v>510</v>
      </c>
      <c r="C756" s="342">
        <v>250</v>
      </c>
      <c r="D756" s="344">
        <v>6.0000000000000001E-3</v>
      </c>
    </row>
    <row r="757" spans="1:4">
      <c r="A757" t="s">
        <v>492</v>
      </c>
      <c r="B757" t="s">
        <v>510</v>
      </c>
      <c r="C757" s="343">
        <v>250</v>
      </c>
      <c r="D757" s="345">
        <v>6.0000000000000001E-3</v>
      </c>
    </row>
    <row r="758" spans="1:4">
      <c r="A758" t="s">
        <v>492</v>
      </c>
      <c r="B758" t="s">
        <v>510</v>
      </c>
      <c r="C758" s="342">
        <v>250</v>
      </c>
      <c r="D758" s="344">
        <v>6.0000000000000001E-3</v>
      </c>
    </row>
    <row r="759" spans="1:4">
      <c r="A759" t="s">
        <v>492</v>
      </c>
      <c r="B759" t="s">
        <v>510</v>
      </c>
      <c r="C759" s="343">
        <v>250</v>
      </c>
      <c r="D759" s="345">
        <v>6.0000000000000001E-3</v>
      </c>
    </row>
    <row r="760" spans="1:4">
      <c r="A760" t="s">
        <v>492</v>
      </c>
      <c r="B760" t="s">
        <v>510</v>
      </c>
      <c r="C760" s="342">
        <v>250</v>
      </c>
      <c r="D760" s="344">
        <v>6.0000000000000001E-3</v>
      </c>
    </row>
    <row r="761" spans="1:4">
      <c r="A761" t="s">
        <v>492</v>
      </c>
      <c r="B761" t="s">
        <v>510</v>
      </c>
      <c r="C761" s="343">
        <v>250</v>
      </c>
      <c r="D761" s="345">
        <v>6.0000000000000001E-3</v>
      </c>
    </row>
    <row r="762" spans="1:4">
      <c r="A762" t="s">
        <v>492</v>
      </c>
      <c r="B762" t="s">
        <v>510</v>
      </c>
      <c r="C762" s="342">
        <v>250</v>
      </c>
      <c r="D762" s="344">
        <v>6.0000000000000001E-3</v>
      </c>
    </row>
    <row r="763" spans="1:4">
      <c r="A763" t="s">
        <v>492</v>
      </c>
      <c r="B763" t="s">
        <v>510</v>
      </c>
      <c r="C763" s="343">
        <v>250</v>
      </c>
      <c r="D763" s="345">
        <v>6.0000000000000001E-3</v>
      </c>
    </row>
    <row r="764" spans="1:4">
      <c r="A764" t="s">
        <v>492</v>
      </c>
      <c r="B764" t="s">
        <v>510</v>
      </c>
      <c r="C764" s="342">
        <v>250</v>
      </c>
      <c r="D764" s="344">
        <v>6.0000000000000001E-3</v>
      </c>
    </row>
    <row r="765" spans="1:4">
      <c r="A765" t="s">
        <v>492</v>
      </c>
      <c r="B765" t="s">
        <v>510</v>
      </c>
      <c r="C765" s="343">
        <v>250</v>
      </c>
      <c r="D765" s="345">
        <v>6.0000000000000001E-3</v>
      </c>
    </row>
    <row r="766" spans="1:4">
      <c r="A766" t="s">
        <v>492</v>
      </c>
      <c r="B766" t="s">
        <v>510</v>
      </c>
      <c r="C766" s="342">
        <v>250</v>
      </c>
      <c r="D766" s="344">
        <v>6.0000000000000001E-3</v>
      </c>
    </row>
    <row r="767" spans="1:4">
      <c r="A767" t="s">
        <v>492</v>
      </c>
      <c r="B767" t="s">
        <v>510</v>
      </c>
      <c r="C767" s="343">
        <v>250</v>
      </c>
      <c r="D767" s="345">
        <v>6.0000000000000001E-3</v>
      </c>
    </row>
    <row r="768" spans="1:4">
      <c r="A768" t="s">
        <v>492</v>
      </c>
      <c r="B768" t="s">
        <v>510</v>
      </c>
      <c r="C768" s="342">
        <v>250</v>
      </c>
      <c r="D768" s="344">
        <v>6.0000000000000001E-3</v>
      </c>
    </row>
    <row r="769" spans="1:4">
      <c r="A769" t="s">
        <v>492</v>
      </c>
      <c r="B769" t="s">
        <v>510</v>
      </c>
      <c r="C769" s="343">
        <v>250</v>
      </c>
      <c r="D769" s="345">
        <v>6.0000000000000001E-3</v>
      </c>
    </row>
    <row r="770" spans="1:4">
      <c r="A770" t="s">
        <v>492</v>
      </c>
      <c r="B770" t="s">
        <v>510</v>
      </c>
      <c r="C770" s="342">
        <v>250</v>
      </c>
      <c r="D770" s="344">
        <v>6.0000000000000001E-3</v>
      </c>
    </row>
    <row r="771" spans="1:4">
      <c r="A771" t="s">
        <v>492</v>
      </c>
      <c r="B771" t="s">
        <v>510</v>
      </c>
      <c r="C771" s="343">
        <v>250</v>
      </c>
      <c r="D771" s="345">
        <v>6.0000000000000001E-3</v>
      </c>
    </row>
    <row r="772" spans="1:4">
      <c r="A772" t="s">
        <v>492</v>
      </c>
      <c r="B772" t="s">
        <v>479</v>
      </c>
      <c r="C772" s="342">
        <v>2351</v>
      </c>
      <c r="D772" s="344">
        <v>0.13800000000000001</v>
      </c>
    </row>
    <row r="773" spans="1:4">
      <c r="A773" t="s">
        <v>492</v>
      </c>
      <c r="B773" t="s">
        <v>479</v>
      </c>
      <c r="C773" s="343">
        <v>2351</v>
      </c>
      <c r="D773" s="345">
        <v>0.13800000000000001</v>
      </c>
    </row>
    <row r="774" spans="1:4">
      <c r="A774" t="s">
        <v>492</v>
      </c>
      <c r="B774" t="s">
        <v>479</v>
      </c>
      <c r="C774" s="342">
        <v>2351</v>
      </c>
      <c r="D774" s="344">
        <v>0.13800000000000001</v>
      </c>
    </row>
    <row r="775" spans="1:4">
      <c r="A775" t="s">
        <v>492</v>
      </c>
      <c r="B775" t="s">
        <v>479</v>
      </c>
      <c r="C775" s="343">
        <v>2351</v>
      </c>
      <c r="D775" s="345">
        <v>0.13800000000000001</v>
      </c>
    </row>
    <row r="776" spans="1:4">
      <c r="A776" t="s">
        <v>492</v>
      </c>
      <c r="B776" t="s">
        <v>479</v>
      </c>
      <c r="C776" s="342">
        <v>2351</v>
      </c>
      <c r="D776" s="344">
        <v>0.13800000000000001</v>
      </c>
    </row>
    <row r="777" spans="1:4">
      <c r="A777" t="s">
        <v>492</v>
      </c>
      <c r="B777" t="s">
        <v>479</v>
      </c>
      <c r="C777" s="343">
        <v>2351</v>
      </c>
      <c r="D777" s="345">
        <v>0.13800000000000001</v>
      </c>
    </row>
    <row r="778" spans="1:4">
      <c r="A778" t="s">
        <v>492</v>
      </c>
      <c r="B778" t="s">
        <v>479</v>
      </c>
      <c r="C778" s="342">
        <v>2351</v>
      </c>
      <c r="D778" s="344">
        <v>0.13800000000000001</v>
      </c>
    </row>
    <row r="779" spans="1:4">
      <c r="A779" t="s">
        <v>492</v>
      </c>
      <c r="B779" t="s">
        <v>479</v>
      </c>
      <c r="C779" s="343">
        <v>2351</v>
      </c>
      <c r="D779" s="345">
        <v>0.13800000000000001</v>
      </c>
    </row>
    <row r="780" spans="1:4">
      <c r="A780" t="s">
        <v>492</v>
      </c>
      <c r="B780" t="s">
        <v>479</v>
      </c>
      <c r="C780" s="342">
        <v>2351</v>
      </c>
      <c r="D780" s="344">
        <v>0.13800000000000001</v>
      </c>
    </row>
    <row r="781" spans="1:4">
      <c r="A781" t="s">
        <v>492</v>
      </c>
      <c r="B781" t="s">
        <v>479</v>
      </c>
      <c r="C781" s="343">
        <v>2351</v>
      </c>
      <c r="D781" s="345">
        <v>0.13800000000000001</v>
      </c>
    </row>
    <row r="782" spans="1:4">
      <c r="A782" t="s">
        <v>492</v>
      </c>
      <c r="B782" t="s">
        <v>479</v>
      </c>
      <c r="C782" s="342">
        <v>2351</v>
      </c>
      <c r="D782" s="344">
        <v>0.13800000000000001</v>
      </c>
    </row>
    <row r="783" spans="1:4">
      <c r="A783" t="s">
        <v>492</v>
      </c>
      <c r="B783" t="s">
        <v>479</v>
      </c>
      <c r="C783" s="343">
        <v>2351</v>
      </c>
      <c r="D783" s="345">
        <v>0.13800000000000001</v>
      </c>
    </row>
    <row r="784" spans="1:4">
      <c r="A784" t="s">
        <v>492</v>
      </c>
      <c r="B784" t="s">
        <v>479</v>
      </c>
      <c r="C784" s="342">
        <v>2351</v>
      </c>
      <c r="D784" s="344">
        <v>0.13800000000000001</v>
      </c>
    </row>
    <row r="785" spans="1:4">
      <c r="A785" t="s">
        <v>492</v>
      </c>
      <c r="B785" t="s">
        <v>479</v>
      </c>
      <c r="C785" s="343">
        <v>2351</v>
      </c>
      <c r="D785" s="345">
        <v>0.13800000000000001</v>
      </c>
    </row>
    <row r="786" spans="1:4">
      <c r="A786" t="s">
        <v>492</v>
      </c>
      <c r="B786" t="s">
        <v>479</v>
      </c>
      <c r="C786" s="342">
        <v>2351</v>
      </c>
      <c r="D786" s="344">
        <v>0.13800000000000001</v>
      </c>
    </row>
    <row r="787" spans="1:4">
      <c r="A787" t="s">
        <v>492</v>
      </c>
      <c r="B787" t="s">
        <v>479</v>
      </c>
      <c r="C787" s="343">
        <v>2351</v>
      </c>
      <c r="D787" s="345">
        <v>0.13800000000000001</v>
      </c>
    </row>
    <row r="788" spans="1:4">
      <c r="A788" t="s">
        <v>492</v>
      </c>
      <c r="B788" t="s">
        <v>479</v>
      </c>
      <c r="C788" s="342">
        <v>2351</v>
      </c>
      <c r="D788" s="344">
        <v>0.13800000000000001</v>
      </c>
    </row>
    <row r="789" spans="1:4">
      <c r="A789" t="s">
        <v>492</v>
      </c>
      <c r="B789" t="s">
        <v>479</v>
      </c>
      <c r="C789" s="343">
        <v>2351</v>
      </c>
      <c r="D789" s="345">
        <v>0.13800000000000001</v>
      </c>
    </row>
    <row r="790" spans="1:4">
      <c r="A790" t="s">
        <v>492</v>
      </c>
      <c r="B790" t="s">
        <v>479</v>
      </c>
      <c r="C790" s="342">
        <v>2351</v>
      </c>
      <c r="D790" s="344">
        <v>0.13800000000000001</v>
      </c>
    </row>
    <row r="791" spans="1:4">
      <c r="A791" t="s">
        <v>492</v>
      </c>
      <c r="B791" t="s">
        <v>479</v>
      </c>
      <c r="C791" s="343">
        <v>2351</v>
      </c>
      <c r="D791" s="345">
        <v>0.13800000000000001</v>
      </c>
    </row>
    <row r="792" spans="1:4">
      <c r="A792" t="s">
        <v>492</v>
      </c>
      <c r="B792" t="s">
        <v>479</v>
      </c>
      <c r="C792" s="342">
        <v>2351</v>
      </c>
      <c r="D792" s="344">
        <v>0.13800000000000001</v>
      </c>
    </row>
    <row r="793" spans="1:4">
      <c r="A793" t="s">
        <v>492</v>
      </c>
      <c r="B793" t="s">
        <v>479</v>
      </c>
      <c r="C793" s="343">
        <v>2351</v>
      </c>
      <c r="D793" s="345">
        <v>0.13800000000000001</v>
      </c>
    </row>
    <row r="794" spans="1:4">
      <c r="A794" t="s">
        <v>492</v>
      </c>
      <c r="B794" t="s">
        <v>479</v>
      </c>
      <c r="C794" s="342">
        <v>2351</v>
      </c>
      <c r="D794" s="344">
        <v>0.13800000000000001</v>
      </c>
    </row>
    <row r="795" spans="1:4">
      <c r="A795" t="s">
        <v>492</v>
      </c>
      <c r="B795" t="s">
        <v>479</v>
      </c>
      <c r="C795" s="343">
        <v>2351</v>
      </c>
      <c r="D795" s="345">
        <v>0.13800000000000001</v>
      </c>
    </row>
    <row r="796" spans="1:4">
      <c r="A796" t="s">
        <v>492</v>
      </c>
      <c r="B796" t="s">
        <v>479</v>
      </c>
      <c r="C796" s="342">
        <v>2351</v>
      </c>
      <c r="D796" s="344">
        <v>0.13800000000000001</v>
      </c>
    </row>
    <row r="797" spans="1:4">
      <c r="A797" t="s">
        <v>492</v>
      </c>
      <c r="B797" t="s">
        <v>479</v>
      </c>
      <c r="C797" s="343">
        <v>2351</v>
      </c>
      <c r="D797" s="345">
        <v>0.13800000000000001</v>
      </c>
    </row>
    <row r="798" spans="1:4">
      <c r="A798" t="s">
        <v>492</v>
      </c>
      <c r="B798" t="s">
        <v>479</v>
      </c>
      <c r="C798" s="342">
        <v>2351</v>
      </c>
      <c r="D798" s="344">
        <v>0.13800000000000001</v>
      </c>
    </row>
    <row r="799" spans="1:4">
      <c r="A799" t="s">
        <v>492</v>
      </c>
      <c r="B799" t="s">
        <v>479</v>
      </c>
      <c r="C799" s="343">
        <v>2351</v>
      </c>
      <c r="D799" s="345">
        <v>0.13800000000000001</v>
      </c>
    </row>
    <row r="800" spans="1:4">
      <c r="A800" t="s">
        <v>492</v>
      </c>
      <c r="B800" t="s">
        <v>479</v>
      </c>
      <c r="C800" s="342">
        <v>2351</v>
      </c>
      <c r="D800" s="344">
        <v>0.13800000000000001</v>
      </c>
    </row>
    <row r="801" spans="1:4">
      <c r="A801" t="s">
        <v>492</v>
      </c>
      <c r="B801" t="s">
        <v>479</v>
      </c>
      <c r="C801" s="343">
        <v>2351</v>
      </c>
      <c r="D801" s="345">
        <v>0.13800000000000001</v>
      </c>
    </row>
    <row r="802" spans="1:4">
      <c r="A802" t="s">
        <v>492</v>
      </c>
      <c r="B802" t="s">
        <v>479</v>
      </c>
      <c r="C802" s="342">
        <v>2351</v>
      </c>
      <c r="D802" s="344">
        <v>0.13800000000000001</v>
      </c>
    </row>
    <row r="803" spans="1:4">
      <c r="A803" t="s">
        <v>492</v>
      </c>
      <c r="B803" t="s">
        <v>479</v>
      </c>
      <c r="C803" s="343">
        <v>2351</v>
      </c>
      <c r="D803" s="345">
        <v>0.13800000000000001</v>
      </c>
    </row>
    <row r="804" spans="1:4">
      <c r="A804" t="s">
        <v>492</v>
      </c>
      <c r="B804" t="s">
        <v>503</v>
      </c>
      <c r="C804" s="342">
        <v>150</v>
      </c>
      <c r="D804" s="344">
        <v>2E-3</v>
      </c>
    </row>
    <row r="805" spans="1:4">
      <c r="A805" t="s">
        <v>492</v>
      </c>
      <c r="B805" t="s">
        <v>503</v>
      </c>
      <c r="C805" s="343">
        <v>150</v>
      </c>
      <c r="D805" s="345">
        <v>2E-3</v>
      </c>
    </row>
    <row r="806" spans="1:4">
      <c r="A806" t="s">
        <v>492</v>
      </c>
      <c r="B806" t="s">
        <v>503</v>
      </c>
      <c r="C806" s="342">
        <v>150</v>
      </c>
      <c r="D806" s="344">
        <v>2E-3</v>
      </c>
    </row>
    <row r="807" spans="1:4">
      <c r="A807" t="s">
        <v>492</v>
      </c>
      <c r="B807" t="s">
        <v>503</v>
      </c>
      <c r="C807" s="343">
        <v>150</v>
      </c>
      <c r="D807" s="345">
        <v>2E-3</v>
      </c>
    </row>
    <row r="808" spans="1:4">
      <c r="A808" t="s">
        <v>492</v>
      </c>
      <c r="B808" t="s">
        <v>503</v>
      </c>
      <c r="C808" s="342">
        <v>150</v>
      </c>
      <c r="D808" s="344">
        <v>2E-3</v>
      </c>
    </row>
    <row r="809" spans="1:4">
      <c r="A809" t="s">
        <v>492</v>
      </c>
      <c r="B809" t="s">
        <v>503</v>
      </c>
      <c r="C809" s="343">
        <v>150</v>
      </c>
      <c r="D809" s="345">
        <v>2E-3</v>
      </c>
    </row>
    <row r="810" spans="1:4">
      <c r="A810" t="s">
        <v>492</v>
      </c>
      <c r="B810" t="s">
        <v>503</v>
      </c>
      <c r="C810" s="342">
        <v>150</v>
      </c>
      <c r="D810" s="344">
        <v>2E-3</v>
      </c>
    </row>
    <row r="811" spans="1:4">
      <c r="A811" t="s">
        <v>492</v>
      </c>
      <c r="B811" t="s">
        <v>503</v>
      </c>
      <c r="C811" s="343">
        <v>150</v>
      </c>
      <c r="D811" s="345">
        <v>2E-3</v>
      </c>
    </row>
    <row r="812" spans="1:4">
      <c r="A812" t="s">
        <v>492</v>
      </c>
      <c r="B812" t="s">
        <v>503</v>
      </c>
      <c r="C812" s="342">
        <v>150</v>
      </c>
      <c r="D812" s="344">
        <v>2E-3</v>
      </c>
    </row>
    <row r="813" spans="1:4">
      <c r="A813" t="s">
        <v>492</v>
      </c>
      <c r="B813" t="s">
        <v>503</v>
      </c>
      <c r="C813" s="343">
        <v>150</v>
      </c>
      <c r="D813" s="345">
        <v>2E-3</v>
      </c>
    </row>
    <row r="814" spans="1:4">
      <c r="A814" t="s">
        <v>492</v>
      </c>
      <c r="B814" t="s">
        <v>503</v>
      </c>
      <c r="C814" s="342">
        <v>150</v>
      </c>
      <c r="D814" s="344">
        <v>2E-3</v>
      </c>
    </row>
    <row r="815" spans="1:4">
      <c r="A815" t="s">
        <v>492</v>
      </c>
      <c r="B815" t="s">
        <v>503</v>
      </c>
      <c r="C815" s="343">
        <v>150</v>
      </c>
      <c r="D815" s="345">
        <v>2E-3</v>
      </c>
    </row>
    <row r="816" spans="1:4">
      <c r="A816" t="s">
        <v>492</v>
      </c>
      <c r="B816" t="s">
        <v>503</v>
      </c>
      <c r="C816" s="342">
        <v>150</v>
      </c>
      <c r="D816" s="344">
        <v>2E-3</v>
      </c>
    </row>
    <row r="817" spans="1:4">
      <c r="A817" t="s">
        <v>492</v>
      </c>
      <c r="B817" t="s">
        <v>503</v>
      </c>
      <c r="C817" s="343">
        <v>150</v>
      </c>
      <c r="D817" s="345">
        <v>2E-3</v>
      </c>
    </row>
    <row r="818" spans="1:4">
      <c r="A818" t="s">
        <v>492</v>
      </c>
      <c r="B818" t="s">
        <v>503</v>
      </c>
      <c r="C818" s="342">
        <v>150</v>
      </c>
      <c r="D818" s="344">
        <v>2E-3</v>
      </c>
    </row>
    <row r="819" spans="1:4">
      <c r="A819" t="s">
        <v>492</v>
      </c>
      <c r="B819" t="s">
        <v>503</v>
      </c>
      <c r="C819" s="343">
        <v>150</v>
      </c>
      <c r="D819" s="345">
        <v>2E-3</v>
      </c>
    </row>
    <row r="820" spans="1:4">
      <c r="A820" t="s">
        <v>492</v>
      </c>
      <c r="B820" t="s">
        <v>503</v>
      </c>
      <c r="C820" s="342">
        <v>150</v>
      </c>
      <c r="D820" s="344">
        <v>2E-3</v>
      </c>
    </row>
    <row r="821" spans="1:4">
      <c r="A821" t="s">
        <v>492</v>
      </c>
      <c r="B821" t="s">
        <v>503</v>
      </c>
      <c r="C821" s="343">
        <v>150</v>
      </c>
      <c r="D821" s="345">
        <v>2E-3</v>
      </c>
    </row>
    <row r="822" spans="1:4">
      <c r="A822" t="s">
        <v>492</v>
      </c>
      <c r="B822" t="s">
        <v>503</v>
      </c>
      <c r="C822" s="342">
        <v>150</v>
      </c>
      <c r="D822" s="344">
        <v>2E-3</v>
      </c>
    </row>
    <row r="823" spans="1:4">
      <c r="A823" t="s">
        <v>492</v>
      </c>
      <c r="B823" t="s">
        <v>503</v>
      </c>
      <c r="C823" s="343">
        <v>150</v>
      </c>
      <c r="D823" s="345">
        <v>2E-3</v>
      </c>
    </row>
    <row r="824" spans="1:4">
      <c r="A824" t="s">
        <v>492</v>
      </c>
      <c r="B824" t="s">
        <v>503</v>
      </c>
      <c r="C824" s="342">
        <v>150</v>
      </c>
      <c r="D824" s="344">
        <v>2E-3</v>
      </c>
    </row>
    <row r="825" spans="1:4">
      <c r="A825" t="s">
        <v>492</v>
      </c>
      <c r="B825" t="s">
        <v>503</v>
      </c>
      <c r="C825" s="343">
        <v>150</v>
      </c>
      <c r="D825" s="345">
        <v>2E-3</v>
      </c>
    </row>
    <row r="826" spans="1:4">
      <c r="A826" t="s">
        <v>492</v>
      </c>
      <c r="B826" t="s">
        <v>503</v>
      </c>
      <c r="C826" s="342">
        <v>150</v>
      </c>
      <c r="D826" s="344">
        <v>2E-3</v>
      </c>
    </row>
    <row r="827" spans="1:4">
      <c r="A827" t="s">
        <v>492</v>
      </c>
      <c r="B827" t="s">
        <v>503</v>
      </c>
      <c r="C827" s="343">
        <v>150</v>
      </c>
      <c r="D827" s="345">
        <v>2E-3</v>
      </c>
    </row>
    <row r="828" spans="1:4">
      <c r="A828" t="s">
        <v>492</v>
      </c>
      <c r="B828" t="s">
        <v>517</v>
      </c>
      <c r="C828" s="342">
        <v>90</v>
      </c>
      <c r="D828" s="344">
        <v>0</v>
      </c>
    </row>
    <row r="829" spans="1:4">
      <c r="A829" t="s">
        <v>492</v>
      </c>
      <c r="B829" t="s">
        <v>517</v>
      </c>
      <c r="C829" s="343">
        <v>90</v>
      </c>
      <c r="D829" s="345">
        <v>0</v>
      </c>
    </row>
    <row r="830" spans="1:4">
      <c r="A830" t="s">
        <v>492</v>
      </c>
      <c r="B830" t="s">
        <v>474</v>
      </c>
      <c r="C830" s="342">
        <v>265</v>
      </c>
      <c r="D830" s="344">
        <v>6.0000000000000001E-3</v>
      </c>
    </row>
    <row r="831" spans="1:4">
      <c r="A831" t="s">
        <v>492</v>
      </c>
      <c r="B831" t="s">
        <v>516</v>
      </c>
      <c r="C831" s="343">
        <v>190</v>
      </c>
      <c r="D831" s="345">
        <v>7.0000000000000001E-3</v>
      </c>
    </row>
    <row r="832" spans="1:4">
      <c r="A832" t="s">
        <v>492</v>
      </c>
      <c r="B832" t="s">
        <v>516</v>
      </c>
      <c r="C832" s="342">
        <v>190</v>
      </c>
      <c r="D832" s="344">
        <v>7.0000000000000001E-3</v>
      </c>
    </row>
    <row r="833" spans="1:4">
      <c r="A833" t="s">
        <v>492</v>
      </c>
      <c r="B833" t="s">
        <v>516</v>
      </c>
      <c r="C833" s="343">
        <v>190</v>
      </c>
      <c r="D833" s="345">
        <v>7.0000000000000001E-3</v>
      </c>
    </row>
    <row r="834" spans="1:4">
      <c r="A834" t="s">
        <v>492</v>
      </c>
      <c r="B834" t="s">
        <v>516</v>
      </c>
      <c r="C834" s="342">
        <v>190</v>
      </c>
      <c r="D834" s="344">
        <v>7.0000000000000001E-3</v>
      </c>
    </row>
    <row r="835" spans="1:4">
      <c r="A835" t="s">
        <v>492</v>
      </c>
      <c r="B835" t="s">
        <v>516</v>
      </c>
      <c r="C835" s="343">
        <v>190</v>
      </c>
      <c r="D835" s="345">
        <v>7.0000000000000001E-3</v>
      </c>
    </row>
    <row r="836" spans="1:4">
      <c r="A836" t="s">
        <v>492</v>
      </c>
      <c r="B836" t="s">
        <v>516</v>
      </c>
      <c r="C836" s="342">
        <v>190</v>
      </c>
      <c r="D836" s="344">
        <v>7.0000000000000001E-3</v>
      </c>
    </row>
    <row r="837" spans="1:4">
      <c r="A837" t="s">
        <v>492</v>
      </c>
      <c r="B837" t="s">
        <v>516</v>
      </c>
      <c r="C837" s="343">
        <v>190</v>
      </c>
      <c r="D837" s="345">
        <v>7.0000000000000001E-3</v>
      </c>
    </row>
    <row r="838" spans="1:4">
      <c r="A838" t="s">
        <v>492</v>
      </c>
      <c r="B838" t="s">
        <v>516</v>
      </c>
      <c r="C838" s="342">
        <v>190</v>
      </c>
      <c r="D838" s="344">
        <v>7.0000000000000001E-3</v>
      </c>
    </row>
    <row r="839" spans="1:4">
      <c r="A839" t="s">
        <v>492</v>
      </c>
      <c r="B839" t="s">
        <v>516</v>
      </c>
      <c r="C839" s="343">
        <v>190</v>
      </c>
      <c r="D839" s="345">
        <v>7.0000000000000001E-3</v>
      </c>
    </row>
    <row r="840" spans="1:4">
      <c r="A840" t="s">
        <v>492</v>
      </c>
      <c r="B840" t="s">
        <v>516</v>
      </c>
      <c r="C840" s="342">
        <v>190</v>
      </c>
      <c r="D840" s="344">
        <v>7.0000000000000001E-3</v>
      </c>
    </row>
    <row r="841" spans="1:4">
      <c r="A841" t="s">
        <v>492</v>
      </c>
      <c r="B841" t="s">
        <v>516</v>
      </c>
      <c r="C841" s="343">
        <v>190</v>
      </c>
      <c r="D841" s="345">
        <v>7.0000000000000001E-3</v>
      </c>
    </row>
    <row r="842" spans="1:4">
      <c r="A842" t="s">
        <v>492</v>
      </c>
      <c r="B842" t="s">
        <v>516</v>
      </c>
      <c r="C842" s="342">
        <v>190</v>
      </c>
      <c r="D842" s="344">
        <v>7.0000000000000001E-3</v>
      </c>
    </row>
    <row r="843" spans="1:4">
      <c r="A843" t="s">
        <v>492</v>
      </c>
      <c r="B843" t="s">
        <v>516</v>
      </c>
      <c r="C843" s="343">
        <v>190</v>
      </c>
      <c r="D843" s="345">
        <v>7.0000000000000001E-3</v>
      </c>
    </row>
    <row r="844" spans="1:4">
      <c r="A844" t="s">
        <v>492</v>
      </c>
      <c r="B844" t="s">
        <v>516</v>
      </c>
      <c r="C844" s="342">
        <v>190</v>
      </c>
      <c r="D844" s="344">
        <v>7.0000000000000001E-3</v>
      </c>
    </row>
    <row r="845" spans="1:4">
      <c r="A845" t="s">
        <v>492</v>
      </c>
      <c r="B845" t="s">
        <v>516</v>
      </c>
      <c r="C845" s="343">
        <v>190</v>
      </c>
      <c r="D845" s="345">
        <v>7.0000000000000001E-3</v>
      </c>
    </row>
    <row r="846" spans="1:4">
      <c r="A846" t="s">
        <v>492</v>
      </c>
      <c r="B846" t="s">
        <v>516</v>
      </c>
      <c r="C846" s="342">
        <v>190</v>
      </c>
      <c r="D846" s="344">
        <v>7.0000000000000001E-3</v>
      </c>
    </row>
    <row r="847" spans="1:4">
      <c r="A847" t="s">
        <v>492</v>
      </c>
      <c r="B847" t="s">
        <v>516</v>
      </c>
      <c r="C847" s="343">
        <v>190</v>
      </c>
      <c r="D847" s="345">
        <v>7.0000000000000001E-3</v>
      </c>
    </row>
    <row r="848" spans="1:4">
      <c r="A848" t="s">
        <v>492</v>
      </c>
      <c r="B848" t="s">
        <v>516</v>
      </c>
      <c r="C848" s="342">
        <v>190</v>
      </c>
      <c r="D848" s="344">
        <v>7.0000000000000001E-3</v>
      </c>
    </row>
    <row r="849" spans="1:4">
      <c r="A849" t="s">
        <v>492</v>
      </c>
      <c r="B849" t="s">
        <v>516</v>
      </c>
      <c r="C849" s="343">
        <v>190</v>
      </c>
      <c r="D849" s="345">
        <v>7.0000000000000001E-3</v>
      </c>
    </row>
    <row r="850" spans="1:4">
      <c r="A850" t="s">
        <v>492</v>
      </c>
      <c r="B850" t="s">
        <v>516</v>
      </c>
      <c r="C850" s="342">
        <v>190</v>
      </c>
      <c r="D850" s="344">
        <v>7.0000000000000001E-3</v>
      </c>
    </row>
    <row r="851" spans="1:4">
      <c r="A851" t="s">
        <v>492</v>
      </c>
      <c r="B851" t="s">
        <v>516</v>
      </c>
      <c r="C851" s="343">
        <v>190</v>
      </c>
      <c r="D851" s="345">
        <v>7.0000000000000001E-3</v>
      </c>
    </row>
    <row r="852" spans="1:4">
      <c r="A852" t="s">
        <v>492</v>
      </c>
      <c r="B852" t="s">
        <v>516</v>
      </c>
      <c r="C852" s="342">
        <v>190</v>
      </c>
      <c r="D852" s="344">
        <v>7.0000000000000001E-3</v>
      </c>
    </row>
    <row r="853" spans="1:4">
      <c r="A853" t="s">
        <v>492</v>
      </c>
      <c r="B853" t="s">
        <v>478</v>
      </c>
      <c r="C853" s="343">
        <v>265</v>
      </c>
      <c r="D853" s="345">
        <v>6.0000000000000001E-3</v>
      </c>
    </row>
    <row r="854" spans="1:4">
      <c r="A854" t="s">
        <v>492</v>
      </c>
      <c r="B854" t="s">
        <v>478</v>
      </c>
      <c r="C854" s="342">
        <v>265</v>
      </c>
      <c r="D854" s="344">
        <v>6.0000000000000001E-3</v>
      </c>
    </row>
    <row r="855" spans="1:4">
      <c r="A855" t="s">
        <v>492</v>
      </c>
      <c r="B855" t="s">
        <v>478</v>
      </c>
      <c r="C855" s="343">
        <v>265</v>
      </c>
      <c r="D855" s="345">
        <v>6.0000000000000001E-3</v>
      </c>
    </row>
    <row r="856" spans="1:4">
      <c r="A856" t="s">
        <v>492</v>
      </c>
      <c r="B856" t="s">
        <v>478</v>
      </c>
      <c r="C856" s="342">
        <v>265</v>
      </c>
      <c r="D856" s="344">
        <v>6.0000000000000001E-3</v>
      </c>
    </row>
    <row r="857" spans="1:4">
      <c r="A857" t="s">
        <v>492</v>
      </c>
      <c r="B857" t="s">
        <v>478</v>
      </c>
      <c r="C857" s="343">
        <v>265</v>
      </c>
      <c r="D857" s="345">
        <v>6.0000000000000001E-3</v>
      </c>
    </row>
    <row r="858" spans="1:4">
      <c r="A858" t="s">
        <v>492</v>
      </c>
      <c r="B858" t="s">
        <v>478</v>
      </c>
      <c r="C858" s="342">
        <v>265</v>
      </c>
      <c r="D858" s="344">
        <v>6.0000000000000001E-3</v>
      </c>
    </row>
    <row r="859" spans="1:4">
      <c r="A859" t="s">
        <v>492</v>
      </c>
      <c r="B859" t="s">
        <v>478</v>
      </c>
      <c r="C859" s="343">
        <v>265</v>
      </c>
      <c r="D859" s="345">
        <v>6.0000000000000001E-3</v>
      </c>
    </row>
    <row r="860" spans="1:4">
      <c r="A860" t="s">
        <v>492</v>
      </c>
      <c r="B860" t="s">
        <v>502</v>
      </c>
      <c r="C860" s="342">
        <v>190</v>
      </c>
      <c r="D860" s="344">
        <v>1E-3</v>
      </c>
    </row>
    <row r="861" spans="1:4">
      <c r="A861" t="s">
        <v>492</v>
      </c>
      <c r="B861" t="s">
        <v>502</v>
      </c>
      <c r="C861" s="343">
        <v>190</v>
      </c>
      <c r="D861" s="345">
        <v>1E-3</v>
      </c>
    </row>
    <row r="862" spans="1:4">
      <c r="A862" t="s">
        <v>492</v>
      </c>
      <c r="B862" t="s">
        <v>502</v>
      </c>
      <c r="C862" s="342">
        <v>190</v>
      </c>
      <c r="D862" s="344">
        <v>1E-3</v>
      </c>
    </row>
    <row r="863" spans="1:4">
      <c r="A863" t="s">
        <v>492</v>
      </c>
      <c r="B863" t="s">
        <v>502</v>
      </c>
      <c r="C863" s="343">
        <v>190</v>
      </c>
      <c r="D863" s="345">
        <v>1E-3</v>
      </c>
    </row>
    <row r="864" spans="1:4">
      <c r="A864" t="s">
        <v>492</v>
      </c>
      <c r="B864" t="s">
        <v>502</v>
      </c>
      <c r="C864" s="342">
        <v>190</v>
      </c>
      <c r="D864" s="344">
        <v>1E-3</v>
      </c>
    </row>
    <row r="865" spans="1:4">
      <c r="A865" t="s">
        <v>492</v>
      </c>
      <c r="B865" t="s">
        <v>502</v>
      </c>
      <c r="C865" s="343">
        <v>190</v>
      </c>
      <c r="D865" s="345">
        <v>1E-3</v>
      </c>
    </row>
    <row r="866" spans="1:4">
      <c r="A866" t="s">
        <v>492</v>
      </c>
      <c r="B866" t="s">
        <v>502</v>
      </c>
      <c r="C866" s="342">
        <v>190</v>
      </c>
      <c r="D866" s="344">
        <v>1E-3</v>
      </c>
    </row>
    <row r="867" spans="1:4">
      <c r="A867" t="s">
        <v>492</v>
      </c>
      <c r="B867" t="s">
        <v>502</v>
      </c>
      <c r="C867" s="343">
        <v>190</v>
      </c>
      <c r="D867" s="345">
        <v>1E-3</v>
      </c>
    </row>
    <row r="868" spans="1:4">
      <c r="A868" t="s">
        <v>492</v>
      </c>
      <c r="B868" t="s">
        <v>502</v>
      </c>
      <c r="C868" s="342">
        <v>190</v>
      </c>
      <c r="D868" s="344">
        <v>1E-3</v>
      </c>
    </row>
    <row r="869" spans="1:4">
      <c r="A869" t="s">
        <v>492</v>
      </c>
      <c r="B869" t="s">
        <v>502</v>
      </c>
      <c r="C869" s="343">
        <v>190</v>
      </c>
      <c r="D869" s="345">
        <v>1E-3</v>
      </c>
    </row>
    <row r="870" spans="1:4">
      <c r="A870" t="s">
        <v>492</v>
      </c>
      <c r="B870" t="s">
        <v>502</v>
      </c>
      <c r="C870" s="342">
        <v>190</v>
      </c>
      <c r="D870" s="344">
        <v>1E-3</v>
      </c>
    </row>
    <row r="871" spans="1:4">
      <c r="A871" t="s">
        <v>492</v>
      </c>
      <c r="B871" t="s">
        <v>502</v>
      </c>
      <c r="C871" s="343">
        <v>190</v>
      </c>
      <c r="D871" s="345">
        <v>1E-3</v>
      </c>
    </row>
    <row r="872" spans="1:4">
      <c r="A872" t="s">
        <v>492</v>
      </c>
      <c r="B872" t="s">
        <v>502</v>
      </c>
      <c r="C872" s="342">
        <v>190</v>
      </c>
      <c r="D872" s="344">
        <v>1E-3</v>
      </c>
    </row>
    <row r="873" spans="1:4">
      <c r="A873" t="s">
        <v>492</v>
      </c>
      <c r="B873" t="s">
        <v>502</v>
      </c>
      <c r="C873" s="343">
        <v>190</v>
      </c>
      <c r="D873" s="345">
        <v>1E-3</v>
      </c>
    </row>
    <row r="874" spans="1:4">
      <c r="A874" t="s">
        <v>492</v>
      </c>
      <c r="B874" t="s">
        <v>502</v>
      </c>
      <c r="C874" s="342">
        <v>190</v>
      </c>
      <c r="D874" s="344">
        <v>1E-3</v>
      </c>
    </row>
    <row r="875" spans="1:4">
      <c r="A875" t="s">
        <v>492</v>
      </c>
      <c r="B875" t="s">
        <v>502</v>
      </c>
      <c r="C875" s="343">
        <v>190</v>
      </c>
      <c r="D875" s="345">
        <v>1E-3</v>
      </c>
    </row>
    <row r="876" spans="1:4">
      <c r="A876" t="s">
        <v>492</v>
      </c>
      <c r="B876" t="s">
        <v>478</v>
      </c>
      <c r="C876" s="342">
        <v>265</v>
      </c>
      <c r="D876" s="344">
        <v>6.0000000000000001E-3</v>
      </c>
    </row>
    <row r="877" spans="1:4">
      <c r="A877" t="s">
        <v>492</v>
      </c>
      <c r="B877" t="s">
        <v>478</v>
      </c>
      <c r="C877" s="343">
        <v>265</v>
      </c>
      <c r="D877" s="345">
        <v>6.0000000000000001E-3</v>
      </c>
    </row>
    <row r="878" spans="1:4">
      <c r="A878" t="s">
        <v>492</v>
      </c>
      <c r="B878" t="s">
        <v>478</v>
      </c>
      <c r="C878" s="342">
        <v>265</v>
      </c>
      <c r="D878" s="344">
        <v>6.0000000000000001E-3</v>
      </c>
    </row>
    <row r="879" spans="1:4">
      <c r="A879" t="s">
        <v>492</v>
      </c>
      <c r="B879" t="s">
        <v>478</v>
      </c>
      <c r="C879" s="343">
        <v>265</v>
      </c>
      <c r="D879" s="345">
        <v>6.0000000000000001E-3</v>
      </c>
    </row>
    <row r="880" spans="1:4">
      <c r="A880" t="s">
        <v>492</v>
      </c>
      <c r="B880" t="s">
        <v>478</v>
      </c>
      <c r="C880" s="342">
        <v>265</v>
      </c>
      <c r="D880" s="344">
        <v>6.0000000000000001E-3</v>
      </c>
    </row>
    <row r="881" spans="1:4">
      <c r="A881" t="s">
        <v>492</v>
      </c>
      <c r="B881" t="s">
        <v>478</v>
      </c>
      <c r="C881" s="343">
        <v>265</v>
      </c>
      <c r="D881" s="345">
        <v>6.0000000000000001E-3</v>
      </c>
    </row>
    <row r="882" spans="1:4">
      <c r="A882" t="s">
        <v>492</v>
      </c>
      <c r="B882" t="s">
        <v>478</v>
      </c>
      <c r="C882" s="342">
        <v>265</v>
      </c>
      <c r="D882" s="344">
        <v>6.0000000000000001E-3</v>
      </c>
    </row>
    <row r="883" spans="1:4">
      <c r="A883" t="s">
        <v>492</v>
      </c>
      <c r="B883" t="s">
        <v>478</v>
      </c>
      <c r="C883" s="343">
        <v>265</v>
      </c>
      <c r="D883" s="345">
        <v>6.0000000000000001E-3</v>
      </c>
    </row>
    <row r="884" spans="1:4">
      <c r="A884" t="s">
        <v>492</v>
      </c>
      <c r="B884" t="s">
        <v>513</v>
      </c>
      <c r="C884" s="342">
        <v>350</v>
      </c>
      <c r="D884" s="344">
        <v>1.4E-2</v>
      </c>
    </row>
    <row r="885" spans="1:4">
      <c r="A885" t="s">
        <v>492</v>
      </c>
      <c r="B885" t="s">
        <v>513</v>
      </c>
      <c r="C885" s="343">
        <v>350</v>
      </c>
      <c r="D885" s="345">
        <v>1.4E-2</v>
      </c>
    </row>
    <row r="886" spans="1:4">
      <c r="A886" t="s">
        <v>492</v>
      </c>
      <c r="B886" t="s">
        <v>513</v>
      </c>
      <c r="C886" s="342">
        <v>350</v>
      </c>
      <c r="D886" s="344">
        <v>1.4E-2</v>
      </c>
    </row>
    <row r="887" spans="1:4">
      <c r="A887" t="s">
        <v>492</v>
      </c>
      <c r="B887" t="s">
        <v>513</v>
      </c>
      <c r="C887" s="343">
        <v>350</v>
      </c>
      <c r="D887" s="345">
        <v>1.4E-2</v>
      </c>
    </row>
    <row r="888" spans="1:4">
      <c r="A888" t="s">
        <v>492</v>
      </c>
      <c r="B888" t="s">
        <v>513</v>
      </c>
      <c r="C888" s="342">
        <v>350</v>
      </c>
      <c r="D888" s="344">
        <v>1.4E-2</v>
      </c>
    </row>
    <row r="889" spans="1:4">
      <c r="A889" t="s">
        <v>492</v>
      </c>
      <c r="B889" t="s">
        <v>513</v>
      </c>
      <c r="C889" s="343">
        <v>350</v>
      </c>
      <c r="D889" s="345">
        <v>1.4E-2</v>
      </c>
    </row>
    <row r="890" spans="1:4">
      <c r="A890" t="s">
        <v>492</v>
      </c>
      <c r="B890" t="s">
        <v>513</v>
      </c>
      <c r="C890" s="342">
        <v>350</v>
      </c>
      <c r="D890" s="344">
        <v>1.4E-2</v>
      </c>
    </row>
    <row r="891" spans="1:4">
      <c r="A891" t="s">
        <v>492</v>
      </c>
      <c r="B891" t="s">
        <v>513</v>
      </c>
      <c r="C891" s="343">
        <v>350</v>
      </c>
      <c r="D891" s="345">
        <v>1.4E-2</v>
      </c>
    </row>
    <row r="892" spans="1:4">
      <c r="A892" t="s">
        <v>492</v>
      </c>
      <c r="B892" t="s">
        <v>513</v>
      </c>
      <c r="C892" s="342">
        <v>350</v>
      </c>
      <c r="D892" s="344">
        <v>1.4E-2</v>
      </c>
    </row>
    <row r="893" spans="1:4">
      <c r="A893" t="s">
        <v>492</v>
      </c>
      <c r="B893" t="s">
        <v>513</v>
      </c>
      <c r="C893" s="343">
        <v>350</v>
      </c>
      <c r="D893" s="345">
        <v>1.4E-2</v>
      </c>
    </row>
    <row r="894" spans="1:4">
      <c r="A894" t="s">
        <v>492</v>
      </c>
      <c r="B894" t="s">
        <v>513</v>
      </c>
      <c r="C894" s="342">
        <v>350</v>
      </c>
      <c r="D894" s="344">
        <v>1.4E-2</v>
      </c>
    </row>
    <row r="895" spans="1:4">
      <c r="A895" t="s">
        <v>492</v>
      </c>
      <c r="B895" t="s">
        <v>513</v>
      </c>
      <c r="C895" s="343">
        <v>350</v>
      </c>
      <c r="D895" s="345">
        <v>1.4E-2</v>
      </c>
    </row>
    <row r="896" spans="1:4">
      <c r="A896" t="s">
        <v>492</v>
      </c>
      <c r="B896" t="s">
        <v>513</v>
      </c>
      <c r="C896" s="342">
        <v>350</v>
      </c>
      <c r="D896" s="344">
        <v>1.4E-2</v>
      </c>
    </row>
    <row r="897" spans="1:4">
      <c r="A897" t="s">
        <v>492</v>
      </c>
      <c r="B897" t="s">
        <v>513</v>
      </c>
      <c r="C897" s="343">
        <v>350</v>
      </c>
      <c r="D897" s="345">
        <v>1.4E-2</v>
      </c>
    </row>
    <row r="898" spans="1:4">
      <c r="A898" t="s">
        <v>492</v>
      </c>
      <c r="B898" t="s">
        <v>513</v>
      </c>
      <c r="C898" s="342">
        <v>350</v>
      </c>
      <c r="D898" s="344">
        <v>1.4E-2</v>
      </c>
    </row>
    <row r="899" spans="1:4">
      <c r="A899" t="s">
        <v>492</v>
      </c>
      <c r="B899" t="s">
        <v>513</v>
      </c>
      <c r="C899" s="343">
        <v>350</v>
      </c>
      <c r="D899" s="345">
        <v>1.4E-2</v>
      </c>
    </row>
    <row r="900" spans="1:4">
      <c r="A900" t="s">
        <v>492</v>
      </c>
      <c r="B900" t="s">
        <v>496</v>
      </c>
      <c r="C900" s="342">
        <v>150</v>
      </c>
      <c r="D900" s="344">
        <v>2E-3</v>
      </c>
    </row>
    <row r="901" spans="1:4">
      <c r="A901" t="s">
        <v>492</v>
      </c>
      <c r="B901" t="s">
        <v>496</v>
      </c>
      <c r="C901" s="343">
        <v>150</v>
      </c>
      <c r="D901" s="345">
        <v>2E-3</v>
      </c>
    </row>
    <row r="902" spans="1:4">
      <c r="A902" t="s">
        <v>492</v>
      </c>
      <c r="B902" t="s">
        <v>500</v>
      </c>
      <c r="C902" s="342">
        <v>300</v>
      </c>
      <c r="D902" s="344">
        <v>5.0000000000000001E-3</v>
      </c>
    </row>
    <row r="903" spans="1:4">
      <c r="A903" t="s">
        <v>492</v>
      </c>
      <c r="B903" t="s">
        <v>500</v>
      </c>
      <c r="C903" s="343">
        <v>300</v>
      </c>
      <c r="D903" s="345">
        <v>5.0000000000000001E-3</v>
      </c>
    </row>
    <row r="904" spans="1:4">
      <c r="A904" t="s">
        <v>492</v>
      </c>
      <c r="B904" t="s">
        <v>504</v>
      </c>
      <c r="C904" s="342">
        <v>450</v>
      </c>
      <c r="D904" s="344">
        <v>8.0000000000000002E-3</v>
      </c>
    </row>
    <row r="905" spans="1:4">
      <c r="A905" t="s">
        <v>492</v>
      </c>
      <c r="B905" t="s">
        <v>504</v>
      </c>
      <c r="C905" s="343">
        <v>450</v>
      </c>
      <c r="D905" s="345">
        <v>8.0000000000000002E-3</v>
      </c>
    </row>
    <row r="906" spans="1:4">
      <c r="A906" t="s">
        <v>492</v>
      </c>
      <c r="B906" t="s">
        <v>504</v>
      </c>
      <c r="C906" s="342">
        <v>450</v>
      </c>
      <c r="D906" s="344">
        <v>8.0000000000000002E-3</v>
      </c>
    </row>
    <row r="907" spans="1:4">
      <c r="A907" t="s">
        <v>492</v>
      </c>
      <c r="B907" t="s">
        <v>504</v>
      </c>
      <c r="C907" s="343">
        <v>450</v>
      </c>
      <c r="D907" s="345">
        <v>8.0000000000000002E-3</v>
      </c>
    </row>
    <row r="908" spans="1:4">
      <c r="A908" t="s">
        <v>492</v>
      </c>
      <c r="B908" t="s">
        <v>504</v>
      </c>
      <c r="C908" s="342">
        <v>450</v>
      </c>
      <c r="D908" s="344">
        <v>8.0000000000000002E-3</v>
      </c>
    </row>
    <row r="909" spans="1:4">
      <c r="A909" t="s">
        <v>492</v>
      </c>
      <c r="B909" t="s">
        <v>504</v>
      </c>
      <c r="C909" s="343">
        <v>450</v>
      </c>
      <c r="D909" s="345">
        <v>8.0000000000000002E-3</v>
      </c>
    </row>
    <row r="910" spans="1:4">
      <c r="A910" t="s">
        <v>492</v>
      </c>
      <c r="B910" t="s">
        <v>504</v>
      </c>
      <c r="C910" s="342">
        <v>450</v>
      </c>
      <c r="D910" s="344">
        <v>8.0000000000000002E-3</v>
      </c>
    </row>
    <row r="911" spans="1:4">
      <c r="A911" t="s">
        <v>492</v>
      </c>
      <c r="B911" t="s">
        <v>504</v>
      </c>
      <c r="C911" s="343">
        <v>450</v>
      </c>
      <c r="D911" s="345">
        <v>8.0000000000000002E-3</v>
      </c>
    </row>
    <row r="912" spans="1:4">
      <c r="A912" t="s">
        <v>492</v>
      </c>
      <c r="B912" t="s">
        <v>504</v>
      </c>
      <c r="C912" s="342">
        <v>450</v>
      </c>
      <c r="D912" s="344">
        <v>8.0000000000000002E-3</v>
      </c>
    </row>
    <row r="913" spans="1:4">
      <c r="A913" t="s">
        <v>492</v>
      </c>
      <c r="B913" t="s">
        <v>504</v>
      </c>
      <c r="C913" s="343">
        <v>450</v>
      </c>
      <c r="D913" s="345">
        <v>8.0000000000000002E-3</v>
      </c>
    </row>
    <row r="914" spans="1:4">
      <c r="A914" t="s">
        <v>492</v>
      </c>
      <c r="B914" t="s">
        <v>478</v>
      </c>
      <c r="C914" s="342">
        <v>265</v>
      </c>
      <c r="D914" s="344">
        <v>6.0000000000000001E-3</v>
      </c>
    </row>
    <row r="915" spans="1:4">
      <c r="A915" t="s">
        <v>492</v>
      </c>
      <c r="B915" t="s">
        <v>478</v>
      </c>
      <c r="C915" s="343">
        <v>265</v>
      </c>
      <c r="D915" s="345">
        <v>6.0000000000000001E-3</v>
      </c>
    </row>
    <row r="916" spans="1:4">
      <c r="A916" t="s">
        <v>492</v>
      </c>
      <c r="B916" t="s">
        <v>478</v>
      </c>
      <c r="C916" s="342">
        <v>265</v>
      </c>
      <c r="D916" s="344">
        <v>6.0000000000000001E-3</v>
      </c>
    </row>
    <row r="917" spans="1:4">
      <c r="A917" t="s">
        <v>492</v>
      </c>
      <c r="B917" t="s">
        <v>478</v>
      </c>
      <c r="C917" s="343">
        <v>265</v>
      </c>
      <c r="D917" s="345">
        <v>6.0000000000000001E-3</v>
      </c>
    </row>
    <row r="918" spans="1:4">
      <c r="A918" t="s">
        <v>492</v>
      </c>
      <c r="B918" t="s">
        <v>478</v>
      </c>
      <c r="C918" s="342">
        <v>265</v>
      </c>
      <c r="D918" s="344">
        <v>6.0000000000000001E-3</v>
      </c>
    </row>
    <row r="919" spans="1:4">
      <c r="A919" t="s">
        <v>492</v>
      </c>
      <c r="B919" t="s">
        <v>478</v>
      </c>
      <c r="C919" s="343">
        <v>265</v>
      </c>
      <c r="D919" s="345">
        <v>6.0000000000000001E-3</v>
      </c>
    </row>
    <row r="920" spans="1:4">
      <c r="A920" t="s">
        <v>492</v>
      </c>
      <c r="B920" t="s">
        <v>478</v>
      </c>
      <c r="C920" s="342">
        <v>265</v>
      </c>
      <c r="D920" s="344">
        <v>6.0000000000000001E-3</v>
      </c>
    </row>
    <row r="921" spans="1:4">
      <c r="A921" t="s">
        <v>492</v>
      </c>
      <c r="B921" t="s">
        <v>509</v>
      </c>
      <c r="C921" s="343">
        <v>180</v>
      </c>
      <c r="D921" s="345">
        <v>4.0000000000000001E-3</v>
      </c>
    </row>
    <row r="922" spans="1:4">
      <c r="A922" t="s">
        <v>492</v>
      </c>
      <c r="B922" t="s">
        <v>474</v>
      </c>
      <c r="C922" s="342">
        <v>265</v>
      </c>
      <c r="D922" s="344">
        <v>6.0000000000000001E-3</v>
      </c>
    </row>
    <row r="923" spans="1:4">
      <c r="A923" t="s">
        <v>492</v>
      </c>
      <c r="B923" t="s">
        <v>513</v>
      </c>
      <c r="C923" s="343">
        <v>300</v>
      </c>
      <c r="D923" s="345">
        <v>1.2E-2</v>
      </c>
    </row>
    <row r="924" spans="1:4">
      <c r="A924" t="s">
        <v>492</v>
      </c>
      <c r="B924" t="s">
        <v>500</v>
      </c>
      <c r="C924" s="342">
        <v>250</v>
      </c>
      <c r="D924" s="344">
        <v>4.0000000000000001E-3</v>
      </c>
    </row>
    <row r="925" spans="1:4">
      <c r="A925" t="s">
        <v>492</v>
      </c>
      <c r="B925" t="s">
        <v>500</v>
      </c>
      <c r="C925" s="343">
        <v>250</v>
      </c>
      <c r="D925" s="345">
        <v>4.0000000000000001E-3</v>
      </c>
    </row>
    <row r="926" spans="1:4">
      <c r="A926" t="s">
        <v>492</v>
      </c>
      <c r="B926" t="s">
        <v>500</v>
      </c>
      <c r="C926" s="342">
        <v>250</v>
      </c>
      <c r="D926" s="344">
        <v>4.0000000000000001E-3</v>
      </c>
    </row>
    <row r="927" spans="1:4">
      <c r="A927" t="s">
        <v>492</v>
      </c>
      <c r="B927" t="s">
        <v>500</v>
      </c>
      <c r="C927" s="343">
        <v>250</v>
      </c>
      <c r="D927" s="345">
        <v>4.0000000000000001E-3</v>
      </c>
    </row>
    <row r="928" spans="1:4">
      <c r="A928" t="s">
        <v>492</v>
      </c>
      <c r="B928" t="s">
        <v>494</v>
      </c>
      <c r="C928" s="342">
        <v>150</v>
      </c>
      <c r="D928" s="344">
        <v>1E-3</v>
      </c>
    </row>
    <row r="929" spans="1:4">
      <c r="A929" t="s">
        <v>492</v>
      </c>
      <c r="B929" t="s">
        <v>494</v>
      </c>
      <c r="C929" s="343">
        <v>150</v>
      </c>
      <c r="D929" s="345">
        <v>1E-3</v>
      </c>
    </row>
    <row r="930" spans="1:4">
      <c r="A930" t="s">
        <v>492</v>
      </c>
      <c r="B930" t="s">
        <v>494</v>
      </c>
      <c r="C930" s="342">
        <v>150</v>
      </c>
      <c r="D930" s="344">
        <v>1E-3</v>
      </c>
    </row>
    <row r="931" spans="1:4">
      <c r="A931" t="s">
        <v>492</v>
      </c>
      <c r="B931" t="s">
        <v>494</v>
      </c>
      <c r="C931" s="343">
        <v>150</v>
      </c>
      <c r="D931" s="345">
        <v>1E-3</v>
      </c>
    </row>
    <row r="932" spans="1:4">
      <c r="A932" t="s">
        <v>492</v>
      </c>
      <c r="B932" t="s">
        <v>508</v>
      </c>
      <c r="C932" s="342">
        <v>170</v>
      </c>
      <c r="D932" s="344">
        <v>3.0000000000000001E-3</v>
      </c>
    </row>
    <row r="933" spans="1:4">
      <c r="A933" t="s">
        <v>492</v>
      </c>
      <c r="B933" t="s">
        <v>508</v>
      </c>
      <c r="C933" s="343">
        <v>170</v>
      </c>
      <c r="D933" s="345">
        <v>3.0000000000000001E-3</v>
      </c>
    </row>
    <row r="934" spans="1:4">
      <c r="A934" t="s">
        <v>492</v>
      </c>
      <c r="B934" t="s">
        <v>508</v>
      </c>
      <c r="C934" s="342">
        <v>170</v>
      </c>
      <c r="D934" s="344">
        <v>3.0000000000000001E-3</v>
      </c>
    </row>
    <row r="935" spans="1:4">
      <c r="A935" t="s">
        <v>492</v>
      </c>
      <c r="B935" t="s">
        <v>507</v>
      </c>
      <c r="C935" s="343">
        <v>270</v>
      </c>
      <c r="D935" s="345">
        <v>4.0000000000000001E-3</v>
      </c>
    </row>
    <row r="936" spans="1:4">
      <c r="A936" t="s">
        <v>492</v>
      </c>
      <c r="B936" t="s">
        <v>507</v>
      </c>
      <c r="C936" s="342">
        <v>270</v>
      </c>
      <c r="D936" s="344">
        <v>4.0000000000000001E-3</v>
      </c>
    </row>
    <row r="937" spans="1:4">
      <c r="A937" t="s">
        <v>492</v>
      </c>
      <c r="B937" t="s">
        <v>507</v>
      </c>
      <c r="C937" s="343">
        <v>270</v>
      </c>
      <c r="D937" s="345">
        <v>4.0000000000000001E-3</v>
      </c>
    </row>
    <row r="938" spans="1:4">
      <c r="A938" t="s">
        <v>492</v>
      </c>
      <c r="B938" t="s">
        <v>507</v>
      </c>
      <c r="C938" s="342">
        <v>270</v>
      </c>
      <c r="D938" s="344">
        <v>4.0000000000000001E-3</v>
      </c>
    </row>
    <row r="939" spans="1:4">
      <c r="A939" t="s">
        <v>492</v>
      </c>
      <c r="B939" t="s">
        <v>513</v>
      </c>
      <c r="C939" s="343">
        <v>300</v>
      </c>
      <c r="D939" s="345">
        <v>1.2E-2</v>
      </c>
    </row>
    <row r="940" spans="1:4">
      <c r="A940" t="s">
        <v>492</v>
      </c>
      <c r="B940" t="s">
        <v>495</v>
      </c>
      <c r="C940" s="342">
        <v>190</v>
      </c>
      <c r="D940" s="344">
        <v>2E-3</v>
      </c>
    </row>
    <row r="941" spans="1:4">
      <c r="A941" t="s">
        <v>492</v>
      </c>
      <c r="B941" t="s">
        <v>495</v>
      </c>
      <c r="C941" s="343">
        <v>190</v>
      </c>
      <c r="D941" s="345">
        <v>2E-3</v>
      </c>
    </row>
    <row r="942" spans="1:4">
      <c r="A942" t="s">
        <v>492</v>
      </c>
      <c r="B942" t="s">
        <v>511</v>
      </c>
      <c r="C942" s="342">
        <v>300</v>
      </c>
      <c r="D942" s="344">
        <v>8.9999999999999993E-3</v>
      </c>
    </row>
    <row r="943" spans="1:4">
      <c r="A943" t="s">
        <v>492</v>
      </c>
      <c r="B943" t="s">
        <v>511</v>
      </c>
      <c r="C943" s="343">
        <v>300</v>
      </c>
      <c r="D943" s="345">
        <v>8.9999999999999993E-3</v>
      </c>
    </row>
    <row r="944" spans="1:4">
      <c r="A944" t="s">
        <v>492</v>
      </c>
      <c r="B944" t="s">
        <v>478</v>
      </c>
      <c r="C944" s="342">
        <v>200</v>
      </c>
      <c r="D944" s="344">
        <v>5.0000000000000001E-3</v>
      </c>
    </row>
    <row r="945" spans="1:4">
      <c r="A945" t="s">
        <v>492</v>
      </c>
      <c r="B945" t="s">
        <v>478</v>
      </c>
      <c r="C945" s="343">
        <v>200</v>
      </c>
      <c r="D945" s="345">
        <v>5.0000000000000001E-3</v>
      </c>
    </row>
    <row r="946" spans="1:4">
      <c r="A946" t="s">
        <v>492</v>
      </c>
      <c r="B946" t="s">
        <v>502</v>
      </c>
      <c r="C946" s="342">
        <v>240</v>
      </c>
      <c r="D946" s="344">
        <v>2E-3</v>
      </c>
    </row>
    <row r="947" spans="1:4">
      <c r="A947" t="s">
        <v>492</v>
      </c>
      <c r="B947" t="s">
        <v>502</v>
      </c>
      <c r="C947" s="343">
        <v>240</v>
      </c>
      <c r="D947" s="345">
        <v>2E-3</v>
      </c>
    </row>
    <row r="948" spans="1:4">
      <c r="A948" t="s">
        <v>492</v>
      </c>
      <c r="B948" t="s">
        <v>502</v>
      </c>
      <c r="C948" s="342">
        <v>240</v>
      </c>
      <c r="D948" s="344">
        <v>2E-3</v>
      </c>
    </row>
    <row r="949" spans="1:4">
      <c r="A949" t="s">
        <v>492</v>
      </c>
      <c r="B949" t="s">
        <v>499</v>
      </c>
      <c r="C949" s="343">
        <v>180</v>
      </c>
      <c r="D949" s="345">
        <v>2E-3</v>
      </c>
    </row>
    <row r="950" spans="1:4">
      <c r="A950" t="s">
        <v>492</v>
      </c>
      <c r="B950" t="s">
        <v>499</v>
      </c>
      <c r="C950" s="342">
        <v>180</v>
      </c>
      <c r="D950" s="344">
        <v>2E-3</v>
      </c>
    </row>
    <row r="951" spans="1:4">
      <c r="A951" t="s">
        <v>492</v>
      </c>
      <c r="B951" t="s">
        <v>498</v>
      </c>
      <c r="C951" s="343">
        <v>150</v>
      </c>
      <c r="D951" s="345">
        <v>1E-3</v>
      </c>
    </row>
    <row r="952" spans="1:4">
      <c r="A952" t="s">
        <v>492</v>
      </c>
      <c r="B952" t="s">
        <v>498</v>
      </c>
      <c r="C952" s="342">
        <v>150</v>
      </c>
      <c r="D952" s="344">
        <v>1E-3</v>
      </c>
    </row>
    <row r="953" spans="1:4">
      <c r="A953" t="s">
        <v>492</v>
      </c>
      <c r="B953" t="s">
        <v>502</v>
      </c>
      <c r="C953" s="343">
        <v>100</v>
      </c>
      <c r="D953" s="345">
        <v>1E-3</v>
      </c>
    </row>
    <row r="954" spans="1:4">
      <c r="A954" t="s">
        <v>492</v>
      </c>
      <c r="B954" t="s">
        <v>502</v>
      </c>
      <c r="C954" s="342">
        <v>90</v>
      </c>
      <c r="D954" s="344">
        <v>1E-3</v>
      </c>
    </row>
    <row r="955" spans="1:4">
      <c r="A955" t="s">
        <v>492</v>
      </c>
      <c r="B955" t="s">
        <v>506</v>
      </c>
      <c r="C955" s="343">
        <v>140</v>
      </c>
      <c r="D955" s="345">
        <v>2E-3</v>
      </c>
    </row>
    <row r="956" spans="1:4">
      <c r="A956" t="s">
        <v>492</v>
      </c>
      <c r="B956" t="s">
        <v>506</v>
      </c>
      <c r="C956" s="342">
        <v>140</v>
      </c>
      <c r="D956" s="344">
        <v>2E-3</v>
      </c>
    </row>
    <row r="957" spans="1:4">
      <c r="A957" t="s">
        <v>492</v>
      </c>
      <c r="B957" t="s">
        <v>506</v>
      </c>
      <c r="C957" s="343">
        <v>140</v>
      </c>
      <c r="D957" s="345">
        <v>2E-3</v>
      </c>
    </row>
    <row r="958" spans="1:4">
      <c r="A958" t="s">
        <v>492</v>
      </c>
      <c r="B958" t="s">
        <v>506</v>
      </c>
      <c r="C958" s="342">
        <v>140</v>
      </c>
      <c r="D958" s="344">
        <v>2E-3</v>
      </c>
    </row>
    <row r="959" spans="1:4">
      <c r="A959" t="s">
        <v>492</v>
      </c>
      <c r="B959" t="s">
        <v>477</v>
      </c>
      <c r="C959" s="343">
        <v>170</v>
      </c>
      <c r="D959" s="345">
        <v>3.0000000000000001E-3</v>
      </c>
    </row>
    <row r="960" spans="1:4">
      <c r="A960" t="s">
        <v>492</v>
      </c>
      <c r="B960" t="s">
        <v>493</v>
      </c>
      <c r="C960" s="342">
        <v>124</v>
      </c>
      <c r="D960" s="344">
        <v>1E-3</v>
      </c>
    </row>
    <row r="961" spans="1:4">
      <c r="A961" t="s">
        <v>492</v>
      </c>
      <c r="B961" t="s">
        <v>493</v>
      </c>
      <c r="C961" s="343">
        <v>124</v>
      </c>
      <c r="D961" s="345">
        <v>1E-3</v>
      </c>
    </row>
    <row r="962" spans="1:4">
      <c r="A962" t="s">
        <v>492</v>
      </c>
      <c r="B962" t="s">
        <v>473</v>
      </c>
      <c r="C962" s="342">
        <v>120</v>
      </c>
      <c r="D962" s="344">
        <v>1E-3</v>
      </c>
    </row>
    <row r="963" spans="1:4">
      <c r="A963" t="s">
        <v>492</v>
      </c>
      <c r="B963" t="s">
        <v>473</v>
      </c>
      <c r="C963" s="343">
        <v>120</v>
      </c>
      <c r="D963" s="345">
        <v>1E-3</v>
      </c>
    </row>
    <row r="964" spans="1:4">
      <c r="A964" t="s">
        <v>518</v>
      </c>
      <c r="B964" t="s">
        <v>479</v>
      </c>
      <c r="C964" s="342">
        <v>5758</v>
      </c>
      <c r="D964" s="344">
        <v>0.33900000000000002</v>
      </c>
    </row>
    <row r="965" spans="1:4">
      <c r="A965" t="s">
        <v>518</v>
      </c>
      <c r="B965" t="s">
        <v>479</v>
      </c>
      <c r="C965" s="343">
        <v>5758</v>
      </c>
      <c r="D965" s="345">
        <v>0.33900000000000002</v>
      </c>
    </row>
    <row r="966" spans="1:4">
      <c r="A966" t="s">
        <v>518</v>
      </c>
      <c r="B966" t="s">
        <v>479</v>
      </c>
      <c r="C966" s="342">
        <v>6064</v>
      </c>
      <c r="D966" s="344">
        <v>0.35699999999999998</v>
      </c>
    </row>
    <row r="967" spans="1:4">
      <c r="A967" t="s">
        <v>518</v>
      </c>
      <c r="B967" t="s">
        <v>479</v>
      </c>
      <c r="C967" s="343">
        <v>6064</v>
      </c>
      <c r="D967" s="345">
        <v>0.35699999999999998</v>
      </c>
    </row>
    <row r="968" spans="1:4">
      <c r="A968" t="s">
        <v>518</v>
      </c>
      <c r="B968" t="s">
        <v>479</v>
      </c>
      <c r="C968" s="342">
        <v>7477</v>
      </c>
      <c r="D968" s="344">
        <v>0.44</v>
      </c>
    </row>
    <row r="969" spans="1:4">
      <c r="A969" t="s">
        <v>518</v>
      </c>
      <c r="B969" t="s">
        <v>479</v>
      </c>
      <c r="C969" s="343">
        <v>7477</v>
      </c>
      <c r="D969" s="345">
        <v>0.44</v>
      </c>
    </row>
    <row r="970" spans="1:4">
      <c r="A970" t="s">
        <v>518</v>
      </c>
      <c r="B970" t="s">
        <v>479</v>
      </c>
      <c r="C970" s="342">
        <v>7477</v>
      </c>
      <c r="D970" s="344">
        <v>0.44</v>
      </c>
    </row>
    <row r="971" spans="1:4">
      <c r="A971" t="s">
        <v>518</v>
      </c>
      <c r="B971" t="s">
        <v>479</v>
      </c>
      <c r="C971" s="343">
        <v>4416</v>
      </c>
      <c r="D971" s="345">
        <v>0.26</v>
      </c>
    </row>
    <row r="972" spans="1:4">
      <c r="A972" t="s">
        <v>518</v>
      </c>
      <c r="B972" t="s">
        <v>479</v>
      </c>
      <c r="C972" s="342">
        <v>6064</v>
      </c>
      <c r="D972" s="344">
        <v>0.35699999999999998</v>
      </c>
    </row>
    <row r="973" spans="1:4">
      <c r="A973" t="s">
        <v>518</v>
      </c>
      <c r="B973" t="s">
        <v>479</v>
      </c>
      <c r="C973" s="343">
        <v>5758</v>
      </c>
      <c r="D973" s="345">
        <v>0.33900000000000002</v>
      </c>
    </row>
    <row r="974" spans="1:4">
      <c r="A974" t="s">
        <v>518</v>
      </c>
      <c r="B974" t="s">
        <v>479</v>
      </c>
      <c r="C974" s="342">
        <v>5758</v>
      </c>
      <c r="D974" s="344">
        <v>0.33900000000000002</v>
      </c>
    </row>
    <row r="975" spans="1:4">
      <c r="A975" t="s">
        <v>518</v>
      </c>
      <c r="B975" t="s">
        <v>479</v>
      </c>
      <c r="C975" s="343">
        <v>7477</v>
      </c>
      <c r="D975" s="345">
        <v>0.44</v>
      </c>
    </row>
    <row r="976" spans="1:4">
      <c r="A976" t="s">
        <v>518</v>
      </c>
      <c r="B976" t="s">
        <v>479</v>
      </c>
      <c r="C976" s="342">
        <v>7477</v>
      </c>
      <c r="D976" s="344">
        <v>0.44</v>
      </c>
    </row>
    <row r="977" spans="1:4">
      <c r="A977" t="s">
        <v>518</v>
      </c>
      <c r="B977" t="s">
        <v>479</v>
      </c>
      <c r="C977" s="343">
        <v>4416</v>
      </c>
      <c r="D977" s="345">
        <v>0.26</v>
      </c>
    </row>
    <row r="978" spans="1:4">
      <c r="A978" t="s">
        <v>518</v>
      </c>
      <c r="B978" t="s">
        <v>479</v>
      </c>
      <c r="C978" s="342">
        <v>4416</v>
      </c>
      <c r="D978" s="344">
        <v>0.26</v>
      </c>
    </row>
    <row r="979" spans="1:4">
      <c r="A979" t="s">
        <v>518</v>
      </c>
      <c r="B979" t="s">
        <v>479</v>
      </c>
      <c r="C979" s="343">
        <v>6064</v>
      </c>
      <c r="D979" s="345">
        <v>0.35699999999999998</v>
      </c>
    </row>
    <row r="980" spans="1:4">
      <c r="A980" t="s">
        <v>518</v>
      </c>
      <c r="B980" t="s">
        <v>479</v>
      </c>
      <c r="C980" s="342">
        <v>5758</v>
      </c>
      <c r="D980" s="344">
        <v>0.33900000000000002</v>
      </c>
    </row>
    <row r="981" spans="1:4">
      <c r="A981" t="s">
        <v>518</v>
      </c>
      <c r="B981" t="s">
        <v>479</v>
      </c>
      <c r="C981" s="343">
        <v>4416</v>
      </c>
      <c r="D981" s="345">
        <v>0.26</v>
      </c>
    </row>
    <row r="982" spans="1:4">
      <c r="A982" t="s">
        <v>518</v>
      </c>
      <c r="B982" t="s">
        <v>479</v>
      </c>
      <c r="C982" s="342">
        <v>6064</v>
      </c>
      <c r="D982" s="344">
        <v>0.35699999999999998</v>
      </c>
    </row>
    <row r="983" spans="1:4">
      <c r="A983" t="s">
        <v>518</v>
      </c>
      <c r="B983" t="s">
        <v>479</v>
      </c>
      <c r="C983" s="343">
        <v>4416</v>
      </c>
      <c r="D983" s="345">
        <v>0.26</v>
      </c>
    </row>
    <row r="984" spans="1:4">
      <c r="A984" t="s">
        <v>518</v>
      </c>
      <c r="B984" t="s">
        <v>479</v>
      </c>
      <c r="C984" s="342">
        <v>4416</v>
      </c>
      <c r="D984" s="344">
        <v>0.26</v>
      </c>
    </row>
    <row r="985" spans="1:4">
      <c r="A985" t="s">
        <v>518</v>
      </c>
      <c r="B985" t="s">
        <v>479</v>
      </c>
      <c r="C985" s="343">
        <v>7477</v>
      </c>
      <c r="D985" s="345">
        <v>0.44</v>
      </c>
    </row>
    <row r="986" spans="1:4">
      <c r="A986" t="s">
        <v>518</v>
      </c>
      <c r="B986" t="s">
        <v>479</v>
      </c>
      <c r="C986" s="342">
        <v>7477</v>
      </c>
      <c r="D986" s="344">
        <v>0.44</v>
      </c>
    </row>
    <row r="987" spans="1:4">
      <c r="A987" t="s">
        <v>518</v>
      </c>
      <c r="B987" t="s">
        <v>479</v>
      </c>
      <c r="C987" s="343">
        <v>6064</v>
      </c>
      <c r="D987" s="345">
        <v>0.35699999999999998</v>
      </c>
    </row>
    <row r="988" spans="1:4">
      <c r="A988" t="s">
        <v>518</v>
      </c>
      <c r="B988" t="s">
        <v>479</v>
      </c>
      <c r="C988" s="342">
        <v>6064</v>
      </c>
      <c r="D988" s="344">
        <v>0.35699999999999998</v>
      </c>
    </row>
    <row r="989" spans="1:4">
      <c r="A989" t="s">
        <v>518</v>
      </c>
      <c r="B989" t="s">
        <v>479</v>
      </c>
      <c r="C989" s="343">
        <v>5758</v>
      </c>
      <c r="D989" s="345">
        <v>0.33900000000000002</v>
      </c>
    </row>
    <row r="990" spans="1:4">
      <c r="A990" t="s">
        <v>518</v>
      </c>
      <c r="B990" t="s">
        <v>479</v>
      </c>
      <c r="C990" s="342">
        <v>7477</v>
      </c>
      <c r="D990" s="344">
        <v>0.44</v>
      </c>
    </row>
    <row r="991" spans="1:4">
      <c r="A991" t="s">
        <v>518</v>
      </c>
      <c r="B991" t="s">
        <v>479</v>
      </c>
      <c r="C991" s="343">
        <v>5758</v>
      </c>
      <c r="D991" s="345">
        <v>0.33900000000000002</v>
      </c>
    </row>
    <row r="992" spans="1:4">
      <c r="A992" t="s">
        <v>518</v>
      </c>
      <c r="B992" t="s">
        <v>479</v>
      </c>
      <c r="C992" s="342">
        <v>6064</v>
      </c>
      <c r="D992" s="344">
        <v>0.35699999999999998</v>
      </c>
    </row>
    <row r="993" spans="1:4">
      <c r="A993" t="s">
        <v>518</v>
      </c>
      <c r="B993" t="s">
        <v>479</v>
      </c>
      <c r="C993" s="343">
        <v>6064</v>
      </c>
      <c r="D993" s="345">
        <v>0.35699999999999998</v>
      </c>
    </row>
    <row r="994" spans="1:4">
      <c r="A994" t="s">
        <v>518</v>
      </c>
      <c r="B994" t="s">
        <v>479</v>
      </c>
      <c r="C994" s="342">
        <v>6064</v>
      </c>
      <c r="D994" s="344">
        <v>0.35699999999999998</v>
      </c>
    </row>
    <row r="995" spans="1:4">
      <c r="A995" t="s">
        <v>518</v>
      </c>
      <c r="B995" t="s">
        <v>479</v>
      </c>
      <c r="C995" s="343">
        <v>6064</v>
      </c>
      <c r="D995" s="345">
        <v>0.35699999999999998</v>
      </c>
    </row>
    <row r="996" spans="1:4">
      <c r="A996" t="s">
        <v>518</v>
      </c>
      <c r="B996" t="s">
        <v>479</v>
      </c>
      <c r="C996" s="342">
        <v>7477</v>
      </c>
      <c r="D996" s="344">
        <v>0.44</v>
      </c>
    </row>
    <row r="997" spans="1:4">
      <c r="A997" t="s">
        <v>518</v>
      </c>
      <c r="B997" t="s">
        <v>479</v>
      </c>
      <c r="C997" s="343">
        <v>6064</v>
      </c>
      <c r="D997" s="345">
        <v>0.35699999999999998</v>
      </c>
    </row>
    <row r="998" spans="1:4">
      <c r="A998" t="s">
        <v>518</v>
      </c>
      <c r="B998" t="s">
        <v>479</v>
      </c>
      <c r="C998" s="342">
        <v>5758</v>
      </c>
      <c r="D998" s="344">
        <v>0.33900000000000002</v>
      </c>
    </row>
    <row r="999" spans="1:4">
      <c r="A999" t="s">
        <v>518</v>
      </c>
      <c r="B999" t="s">
        <v>479</v>
      </c>
      <c r="C999" s="343">
        <v>6064</v>
      </c>
      <c r="D999" s="345">
        <v>0.35699999999999998</v>
      </c>
    </row>
    <row r="1000" spans="1:4">
      <c r="A1000" t="s">
        <v>518</v>
      </c>
      <c r="B1000" t="s">
        <v>479</v>
      </c>
      <c r="C1000" s="342">
        <v>7477</v>
      </c>
      <c r="D1000" s="344">
        <v>0.44</v>
      </c>
    </row>
    <row r="1001" spans="1:4">
      <c r="A1001" t="s">
        <v>518</v>
      </c>
      <c r="B1001" t="s">
        <v>479</v>
      </c>
      <c r="C1001" s="343">
        <v>7477</v>
      </c>
      <c r="D1001" s="345">
        <v>0.44</v>
      </c>
    </row>
    <row r="1002" spans="1:4">
      <c r="A1002" t="s">
        <v>518</v>
      </c>
      <c r="B1002" t="s">
        <v>479</v>
      </c>
      <c r="C1002" s="342">
        <v>7477</v>
      </c>
      <c r="D1002" s="344">
        <v>0.44</v>
      </c>
    </row>
    <row r="1003" spans="1:4">
      <c r="A1003" t="s">
        <v>518</v>
      </c>
      <c r="B1003" t="s">
        <v>479</v>
      </c>
      <c r="C1003" s="343">
        <v>6064</v>
      </c>
      <c r="D1003" s="345">
        <v>0.35699999999999998</v>
      </c>
    </row>
    <row r="1004" spans="1:4">
      <c r="A1004" t="s">
        <v>518</v>
      </c>
      <c r="B1004" t="s">
        <v>479</v>
      </c>
      <c r="C1004" s="342">
        <v>7477</v>
      </c>
      <c r="D1004" s="344">
        <v>0.44</v>
      </c>
    </row>
    <row r="1005" spans="1:4">
      <c r="A1005" t="s">
        <v>518</v>
      </c>
      <c r="B1005" t="s">
        <v>479</v>
      </c>
      <c r="C1005" s="343">
        <v>4416</v>
      </c>
      <c r="D1005" s="345">
        <v>0.26</v>
      </c>
    </row>
    <row r="1006" spans="1:4">
      <c r="A1006" t="s">
        <v>518</v>
      </c>
      <c r="B1006" t="s">
        <v>479</v>
      </c>
      <c r="C1006" s="342">
        <v>5758</v>
      </c>
      <c r="D1006" s="344">
        <v>0.33900000000000002</v>
      </c>
    </row>
    <row r="1007" spans="1:4">
      <c r="A1007" t="s">
        <v>518</v>
      </c>
      <c r="B1007" t="s">
        <v>479</v>
      </c>
      <c r="C1007" s="343">
        <v>5758</v>
      </c>
      <c r="D1007" s="345">
        <v>0.33900000000000002</v>
      </c>
    </row>
    <row r="1008" spans="1:4">
      <c r="A1008" t="s">
        <v>518</v>
      </c>
      <c r="B1008" t="s">
        <v>479</v>
      </c>
      <c r="C1008" s="342">
        <v>4416</v>
      </c>
      <c r="D1008" s="344">
        <v>0.26</v>
      </c>
    </row>
    <row r="1009" spans="1:4">
      <c r="A1009" t="s">
        <v>518</v>
      </c>
      <c r="B1009" t="s">
        <v>479</v>
      </c>
      <c r="C1009" s="343">
        <v>6064</v>
      </c>
      <c r="D1009" s="345">
        <v>0.35699999999999998</v>
      </c>
    </row>
    <row r="1010" spans="1:4">
      <c r="A1010" t="s">
        <v>518</v>
      </c>
      <c r="B1010" t="s">
        <v>479</v>
      </c>
      <c r="C1010" s="342">
        <v>5758</v>
      </c>
      <c r="D1010" s="344">
        <v>0.33900000000000002</v>
      </c>
    </row>
    <row r="1011" spans="1:4">
      <c r="A1011" t="s">
        <v>518</v>
      </c>
      <c r="B1011" t="s">
        <v>479</v>
      </c>
      <c r="C1011" s="343">
        <v>7477</v>
      </c>
      <c r="D1011" s="345">
        <v>0.44</v>
      </c>
    </row>
    <row r="1012" spans="1:4">
      <c r="A1012" t="s">
        <v>518</v>
      </c>
      <c r="B1012" t="s">
        <v>479</v>
      </c>
      <c r="C1012" s="342">
        <v>6064</v>
      </c>
      <c r="D1012" s="344">
        <v>0.35699999999999998</v>
      </c>
    </row>
    <row r="1013" spans="1:4">
      <c r="A1013" t="s">
        <v>518</v>
      </c>
      <c r="B1013" t="s">
        <v>479</v>
      </c>
      <c r="C1013" s="343">
        <v>7477</v>
      </c>
      <c r="D1013" s="345">
        <v>0.44</v>
      </c>
    </row>
    <row r="1014" spans="1:4">
      <c r="A1014" t="s">
        <v>518</v>
      </c>
      <c r="B1014" t="s">
        <v>479</v>
      </c>
      <c r="C1014" s="342">
        <v>7477</v>
      </c>
      <c r="D1014" s="344">
        <v>0.44</v>
      </c>
    </row>
    <row r="1015" spans="1:4">
      <c r="A1015" t="s">
        <v>518</v>
      </c>
      <c r="B1015" t="s">
        <v>479</v>
      </c>
      <c r="C1015" s="343">
        <v>5758</v>
      </c>
      <c r="D1015" s="345">
        <v>0.33900000000000002</v>
      </c>
    </row>
    <row r="1016" spans="1:4">
      <c r="A1016" t="s">
        <v>518</v>
      </c>
      <c r="B1016" t="s">
        <v>479</v>
      </c>
      <c r="C1016" s="342">
        <v>5758</v>
      </c>
      <c r="D1016" s="344">
        <v>0.33900000000000002</v>
      </c>
    </row>
    <row r="1017" spans="1:4">
      <c r="A1017" t="s">
        <v>518</v>
      </c>
      <c r="B1017" t="s">
        <v>479</v>
      </c>
      <c r="C1017" s="343">
        <v>4416</v>
      </c>
      <c r="D1017" s="345">
        <v>0.26</v>
      </c>
    </row>
    <row r="1018" spans="1:4">
      <c r="A1018" t="s">
        <v>518</v>
      </c>
      <c r="B1018" t="s">
        <v>479</v>
      </c>
      <c r="C1018" s="342">
        <v>4416</v>
      </c>
      <c r="D1018" s="344">
        <v>0.26</v>
      </c>
    </row>
    <row r="1019" spans="1:4">
      <c r="A1019" t="s">
        <v>518</v>
      </c>
      <c r="B1019" t="s">
        <v>479</v>
      </c>
      <c r="C1019" s="343">
        <v>4416</v>
      </c>
      <c r="D1019" s="345">
        <v>0.26</v>
      </c>
    </row>
    <row r="1020" spans="1:4">
      <c r="A1020" t="s">
        <v>518</v>
      </c>
      <c r="B1020" t="s">
        <v>479</v>
      </c>
      <c r="C1020" s="342">
        <v>4416</v>
      </c>
      <c r="D1020" s="344">
        <v>0.26</v>
      </c>
    </row>
    <row r="1021" spans="1:4">
      <c r="A1021" t="s">
        <v>518</v>
      </c>
      <c r="B1021" t="s">
        <v>479</v>
      </c>
      <c r="C1021" s="343">
        <v>5758</v>
      </c>
      <c r="D1021" s="345">
        <v>0.33900000000000002</v>
      </c>
    </row>
    <row r="1022" spans="1:4">
      <c r="A1022" t="s">
        <v>518</v>
      </c>
      <c r="B1022" t="s">
        <v>479</v>
      </c>
      <c r="C1022" s="342">
        <v>4416</v>
      </c>
      <c r="D1022" s="344">
        <v>0.26</v>
      </c>
    </row>
    <row r="1023" spans="1:4">
      <c r="A1023" t="s">
        <v>518</v>
      </c>
      <c r="B1023" t="s">
        <v>479</v>
      </c>
      <c r="C1023" s="343">
        <v>5758</v>
      </c>
      <c r="D1023" s="345">
        <v>0.33900000000000002</v>
      </c>
    </row>
    <row r="1024" spans="1:4">
      <c r="A1024" t="s">
        <v>518</v>
      </c>
      <c r="B1024" t="s">
        <v>479</v>
      </c>
      <c r="C1024" s="342">
        <v>4416</v>
      </c>
      <c r="D1024" s="344">
        <v>0.26</v>
      </c>
    </row>
    <row r="1025" spans="1:4">
      <c r="A1025" t="s">
        <v>518</v>
      </c>
      <c r="B1025" t="s">
        <v>479</v>
      </c>
      <c r="C1025" s="343">
        <v>4416</v>
      </c>
      <c r="D1025" s="345">
        <v>0.26</v>
      </c>
    </row>
    <row r="1026" spans="1:4">
      <c r="A1026" t="s">
        <v>518</v>
      </c>
      <c r="B1026" t="s">
        <v>479</v>
      </c>
      <c r="C1026" s="342">
        <v>5758</v>
      </c>
      <c r="D1026" s="344">
        <v>0.33900000000000002</v>
      </c>
    </row>
    <row r="1027" spans="1:4">
      <c r="A1027" t="s">
        <v>518</v>
      </c>
      <c r="B1027" t="s">
        <v>479</v>
      </c>
      <c r="C1027" s="343">
        <v>4416</v>
      </c>
      <c r="D1027" s="345">
        <v>0.26</v>
      </c>
    </row>
    <row r="1028" spans="1:4">
      <c r="A1028" t="s">
        <v>491</v>
      </c>
      <c r="B1028" t="s">
        <v>167</v>
      </c>
      <c r="C1028" s="342">
        <v>260</v>
      </c>
      <c r="D1028" s="344">
        <v>1E-3</v>
      </c>
    </row>
    <row r="1029" spans="1:4">
      <c r="A1029" t="s">
        <v>491</v>
      </c>
      <c r="B1029" t="s">
        <v>167</v>
      </c>
      <c r="C1029" s="343">
        <v>260</v>
      </c>
      <c r="D1029" s="345">
        <v>1E-3</v>
      </c>
    </row>
    <row r="1030" spans="1:4">
      <c r="A1030" t="s">
        <v>491</v>
      </c>
      <c r="B1030" t="s">
        <v>167</v>
      </c>
      <c r="C1030" s="342">
        <v>260</v>
      </c>
      <c r="D1030" s="344">
        <v>1E-3</v>
      </c>
    </row>
    <row r="1031" spans="1:4">
      <c r="A1031" t="s">
        <v>491</v>
      </c>
      <c r="B1031" t="s">
        <v>167</v>
      </c>
      <c r="C1031" s="343">
        <v>260</v>
      </c>
      <c r="D1031" s="345">
        <v>1E-3</v>
      </c>
    </row>
    <row r="1032" spans="1:4">
      <c r="A1032" t="s">
        <v>491</v>
      </c>
      <c r="B1032" t="s">
        <v>167</v>
      </c>
      <c r="C1032" s="342">
        <v>260</v>
      </c>
      <c r="D1032" s="344">
        <v>1E-3</v>
      </c>
    </row>
    <row r="1033" spans="1:4">
      <c r="A1033" t="s">
        <v>491</v>
      </c>
      <c r="B1033" t="s">
        <v>167</v>
      </c>
      <c r="C1033" s="343">
        <v>260</v>
      </c>
      <c r="D1033" s="345">
        <v>1E-3</v>
      </c>
    </row>
    <row r="1034" spans="1:4">
      <c r="A1034" t="s">
        <v>491</v>
      </c>
      <c r="B1034" t="s">
        <v>167</v>
      </c>
      <c r="C1034" s="342">
        <v>260</v>
      </c>
      <c r="D1034" s="344">
        <v>1E-3</v>
      </c>
    </row>
    <row r="1035" spans="1:4">
      <c r="A1035" t="s">
        <v>491</v>
      </c>
      <c r="B1035" t="s">
        <v>167</v>
      </c>
      <c r="C1035" s="343">
        <v>260</v>
      </c>
      <c r="D1035" s="345">
        <v>1E-3</v>
      </c>
    </row>
    <row r="1036" spans="1:4">
      <c r="A1036" t="s">
        <v>491</v>
      </c>
      <c r="B1036" t="s">
        <v>167</v>
      </c>
      <c r="C1036" s="342">
        <v>260</v>
      </c>
      <c r="D1036" s="344">
        <v>1E-3</v>
      </c>
    </row>
    <row r="1037" spans="1:4">
      <c r="A1037" t="s">
        <v>491</v>
      </c>
      <c r="B1037" t="s">
        <v>167</v>
      </c>
      <c r="C1037" s="343">
        <v>260</v>
      </c>
      <c r="D1037" s="345">
        <v>1E-3</v>
      </c>
    </row>
    <row r="1038" spans="1:4">
      <c r="A1038" t="s">
        <v>491</v>
      </c>
      <c r="B1038" t="s">
        <v>167</v>
      </c>
      <c r="C1038" s="342">
        <v>260</v>
      </c>
      <c r="D1038" s="344">
        <v>1E-3</v>
      </c>
    </row>
    <row r="1039" spans="1:4">
      <c r="A1039" t="s">
        <v>491</v>
      </c>
      <c r="B1039" t="s">
        <v>167</v>
      </c>
      <c r="C1039" s="343">
        <v>260</v>
      </c>
      <c r="D1039" s="345">
        <v>1E-3</v>
      </c>
    </row>
    <row r="1040" spans="1:4">
      <c r="A1040" t="s">
        <v>491</v>
      </c>
      <c r="B1040" t="s">
        <v>167</v>
      </c>
      <c r="C1040" s="342">
        <v>260</v>
      </c>
      <c r="D1040" s="344">
        <v>1E-3</v>
      </c>
    </row>
    <row r="1041" spans="1:4">
      <c r="A1041" t="s">
        <v>491</v>
      </c>
      <c r="B1041" t="s">
        <v>167</v>
      </c>
      <c r="C1041" s="343">
        <v>260</v>
      </c>
      <c r="D1041" s="345">
        <v>1E-3</v>
      </c>
    </row>
    <row r="1042" spans="1:4">
      <c r="A1042" t="s">
        <v>491</v>
      </c>
      <c r="B1042" t="s">
        <v>167</v>
      </c>
      <c r="C1042" s="342">
        <v>260</v>
      </c>
      <c r="D1042" s="344">
        <v>1E-3</v>
      </c>
    </row>
    <row r="1043" spans="1:4">
      <c r="A1043" t="s">
        <v>491</v>
      </c>
      <c r="B1043" t="s">
        <v>167</v>
      </c>
      <c r="C1043" s="343">
        <v>260</v>
      </c>
      <c r="D1043" s="345">
        <v>1E-3</v>
      </c>
    </row>
    <row r="1044" spans="1:4">
      <c r="A1044" t="s">
        <v>491</v>
      </c>
      <c r="B1044" t="s">
        <v>167</v>
      </c>
      <c r="C1044" s="342">
        <v>260</v>
      </c>
      <c r="D1044" s="344">
        <v>1E-3</v>
      </c>
    </row>
    <row r="1045" spans="1:4">
      <c r="A1045" t="s">
        <v>491</v>
      </c>
      <c r="B1045" t="s">
        <v>167</v>
      </c>
      <c r="C1045" s="343">
        <v>260</v>
      </c>
      <c r="D1045" s="345">
        <v>1E-3</v>
      </c>
    </row>
    <row r="1046" spans="1:4">
      <c r="A1046" t="s">
        <v>491</v>
      </c>
      <c r="B1046" t="s">
        <v>167</v>
      </c>
      <c r="C1046" s="342">
        <v>260</v>
      </c>
      <c r="D1046" s="344">
        <v>1E-3</v>
      </c>
    </row>
    <row r="1047" spans="1:4">
      <c r="A1047" t="s">
        <v>491</v>
      </c>
      <c r="B1047" t="s">
        <v>167</v>
      </c>
      <c r="C1047" s="343">
        <v>260</v>
      </c>
      <c r="D1047" s="345">
        <v>1E-3</v>
      </c>
    </row>
    <row r="1048" spans="1:4">
      <c r="A1048" t="s">
        <v>491</v>
      </c>
      <c r="B1048" t="s">
        <v>167</v>
      </c>
      <c r="C1048" s="342">
        <v>260</v>
      </c>
      <c r="D1048" s="344">
        <v>1E-3</v>
      </c>
    </row>
    <row r="1049" spans="1:4">
      <c r="A1049" t="s">
        <v>491</v>
      </c>
      <c r="B1049" t="s">
        <v>167</v>
      </c>
      <c r="C1049" s="343">
        <v>260</v>
      </c>
      <c r="D1049" s="345">
        <v>1E-3</v>
      </c>
    </row>
    <row r="1050" spans="1:4">
      <c r="A1050" t="s">
        <v>491</v>
      </c>
      <c r="B1050" t="s">
        <v>167</v>
      </c>
      <c r="C1050" s="342">
        <v>260</v>
      </c>
      <c r="D1050" s="344">
        <v>1E-3</v>
      </c>
    </row>
    <row r="1051" spans="1:4">
      <c r="A1051" t="s">
        <v>491</v>
      </c>
      <c r="B1051" t="s">
        <v>167</v>
      </c>
      <c r="C1051" s="343">
        <v>260</v>
      </c>
      <c r="D1051" s="345">
        <v>1E-3</v>
      </c>
    </row>
    <row r="1052" spans="1:4">
      <c r="A1052" t="s">
        <v>491</v>
      </c>
      <c r="B1052" t="s">
        <v>167</v>
      </c>
      <c r="C1052" s="342">
        <v>260</v>
      </c>
      <c r="D1052" s="344">
        <v>1E-3</v>
      </c>
    </row>
    <row r="1053" spans="1:4">
      <c r="A1053" t="s">
        <v>491</v>
      </c>
      <c r="B1053" t="s">
        <v>167</v>
      </c>
      <c r="C1053" s="343">
        <v>260</v>
      </c>
      <c r="D1053" s="345">
        <v>1E-3</v>
      </c>
    </row>
    <row r="1054" spans="1:4">
      <c r="A1054" t="s">
        <v>491</v>
      </c>
      <c r="B1054" t="s">
        <v>167</v>
      </c>
      <c r="C1054" s="342">
        <v>260</v>
      </c>
      <c r="D1054" s="344">
        <v>1E-3</v>
      </c>
    </row>
    <row r="1055" spans="1:4">
      <c r="A1055" t="s">
        <v>491</v>
      </c>
      <c r="B1055" t="s">
        <v>167</v>
      </c>
      <c r="C1055" s="343">
        <v>260</v>
      </c>
      <c r="D1055" s="345">
        <v>1E-3</v>
      </c>
    </row>
    <row r="1056" spans="1:4">
      <c r="A1056" t="s">
        <v>491</v>
      </c>
      <c r="B1056" t="s">
        <v>167</v>
      </c>
      <c r="C1056" s="342">
        <v>260</v>
      </c>
      <c r="D1056" s="344">
        <v>1E-3</v>
      </c>
    </row>
    <row r="1057" spans="1:4">
      <c r="A1057" t="s">
        <v>491</v>
      </c>
      <c r="B1057" t="s">
        <v>167</v>
      </c>
      <c r="C1057" s="343">
        <v>260</v>
      </c>
      <c r="D1057" s="345">
        <v>1E-3</v>
      </c>
    </row>
    <row r="1058" spans="1:4">
      <c r="A1058" t="s">
        <v>491</v>
      </c>
      <c r="B1058" t="s">
        <v>167</v>
      </c>
      <c r="C1058" s="342">
        <v>260</v>
      </c>
      <c r="D1058" s="344">
        <v>1E-3</v>
      </c>
    </row>
    <row r="1059" spans="1:4">
      <c r="A1059" t="s">
        <v>491</v>
      </c>
      <c r="B1059" t="s">
        <v>167</v>
      </c>
      <c r="C1059" s="343">
        <v>260</v>
      </c>
      <c r="D1059" s="345">
        <v>1E-3</v>
      </c>
    </row>
    <row r="1060" spans="1:4">
      <c r="A1060" t="s">
        <v>491</v>
      </c>
      <c r="B1060" t="s">
        <v>167</v>
      </c>
      <c r="C1060" s="342">
        <v>260</v>
      </c>
      <c r="D1060" s="344">
        <v>1E-3</v>
      </c>
    </row>
    <row r="1061" spans="1:4">
      <c r="A1061" t="s">
        <v>491</v>
      </c>
      <c r="B1061" t="s">
        <v>167</v>
      </c>
      <c r="C1061" s="343">
        <v>260</v>
      </c>
      <c r="D1061" s="345">
        <v>1E-3</v>
      </c>
    </row>
    <row r="1062" spans="1:4">
      <c r="A1062" t="s">
        <v>491</v>
      </c>
      <c r="B1062" t="s">
        <v>167</v>
      </c>
      <c r="C1062" s="342">
        <v>260</v>
      </c>
      <c r="D1062" s="344">
        <v>1E-3</v>
      </c>
    </row>
    <row r="1063" spans="1:4">
      <c r="A1063" t="s">
        <v>491</v>
      </c>
      <c r="B1063" t="s">
        <v>167</v>
      </c>
      <c r="C1063" s="343">
        <v>260</v>
      </c>
      <c r="D1063" s="345">
        <v>1E-3</v>
      </c>
    </row>
    <row r="1064" spans="1:4">
      <c r="A1064" t="s">
        <v>491</v>
      </c>
      <c r="B1064" t="s">
        <v>167</v>
      </c>
      <c r="C1064" s="342">
        <v>260</v>
      </c>
      <c r="D1064" s="344">
        <v>1E-3</v>
      </c>
    </row>
    <row r="1065" spans="1:4">
      <c r="A1065" t="s">
        <v>491</v>
      </c>
      <c r="B1065" t="s">
        <v>167</v>
      </c>
      <c r="C1065" s="343">
        <v>260</v>
      </c>
      <c r="D1065" s="345">
        <v>1E-3</v>
      </c>
    </row>
    <row r="1066" spans="1:4">
      <c r="A1066" t="s">
        <v>491</v>
      </c>
      <c r="B1066" t="s">
        <v>167</v>
      </c>
      <c r="C1066" s="342">
        <v>260</v>
      </c>
      <c r="D1066" s="344">
        <v>1E-3</v>
      </c>
    </row>
    <row r="1067" spans="1:4">
      <c r="A1067" t="s">
        <v>491</v>
      </c>
      <c r="B1067" t="s">
        <v>167</v>
      </c>
      <c r="C1067" s="343">
        <v>260</v>
      </c>
      <c r="D1067" s="345">
        <v>1E-3</v>
      </c>
    </row>
    <row r="1068" spans="1:4">
      <c r="A1068" t="s">
        <v>491</v>
      </c>
      <c r="B1068" t="s">
        <v>167</v>
      </c>
      <c r="C1068" s="342">
        <v>260</v>
      </c>
      <c r="D1068" s="344">
        <v>1E-3</v>
      </c>
    </row>
    <row r="1069" spans="1:4">
      <c r="A1069" t="s">
        <v>491</v>
      </c>
      <c r="B1069" t="s">
        <v>167</v>
      </c>
      <c r="C1069" s="343">
        <v>260</v>
      </c>
      <c r="D1069" s="345">
        <v>1E-3</v>
      </c>
    </row>
    <row r="1070" spans="1:4">
      <c r="A1070" t="s">
        <v>491</v>
      </c>
      <c r="B1070" t="s">
        <v>167</v>
      </c>
      <c r="C1070" s="342">
        <v>260</v>
      </c>
      <c r="D1070" s="344">
        <v>1E-3</v>
      </c>
    </row>
    <row r="1071" spans="1:4">
      <c r="A1071" t="s">
        <v>491</v>
      </c>
      <c r="B1071" t="s">
        <v>167</v>
      </c>
      <c r="C1071" s="343">
        <v>260</v>
      </c>
      <c r="D1071" s="345">
        <v>1E-3</v>
      </c>
    </row>
    <row r="1072" spans="1:4">
      <c r="A1072" t="s">
        <v>491</v>
      </c>
      <c r="B1072" t="s">
        <v>167</v>
      </c>
      <c r="C1072" s="342">
        <v>260</v>
      </c>
      <c r="D1072" s="344">
        <v>1E-3</v>
      </c>
    </row>
    <row r="1073" spans="1:4">
      <c r="A1073" t="s">
        <v>491</v>
      </c>
      <c r="B1073" t="s">
        <v>167</v>
      </c>
      <c r="C1073" s="343">
        <v>260</v>
      </c>
      <c r="D1073" s="345">
        <v>1E-3</v>
      </c>
    </row>
    <row r="1074" spans="1:4">
      <c r="A1074" t="s">
        <v>491</v>
      </c>
      <c r="B1074" t="s">
        <v>167</v>
      </c>
      <c r="C1074" s="342">
        <v>260</v>
      </c>
      <c r="D1074" s="344">
        <v>1E-3</v>
      </c>
    </row>
    <row r="1075" spans="1:4">
      <c r="A1075" t="s">
        <v>491</v>
      </c>
      <c r="B1075" t="s">
        <v>167</v>
      </c>
      <c r="C1075" s="343">
        <v>260</v>
      </c>
      <c r="D1075" s="345">
        <v>1E-3</v>
      </c>
    </row>
    <row r="1076" spans="1:4">
      <c r="A1076" t="s">
        <v>491</v>
      </c>
      <c r="B1076" t="s">
        <v>167</v>
      </c>
      <c r="C1076" s="342">
        <v>260</v>
      </c>
      <c r="D1076" s="344">
        <v>1E-3</v>
      </c>
    </row>
    <row r="1077" spans="1:4">
      <c r="A1077" t="s">
        <v>491</v>
      </c>
      <c r="B1077" t="s">
        <v>167</v>
      </c>
      <c r="C1077" s="343">
        <v>260</v>
      </c>
      <c r="D1077" s="345">
        <v>1E-3</v>
      </c>
    </row>
    <row r="1078" spans="1:4">
      <c r="A1078" t="s">
        <v>491</v>
      </c>
      <c r="B1078" t="s">
        <v>167</v>
      </c>
      <c r="C1078" s="342">
        <v>260</v>
      </c>
      <c r="D1078" s="344">
        <v>1E-3</v>
      </c>
    </row>
    <row r="1079" spans="1:4">
      <c r="A1079" t="s">
        <v>491</v>
      </c>
      <c r="B1079" t="s">
        <v>167</v>
      </c>
      <c r="C1079" s="343">
        <v>260</v>
      </c>
      <c r="D1079" s="345">
        <v>1E-3</v>
      </c>
    </row>
    <row r="1080" spans="1:4">
      <c r="A1080" t="s">
        <v>491</v>
      </c>
      <c r="B1080" t="s">
        <v>167</v>
      </c>
      <c r="C1080" s="342">
        <v>260</v>
      </c>
      <c r="D1080" s="344">
        <v>1E-3</v>
      </c>
    </row>
    <row r="1081" spans="1:4">
      <c r="A1081" t="s">
        <v>491</v>
      </c>
      <c r="B1081" t="s">
        <v>167</v>
      </c>
      <c r="C1081" s="343">
        <v>260</v>
      </c>
      <c r="D1081" s="345">
        <v>1E-3</v>
      </c>
    </row>
    <row r="1082" spans="1:4">
      <c r="A1082" t="s">
        <v>491</v>
      </c>
      <c r="B1082" t="s">
        <v>167</v>
      </c>
      <c r="C1082" s="342">
        <v>260</v>
      </c>
      <c r="D1082" s="344">
        <v>1E-3</v>
      </c>
    </row>
    <row r="1083" spans="1:4">
      <c r="A1083" t="s">
        <v>491</v>
      </c>
      <c r="B1083" t="s">
        <v>167</v>
      </c>
      <c r="C1083" s="343">
        <v>260</v>
      </c>
      <c r="D1083" s="345">
        <v>1E-3</v>
      </c>
    </row>
    <row r="1084" spans="1:4">
      <c r="A1084" t="s">
        <v>491</v>
      </c>
      <c r="B1084" t="s">
        <v>167</v>
      </c>
      <c r="C1084" s="342">
        <v>260</v>
      </c>
      <c r="D1084" s="344">
        <v>1E-3</v>
      </c>
    </row>
    <row r="1085" spans="1:4">
      <c r="A1085" t="s">
        <v>491</v>
      </c>
      <c r="B1085" t="s">
        <v>167</v>
      </c>
      <c r="C1085" s="343">
        <v>260</v>
      </c>
      <c r="D1085" s="345">
        <v>1E-3</v>
      </c>
    </row>
    <row r="1086" spans="1:4">
      <c r="A1086" t="s">
        <v>491</v>
      </c>
      <c r="B1086" t="s">
        <v>167</v>
      </c>
      <c r="C1086" s="342">
        <v>260</v>
      </c>
      <c r="D1086" s="344">
        <v>1E-3</v>
      </c>
    </row>
    <row r="1087" spans="1:4">
      <c r="A1087" t="s">
        <v>491</v>
      </c>
      <c r="B1087" t="s">
        <v>167</v>
      </c>
      <c r="C1087" s="343">
        <v>260</v>
      </c>
      <c r="D1087" s="345">
        <v>1E-3</v>
      </c>
    </row>
    <row r="1088" spans="1:4">
      <c r="A1088" t="s">
        <v>491</v>
      </c>
      <c r="B1088" t="s">
        <v>167</v>
      </c>
      <c r="C1088" s="342">
        <v>260</v>
      </c>
      <c r="D1088" s="344">
        <v>1E-3</v>
      </c>
    </row>
    <row r="1089" spans="1:4">
      <c r="A1089" t="s">
        <v>491</v>
      </c>
      <c r="B1089" t="s">
        <v>167</v>
      </c>
      <c r="C1089" s="343">
        <v>260</v>
      </c>
      <c r="D1089" s="345">
        <v>1E-3</v>
      </c>
    </row>
    <row r="1090" spans="1:4">
      <c r="A1090" t="s">
        <v>491</v>
      </c>
      <c r="B1090" t="s">
        <v>167</v>
      </c>
      <c r="C1090" s="342">
        <v>260</v>
      </c>
      <c r="D1090" s="344">
        <v>1E-3</v>
      </c>
    </row>
    <row r="1091" spans="1:4">
      <c r="A1091" t="s">
        <v>491</v>
      </c>
      <c r="B1091" t="s">
        <v>167</v>
      </c>
      <c r="C1091" s="343">
        <v>260</v>
      </c>
      <c r="D1091" s="345">
        <v>1E-3</v>
      </c>
    </row>
    <row r="1092" spans="1:4">
      <c r="A1092" t="s">
        <v>491</v>
      </c>
      <c r="B1092" t="s">
        <v>167</v>
      </c>
      <c r="C1092" s="342">
        <v>260</v>
      </c>
      <c r="D1092" s="344">
        <v>1E-3</v>
      </c>
    </row>
    <row r="1093" spans="1:4">
      <c r="A1093" t="s">
        <v>491</v>
      </c>
      <c r="B1093" t="s">
        <v>167</v>
      </c>
      <c r="C1093" s="343">
        <v>260</v>
      </c>
      <c r="D1093" s="345">
        <v>1E-3</v>
      </c>
    </row>
    <row r="1094" spans="1:4">
      <c r="A1094" t="s">
        <v>491</v>
      </c>
      <c r="B1094" t="s">
        <v>167</v>
      </c>
      <c r="C1094" s="342">
        <v>260</v>
      </c>
      <c r="D1094" s="344">
        <v>1E-3</v>
      </c>
    </row>
    <row r="1095" spans="1:4">
      <c r="A1095" t="s">
        <v>491</v>
      </c>
      <c r="B1095" t="s">
        <v>167</v>
      </c>
      <c r="C1095" s="343">
        <v>260</v>
      </c>
      <c r="D1095" s="345">
        <v>1E-3</v>
      </c>
    </row>
    <row r="1096" spans="1:4">
      <c r="A1096" t="s">
        <v>491</v>
      </c>
      <c r="B1096" t="s">
        <v>167</v>
      </c>
      <c r="C1096" s="342">
        <v>260</v>
      </c>
      <c r="D1096" s="344">
        <v>1E-3</v>
      </c>
    </row>
    <row r="1097" spans="1:4">
      <c r="A1097" t="s">
        <v>491</v>
      </c>
      <c r="B1097" t="s">
        <v>167</v>
      </c>
      <c r="C1097" s="343">
        <v>260</v>
      </c>
      <c r="D1097" s="345">
        <v>1E-3</v>
      </c>
    </row>
    <row r="1098" spans="1:4">
      <c r="A1098" t="s">
        <v>491</v>
      </c>
      <c r="B1098" t="s">
        <v>167</v>
      </c>
      <c r="C1098" s="342">
        <v>260</v>
      </c>
      <c r="D1098" s="344">
        <v>1E-3</v>
      </c>
    </row>
    <row r="1099" spans="1:4">
      <c r="A1099" t="s">
        <v>491</v>
      </c>
      <c r="B1099" t="s">
        <v>167</v>
      </c>
      <c r="C1099" s="343">
        <v>260</v>
      </c>
      <c r="D1099" s="345">
        <v>1E-3</v>
      </c>
    </row>
    <row r="1100" spans="1:4">
      <c r="A1100" t="s">
        <v>491</v>
      </c>
      <c r="B1100" t="s">
        <v>167</v>
      </c>
      <c r="C1100" s="342">
        <v>260</v>
      </c>
      <c r="D1100" s="344">
        <v>1E-3</v>
      </c>
    </row>
    <row r="1101" spans="1:4">
      <c r="A1101" t="s">
        <v>491</v>
      </c>
      <c r="B1101" t="s">
        <v>167</v>
      </c>
      <c r="C1101" s="343">
        <v>260</v>
      </c>
      <c r="D1101" s="345">
        <v>1E-3</v>
      </c>
    </row>
    <row r="1102" spans="1:4">
      <c r="A1102" t="s">
        <v>491</v>
      </c>
      <c r="B1102" t="s">
        <v>167</v>
      </c>
      <c r="C1102" s="342">
        <v>260</v>
      </c>
      <c r="D1102" s="344">
        <v>1E-3</v>
      </c>
    </row>
    <row r="1103" spans="1:4">
      <c r="A1103" t="s">
        <v>491</v>
      </c>
      <c r="B1103" t="s">
        <v>167</v>
      </c>
      <c r="C1103" s="343">
        <v>260</v>
      </c>
      <c r="D1103" s="345">
        <v>1E-3</v>
      </c>
    </row>
    <row r="1104" spans="1:4">
      <c r="A1104" t="s">
        <v>491</v>
      </c>
      <c r="B1104" t="s">
        <v>167</v>
      </c>
      <c r="C1104" s="342">
        <v>260</v>
      </c>
      <c r="D1104" s="344">
        <v>1E-3</v>
      </c>
    </row>
    <row r="1105" spans="1:4">
      <c r="A1105" t="s">
        <v>491</v>
      </c>
      <c r="B1105" t="s">
        <v>167</v>
      </c>
      <c r="C1105" s="343">
        <v>260</v>
      </c>
      <c r="D1105" s="345">
        <v>1E-3</v>
      </c>
    </row>
    <row r="1106" spans="1:4">
      <c r="A1106" t="s">
        <v>491</v>
      </c>
      <c r="B1106" t="s">
        <v>167</v>
      </c>
      <c r="C1106" s="342">
        <v>260</v>
      </c>
      <c r="D1106" s="344">
        <v>1E-3</v>
      </c>
    </row>
    <row r="1107" spans="1:4">
      <c r="A1107" t="s">
        <v>491</v>
      </c>
      <c r="B1107" t="s">
        <v>167</v>
      </c>
      <c r="C1107" s="343">
        <v>260</v>
      </c>
      <c r="D1107" s="345">
        <v>1E-3</v>
      </c>
    </row>
    <row r="1108" spans="1:4">
      <c r="A1108" t="s">
        <v>491</v>
      </c>
      <c r="B1108" t="s">
        <v>167</v>
      </c>
      <c r="C1108" s="342">
        <v>260</v>
      </c>
      <c r="D1108" s="344">
        <v>1E-3</v>
      </c>
    </row>
    <row r="1109" spans="1:4">
      <c r="A1109" t="s">
        <v>491</v>
      </c>
      <c r="B1109" t="s">
        <v>167</v>
      </c>
      <c r="C1109" s="343">
        <v>260</v>
      </c>
      <c r="D1109" s="345">
        <v>1E-3</v>
      </c>
    </row>
    <row r="1110" spans="1:4">
      <c r="A1110" t="s">
        <v>491</v>
      </c>
      <c r="B1110" t="s">
        <v>167</v>
      </c>
      <c r="C1110" s="342">
        <v>260</v>
      </c>
      <c r="D1110" s="344">
        <v>1E-3</v>
      </c>
    </row>
    <row r="1111" spans="1:4">
      <c r="A1111" t="s">
        <v>491</v>
      </c>
      <c r="B1111" t="s">
        <v>167</v>
      </c>
      <c r="C1111" s="343">
        <v>260</v>
      </c>
      <c r="D1111" s="345">
        <v>1E-3</v>
      </c>
    </row>
    <row r="1112" spans="1:4">
      <c r="A1112" t="s">
        <v>491</v>
      </c>
      <c r="B1112" t="s">
        <v>167</v>
      </c>
      <c r="C1112" s="342">
        <v>260</v>
      </c>
      <c r="D1112" s="344">
        <v>1E-3</v>
      </c>
    </row>
    <row r="1113" spans="1:4">
      <c r="A1113" t="s">
        <v>491</v>
      </c>
      <c r="B1113" t="s">
        <v>167</v>
      </c>
      <c r="C1113" s="343">
        <v>260</v>
      </c>
      <c r="D1113" s="345">
        <v>1E-3</v>
      </c>
    </row>
    <row r="1114" spans="1:4">
      <c r="A1114" t="s">
        <v>491</v>
      </c>
      <c r="B1114" t="s">
        <v>167</v>
      </c>
      <c r="C1114" s="342">
        <v>260</v>
      </c>
      <c r="D1114" s="344">
        <v>1E-3</v>
      </c>
    </row>
    <row r="1115" spans="1:4">
      <c r="A1115" t="s">
        <v>491</v>
      </c>
      <c r="B1115" t="s">
        <v>167</v>
      </c>
      <c r="C1115" s="343">
        <v>260</v>
      </c>
      <c r="D1115" s="345">
        <v>1E-3</v>
      </c>
    </row>
    <row r="1116" spans="1:4">
      <c r="A1116" t="s">
        <v>491</v>
      </c>
      <c r="B1116" t="s">
        <v>167</v>
      </c>
      <c r="C1116" s="342">
        <v>260</v>
      </c>
      <c r="D1116" s="344">
        <v>1E-3</v>
      </c>
    </row>
    <row r="1117" spans="1:4">
      <c r="A1117" t="s">
        <v>491</v>
      </c>
      <c r="B1117" t="s">
        <v>167</v>
      </c>
      <c r="C1117" s="343">
        <v>260</v>
      </c>
      <c r="D1117" s="345">
        <v>1E-3</v>
      </c>
    </row>
    <row r="1118" spans="1:4">
      <c r="A1118" t="s">
        <v>491</v>
      </c>
      <c r="B1118" t="s">
        <v>167</v>
      </c>
      <c r="C1118" s="342">
        <v>260</v>
      </c>
      <c r="D1118" s="344">
        <v>1E-3</v>
      </c>
    </row>
    <row r="1119" spans="1:4">
      <c r="A1119" t="s">
        <v>491</v>
      </c>
      <c r="B1119" t="s">
        <v>167</v>
      </c>
      <c r="C1119" s="343">
        <v>260</v>
      </c>
      <c r="D1119" s="345">
        <v>1E-3</v>
      </c>
    </row>
    <row r="1120" spans="1:4">
      <c r="A1120" t="s">
        <v>491</v>
      </c>
      <c r="B1120" t="s">
        <v>167</v>
      </c>
      <c r="C1120" s="342">
        <v>260</v>
      </c>
      <c r="D1120" s="344">
        <v>1E-3</v>
      </c>
    </row>
    <row r="1121" spans="1:4">
      <c r="A1121" t="s">
        <v>491</v>
      </c>
      <c r="B1121" t="s">
        <v>167</v>
      </c>
      <c r="C1121" s="343">
        <v>260</v>
      </c>
      <c r="D1121" s="345">
        <v>1E-3</v>
      </c>
    </row>
    <row r="1122" spans="1:4">
      <c r="A1122" t="s">
        <v>491</v>
      </c>
      <c r="B1122" t="s">
        <v>167</v>
      </c>
      <c r="C1122" s="342">
        <v>260</v>
      </c>
      <c r="D1122" s="344">
        <v>1E-3</v>
      </c>
    </row>
    <row r="1123" spans="1:4">
      <c r="A1123" t="s">
        <v>491</v>
      </c>
      <c r="B1123" t="s">
        <v>167</v>
      </c>
      <c r="C1123" s="343">
        <v>260</v>
      </c>
      <c r="D1123" s="345">
        <v>1E-3</v>
      </c>
    </row>
    <row r="1124" spans="1:4">
      <c r="A1124" t="s">
        <v>491</v>
      </c>
      <c r="B1124" t="s">
        <v>167</v>
      </c>
      <c r="C1124" s="342">
        <v>260</v>
      </c>
      <c r="D1124" s="344">
        <v>1E-3</v>
      </c>
    </row>
    <row r="1125" spans="1:4">
      <c r="A1125" t="s">
        <v>491</v>
      </c>
      <c r="B1125" t="s">
        <v>167</v>
      </c>
      <c r="C1125" s="343">
        <v>260</v>
      </c>
      <c r="D1125" s="345">
        <v>1E-3</v>
      </c>
    </row>
    <row r="1126" spans="1:4">
      <c r="A1126" t="s">
        <v>491</v>
      </c>
      <c r="B1126" t="s">
        <v>167</v>
      </c>
      <c r="C1126" s="342">
        <v>260</v>
      </c>
      <c r="D1126" s="344">
        <v>1E-3</v>
      </c>
    </row>
    <row r="1127" spans="1:4">
      <c r="A1127" t="s">
        <v>491</v>
      </c>
      <c r="B1127" t="s">
        <v>167</v>
      </c>
      <c r="C1127" s="343">
        <v>260</v>
      </c>
      <c r="D1127" s="345">
        <v>1E-3</v>
      </c>
    </row>
    <row r="1128" spans="1:4">
      <c r="A1128" t="s">
        <v>491</v>
      </c>
      <c r="B1128" t="s">
        <v>167</v>
      </c>
      <c r="C1128" s="342">
        <v>260</v>
      </c>
      <c r="D1128" s="344">
        <v>1E-3</v>
      </c>
    </row>
    <row r="1129" spans="1:4">
      <c r="A1129" t="s">
        <v>491</v>
      </c>
      <c r="B1129" t="s">
        <v>167</v>
      </c>
      <c r="C1129" s="343">
        <v>260</v>
      </c>
      <c r="D1129" s="345">
        <v>1E-3</v>
      </c>
    </row>
    <row r="1130" spans="1:4">
      <c r="A1130" t="s">
        <v>491</v>
      </c>
      <c r="B1130" t="s">
        <v>167</v>
      </c>
      <c r="C1130" s="342">
        <v>260</v>
      </c>
      <c r="D1130" s="344">
        <v>1E-3</v>
      </c>
    </row>
    <row r="1131" spans="1:4">
      <c r="A1131" t="s">
        <v>491</v>
      </c>
      <c r="B1131" t="s">
        <v>167</v>
      </c>
      <c r="C1131" s="343">
        <v>260</v>
      </c>
      <c r="D1131" s="345">
        <v>1E-3</v>
      </c>
    </row>
    <row r="1132" spans="1:4">
      <c r="A1132" t="s">
        <v>491</v>
      </c>
      <c r="B1132" t="s">
        <v>167</v>
      </c>
      <c r="C1132" s="342">
        <v>260</v>
      </c>
      <c r="D1132" s="344">
        <v>1E-3</v>
      </c>
    </row>
    <row r="1133" spans="1:4">
      <c r="A1133" t="s">
        <v>491</v>
      </c>
      <c r="B1133" t="s">
        <v>167</v>
      </c>
      <c r="C1133" s="343">
        <v>260</v>
      </c>
      <c r="D1133" s="345">
        <v>1E-3</v>
      </c>
    </row>
    <row r="1134" spans="1:4">
      <c r="A1134" t="s">
        <v>491</v>
      </c>
      <c r="B1134" t="s">
        <v>167</v>
      </c>
      <c r="C1134" s="342">
        <v>260</v>
      </c>
      <c r="D1134" s="344">
        <v>1E-3</v>
      </c>
    </row>
    <row r="1135" spans="1:4">
      <c r="A1135" t="s">
        <v>491</v>
      </c>
      <c r="B1135" t="s">
        <v>167</v>
      </c>
      <c r="C1135" s="343">
        <v>260</v>
      </c>
      <c r="D1135" s="345">
        <v>1E-3</v>
      </c>
    </row>
    <row r="1136" spans="1:4">
      <c r="A1136" t="s">
        <v>491</v>
      </c>
      <c r="B1136" t="s">
        <v>167</v>
      </c>
      <c r="C1136" s="342">
        <v>260</v>
      </c>
      <c r="D1136" s="344">
        <v>1E-3</v>
      </c>
    </row>
    <row r="1137" spans="1:4">
      <c r="A1137" t="s">
        <v>491</v>
      </c>
      <c r="B1137" t="s">
        <v>167</v>
      </c>
      <c r="C1137" s="343">
        <v>260</v>
      </c>
      <c r="D1137" s="345">
        <v>1E-3</v>
      </c>
    </row>
    <row r="1138" spans="1:4">
      <c r="A1138" t="s">
        <v>491</v>
      </c>
      <c r="B1138" t="s">
        <v>167</v>
      </c>
      <c r="C1138" s="342">
        <v>260</v>
      </c>
      <c r="D1138" s="344">
        <v>1E-3</v>
      </c>
    </row>
    <row r="1139" spans="1:4">
      <c r="A1139" t="s">
        <v>491</v>
      </c>
      <c r="B1139" t="s">
        <v>167</v>
      </c>
      <c r="C1139" s="343">
        <v>260</v>
      </c>
      <c r="D1139" s="345">
        <v>1E-3</v>
      </c>
    </row>
    <row r="1140" spans="1:4">
      <c r="A1140" t="s">
        <v>491</v>
      </c>
      <c r="B1140" t="s">
        <v>167</v>
      </c>
      <c r="C1140" s="342">
        <v>260</v>
      </c>
      <c r="D1140" s="344">
        <v>1E-3</v>
      </c>
    </row>
    <row r="1141" spans="1:4">
      <c r="A1141" t="s">
        <v>491</v>
      </c>
      <c r="B1141" t="s">
        <v>167</v>
      </c>
      <c r="C1141" s="343">
        <v>260</v>
      </c>
      <c r="D1141" s="345">
        <v>1E-3</v>
      </c>
    </row>
    <row r="1142" spans="1:4">
      <c r="A1142" t="s">
        <v>491</v>
      </c>
      <c r="B1142" t="s">
        <v>167</v>
      </c>
      <c r="C1142" s="342">
        <v>260</v>
      </c>
      <c r="D1142" s="344">
        <v>1E-3</v>
      </c>
    </row>
    <row r="1143" spans="1:4">
      <c r="A1143" t="s">
        <v>491</v>
      </c>
      <c r="B1143" t="s">
        <v>167</v>
      </c>
      <c r="C1143" s="343">
        <v>260</v>
      </c>
      <c r="D1143" s="345">
        <v>1E-3</v>
      </c>
    </row>
    <row r="1144" spans="1:4">
      <c r="A1144" t="s">
        <v>491</v>
      </c>
      <c r="B1144" t="s">
        <v>167</v>
      </c>
      <c r="C1144" s="342">
        <v>260</v>
      </c>
      <c r="D1144" s="344">
        <v>1E-3</v>
      </c>
    </row>
    <row r="1145" spans="1:4">
      <c r="A1145" t="s">
        <v>491</v>
      </c>
      <c r="B1145" t="s">
        <v>167</v>
      </c>
      <c r="C1145" s="343">
        <v>260</v>
      </c>
      <c r="D1145" s="345">
        <v>1E-3</v>
      </c>
    </row>
    <row r="1146" spans="1:4">
      <c r="A1146" t="s">
        <v>491</v>
      </c>
      <c r="B1146" t="s">
        <v>167</v>
      </c>
      <c r="C1146" s="342">
        <v>260</v>
      </c>
      <c r="D1146" s="344">
        <v>1E-3</v>
      </c>
    </row>
    <row r="1147" spans="1:4">
      <c r="A1147" t="s">
        <v>491</v>
      </c>
      <c r="B1147" t="s">
        <v>167</v>
      </c>
      <c r="C1147" s="343">
        <v>260</v>
      </c>
      <c r="D1147" s="345">
        <v>1E-3</v>
      </c>
    </row>
    <row r="1148" spans="1:4">
      <c r="A1148" t="s">
        <v>491</v>
      </c>
      <c r="B1148" t="s">
        <v>167</v>
      </c>
      <c r="C1148" s="342">
        <v>260</v>
      </c>
      <c r="D1148" s="344">
        <v>1E-3</v>
      </c>
    </row>
    <row r="1149" spans="1:4">
      <c r="A1149" t="s">
        <v>491</v>
      </c>
      <c r="B1149" t="s">
        <v>167</v>
      </c>
      <c r="C1149" s="343">
        <v>260</v>
      </c>
      <c r="D1149" s="345">
        <v>1E-3</v>
      </c>
    </row>
    <row r="1150" spans="1:4">
      <c r="A1150" t="s">
        <v>491</v>
      </c>
      <c r="B1150" t="s">
        <v>167</v>
      </c>
      <c r="C1150" s="342">
        <v>260</v>
      </c>
      <c r="D1150" s="344">
        <v>1E-3</v>
      </c>
    </row>
    <row r="1151" spans="1:4">
      <c r="A1151" t="s">
        <v>491</v>
      </c>
      <c r="B1151" t="s">
        <v>167</v>
      </c>
      <c r="C1151" s="343">
        <v>260</v>
      </c>
      <c r="D1151" s="345">
        <v>1E-3</v>
      </c>
    </row>
    <row r="1152" spans="1:4">
      <c r="A1152" t="s">
        <v>491</v>
      </c>
      <c r="B1152" t="s">
        <v>167</v>
      </c>
      <c r="C1152" s="342">
        <v>260</v>
      </c>
      <c r="D1152" s="344">
        <v>1E-3</v>
      </c>
    </row>
    <row r="1153" spans="1:4">
      <c r="A1153" t="s">
        <v>491</v>
      </c>
      <c r="B1153" t="s">
        <v>167</v>
      </c>
      <c r="C1153" s="343">
        <v>260</v>
      </c>
      <c r="D1153" s="345">
        <v>1E-3</v>
      </c>
    </row>
    <row r="1154" spans="1:4">
      <c r="A1154" t="s">
        <v>491</v>
      </c>
      <c r="B1154" t="s">
        <v>167</v>
      </c>
      <c r="C1154" s="342">
        <v>260</v>
      </c>
      <c r="D1154" s="344">
        <v>1E-3</v>
      </c>
    </row>
    <row r="1155" spans="1:4">
      <c r="A1155" t="s">
        <v>491</v>
      </c>
      <c r="B1155" t="s">
        <v>167</v>
      </c>
      <c r="C1155" s="343">
        <v>260</v>
      </c>
      <c r="D1155" s="345">
        <v>1E-3</v>
      </c>
    </row>
    <row r="1156" spans="1:4">
      <c r="A1156" t="s">
        <v>491</v>
      </c>
      <c r="B1156" t="s">
        <v>167</v>
      </c>
      <c r="C1156" s="342">
        <v>260</v>
      </c>
      <c r="D1156" s="344">
        <v>1E-3</v>
      </c>
    </row>
    <row r="1157" spans="1:4">
      <c r="A1157" t="s">
        <v>491</v>
      </c>
      <c r="B1157" t="s">
        <v>167</v>
      </c>
      <c r="C1157" s="343">
        <v>260</v>
      </c>
      <c r="D1157" s="345">
        <v>1E-3</v>
      </c>
    </row>
    <row r="1158" spans="1:4">
      <c r="A1158" t="s">
        <v>491</v>
      </c>
      <c r="B1158" t="s">
        <v>167</v>
      </c>
      <c r="C1158" s="342">
        <v>260</v>
      </c>
      <c r="D1158" s="344">
        <v>1E-3</v>
      </c>
    </row>
    <row r="1159" spans="1:4">
      <c r="A1159" t="s">
        <v>491</v>
      </c>
      <c r="B1159" t="s">
        <v>167</v>
      </c>
      <c r="C1159" s="343">
        <v>260</v>
      </c>
      <c r="D1159" s="345">
        <v>1E-3</v>
      </c>
    </row>
    <row r="1160" spans="1:4">
      <c r="A1160" t="s">
        <v>491</v>
      </c>
      <c r="B1160" t="s">
        <v>167</v>
      </c>
      <c r="C1160" s="342">
        <v>260</v>
      </c>
      <c r="D1160" s="344">
        <v>1E-3</v>
      </c>
    </row>
    <row r="1161" spans="1:4">
      <c r="A1161" t="s">
        <v>491</v>
      </c>
      <c r="B1161" t="s">
        <v>167</v>
      </c>
      <c r="C1161" s="343">
        <v>260</v>
      </c>
      <c r="D1161" s="345">
        <v>1E-3</v>
      </c>
    </row>
    <row r="1162" spans="1:4">
      <c r="A1162" t="s">
        <v>491</v>
      </c>
      <c r="B1162" t="s">
        <v>167</v>
      </c>
      <c r="C1162" s="342">
        <v>260</v>
      </c>
      <c r="D1162" s="344">
        <v>1E-3</v>
      </c>
    </row>
    <row r="1163" spans="1:4">
      <c r="A1163" t="s">
        <v>491</v>
      </c>
      <c r="B1163" t="s">
        <v>167</v>
      </c>
      <c r="C1163" s="343">
        <v>260</v>
      </c>
      <c r="D1163" s="345">
        <v>1E-3</v>
      </c>
    </row>
    <row r="1164" spans="1:4">
      <c r="A1164" t="s">
        <v>491</v>
      </c>
      <c r="B1164" t="s">
        <v>167</v>
      </c>
      <c r="C1164" s="342">
        <v>260</v>
      </c>
      <c r="D1164" s="344">
        <v>1E-3</v>
      </c>
    </row>
    <row r="1165" spans="1:4">
      <c r="A1165" t="s">
        <v>491</v>
      </c>
      <c r="B1165" t="s">
        <v>167</v>
      </c>
      <c r="C1165" s="343">
        <v>260</v>
      </c>
      <c r="D1165" s="345">
        <v>1E-3</v>
      </c>
    </row>
    <row r="1166" spans="1:4">
      <c r="A1166" t="s">
        <v>519</v>
      </c>
      <c r="B1166" t="s">
        <v>520</v>
      </c>
      <c r="C1166" s="342">
        <v>5000</v>
      </c>
      <c r="D1166" s="344">
        <v>0.41899999999999998</v>
      </c>
    </row>
    <row r="1167" spans="1:4">
      <c r="A1167" t="s">
        <v>519</v>
      </c>
      <c r="B1167" t="s">
        <v>520</v>
      </c>
      <c r="C1167" s="343">
        <v>5000</v>
      </c>
      <c r="D1167" s="345">
        <v>0.41899999999999998</v>
      </c>
    </row>
    <row r="1168" spans="1:4">
      <c r="A1168" t="s">
        <v>519</v>
      </c>
      <c r="B1168" t="s">
        <v>520</v>
      </c>
      <c r="C1168" s="342">
        <v>4800</v>
      </c>
      <c r="D1168" s="344">
        <v>0.40699999999999997</v>
      </c>
    </row>
    <row r="1169" spans="1:4">
      <c r="A1169" t="s">
        <v>519</v>
      </c>
      <c r="B1169" t="s">
        <v>520</v>
      </c>
      <c r="C1169" s="343">
        <v>4800</v>
      </c>
      <c r="D1169" s="345">
        <v>0.40699999999999997</v>
      </c>
    </row>
    <row r="1170" spans="1:4">
      <c r="A1170" t="s">
        <v>519</v>
      </c>
      <c r="B1170" t="s">
        <v>520</v>
      </c>
      <c r="C1170" s="342">
        <v>4800</v>
      </c>
      <c r="D1170" s="344">
        <v>0.40699999999999997</v>
      </c>
    </row>
    <row r="1171" spans="1:4">
      <c r="A1171" t="s">
        <v>519</v>
      </c>
      <c r="B1171" t="s">
        <v>520</v>
      </c>
      <c r="C1171" s="343">
        <v>4800</v>
      </c>
      <c r="D1171" s="345">
        <v>0.40699999999999997</v>
      </c>
    </row>
    <row r="1172" spans="1:4">
      <c r="A1172" t="s">
        <v>519</v>
      </c>
      <c r="B1172" t="s">
        <v>520</v>
      </c>
      <c r="C1172" s="342">
        <v>4800</v>
      </c>
      <c r="D1172" s="344">
        <v>0.40699999999999997</v>
      </c>
    </row>
    <row r="1173" spans="1:4">
      <c r="A1173" t="s">
        <v>519</v>
      </c>
      <c r="B1173" t="s">
        <v>520</v>
      </c>
      <c r="C1173" s="343">
        <v>4800</v>
      </c>
      <c r="D1173" s="345">
        <v>0.40699999999999997</v>
      </c>
    </row>
    <row r="1174" spans="1:4">
      <c r="A1174" t="s">
        <v>519</v>
      </c>
      <c r="B1174" t="s">
        <v>520</v>
      </c>
      <c r="C1174" s="342">
        <v>4800</v>
      </c>
      <c r="D1174" s="344">
        <v>0.40699999999999997</v>
      </c>
    </row>
    <row r="1175" spans="1:4">
      <c r="A1175" t="s">
        <v>519</v>
      </c>
      <c r="B1175" t="s">
        <v>520</v>
      </c>
      <c r="C1175" s="343">
        <v>4800</v>
      </c>
      <c r="D1175" s="345">
        <v>0.40699999999999997</v>
      </c>
    </row>
    <row r="1176" spans="1:4">
      <c r="A1176" t="s">
        <v>519</v>
      </c>
      <c r="B1176" t="s">
        <v>520</v>
      </c>
      <c r="C1176" s="342">
        <v>4800</v>
      </c>
      <c r="D1176" s="344">
        <v>0.40699999999999997</v>
      </c>
    </row>
    <row r="1177" spans="1:4">
      <c r="A1177" t="s">
        <v>519</v>
      </c>
      <c r="B1177" t="s">
        <v>522</v>
      </c>
      <c r="C1177" s="343">
        <v>4800</v>
      </c>
      <c r="D1177" s="345">
        <v>4.1000000000000002E-2</v>
      </c>
    </row>
    <row r="1178" spans="1:4">
      <c r="A1178" t="s">
        <v>519</v>
      </c>
      <c r="B1178" t="s">
        <v>522</v>
      </c>
      <c r="C1178" s="342">
        <v>4800</v>
      </c>
      <c r="D1178" s="344">
        <v>4.1000000000000002E-2</v>
      </c>
    </row>
    <row r="1179" spans="1:4">
      <c r="A1179" t="s">
        <v>519</v>
      </c>
      <c r="B1179" t="s">
        <v>522</v>
      </c>
      <c r="C1179" s="343">
        <v>4800</v>
      </c>
      <c r="D1179" s="345">
        <v>4.1000000000000002E-2</v>
      </c>
    </row>
    <row r="1180" spans="1:4">
      <c r="A1180" t="s">
        <v>519</v>
      </c>
      <c r="B1180" t="s">
        <v>522</v>
      </c>
      <c r="C1180" s="342">
        <v>4800</v>
      </c>
      <c r="D1180" s="344">
        <v>4.1000000000000002E-2</v>
      </c>
    </row>
    <row r="1181" spans="1:4">
      <c r="A1181" t="s">
        <v>519</v>
      </c>
      <c r="B1181" t="s">
        <v>522</v>
      </c>
      <c r="C1181" s="343">
        <v>4800</v>
      </c>
      <c r="D1181" s="345">
        <v>4.1000000000000002E-2</v>
      </c>
    </row>
    <row r="1182" spans="1:4">
      <c r="A1182" t="s">
        <v>519</v>
      </c>
      <c r="B1182" t="s">
        <v>522</v>
      </c>
      <c r="C1182" s="342">
        <v>4800</v>
      </c>
      <c r="D1182" s="344">
        <v>4.1000000000000002E-2</v>
      </c>
    </row>
    <row r="1183" spans="1:4">
      <c r="A1183" t="s">
        <v>519</v>
      </c>
      <c r="B1183" t="s">
        <v>522</v>
      </c>
      <c r="C1183" s="343">
        <v>4800</v>
      </c>
      <c r="D1183" s="345">
        <v>4.1000000000000002E-2</v>
      </c>
    </row>
    <row r="1184" spans="1:4">
      <c r="A1184" t="s">
        <v>519</v>
      </c>
      <c r="B1184" t="s">
        <v>522</v>
      </c>
      <c r="C1184" s="342">
        <v>4800</v>
      </c>
      <c r="D1184" s="344">
        <v>4.1000000000000002E-2</v>
      </c>
    </row>
    <row r="1185" spans="1:4">
      <c r="A1185" t="s">
        <v>519</v>
      </c>
      <c r="B1185" t="s">
        <v>522</v>
      </c>
      <c r="C1185" s="343">
        <v>4800</v>
      </c>
      <c r="D1185" s="345">
        <v>4.1000000000000002E-2</v>
      </c>
    </row>
    <row r="1186" spans="1:4">
      <c r="A1186" t="s">
        <v>519</v>
      </c>
      <c r="B1186" t="s">
        <v>522</v>
      </c>
      <c r="C1186" s="342">
        <v>4800</v>
      </c>
      <c r="D1186" s="344">
        <v>4.1000000000000002E-2</v>
      </c>
    </row>
    <row r="1187" spans="1:4">
      <c r="A1187" t="s">
        <v>519</v>
      </c>
      <c r="B1187" t="s">
        <v>522</v>
      </c>
      <c r="C1187" s="343">
        <v>4800</v>
      </c>
      <c r="D1187" s="345">
        <v>4.1000000000000002E-2</v>
      </c>
    </row>
    <row r="1188" spans="1:4">
      <c r="A1188" t="s">
        <v>519</v>
      </c>
      <c r="B1188" t="s">
        <v>522</v>
      </c>
      <c r="C1188" s="342">
        <v>4800</v>
      </c>
      <c r="D1188" s="344">
        <v>4.1000000000000002E-2</v>
      </c>
    </row>
    <row r="1189" spans="1:4">
      <c r="A1189" t="s">
        <v>519</v>
      </c>
      <c r="B1189" t="s">
        <v>522</v>
      </c>
      <c r="C1189" s="343">
        <v>4800</v>
      </c>
      <c r="D1189" s="345">
        <v>4.1000000000000002E-2</v>
      </c>
    </row>
    <row r="1190" spans="1:4">
      <c r="A1190" t="s">
        <v>519</v>
      </c>
      <c r="B1190" t="s">
        <v>522</v>
      </c>
      <c r="C1190" s="342">
        <v>4800</v>
      </c>
      <c r="D1190" s="344">
        <v>4.1000000000000002E-2</v>
      </c>
    </row>
    <row r="1191" spans="1:4">
      <c r="A1191" t="s">
        <v>519</v>
      </c>
      <c r="B1191" t="s">
        <v>522</v>
      </c>
      <c r="C1191" s="343">
        <v>4800</v>
      </c>
      <c r="D1191" s="345">
        <v>4.1000000000000002E-2</v>
      </c>
    </row>
    <row r="1192" spans="1:4">
      <c r="A1192" t="s">
        <v>519</v>
      </c>
      <c r="B1192" t="s">
        <v>522</v>
      </c>
      <c r="C1192" s="342">
        <v>4800</v>
      </c>
      <c r="D1192" s="344">
        <v>4.1000000000000002E-2</v>
      </c>
    </row>
    <row r="1193" spans="1:4">
      <c r="A1193" t="s">
        <v>519</v>
      </c>
      <c r="B1193" t="s">
        <v>522</v>
      </c>
      <c r="C1193" s="343">
        <v>4800</v>
      </c>
      <c r="D1193" s="345">
        <v>4.1000000000000002E-2</v>
      </c>
    </row>
    <row r="1194" spans="1:4">
      <c r="A1194" t="s">
        <v>519</v>
      </c>
      <c r="B1194" t="s">
        <v>522</v>
      </c>
      <c r="C1194" s="342">
        <v>4800</v>
      </c>
      <c r="D1194" s="344">
        <v>4.1000000000000002E-2</v>
      </c>
    </row>
    <row r="1195" spans="1:4">
      <c r="A1195" t="s">
        <v>519</v>
      </c>
      <c r="B1195" t="s">
        <v>522</v>
      </c>
      <c r="C1195" s="343">
        <v>4695</v>
      </c>
      <c r="D1195" s="345">
        <v>0.04</v>
      </c>
    </row>
    <row r="1196" spans="1:4">
      <c r="A1196" t="s">
        <v>519</v>
      </c>
      <c r="B1196" t="s">
        <v>522</v>
      </c>
      <c r="C1196" s="342">
        <v>4695</v>
      </c>
      <c r="D1196" s="344">
        <v>0.04</v>
      </c>
    </row>
    <row r="1197" spans="1:4">
      <c r="A1197" t="s">
        <v>519</v>
      </c>
      <c r="B1197" t="s">
        <v>522</v>
      </c>
      <c r="C1197" s="343">
        <v>4695</v>
      </c>
      <c r="D1197" s="345">
        <v>0.04</v>
      </c>
    </row>
    <row r="1198" spans="1:4">
      <c r="A1198" t="s">
        <v>519</v>
      </c>
      <c r="B1198" t="s">
        <v>522</v>
      </c>
      <c r="C1198" s="342">
        <v>4695</v>
      </c>
      <c r="D1198" s="344">
        <v>0.04</v>
      </c>
    </row>
    <row r="1199" spans="1:4">
      <c r="A1199" t="s">
        <v>519</v>
      </c>
      <c r="B1199" t="s">
        <v>521</v>
      </c>
      <c r="C1199" s="343">
        <v>4800</v>
      </c>
      <c r="D1199" s="345">
        <v>0.33</v>
      </c>
    </row>
    <row r="1200" spans="1:4">
      <c r="A1200" t="s">
        <v>519</v>
      </c>
      <c r="B1200" t="s">
        <v>521</v>
      </c>
      <c r="C1200" s="342">
        <v>4800</v>
      </c>
      <c r="D1200" s="344">
        <v>0.33</v>
      </c>
    </row>
    <row r="1201" spans="1:4">
      <c r="A1201" t="s">
        <v>519</v>
      </c>
      <c r="B1201" t="s">
        <v>521</v>
      </c>
      <c r="C1201" s="343">
        <v>4800</v>
      </c>
      <c r="D1201" s="345">
        <v>0.33</v>
      </c>
    </row>
    <row r="1202" spans="1:4">
      <c r="A1202" t="s">
        <v>519</v>
      </c>
      <c r="B1202" t="s">
        <v>521</v>
      </c>
      <c r="C1202" s="342">
        <v>4800</v>
      </c>
      <c r="D1202" s="344">
        <v>0.33</v>
      </c>
    </row>
    <row r="1203" spans="1:4">
      <c r="A1203" t="s">
        <v>519</v>
      </c>
      <c r="B1203" t="s">
        <v>521</v>
      </c>
      <c r="C1203" s="343">
        <v>4800</v>
      </c>
      <c r="D1203" s="345">
        <v>0.33</v>
      </c>
    </row>
    <row r="1204" spans="1:4">
      <c r="A1204" t="s">
        <v>519</v>
      </c>
      <c r="B1204" t="s">
        <v>521</v>
      </c>
      <c r="C1204" s="342">
        <v>4800</v>
      </c>
      <c r="D1204" s="344">
        <v>0.33</v>
      </c>
    </row>
    <row r="1205" spans="1:4">
      <c r="A1205" t="s">
        <v>519</v>
      </c>
      <c r="B1205" t="s">
        <v>521</v>
      </c>
      <c r="C1205" s="343">
        <v>4800</v>
      </c>
      <c r="D1205" s="345">
        <v>0.33</v>
      </c>
    </row>
    <row r="1206" spans="1:4">
      <c r="A1206" t="s">
        <v>519</v>
      </c>
      <c r="B1206" t="s">
        <v>521</v>
      </c>
      <c r="C1206" s="342">
        <v>4800</v>
      </c>
      <c r="D1206" s="344">
        <v>0.33</v>
      </c>
    </row>
    <row r="1207" spans="1:4">
      <c r="A1207" t="s">
        <v>519</v>
      </c>
      <c r="B1207" t="s">
        <v>521</v>
      </c>
      <c r="C1207" s="343">
        <v>4800</v>
      </c>
      <c r="D1207" s="345">
        <v>0.33</v>
      </c>
    </row>
    <row r="1208" spans="1:4">
      <c r="A1208" t="s">
        <v>519</v>
      </c>
      <c r="B1208" t="s">
        <v>520</v>
      </c>
      <c r="C1208" s="342">
        <v>4695</v>
      </c>
      <c r="D1208" s="344">
        <v>0.39800000000000002</v>
      </c>
    </row>
    <row r="1209" spans="1:4">
      <c r="A1209" t="s">
        <v>519</v>
      </c>
      <c r="B1209" t="s">
        <v>520</v>
      </c>
      <c r="C1209" s="343">
        <v>4695</v>
      </c>
      <c r="D1209" s="345">
        <v>0.39800000000000002</v>
      </c>
    </row>
    <row r="1210" spans="1:4">
      <c r="A1210" t="s">
        <v>519</v>
      </c>
      <c r="B1210" t="s">
        <v>522</v>
      </c>
      <c r="C1210" s="342">
        <v>5000</v>
      </c>
      <c r="D1210" s="344">
        <v>4.2000000000000003E-2</v>
      </c>
    </row>
    <row r="1211" spans="1:4">
      <c r="A1211" t="s">
        <v>519</v>
      </c>
      <c r="B1211" t="s">
        <v>522</v>
      </c>
      <c r="C1211" s="343">
        <v>5000</v>
      </c>
      <c r="D1211" s="345">
        <v>4.2000000000000003E-2</v>
      </c>
    </row>
    <row r="1212" spans="1:4">
      <c r="A1212" t="s">
        <v>519</v>
      </c>
      <c r="B1212" t="s">
        <v>522</v>
      </c>
      <c r="C1212" s="342">
        <v>5000</v>
      </c>
      <c r="D1212" s="344">
        <v>4.2000000000000003E-2</v>
      </c>
    </row>
    <row r="1213" spans="1:4">
      <c r="A1213" t="s">
        <v>519</v>
      </c>
      <c r="B1213" t="s">
        <v>522</v>
      </c>
      <c r="C1213" s="343">
        <v>5000</v>
      </c>
      <c r="D1213" s="345">
        <v>4.2000000000000003E-2</v>
      </c>
    </row>
    <row r="1214" spans="1:4">
      <c r="A1214" t="s">
        <v>519</v>
      </c>
      <c r="B1214" t="s">
        <v>521</v>
      </c>
      <c r="C1214" s="342">
        <v>4695</v>
      </c>
      <c r="D1214" s="344">
        <v>0.32200000000000001</v>
      </c>
    </row>
    <row r="1215" spans="1:4">
      <c r="A1215" t="s">
        <v>519</v>
      </c>
      <c r="B1215" t="s">
        <v>521</v>
      </c>
      <c r="C1215" s="343">
        <v>4695</v>
      </c>
      <c r="D1215" s="345">
        <v>0.32200000000000001</v>
      </c>
    </row>
    <row r="1216" spans="1:4">
      <c r="A1216" t="s">
        <v>519</v>
      </c>
      <c r="B1216" t="s">
        <v>521</v>
      </c>
      <c r="C1216" s="342">
        <v>5010</v>
      </c>
      <c r="D1216" s="344">
        <v>0.34399999999999997</v>
      </c>
    </row>
    <row r="1217" spans="1:4">
      <c r="A1217" t="s">
        <v>519</v>
      </c>
      <c r="B1217" t="s">
        <v>521</v>
      </c>
      <c r="C1217" s="343">
        <v>5010</v>
      </c>
      <c r="D1217" s="345">
        <v>0.34399999999999997</v>
      </c>
    </row>
    <row r="1218" spans="1:4">
      <c r="A1218" t="s">
        <v>523</v>
      </c>
      <c r="B1218" t="s">
        <v>517</v>
      </c>
      <c r="C1218" s="342">
        <v>108</v>
      </c>
      <c r="D1218" s="344">
        <v>0</v>
      </c>
    </row>
    <row r="1219" spans="1:4">
      <c r="A1219" t="s">
        <v>523</v>
      </c>
      <c r="B1219" t="s">
        <v>517</v>
      </c>
      <c r="C1219" s="343">
        <v>108</v>
      </c>
      <c r="D1219" s="345">
        <v>0</v>
      </c>
    </row>
    <row r="1220" spans="1:4">
      <c r="A1220" t="s">
        <v>523</v>
      </c>
      <c r="B1220" t="s">
        <v>517</v>
      </c>
      <c r="C1220" s="342">
        <v>108</v>
      </c>
      <c r="D1220" s="344">
        <v>0</v>
      </c>
    </row>
    <row r="1221" spans="1:4">
      <c r="A1221" t="s">
        <v>523</v>
      </c>
      <c r="B1221" t="s">
        <v>517</v>
      </c>
      <c r="C1221" s="343">
        <v>108</v>
      </c>
      <c r="D1221" s="345">
        <v>0</v>
      </c>
    </row>
    <row r="1222" spans="1:4">
      <c r="A1222" t="s">
        <v>523</v>
      </c>
      <c r="B1222" t="s">
        <v>517</v>
      </c>
      <c r="C1222" s="342">
        <v>108</v>
      </c>
      <c r="D1222" s="344">
        <v>0</v>
      </c>
    </row>
    <row r="1223" spans="1:4">
      <c r="A1223" t="s">
        <v>523</v>
      </c>
      <c r="B1223" t="s">
        <v>517</v>
      </c>
      <c r="C1223" s="343">
        <v>108</v>
      </c>
      <c r="D1223" s="345">
        <v>0</v>
      </c>
    </row>
    <row r="1224" spans="1:4">
      <c r="A1224" t="s">
        <v>523</v>
      </c>
      <c r="B1224" t="s">
        <v>517</v>
      </c>
      <c r="C1224" s="342">
        <v>108</v>
      </c>
      <c r="D1224" s="344">
        <v>0</v>
      </c>
    </row>
    <row r="1225" spans="1:4">
      <c r="A1225" t="s">
        <v>523</v>
      </c>
      <c r="B1225" t="s">
        <v>517</v>
      </c>
      <c r="C1225" s="343">
        <v>108</v>
      </c>
      <c r="D1225" s="345">
        <v>0</v>
      </c>
    </row>
    <row r="1226" spans="1:4">
      <c r="A1226" t="s">
        <v>523</v>
      </c>
      <c r="B1226" t="s">
        <v>524</v>
      </c>
      <c r="C1226" s="342">
        <v>210</v>
      </c>
      <c r="D1226" s="344">
        <v>3.0000000000000001E-3</v>
      </c>
    </row>
    <row r="1227" spans="1:4">
      <c r="A1227" t="s">
        <v>523</v>
      </c>
      <c r="B1227" t="s">
        <v>524</v>
      </c>
      <c r="C1227" s="343">
        <v>210</v>
      </c>
      <c r="D1227" s="345">
        <v>3.0000000000000001E-3</v>
      </c>
    </row>
    <row r="1228" spans="1:4">
      <c r="A1228" t="s">
        <v>523</v>
      </c>
      <c r="B1228" t="s">
        <v>524</v>
      </c>
      <c r="C1228" s="342">
        <v>210</v>
      </c>
      <c r="D1228" s="344">
        <v>3.0000000000000001E-3</v>
      </c>
    </row>
    <row r="1229" spans="1:4">
      <c r="A1229" t="s">
        <v>523</v>
      </c>
      <c r="B1229" t="s">
        <v>524</v>
      </c>
      <c r="C1229" s="343">
        <v>210</v>
      </c>
      <c r="D1229" s="345">
        <v>3.0000000000000001E-3</v>
      </c>
    </row>
    <row r="1230" spans="1:4">
      <c r="A1230" t="s">
        <v>523</v>
      </c>
      <c r="B1230" t="s">
        <v>524</v>
      </c>
      <c r="C1230" s="342">
        <v>210</v>
      </c>
      <c r="D1230" s="344">
        <v>3.0000000000000001E-3</v>
      </c>
    </row>
    <row r="1231" spans="1:4">
      <c r="A1231" t="s">
        <v>523</v>
      </c>
      <c r="B1231" t="s">
        <v>524</v>
      </c>
      <c r="C1231" s="343">
        <v>210</v>
      </c>
      <c r="D1231" s="345">
        <v>3.0000000000000001E-3</v>
      </c>
    </row>
    <row r="1232" spans="1:4">
      <c r="A1232" t="s">
        <v>523</v>
      </c>
      <c r="B1232" t="s">
        <v>524</v>
      </c>
      <c r="C1232" s="342">
        <v>210</v>
      </c>
      <c r="D1232" s="344">
        <v>3.0000000000000001E-3</v>
      </c>
    </row>
    <row r="1233" spans="1:4">
      <c r="A1233" t="s">
        <v>523</v>
      </c>
      <c r="B1233" t="s">
        <v>524</v>
      </c>
      <c r="C1233" s="343">
        <v>210</v>
      </c>
      <c r="D1233" s="345">
        <v>3.0000000000000001E-3</v>
      </c>
    </row>
    <row r="1234" spans="1:4">
      <c r="A1234" t="s">
        <v>523</v>
      </c>
      <c r="B1234" t="s">
        <v>524</v>
      </c>
      <c r="C1234" s="342">
        <v>210</v>
      </c>
      <c r="D1234" s="344">
        <v>3.0000000000000001E-3</v>
      </c>
    </row>
    <row r="1235" spans="1:4">
      <c r="A1235" t="s">
        <v>523</v>
      </c>
      <c r="B1235" t="s">
        <v>524</v>
      </c>
      <c r="C1235" s="343">
        <v>210</v>
      </c>
      <c r="D1235" s="345">
        <v>3.0000000000000001E-3</v>
      </c>
    </row>
    <row r="1236" spans="1:4">
      <c r="A1236" t="s">
        <v>523</v>
      </c>
      <c r="B1236" t="s">
        <v>524</v>
      </c>
      <c r="C1236" s="342">
        <v>210</v>
      </c>
      <c r="D1236" s="344">
        <v>3.0000000000000001E-3</v>
      </c>
    </row>
    <row r="1237" spans="1:4">
      <c r="A1237" t="s">
        <v>523</v>
      </c>
      <c r="B1237" t="s">
        <v>524</v>
      </c>
      <c r="C1237" s="343">
        <v>210</v>
      </c>
      <c r="D1237" s="345">
        <v>3.0000000000000001E-3</v>
      </c>
    </row>
    <row r="1238" spans="1:4">
      <c r="A1238" t="s">
        <v>523</v>
      </c>
      <c r="B1238" t="s">
        <v>524</v>
      </c>
      <c r="C1238" s="342">
        <v>210</v>
      </c>
      <c r="D1238" s="344">
        <v>3.0000000000000001E-3</v>
      </c>
    </row>
    <row r="1239" spans="1:4">
      <c r="A1239" t="s">
        <v>523</v>
      </c>
      <c r="B1239" t="s">
        <v>524</v>
      </c>
      <c r="C1239" s="343">
        <v>210</v>
      </c>
      <c r="D1239" s="345">
        <v>3.0000000000000001E-3</v>
      </c>
    </row>
    <row r="1240" spans="1:4">
      <c r="A1240" t="s">
        <v>523</v>
      </c>
      <c r="B1240" t="s">
        <v>524</v>
      </c>
      <c r="C1240" s="342">
        <v>210</v>
      </c>
      <c r="D1240" s="344">
        <v>3.0000000000000001E-3</v>
      </c>
    </row>
    <row r="1241" spans="1:4">
      <c r="A1241" t="s">
        <v>523</v>
      </c>
      <c r="B1241" t="s">
        <v>524</v>
      </c>
      <c r="C1241" s="343">
        <v>210</v>
      </c>
      <c r="D1241" s="345">
        <v>3.0000000000000001E-3</v>
      </c>
    </row>
    <row r="1242" spans="1:4">
      <c r="A1242" t="s">
        <v>523</v>
      </c>
      <c r="B1242" t="s">
        <v>524</v>
      </c>
      <c r="C1242" s="342">
        <v>210</v>
      </c>
      <c r="D1242" s="344">
        <v>3.0000000000000001E-3</v>
      </c>
    </row>
    <row r="1243" spans="1:4">
      <c r="A1243" t="s">
        <v>523</v>
      </c>
      <c r="B1243" t="s">
        <v>524</v>
      </c>
      <c r="C1243" s="343">
        <v>210</v>
      </c>
      <c r="D1243" s="345">
        <v>3.0000000000000001E-3</v>
      </c>
    </row>
    <row r="1244" spans="1:4">
      <c r="A1244" t="s">
        <v>523</v>
      </c>
      <c r="B1244" t="s">
        <v>524</v>
      </c>
      <c r="C1244" s="342">
        <v>210</v>
      </c>
      <c r="D1244" s="344">
        <v>3.0000000000000001E-3</v>
      </c>
    </row>
    <row r="1245" spans="1:4">
      <c r="A1245" t="s">
        <v>523</v>
      </c>
      <c r="B1245" t="s">
        <v>524</v>
      </c>
      <c r="C1245" s="343">
        <v>210</v>
      </c>
      <c r="D1245" s="345">
        <v>3.0000000000000001E-3</v>
      </c>
    </row>
    <row r="1246" spans="1:4">
      <c r="A1246" t="s">
        <v>523</v>
      </c>
      <c r="B1246" t="s">
        <v>524</v>
      </c>
      <c r="C1246" s="342">
        <v>210</v>
      </c>
      <c r="D1246" s="344">
        <v>3.0000000000000001E-3</v>
      </c>
    </row>
    <row r="1247" spans="1:4">
      <c r="A1247" t="s">
        <v>523</v>
      </c>
      <c r="B1247" t="s">
        <v>524</v>
      </c>
      <c r="C1247" s="343">
        <v>210</v>
      </c>
      <c r="D1247" s="345">
        <v>3.0000000000000001E-3</v>
      </c>
    </row>
    <row r="1248" spans="1:4">
      <c r="A1248" t="s">
        <v>523</v>
      </c>
      <c r="B1248" t="s">
        <v>524</v>
      </c>
      <c r="C1248" s="342">
        <v>210</v>
      </c>
      <c r="D1248" s="344">
        <v>3.0000000000000001E-3</v>
      </c>
    </row>
    <row r="1249" spans="1:4">
      <c r="A1249" t="s">
        <v>523</v>
      </c>
      <c r="B1249" t="s">
        <v>524</v>
      </c>
      <c r="C1249" s="343">
        <v>210</v>
      </c>
      <c r="D1249" s="345">
        <v>3.0000000000000001E-3</v>
      </c>
    </row>
    <row r="1250" spans="1:4">
      <c r="A1250" t="s">
        <v>523</v>
      </c>
      <c r="B1250" t="s">
        <v>524</v>
      </c>
      <c r="C1250" s="342">
        <v>210</v>
      </c>
      <c r="D1250" s="344">
        <v>3.0000000000000001E-3</v>
      </c>
    </row>
    <row r="1251" spans="1:4">
      <c r="A1251" t="s">
        <v>523</v>
      </c>
      <c r="B1251" t="s">
        <v>524</v>
      </c>
      <c r="C1251" s="343">
        <v>210</v>
      </c>
      <c r="D1251" s="345">
        <v>3.0000000000000001E-3</v>
      </c>
    </row>
    <row r="1252" spans="1:4">
      <c r="A1252" t="s">
        <v>523</v>
      </c>
      <c r="B1252" t="s">
        <v>524</v>
      </c>
      <c r="C1252" s="342">
        <v>210</v>
      </c>
      <c r="D1252" s="344">
        <v>3.0000000000000001E-3</v>
      </c>
    </row>
    <row r="1253" spans="1:4">
      <c r="A1253" t="s">
        <v>523</v>
      </c>
      <c r="B1253" t="s">
        <v>524</v>
      </c>
      <c r="C1253" s="343">
        <v>210</v>
      </c>
      <c r="D1253" s="345">
        <v>3.0000000000000001E-3</v>
      </c>
    </row>
    <row r="1254" spans="1:4">
      <c r="A1254" t="s">
        <v>523</v>
      </c>
      <c r="B1254" t="s">
        <v>524</v>
      </c>
      <c r="C1254" s="342">
        <v>210</v>
      </c>
      <c r="D1254" s="344">
        <v>3.0000000000000001E-3</v>
      </c>
    </row>
    <row r="1255" spans="1:4">
      <c r="A1255" t="s">
        <v>523</v>
      </c>
      <c r="B1255" t="s">
        <v>524</v>
      </c>
      <c r="C1255" s="343">
        <v>210</v>
      </c>
      <c r="D1255" s="345">
        <v>3.0000000000000001E-3</v>
      </c>
    </row>
    <row r="1256" spans="1:4">
      <c r="A1256" t="s">
        <v>523</v>
      </c>
      <c r="B1256" t="s">
        <v>524</v>
      </c>
      <c r="C1256" s="342">
        <v>210</v>
      </c>
      <c r="D1256" s="344">
        <v>3.0000000000000001E-3</v>
      </c>
    </row>
    <row r="1257" spans="1:4">
      <c r="A1257" t="s">
        <v>523</v>
      </c>
      <c r="B1257" t="s">
        <v>524</v>
      </c>
      <c r="C1257" s="343">
        <v>210</v>
      </c>
      <c r="D1257" s="345">
        <v>3.0000000000000001E-3</v>
      </c>
    </row>
    <row r="1258" spans="1:4">
      <c r="A1258" t="s">
        <v>523</v>
      </c>
      <c r="B1258" t="s">
        <v>525</v>
      </c>
      <c r="C1258" s="342">
        <v>500</v>
      </c>
      <c r="D1258" s="344">
        <v>0.01</v>
      </c>
    </row>
    <row r="1259" spans="1:4">
      <c r="A1259" t="s">
        <v>523</v>
      </c>
      <c r="B1259" t="s">
        <v>525</v>
      </c>
      <c r="C1259" s="343">
        <v>500</v>
      </c>
      <c r="D1259" s="345">
        <v>0.01</v>
      </c>
    </row>
    <row r="1260" spans="1:4">
      <c r="A1260" t="s">
        <v>523</v>
      </c>
      <c r="B1260" t="s">
        <v>497</v>
      </c>
      <c r="C1260" s="342">
        <v>170</v>
      </c>
      <c r="D1260" s="344">
        <v>2E-3</v>
      </c>
    </row>
    <row r="1261" spans="1:4">
      <c r="A1261" t="s">
        <v>523</v>
      </c>
      <c r="B1261" t="s">
        <v>497</v>
      </c>
      <c r="C1261" s="343">
        <v>170</v>
      </c>
      <c r="D1261" s="345">
        <v>2E-3</v>
      </c>
    </row>
    <row r="1262" spans="1:4">
      <c r="A1262" t="s">
        <v>523</v>
      </c>
      <c r="B1262" t="s">
        <v>497</v>
      </c>
      <c r="C1262" s="342">
        <v>170</v>
      </c>
      <c r="D1262" s="344">
        <v>2E-3</v>
      </c>
    </row>
    <row r="1263" spans="1:4">
      <c r="A1263" t="s">
        <v>523</v>
      </c>
      <c r="B1263" t="s">
        <v>497</v>
      </c>
      <c r="C1263" s="343">
        <v>170</v>
      </c>
      <c r="D1263" s="345">
        <v>2E-3</v>
      </c>
    </row>
    <row r="1264" spans="1:4">
      <c r="A1264" t="s">
        <v>526</v>
      </c>
      <c r="B1264" t="s">
        <v>527</v>
      </c>
      <c r="C1264" s="342">
        <v>762</v>
      </c>
      <c r="D1264" s="344">
        <v>1.4999999999999999E-2</v>
      </c>
    </row>
    <row r="1265" spans="1:4">
      <c r="A1265" t="s">
        <v>526</v>
      </c>
      <c r="B1265" t="s">
        <v>527</v>
      </c>
      <c r="C1265" s="343">
        <v>762</v>
      </c>
      <c r="D1265" s="345">
        <v>1.4999999999999999E-2</v>
      </c>
    </row>
    <row r="1266" spans="1:4">
      <c r="A1266" t="s">
        <v>526</v>
      </c>
      <c r="B1266" t="s">
        <v>527</v>
      </c>
      <c r="C1266" s="342">
        <v>762</v>
      </c>
      <c r="D1266" s="344">
        <v>1.4999999999999999E-2</v>
      </c>
    </row>
    <row r="1267" spans="1:4">
      <c r="A1267" t="s">
        <v>526</v>
      </c>
      <c r="B1267" t="s">
        <v>527</v>
      </c>
      <c r="C1267" s="343">
        <v>760</v>
      </c>
      <c r="D1267" s="345">
        <v>1.4999999999999999E-2</v>
      </c>
    </row>
    <row r="1268" spans="1:4">
      <c r="A1268" t="s">
        <v>526</v>
      </c>
      <c r="B1268" t="s">
        <v>530</v>
      </c>
      <c r="C1268" s="342">
        <v>750</v>
      </c>
      <c r="D1268" s="344">
        <v>5.0000000000000001E-3</v>
      </c>
    </row>
    <row r="1269" spans="1:4">
      <c r="A1269" t="s">
        <v>526</v>
      </c>
      <c r="B1269" t="s">
        <v>530</v>
      </c>
      <c r="C1269" s="343">
        <v>750</v>
      </c>
      <c r="D1269" s="345">
        <v>5.0000000000000001E-3</v>
      </c>
    </row>
    <row r="1270" spans="1:4">
      <c r="A1270" t="s">
        <v>526</v>
      </c>
      <c r="B1270" t="s">
        <v>530</v>
      </c>
      <c r="C1270" s="342">
        <v>750</v>
      </c>
      <c r="D1270" s="344">
        <v>5.0000000000000001E-3</v>
      </c>
    </row>
    <row r="1271" spans="1:4">
      <c r="A1271" t="s">
        <v>526</v>
      </c>
      <c r="B1271" t="s">
        <v>529</v>
      </c>
      <c r="C1271" s="343">
        <v>784</v>
      </c>
      <c r="D1271" s="345">
        <v>8.9999999999999993E-3</v>
      </c>
    </row>
    <row r="1272" spans="1:4">
      <c r="A1272" t="s">
        <v>526</v>
      </c>
      <c r="B1272" t="s">
        <v>529</v>
      </c>
      <c r="C1272" s="342">
        <v>784</v>
      </c>
      <c r="D1272" s="344">
        <v>8.9999999999999993E-3</v>
      </c>
    </row>
    <row r="1273" spans="1:4">
      <c r="A1273" t="s">
        <v>526</v>
      </c>
      <c r="B1273" t="s">
        <v>529</v>
      </c>
      <c r="C1273" s="343">
        <v>784</v>
      </c>
      <c r="D1273" s="345">
        <v>8.9999999999999993E-3</v>
      </c>
    </row>
    <row r="1274" spans="1:4">
      <c r="A1274" t="s">
        <v>526</v>
      </c>
      <c r="B1274" t="s">
        <v>529</v>
      </c>
      <c r="C1274" s="342">
        <v>784</v>
      </c>
      <c r="D1274" s="344">
        <v>8.9999999999999993E-3</v>
      </c>
    </row>
    <row r="1275" spans="1:4">
      <c r="A1275" t="s">
        <v>526</v>
      </c>
      <c r="B1275" t="s">
        <v>529</v>
      </c>
      <c r="C1275" s="343">
        <v>784</v>
      </c>
      <c r="D1275" s="345">
        <v>8.9999999999999993E-3</v>
      </c>
    </row>
    <row r="1276" spans="1:4">
      <c r="A1276" t="s">
        <v>526</v>
      </c>
      <c r="B1276" t="s">
        <v>529</v>
      </c>
      <c r="C1276" s="342">
        <v>784</v>
      </c>
      <c r="D1276" s="344">
        <v>8.9999999999999993E-3</v>
      </c>
    </row>
    <row r="1277" spans="1:4">
      <c r="A1277" t="s">
        <v>526</v>
      </c>
      <c r="B1277" t="s">
        <v>529</v>
      </c>
      <c r="C1277" s="343">
        <v>784</v>
      </c>
      <c r="D1277" s="345">
        <v>8.9999999999999993E-3</v>
      </c>
    </row>
    <row r="1278" spans="1:4">
      <c r="A1278" t="s">
        <v>526</v>
      </c>
      <c r="B1278" t="s">
        <v>529</v>
      </c>
      <c r="C1278" s="342">
        <v>784</v>
      </c>
      <c r="D1278" s="344">
        <v>8.9999999999999993E-3</v>
      </c>
    </row>
    <row r="1279" spans="1:4">
      <c r="A1279" t="s">
        <v>526</v>
      </c>
      <c r="B1279" t="s">
        <v>528</v>
      </c>
      <c r="C1279" s="343">
        <v>1000</v>
      </c>
      <c r="D1279" s="345">
        <v>8.9999999999999993E-3</v>
      </c>
    </row>
    <row r="1280" spans="1:4">
      <c r="A1280" t="s">
        <v>526</v>
      </c>
      <c r="B1280" t="s">
        <v>528</v>
      </c>
      <c r="C1280" s="342">
        <v>1000</v>
      </c>
      <c r="D1280" s="344">
        <v>8.9999999999999993E-3</v>
      </c>
    </row>
    <row r="1281" spans="1:4">
      <c r="A1281" t="s">
        <v>526</v>
      </c>
      <c r="B1281" t="s">
        <v>528</v>
      </c>
      <c r="C1281" s="343">
        <v>1000</v>
      </c>
      <c r="D1281" s="345">
        <v>8.9999999999999993E-3</v>
      </c>
    </row>
    <row r="1282" spans="1:4">
      <c r="A1282" t="s">
        <v>526</v>
      </c>
      <c r="B1282" t="s">
        <v>528</v>
      </c>
      <c r="C1282" s="342">
        <v>1000</v>
      </c>
      <c r="D1282" s="344">
        <v>8.9999999999999993E-3</v>
      </c>
    </row>
    <row r="1283" spans="1:4">
      <c r="A1283" t="s">
        <v>526</v>
      </c>
      <c r="B1283" t="s">
        <v>528</v>
      </c>
      <c r="C1283" s="343">
        <v>1000</v>
      </c>
      <c r="D1283" s="345">
        <v>8.9999999999999993E-3</v>
      </c>
    </row>
    <row r="1284" spans="1:4">
      <c r="A1284" t="s">
        <v>526</v>
      </c>
      <c r="B1284" t="s">
        <v>528</v>
      </c>
      <c r="C1284" s="342">
        <v>1000</v>
      </c>
      <c r="D1284" s="344">
        <v>8.9999999999999993E-3</v>
      </c>
    </row>
    <row r="1285" spans="1:4">
      <c r="A1285" t="s">
        <v>526</v>
      </c>
      <c r="B1285" t="s">
        <v>528</v>
      </c>
      <c r="C1285" s="343">
        <v>1000</v>
      </c>
      <c r="D1285" s="345">
        <v>8.9999999999999993E-3</v>
      </c>
    </row>
    <row r="1286" spans="1:4">
      <c r="A1286" t="s">
        <v>526</v>
      </c>
      <c r="B1286" t="s">
        <v>528</v>
      </c>
      <c r="C1286" s="342">
        <v>1000</v>
      </c>
      <c r="D1286" s="344">
        <v>8.9999999999999993E-3</v>
      </c>
    </row>
    <row r="1287" spans="1:4">
      <c r="A1287" t="s">
        <v>526</v>
      </c>
      <c r="B1287" t="s">
        <v>528</v>
      </c>
      <c r="C1287" s="343">
        <v>1000</v>
      </c>
      <c r="D1287" s="345">
        <v>8.9999999999999993E-3</v>
      </c>
    </row>
    <row r="1288" spans="1:4">
      <c r="A1288" t="s">
        <v>526</v>
      </c>
      <c r="B1288" t="s">
        <v>528</v>
      </c>
      <c r="C1288" s="342">
        <v>1000</v>
      </c>
      <c r="D1288" s="344">
        <v>8.9999999999999993E-3</v>
      </c>
    </row>
    <row r="1289" spans="1:4">
      <c r="A1289" t="s">
        <v>526</v>
      </c>
      <c r="B1289" t="s">
        <v>528</v>
      </c>
      <c r="C1289" s="343">
        <v>1000</v>
      </c>
      <c r="D1289" s="345">
        <v>8.9999999999999993E-3</v>
      </c>
    </row>
    <row r="1290" spans="1:4">
      <c r="A1290" t="s">
        <v>526</v>
      </c>
      <c r="B1290" t="s">
        <v>528</v>
      </c>
      <c r="C1290" s="342">
        <v>1000</v>
      </c>
      <c r="D1290" s="344">
        <v>8.9999999999999993E-3</v>
      </c>
    </row>
    <row r="1291" spans="1:4">
      <c r="A1291" t="s">
        <v>526</v>
      </c>
      <c r="B1291" t="s">
        <v>528</v>
      </c>
      <c r="C1291" s="343">
        <v>1000</v>
      </c>
      <c r="D1291" s="345">
        <v>8.9999999999999993E-3</v>
      </c>
    </row>
    <row r="1292" spans="1:4">
      <c r="A1292" t="s">
        <v>526</v>
      </c>
      <c r="B1292" t="s">
        <v>528</v>
      </c>
      <c r="C1292" s="342">
        <v>1000</v>
      </c>
      <c r="D1292" s="344">
        <v>8.9999999999999993E-3</v>
      </c>
    </row>
    <row r="1293" spans="1:4">
      <c r="A1293" t="s">
        <v>526</v>
      </c>
      <c r="B1293" t="s">
        <v>528</v>
      </c>
      <c r="C1293" s="343">
        <v>1000</v>
      </c>
      <c r="D1293" s="345">
        <v>8.9999999999999993E-3</v>
      </c>
    </row>
    <row r="1294" spans="1:4">
      <c r="A1294" t="s">
        <v>526</v>
      </c>
      <c r="B1294" t="s">
        <v>528</v>
      </c>
      <c r="C1294" s="342">
        <v>1000</v>
      </c>
      <c r="D1294" s="344">
        <v>8.9999999999999993E-3</v>
      </c>
    </row>
    <row r="1295" spans="1:4">
      <c r="A1295" t="s">
        <v>526</v>
      </c>
      <c r="B1295" t="s">
        <v>528</v>
      </c>
      <c r="C1295" s="343">
        <v>1000</v>
      </c>
      <c r="D1295" s="345">
        <v>8.9999999999999993E-3</v>
      </c>
    </row>
    <row r="1296" spans="1:4">
      <c r="A1296" t="s">
        <v>526</v>
      </c>
      <c r="B1296" t="s">
        <v>528</v>
      </c>
      <c r="C1296" s="342">
        <v>1000</v>
      </c>
      <c r="D1296" s="344">
        <v>8.9999999999999993E-3</v>
      </c>
    </row>
    <row r="1297" spans="1:4">
      <c r="A1297" t="s">
        <v>526</v>
      </c>
      <c r="B1297" t="s">
        <v>528</v>
      </c>
      <c r="C1297" s="343">
        <v>1000</v>
      </c>
      <c r="D1297" s="345">
        <v>8.9999999999999993E-3</v>
      </c>
    </row>
    <row r="1298" spans="1:4">
      <c r="A1298" t="s">
        <v>526</v>
      </c>
      <c r="B1298" t="s">
        <v>528</v>
      </c>
      <c r="C1298" s="342">
        <v>1000</v>
      </c>
      <c r="D1298" s="344">
        <v>8.9999999999999993E-3</v>
      </c>
    </row>
    <row r="1299" spans="1:4">
      <c r="A1299" t="s">
        <v>526</v>
      </c>
      <c r="B1299" t="s">
        <v>528</v>
      </c>
      <c r="C1299" s="343">
        <v>1000</v>
      </c>
      <c r="D1299" s="345">
        <v>8.9999999999999993E-3</v>
      </c>
    </row>
    <row r="1300" spans="1:4">
      <c r="A1300" t="s">
        <v>526</v>
      </c>
      <c r="B1300" t="s">
        <v>528</v>
      </c>
      <c r="C1300" s="342">
        <v>1000</v>
      </c>
      <c r="D1300" s="344">
        <v>8.9999999999999993E-3</v>
      </c>
    </row>
    <row r="1301" spans="1:4">
      <c r="A1301" t="s">
        <v>526</v>
      </c>
      <c r="B1301" t="s">
        <v>528</v>
      </c>
      <c r="C1301" s="343">
        <v>1000</v>
      </c>
      <c r="D1301" s="345">
        <v>8.9999999999999993E-3</v>
      </c>
    </row>
    <row r="1302" spans="1:4">
      <c r="A1302" t="s">
        <v>526</v>
      </c>
      <c r="B1302" t="s">
        <v>528</v>
      </c>
      <c r="C1302" s="342">
        <v>1000</v>
      </c>
      <c r="D1302" s="344">
        <v>8.9999999999999993E-3</v>
      </c>
    </row>
    <row r="1303" spans="1:4">
      <c r="A1303" t="s">
        <v>526</v>
      </c>
      <c r="B1303" t="s">
        <v>528</v>
      </c>
      <c r="C1303" s="343">
        <v>1000</v>
      </c>
      <c r="D1303" s="345">
        <v>8.9999999999999993E-3</v>
      </c>
    </row>
    <row r="1304" spans="1:4">
      <c r="A1304" t="s">
        <v>526</v>
      </c>
      <c r="B1304" t="s">
        <v>528</v>
      </c>
      <c r="C1304" s="342">
        <v>1000</v>
      </c>
      <c r="D1304" s="344">
        <v>8.9999999999999993E-3</v>
      </c>
    </row>
    <row r="1305" spans="1:4">
      <c r="A1305" t="s">
        <v>526</v>
      </c>
      <c r="B1305" t="s">
        <v>528</v>
      </c>
      <c r="C1305" s="343">
        <v>1000</v>
      </c>
      <c r="D1305" s="345">
        <v>8.9999999999999993E-3</v>
      </c>
    </row>
    <row r="1306" spans="1:4">
      <c r="A1306" t="s">
        <v>526</v>
      </c>
      <c r="B1306" t="s">
        <v>528</v>
      </c>
      <c r="C1306" s="342">
        <v>1000</v>
      </c>
      <c r="D1306" s="344">
        <v>8.9999999999999993E-3</v>
      </c>
    </row>
    <row r="1307" spans="1:4">
      <c r="A1307" t="s">
        <v>526</v>
      </c>
      <c r="B1307" t="s">
        <v>528</v>
      </c>
      <c r="C1307" s="343">
        <v>1000</v>
      </c>
      <c r="D1307" s="345">
        <v>8.9999999999999993E-3</v>
      </c>
    </row>
    <row r="1308" spans="1:4">
      <c r="A1308" t="s">
        <v>526</v>
      </c>
      <c r="B1308" t="s">
        <v>528</v>
      </c>
      <c r="C1308" s="342">
        <v>1000</v>
      </c>
      <c r="D1308" s="344">
        <v>8.9999999999999993E-3</v>
      </c>
    </row>
    <row r="1309" spans="1:4">
      <c r="A1309" t="s">
        <v>526</v>
      </c>
      <c r="B1309" t="s">
        <v>528</v>
      </c>
      <c r="C1309" s="343">
        <v>1000</v>
      </c>
      <c r="D1309" s="345">
        <v>8.9999999999999993E-3</v>
      </c>
    </row>
    <row r="1310" spans="1:4">
      <c r="A1310" t="s">
        <v>526</v>
      </c>
      <c r="B1310" t="s">
        <v>528</v>
      </c>
      <c r="C1310" s="342">
        <v>1000</v>
      </c>
      <c r="D1310" s="344">
        <v>8.9999999999999993E-3</v>
      </c>
    </row>
    <row r="1311" spans="1:4">
      <c r="A1311" t="s">
        <v>526</v>
      </c>
      <c r="B1311" t="s">
        <v>528</v>
      </c>
      <c r="C1311" s="343">
        <v>1000</v>
      </c>
      <c r="D1311" s="345">
        <v>8.9999999999999993E-3</v>
      </c>
    </row>
    <row r="1312" spans="1:4">
      <c r="A1312" t="s">
        <v>526</v>
      </c>
      <c r="B1312" t="s">
        <v>528</v>
      </c>
      <c r="C1312" s="342">
        <v>1000</v>
      </c>
      <c r="D1312" s="344">
        <v>8.9999999999999993E-3</v>
      </c>
    </row>
    <row r="1313" spans="1:4">
      <c r="A1313" t="s">
        <v>526</v>
      </c>
      <c r="B1313" t="s">
        <v>528</v>
      </c>
      <c r="C1313" s="343">
        <v>1400</v>
      </c>
      <c r="D1313" s="345">
        <v>1.2999999999999999E-2</v>
      </c>
    </row>
    <row r="1314" spans="1:4">
      <c r="A1314" t="s">
        <v>526</v>
      </c>
      <c r="B1314" t="s">
        <v>528</v>
      </c>
      <c r="C1314" s="342">
        <v>1400</v>
      </c>
      <c r="D1314" s="344">
        <v>1.2999999999999999E-2</v>
      </c>
    </row>
    <row r="1315" spans="1:4">
      <c r="A1315" t="s">
        <v>526</v>
      </c>
      <c r="B1315" t="s">
        <v>528</v>
      </c>
      <c r="C1315" s="343">
        <v>1400</v>
      </c>
      <c r="D1315" s="345">
        <v>1.2999999999999999E-2</v>
      </c>
    </row>
    <row r="1316" spans="1:4">
      <c r="A1316" t="s">
        <v>526</v>
      </c>
      <c r="B1316" t="s">
        <v>528</v>
      </c>
      <c r="C1316" s="342">
        <v>1400</v>
      </c>
      <c r="D1316" s="344">
        <v>1.2999999999999999E-2</v>
      </c>
    </row>
    <row r="1317" spans="1:4">
      <c r="A1317" t="s">
        <v>526</v>
      </c>
      <c r="B1317" t="s">
        <v>528</v>
      </c>
      <c r="C1317" s="343">
        <v>1400</v>
      </c>
      <c r="D1317" s="345">
        <v>1.2999999999999999E-2</v>
      </c>
    </row>
    <row r="1318" spans="1:4">
      <c r="A1318" t="s">
        <v>526</v>
      </c>
      <c r="B1318" t="s">
        <v>528</v>
      </c>
      <c r="C1318" s="342">
        <v>1400</v>
      </c>
      <c r="D1318" s="344">
        <v>1.2999999999999999E-2</v>
      </c>
    </row>
    <row r="1319" spans="1:4">
      <c r="A1319" t="s">
        <v>526</v>
      </c>
      <c r="B1319" t="s">
        <v>528</v>
      </c>
      <c r="C1319" s="343">
        <v>1400</v>
      </c>
      <c r="D1319" s="345">
        <v>1.2999999999999999E-2</v>
      </c>
    </row>
    <row r="1320" spans="1:4">
      <c r="A1320" t="s">
        <v>526</v>
      </c>
      <c r="B1320" t="s">
        <v>528</v>
      </c>
      <c r="C1320" s="342">
        <v>1400</v>
      </c>
      <c r="D1320" s="344">
        <v>1.2999999999999999E-2</v>
      </c>
    </row>
    <row r="1321" spans="1:4">
      <c r="A1321" t="s">
        <v>526</v>
      </c>
      <c r="B1321" t="s">
        <v>529</v>
      </c>
      <c r="C1321" s="343">
        <v>761</v>
      </c>
      <c r="D1321" s="345">
        <v>8.0000000000000002E-3</v>
      </c>
    </row>
    <row r="1322" spans="1:4">
      <c r="A1322" t="s">
        <v>526</v>
      </c>
      <c r="B1322" t="s">
        <v>529</v>
      </c>
      <c r="C1322" s="342">
        <v>761</v>
      </c>
      <c r="D1322" s="344">
        <v>8.0000000000000002E-3</v>
      </c>
    </row>
    <row r="1323" spans="1:4">
      <c r="A1323" t="s">
        <v>526</v>
      </c>
      <c r="B1323" t="s">
        <v>529</v>
      </c>
      <c r="C1323" s="343">
        <v>761</v>
      </c>
      <c r="D1323" s="345">
        <v>8.0000000000000002E-3</v>
      </c>
    </row>
    <row r="1324" spans="1:4">
      <c r="A1324" t="s">
        <v>526</v>
      </c>
      <c r="B1324" t="s">
        <v>529</v>
      </c>
      <c r="C1324" s="342">
        <v>761</v>
      </c>
      <c r="D1324" s="344">
        <v>8.0000000000000002E-3</v>
      </c>
    </row>
    <row r="1325" spans="1:4">
      <c r="A1325" t="s">
        <v>526</v>
      </c>
      <c r="B1325" t="s">
        <v>529</v>
      </c>
      <c r="C1325" s="343">
        <v>761</v>
      </c>
      <c r="D1325" s="345">
        <v>8.0000000000000002E-3</v>
      </c>
    </row>
    <row r="1326" spans="1:4">
      <c r="A1326" t="s">
        <v>526</v>
      </c>
      <c r="B1326" t="s">
        <v>529</v>
      </c>
      <c r="C1326" s="342">
        <v>761</v>
      </c>
      <c r="D1326" s="344">
        <v>8.0000000000000002E-3</v>
      </c>
    </row>
    <row r="1327" spans="1:4">
      <c r="A1327" t="s">
        <v>526</v>
      </c>
      <c r="B1327" t="s">
        <v>529</v>
      </c>
      <c r="C1327" s="343">
        <v>761</v>
      </c>
      <c r="D1327" s="345">
        <v>8.0000000000000002E-3</v>
      </c>
    </row>
    <row r="1328" spans="1:4">
      <c r="A1328" t="s">
        <v>526</v>
      </c>
      <c r="B1328" t="s">
        <v>529</v>
      </c>
      <c r="C1328" s="342">
        <v>761</v>
      </c>
      <c r="D1328" s="344">
        <v>8.0000000000000002E-3</v>
      </c>
    </row>
    <row r="1329" spans="1:4">
      <c r="A1329" t="s">
        <v>526</v>
      </c>
      <c r="B1329" t="s">
        <v>529</v>
      </c>
      <c r="C1329" s="343">
        <v>761</v>
      </c>
      <c r="D1329" s="345">
        <v>8.0000000000000002E-3</v>
      </c>
    </row>
    <row r="1330" spans="1:4">
      <c r="A1330" t="s">
        <v>526</v>
      </c>
      <c r="B1330" t="s">
        <v>529</v>
      </c>
      <c r="C1330" s="342">
        <v>761</v>
      </c>
      <c r="D1330" s="344">
        <v>8.0000000000000002E-3</v>
      </c>
    </row>
    <row r="1331" spans="1:4">
      <c r="A1331" t="s">
        <v>526</v>
      </c>
      <c r="B1331" t="s">
        <v>529</v>
      </c>
      <c r="C1331" s="343">
        <v>761</v>
      </c>
      <c r="D1331" s="345">
        <v>8.0000000000000002E-3</v>
      </c>
    </row>
    <row r="1332" spans="1:4">
      <c r="A1332" t="s">
        <v>526</v>
      </c>
      <c r="B1332" t="s">
        <v>529</v>
      </c>
      <c r="C1332" s="342">
        <v>761</v>
      </c>
      <c r="D1332" s="344">
        <v>8.0000000000000002E-3</v>
      </c>
    </row>
    <row r="1333" spans="1:4">
      <c r="A1333" t="s">
        <v>526</v>
      </c>
      <c r="B1333" t="s">
        <v>529</v>
      </c>
      <c r="C1333" s="343">
        <v>761</v>
      </c>
      <c r="D1333" s="345">
        <v>8.0000000000000002E-3</v>
      </c>
    </row>
    <row r="1334" spans="1:4">
      <c r="A1334" t="s">
        <v>526</v>
      </c>
      <c r="B1334" t="s">
        <v>529</v>
      </c>
      <c r="C1334" s="342">
        <v>761</v>
      </c>
      <c r="D1334" s="344">
        <v>8.0000000000000002E-3</v>
      </c>
    </row>
    <row r="1335" spans="1:4">
      <c r="A1335" t="s">
        <v>526</v>
      </c>
      <c r="B1335" t="s">
        <v>529</v>
      </c>
      <c r="C1335" s="343">
        <v>761</v>
      </c>
      <c r="D1335" s="345">
        <v>8.0000000000000002E-3</v>
      </c>
    </row>
    <row r="1336" spans="1:4">
      <c r="A1336" t="s">
        <v>526</v>
      </c>
      <c r="B1336" t="s">
        <v>529</v>
      </c>
      <c r="C1336" s="342">
        <v>1185</v>
      </c>
      <c r="D1336" s="344">
        <v>1.2999999999999999E-2</v>
      </c>
    </row>
    <row r="1337" spans="1:4">
      <c r="A1337" t="s">
        <v>526</v>
      </c>
      <c r="B1337" t="s">
        <v>529</v>
      </c>
      <c r="C1337" s="343">
        <v>1185</v>
      </c>
      <c r="D1337" s="345">
        <v>1.2999999999999999E-2</v>
      </c>
    </row>
    <row r="1338" spans="1:4">
      <c r="A1338" t="s">
        <v>526</v>
      </c>
      <c r="B1338" t="s">
        <v>529</v>
      </c>
      <c r="C1338" s="342">
        <v>597</v>
      </c>
      <c r="D1338" s="344">
        <v>6.0000000000000001E-3</v>
      </c>
    </row>
    <row r="1339" spans="1:4">
      <c r="A1339" t="s">
        <v>526</v>
      </c>
      <c r="B1339" t="s">
        <v>529</v>
      </c>
      <c r="C1339" s="343">
        <v>780</v>
      </c>
      <c r="D1339" s="345">
        <v>8.9999999999999993E-3</v>
      </c>
    </row>
    <row r="1340" spans="1:4">
      <c r="A1340" t="s">
        <v>526</v>
      </c>
      <c r="B1340" t="s">
        <v>529</v>
      </c>
      <c r="C1340" s="342">
        <v>780</v>
      </c>
      <c r="D1340" s="344">
        <v>8.9999999999999993E-3</v>
      </c>
    </row>
    <row r="1341" spans="1:4">
      <c r="A1341" t="s">
        <v>526</v>
      </c>
      <c r="B1341" t="s">
        <v>529</v>
      </c>
      <c r="C1341" s="343">
        <v>784</v>
      </c>
      <c r="D1341" s="345">
        <v>8.9999999999999993E-3</v>
      </c>
    </row>
    <row r="1342" spans="1:4">
      <c r="A1342" t="s">
        <v>526</v>
      </c>
      <c r="B1342" t="s">
        <v>529</v>
      </c>
      <c r="C1342" s="342">
        <v>784</v>
      </c>
      <c r="D1342" s="344">
        <v>8.9999999999999993E-3</v>
      </c>
    </row>
    <row r="1343" spans="1:4">
      <c r="A1343" t="s">
        <v>526</v>
      </c>
      <c r="B1343" t="s">
        <v>529</v>
      </c>
      <c r="C1343" s="343">
        <v>784</v>
      </c>
      <c r="D1343" s="345">
        <v>8.9999999999999993E-3</v>
      </c>
    </row>
    <row r="1344" spans="1:4">
      <c r="A1344" t="s">
        <v>526</v>
      </c>
      <c r="B1344" t="s">
        <v>529</v>
      </c>
      <c r="C1344" s="342">
        <v>784</v>
      </c>
      <c r="D1344" s="344">
        <v>8.9999999999999993E-3</v>
      </c>
    </row>
    <row r="1345" spans="1:4">
      <c r="A1345" t="s">
        <v>526</v>
      </c>
      <c r="B1345" t="s">
        <v>529</v>
      </c>
      <c r="C1345" s="343">
        <v>784</v>
      </c>
      <c r="D1345" s="345">
        <v>8.9999999999999993E-3</v>
      </c>
    </row>
    <row r="1346" spans="1:4">
      <c r="A1346" t="s">
        <v>526</v>
      </c>
      <c r="B1346" t="s">
        <v>529</v>
      </c>
      <c r="C1346" s="342">
        <v>784</v>
      </c>
      <c r="D1346" s="344">
        <v>8.9999999999999993E-3</v>
      </c>
    </row>
    <row r="1347" spans="1:4">
      <c r="A1347" t="s">
        <v>526</v>
      </c>
      <c r="B1347" t="s">
        <v>529</v>
      </c>
      <c r="C1347" s="343">
        <v>784</v>
      </c>
      <c r="D1347" s="345">
        <v>8.9999999999999993E-3</v>
      </c>
    </row>
    <row r="1348" spans="1:4">
      <c r="A1348" t="s">
        <v>526</v>
      </c>
      <c r="B1348" t="s">
        <v>529</v>
      </c>
      <c r="C1348" s="342">
        <v>784</v>
      </c>
      <c r="D1348" s="344">
        <v>8.9999999999999993E-3</v>
      </c>
    </row>
    <row r="1349" spans="1:4">
      <c r="A1349" t="s">
        <v>526</v>
      </c>
      <c r="B1349" t="s">
        <v>529</v>
      </c>
      <c r="C1349" s="343">
        <v>1196</v>
      </c>
      <c r="D1349" s="345">
        <v>1.2999999999999999E-2</v>
      </c>
    </row>
    <row r="1350" spans="1:4">
      <c r="A1350" t="s">
        <v>526</v>
      </c>
      <c r="B1350" t="s">
        <v>529</v>
      </c>
      <c r="C1350" s="342">
        <v>1196</v>
      </c>
      <c r="D1350" s="344">
        <v>1.2999999999999999E-2</v>
      </c>
    </row>
    <row r="1351" spans="1:4">
      <c r="A1351" t="s">
        <v>526</v>
      </c>
      <c r="B1351" t="s">
        <v>529</v>
      </c>
      <c r="C1351" s="343">
        <v>1185</v>
      </c>
      <c r="D1351" s="345">
        <v>1.2999999999999999E-2</v>
      </c>
    </row>
    <row r="1352" spans="1:4">
      <c r="A1352" t="s">
        <v>526</v>
      </c>
      <c r="B1352" t="s">
        <v>529</v>
      </c>
      <c r="C1352" s="342">
        <v>1185</v>
      </c>
      <c r="D1352" s="344">
        <v>1.2999999999999999E-2</v>
      </c>
    </row>
    <row r="1353" spans="1:4">
      <c r="A1353" t="s">
        <v>526</v>
      </c>
      <c r="B1353" t="s">
        <v>529</v>
      </c>
      <c r="C1353" s="343">
        <v>761</v>
      </c>
      <c r="D1353" s="345">
        <v>8.0000000000000002E-3</v>
      </c>
    </row>
    <row r="1354" spans="1:4">
      <c r="A1354" t="s">
        <v>526</v>
      </c>
      <c r="B1354" t="s">
        <v>529</v>
      </c>
      <c r="C1354" s="342">
        <v>1196</v>
      </c>
      <c r="D1354" s="344">
        <v>1.2999999999999999E-2</v>
      </c>
    </row>
    <row r="1355" spans="1:4">
      <c r="A1355" t="s">
        <v>526</v>
      </c>
      <c r="B1355" t="s">
        <v>529</v>
      </c>
      <c r="C1355" s="343">
        <v>1196</v>
      </c>
      <c r="D1355" s="345">
        <v>1.2999999999999999E-2</v>
      </c>
    </row>
    <row r="1356" spans="1:4">
      <c r="A1356" t="s">
        <v>526</v>
      </c>
      <c r="B1356" t="s">
        <v>529</v>
      </c>
      <c r="C1356" s="342">
        <v>597</v>
      </c>
      <c r="D1356" s="344">
        <v>6.0000000000000001E-3</v>
      </c>
    </row>
    <row r="1357" spans="1:4">
      <c r="A1357" t="s">
        <v>526</v>
      </c>
      <c r="B1357" t="s">
        <v>529</v>
      </c>
      <c r="C1357" s="343">
        <v>679</v>
      </c>
      <c r="D1357" s="345">
        <v>7.0000000000000001E-3</v>
      </c>
    </row>
    <row r="1358" spans="1:4">
      <c r="A1358" t="s">
        <v>531</v>
      </c>
      <c r="B1358" t="s">
        <v>532</v>
      </c>
      <c r="C1358" s="342">
        <v>140</v>
      </c>
      <c r="D1358" s="344">
        <v>2E-3</v>
      </c>
    </row>
    <row r="1359" spans="1:4">
      <c r="A1359" t="s">
        <v>531</v>
      </c>
      <c r="B1359" t="s">
        <v>532</v>
      </c>
      <c r="C1359" s="343">
        <v>140</v>
      </c>
      <c r="D1359" s="345">
        <v>2E-3</v>
      </c>
    </row>
    <row r="1360" spans="1:4">
      <c r="A1360" t="s">
        <v>531</v>
      </c>
      <c r="B1360" t="s">
        <v>532</v>
      </c>
      <c r="C1360" s="342">
        <v>140</v>
      </c>
      <c r="D1360" s="344">
        <v>2E-3</v>
      </c>
    </row>
    <row r="1361" spans="1:4">
      <c r="A1361" t="s">
        <v>531</v>
      </c>
      <c r="B1361" t="s">
        <v>532</v>
      </c>
      <c r="C1361" s="343">
        <v>140</v>
      </c>
      <c r="D1361" s="345">
        <v>2E-3</v>
      </c>
    </row>
    <row r="1362" spans="1:4">
      <c r="A1362" t="s">
        <v>531</v>
      </c>
      <c r="B1362" t="s">
        <v>532</v>
      </c>
      <c r="C1362" s="342">
        <v>140</v>
      </c>
      <c r="D1362" s="344">
        <v>2E-3</v>
      </c>
    </row>
    <row r="1363" spans="1:4">
      <c r="A1363" t="s">
        <v>531</v>
      </c>
      <c r="B1363" t="s">
        <v>532</v>
      </c>
      <c r="C1363" s="343">
        <v>140</v>
      </c>
      <c r="D1363" s="345">
        <v>2E-3</v>
      </c>
    </row>
    <row r="1364" spans="1:4">
      <c r="A1364" t="s">
        <v>531</v>
      </c>
      <c r="B1364" t="s">
        <v>532</v>
      </c>
      <c r="C1364" s="342">
        <v>140</v>
      </c>
      <c r="D1364" s="344">
        <v>2E-3</v>
      </c>
    </row>
    <row r="1365" spans="1:4">
      <c r="A1365" t="s">
        <v>531</v>
      </c>
      <c r="B1365" t="s">
        <v>532</v>
      </c>
      <c r="C1365" s="343">
        <v>140</v>
      </c>
      <c r="D1365" s="345">
        <v>2E-3</v>
      </c>
    </row>
    <row r="1366" spans="1:4">
      <c r="A1366" t="s">
        <v>531</v>
      </c>
      <c r="B1366" t="s">
        <v>532</v>
      </c>
      <c r="C1366" s="342">
        <v>140</v>
      </c>
      <c r="D1366" s="344">
        <v>2E-3</v>
      </c>
    </row>
    <row r="1367" spans="1:4">
      <c r="A1367" t="s">
        <v>531</v>
      </c>
      <c r="B1367" t="s">
        <v>532</v>
      </c>
      <c r="C1367" s="343">
        <v>140</v>
      </c>
      <c r="D1367" s="345">
        <v>2E-3</v>
      </c>
    </row>
    <row r="1368" spans="1:4">
      <c r="A1368" t="s">
        <v>531</v>
      </c>
      <c r="B1368" t="s">
        <v>532</v>
      </c>
      <c r="C1368" s="342">
        <v>140</v>
      </c>
      <c r="D1368" s="344">
        <v>2E-3</v>
      </c>
    </row>
    <row r="1369" spans="1:4">
      <c r="A1369" t="s">
        <v>531</v>
      </c>
      <c r="B1369" t="s">
        <v>532</v>
      </c>
      <c r="C1369" s="343">
        <v>140</v>
      </c>
      <c r="D1369" s="345">
        <v>2E-3</v>
      </c>
    </row>
    <row r="1370" spans="1:4">
      <c r="A1370" t="s">
        <v>531</v>
      </c>
      <c r="B1370" t="s">
        <v>532</v>
      </c>
      <c r="C1370" s="342">
        <v>140</v>
      </c>
      <c r="D1370" s="344">
        <v>2E-3</v>
      </c>
    </row>
    <row r="1371" spans="1:4">
      <c r="A1371" t="s">
        <v>531</v>
      </c>
      <c r="B1371" t="s">
        <v>532</v>
      </c>
      <c r="C1371" s="343">
        <v>140</v>
      </c>
      <c r="D1371" s="345">
        <v>2E-3</v>
      </c>
    </row>
    <row r="1372" spans="1:4">
      <c r="A1372" t="s">
        <v>531</v>
      </c>
      <c r="B1372" t="s">
        <v>532</v>
      </c>
      <c r="C1372" s="342">
        <v>140</v>
      </c>
      <c r="D1372" s="344">
        <v>2E-3</v>
      </c>
    </row>
    <row r="1373" spans="1:4">
      <c r="A1373" t="s">
        <v>531</v>
      </c>
      <c r="B1373" t="s">
        <v>532</v>
      </c>
      <c r="C1373" s="343">
        <v>140</v>
      </c>
      <c r="D1373" s="345">
        <v>2E-3</v>
      </c>
    </row>
    <row r="1374" spans="1:4">
      <c r="A1374" t="s">
        <v>531</v>
      </c>
      <c r="B1374" t="s">
        <v>532</v>
      </c>
      <c r="C1374" s="342">
        <v>140</v>
      </c>
      <c r="D1374" s="344">
        <v>2E-3</v>
      </c>
    </row>
    <row r="1375" spans="1:4">
      <c r="A1375" t="s">
        <v>531</v>
      </c>
      <c r="B1375" t="s">
        <v>532</v>
      </c>
      <c r="C1375" s="343">
        <v>140</v>
      </c>
      <c r="D1375" s="345">
        <v>2E-3</v>
      </c>
    </row>
    <row r="1376" spans="1:4">
      <c r="A1376" t="s">
        <v>531</v>
      </c>
      <c r="B1376" t="s">
        <v>532</v>
      </c>
      <c r="C1376" s="342">
        <v>140</v>
      </c>
      <c r="D1376" s="344">
        <v>2E-3</v>
      </c>
    </row>
    <row r="1377" spans="1:4">
      <c r="A1377" t="s">
        <v>531</v>
      </c>
      <c r="B1377" t="s">
        <v>532</v>
      </c>
      <c r="C1377" s="343">
        <v>140</v>
      </c>
      <c r="D1377" s="345">
        <v>2E-3</v>
      </c>
    </row>
    <row r="1378" spans="1:4">
      <c r="A1378" t="s">
        <v>531</v>
      </c>
      <c r="B1378" t="s">
        <v>532</v>
      </c>
      <c r="C1378" s="342">
        <v>140</v>
      </c>
      <c r="D1378" s="344">
        <v>2E-3</v>
      </c>
    </row>
    <row r="1379" spans="1:4">
      <c r="A1379" t="s">
        <v>531</v>
      </c>
      <c r="B1379" t="s">
        <v>532</v>
      </c>
      <c r="C1379" s="343">
        <v>140</v>
      </c>
      <c r="D1379" s="345">
        <v>2E-3</v>
      </c>
    </row>
    <row r="1380" spans="1:4">
      <c r="A1380" t="s">
        <v>531</v>
      </c>
      <c r="B1380" t="s">
        <v>532</v>
      </c>
      <c r="C1380" s="342">
        <v>140</v>
      </c>
      <c r="D1380" s="344">
        <v>2E-3</v>
      </c>
    </row>
    <row r="1381" spans="1:4">
      <c r="A1381" t="s">
        <v>531</v>
      </c>
      <c r="B1381" t="s">
        <v>532</v>
      </c>
      <c r="C1381" s="343">
        <v>140</v>
      </c>
      <c r="D1381" s="345">
        <v>2E-3</v>
      </c>
    </row>
    <row r="1382" spans="1:4">
      <c r="A1382" t="s">
        <v>531</v>
      </c>
      <c r="B1382" t="s">
        <v>532</v>
      </c>
      <c r="C1382" s="342">
        <v>140</v>
      </c>
      <c r="D1382" s="344">
        <v>2E-3</v>
      </c>
    </row>
    <row r="1383" spans="1:4">
      <c r="A1383" t="s">
        <v>531</v>
      </c>
      <c r="B1383" t="s">
        <v>532</v>
      </c>
      <c r="C1383" s="343">
        <v>140</v>
      </c>
      <c r="D1383" s="345">
        <v>2E-3</v>
      </c>
    </row>
    <row r="1384" spans="1:4">
      <c r="A1384" t="s">
        <v>531</v>
      </c>
      <c r="B1384" t="s">
        <v>532</v>
      </c>
      <c r="C1384" s="342">
        <v>140</v>
      </c>
      <c r="D1384" s="344">
        <v>2E-3</v>
      </c>
    </row>
    <row r="1385" spans="1:4">
      <c r="A1385" t="s">
        <v>531</v>
      </c>
      <c r="B1385" t="s">
        <v>532</v>
      </c>
      <c r="C1385" s="343">
        <v>140</v>
      </c>
      <c r="D1385" s="345">
        <v>2E-3</v>
      </c>
    </row>
    <row r="1386" spans="1:4">
      <c r="A1386" t="s">
        <v>531</v>
      </c>
      <c r="B1386" t="s">
        <v>532</v>
      </c>
      <c r="C1386" s="342">
        <v>140</v>
      </c>
      <c r="D1386" s="344">
        <v>2E-3</v>
      </c>
    </row>
    <row r="1387" spans="1:4">
      <c r="A1387" t="s">
        <v>531</v>
      </c>
      <c r="B1387" t="s">
        <v>532</v>
      </c>
      <c r="C1387" s="343">
        <v>140</v>
      </c>
      <c r="D1387" s="345">
        <v>2E-3</v>
      </c>
    </row>
    <row r="1388" spans="1:4">
      <c r="A1388" t="s">
        <v>531</v>
      </c>
      <c r="B1388" t="s">
        <v>532</v>
      </c>
      <c r="C1388" s="342">
        <v>140</v>
      </c>
      <c r="D1388" s="344">
        <v>2E-3</v>
      </c>
    </row>
    <row r="1389" spans="1:4">
      <c r="A1389" t="s">
        <v>531</v>
      </c>
      <c r="B1389" t="s">
        <v>532</v>
      </c>
      <c r="C1389" s="343">
        <v>140</v>
      </c>
      <c r="D1389" s="345">
        <v>2E-3</v>
      </c>
    </row>
    <row r="1390" spans="1:4">
      <c r="A1390" t="s">
        <v>531</v>
      </c>
      <c r="B1390" t="s">
        <v>532</v>
      </c>
      <c r="C1390" s="342">
        <v>140</v>
      </c>
      <c r="D1390" s="344">
        <v>2E-3</v>
      </c>
    </row>
    <row r="1391" spans="1:4">
      <c r="A1391" t="s">
        <v>531</v>
      </c>
      <c r="B1391" t="s">
        <v>532</v>
      </c>
      <c r="C1391" s="343">
        <v>140</v>
      </c>
      <c r="D1391" s="345">
        <v>2E-3</v>
      </c>
    </row>
    <row r="1392" spans="1:4">
      <c r="A1392" t="s">
        <v>531</v>
      </c>
      <c r="B1392" t="s">
        <v>532</v>
      </c>
      <c r="C1392" s="342">
        <v>140</v>
      </c>
      <c r="D1392" s="344">
        <v>2E-3</v>
      </c>
    </row>
    <row r="1393" spans="1:4">
      <c r="A1393" t="s">
        <v>533</v>
      </c>
      <c r="B1393" t="s">
        <v>543</v>
      </c>
      <c r="C1393" s="343">
        <v>211</v>
      </c>
      <c r="D1393" s="345">
        <v>1E-3</v>
      </c>
    </row>
    <row r="1394" spans="1:4">
      <c r="A1394" t="s">
        <v>533</v>
      </c>
      <c r="B1394" t="s">
        <v>543</v>
      </c>
      <c r="C1394" s="342">
        <v>211</v>
      </c>
      <c r="D1394" s="344">
        <v>1E-3</v>
      </c>
    </row>
    <row r="1395" spans="1:4">
      <c r="A1395" t="s">
        <v>533</v>
      </c>
      <c r="B1395" t="s">
        <v>543</v>
      </c>
      <c r="C1395" s="343">
        <v>211</v>
      </c>
      <c r="D1395" s="345">
        <v>1E-3</v>
      </c>
    </row>
    <row r="1396" spans="1:4">
      <c r="A1396" t="s">
        <v>533</v>
      </c>
      <c r="B1396" t="s">
        <v>543</v>
      </c>
      <c r="C1396" s="342">
        <v>211</v>
      </c>
      <c r="D1396" s="344">
        <v>1E-3</v>
      </c>
    </row>
    <row r="1397" spans="1:4">
      <c r="A1397" t="s">
        <v>533</v>
      </c>
      <c r="B1397" t="s">
        <v>543</v>
      </c>
      <c r="C1397" s="343">
        <v>201</v>
      </c>
      <c r="D1397" s="345">
        <v>1E-3</v>
      </c>
    </row>
    <row r="1398" spans="1:4">
      <c r="A1398" t="s">
        <v>533</v>
      </c>
      <c r="B1398" t="s">
        <v>543</v>
      </c>
      <c r="C1398" s="342">
        <v>211</v>
      </c>
      <c r="D1398" s="344">
        <v>1E-3</v>
      </c>
    </row>
    <row r="1399" spans="1:4">
      <c r="A1399" t="s">
        <v>533</v>
      </c>
      <c r="B1399" t="s">
        <v>543</v>
      </c>
      <c r="C1399" s="343">
        <v>201</v>
      </c>
      <c r="D1399" s="345">
        <v>1E-3</v>
      </c>
    </row>
    <row r="1400" spans="1:4">
      <c r="A1400" t="s">
        <v>533</v>
      </c>
      <c r="B1400" t="s">
        <v>543</v>
      </c>
      <c r="C1400" s="342">
        <v>211</v>
      </c>
      <c r="D1400" s="344">
        <v>1E-3</v>
      </c>
    </row>
    <row r="1401" spans="1:4">
      <c r="A1401" t="s">
        <v>533</v>
      </c>
      <c r="B1401" t="s">
        <v>543</v>
      </c>
      <c r="C1401" s="343">
        <v>211</v>
      </c>
      <c r="D1401" s="345">
        <v>1E-3</v>
      </c>
    </row>
    <row r="1402" spans="1:4">
      <c r="A1402" t="s">
        <v>533</v>
      </c>
      <c r="B1402" t="s">
        <v>543</v>
      </c>
      <c r="C1402" s="342">
        <v>211</v>
      </c>
      <c r="D1402" s="344">
        <v>1E-3</v>
      </c>
    </row>
    <row r="1403" spans="1:4">
      <c r="A1403" t="s">
        <v>533</v>
      </c>
      <c r="B1403" t="s">
        <v>543</v>
      </c>
      <c r="C1403" s="343">
        <v>211</v>
      </c>
      <c r="D1403" s="345">
        <v>1E-3</v>
      </c>
    </row>
    <row r="1404" spans="1:4">
      <c r="A1404" t="s">
        <v>533</v>
      </c>
      <c r="B1404" t="s">
        <v>543</v>
      </c>
      <c r="C1404" s="342">
        <v>211</v>
      </c>
      <c r="D1404" s="344">
        <v>1E-3</v>
      </c>
    </row>
    <row r="1405" spans="1:4">
      <c r="A1405" t="s">
        <v>533</v>
      </c>
      <c r="B1405" t="s">
        <v>543</v>
      </c>
      <c r="C1405" s="343">
        <v>211</v>
      </c>
      <c r="D1405" s="345">
        <v>1E-3</v>
      </c>
    </row>
    <row r="1406" spans="1:4">
      <c r="A1406" t="s">
        <v>533</v>
      </c>
      <c r="B1406" t="s">
        <v>543</v>
      </c>
      <c r="C1406" s="342">
        <v>211</v>
      </c>
      <c r="D1406" s="344">
        <v>1E-3</v>
      </c>
    </row>
    <row r="1407" spans="1:4">
      <c r="A1407" t="s">
        <v>533</v>
      </c>
      <c r="B1407" t="s">
        <v>535</v>
      </c>
      <c r="C1407" s="343">
        <v>250</v>
      </c>
      <c r="D1407" s="345">
        <v>3.0000000000000001E-3</v>
      </c>
    </row>
    <row r="1408" spans="1:4">
      <c r="A1408" t="s">
        <v>533</v>
      </c>
      <c r="B1408" t="s">
        <v>543</v>
      </c>
      <c r="C1408" s="342">
        <v>211</v>
      </c>
      <c r="D1408" s="344">
        <v>1E-3</v>
      </c>
    </row>
    <row r="1409" spans="1:4">
      <c r="A1409" t="s">
        <v>533</v>
      </c>
      <c r="B1409" t="s">
        <v>543</v>
      </c>
      <c r="C1409" s="343">
        <v>211</v>
      </c>
      <c r="D1409" s="345">
        <v>1E-3</v>
      </c>
    </row>
    <row r="1410" spans="1:4">
      <c r="A1410" t="s">
        <v>533</v>
      </c>
      <c r="B1410" t="s">
        <v>543</v>
      </c>
      <c r="C1410" s="342">
        <v>211</v>
      </c>
      <c r="D1410" s="344">
        <v>1E-3</v>
      </c>
    </row>
    <row r="1411" spans="1:4">
      <c r="A1411" t="s">
        <v>533</v>
      </c>
      <c r="B1411" t="s">
        <v>543</v>
      </c>
      <c r="C1411" s="343">
        <v>211</v>
      </c>
      <c r="D1411" s="345">
        <v>1E-3</v>
      </c>
    </row>
    <row r="1412" spans="1:4">
      <c r="A1412" t="s">
        <v>533</v>
      </c>
      <c r="B1412" t="s">
        <v>543</v>
      </c>
      <c r="C1412" s="342">
        <v>211</v>
      </c>
      <c r="D1412" s="344">
        <v>1E-3</v>
      </c>
    </row>
    <row r="1413" spans="1:4">
      <c r="A1413" t="s">
        <v>533</v>
      </c>
      <c r="B1413" t="s">
        <v>543</v>
      </c>
      <c r="C1413" s="343">
        <v>211</v>
      </c>
      <c r="D1413" s="345">
        <v>1E-3</v>
      </c>
    </row>
    <row r="1414" spans="1:4">
      <c r="A1414" t="s">
        <v>533</v>
      </c>
      <c r="B1414" t="s">
        <v>543</v>
      </c>
      <c r="C1414" s="342">
        <v>211</v>
      </c>
      <c r="D1414" s="344">
        <v>1E-3</v>
      </c>
    </row>
    <row r="1415" spans="1:4">
      <c r="A1415" t="s">
        <v>533</v>
      </c>
      <c r="B1415" t="s">
        <v>543</v>
      </c>
      <c r="C1415" s="343">
        <v>211</v>
      </c>
      <c r="D1415" s="345">
        <v>1E-3</v>
      </c>
    </row>
    <row r="1416" spans="1:4">
      <c r="A1416" t="s">
        <v>533</v>
      </c>
      <c r="B1416" t="s">
        <v>543</v>
      </c>
      <c r="C1416" s="342">
        <v>201</v>
      </c>
      <c r="D1416" s="344">
        <v>1E-3</v>
      </c>
    </row>
    <row r="1417" spans="1:4">
      <c r="A1417" t="s">
        <v>533</v>
      </c>
      <c r="B1417" t="s">
        <v>543</v>
      </c>
      <c r="C1417" s="343">
        <v>201</v>
      </c>
      <c r="D1417" s="345">
        <v>1E-3</v>
      </c>
    </row>
    <row r="1418" spans="1:4">
      <c r="A1418" t="s">
        <v>533</v>
      </c>
      <c r="B1418" t="s">
        <v>543</v>
      </c>
      <c r="C1418" s="342">
        <v>201</v>
      </c>
      <c r="D1418" s="344">
        <v>1E-3</v>
      </c>
    </row>
    <row r="1419" spans="1:4">
      <c r="A1419" t="s">
        <v>533</v>
      </c>
      <c r="B1419" t="s">
        <v>543</v>
      </c>
      <c r="C1419" s="343">
        <v>201</v>
      </c>
      <c r="D1419" s="345">
        <v>1E-3</v>
      </c>
    </row>
    <row r="1420" spans="1:4">
      <c r="A1420" t="s">
        <v>533</v>
      </c>
      <c r="B1420" t="s">
        <v>543</v>
      </c>
      <c r="C1420" s="342">
        <v>211</v>
      </c>
      <c r="D1420" s="344">
        <v>1E-3</v>
      </c>
    </row>
    <row r="1421" spans="1:4">
      <c r="A1421" t="s">
        <v>533</v>
      </c>
      <c r="B1421" t="s">
        <v>543</v>
      </c>
      <c r="C1421" s="343">
        <v>211</v>
      </c>
      <c r="D1421" s="345">
        <v>1E-3</v>
      </c>
    </row>
    <row r="1422" spans="1:4">
      <c r="A1422" t="s">
        <v>533</v>
      </c>
      <c r="B1422" t="s">
        <v>543</v>
      </c>
      <c r="C1422" s="342">
        <v>201</v>
      </c>
      <c r="D1422" s="344">
        <v>1E-3</v>
      </c>
    </row>
    <row r="1423" spans="1:4">
      <c r="A1423" t="s">
        <v>533</v>
      </c>
      <c r="B1423" t="s">
        <v>543</v>
      </c>
      <c r="C1423" s="343">
        <v>201</v>
      </c>
      <c r="D1423" s="345">
        <v>1E-3</v>
      </c>
    </row>
    <row r="1424" spans="1:4">
      <c r="A1424" t="s">
        <v>533</v>
      </c>
      <c r="B1424" t="s">
        <v>543</v>
      </c>
      <c r="C1424" s="342">
        <v>201</v>
      </c>
      <c r="D1424" s="344">
        <v>1E-3</v>
      </c>
    </row>
    <row r="1425" spans="1:4">
      <c r="A1425" t="s">
        <v>533</v>
      </c>
      <c r="B1425" t="s">
        <v>543</v>
      </c>
      <c r="C1425" s="343">
        <v>211</v>
      </c>
      <c r="D1425" s="345">
        <v>1E-3</v>
      </c>
    </row>
    <row r="1426" spans="1:4">
      <c r="A1426" t="s">
        <v>533</v>
      </c>
      <c r="B1426" t="s">
        <v>543</v>
      </c>
      <c r="C1426" s="342">
        <v>201</v>
      </c>
      <c r="D1426" s="344">
        <v>1E-3</v>
      </c>
    </row>
    <row r="1427" spans="1:4">
      <c r="A1427" t="s">
        <v>533</v>
      </c>
      <c r="B1427" t="s">
        <v>543</v>
      </c>
      <c r="C1427" s="343">
        <v>211</v>
      </c>
      <c r="D1427" s="345">
        <v>1E-3</v>
      </c>
    </row>
    <row r="1428" spans="1:4">
      <c r="A1428" t="s">
        <v>533</v>
      </c>
      <c r="B1428" t="s">
        <v>543</v>
      </c>
      <c r="C1428" s="342">
        <v>211</v>
      </c>
      <c r="D1428" s="344">
        <v>1E-3</v>
      </c>
    </row>
    <row r="1429" spans="1:4">
      <c r="A1429" t="s">
        <v>533</v>
      </c>
      <c r="B1429" t="s">
        <v>543</v>
      </c>
      <c r="C1429" s="343">
        <v>201</v>
      </c>
      <c r="D1429" s="345">
        <v>1E-3</v>
      </c>
    </row>
    <row r="1430" spans="1:4">
      <c r="A1430" t="s">
        <v>533</v>
      </c>
      <c r="B1430" t="s">
        <v>543</v>
      </c>
      <c r="C1430" s="342">
        <v>211</v>
      </c>
      <c r="D1430" s="344">
        <v>1E-3</v>
      </c>
    </row>
    <row r="1431" spans="1:4">
      <c r="A1431" t="s">
        <v>533</v>
      </c>
      <c r="B1431" t="s">
        <v>543</v>
      </c>
      <c r="C1431" s="343">
        <v>201</v>
      </c>
      <c r="D1431" s="345">
        <v>1E-3</v>
      </c>
    </row>
    <row r="1432" spans="1:4">
      <c r="A1432" t="s">
        <v>533</v>
      </c>
      <c r="B1432" t="s">
        <v>477</v>
      </c>
      <c r="C1432" s="342">
        <v>140</v>
      </c>
      <c r="D1432" s="344">
        <v>2E-3</v>
      </c>
    </row>
    <row r="1433" spans="1:4">
      <c r="A1433" t="s">
        <v>533</v>
      </c>
      <c r="B1433" t="s">
        <v>477</v>
      </c>
      <c r="C1433" s="343">
        <v>140</v>
      </c>
      <c r="D1433" s="345">
        <v>2E-3</v>
      </c>
    </row>
    <row r="1434" spans="1:4">
      <c r="A1434" t="s">
        <v>533</v>
      </c>
      <c r="B1434" t="s">
        <v>551</v>
      </c>
      <c r="C1434" s="342">
        <v>211</v>
      </c>
      <c r="D1434" s="344">
        <v>4.0000000000000001E-3</v>
      </c>
    </row>
    <row r="1435" spans="1:4">
      <c r="A1435" t="s">
        <v>533</v>
      </c>
      <c r="B1435" t="s">
        <v>517</v>
      </c>
      <c r="C1435" s="343">
        <v>90</v>
      </c>
      <c r="D1435" s="345">
        <v>0</v>
      </c>
    </row>
    <row r="1436" spans="1:4">
      <c r="A1436" t="s">
        <v>533</v>
      </c>
      <c r="B1436" t="s">
        <v>517</v>
      </c>
      <c r="C1436" s="342">
        <v>90</v>
      </c>
      <c r="D1436" s="344">
        <v>0</v>
      </c>
    </row>
    <row r="1437" spans="1:4">
      <c r="A1437" t="s">
        <v>533</v>
      </c>
      <c r="B1437" t="s">
        <v>517</v>
      </c>
      <c r="C1437" s="343">
        <v>90</v>
      </c>
      <c r="D1437" s="345">
        <v>0</v>
      </c>
    </row>
    <row r="1438" spans="1:4">
      <c r="A1438" t="s">
        <v>533</v>
      </c>
      <c r="B1438" t="s">
        <v>517</v>
      </c>
      <c r="C1438" s="342">
        <v>90</v>
      </c>
      <c r="D1438" s="344">
        <v>0</v>
      </c>
    </row>
    <row r="1439" spans="1:4">
      <c r="A1439" t="s">
        <v>533</v>
      </c>
      <c r="B1439" t="s">
        <v>517</v>
      </c>
      <c r="C1439" s="343">
        <v>90</v>
      </c>
      <c r="D1439" s="345">
        <v>0</v>
      </c>
    </row>
    <row r="1440" spans="1:4">
      <c r="A1440" t="s">
        <v>533</v>
      </c>
      <c r="B1440" t="s">
        <v>517</v>
      </c>
      <c r="C1440" s="342">
        <v>90</v>
      </c>
      <c r="D1440" s="344">
        <v>0</v>
      </c>
    </row>
    <row r="1441" spans="1:4">
      <c r="A1441" t="s">
        <v>533</v>
      </c>
      <c r="B1441" t="s">
        <v>517</v>
      </c>
      <c r="C1441" s="343">
        <v>90</v>
      </c>
      <c r="D1441" s="345">
        <v>0</v>
      </c>
    </row>
    <row r="1442" spans="1:4">
      <c r="A1442" t="s">
        <v>533</v>
      </c>
      <c r="B1442" t="s">
        <v>517</v>
      </c>
      <c r="C1442" s="342">
        <v>90</v>
      </c>
      <c r="D1442" s="344">
        <v>0</v>
      </c>
    </row>
    <row r="1443" spans="1:4">
      <c r="A1443" t="s">
        <v>533</v>
      </c>
      <c r="B1443" t="s">
        <v>517</v>
      </c>
      <c r="C1443" s="343">
        <v>90</v>
      </c>
      <c r="D1443" s="345">
        <v>0</v>
      </c>
    </row>
    <row r="1444" spans="1:4">
      <c r="A1444" t="s">
        <v>533</v>
      </c>
      <c r="B1444" t="s">
        <v>517</v>
      </c>
      <c r="C1444" s="342">
        <v>90</v>
      </c>
      <c r="D1444" s="344">
        <v>0</v>
      </c>
    </row>
    <row r="1445" spans="1:4">
      <c r="A1445" t="s">
        <v>533</v>
      </c>
      <c r="B1445" t="s">
        <v>517</v>
      </c>
      <c r="C1445" s="343">
        <v>90</v>
      </c>
      <c r="D1445" s="345">
        <v>0</v>
      </c>
    </row>
    <row r="1446" spans="1:4">
      <c r="A1446" t="s">
        <v>533</v>
      </c>
      <c r="B1446" t="s">
        <v>517</v>
      </c>
      <c r="C1446" s="342">
        <v>90</v>
      </c>
      <c r="D1446" s="344">
        <v>0</v>
      </c>
    </row>
    <row r="1447" spans="1:4">
      <c r="A1447" t="s">
        <v>533</v>
      </c>
      <c r="B1447" t="s">
        <v>517</v>
      </c>
      <c r="C1447" s="343">
        <v>90</v>
      </c>
      <c r="D1447" s="345">
        <v>0</v>
      </c>
    </row>
    <row r="1448" spans="1:4">
      <c r="A1448" t="s">
        <v>533</v>
      </c>
      <c r="B1448" t="s">
        <v>517</v>
      </c>
      <c r="C1448" s="342">
        <v>90</v>
      </c>
      <c r="D1448" s="344">
        <v>0</v>
      </c>
    </row>
    <row r="1449" spans="1:4">
      <c r="A1449" t="s">
        <v>533</v>
      </c>
      <c r="B1449" t="s">
        <v>517</v>
      </c>
      <c r="C1449" s="343">
        <v>90</v>
      </c>
      <c r="D1449" s="345">
        <v>0</v>
      </c>
    </row>
    <row r="1450" spans="1:4">
      <c r="A1450" t="s">
        <v>533</v>
      </c>
      <c r="B1450" t="s">
        <v>517</v>
      </c>
      <c r="C1450" s="342">
        <v>90</v>
      </c>
      <c r="D1450" s="344">
        <v>0</v>
      </c>
    </row>
    <row r="1451" spans="1:4">
      <c r="A1451" t="s">
        <v>533</v>
      </c>
      <c r="B1451" t="s">
        <v>517</v>
      </c>
      <c r="C1451" s="343">
        <v>90</v>
      </c>
      <c r="D1451" s="345">
        <v>0</v>
      </c>
    </row>
    <row r="1452" spans="1:4">
      <c r="A1452" t="s">
        <v>533</v>
      </c>
      <c r="B1452" t="s">
        <v>517</v>
      </c>
      <c r="C1452" s="342">
        <v>90</v>
      </c>
      <c r="D1452" s="344">
        <v>0</v>
      </c>
    </row>
    <row r="1453" spans="1:4">
      <c r="A1453" t="s">
        <v>533</v>
      </c>
      <c r="B1453" t="s">
        <v>517</v>
      </c>
      <c r="C1453" s="343">
        <v>90</v>
      </c>
      <c r="D1453" s="345">
        <v>0</v>
      </c>
    </row>
    <row r="1454" spans="1:4">
      <c r="A1454" t="s">
        <v>533</v>
      </c>
      <c r="B1454" t="s">
        <v>517</v>
      </c>
      <c r="C1454" s="342">
        <v>90</v>
      </c>
      <c r="D1454" s="344">
        <v>0</v>
      </c>
    </row>
    <row r="1455" spans="1:4">
      <c r="A1455" t="s">
        <v>533</v>
      </c>
      <c r="B1455" t="s">
        <v>517</v>
      </c>
      <c r="C1455" s="343">
        <v>90</v>
      </c>
      <c r="D1455" s="345">
        <v>0</v>
      </c>
    </row>
    <row r="1456" spans="1:4">
      <c r="A1456" t="s">
        <v>533</v>
      </c>
      <c r="B1456" t="s">
        <v>517</v>
      </c>
      <c r="C1456" s="342">
        <v>90</v>
      </c>
      <c r="D1456" s="344">
        <v>0</v>
      </c>
    </row>
    <row r="1457" spans="1:4">
      <c r="A1457" t="s">
        <v>533</v>
      </c>
      <c r="B1457" t="s">
        <v>517</v>
      </c>
      <c r="C1457" s="343">
        <v>90</v>
      </c>
      <c r="D1457" s="345">
        <v>0</v>
      </c>
    </row>
    <row r="1458" spans="1:4">
      <c r="A1458" t="s">
        <v>533</v>
      </c>
      <c r="B1458" t="s">
        <v>517</v>
      </c>
      <c r="C1458" s="342">
        <v>90</v>
      </c>
      <c r="D1458" s="344">
        <v>0</v>
      </c>
    </row>
    <row r="1459" spans="1:4">
      <c r="A1459" t="s">
        <v>533</v>
      </c>
      <c r="B1459" t="s">
        <v>517</v>
      </c>
      <c r="C1459" s="343">
        <v>90</v>
      </c>
      <c r="D1459" s="345">
        <v>0</v>
      </c>
    </row>
    <row r="1460" spans="1:4">
      <c r="A1460" t="s">
        <v>533</v>
      </c>
      <c r="B1460" t="s">
        <v>517</v>
      </c>
      <c r="C1460" s="342">
        <v>90</v>
      </c>
      <c r="D1460" s="344">
        <v>0</v>
      </c>
    </row>
    <row r="1461" spans="1:4">
      <c r="A1461" t="s">
        <v>533</v>
      </c>
      <c r="B1461" t="s">
        <v>517</v>
      </c>
      <c r="C1461" s="343">
        <v>90</v>
      </c>
      <c r="D1461" s="345">
        <v>0</v>
      </c>
    </row>
    <row r="1462" spans="1:4">
      <c r="A1462" t="s">
        <v>533</v>
      </c>
      <c r="B1462" t="s">
        <v>517</v>
      </c>
      <c r="C1462" s="342">
        <v>90</v>
      </c>
      <c r="D1462" s="344">
        <v>0</v>
      </c>
    </row>
    <row r="1463" spans="1:4">
      <c r="A1463" t="s">
        <v>533</v>
      </c>
      <c r="B1463" t="s">
        <v>517</v>
      </c>
      <c r="C1463" s="343">
        <v>90</v>
      </c>
      <c r="D1463" s="345">
        <v>0</v>
      </c>
    </row>
    <row r="1464" spans="1:4">
      <c r="A1464" t="s">
        <v>533</v>
      </c>
      <c r="B1464" t="s">
        <v>517</v>
      </c>
      <c r="C1464" s="342">
        <v>90</v>
      </c>
      <c r="D1464" s="344">
        <v>0</v>
      </c>
    </row>
    <row r="1465" spans="1:4">
      <c r="A1465" t="s">
        <v>533</v>
      </c>
      <c r="B1465" t="s">
        <v>517</v>
      </c>
      <c r="C1465" s="343">
        <v>90</v>
      </c>
      <c r="D1465" s="345">
        <v>0</v>
      </c>
    </row>
    <row r="1466" spans="1:4">
      <c r="A1466" t="s">
        <v>533</v>
      </c>
      <c r="B1466" t="s">
        <v>517</v>
      </c>
      <c r="C1466" s="342">
        <v>90</v>
      </c>
      <c r="D1466" s="344">
        <v>0</v>
      </c>
    </row>
    <row r="1467" spans="1:4">
      <c r="A1467" t="s">
        <v>533</v>
      </c>
      <c r="B1467" t="s">
        <v>517</v>
      </c>
      <c r="C1467" s="343">
        <v>90</v>
      </c>
      <c r="D1467" s="345">
        <v>0</v>
      </c>
    </row>
    <row r="1468" spans="1:4">
      <c r="A1468" t="s">
        <v>533</v>
      </c>
      <c r="B1468" t="s">
        <v>517</v>
      </c>
      <c r="C1468" s="342">
        <v>90</v>
      </c>
      <c r="D1468" s="344">
        <v>0</v>
      </c>
    </row>
    <row r="1469" spans="1:4">
      <c r="A1469" t="s">
        <v>533</v>
      </c>
      <c r="B1469" t="s">
        <v>517</v>
      </c>
      <c r="C1469" s="343">
        <v>90</v>
      </c>
      <c r="D1469" s="345">
        <v>0</v>
      </c>
    </row>
    <row r="1470" spans="1:4">
      <c r="A1470" t="s">
        <v>533</v>
      </c>
      <c r="B1470" t="s">
        <v>517</v>
      </c>
      <c r="C1470" s="342">
        <v>90</v>
      </c>
      <c r="D1470" s="344">
        <v>0</v>
      </c>
    </row>
    <row r="1471" spans="1:4">
      <c r="A1471" t="s">
        <v>533</v>
      </c>
      <c r="B1471" t="s">
        <v>517</v>
      </c>
      <c r="C1471" s="343">
        <v>90</v>
      </c>
      <c r="D1471" s="345">
        <v>0</v>
      </c>
    </row>
    <row r="1472" spans="1:4">
      <c r="A1472" t="s">
        <v>533</v>
      </c>
      <c r="B1472" t="s">
        <v>517</v>
      </c>
      <c r="C1472" s="342">
        <v>90</v>
      </c>
      <c r="D1472" s="344">
        <v>0</v>
      </c>
    </row>
    <row r="1473" spans="1:4">
      <c r="A1473" t="s">
        <v>533</v>
      </c>
      <c r="B1473" t="s">
        <v>517</v>
      </c>
      <c r="C1473" s="343">
        <v>90</v>
      </c>
      <c r="D1473" s="345">
        <v>0</v>
      </c>
    </row>
    <row r="1474" spans="1:4">
      <c r="A1474" t="s">
        <v>533</v>
      </c>
      <c r="B1474" t="s">
        <v>517</v>
      </c>
      <c r="C1474" s="342">
        <v>90</v>
      </c>
      <c r="D1474" s="344">
        <v>0</v>
      </c>
    </row>
    <row r="1475" spans="1:4">
      <c r="A1475" t="s">
        <v>533</v>
      </c>
      <c r="B1475" t="s">
        <v>517</v>
      </c>
      <c r="C1475" s="343">
        <v>90</v>
      </c>
      <c r="D1475" s="345">
        <v>0</v>
      </c>
    </row>
    <row r="1476" spans="1:4">
      <c r="A1476" t="s">
        <v>533</v>
      </c>
      <c r="B1476" t="s">
        <v>517</v>
      </c>
      <c r="C1476" s="342">
        <v>90</v>
      </c>
      <c r="D1476" s="344">
        <v>0</v>
      </c>
    </row>
    <row r="1477" spans="1:4">
      <c r="A1477" t="s">
        <v>533</v>
      </c>
      <c r="B1477" t="s">
        <v>517</v>
      </c>
      <c r="C1477" s="343">
        <v>90</v>
      </c>
      <c r="D1477" s="345">
        <v>0</v>
      </c>
    </row>
    <row r="1478" spans="1:4">
      <c r="A1478" t="s">
        <v>533</v>
      </c>
      <c r="B1478" t="s">
        <v>517</v>
      </c>
      <c r="C1478" s="342">
        <v>90</v>
      </c>
      <c r="D1478" s="344">
        <v>0</v>
      </c>
    </row>
    <row r="1479" spans="1:4">
      <c r="A1479" t="s">
        <v>533</v>
      </c>
      <c r="B1479" t="s">
        <v>517</v>
      </c>
      <c r="C1479" s="343">
        <v>90</v>
      </c>
      <c r="D1479" s="345">
        <v>0</v>
      </c>
    </row>
    <row r="1480" spans="1:4">
      <c r="A1480" t="s">
        <v>533</v>
      </c>
      <c r="B1480" t="s">
        <v>517</v>
      </c>
      <c r="C1480" s="342">
        <v>90</v>
      </c>
      <c r="D1480" s="344">
        <v>0</v>
      </c>
    </row>
    <row r="1481" spans="1:4">
      <c r="A1481" t="s">
        <v>533</v>
      </c>
      <c r="B1481" t="s">
        <v>517</v>
      </c>
      <c r="C1481" s="343">
        <v>90</v>
      </c>
      <c r="D1481" s="345">
        <v>0</v>
      </c>
    </row>
    <row r="1482" spans="1:4">
      <c r="A1482" t="s">
        <v>533</v>
      </c>
      <c r="B1482" t="s">
        <v>517</v>
      </c>
      <c r="C1482" s="342">
        <v>90</v>
      </c>
      <c r="D1482" s="344">
        <v>0</v>
      </c>
    </row>
    <row r="1483" spans="1:4">
      <c r="A1483" t="s">
        <v>533</v>
      </c>
      <c r="B1483" t="s">
        <v>517</v>
      </c>
      <c r="C1483" s="343">
        <v>90</v>
      </c>
      <c r="D1483" s="345">
        <v>0</v>
      </c>
    </row>
    <row r="1484" spans="1:4">
      <c r="A1484" t="s">
        <v>533</v>
      </c>
      <c r="B1484" t="s">
        <v>517</v>
      </c>
      <c r="C1484" s="342">
        <v>90</v>
      </c>
      <c r="D1484" s="344">
        <v>0</v>
      </c>
    </row>
    <row r="1485" spans="1:4">
      <c r="A1485" t="s">
        <v>533</v>
      </c>
      <c r="B1485" t="s">
        <v>517</v>
      </c>
      <c r="C1485" s="343">
        <v>90</v>
      </c>
      <c r="D1485" s="345">
        <v>0</v>
      </c>
    </row>
    <row r="1486" spans="1:4">
      <c r="A1486" t="s">
        <v>533</v>
      </c>
      <c r="B1486" t="s">
        <v>517</v>
      </c>
      <c r="C1486" s="342">
        <v>90</v>
      </c>
      <c r="D1486" s="344">
        <v>0</v>
      </c>
    </row>
    <row r="1487" spans="1:4">
      <c r="A1487" t="s">
        <v>533</v>
      </c>
      <c r="B1487" t="s">
        <v>517</v>
      </c>
      <c r="C1487" s="343">
        <v>90</v>
      </c>
      <c r="D1487" s="345">
        <v>0</v>
      </c>
    </row>
    <row r="1488" spans="1:4">
      <c r="A1488" t="s">
        <v>533</v>
      </c>
      <c r="B1488" t="s">
        <v>517</v>
      </c>
      <c r="C1488" s="342">
        <v>90</v>
      </c>
      <c r="D1488" s="344">
        <v>0</v>
      </c>
    </row>
    <row r="1489" spans="1:4">
      <c r="A1489" t="s">
        <v>533</v>
      </c>
      <c r="B1489" t="s">
        <v>517</v>
      </c>
      <c r="C1489" s="343">
        <v>90</v>
      </c>
      <c r="D1489" s="345">
        <v>0</v>
      </c>
    </row>
    <row r="1490" spans="1:4">
      <c r="A1490" t="s">
        <v>533</v>
      </c>
      <c r="B1490" t="s">
        <v>517</v>
      </c>
      <c r="C1490" s="342">
        <v>90</v>
      </c>
      <c r="D1490" s="344">
        <v>0</v>
      </c>
    </row>
    <row r="1491" spans="1:4">
      <c r="A1491" t="s">
        <v>533</v>
      </c>
      <c r="B1491" t="s">
        <v>517</v>
      </c>
      <c r="C1491" s="343">
        <v>90</v>
      </c>
      <c r="D1491" s="345">
        <v>0</v>
      </c>
    </row>
    <row r="1492" spans="1:4">
      <c r="A1492" t="s">
        <v>533</v>
      </c>
      <c r="B1492" t="s">
        <v>517</v>
      </c>
      <c r="C1492" s="342">
        <v>90</v>
      </c>
      <c r="D1492" s="344">
        <v>0</v>
      </c>
    </row>
    <row r="1493" spans="1:4">
      <c r="A1493" t="s">
        <v>533</v>
      </c>
      <c r="B1493" t="s">
        <v>517</v>
      </c>
      <c r="C1493" s="343">
        <v>90</v>
      </c>
      <c r="D1493" s="345">
        <v>0</v>
      </c>
    </row>
    <row r="1494" spans="1:4">
      <c r="A1494" t="s">
        <v>533</v>
      </c>
      <c r="B1494" t="s">
        <v>517</v>
      </c>
      <c r="C1494" s="342">
        <v>90</v>
      </c>
      <c r="D1494" s="344">
        <v>0</v>
      </c>
    </row>
    <row r="1495" spans="1:4">
      <c r="A1495" t="s">
        <v>533</v>
      </c>
      <c r="B1495" t="s">
        <v>517</v>
      </c>
      <c r="C1495" s="343">
        <v>90</v>
      </c>
      <c r="D1495" s="345">
        <v>0</v>
      </c>
    </row>
    <row r="1496" spans="1:4">
      <c r="A1496" t="s">
        <v>533</v>
      </c>
      <c r="B1496" t="s">
        <v>517</v>
      </c>
      <c r="C1496" s="342">
        <v>90</v>
      </c>
      <c r="D1496" s="344">
        <v>0</v>
      </c>
    </row>
    <row r="1497" spans="1:4">
      <c r="A1497" t="s">
        <v>533</v>
      </c>
      <c r="B1497" t="s">
        <v>517</v>
      </c>
      <c r="C1497" s="343">
        <v>90</v>
      </c>
      <c r="D1497" s="345">
        <v>0</v>
      </c>
    </row>
    <row r="1498" spans="1:4">
      <c r="A1498" t="s">
        <v>533</v>
      </c>
      <c r="B1498" t="s">
        <v>517</v>
      </c>
      <c r="C1498" s="342">
        <v>90</v>
      </c>
      <c r="D1498" s="344">
        <v>0</v>
      </c>
    </row>
    <row r="1499" spans="1:4">
      <c r="A1499" t="s">
        <v>533</v>
      </c>
      <c r="B1499" t="s">
        <v>517</v>
      </c>
      <c r="C1499" s="343">
        <v>90</v>
      </c>
      <c r="D1499" s="345">
        <v>0</v>
      </c>
    </row>
    <row r="1500" spans="1:4">
      <c r="A1500" t="s">
        <v>533</v>
      </c>
      <c r="B1500" t="s">
        <v>517</v>
      </c>
      <c r="C1500" s="342">
        <v>90</v>
      </c>
      <c r="D1500" s="344">
        <v>0</v>
      </c>
    </row>
    <row r="1501" spans="1:4">
      <c r="A1501" t="s">
        <v>533</v>
      </c>
      <c r="B1501" t="s">
        <v>517</v>
      </c>
      <c r="C1501" s="343">
        <v>90</v>
      </c>
      <c r="D1501" s="345">
        <v>0</v>
      </c>
    </row>
    <row r="1502" spans="1:4">
      <c r="A1502" t="s">
        <v>533</v>
      </c>
      <c r="B1502" t="s">
        <v>517</v>
      </c>
      <c r="C1502" s="342">
        <v>90</v>
      </c>
      <c r="D1502" s="344">
        <v>0</v>
      </c>
    </row>
    <row r="1503" spans="1:4">
      <c r="A1503" t="s">
        <v>533</v>
      </c>
      <c r="B1503" t="s">
        <v>517</v>
      </c>
      <c r="C1503" s="343">
        <v>90</v>
      </c>
      <c r="D1503" s="345">
        <v>0</v>
      </c>
    </row>
    <row r="1504" spans="1:4">
      <c r="A1504" t="s">
        <v>533</v>
      </c>
      <c r="B1504" t="s">
        <v>517</v>
      </c>
      <c r="C1504" s="342">
        <v>90</v>
      </c>
      <c r="D1504" s="344">
        <v>0</v>
      </c>
    </row>
    <row r="1505" spans="1:4">
      <c r="A1505" t="s">
        <v>533</v>
      </c>
      <c r="B1505" t="s">
        <v>517</v>
      </c>
      <c r="C1505" s="343">
        <v>90</v>
      </c>
      <c r="D1505" s="345">
        <v>0</v>
      </c>
    </row>
    <row r="1506" spans="1:4">
      <c r="A1506" t="s">
        <v>533</v>
      </c>
      <c r="B1506" t="s">
        <v>517</v>
      </c>
      <c r="C1506" s="342">
        <v>90</v>
      </c>
      <c r="D1506" s="344">
        <v>0</v>
      </c>
    </row>
    <row r="1507" spans="1:4">
      <c r="A1507" t="s">
        <v>533</v>
      </c>
      <c r="B1507" t="s">
        <v>517</v>
      </c>
      <c r="C1507" s="343">
        <v>90</v>
      </c>
      <c r="D1507" s="345">
        <v>0</v>
      </c>
    </row>
    <row r="1508" spans="1:4">
      <c r="A1508" t="s">
        <v>533</v>
      </c>
      <c r="B1508" t="s">
        <v>517</v>
      </c>
      <c r="C1508" s="342">
        <v>90</v>
      </c>
      <c r="D1508" s="344">
        <v>0</v>
      </c>
    </row>
    <row r="1509" spans="1:4">
      <c r="A1509" t="s">
        <v>533</v>
      </c>
      <c r="B1509" t="s">
        <v>517</v>
      </c>
      <c r="C1509" s="343">
        <v>90</v>
      </c>
      <c r="D1509" s="345">
        <v>0</v>
      </c>
    </row>
    <row r="1510" spans="1:4">
      <c r="A1510" t="s">
        <v>533</v>
      </c>
      <c r="B1510" t="s">
        <v>517</v>
      </c>
      <c r="C1510" s="342">
        <v>90</v>
      </c>
      <c r="D1510" s="344">
        <v>0</v>
      </c>
    </row>
    <row r="1511" spans="1:4">
      <c r="A1511" t="s">
        <v>533</v>
      </c>
      <c r="B1511" t="s">
        <v>517</v>
      </c>
      <c r="C1511" s="343">
        <v>90</v>
      </c>
      <c r="D1511" s="345">
        <v>0</v>
      </c>
    </row>
    <row r="1512" spans="1:4">
      <c r="A1512" t="s">
        <v>533</v>
      </c>
      <c r="B1512" t="s">
        <v>517</v>
      </c>
      <c r="C1512" s="342">
        <v>90</v>
      </c>
      <c r="D1512" s="344">
        <v>0</v>
      </c>
    </row>
    <row r="1513" spans="1:4">
      <c r="A1513" t="s">
        <v>533</v>
      </c>
      <c r="B1513" t="s">
        <v>517</v>
      </c>
      <c r="C1513" s="343">
        <v>90</v>
      </c>
      <c r="D1513" s="345">
        <v>0</v>
      </c>
    </row>
    <row r="1514" spans="1:4">
      <c r="A1514" t="s">
        <v>533</v>
      </c>
      <c r="B1514" t="s">
        <v>517</v>
      </c>
      <c r="C1514" s="342">
        <v>90</v>
      </c>
      <c r="D1514" s="344">
        <v>0</v>
      </c>
    </row>
    <row r="1515" spans="1:4">
      <c r="A1515" t="s">
        <v>533</v>
      </c>
      <c r="B1515" t="s">
        <v>517</v>
      </c>
      <c r="C1515" s="343">
        <v>90</v>
      </c>
      <c r="D1515" s="345">
        <v>0</v>
      </c>
    </row>
    <row r="1516" spans="1:4">
      <c r="A1516" t="s">
        <v>533</v>
      </c>
      <c r="B1516" t="s">
        <v>517</v>
      </c>
      <c r="C1516" s="342">
        <v>90</v>
      </c>
      <c r="D1516" s="344">
        <v>0</v>
      </c>
    </row>
    <row r="1517" spans="1:4">
      <c r="A1517" t="s">
        <v>533</v>
      </c>
      <c r="B1517" t="s">
        <v>517</v>
      </c>
      <c r="C1517" s="343">
        <v>90</v>
      </c>
      <c r="D1517" s="345">
        <v>0</v>
      </c>
    </row>
    <row r="1518" spans="1:4">
      <c r="A1518" t="s">
        <v>533</v>
      </c>
      <c r="B1518" t="s">
        <v>517</v>
      </c>
      <c r="C1518" s="342">
        <v>90</v>
      </c>
      <c r="D1518" s="344">
        <v>0</v>
      </c>
    </row>
    <row r="1519" spans="1:4">
      <c r="A1519" t="s">
        <v>533</v>
      </c>
      <c r="B1519" t="s">
        <v>517</v>
      </c>
      <c r="C1519" s="343">
        <v>90</v>
      </c>
      <c r="D1519" s="345">
        <v>0</v>
      </c>
    </row>
    <row r="1520" spans="1:4">
      <c r="A1520" t="s">
        <v>533</v>
      </c>
      <c r="B1520" t="s">
        <v>517</v>
      </c>
      <c r="C1520" s="342">
        <v>90</v>
      </c>
      <c r="D1520" s="344">
        <v>0</v>
      </c>
    </row>
    <row r="1521" spans="1:4">
      <c r="A1521" t="s">
        <v>533</v>
      </c>
      <c r="B1521" t="s">
        <v>517</v>
      </c>
      <c r="C1521" s="343">
        <v>90</v>
      </c>
      <c r="D1521" s="345">
        <v>0</v>
      </c>
    </row>
    <row r="1522" spans="1:4">
      <c r="A1522" t="s">
        <v>533</v>
      </c>
      <c r="B1522" t="s">
        <v>517</v>
      </c>
      <c r="C1522" s="342">
        <v>90</v>
      </c>
      <c r="D1522" s="344">
        <v>0</v>
      </c>
    </row>
    <row r="1523" spans="1:4">
      <c r="A1523" t="s">
        <v>533</v>
      </c>
      <c r="B1523" t="s">
        <v>517</v>
      </c>
      <c r="C1523" s="343">
        <v>90</v>
      </c>
      <c r="D1523" s="345">
        <v>0</v>
      </c>
    </row>
    <row r="1524" spans="1:4">
      <c r="A1524" t="s">
        <v>533</v>
      </c>
      <c r="B1524" t="s">
        <v>517</v>
      </c>
      <c r="C1524" s="342">
        <v>90</v>
      </c>
      <c r="D1524" s="344">
        <v>0</v>
      </c>
    </row>
    <row r="1525" spans="1:4">
      <c r="A1525" t="s">
        <v>533</v>
      </c>
      <c r="B1525" t="s">
        <v>517</v>
      </c>
      <c r="C1525" s="343">
        <v>90</v>
      </c>
      <c r="D1525" s="345">
        <v>0</v>
      </c>
    </row>
    <row r="1526" spans="1:4">
      <c r="A1526" t="s">
        <v>533</v>
      </c>
      <c r="B1526" t="s">
        <v>517</v>
      </c>
      <c r="C1526" s="342">
        <v>90</v>
      </c>
      <c r="D1526" s="344">
        <v>0</v>
      </c>
    </row>
    <row r="1527" spans="1:4">
      <c r="A1527" t="s">
        <v>533</v>
      </c>
      <c r="B1527" t="s">
        <v>468</v>
      </c>
      <c r="C1527" s="343">
        <v>140</v>
      </c>
      <c r="D1527" s="345">
        <v>2E-3</v>
      </c>
    </row>
    <row r="1528" spans="1:4">
      <c r="A1528" t="s">
        <v>533</v>
      </c>
      <c r="B1528" t="s">
        <v>468</v>
      </c>
      <c r="C1528" s="342">
        <v>140</v>
      </c>
      <c r="D1528" s="344">
        <v>2E-3</v>
      </c>
    </row>
    <row r="1529" spans="1:4">
      <c r="A1529" t="s">
        <v>533</v>
      </c>
      <c r="B1529" t="s">
        <v>468</v>
      </c>
      <c r="C1529" s="343">
        <v>140</v>
      </c>
      <c r="D1529" s="345">
        <v>2E-3</v>
      </c>
    </row>
    <row r="1530" spans="1:4">
      <c r="A1530" t="s">
        <v>533</v>
      </c>
      <c r="B1530" t="s">
        <v>468</v>
      </c>
      <c r="C1530" s="342">
        <v>140</v>
      </c>
      <c r="D1530" s="344">
        <v>2E-3</v>
      </c>
    </row>
    <row r="1531" spans="1:4">
      <c r="A1531" t="s">
        <v>533</v>
      </c>
      <c r="B1531" t="s">
        <v>468</v>
      </c>
      <c r="C1531" s="343">
        <v>140</v>
      </c>
      <c r="D1531" s="345">
        <v>2E-3</v>
      </c>
    </row>
    <row r="1532" spans="1:4">
      <c r="A1532" t="s">
        <v>533</v>
      </c>
      <c r="B1532" t="s">
        <v>468</v>
      </c>
      <c r="C1532" s="342">
        <v>140</v>
      </c>
      <c r="D1532" s="344">
        <v>2E-3</v>
      </c>
    </row>
    <row r="1533" spans="1:4">
      <c r="A1533" t="s">
        <v>533</v>
      </c>
      <c r="B1533" t="s">
        <v>468</v>
      </c>
      <c r="C1533" s="343">
        <v>140</v>
      </c>
      <c r="D1533" s="345">
        <v>2E-3</v>
      </c>
    </row>
    <row r="1534" spans="1:4">
      <c r="A1534" t="s">
        <v>533</v>
      </c>
      <c r="B1534" t="s">
        <v>468</v>
      </c>
      <c r="C1534" s="342">
        <v>140</v>
      </c>
      <c r="D1534" s="344">
        <v>2E-3</v>
      </c>
    </row>
    <row r="1535" spans="1:4">
      <c r="A1535" t="s">
        <v>533</v>
      </c>
      <c r="B1535" t="s">
        <v>468</v>
      </c>
      <c r="C1535" s="343">
        <v>140</v>
      </c>
      <c r="D1535" s="345">
        <v>2E-3</v>
      </c>
    </row>
    <row r="1536" spans="1:4">
      <c r="A1536" t="s">
        <v>533</v>
      </c>
      <c r="B1536" t="s">
        <v>468</v>
      </c>
      <c r="C1536" s="342">
        <v>140</v>
      </c>
      <c r="D1536" s="344">
        <v>2E-3</v>
      </c>
    </row>
    <row r="1537" spans="1:4">
      <c r="A1537" t="s">
        <v>533</v>
      </c>
      <c r="B1537" t="s">
        <v>468</v>
      </c>
      <c r="C1537" s="343">
        <v>140</v>
      </c>
      <c r="D1537" s="345">
        <v>2E-3</v>
      </c>
    </row>
    <row r="1538" spans="1:4">
      <c r="A1538" t="s">
        <v>533</v>
      </c>
      <c r="B1538" t="s">
        <v>468</v>
      </c>
      <c r="C1538" s="342">
        <v>140</v>
      </c>
      <c r="D1538" s="344">
        <v>2E-3</v>
      </c>
    </row>
    <row r="1539" spans="1:4">
      <c r="A1539" t="s">
        <v>533</v>
      </c>
      <c r="B1539" t="s">
        <v>468</v>
      </c>
      <c r="C1539" s="343">
        <v>140</v>
      </c>
      <c r="D1539" s="345">
        <v>2E-3</v>
      </c>
    </row>
    <row r="1540" spans="1:4">
      <c r="A1540" t="s">
        <v>533</v>
      </c>
      <c r="B1540" t="s">
        <v>468</v>
      </c>
      <c r="C1540" s="342">
        <v>140</v>
      </c>
      <c r="D1540" s="344">
        <v>2E-3</v>
      </c>
    </row>
    <row r="1541" spans="1:4">
      <c r="A1541" t="s">
        <v>533</v>
      </c>
      <c r="B1541" t="s">
        <v>468</v>
      </c>
      <c r="C1541" s="343">
        <v>140</v>
      </c>
      <c r="D1541" s="345">
        <v>2E-3</v>
      </c>
    </row>
    <row r="1542" spans="1:4">
      <c r="A1542" t="s">
        <v>533</v>
      </c>
      <c r="B1542" t="s">
        <v>468</v>
      </c>
      <c r="C1542" s="342">
        <v>140</v>
      </c>
      <c r="D1542" s="344">
        <v>2E-3</v>
      </c>
    </row>
    <row r="1543" spans="1:4">
      <c r="A1543" t="s">
        <v>533</v>
      </c>
      <c r="B1543" t="s">
        <v>468</v>
      </c>
      <c r="C1543" s="343">
        <v>140</v>
      </c>
      <c r="D1543" s="345">
        <v>2E-3</v>
      </c>
    </row>
    <row r="1544" spans="1:4">
      <c r="A1544" t="s">
        <v>533</v>
      </c>
      <c r="B1544" t="s">
        <v>468</v>
      </c>
      <c r="C1544" s="342">
        <v>140</v>
      </c>
      <c r="D1544" s="344">
        <v>2E-3</v>
      </c>
    </row>
    <row r="1545" spans="1:4">
      <c r="A1545" t="s">
        <v>533</v>
      </c>
      <c r="B1545" t="s">
        <v>468</v>
      </c>
      <c r="C1545" s="343">
        <v>140</v>
      </c>
      <c r="D1545" s="345">
        <v>2E-3</v>
      </c>
    </row>
    <row r="1546" spans="1:4">
      <c r="A1546" t="s">
        <v>533</v>
      </c>
      <c r="B1546" t="s">
        <v>468</v>
      </c>
      <c r="C1546" s="342">
        <v>140</v>
      </c>
      <c r="D1546" s="344">
        <v>2E-3</v>
      </c>
    </row>
    <row r="1547" spans="1:4">
      <c r="A1547" t="s">
        <v>533</v>
      </c>
      <c r="B1547" t="s">
        <v>468</v>
      </c>
      <c r="C1547" s="343">
        <v>140</v>
      </c>
      <c r="D1547" s="345">
        <v>2E-3</v>
      </c>
    </row>
    <row r="1548" spans="1:4">
      <c r="A1548" t="s">
        <v>533</v>
      </c>
      <c r="B1548" t="s">
        <v>468</v>
      </c>
      <c r="C1548" s="342">
        <v>140</v>
      </c>
      <c r="D1548" s="344">
        <v>2E-3</v>
      </c>
    </row>
    <row r="1549" spans="1:4">
      <c r="A1549" t="s">
        <v>533</v>
      </c>
      <c r="B1549" t="s">
        <v>468</v>
      </c>
      <c r="C1549" s="343">
        <v>140</v>
      </c>
      <c r="D1549" s="345">
        <v>2E-3</v>
      </c>
    </row>
    <row r="1550" spans="1:4">
      <c r="A1550" t="s">
        <v>533</v>
      </c>
      <c r="B1550" t="s">
        <v>468</v>
      </c>
      <c r="C1550" s="342">
        <v>140</v>
      </c>
      <c r="D1550" s="344">
        <v>2E-3</v>
      </c>
    </row>
    <row r="1551" spans="1:4">
      <c r="A1551" t="s">
        <v>533</v>
      </c>
      <c r="B1551" t="s">
        <v>468</v>
      </c>
      <c r="C1551" s="343">
        <v>140</v>
      </c>
      <c r="D1551" s="345">
        <v>2E-3</v>
      </c>
    </row>
    <row r="1552" spans="1:4">
      <c r="A1552" t="s">
        <v>533</v>
      </c>
      <c r="B1552" t="s">
        <v>468</v>
      </c>
      <c r="C1552" s="342">
        <v>140</v>
      </c>
      <c r="D1552" s="344">
        <v>2E-3</v>
      </c>
    </row>
    <row r="1553" spans="1:4">
      <c r="A1553" t="s">
        <v>533</v>
      </c>
      <c r="B1553" t="s">
        <v>468</v>
      </c>
      <c r="C1553" s="343">
        <v>140</v>
      </c>
      <c r="D1553" s="345">
        <v>2E-3</v>
      </c>
    </row>
    <row r="1554" spans="1:4">
      <c r="A1554" t="s">
        <v>533</v>
      </c>
      <c r="B1554" t="s">
        <v>468</v>
      </c>
      <c r="C1554" s="342">
        <v>140</v>
      </c>
      <c r="D1554" s="344">
        <v>2E-3</v>
      </c>
    </row>
    <row r="1555" spans="1:4">
      <c r="A1555" t="s">
        <v>533</v>
      </c>
      <c r="B1555" t="s">
        <v>468</v>
      </c>
      <c r="C1555" s="343">
        <v>140</v>
      </c>
      <c r="D1555" s="345">
        <v>2E-3</v>
      </c>
    </row>
    <row r="1556" spans="1:4">
      <c r="A1556" t="s">
        <v>533</v>
      </c>
      <c r="B1556" t="s">
        <v>468</v>
      </c>
      <c r="C1556" s="342">
        <v>140</v>
      </c>
      <c r="D1556" s="344">
        <v>2E-3</v>
      </c>
    </row>
    <row r="1557" spans="1:4">
      <c r="A1557" t="s">
        <v>533</v>
      </c>
      <c r="B1557" t="s">
        <v>544</v>
      </c>
      <c r="C1557" s="343">
        <v>100</v>
      </c>
      <c r="D1557" s="345">
        <v>1E-3</v>
      </c>
    </row>
    <row r="1558" spans="1:4">
      <c r="A1558" t="s">
        <v>533</v>
      </c>
      <c r="B1558" t="s">
        <v>544</v>
      </c>
      <c r="C1558" s="342">
        <v>100</v>
      </c>
      <c r="D1558" s="344">
        <v>1E-3</v>
      </c>
    </row>
    <row r="1559" spans="1:4">
      <c r="A1559" t="s">
        <v>533</v>
      </c>
      <c r="B1559" t="s">
        <v>544</v>
      </c>
      <c r="C1559" s="343">
        <v>100</v>
      </c>
      <c r="D1559" s="345">
        <v>1E-3</v>
      </c>
    </row>
    <row r="1560" spans="1:4">
      <c r="A1560" t="s">
        <v>533</v>
      </c>
      <c r="B1560" t="s">
        <v>544</v>
      </c>
      <c r="C1560" s="342">
        <v>100</v>
      </c>
      <c r="D1560" s="344">
        <v>1E-3</v>
      </c>
    </row>
    <row r="1561" spans="1:4">
      <c r="A1561" t="s">
        <v>533</v>
      </c>
      <c r="B1561" t="s">
        <v>544</v>
      </c>
      <c r="C1561" s="343">
        <v>100</v>
      </c>
      <c r="D1561" s="345">
        <v>1E-3</v>
      </c>
    </row>
    <row r="1562" spans="1:4">
      <c r="A1562" t="s">
        <v>533</v>
      </c>
      <c r="B1562" t="s">
        <v>544</v>
      </c>
      <c r="C1562" s="342">
        <v>100</v>
      </c>
      <c r="D1562" s="344">
        <v>1E-3</v>
      </c>
    </row>
    <row r="1563" spans="1:4">
      <c r="A1563" t="s">
        <v>533</v>
      </c>
      <c r="B1563" t="s">
        <v>544</v>
      </c>
      <c r="C1563" s="343">
        <v>100</v>
      </c>
      <c r="D1563" s="345">
        <v>1E-3</v>
      </c>
    </row>
    <row r="1564" spans="1:4">
      <c r="A1564" t="s">
        <v>533</v>
      </c>
      <c r="B1564" t="s">
        <v>544</v>
      </c>
      <c r="C1564" s="342">
        <v>100</v>
      </c>
      <c r="D1564" s="344">
        <v>1E-3</v>
      </c>
    </row>
    <row r="1565" spans="1:4">
      <c r="A1565" t="s">
        <v>533</v>
      </c>
      <c r="B1565" t="s">
        <v>544</v>
      </c>
      <c r="C1565" s="343">
        <v>100</v>
      </c>
      <c r="D1565" s="345">
        <v>1E-3</v>
      </c>
    </row>
    <row r="1566" spans="1:4">
      <c r="A1566" t="s">
        <v>533</v>
      </c>
      <c r="B1566" t="s">
        <v>544</v>
      </c>
      <c r="C1566" s="342">
        <v>100</v>
      </c>
      <c r="D1566" s="344">
        <v>1E-3</v>
      </c>
    </row>
    <row r="1567" spans="1:4">
      <c r="A1567" t="s">
        <v>533</v>
      </c>
      <c r="B1567" t="s">
        <v>544</v>
      </c>
      <c r="C1567" s="343">
        <v>100</v>
      </c>
      <c r="D1567" s="345">
        <v>1E-3</v>
      </c>
    </row>
    <row r="1568" spans="1:4">
      <c r="A1568" t="s">
        <v>533</v>
      </c>
      <c r="B1568" t="s">
        <v>544</v>
      </c>
      <c r="C1568" s="342">
        <v>100</v>
      </c>
      <c r="D1568" s="344">
        <v>1E-3</v>
      </c>
    </row>
    <row r="1569" spans="1:4">
      <c r="A1569" t="s">
        <v>533</v>
      </c>
      <c r="B1569" t="s">
        <v>544</v>
      </c>
      <c r="C1569" s="343">
        <v>100</v>
      </c>
      <c r="D1569" s="345">
        <v>1E-3</v>
      </c>
    </row>
    <row r="1570" spans="1:4">
      <c r="A1570" t="s">
        <v>533</v>
      </c>
      <c r="B1570" t="s">
        <v>544</v>
      </c>
      <c r="C1570" s="342">
        <v>100</v>
      </c>
      <c r="D1570" s="344">
        <v>1E-3</v>
      </c>
    </row>
    <row r="1571" spans="1:4">
      <c r="A1571" t="s">
        <v>533</v>
      </c>
      <c r="B1571" t="s">
        <v>544</v>
      </c>
      <c r="C1571" s="343">
        <v>100</v>
      </c>
      <c r="D1571" s="345">
        <v>1E-3</v>
      </c>
    </row>
    <row r="1572" spans="1:4">
      <c r="A1572" t="s">
        <v>533</v>
      </c>
      <c r="B1572" t="s">
        <v>544</v>
      </c>
      <c r="C1572" s="342">
        <v>100</v>
      </c>
      <c r="D1572" s="344">
        <v>1E-3</v>
      </c>
    </row>
    <row r="1573" spans="1:4">
      <c r="A1573" t="s">
        <v>533</v>
      </c>
      <c r="B1573" t="s">
        <v>544</v>
      </c>
      <c r="C1573" s="343">
        <v>100</v>
      </c>
      <c r="D1573" s="345">
        <v>1E-3</v>
      </c>
    </row>
    <row r="1574" spans="1:4">
      <c r="A1574" t="s">
        <v>533</v>
      </c>
      <c r="B1574" t="s">
        <v>544</v>
      </c>
      <c r="C1574" s="342">
        <v>100</v>
      </c>
      <c r="D1574" s="344">
        <v>1E-3</v>
      </c>
    </row>
    <row r="1575" spans="1:4">
      <c r="A1575" t="s">
        <v>533</v>
      </c>
      <c r="B1575" t="s">
        <v>544</v>
      </c>
      <c r="C1575" s="343">
        <v>100</v>
      </c>
      <c r="D1575" s="345">
        <v>1E-3</v>
      </c>
    </row>
    <row r="1576" spans="1:4">
      <c r="A1576" t="s">
        <v>533</v>
      </c>
      <c r="B1576" t="s">
        <v>544</v>
      </c>
      <c r="C1576" s="342">
        <v>100</v>
      </c>
      <c r="D1576" s="344">
        <v>1E-3</v>
      </c>
    </row>
    <row r="1577" spans="1:4">
      <c r="A1577" t="s">
        <v>533</v>
      </c>
      <c r="B1577" t="s">
        <v>544</v>
      </c>
      <c r="C1577" s="343">
        <v>100</v>
      </c>
      <c r="D1577" s="345">
        <v>1E-3</v>
      </c>
    </row>
    <row r="1578" spans="1:4">
      <c r="A1578" t="s">
        <v>533</v>
      </c>
      <c r="B1578" t="s">
        <v>544</v>
      </c>
      <c r="C1578" s="342">
        <v>100</v>
      </c>
      <c r="D1578" s="344">
        <v>1E-3</v>
      </c>
    </row>
    <row r="1579" spans="1:4">
      <c r="A1579" t="s">
        <v>533</v>
      </c>
      <c r="B1579" t="s">
        <v>544</v>
      </c>
      <c r="C1579" s="343">
        <v>100</v>
      </c>
      <c r="D1579" s="345">
        <v>1E-3</v>
      </c>
    </row>
    <row r="1580" spans="1:4">
      <c r="A1580" t="s">
        <v>533</v>
      </c>
      <c r="B1580" t="s">
        <v>544</v>
      </c>
      <c r="C1580" s="342">
        <v>100</v>
      </c>
      <c r="D1580" s="344">
        <v>1E-3</v>
      </c>
    </row>
    <row r="1581" spans="1:4">
      <c r="A1581" t="s">
        <v>533</v>
      </c>
      <c r="B1581" t="s">
        <v>544</v>
      </c>
      <c r="C1581" s="343">
        <v>100</v>
      </c>
      <c r="D1581" s="345">
        <v>1E-3</v>
      </c>
    </row>
    <row r="1582" spans="1:4">
      <c r="A1582" t="s">
        <v>533</v>
      </c>
      <c r="B1582" t="s">
        <v>544</v>
      </c>
      <c r="C1582" s="342">
        <v>100</v>
      </c>
      <c r="D1582" s="344">
        <v>1E-3</v>
      </c>
    </row>
    <row r="1583" spans="1:4">
      <c r="A1583" t="s">
        <v>533</v>
      </c>
      <c r="B1583" t="s">
        <v>544</v>
      </c>
      <c r="C1583" s="343">
        <v>100</v>
      </c>
      <c r="D1583" s="345">
        <v>1E-3</v>
      </c>
    </row>
    <row r="1584" spans="1:4">
      <c r="A1584" t="s">
        <v>533</v>
      </c>
      <c r="B1584" t="s">
        <v>544</v>
      </c>
      <c r="C1584" s="342">
        <v>100</v>
      </c>
      <c r="D1584" s="344">
        <v>1E-3</v>
      </c>
    </row>
    <row r="1585" spans="1:4">
      <c r="A1585" t="s">
        <v>533</v>
      </c>
      <c r="B1585" t="s">
        <v>544</v>
      </c>
      <c r="C1585" s="343">
        <v>100</v>
      </c>
      <c r="D1585" s="345">
        <v>1E-3</v>
      </c>
    </row>
    <row r="1586" spans="1:4">
      <c r="A1586" t="s">
        <v>533</v>
      </c>
      <c r="B1586" t="s">
        <v>544</v>
      </c>
      <c r="C1586" s="342">
        <v>100</v>
      </c>
      <c r="D1586" s="344">
        <v>1E-3</v>
      </c>
    </row>
    <row r="1587" spans="1:4">
      <c r="A1587" t="s">
        <v>533</v>
      </c>
      <c r="B1587" t="s">
        <v>544</v>
      </c>
      <c r="C1587" s="343">
        <v>100</v>
      </c>
      <c r="D1587" s="345">
        <v>1E-3</v>
      </c>
    </row>
    <row r="1588" spans="1:4">
      <c r="A1588" t="s">
        <v>533</v>
      </c>
      <c r="B1588" t="s">
        <v>544</v>
      </c>
      <c r="C1588" s="342">
        <v>100</v>
      </c>
      <c r="D1588" s="344">
        <v>1E-3</v>
      </c>
    </row>
    <row r="1589" spans="1:4">
      <c r="A1589" t="s">
        <v>533</v>
      </c>
      <c r="B1589" t="s">
        <v>544</v>
      </c>
      <c r="C1589" s="343">
        <v>100</v>
      </c>
      <c r="D1589" s="345">
        <v>1E-3</v>
      </c>
    </row>
    <row r="1590" spans="1:4">
      <c r="A1590" t="s">
        <v>533</v>
      </c>
      <c r="B1590" t="s">
        <v>544</v>
      </c>
      <c r="C1590" s="342">
        <v>100</v>
      </c>
      <c r="D1590" s="344">
        <v>1E-3</v>
      </c>
    </row>
    <row r="1591" spans="1:4">
      <c r="A1591" t="s">
        <v>533</v>
      </c>
      <c r="B1591" t="s">
        <v>544</v>
      </c>
      <c r="C1591" s="343">
        <v>100</v>
      </c>
      <c r="D1591" s="345">
        <v>1E-3</v>
      </c>
    </row>
    <row r="1592" spans="1:4">
      <c r="A1592" t="s">
        <v>533</v>
      </c>
      <c r="B1592" t="s">
        <v>544</v>
      </c>
      <c r="C1592" s="342">
        <v>100</v>
      </c>
      <c r="D1592" s="344">
        <v>1E-3</v>
      </c>
    </row>
    <row r="1593" spans="1:4">
      <c r="A1593" t="s">
        <v>533</v>
      </c>
      <c r="B1593" t="s">
        <v>544</v>
      </c>
      <c r="C1593" s="343">
        <v>100</v>
      </c>
      <c r="D1593" s="345">
        <v>1E-3</v>
      </c>
    </row>
    <row r="1594" spans="1:4">
      <c r="A1594" t="s">
        <v>533</v>
      </c>
      <c r="B1594" t="s">
        <v>544</v>
      </c>
      <c r="C1594" s="342">
        <v>100</v>
      </c>
      <c r="D1594" s="344">
        <v>1E-3</v>
      </c>
    </row>
    <row r="1595" spans="1:4">
      <c r="A1595" t="s">
        <v>533</v>
      </c>
      <c r="B1595" t="s">
        <v>553</v>
      </c>
      <c r="C1595" s="343">
        <v>230</v>
      </c>
      <c r="D1595" s="345">
        <v>1E-3</v>
      </c>
    </row>
    <row r="1596" spans="1:4">
      <c r="A1596" t="s">
        <v>533</v>
      </c>
      <c r="B1596" t="s">
        <v>553</v>
      </c>
      <c r="C1596" s="342">
        <v>230</v>
      </c>
      <c r="D1596" s="344">
        <v>1E-3</v>
      </c>
    </row>
    <row r="1597" spans="1:4">
      <c r="A1597" t="s">
        <v>533</v>
      </c>
      <c r="B1597" t="s">
        <v>553</v>
      </c>
      <c r="C1597" s="343">
        <v>230</v>
      </c>
      <c r="D1597" s="345">
        <v>1E-3</v>
      </c>
    </row>
    <row r="1598" spans="1:4">
      <c r="A1598" t="s">
        <v>533</v>
      </c>
      <c r="B1598" t="s">
        <v>553</v>
      </c>
      <c r="C1598" s="342">
        <v>230</v>
      </c>
      <c r="D1598" s="344">
        <v>1E-3</v>
      </c>
    </row>
    <row r="1599" spans="1:4">
      <c r="A1599" t="s">
        <v>533</v>
      </c>
      <c r="B1599" t="s">
        <v>553</v>
      </c>
      <c r="C1599" s="343">
        <v>230</v>
      </c>
      <c r="D1599" s="345">
        <v>1E-3</v>
      </c>
    </row>
    <row r="1600" spans="1:4">
      <c r="A1600" t="s">
        <v>533</v>
      </c>
      <c r="B1600" t="s">
        <v>553</v>
      </c>
      <c r="C1600" s="342">
        <v>230</v>
      </c>
      <c r="D1600" s="344">
        <v>1E-3</v>
      </c>
    </row>
    <row r="1601" spans="1:4">
      <c r="A1601" t="s">
        <v>533</v>
      </c>
      <c r="B1601" t="s">
        <v>553</v>
      </c>
      <c r="C1601" s="343">
        <v>230</v>
      </c>
      <c r="D1601" s="345">
        <v>1E-3</v>
      </c>
    </row>
    <row r="1602" spans="1:4">
      <c r="A1602" t="s">
        <v>533</v>
      </c>
      <c r="B1602" t="s">
        <v>553</v>
      </c>
      <c r="C1602" s="342">
        <v>230</v>
      </c>
      <c r="D1602" s="344">
        <v>1E-3</v>
      </c>
    </row>
    <row r="1603" spans="1:4">
      <c r="A1603" t="s">
        <v>533</v>
      </c>
      <c r="B1603" t="s">
        <v>553</v>
      </c>
      <c r="C1603" s="343">
        <v>230</v>
      </c>
      <c r="D1603" s="345">
        <v>1E-3</v>
      </c>
    </row>
    <row r="1604" spans="1:4">
      <c r="A1604" t="s">
        <v>533</v>
      </c>
      <c r="B1604" t="s">
        <v>553</v>
      </c>
      <c r="C1604" s="342">
        <v>230</v>
      </c>
      <c r="D1604" s="344">
        <v>1E-3</v>
      </c>
    </row>
    <row r="1605" spans="1:4">
      <c r="A1605" t="s">
        <v>533</v>
      </c>
      <c r="B1605" t="s">
        <v>553</v>
      </c>
      <c r="C1605" s="343">
        <v>230</v>
      </c>
      <c r="D1605" s="345">
        <v>1E-3</v>
      </c>
    </row>
    <row r="1606" spans="1:4">
      <c r="A1606" t="s">
        <v>533</v>
      </c>
      <c r="B1606" t="s">
        <v>553</v>
      </c>
      <c r="C1606" s="342">
        <v>230</v>
      </c>
      <c r="D1606" s="344">
        <v>1E-3</v>
      </c>
    </row>
    <row r="1607" spans="1:4">
      <c r="A1607" t="s">
        <v>533</v>
      </c>
      <c r="B1607" t="s">
        <v>553</v>
      </c>
      <c r="C1607" s="343">
        <v>230</v>
      </c>
      <c r="D1607" s="345">
        <v>1E-3</v>
      </c>
    </row>
    <row r="1608" spans="1:4">
      <c r="A1608" t="s">
        <v>533</v>
      </c>
      <c r="B1608" t="s">
        <v>553</v>
      </c>
      <c r="C1608" s="342">
        <v>230</v>
      </c>
      <c r="D1608" s="344">
        <v>1E-3</v>
      </c>
    </row>
    <row r="1609" spans="1:4">
      <c r="A1609" t="s">
        <v>533</v>
      </c>
      <c r="B1609" t="s">
        <v>553</v>
      </c>
      <c r="C1609" s="343">
        <v>230</v>
      </c>
      <c r="D1609" s="345">
        <v>1E-3</v>
      </c>
    </row>
    <row r="1610" spans="1:4">
      <c r="A1610" t="s">
        <v>533</v>
      </c>
      <c r="B1610" t="s">
        <v>553</v>
      </c>
      <c r="C1610" s="342">
        <v>230</v>
      </c>
      <c r="D1610" s="344">
        <v>1E-3</v>
      </c>
    </row>
    <row r="1611" spans="1:4">
      <c r="A1611" t="s">
        <v>533</v>
      </c>
      <c r="B1611" t="s">
        <v>553</v>
      </c>
      <c r="C1611" s="343">
        <v>230</v>
      </c>
      <c r="D1611" s="345">
        <v>1E-3</v>
      </c>
    </row>
    <row r="1612" spans="1:4">
      <c r="A1612" t="s">
        <v>533</v>
      </c>
      <c r="B1612" t="s">
        <v>553</v>
      </c>
      <c r="C1612" s="342">
        <v>230</v>
      </c>
      <c r="D1612" s="344">
        <v>1E-3</v>
      </c>
    </row>
    <row r="1613" spans="1:4">
      <c r="A1613" t="s">
        <v>533</v>
      </c>
      <c r="B1613" t="s">
        <v>553</v>
      </c>
      <c r="C1613" s="343">
        <v>230</v>
      </c>
      <c r="D1613" s="345">
        <v>1E-3</v>
      </c>
    </row>
    <row r="1614" spans="1:4">
      <c r="A1614" t="s">
        <v>533</v>
      </c>
      <c r="B1614" t="s">
        <v>553</v>
      </c>
      <c r="C1614" s="342">
        <v>230</v>
      </c>
      <c r="D1614" s="344">
        <v>1E-3</v>
      </c>
    </row>
    <row r="1615" spans="1:4">
      <c r="A1615" t="s">
        <v>533</v>
      </c>
      <c r="B1615" t="s">
        <v>553</v>
      </c>
      <c r="C1615" s="343">
        <v>230</v>
      </c>
      <c r="D1615" s="345">
        <v>1E-3</v>
      </c>
    </row>
    <row r="1616" spans="1:4">
      <c r="A1616" t="s">
        <v>533</v>
      </c>
      <c r="B1616" t="s">
        <v>553</v>
      </c>
      <c r="C1616" s="342">
        <v>230</v>
      </c>
      <c r="D1616" s="344">
        <v>1E-3</v>
      </c>
    </row>
    <row r="1617" spans="1:4">
      <c r="A1617" t="s">
        <v>533</v>
      </c>
      <c r="B1617" t="s">
        <v>553</v>
      </c>
      <c r="C1617" s="343">
        <v>230</v>
      </c>
      <c r="D1617" s="345">
        <v>1E-3</v>
      </c>
    </row>
    <row r="1618" spans="1:4">
      <c r="A1618" t="s">
        <v>533</v>
      </c>
      <c r="B1618" t="s">
        <v>553</v>
      </c>
      <c r="C1618" s="342">
        <v>230</v>
      </c>
      <c r="D1618" s="344">
        <v>1E-3</v>
      </c>
    </row>
    <row r="1619" spans="1:4">
      <c r="A1619" t="s">
        <v>533</v>
      </c>
      <c r="B1619" t="s">
        <v>553</v>
      </c>
      <c r="C1619" s="343">
        <v>230</v>
      </c>
      <c r="D1619" s="345">
        <v>1E-3</v>
      </c>
    </row>
    <row r="1620" spans="1:4">
      <c r="A1620" t="s">
        <v>533</v>
      </c>
      <c r="B1620" t="s">
        <v>553</v>
      </c>
      <c r="C1620" s="342">
        <v>230</v>
      </c>
      <c r="D1620" s="344">
        <v>1E-3</v>
      </c>
    </row>
    <row r="1621" spans="1:4">
      <c r="A1621" t="s">
        <v>533</v>
      </c>
      <c r="B1621" t="s">
        <v>553</v>
      </c>
      <c r="C1621" s="343">
        <v>230</v>
      </c>
      <c r="D1621" s="345">
        <v>1E-3</v>
      </c>
    </row>
    <row r="1622" spans="1:4">
      <c r="A1622" t="s">
        <v>533</v>
      </c>
      <c r="B1622" t="s">
        <v>553</v>
      </c>
      <c r="C1622" s="342">
        <v>230</v>
      </c>
      <c r="D1622" s="344">
        <v>1E-3</v>
      </c>
    </row>
    <row r="1623" spans="1:4">
      <c r="A1623" t="s">
        <v>533</v>
      </c>
      <c r="B1623" t="s">
        <v>553</v>
      </c>
      <c r="C1623" s="343">
        <v>230</v>
      </c>
      <c r="D1623" s="345">
        <v>1E-3</v>
      </c>
    </row>
    <row r="1624" spans="1:4">
      <c r="A1624" t="s">
        <v>533</v>
      </c>
      <c r="B1624" t="s">
        <v>553</v>
      </c>
      <c r="C1624" s="342">
        <v>230</v>
      </c>
      <c r="D1624" s="344">
        <v>1E-3</v>
      </c>
    </row>
    <row r="1625" spans="1:4">
      <c r="A1625" t="s">
        <v>533</v>
      </c>
      <c r="B1625" t="s">
        <v>553</v>
      </c>
      <c r="C1625" s="343">
        <v>230</v>
      </c>
      <c r="D1625" s="345">
        <v>1E-3</v>
      </c>
    </row>
    <row r="1626" spans="1:4">
      <c r="A1626" t="s">
        <v>533</v>
      </c>
      <c r="B1626" t="s">
        <v>553</v>
      </c>
      <c r="C1626" s="342">
        <v>230</v>
      </c>
      <c r="D1626" s="344">
        <v>1E-3</v>
      </c>
    </row>
    <row r="1627" spans="1:4">
      <c r="A1627" t="s">
        <v>533</v>
      </c>
      <c r="B1627" t="s">
        <v>553</v>
      </c>
      <c r="C1627" s="343">
        <v>230</v>
      </c>
      <c r="D1627" s="345">
        <v>1E-3</v>
      </c>
    </row>
    <row r="1628" spans="1:4">
      <c r="A1628" t="s">
        <v>533</v>
      </c>
      <c r="B1628" t="s">
        <v>553</v>
      </c>
      <c r="C1628" s="342">
        <v>230</v>
      </c>
      <c r="D1628" s="344">
        <v>1E-3</v>
      </c>
    </row>
    <row r="1629" spans="1:4">
      <c r="A1629" t="s">
        <v>533</v>
      </c>
      <c r="B1629" t="s">
        <v>553</v>
      </c>
      <c r="C1629" s="343">
        <v>230</v>
      </c>
      <c r="D1629" s="345">
        <v>1E-3</v>
      </c>
    </row>
    <row r="1630" spans="1:4">
      <c r="A1630" t="s">
        <v>533</v>
      </c>
      <c r="B1630" t="s">
        <v>553</v>
      </c>
      <c r="C1630" s="342">
        <v>230</v>
      </c>
      <c r="D1630" s="344">
        <v>1E-3</v>
      </c>
    </row>
    <row r="1631" spans="1:4">
      <c r="A1631" t="s">
        <v>533</v>
      </c>
      <c r="B1631" t="s">
        <v>553</v>
      </c>
      <c r="C1631" s="343">
        <v>230</v>
      </c>
      <c r="D1631" s="345">
        <v>1E-3</v>
      </c>
    </row>
    <row r="1632" spans="1:4">
      <c r="A1632" t="s">
        <v>533</v>
      </c>
      <c r="B1632" t="s">
        <v>553</v>
      </c>
      <c r="C1632" s="342">
        <v>230</v>
      </c>
      <c r="D1632" s="344">
        <v>1E-3</v>
      </c>
    </row>
    <row r="1633" spans="1:4">
      <c r="A1633" t="s">
        <v>533</v>
      </c>
      <c r="B1633" t="s">
        <v>553</v>
      </c>
      <c r="C1633" s="343">
        <v>230</v>
      </c>
      <c r="D1633" s="345">
        <v>1E-3</v>
      </c>
    </row>
    <row r="1634" spans="1:4">
      <c r="A1634" t="s">
        <v>533</v>
      </c>
      <c r="B1634" t="s">
        <v>553</v>
      </c>
      <c r="C1634" s="342">
        <v>230</v>
      </c>
      <c r="D1634" s="344">
        <v>1E-3</v>
      </c>
    </row>
    <row r="1635" spans="1:4">
      <c r="A1635" t="s">
        <v>533</v>
      </c>
      <c r="B1635" t="s">
        <v>553</v>
      </c>
      <c r="C1635" s="343">
        <v>230</v>
      </c>
      <c r="D1635" s="345">
        <v>1E-3</v>
      </c>
    </row>
    <row r="1636" spans="1:4">
      <c r="A1636" t="s">
        <v>533</v>
      </c>
      <c r="B1636" t="s">
        <v>553</v>
      </c>
      <c r="C1636" s="342">
        <v>230</v>
      </c>
      <c r="D1636" s="344">
        <v>1E-3</v>
      </c>
    </row>
    <row r="1637" spans="1:4">
      <c r="A1637" t="s">
        <v>533</v>
      </c>
      <c r="B1637" t="s">
        <v>553</v>
      </c>
      <c r="C1637" s="343">
        <v>230</v>
      </c>
      <c r="D1637" s="345">
        <v>1E-3</v>
      </c>
    </row>
    <row r="1638" spans="1:4">
      <c r="A1638" t="s">
        <v>533</v>
      </c>
      <c r="B1638" t="s">
        <v>553</v>
      </c>
      <c r="C1638" s="342">
        <v>230</v>
      </c>
      <c r="D1638" s="344">
        <v>1E-3</v>
      </c>
    </row>
    <row r="1639" spans="1:4">
      <c r="A1639" t="s">
        <v>533</v>
      </c>
      <c r="B1639" t="s">
        <v>553</v>
      </c>
      <c r="C1639" s="343">
        <v>230</v>
      </c>
      <c r="D1639" s="345">
        <v>1E-3</v>
      </c>
    </row>
    <row r="1640" spans="1:4">
      <c r="A1640" t="s">
        <v>533</v>
      </c>
      <c r="B1640" t="s">
        <v>553</v>
      </c>
      <c r="C1640" s="342">
        <v>230</v>
      </c>
      <c r="D1640" s="344">
        <v>1E-3</v>
      </c>
    </row>
    <row r="1641" spans="1:4">
      <c r="A1641" t="s">
        <v>533</v>
      </c>
      <c r="B1641" t="s">
        <v>553</v>
      </c>
      <c r="C1641" s="343">
        <v>230</v>
      </c>
      <c r="D1641" s="345">
        <v>1E-3</v>
      </c>
    </row>
    <row r="1642" spans="1:4">
      <c r="A1642" t="s">
        <v>533</v>
      </c>
      <c r="B1642" t="s">
        <v>553</v>
      </c>
      <c r="C1642" s="342">
        <v>230</v>
      </c>
      <c r="D1642" s="344">
        <v>1E-3</v>
      </c>
    </row>
    <row r="1643" spans="1:4">
      <c r="A1643" t="s">
        <v>533</v>
      </c>
      <c r="B1643" t="s">
        <v>553</v>
      </c>
      <c r="C1643" s="343">
        <v>230</v>
      </c>
      <c r="D1643" s="345">
        <v>1E-3</v>
      </c>
    </row>
    <row r="1644" spans="1:4">
      <c r="A1644" t="s">
        <v>533</v>
      </c>
      <c r="B1644" t="s">
        <v>553</v>
      </c>
      <c r="C1644" s="342">
        <v>230</v>
      </c>
      <c r="D1644" s="344">
        <v>1E-3</v>
      </c>
    </row>
    <row r="1645" spans="1:4">
      <c r="A1645" t="s">
        <v>533</v>
      </c>
      <c r="B1645" t="s">
        <v>553</v>
      </c>
      <c r="C1645" s="343">
        <v>230</v>
      </c>
      <c r="D1645" s="345">
        <v>1E-3</v>
      </c>
    </row>
    <row r="1646" spans="1:4">
      <c r="A1646" t="s">
        <v>533</v>
      </c>
      <c r="B1646" t="s">
        <v>553</v>
      </c>
      <c r="C1646" s="342">
        <v>230</v>
      </c>
      <c r="D1646" s="344">
        <v>1E-3</v>
      </c>
    </row>
    <row r="1647" spans="1:4">
      <c r="A1647" t="s">
        <v>533</v>
      </c>
      <c r="B1647" t="s">
        <v>553</v>
      </c>
      <c r="C1647" s="343">
        <v>230</v>
      </c>
      <c r="D1647" s="345">
        <v>1E-3</v>
      </c>
    </row>
    <row r="1648" spans="1:4">
      <c r="A1648" t="s">
        <v>533</v>
      </c>
      <c r="B1648" t="s">
        <v>553</v>
      </c>
      <c r="C1648" s="342">
        <v>230</v>
      </c>
      <c r="D1648" s="344">
        <v>1E-3</v>
      </c>
    </row>
    <row r="1649" spans="1:4">
      <c r="A1649" t="s">
        <v>533</v>
      </c>
      <c r="B1649" t="s">
        <v>553</v>
      </c>
      <c r="C1649" s="343">
        <v>230</v>
      </c>
      <c r="D1649" s="345">
        <v>1E-3</v>
      </c>
    </row>
    <row r="1650" spans="1:4">
      <c r="A1650" t="s">
        <v>533</v>
      </c>
      <c r="B1650" t="s">
        <v>553</v>
      </c>
      <c r="C1650" s="342">
        <v>230</v>
      </c>
      <c r="D1650" s="344">
        <v>1E-3</v>
      </c>
    </row>
    <row r="1651" spans="1:4">
      <c r="A1651" t="s">
        <v>533</v>
      </c>
      <c r="B1651" t="s">
        <v>553</v>
      </c>
      <c r="C1651" s="343">
        <v>230</v>
      </c>
      <c r="D1651" s="345">
        <v>1E-3</v>
      </c>
    </row>
    <row r="1652" spans="1:4">
      <c r="A1652" t="s">
        <v>533</v>
      </c>
      <c r="B1652" t="s">
        <v>553</v>
      </c>
      <c r="C1652" s="342">
        <v>230</v>
      </c>
      <c r="D1652" s="344">
        <v>1E-3</v>
      </c>
    </row>
    <row r="1653" spans="1:4">
      <c r="A1653" t="s">
        <v>533</v>
      </c>
      <c r="B1653" t="s">
        <v>553</v>
      </c>
      <c r="C1653" s="343">
        <v>230</v>
      </c>
      <c r="D1653" s="345">
        <v>1E-3</v>
      </c>
    </row>
    <row r="1654" spans="1:4">
      <c r="A1654" t="s">
        <v>533</v>
      </c>
      <c r="B1654" t="s">
        <v>553</v>
      </c>
      <c r="C1654" s="342">
        <v>230</v>
      </c>
      <c r="D1654" s="344">
        <v>1E-3</v>
      </c>
    </row>
    <row r="1655" spans="1:4">
      <c r="A1655" t="s">
        <v>533</v>
      </c>
      <c r="B1655" t="s">
        <v>553</v>
      </c>
      <c r="C1655" s="343">
        <v>230</v>
      </c>
      <c r="D1655" s="345">
        <v>1E-3</v>
      </c>
    </row>
    <row r="1656" spans="1:4">
      <c r="A1656" t="s">
        <v>533</v>
      </c>
      <c r="B1656" t="s">
        <v>553</v>
      </c>
      <c r="C1656" s="342">
        <v>230</v>
      </c>
      <c r="D1656" s="344">
        <v>1E-3</v>
      </c>
    </row>
    <row r="1657" spans="1:4">
      <c r="A1657" t="s">
        <v>533</v>
      </c>
      <c r="B1657" t="s">
        <v>553</v>
      </c>
      <c r="C1657" s="343">
        <v>230</v>
      </c>
      <c r="D1657" s="345">
        <v>1E-3</v>
      </c>
    </row>
    <row r="1658" spans="1:4">
      <c r="A1658" t="s">
        <v>533</v>
      </c>
      <c r="B1658" t="s">
        <v>553</v>
      </c>
      <c r="C1658" s="342">
        <v>230</v>
      </c>
      <c r="D1658" s="344">
        <v>1E-3</v>
      </c>
    </row>
    <row r="1659" spans="1:4">
      <c r="A1659" t="s">
        <v>533</v>
      </c>
      <c r="B1659" t="s">
        <v>553</v>
      </c>
      <c r="C1659" s="343">
        <v>230</v>
      </c>
      <c r="D1659" s="345">
        <v>1E-3</v>
      </c>
    </row>
    <row r="1660" spans="1:4">
      <c r="A1660" t="s">
        <v>533</v>
      </c>
      <c r="B1660" t="s">
        <v>548</v>
      </c>
      <c r="C1660" s="342">
        <v>340</v>
      </c>
      <c r="D1660" s="344">
        <v>8.0000000000000002E-3</v>
      </c>
    </row>
    <row r="1661" spans="1:4">
      <c r="A1661" t="s">
        <v>533</v>
      </c>
      <c r="B1661" t="s">
        <v>548</v>
      </c>
      <c r="C1661" s="343">
        <v>340</v>
      </c>
      <c r="D1661" s="345">
        <v>8.0000000000000002E-3</v>
      </c>
    </row>
    <row r="1662" spans="1:4">
      <c r="A1662" t="s">
        <v>533</v>
      </c>
      <c r="B1662" t="s">
        <v>548</v>
      </c>
      <c r="C1662" s="342">
        <v>340</v>
      </c>
      <c r="D1662" s="344">
        <v>8.0000000000000002E-3</v>
      </c>
    </row>
    <row r="1663" spans="1:4">
      <c r="A1663" t="s">
        <v>533</v>
      </c>
      <c r="B1663" t="s">
        <v>548</v>
      </c>
      <c r="C1663" s="343">
        <v>340</v>
      </c>
      <c r="D1663" s="345">
        <v>8.0000000000000002E-3</v>
      </c>
    </row>
    <row r="1664" spans="1:4">
      <c r="A1664" t="s">
        <v>533</v>
      </c>
      <c r="B1664" t="s">
        <v>548</v>
      </c>
      <c r="C1664" s="342">
        <v>340</v>
      </c>
      <c r="D1664" s="344">
        <v>8.0000000000000002E-3</v>
      </c>
    </row>
    <row r="1665" spans="1:4">
      <c r="A1665" t="s">
        <v>533</v>
      </c>
      <c r="B1665" t="s">
        <v>548</v>
      </c>
      <c r="C1665" s="343">
        <v>340</v>
      </c>
      <c r="D1665" s="345">
        <v>8.0000000000000002E-3</v>
      </c>
    </row>
    <row r="1666" spans="1:4">
      <c r="A1666" t="s">
        <v>533</v>
      </c>
      <c r="B1666" t="s">
        <v>548</v>
      </c>
      <c r="C1666" s="342">
        <v>340</v>
      </c>
      <c r="D1666" s="344">
        <v>8.0000000000000002E-3</v>
      </c>
    </row>
    <row r="1667" spans="1:4">
      <c r="A1667" t="s">
        <v>533</v>
      </c>
      <c r="B1667" t="s">
        <v>548</v>
      </c>
      <c r="C1667" s="343">
        <v>340</v>
      </c>
      <c r="D1667" s="345">
        <v>8.0000000000000002E-3</v>
      </c>
    </row>
    <row r="1668" spans="1:4">
      <c r="A1668" t="s">
        <v>533</v>
      </c>
      <c r="B1668" t="s">
        <v>548</v>
      </c>
      <c r="C1668" s="342">
        <v>340</v>
      </c>
      <c r="D1668" s="344">
        <v>8.0000000000000002E-3</v>
      </c>
    </row>
    <row r="1669" spans="1:4">
      <c r="A1669" t="s">
        <v>533</v>
      </c>
      <c r="B1669" t="s">
        <v>548</v>
      </c>
      <c r="C1669" s="343">
        <v>340</v>
      </c>
      <c r="D1669" s="345">
        <v>8.0000000000000002E-3</v>
      </c>
    </row>
    <row r="1670" spans="1:4">
      <c r="A1670" t="s">
        <v>533</v>
      </c>
      <c r="B1670" t="s">
        <v>548</v>
      </c>
      <c r="C1670" s="342">
        <v>340</v>
      </c>
      <c r="D1670" s="344">
        <v>8.0000000000000002E-3</v>
      </c>
    </row>
    <row r="1671" spans="1:4">
      <c r="A1671" t="s">
        <v>533</v>
      </c>
      <c r="B1671" t="s">
        <v>548</v>
      </c>
      <c r="C1671" s="343">
        <v>340</v>
      </c>
      <c r="D1671" s="345">
        <v>8.0000000000000002E-3</v>
      </c>
    </row>
    <row r="1672" spans="1:4">
      <c r="A1672" t="s">
        <v>533</v>
      </c>
      <c r="B1672" t="s">
        <v>548</v>
      </c>
      <c r="C1672" s="342">
        <v>340</v>
      </c>
      <c r="D1672" s="344">
        <v>8.0000000000000002E-3</v>
      </c>
    </row>
    <row r="1673" spans="1:4">
      <c r="A1673" t="s">
        <v>533</v>
      </c>
      <c r="B1673" t="s">
        <v>548</v>
      </c>
      <c r="C1673" s="343">
        <v>340</v>
      </c>
      <c r="D1673" s="345">
        <v>8.0000000000000002E-3</v>
      </c>
    </row>
    <row r="1674" spans="1:4">
      <c r="A1674" t="s">
        <v>533</v>
      </c>
      <c r="B1674" t="s">
        <v>548</v>
      </c>
      <c r="C1674" s="342">
        <v>340</v>
      </c>
      <c r="D1674" s="344">
        <v>8.0000000000000002E-3</v>
      </c>
    </row>
    <row r="1675" spans="1:4">
      <c r="A1675" t="s">
        <v>533</v>
      </c>
      <c r="B1675" t="s">
        <v>548</v>
      </c>
      <c r="C1675" s="343">
        <v>340</v>
      </c>
      <c r="D1675" s="345">
        <v>8.0000000000000002E-3</v>
      </c>
    </row>
    <row r="1676" spans="1:4">
      <c r="A1676" t="s">
        <v>533</v>
      </c>
      <c r="B1676" t="s">
        <v>548</v>
      </c>
      <c r="C1676" s="342">
        <v>340</v>
      </c>
      <c r="D1676" s="344">
        <v>8.0000000000000002E-3</v>
      </c>
    </row>
    <row r="1677" spans="1:4">
      <c r="A1677" t="s">
        <v>533</v>
      </c>
      <c r="B1677" t="s">
        <v>548</v>
      </c>
      <c r="C1677" s="343">
        <v>340</v>
      </c>
      <c r="D1677" s="345">
        <v>8.0000000000000002E-3</v>
      </c>
    </row>
    <row r="1678" spans="1:4">
      <c r="A1678" t="s">
        <v>533</v>
      </c>
      <c r="B1678" t="s">
        <v>548</v>
      </c>
      <c r="C1678" s="342">
        <v>340</v>
      </c>
      <c r="D1678" s="344">
        <v>8.0000000000000002E-3</v>
      </c>
    </row>
    <row r="1679" spans="1:4">
      <c r="A1679" t="s">
        <v>533</v>
      </c>
      <c r="B1679" t="s">
        <v>548</v>
      </c>
      <c r="C1679" s="343">
        <v>340</v>
      </c>
      <c r="D1679" s="345">
        <v>8.0000000000000002E-3</v>
      </c>
    </row>
    <row r="1680" spans="1:4">
      <c r="A1680" t="s">
        <v>533</v>
      </c>
      <c r="B1680" t="s">
        <v>548</v>
      </c>
      <c r="C1680" s="342">
        <v>340</v>
      </c>
      <c r="D1680" s="344">
        <v>8.0000000000000002E-3</v>
      </c>
    </row>
    <row r="1681" spans="1:4">
      <c r="A1681" t="s">
        <v>533</v>
      </c>
      <c r="B1681" t="s">
        <v>548</v>
      </c>
      <c r="C1681" s="343">
        <v>340</v>
      </c>
      <c r="D1681" s="345">
        <v>8.0000000000000002E-3</v>
      </c>
    </row>
    <row r="1682" spans="1:4">
      <c r="A1682" t="s">
        <v>533</v>
      </c>
      <c r="B1682" t="s">
        <v>548</v>
      </c>
      <c r="C1682" s="342">
        <v>340</v>
      </c>
      <c r="D1682" s="344">
        <v>8.0000000000000002E-3</v>
      </c>
    </row>
    <row r="1683" spans="1:4">
      <c r="A1683" t="s">
        <v>533</v>
      </c>
      <c r="B1683" t="s">
        <v>548</v>
      </c>
      <c r="C1683" s="343">
        <v>340</v>
      </c>
      <c r="D1683" s="345">
        <v>8.0000000000000002E-3</v>
      </c>
    </row>
    <row r="1684" spans="1:4">
      <c r="A1684" t="s">
        <v>533</v>
      </c>
      <c r="B1684" t="s">
        <v>508</v>
      </c>
      <c r="C1684" s="342">
        <v>435</v>
      </c>
      <c r="D1684" s="344">
        <v>7.0000000000000001E-3</v>
      </c>
    </row>
    <row r="1685" spans="1:4">
      <c r="A1685" t="s">
        <v>533</v>
      </c>
      <c r="B1685" t="s">
        <v>508</v>
      </c>
      <c r="C1685" s="343">
        <v>435</v>
      </c>
      <c r="D1685" s="345">
        <v>7.0000000000000001E-3</v>
      </c>
    </row>
    <row r="1686" spans="1:4">
      <c r="A1686" t="s">
        <v>533</v>
      </c>
      <c r="B1686" t="s">
        <v>508</v>
      </c>
      <c r="C1686" s="342">
        <v>435</v>
      </c>
      <c r="D1686" s="344">
        <v>7.0000000000000001E-3</v>
      </c>
    </row>
    <row r="1687" spans="1:4">
      <c r="A1687" t="s">
        <v>533</v>
      </c>
      <c r="B1687" t="s">
        <v>508</v>
      </c>
      <c r="C1687" s="343">
        <v>435</v>
      </c>
      <c r="D1687" s="345">
        <v>7.0000000000000001E-3</v>
      </c>
    </row>
    <row r="1688" spans="1:4">
      <c r="A1688" t="s">
        <v>533</v>
      </c>
      <c r="B1688" t="s">
        <v>508</v>
      </c>
      <c r="C1688" s="342">
        <v>435</v>
      </c>
      <c r="D1688" s="344">
        <v>7.0000000000000001E-3</v>
      </c>
    </row>
    <row r="1689" spans="1:4">
      <c r="A1689" t="s">
        <v>533</v>
      </c>
      <c r="B1689" t="s">
        <v>508</v>
      </c>
      <c r="C1689" s="343">
        <v>435</v>
      </c>
      <c r="D1689" s="345">
        <v>7.0000000000000001E-3</v>
      </c>
    </row>
    <row r="1690" spans="1:4">
      <c r="A1690" t="s">
        <v>533</v>
      </c>
      <c r="B1690" t="s">
        <v>508</v>
      </c>
      <c r="C1690" s="342">
        <v>435</v>
      </c>
      <c r="D1690" s="344">
        <v>7.0000000000000001E-3</v>
      </c>
    </row>
    <row r="1691" spans="1:4">
      <c r="A1691" t="s">
        <v>533</v>
      </c>
      <c r="B1691" t="s">
        <v>508</v>
      </c>
      <c r="C1691" s="343">
        <v>435</v>
      </c>
      <c r="D1691" s="345">
        <v>7.0000000000000001E-3</v>
      </c>
    </row>
    <row r="1692" spans="1:4">
      <c r="A1692" t="s">
        <v>533</v>
      </c>
      <c r="B1692" t="s">
        <v>508</v>
      </c>
      <c r="C1692" s="342">
        <v>435</v>
      </c>
      <c r="D1692" s="344">
        <v>7.0000000000000001E-3</v>
      </c>
    </row>
    <row r="1693" spans="1:4">
      <c r="A1693" t="s">
        <v>533</v>
      </c>
      <c r="B1693" t="s">
        <v>508</v>
      </c>
      <c r="C1693" s="343">
        <v>435</v>
      </c>
      <c r="D1693" s="345">
        <v>7.0000000000000001E-3</v>
      </c>
    </row>
    <row r="1694" spans="1:4">
      <c r="A1694" t="s">
        <v>533</v>
      </c>
      <c r="B1694" t="s">
        <v>508</v>
      </c>
      <c r="C1694" s="342">
        <v>435</v>
      </c>
      <c r="D1694" s="344">
        <v>7.0000000000000001E-3</v>
      </c>
    </row>
    <row r="1695" spans="1:4">
      <c r="A1695" t="s">
        <v>533</v>
      </c>
      <c r="B1695" t="s">
        <v>508</v>
      </c>
      <c r="C1695" s="343">
        <v>435</v>
      </c>
      <c r="D1695" s="345">
        <v>7.0000000000000001E-3</v>
      </c>
    </row>
    <row r="1696" spans="1:4">
      <c r="A1696" t="s">
        <v>533</v>
      </c>
      <c r="B1696" t="s">
        <v>508</v>
      </c>
      <c r="C1696" s="342">
        <v>435</v>
      </c>
      <c r="D1696" s="344">
        <v>7.0000000000000001E-3</v>
      </c>
    </row>
    <row r="1697" spans="1:4">
      <c r="A1697" t="s">
        <v>533</v>
      </c>
      <c r="B1697" t="s">
        <v>508</v>
      </c>
      <c r="C1697" s="343">
        <v>435</v>
      </c>
      <c r="D1697" s="345">
        <v>7.0000000000000001E-3</v>
      </c>
    </row>
    <row r="1698" spans="1:4">
      <c r="A1698" t="s">
        <v>533</v>
      </c>
      <c r="B1698" t="s">
        <v>508</v>
      </c>
      <c r="C1698" s="342">
        <v>435</v>
      </c>
      <c r="D1698" s="344">
        <v>7.0000000000000001E-3</v>
      </c>
    </row>
    <row r="1699" spans="1:4">
      <c r="A1699" t="s">
        <v>533</v>
      </c>
      <c r="B1699" t="s">
        <v>508</v>
      </c>
      <c r="C1699" s="343">
        <v>435</v>
      </c>
      <c r="D1699" s="345">
        <v>7.0000000000000001E-3</v>
      </c>
    </row>
    <row r="1700" spans="1:4">
      <c r="A1700" t="s">
        <v>533</v>
      </c>
      <c r="B1700" t="s">
        <v>540</v>
      </c>
      <c r="C1700" s="342">
        <v>244</v>
      </c>
      <c r="D1700" s="344">
        <v>4.0000000000000001E-3</v>
      </c>
    </row>
    <row r="1701" spans="1:4">
      <c r="A1701" t="s">
        <v>533</v>
      </c>
      <c r="B1701" t="s">
        <v>542</v>
      </c>
      <c r="C1701" s="343">
        <v>280</v>
      </c>
      <c r="D1701" s="345">
        <v>5.0000000000000001E-3</v>
      </c>
    </row>
    <row r="1702" spans="1:4">
      <c r="A1702" t="s">
        <v>533</v>
      </c>
      <c r="B1702" t="s">
        <v>542</v>
      </c>
      <c r="C1702" s="342">
        <v>280</v>
      </c>
      <c r="D1702" s="344">
        <v>5.0000000000000001E-3</v>
      </c>
    </row>
    <row r="1703" spans="1:4">
      <c r="A1703" t="s">
        <v>533</v>
      </c>
      <c r="B1703" t="s">
        <v>537</v>
      </c>
      <c r="C1703" s="343">
        <v>236</v>
      </c>
      <c r="D1703" s="345">
        <v>4.0000000000000001E-3</v>
      </c>
    </row>
    <row r="1704" spans="1:4">
      <c r="A1704" t="s">
        <v>533</v>
      </c>
      <c r="B1704" t="s">
        <v>473</v>
      </c>
      <c r="C1704" s="342">
        <v>140</v>
      </c>
      <c r="D1704" s="344">
        <v>2E-3</v>
      </c>
    </row>
    <row r="1705" spans="1:4">
      <c r="A1705" t="s">
        <v>533</v>
      </c>
      <c r="B1705" t="s">
        <v>473</v>
      </c>
      <c r="C1705" s="343">
        <v>140</v>
      </c>
      <c r="D1705" s="345">
        <v>2E-3</v>
      </c>
    </row>
    <row r="1706" spans="1:4">
      <c r="A1706" t="s">
        <v>533</v>
      </c>
      <c r="B1706" t="s">
        <v>473</v>
      </c>
      <c r="C1706" s="342">
        <v>140</v>
      </c>
      <c r="D1706" s="344">
        <v>2E-3</v>
      </c>
    </row>
    <row r="1707" spans="1:4">
      <c r="A1707" t="s">
        <v>533</v>
      </c>
      <c r="B1707" t="s">
        <v>473</v>
      </c>
      <c r="C1707" s="343">
        <v>140</v>
      </c>
      <c r="D1707" s="345">
        <v>2E-3</v>
      </c>
    </row>
    <row r="1708" spans="1:4">
      <c r="A1708" t="s">
        <v>533</v>
      </c>
      <c r="B1708" t="s">
        <v>473</v>
      </c>
      <c r="C1708" s="342">
        <v>140</v>
      </c>
      <c r="D1708" s="344">
        <v>2E-3</v>
      </c>
    </row>
    <row r="1709" spans="1:4">
      <c r="A1709" t="s">
        <v>533</v>
      </c>
      <c r="B1709" t="s">
        <v>473</v>
      </c>
      <c r="C1709" s="343">
        <v>140</v>
      </c>
      <c r="D1709" s="345">
        <v>2E-3</v>
      </c>
    </row>
    <row r="1710" spans="1:4">
      <c r="A1710" t="s">
        <v>533</v>
      </c>
      <c r="B1710" t="s">
        <v>473</v>
      </c>
      <c r="C1710" s="342">
        <v>140</v>
      </c>
      <c r="D1710" s="344">
        <v>2E-3</v>
      </c>
    </row>
    <row r="1711" spans="1:4">
      <c r="A1711" t="s">
        <v>533</v>
      </c>
      <c r="B1711" t="s">
        <v>473</v>
      </c>
      <c r="C1711" s="343">
        <v>140</v>
      </c>
      <c r="D1711" s="345">
        <v>2E-3</v>
      </c>
    </row>
    <row r="1712" spans="1:4">
      <c r="A1712" t="s">
        <v>533</v>
      </c>
      <c r="B1712" t="s">
        <v>473</v>
      </c>
      <c r="C1712" s="342">
        <v>140</v>
      </c>
      <c r="D1712" s="344">
        <v>2E-3</v>
      </c>
    </row>
    <row r="1713" spans="1:4">
      <c r="A1713" t="s">
        <v>533</v>
      </c>
      <c r="B1713" t="s">
        <v>473</v>
      </c>
      <c r="C1713" s="343">
        <v>140</v>
      </c>
      <c r="D1713" s="345">
        <v>2E-3</v>
      </c>
    </row>
    <row r="1714" spans="1:4">
      <c r="A1714" t="s">
        <v>533</v>
      </c>
      <c r="B1714" t="s">
        <v>541</v>
      </c>
      <c r="C1714" s="342">
        <v>230</v>
      </c>
      <c r="D1714" s="344">
        <v>5.0000000000000001E-3</v>
      </c>
    </row>
    <row r="1715" spans="1:4">
      <c r="A1715" t="s">
        <v>533</v>
      </c>
      <c r="B1715" t="s">
        <v>540</v>
      </c>
      <c r="C1715" s="343">
        <v>244</v>
      </c>
      <c r="D1715" s="345">
        <v>4.0000000000000001E-3</v>
      </c>
    </row>
    <row r="1716" spans="1:4">
      <c r="A1716" t="s">
        <v>533</v>
      </c>
      <c r="B1716" t="s">
        <v>477</v>
      </c>
      <c r="C1716" s="342">
        <v>230</v>
      </c>
      <c r="D1716" s="344">
        <v>4.0000000000000001E-3</v>
      </c>
    </row>
    <row r="1717" spans="1:4">
      <c r="A1717" t="s">
        <v>533</v>
      </c>
      <c r="B1717" t="s">
        <v>477</v>
      </c>
      <c r="C1717" s="343">
        <v>230</v>
      </c>
      <c r="D1717" s="345">
        <v>4.0000000000000001E-3</v>
      </c>
    </row>
    <row r="1718" spans="1:4">
      <c r="A1718" t="s">
        <v>533</v>
      </c>
      <c r="B1718" t="s">
        <v>478</v>
      </c>
      <c r="C1718" s="342">
        <v>265</v>
      </c>
      <c r="D1718" s="344">
        <v>6.0000000000000001E-3</v>
      </c>
    </row>
    <row r="1719" spans="1:4">
      <c r="A1719" t="s">
        <v>533</v>
      </c>
      <c r="B1719" t="s">
        <v>478</v>
      </c>
      <c r="C1719" s="343">
        <v>265</v>
      </c>
      <c r="D1719" s="345">
        <v>6.0000000000000001E-3</v>
      </c>
    </row>
    <row r="1720" spans="1:4">
      <c r="A1720" t="s">
        <v>533</v>
      </c>
      <c r="B1720" t="s">
        <v>478</v>
      </c>
      <c r="C1720" s="342">
        <v>265</v>
      </c>
      <c r="D1720" s="344">
        <v>6.0000000000000001E-3</v>
      </c>
    </row>
    <row r="1721" spans="1:4">
      <c r="A1721" t="s">
        <v>533</v>
      </c>
      <c r="B1721" t="s">
        <v>478</v>
      </c>
      <c r="C1721" s="343">
        <v>265</v>
      </c>
      <c r="D1721" s="345">
        <v>6.0000000000000001E-3</v>
      </c>
    </row>
    <row r="1722" spans="1:4">
      <c r="A1722" t="s">
        <v>533</v>
      </c>
      <c r="B1722" t="s">
        <v>478</v>
      </c>
      <c r="C1722" s="342">
        <v>265</v>
      </c>
      <c r="D1722" s="344">
        <v>6.0000000000000001E-3</v>
      </c>
    </row>
    <row r="1723" spans="1:4">
      <c r="A1723" t="s">
        <v>533</v>
      </c>
      <c r="B1723" t="s">
        <v>478</v>
      </c>
      <c r="C1723" s="343">
        <v>265</v>
      </c>
      <c r="D1723" s="345">
        <v>6.0000000000000001E-3</v>
      </c>
    </row>
    <row r="1724" spans="1:4">
      <c r="A1724" t="s">
        <v>533</v>
      </c>
      <c r="B1724" t="s">
        <v>478</v>
      </c>
      <c r="C1724" s="342">
        <v>265</v>
      </c>
      <c r="D1724" s="344">
        <v>6.0000000000000001E-3</v>
      </c>
    </row>
    <row r="1725" spans="1:4">
      <c r="A1725" t="s">
        <v>533</v>
      </c>
      <c r="B1725" t="s">
        <v>546</v>
      </c>
      <c r="C1725" s="343">
        <v>100</v>
      </c>
      <c r="D1725" s="345">
        <v>0</v>
      </c>
    </row>
    <row r="1726" spans="1:4">
      <c r="A1726" t="s">
        <v>533</v>
      </c>
      <c r="B1726" t="s">
        <v>546</v>
      </c>
      <c r="C1726" s="342">
        <v>100</v>
      </c>
      <c r="D1726" s="344">
        <v>0</v>
      </c>
    </row>
    <row r="1727" spans="1:4">
      <c r="A1727" t="s">
        <v>533</v>
      </c>
      <c r="B1727" t="s">
        <v>546</v>
      </c>
      <c r="C1727" s="343">
        <v>100</v>
      </c>
      <c r="D1727" s="345">
        <v>0</v>
      </c>
    </row>
    <row r="1728" spans="1:4">
      <c r="A1728" t="s">
        <v>533</v>
      </c>
      <c r="B1728" t="s">
        <v>541</v>
      </c>
      <c r="C1728" s="342">
        <v>230</v>
      </c>
      <c r="D1728" s="344">
        <v>5.0000000000000001E-3</v>
      </c>
    </row>
    <row r="1729" spans="1:4">
      <c r="A1729" t="s">
        <v>533</v>
      </c>
      <c r="B1729" t="s">
        <v>536</v>
      </c>
      <c r="C1729" s="343">
        <v>219</v>
      </c>
      <c r="D1729" s="345">
        <v>4.0000000000000001E-3</v>
      </c>
    </row>
    <row r="1730" spans="1:4">
      <c r="A1730" t="s">
        <v>533</v>
      </c>
      <c r="B1730" t="s">
        <v>536</v>
      </c>
      <c r="C1730" s="342">
        <v>219</v>
      </c>
      <c r="D1730" s="344">
        <v>4.0000000000000001E-3</v>
      </c>
    </row>
    <row r="1731" spans="1:4">
      <c r="A1731" t="s">
        <v>533</v>
      </c>
      <c r="B1731" t="s">
        <v>536</v>
      </c>
      <c r="C1731" s="343">
        <v>219</v>
      </c>
      <c r="D1731" s="345">
        <v>4.0000000000000001E-3</v>
      </c>
    </row>
    <row r="1732" spans="1:4">
      <c r="A1732" t="s">
        <v>533</v>
      </c>
      <c r="B1732" t="s">
        <v>540</v>
      </c>
      <c r="C1732" s="342">
        <v>257</v>
      </c>
      <c r="D1732" s="344">
        <v>4.0000000000000001E-3</v>
      </c>
    </row>
    <row r="1733" spans="1:4">
      <c r="A1733" t="s">
        <v>533</v>
      </c>
      <c r="B1733" t="s">
        <v>537</v>
      </c>
      <c r="C1733" s="343">
        <v>236</v>
      </c>
      <c r="D1733" s="345">
        <v>4.0000000000000001E-3</v>
      </c>
    </row>
    <row r="1734" spans="1:4">
      <c r="A1734" t="s">
        <v>533</v>
      </c>
      <c r="B1734" t="s">
        <v>539</v>
      </c>
      <c r="C1734" s="342">
        <v>267</v>
      </c>
      <c r="D1734" s="344">
        <v>5.0000000000000001E-3</v>
      </c>
    </row>
    <row r="1735" spans="1:4">
      <c r="A1735" t="s">
        <v>533</v>
      </c>
      <c r="B1735" t="s">
        <v>539</v>
      </c>
      <c r="C1735" s="343">
        <v>267</v>
      </c>
      <c r="D1735" s="345">
        <v>5.0000000000000001E-3</v>
      </c>
    </row>
    <row r="1736" spans="1:4">
      <c r="A1736" t="s">
        <v>533</v>
      </c>
      <c r="B1736" t="s">
        <v>540</v>
      </c>
      <c r="C1736" s="342">
        <v>257</v>
      </c>
      <c r="D1736" s="344">
        <v>4.0000000000000001E-3</v>
      </c>
    </row>
    <row r="1737" spans="1:4">
      <c r="A1737" t="s">
        <v>533</v>
      </c>
      <c r="B1737" t="s">
        <v>541</v>
      </c>
      <c r="C1737" s="343">
        <v>230</v>
      </c>
      <c r="D1737" s="345">
        <v>5.0000000000000001E-3</v>
      </c>
    </row>
    <row r="1738" spans="1:4">
      <c r="A1738" t="s">
        <v>533</v>
      </c>
      <c r="B1738" t="s">
        <v>539</v>
      </c>
      <c r="C1738" s="342">
        <v>267</v>
      </c>
      <c r="D1738" s="344">
        <v>5.0000000000000001E-3</v>
      </c>
    </row>
    <row r="1739" spans="1:4">
      <c r="A1739" t="s">
        <v>533</v>
      </c>
      <c r="B1739" t="s">
        <v>539</v>
      </c>
      <c r="C1739" s="343">
        <v>267</v>
      </c>
      <c r="D1739" s="345">
        <v>5.0000000000000001E-3</v>
      </c>
    </row>
    <row r="1740" spans="1:4">
      <c r="A1740" t="s">
        <v>533</v>
      </c>
      <c r="B1740" t="s">
        <v>552</v>
      </c>
      <c r="C1740" s="342">
        <v>380</v>
      </c>
      <c r="D1740" s="344">
        <v>0.01</v>
      </c>
    </row>
    <row r="1741" spans="1:4">
      <c r="A1741" t="s">
        <v>533</v>
      </c>
      <c r="B1741" t="s">
        <v>546</v>
      </c>
      <c r="C1741" s="343">
        <v>100</v>
      </c>
      <c r="D1741" s="345">
        <v>1E-3</v>
      </c>
    </row>
    <row r="1742" spans="1:4">
      <c r="A1742" t="s">
        <v>533</v>
      </c>
      <c r="B1742" t="s">
        <v>546</v>
      </c>
      <c r="C1742" s="342">
        <v>100</v>
      </c>
      <c r="D1742" s="344">
        <v>1E-3</v>
      </c>
    </row>
    <row r="1743" spans="1:4">
      <c r="A1743" t="s">
        <v>533</v>
      </c>
      <c r="B1743" t="s">
        <v>546</v>
      </c>
      <c r="C1743" s="343">
        <v>100</v>
      </c>
      <c r="D1743" s="345">
        <v>1E-3</v>
      </c>
    </row>
    <row r="1744" spans="1:4">
      <c r="A1744" t="s">
        <v>533</v>
      </c>
      <c r="B1744" t="s">
        <v>546</v>
      </c>
      <c r="C1744" s="342">
        <v>100</v>
      </c>
      <c r="D1744" s="344">
        <v>1E-3</v>
      </c>
    </row>
    <row r="1745" spans="1:4">
      <c r="A1745" t="s">
        <v>533</v>
      </c>
      <c r="B1745" t="s">
        <v>546</v>
      </c>
      <c r="C1745" s="343">
        <v>100</v>
      </c>
      <c r="D1745" s="345">
        <v>1E-3</v>
      </c>
    </row>
    <row r="1746" spans="1:4">
      <c r="A1746" t="s">
        <v>533</v>
      </c>
      <c r="B1746" t="s">
        <v>546</v>
      </c>
      <c r="C1746" s="342">
        <v>100</v>
      </c>
      <c r="D1746" s="344">
        <v>1E-3</v>
      </c>
    </row>
    <row r="1747" spans="1:4">
      <c r="A1747" t="s">
        <v>533</v>
      </c>
      <c r="B1747" t="s">
        <v>546</v>
      </c>
      <c r="C1747" s="343">
        <v>100</v>
      </c>
      <c r="D1747" s="345">
        <v>1E-3</v>
      </c>
    </row>
    <row r="1748" spans="1:4">
      <c r="A1748" t="s">
        <v>533</v>
      </c>
      <c r="B1748" t="s">
        <v>546</v>
      </c>
      <c r="C1748" s="342">
        <v>100</v>
      </c>
      <c r="D1748" s="344">
        <v>1E-3</v>
      </c>
    </row>
    <row r="1749" spans="1:4">
      <c r="A1749" t="s">
        <v>533</v>
      </c>
      <c r="B1749" t="s">
        <v>546</v>
      </c>
      <c r="C1749" s="343">
        <v>100</v>
      </c>
      <c r="D1749" s="345">
        <v>1E-3</v>
      </c>
    </row>
    <row r="1750" spans="1:4">
      <c r="A1750" t="s">
        <v>533</v>
      </c>
      <c r="B1750" t="s">
        <v>546</v>
      </c>
      <c r="C1750" s="342">
        <v>100</v>
      </c>
      <c r="D1750" s="344">
        <v>1E-3</v>
      </c>
    </row>
    <row r="1751" spans="1:4">
      <c r="A1751" t="s">
        <v>533</v>
      </c>
      <c r="B1751" t="s">
        <v>546</v>
      </c>
      <c r="C1751" s="343">
        <v>100</v>
      </c>
      <c r="D1751" s="345">
        <v>1E-3</v>
      </c>
    </row>
    <row r="1752" spans="1:4">
      <c r="A1752" t="s">
        <v>533</v>
      </c>
      <c r="B1752" t="s">
        <v>546</v>
      </c>
      <c r="C1752" s="342">
        <v>100</v>
      </c>
      <c r="D1752" s="344">
        <v>1E-3</v>
      </c>
    </row>
    <row r="1753" spans="1:4">
      <c r="A1753" t="s">
        <v>533</v>
      </c>
      <c r="B1753" t="s">
        <v>546</v>
      </c>
      <c r="C1753" s="343">
        <v>100</v>
      </c>
      <c r="D1753" s="345">
        <v>1E-3</v>
      </c>
    </row>
    <row r="1754" spans="1:4">
      <c r="A1754" t="s">
        <v>533</v>
      </c>
      <c r="B1754" t="s">
        <v>546</v>
      </c>
      <c r="C1754" s="342">
        <v>100</v>
      </c>
      <c r="D1754" s="344">
        <v>1E-3</v>
      </c>
    </row>
    <row r="1755" spans="1:4">
      <c r="A1755" t="s">
        <v>533</v>
      </c>
      <c r="B1755" t="s">
        <v>546</v>
      </c>
      <c r="C1755" s="343">
        <v>100</v>
      </c>
      <c r="D1755" s="345">
        <v>1E-3</v>
      </c>
    </row>
    <row r="1756" spans="1:4">
      <c r="A1756" t="s">
        <v>533</v>
      </c>
      <c r="B1756" t="s">
        <v>546</v>
      </c>
      <c r="C1756" s="342">
        <v>100</v>
      </c>
      <c r="D1756" s="344">
        <v>1E-3</v>
      </c>
    </row>
    <row r="1757" spans="1:4">
      <c r="A1757" t="s">
        <v>533</v>
      </c>
      <c r="B1757" t="s">
        <v>545</v>
      </c>
      <c r="C1757" s="343">
        <v>108</v>
      </c>
      <c r="D1757" s="345">
        <v>0</v>
      </c>
    </row>
    <row r="1758" spans="1:4">
      <c r="A1758" t="s">
        <v>533</v>
      </c>
      <c r="B1758" t="s">
        <v>545</v>
      </c>
      <c r="C1758" s="342">
        <v>108</v>
      </c>
      <c r="D1758" s="344">
        <v>0</v>
      </c>
    </row>
    <row r="1759" spans="1:4">
      <c r="A1759" t="s">
        <v>533</v>
      </c>
      <c r="B1759" t="s">
        <v>532</v>
      </c>
      <c r="C1759" s="343">
        <v>146</v>
      </c>
      <c r="D1759" s="345">
        <v>2E-3</v>
      </c>
    </row>
    <row r="1760" spans="1:4">
      <c r="A1760" t="s">
        <v>533</v>
      </c>
      <c r="B1760" t="s">
        <v>534</v>
      </c>
      <c r="C1760" s="342">
        <v>216</v>
      </c>
      <c r="D1760" s="344">
        <v>3.0000000000000001E-3</v>
      </c>
    </row>
    <row r="1761" spans="1:4">
      <c r="A1761" t="s">
        <v>533</v>
      </c>
      <c r="B1761" t="s">
        <v>549</v>
      </c>
      <c r="C1761" s="343">
        <v>275</v>
      </c>
      <c r="D1761" s="345">
        <v>4.0000000000000001E-3</v>
      </c>
    </row>
    <row r="1762" spans="1:4">
      <c r="A1762" t="s">
        <v>533</v>
      </c>
      <c r="B1762" t="s">
        <v>549</v>
      </c>
      <c r="C1762" s="342">
        <v>275</v>
      </c>
      <c r="D1762" s="344">
        <v>4.0000000000000001E-3</v>
      </c>
    </row>
    <row r="1763" spans="1:4">
      <c r="A1763" t="s">
        <v>533</v>
      </c>
      <c r="B1763" t="s">
        <v>549</v>
      </c>
      <c r="C1763" s="343">
        <v>275</v>
      </c>
      <c r="D1763" s="345">
        <v>4.0000000000000001E-3</v>
      </c>
    </row>
    <row r="1764" spans="1:4">
      <c r="A1764" t="s">
        <v>533</v>
      </c>
      <c r="B1764" t="s">
        <v>549</v>
      </c>
      <c r="C1764" s="342">
        <v>275</v>
      </c>
      <c r="D1764" s="344">
        <v>4.0000000000000001E-3</v>
      </c>
    </row>
    <row r="1765" spans="1:4">
      <c r="A1765" t="s">
        <v>533</v>
      </c>
      <c r="B1765" t="s">
        <v>541</v>
      </c>
      <c r="C1765" s="343">
        <v>230</v>
      </c>
      <c r="D1765" s="345">
        <v>5.0000000000000001E-3</v>
      </c>
    </row>
    <row r="1766" spans="1:4">
      <c r="A1766" t="s">
        <v>533</v>
      </c>
      <c r="B1766" t="s">
        <v>538</v>
      </c>
      <c r="C1766" s="342">
        <v>229</v>
      </c>
      <c r="D1766" s="344">
        <v>4.0000000000000001E-3</v>
      </c>
    </row>
    <row r="1767" spans="1:4">
      <c r="A1767" t="s">
        <v>533</v>
      </c>
      <c r="B1767" t="s">
        <v>550</v>
      </c>
      <c r="C1767" s="343">
        <v>211</v>
      </c>
      <c r="D1767" s="345">
        <v>4.0000000000000001E-3</v>
      </c>
    </row>
    <row r="1768" spans="1:4">
      <c r="A1768" t="s">
        <v>533</v>
      </c>
      <c r="B1768" t="s">
        <v>550</v>
      </c>
      <c r="C1768" s="342">
        <v>211</v>
      </c>
      <c r="D1768" s="344">
        <v>4.0000000000000001E-3</v>
      </c>
    </row>
    <row r="1769" spans="1:4">
      <c r="A1769" t="s">
        <v>533</v>
      </c>
      <c r="B1769" t="s">
        <v>542</v>
      </c>
      <c r="C1769" s="343">
        <v>280</v>
      </c>
      <c r="D1769" s="345">
        <v>5.0000000000000001E-3</v>
      </c>
    </row>
    <row r="1770" spans="1:4">
      <c r="A1770" t="s">
        <v>533</v>
      </c>
      <c r="B1770" t="s">
        <v>542</v>
      </c>
      <c r="C1770" s="342">
        <v>280</v>
      </c>
      <c r="D1770" s="344">
        <v>5.0000000000000001E-3</v>
      </c>
    </row>
    <row r="1771" spans="1:4">
      <c r="A1771" t="s">
        <v>533</v>
      </c>
      <c r="B1771" t="s">
        <v>537</v>
      </c>
      <c r="C1771" s="343">
        <v>236</v>
      </c>
      <c r="D1771" s="345">
        <v>4.0000000000000001E-3</v>
      </c>
    </row>
    <row r="1772" spans="1:4">
      <c r="A1772" t="s">
        <v>533</v>
      </c>
      <c r="B1772" t="s">
        <v>468</v>
      </c>
      <c r="C1772" s="342">
        <v>137</v>
      </c>
      <c r="D1772" s="344">
        <v>2E-3</v>
      </c>
    </row>
    <row r="1773" spans="1:4">
      <c r="A1773" t="s">
        <v>533</v>
      </c>
      <c r="B1773" t="s">
        <v>468</v>
      </c>
      <c r="C1773" s="343">
        <v>137</v>
      </c>
      <c r="D1773" s="345">
        <v>2E-3</v>
      </c>
    </row>
    <row r="1774" spans="1:4">
      <c r="A1774" t="s">
        <v>533</v>
      </c>
      <c r="B1774" t="s">
        <v>536</v>
      </c>
      <c r="C1774" s="342">
        <v>219</v>
      </c>
      <c r="D1774" s="344">
        <v>4.0000000000000001E-3</v>
      </c>
    </row>
    <row r="1775" spans="1:4">
      <c r="A1775" t="s">
        <v>533</v>
      </c>
      <c r="B1775" t="s">
        <v>551</v>
      </c>
      <c r="C1775" s="343">
        <v>211</v>
      </c>
      <c r="D1775" s="345">
        <v>4.0000000000000001E-3</v>
      </c>
    </row>
    <row r="1776" spans="1:4">
      <c r="A1776" t="s">
        <v>533</v>
      </c>
      <c r="B1776" t="s">
        <v>550</v>
      </c>
      <c r="C1776" s="342">
        <v>211</v>
      </c>
      <c r="D1776" s="344">
        <v>4.0000000000000001E-3</v>
      </c>
    </row>
    <row r="1777" spans="1:4">
      <c r="A1777" t="s">
        <v>533</v>
      </c>
      <c r="B1777" t="s">
        <v>550</v>
      </c>
      <c r="C1777" s="343">
        <v>211</v>
      </c>
      <c r="D1777" s="345">
        <v>4.0000000000000001E-3</v>
      </c>
    </row>
    <row r="1778" spans="1:4">
      <c r="A1778" t="s">
        <v>533</v>
      </c>
      <c r="B1778" t="s">
        <v>551</v>
      </c>
      <c r="C1778" s="342">
        <v>211</v>
      </c>
      <c r="D1778" s="344">
        <v>4.0000000000000001E-3</v>
      </c>
    </row>
    <row r="1779" spans="1:4">
      <c r="A1779" t="s">
        <v>533</v>
      </c>
      <c r="B1779" t="s">
        <v>536</v>
      </c>
      <c r="C1779" s="343">
        <v>219</v>
      </c>
      <c r="D1779" s="345">
        <v>4.0000000000000001E-3</v>
      </c>
    </row>
    <row r="1780" spans="1:4">
      <c r="A1780" t="s">
        <v>533</v>
      </c>
      <c r="B1780" t="s">
        <v>536</v>
      </c>
      <c r="C1780" s="342">
        <v>219</v>
      </c>
      <c r="D1780" s="344">
        <v>4.0000000000000001E-3</v>
      </c>
    </row>
    <row r="1781" spans="1:4">
      <c r="A1781" t="s">
        <v>533</v>
      </c>
      <c r="B1781" t="s">
        <v>536</v>
      </c>
      <c r="C1781" s="343">
        <v>219</v>
      </c>
      <c r="D1781" s="345">
        <v>4.0000000000000001E-3</v>
      </c>
    </row>
    <row r="1782" spans="1:4">
      <c r="A1782" t="s">
        <v>533</v>
      </c>
      <c r="B1782" t="s">
        <v>540</v>
      </c>
      <c r="C1782" s="342">
        <v>244</v>
      </c>
      <c r="D1782" s="344">
        <v>4.0000000000000001E-3</v>
      </c>
    </row>
    <row r="1783" spans="1:4">
      <c r="A1783" t="s">
        <v>533</v>
      </c>
      <c r="B1783" t="s">
        <v>538</v>
      </c>
      <c r="C1783" s="343">
        <v>229</v>
      </c>
      <c r="D1783" s="345">
        <v>4.0000000000000001E-3</v>
      </c>
    </row>
    <row r="1784" spans="1:4">
      <c r="A1784" t="s">
        <v>533</v>
      </c>
      <c r="B1784" t="s">
        <v>551</v>
      </c>
      <c r="C1784" s="342">
        <v>211</v>
      </c>
      <c r="D1784" s="344">
        <v>4.0000000000000001E-3</v>
      </c>
    </row>
    <row r="1785" spans="1:4">
      <c r="A1785" t="s">
        <v>533</v>
      </c>
      <c r="B1785" t="s">
        <v>537</v>
      </c>
      <c r="C1785" s="343">
        <v>236</v>
      </c>
      <c r="D1785" s="345">
        <v>4.0000000000000001E-3</v>
      </c>
    </row>
    <row r="1786" spans="1:4">
      <c r="A1786" t="s">
        <v>533</v>
      </c>
      <c r="B1786" t="s">
        <v>547</v>
      </c>
      <c r="C1786" s="342">
        <v>118</v>
      </c>
      <c r="D1786" s="344">
        <v>0</v>
      </c>
    </row>
    <row r="1787" spans="1:4">
      <c r="A1787" t="s">
        <v>533</v>
      </c>
      <c r="B1787" t="s">
        <v>547</v>
      </c>
      <c r="C1787" s="343">
        <v>118</v>
      </c>
      <c r="D1787" s="345">
        <v>0</v>
      </c>
    </row>
    <row r="1788" spans="1:4">
      <c r="A1788" t="s">
        <v>533</v>
      </c>
      <c r="B1788" t="s">
        <v>538</v>
      </c>
      <c r="C1788" s="342">
        <v>229</v>
      </c>
      <c r="D1788" s="344">
        <v>4.0000000000000001E-3</v>
      </c>
    </row>
    <row r="1789" spans="1:4">
      <c r="A1789" t="s">
        <v>533</v>
      </c>
      <c r="B1789" t="s">
        <v>540</v>
      </c>
      <c r="C1789" s="343">
        <v>244</v>
      </c>
      <c r="D1789" s="345">
        <v>4.0000000000000001E-3</v>
      </c>
    </row>
    <row r="1790" spans="1:4">
      <c r="A1790" t="s">
        <v>533</v>
      </c>
      <c r="B1790" t="s">
        <v>538</v>
      </c>
      <c r="C1790" s="342">
        <v>229</v>
      </c>
      <c r="D1790" s="344">
        <v>4.0000000000000001E-3</v>
      </c>
    </row>
    <row r="1791" spans="1:4">
      <c r="A1791" t="s">
        <v>533</v>
      </c>
      <c r="B1791" t="s">
        <v>540</v>
      </c>
      <c r="C1791" s="343">
        <v>257</v>
      </c>
      <c r="D1791" s="345">
        <v>4.0000000000000001E-3</v>
      </c>
    </row>
    <row r="1792" spans="1:4">
      <c r="A1792" t="s">
        <v>533</v>
      </c>
      <c r="B1792" t="s">
        <v>536</v>
      </c>
      <c r="C1792" s="342">
        <v>219</v>
      </c>
      <c r="D1792" s="344">
        <v>4.0000000000000001E-3</v>
      </c>
    </row>
    <row r="1793" spans="1:4">
      <c r="A1793" t="s">
        <v>533</v>
      </c>
      <c r="B1793" t="s">
        <v>540</v>
      </c>
      <c r="C1793" s="343">
        <v>257</v>
      </c>
      <c r="D1793" s="345">
        <v>4.0000000000000001E-3</v>
      </c>
    </row>
    <row r="1794" spans="1:4">
      <c r="A1794" t="s">
        <v>554</v>
      </c>
      <c r="B1794" t="s">
        <v>555</v>
      </c>
      <c r="C1794" s="342">
        <v>1170</v>
      </c>
      <c r="D1794" s="344">
        <v>0.02</v>
      </c>
    </row>
    <row r="1795" spans="1:4">
      <c r="A1795" t="s">
        <v>554</v>
      </c>
      <c r="B1795" t="s">
        <v>555</v>
      </c>
      <c r="C1795" s="343">
        <v>4730</v>
      </c>
      <c r="D1795" s="345">
        <v>0.08</v>
      </c>
    </row>
    <row r="1796" spans="1:4">
      <c r="A1796" t="s">
        <v>554</v>
      </c>
      <c r="B1796" t="s">
        <v>555</v>
      </c>
      <c r="C1796" s="342">
        <v>2335</v>
      </c>
      <c r="D1796" s="344">
        <v>3.9E-2</v>
      </c>
    </row>
    <row r="1797" spans="1:4">
      <c r="A1797" t="s">
        <v>554</v>
      </c>
      <c r="B1797" t="s">
        <v>555</v>
      </c>
      <c r="C1797" s="343">
        <v>1170</v>
      </c>
      <c r="D1797" s="345">
        <v>0.02</v>
      </c>
    </row>
    <row r="1798" spans="1:4">
      <c r="A1798" t="s">
        <v>554</v>
      </c>
      <c r="B1798" t="s">
        <v>555</v>
      </c>
      <c r="C1798" s="342">
        <v>4790</v>
      </c>
      <c r="D1798" s="344">
        <v>8.1000000000000003E-2</v>
      </c>
    </row>
    <row r="1799" spans="1:4">
      <c r="A1799" t="s">
        <v>554</v>
      </c>
      <c r="B1799" t="s">
        <v>555</v>
      </c>
      <c r="C1799" s="343">
        <v>1170</v>
      </c>
      <c r="D1799" s="345">
        <v>0.02</v>
      </c>
    </row>
    <row r="1800" spans="1:4">
      <c r="A1800" t="s">
        <v>554</v>
      </c>
      <c r="B1800" t="s">
        <v>555</v>
      </c>
      <c r="C1800" s="342">
        <v>1170</v>
      </c>
      <c r="D1800" s="344">
        <v>0.02</v>
      </c>
    </row>
    <row r="1801" spans="1:4">
      <c r="A1801" t="s">
        <v>554</v>
      </c>
      <c r="B1801" t="s">
        <v>555</v>
      </c>
      <c r="C1801" s="343">
        <v>4670</v>
      </c>
      <c r="D1801" s="345">
        <v>7.9000000000000001E-2</v>
      </c>
    </row>
    <row r="1802" spans="1:4">
      <c r="A1802" t="s">
        <v>554</v>
      </c>
      <c r="B1802" t="s">
        <v>555</v>
      </c>
      <c r="C1802" s="342">
        <v>1170</v>
      </c>
      <c r="D1802" s="344">
        <v>0.02</v>
      </c>
    </row>
    <row r="1803" spans="1:4">
      <c r="A1803" t="s">
        <v>554</v>
      </c>
      <c r="B1803" t="s">
        <v>555</v>
      </c>
      <c r="C1803" s="343">
        <v>1170</v>
      </c>
      <c r="D1803" s="345">
        <v>0.02</v>
      </c>
    </row>
    <row r="1804" spans="1:4">
      <c r="A1804" t="s">
        <v>554</v>
      </c>
      <c r="B1804" t="s">
        <v>556</v>
      </c>
      <c r="C1804" s="342">
        <v>5402</v>
      </c>
      <c r="D1804" s="344">
        <v>0.11700000000000001</v>
      </c>
    </row>
    <row r="1805" spans="1:4">
      <c r="A1805" t="s">
        <v>554</v>
      </c>
      <c r="B1805" t="s">
        <v>555</v>
      </c>
      <c r="C1805" s="343">
        <v>1170</v>
      </c>
      <c r="D1805" s="345">
        <v>0.02</v>
      </c>
    </row>
    <row r="1806" spans="1:4">
      <c r="A1806" t="s">
        <v>554</v>
      </c>
      <c r="B1806" t="s">
        <v>555</v>
      </c>
      <c r="C1806" s="342">
        <v>1170</v>
      </c>
      <c r="D1806" s="344">
        <v>0.02</v>
      </c>
    </row>
    <row r="1807" spans="1:4">
      <c r="A1807" t="s">
        <v>554</v>
      </c>
      <c r="B1807" t="s">
        <v>555</v>
      </c>
      <c r="C1807" s="343">
        <v>1170</v>
      </c>
      <c r="D1807" s="345">
        <v>0.02</v>
      </c>
    </row>
    <row r="1808" spans="1:4">
      <c r="A1808" t="s">
        <v>554</v>
      </c>
      <c r="B1808" t="s">
        <v>555</v>
      </c>
      <c r="C1808" s="342">
        <v>2245</v>
      </c>
      <c r="D1808" s="344">
        <v>3.7999999999999999E-2</v>
      </c>
    </row>
    <row r="1809" spans="1:4">
      <c r="A1809" t="s">
        <v>554</v>
      </c>
      <c r="B1809" t="s">
        <v>555</v>
      </c>
      <c r="C1809" s="343">
        <v>2395</v>
      </c>
      <c r="D1809" s="345">
        <v>4.1000000000000002E-2</v>
      </c>
    </row>
    <row r="1810" spans="1:4">
      <c r="A1810" t="s">
        <v>554</v>
      </c>
      <c r="B1810" t="s">
        <v>555</v>
      </c>
      <c r="C1810" s="342">
        <v>4645</v>
      </c>
      <c r="D1810" s="344">
        <v>7.9000000000000001E-2</v>
      </c>
    </row>
    <row r="1811" spans="1:4">
      <c r="A1811" t="s">
        <v>554</v>
      </c>
      <c r="B1811" t="s">
        <v>555</v>
      </c>
      <c r="C1811" s="343">
        <v>1170</v>
      </c>
      <c r="D1811" s="345">
        <v>0.02</v>
      </c>
    </row>
    <row r="1812" spans="1:4">
      <c r="A1812" t="s">
        <v>554</v>
      </c>
      <c r="B1812" t="s">
        <v>555</v>
      </c>
      <c r="C1812" s="342">
        <v>4670</v>
      </c>
      <c r="D1812" s="344">
        <v>7.9000000000000001E-2</v>
      </c>
    </row>
    <row r="1813" spans="1:4">
      <c r="A1813" t="s">
        <v>554</v>
      </c>
      <c r="B1813" t="s">
        <v>555</v>
      </c>
      <c r="C1813" s="343">
        <v>1170</v>
      </c>
      <c r="D1813" s="345">
        <v>0.02</v>
      </c>
    </row>
    <row r="1814" spans="1:4">
      <c r="A1814" t="s">
        <v>554</v>
      </c>
      <c r="B1814" t="s">
        <v>555</v>
      </c>
      <c r="C1814" s="342">
        <v>4670</v>
      </c>
      <c r="D1814" s="344">
        <v>7.9000000000000001E-2</v>
      </c>
    </row>
    <row r="1815" spans="1:4">
      <c r="A1815" t="s">
        <v>554</v>
      </c>
      <c r="B1815" t="s">
        <v>555</v>
      </c>
      <c r="C1815" s="343">
        <v>2120</v>
      </c>
      <c r="D1815" s="345">
        <v>3.5999999999999997E-2</v>
      </c>
    </row>
    <row r="1816" spans="1:4">
      <c r="A1816" t="s">
        <v>554</v>
      </c>
      <c r="B1816" t="s">
        <v>555</v>
      </c>
      <c r="C1816" s="342">
        <v>4730</v>
      </c>
      <c r="D1816" s="344">
        <v>0.08</v>
      </c>
    </row>
    <row r="1817" spans="1:4">
      <c r="A1817" t="s">
        <v>554</v>
      </c>
      <c r="B1817" t="s">
        <v>555</v>
      </c>
      <c r="C1817" s="343">
        <v>2335</v>
      </c>
      <c r="D1817" s="345">
        <v>3.9E-2</v>
      </c>
    </row>
    <row r="1818" spans="1:4">
      <c r="A1818" t="s">
        <v>554</v>
      </c>
      <c r="B1818" t="s">
        <v>555</v>
      </c>
      <c r="C1818" s="342">
        <v>2335</v>
      </c>
      <c r="D1818" s="344">
        <v>3.9E-2</v>
      </c>
    </row>
    <row r="1819" spans="1:4">
      <c r="A1819" t="s">
        <v>554</v>
      </c>
      <c r="B1819" t="s">
        <v>555</v>
      </c>
      <c r="C1819" s="343">
        <v>1170</v>
      </c>
      <c r="D1819" s="345">
        <v>0.02</v>
      </c>
    </row>
    <row r="1820" spans="1:4">
      <c r="A1820" t="s">
        <v>554</v>
      </c>
      <c r="B1820" t="s">
        <v>555</v>
      </c>
      <c r="C1820" s="342">
        <v>2120</v>
      </c>
      <c r="D1820" s="344">
        <v>3.5999999999999997E-2</v>
      </c>
    </row>
    <row r="1821" spans="1:4">
      <c r="A1821" t="s">
        <v>554</v>
      </c>
      <c r="B1821" t="s">
        <v>555</v>
      </c>
      <c r="C1821" s="343">
        <v>2090</v>
      </c>
      <c r="D1821" s="345">
        <v>3.5000000000000003E-2</v>
      </c>
    </row>
    <row r="1822" spans="1:4">
      <c r="A1822" t="s">
        <v>554</v>
      </c>
      <c r="B1822" t="s">
        <v>555</v>
      </c>
      <c r="C1822" s="342">
        <v>1170</v>
      </c>
      <c r="D1822" s="344">
        <v>0.02</v>
      </c>
    </row>
    <row r="1823" spans="1:4">
      <c r="A1823" t="s">
        <v>554</v>
      </c>
      <c r="B1823" t="s">
        <v>555</v>
      </c>
      <c r="C1823" s="343">
        <v>4790</v>
      </c>
      <c r="D1823" s="345">
        <v>8.1000000000000003E-2</v>
      </c>
    </row>
    <row r="1824" spans="1:4">
      <c r="A1824" t="s">
        <v>554</v>
      </c>
      <c r="B1824" t="s">
        <v>555</v>
      </c>
      <c r="C1824" s="342">
        <v>4790</v>
      </c>
      <c r="D1824" s="344">
        <v>8.1000000000000003E-2</v>
      </c>
    </row>
    <row r="1825" spans="1:4">
      <c r="A1825" t="s">
        <v>554</v>
      </c>
      <c r="B1825" t="s">
        <v>555</v>
      </c>
      <c r="C1825" s="343">
        <v>1170</v>
      </c>
      <c r="D1825" s="345">
        <v>0.02</v>
      </c>
    </row>
    <row r="1826" spans="1:4">
      <c r="A1826" t="s">
        <v>554</v>
      </c>
      <c r="B1826" t="s">
        <v>555</v>
      </c>
      <c r="C1826" s="342">
        <v>4730</v>
      </c>
      <c r="D1826" s="344">
        <v>0.08</v>
      </c>
    </row>
    <row r="1827" spans="1:4">
      <c r="A1827" t="s">
        <v>554</v>
      </c>
      <c r="B1827" t="s">
        <v>555</v>
      </c>
      <c r="C1827" s="343">
        <v>4670</v>
      </c>
      <c r="D1827" s="345">
        <v>7.9000000000000001E-2</v>
      </c>
    </row>
    <row r="1828" spans="1:4">
      <c r="A1828" t="s">
        <v>554</v>
      </c>
      <c r="B1828" t="s">
        <v>555</v>
      </c>
      <c r="C1828" s="342">
        <v>1170</v>
      </c>
      <c r="D1828" s="344">
        <v>0.02</v>
      </c>
    </row>
    <row r="1829" spans="1:4">
      <c r="A1829" t="s">
        <v>554</v>
      </c>
      <c r="B1829" t="s">
        <v>555</v>
      </c>
      <c r="C1829" s="343">
        <v>4645</v>
      </c>
      <c r="D1829" s="345">
        <v>7.9000000000000001E-2</v>
      </c>
    </row>
    <row r="1830" spans="1:4">
      <c r="A1830" t="s">
        <v>554</v>
      </c>
      <c r="B1830" t="s">
        <v>555</v>
      </c>
      <c r="C1830" s="342">
        <v>1170</v>
      </c>
      <c r="D1830" s="344">
        <v>0.02</v>
      </c>
    </row>
    <row r="1831" spans="1:4">
      <c r="A1831" t="s">
        <v>554</v>
      </c>
      <c r="B1831" t="s">
        <v>555</v>
      </c>
      <c r="C1831" s="343">
        <v>1170</v>
      </c>
      <c r="D1831" s="345">
        <v>0.02</v>
      </c>
    </row>
    <row r="1832" spans="1:4">
      <c r="A1832" t="s">
        <v>554</v>
      </c>
      <c r="B1832" t="s">
        <v>555</v>
      </c>
      <c r="C1832" s="342">
        <v>2350</v>
      </c>
      <c r="D1832" s="344">
        <v>0.04</v>
      </c>
    </row>
    <row r="1833" spans="1:4">
      <c r="A1833" t="s">
        <v>554</v>
      </c>
      <c r="B1833" t="s">
        <v>555</v>
      </c>
      <c r="C1833" s="343">
        <v>1170</v>
      </c>
      <c r="D1833" s="345">
        <v>0.02</v>
      </c>
    </row>
    <row r="1834" spans="1:4">
      <c r="A1834" t="s">
        <v>554</v>
      </c>
      <c r="B1834" t="s">
        <v>555</v>
      </c>
      <c r="C1834" s="342">
        <v>1170</v>
      </c>
      <c r="D1834" s="344">
        <v>0.02</v>
      </c>
    </row>
    <row r="1835" spans="1:4">
      <c r="A1835" t="s">
        <v>554</v>
      </c>
      <c r="B1835" t="s">
        <v>555</v>
      </c>
      <c r="C1835" s="343">
        <v>1170</v>
      </c>
      <c r="D1835" s="345">
        <v>0.02</v>
      </c>
    </row>
    <row r="1836" spans="1:4">
      <c r="A1836" t="s">
        <v>554</v>
      </c>
      <c r="B1836" t="s">
        <v>555</v>
      </c>
      <c r="C1836" s="342">
        <v>1170</v>
      </c>
      <c r="D1836" s="344">
        <v>0.02</v>
      </c>
    </row>
    <row r="1837" spans="1:4">
      <c r="A1837" t="s">
        <v>554</v>
      </c>
      <c r="B1837" t="s">
        <v>555</v>
      </c>
      <c r="C1837" s="343">
        <v>4790</v>
      </c>
      <c r="D1837" s="345">
        <v>8.1000000000000003E-2</v>
      </c>
    </row>
    <row r="1838" spans="1:4">
      <c r="A1838" t="s">
        <v>554</v>
      </c>
      <c r="B1838" t="s">
        <v>555</v>
      </c>
      <c r="C1838" s="342">
        <v>1170</v>
      </c>
      <c r="D1838" s="344">
        <v>0.02</v>
      </c>
    </row>
    <row r="1839" spans="1:4">
      <c r="A1839" t="s">
        <v>554</v>
      </c>
      <c r="B1839" t="s">
        <v>555</v>
      </c>
      <c r="C1839" s="343">
        <v>1170</v>
      </c>
      <c r="D1839" s="345">
        <v>0.02</v>
      </c>
    </row>
    <row r="1840" spans="1:4">
      <c r="A1840" t="s">
        <v>554</v>
      </c>
      <c r="B1840" t="s">
        <v>555</v>
      </c>
      <c r="C1840" s="342">
        <v>2335</v>
      </c>
      <c r="D1840" s="344">
        <v>3.9E-2</v>
      </c>
    </row>
    <row r="1841" spans="1:4">
      <c r="A1841" t="s">
        <v>554</v>
      </c>
      <c r="B1841" t="s">
        <v>555</v>
      </c>
      <c r="C1841" s="343">
        <v>1170</v>
      </c>
      <c r="D1841" s="345">
        <v>0.02</v>
      </c>
    </row>
    <row r="1842" spans="1:4">
      <c r="A1842" t="s">
        <v>554</v>
      </c>
      <c r="B1842" t="s">
        <v>555</v>
      </c>
      <c r="C1842" s="342">
        <v>1095</v>
      </c>
      <c r="D1842" s="344">
        <v>1.9E-2</v>
      </c>
    </row>
    <row r="1843" spans="1:4">
      <c r="A1843" t="s">
        <v>554</v>
      </c>
      <c r="B1843" t="s">
        <v>555</v>
      </c>
      <c r="C1843" s="343">
        <v>1170</v>
      </c>
      <c r="D1843" s="345">
        <v>0.02</v>
      </c>
    </row>
    <row r="1844" spans="1:4">
      <c r="A1844" t="s">
        <v>554</v>
      </c>
      <c r="B1844" t="s">
        <v>555</v>
      </c>
      <c r="C1844" s="342">
        <v>1170</v>
      </c>
      <c r="D1844" s="344">
        <v>0.02</v>
      </c>
    </row>
    <row r="1845" spans="1:4">
      <c r="A1845" t="s">
        <v>554</v>
      </c>
      <c r="B1845" t="s">
        <v>555</v>
      </c>
      <c r="C1845" s="343">
        <v>1170</v>
      </c>
      <c r="D1845" s="345">
        <v>0.02</v>
      </c>
    </row>
    <row r="1846" spans="1:4">
      <c r="A1846" t="s">
        <v>554</v>
      </c>
      <c r="B1846" t="s">
        <v>555</v>
      </c>
      <c r="C1846" s="342">
        <v>1170</v>
      </c>
      <c r="D1846" s="344">
        <v>0.02</v>
      </c>
    </row>
    <row r="1847" spans="1:4">
      <c r="A1847" t="s">
        <v>554</v>
      </c>
      <c r="B1847" t="s">
        <v>555</v>
      </c>
      <c r="C1847" s="343">
        <v>1170</v>
      </c>
      <c r="D1847" s="345">
        <v>0.02</v>
      </c>
    </row>
    <row r="1848" spans="1:4">
      <c r="A1848" t="s">
        <v>554</v>
      </c>
      <c r="B1848" t="s">
        <v>555</v>
      </c>
      <c r="C1848" s="342">
        <v>1170</v>
      </c>
      <c r="D1848" s="344">
        <v>0.02</v>
      </c>
    </row>
    <row r="1849" spans="1:4">
      <c r="A1849" t="s">
        <v>554</v>
      </c>
      <c r="B1849" t="s">
        <v>555</v>
      </c>
      <c r="C1849" s="343">
        <v>1170</v>
      </c>
      <c r="D1849" s="345">
        <v>0.02</v>
      </c>
    </row>
    <row r="1850" spans="1:4">
      <c r="A1850" t="s">
        <v>554</v>
      </c>
      <c r="B1850" t="s">
        <v>555</v>
      </c>
      <c r="C1850" s="342">
        <v>1170</v>
      </c>
      <c r="D1850" s="344">
        <v>0.02</v>
      </c>
    </row>
    <row r="1851" spans="1:4">
      <c r="A1851" t="s">
        <v>554</v>
      </c>
      <c r="B1851" t="s">
        <v>555</v>
      </c>
      <c r="C1851" s="343">
        <v>1170</v>
      </c>
      <c r="D1851" s="345">
        <v>0.02</v>
      </c>
    </row>
    <row r="1852" spans="1:4">
      <c r="A1852" t="s">
        <v>554</v>
      </c>
      <c r="B1852" t="s">
        <v>555</v>
      </c>
      <c r="C1852" s="342">
        <v>1170</v>
      </c>
      <c r="D1852" s="344">
        <v>0.02</v>
      </c>
    </row>
    <row r="1853" spans="1:4">
      <c r="A1853" t="s">
        <v>554</v>
      </c>
      <c r="B1853" t="s">
        <v>555</v>
      </c>
      <c r="C1853" s="343">
        <v>1170</v>
      </c>
      <c r="D1853" s="345">
        <v>0.02</v>
      </c>
    </row>
    <row r="1854" spans="1:4">
      <c r="A1854" t="s">
        <v>554</v>
      </c>
      <c r="B1854" t="s">
        <v>555</v>
      </c>
      <c r="C1854" s="342">
        <v>1170</v>
      </c>
      <c r="D1854" s="344">
        <v>0.02</v>
      </c>
    </row>
    <row r="1855" spans="1:4">
      <c r="A1855" t="s">
        <v>554</v>
      </c>
      <c r="B1855" t="s">
        <v>555</v>
      </c>
      <c r="C1855" s="343">
        <v>1170</v>
      </c>
      <c r="D1855" s="345">
        <v>0.02</v>
      </c>
    </row>
    <row r="1856" spans="1:4">
      <c r="A1856" t="s">
        <v>554</v>
      </c>
      <c r="B1856" t="s">
        <v>555</v>
      </c>
      <c r="C1856" s="342">
        <v>1170</v>
      </c>
      <c r="D1856" s="344">
        <v>0.02</v>
      </c>
    </row>
    <row r="1857" spans="1:4">
      <c r="A1857" t="s">
        <v>554</v>
      </c>
      <c r="B1857" t="s">
        <v>555</v>
      </c>
      <c r="C1857" s="343">
        <v>1170</v>
      </c>
      <c r="D1857" s="345">
        <v>0.02</v>
      </c>
    </row>
    <row r="1858" spans="1:4">
      <c r="A1858" t="s">
        <v>554</v>
      </c>
      <c r="B1858" t="s">
        <v>555</v>
      </c>
      <c r="C1858" s="342">
        <v>1170</v>
      </c>
      <c r="D1858" s="344">
        <v>0.02</v>
      </c>
    </row>
    <row r="1859" spans="1:4">
      <c r="A1859" t="s">
        <v>554</v>
      </c>
      <c r="B1859" t="s">
        <v>555</v>
      </c>
      <c r="C1859" s="343">
        <v>1170</v>
      </c>
      <c r="D1859" s="345">
        <v>0.02</v>
      </c>
    </row>
    <row r="1860" spans="1:4">
      <c r="A1860" t="s">
        <v>554</v>
      </c>
      <c r="B1860" t="s">
        <v>555</v>
      </c>
      <c r="C1860" s="342">
        <v>1170</v>
      </c>
      <c r="D1860" s="344">
        <v>0.02</v>
      </c>
    </row>
    <row r="1861" spans="1:4">
      <c r="A1861" t="s">
        <v>554</v>
      </c>
      <c r="B1861" t="s">
        <v>555</v>
      </c>
      <c r="C1861" s="343">
        <v>21060</v>
      </c>
      <c r="D1861" s="345">
        <v>0.35599999999999998</v>
      </c>
    </row>
    <row r="1862" spans="1:4">
      <c r="A1862" t="s">
        <v>554</v>
      </c>
      <c r="B1862" t="s">
        <v>555</v>
      </c>
      <c r="C1862" s="342">
        <v>3194</v>
      </c>
      <c r="D1862" s="344">
        <v>5.3999999999999999E-2</v>
      </c>
    </row>
    <row r="1863" spans="1:4">
      <c r="A1863" t="s">
        <v>554</v>
      </c>
      <c r="B1863" t="s">
        <v>555</v>
      </c>
      <c r="C1863" s="343">
        <v>4790</v>
      </c>
      <c r="D1863" s="345">
        <v>8.1000000000000003E-2</v>
      </c>
    </row>
    <row r="1864" spans="1:4">
      <c r="A1864" t="s">
        <v>554</v>
      </c>
      <c r="B1864" t="s">
        <v>555</v>
      </c>
      <c r="C1864" s="342">
        <v>4670</v>
      </c>
      <c r="D1864" s="344">
        <v>7.9000000000000001E-2</v>
      </c>
    </row>
    <row r="1865" spans="1:4">
      <c r="A1865" t="s">
        <v>554</v>
      </c>
      <c r="B1865" t="s">
        <v>555</v>
      </c>
      <c r="C1865" s="343">
        <v>4790</v>
      </c>
      <c r="D1865" s="345">
        <v>8.1000000000000003E-2</v>
      </c>
    </row>
    <row r="1866" spans="1:4">
      <c r="A1866" t="s">
        <v>554</v>
      </c>
      <c r="B1866" t="s">
        <v>555</v>
      </c>
      <c r="C1866" s="342">
        <v>2120</v>
      </c>
      <c r="D1866" s="344">
        <v>3.5999999999999997E-2</v>
      </c>
    </row>
    <row r="1867" spans="1:4">
      <c r="A1867" t="s">
        <v>554</v>
      </c>
      <c r="B1867" t="s">
        <v>555</v>
      </c>
      <c r="C1867" s="343">
        <v>4790</v>
      </c>
      <c r="D1867" s="345">
        <v>8.1000000000000003E-2</v>
      </c>
    </row>
    <row r="1868" spans="1:4">
      <c r="A1868" t="s">
        <v>554</v>
      </c>
      <c r="B1868" t="s">
        <v>555</v>
      </c>
      <c r="C1868" s="342">
        <v>4670</v>
      </c>
      <c r="D1868" s="344">
        <v>7.9000000000000001E-2</v>
      </c>
    </row>
    <row r="1869" spans="1:4">
      <c r="A1869" t="s">
        <v>554</v>
      </c>
      <c r="B1869" t="s">
        <v>555</v>
      </c>
      <c r="C1869" s="343">
        <v>4670</v>
      </c>
      <c r="D1869" s="345">
        <v>7.9000000000000001E-2</v>
      </c>
    </row>
    <row r="1870" spans="1:4">
      <c r="A1870" t="s">
        <v>554</v>
      </c>
      <c r="B1870" t="s">
        <v>555</v>
      </c>
      <c r="C1870" s="342">
        <v>4790</v>
      </c>
      <c r="D1870" s="344">
        <v>8.1000000000000003E-2</v>
      </c>
    </row>
    <row r="1871" spans="1:4">
      <c r="A1871" t="s">
        <v>554</v>
      </c>
      <c r="B1871" t="s">
        <v>555</v>
      </c>
      <c r="C1871" s="343">
        <v>4790</v>
      </c>
      <c r="D1871" s="345">
        <v>8.1000000000000003E-2</v>
      </c>
    </row>
    <row r="1872" spans="1:4">
      <c r="A1872" t="s">
        <v>554</v>
      </c>
      <c r="B1872" t="s">
        <v>555</v>
      </c>
      <c r="C1872" s="342">
        <v>4730</v>
      </c>
      <c r="D1872" s="344">
        <v>0.08</v>
      </c>
    </row>
    <row r="1873" spans="1:4">
      <c r="A1873" t="s">
        <v>554</v>
      </c>
      <c r="B1873" t="s">
        <v>555</v>
      </c>
      <c r="C1873" s="343">
        <v>4730</v>
      </c>
      <c r="D1873" s="345">
        <v>0.08</v>
      </c>
    </row>
    <row r="1874" spans="1:4">
      <c r="A1874" t="s">
        <v>554</v>
      </c>
      <c r="B1874" t="s">
        <v>555</v>
      </c>
      <c r="C1874" s="342">
        <v>3455</v>
      </c>
      <c r="D1874" s="344">
        <v>5.8000000000000003E-2</v>
      </c>
    </row>
    <row r="1875" spans="1:4">
      <c r="A1875" t="s">
        <v>554</v>
      </c>
      <c r="B1875" t="s">
        <v>555</v>
      </c>
      <c r="C1875" s="343">
        <v>4730</v>
      </c>
      <c r="D1875" s="345">
        <v>0.08</v>
      </c>
    </row>
    <row r="1876" spans="1:4">
      <c r="A1876" t="s">
        <v>554</v>
      </c>
      <c r="B1876" t="s">
        <v>555</v>
      </c>
      <c r="C1876" s="342">
        <v>4790</v>
      </c>
      <c r="D1876" s="344">
        <v>8.1000000000000003E-2</v>
      </c>
    </row>
    <row r="1877" spans="1:4">
      <c r="A1877" t="s">
        <v>554</v>
      </c>
      <c r="B1877" t="s">
        <v>555</v>
      </c>
      <c r="C1877" s="343">
        <v>4790</v>
      </c>
      <c r="D1877" s="345">
        <v>8.1000000000000003E-2</v>
      </c>
    </row>
    <row r="1878" spans="1:4">
      <c r="A1878" t="s">
        <v>554</v>
      </c>
      <c r="B1878" t="s">
        <v>555</v>
      </c>
      <c r="C1878" s="342">
        <v>2395</v>
      </c>
      <c r="D1878" s="344">
        <v>4.1000000000000002E-2</v>
      </c>
    </row>
    <row r="1879" spans="1:4">
      <c r="A1879" t="s">
        <v>554</v>
      </c>
      <c r="B1879" t="s">
        <v>555</v>
      </c>
      <c r="C1879" s="343">
        <v>2120</v>
      </c>
      <c r="D1879" s="345">
        <v>3.5999999999999997E-2</v>
      </c>
    </row>
    <row r="1880" spans="1:4">
      <c r="A1880" t="s">
        <v>554</v>
      </c>
      <c r="B1880" t="s">
        <v>555</v>
      </c>
      <c r="C1880" s="342">
        <v>4670</v>
      </c>
      <c r="D1880" s="344">
        <v>7.9000000000000001E-2</v>
      </c>
    </row>
    <row r="1881" spans="1:4">
      <c r="A1881" t="s">
        <v>554</v>
      </c>
      <c r="B1881" t="s">
        <v>555</v>
      </c>
      <c r="C1881" s="343">
        <v>4670</v>
      </c>
      <c r="D1881" s="345">
        <v>7.9000000000000001E-2</v>
      </c>
    </row>
    <row r="1882" spans="1:4">
      <c r="A1882" t="s">
        <v>554</v>
      </c>
      <c r="B1882" t="s">
        <v>555</v>
      </c>
      <c r="C1882" s="342">
        <v>4670</v>
      </c>
      <c r="D1882" s="344">
        <v>7.9000000000000001E-2</v>
      </c>
    </row>
    <row r="1883" spans="1:4">
      <c r="A1883" t="s">
        <v>554</v>
      </c>
      <c r="B1883" t="s">
        <v>555</v>
      </c>
      <c r="C1883" s="343">
        <v>4670</v>
      </c>
      <c r="D1883" s="345">
        <v>7.9000000000000001E-2</v>
      </c>
    </row>
    <row r="1884" spans="1:4">
      <c r="A1884" t="s">
        <v>554</v>
      </c>
      <c r="B1884" t="s">
        <v>555</v>
      </c>
      <c r="C1884" s="342">
        <v>4670</v>
      </c>
      <c r="D1884" s="344">
        <v>7.9000000000000001E-2</v>
      </c>
    </row>
    <row r="1885" spans="1:4">
      <c r="A1885" t="s">
        <v>554</v>
      </c>
      <c r="B1885" t="s">
        <v>555</v>
      </c>
      <c r="C1885" s="343">
        <v>4730</v>
      </c>
      <c r="D1885" s="345">
        <v>0.08</v>
      </c>
    </row>
    <row r="1886" spans="1:4">
      <c r="A1886" t="s">
        <v>554</v>
      </c>
      <c r="B1886" t="s">
        <v>555</v>
      </c>
      <c r="C1886" s="342">
        <v>4730</v>
      </c>
      <c r="D1886" s="344">
        <v>0.08</v>
      </c>
    </row>
    <row r="1887" spans="1:4">
      <c r="A1887" t="s">
        <v>554</v>
      </c>
      <c r="B1887" t="s">
        <v>555</v>
      </c>
      <c r="C1887" s="343">
        <v>3450</v>
      </c>
      <c r="D1887" s="345">
        <v>5.8000000000000003E-2</v>
      </c>
    </row>
    <row r="1888" spans="1:4">
      <c r="A1888" t="s">
        <v>554</v>
      </c>
      <c r="B1888" t="s">
        <v>555</v>
      </c>
      <c r="C1888" s="342">
        <v>4960</v>
      </c>
      <c r="D1888" s="344">
        <v>8.3000000000000004E-2</v>
      </c>
    </row>
    <row r="1889" spans="1:4">
      <c r="A1889" t="s">
        <v>554</v>
      </c>
      <c r="B1889" t="s">
        <v>555</v>
      </c>
      <c r="C1889" s="343">
        <v>2200</v>
      </c>
      <c r="D1889" s="345">
        <v>3.6999999999999998E-2</v>
      </c>
    </row>
    <row r="1890" spans="1:4">
      <c r="A1890" t="s">
        <v>554</v>
      </c>
      <c r="B1890" t="s">
        <v>555</v>
      </c>
      <c r="C1890" s="342">
        <v>2090</v>
      </c>
      <c r="D1890" s="344">
        <v>3.5000000000000003E-2</v>
      </c>
    </row>
    <row r="1891" spans="1:4">
      <c r="A1891" t="s">
        <v>554</v>
      </c>
      <c r="B1891" t="s">
        <v>555</v>
      </c>
      <c r="C1891" s="343">
        <v>2200</v>
      </c>
      <c r="D1891" s="345">
        <v>3.6999999999999998E-2</v>
      </c>
    </row>
    <row r="1892" spans="1:4">
      <c r="A1892" t="s">
        <v>554</v>
      </c>
      <c r="B1892" t="s">
        <v>555</v>
      </c>
      <c r="C1892" s="342">
        <v>2340</v>
      </c>
      <c r="D1892" s="344">
        <v>0.04</v>
      </c>
    </row>
    <row r="1893" spans="1:4">
      <c r="A1893" t="s">
        <v>554</v>
      </c>
      <c r="B1893" t="s">
        <v>555</v>
      </c>
      <c r="C1893" s="343">
        <v>2090</v>
      </c>
      <c r="D1893" s="345">
        <v>3.5000000000000003E-2</v>
      </c>
    </row>
    <row r="1894" spans="1:4">
      <c r="A1894" t="s">
        <v>554</v>
      </c>
      <c r="B1894" t="s">
        <v>555</v>
      </c>
      <c r="C1894" s="342">
        <v>3450</v>
      </c>
      <c r="D1894" s="344">
        <v>5.8000000000000003E-2</v>
      </c>
    </row>
    <row r="1895" spans="1:4">
      <c r="A1895" t="s">
        <v>554</v>
      </c>
      <c r="B1895" t="s">
        <v>555</v>
      </c>
      <c r="C1895" s="343">
        <v>2120</v>
      </c>
      <c r="D1895" s="345">
        <v>3.5999999999999997E-2</v>
      </c>
    </row>
    <row r="1896" spans="1:4">
      <c r="A1896" t="s">
        <v>554</v>
      </c>
      <c r="B1896" t="s">
        <v>555</v>
      </c>
      <c r="C1896" s="342">
        <v>2345</v>
      </c>
      <c r="D1896" s="344">
        <v>0.04</v>
      </c>
    </row>
    <row r="1897" spans="1:4">
      <c r="A1897" t="s">
        <v>554</v>
      </c>
      <c r="B1897" t="s">
        <v>555</v>
      </c>
      <c r="C1897" s="343">
        <v>2200</v>
      </c>
      <c r="D1897" s="345">
        <v>3.6999999999999998E-2</v>
      </c>
    </row>
    <row r="1898" spans="1:4">
      <c r="A1898" t="s">
        <v>554</v>
      </c>
      <c r="B1898" t="s">
        <v>555</v>
      </c>
      <c r="C1898" s="342">
        <v>2335</v>
      </c>
      <c r="D1898" s="344">
        <v>3.9E-2</v>
      </c>
    </row>
    <row r="1899" spans="1:4">
      <c r="A1899" t="s">
        <v>554</v>
      </c>
      <c r="B1899" t="s">
        <v>555</v>
      </c>
      <c r="C1899" s="343">
        <v>4645</v>
      </c>
      <c r="D1899" s="345">
        <v>7.9000000000000001E-2</v>
      </c>
    </row>
    <row r="1900" spans="1:4">
      <c r="A1900" t="s">
        <v>554</v>
      </c>
      <c r="B1900" t="s">
        <v>555</v>
      </c>
      <c r="C1900" s="342">
        <v>2335</v>
      </c>
      <c r="D1900" s="344">
        <v>3.9E-2</v>
      </c>
    </row>
    <row r="1901" spans="1:4">
      <c r="A1901" t="s">
        <v>554</v>
      </c>
      <c r="B1901" t="s">
        <v>555</v>
      </c>
      <c r="C1901" s="343">
        <v>2335</v>
      </c>
      <c r="D1901" s="345">
        <v>3.9E-2</v>
      </c>
    </row>
    <row r="1902" spans="1:4">
      <c r="A1902" t="s">
        <v>554</v>
      </c>
      <c r="B1902" t="s">
        <v>555</v>
      </c>
      <c r="C1902" s="342">
        <v>2335</v>
      </c>
      <c r="D1902" s="344">
        <v>3.9E-2</v>
      </c>
    </row>
    <row r="1903" spans="1:4">
      <c r="A1903" t="s">
        <v>554</v>
      </c>
      <c r="B1903" t="s">
        <v>555</v>
      </c>
      <c r="C1903" s="343">
        <v>2325</v>
      </c>
      <c r="D1903" s="345">
        <v>3.9E-2</v>
      </c>
    </row>
    <row r="1904" spans="1:4">
      <c r="A1904" t="s">
        <v>554</v>
      </c>
      <c r="B1904" t="s">
        <v>555</v>
      </c>
      <c r="C1904" s="342">
        <v>2335</v>
      </c>
      <c r="D1904" s="344">
        <v>3.9E-2</v>
      </c>
    </row>
    <row r="1905" spans="1:4">
      <c r="A1905" t="s">
        <v>554</v>
      </c>
      <c r="B1905" t="s">
        <v>555</v>
      </c>
      <c r="C1905" s="343">
        <v>2120</v>
      </c>
      <c r="D1905" s="345">
        <v>3.5999999999999997E-2</v>
      </c>
    </row>
    <row r="1906" spans="1:4">
      <c r="A1906" t="s">
        <v>554</v>
      </c>
      <c r="B1906" t="s">
        <v>556</v>
      </c>
      <c r="C1906" s="342">
        <v>1545</v>
      </c>
      <c r="D1906" s="344">
        <v>3.3000000000000002E-2</v>
      </c>
    </row>
    <row r="1907" spans="1:4">
      <c r="A1907" t="s">
        <v>554</v>
      </c>
      <c r="B1907" t="s">
        <v>555</v>
      </c>
      <c r="C1907" s="343">
        <v>2350</v>
      </c>
      <c r="D1907" s="345">
        <v>0.04</v>
      </c>
    </row>
    <row r="1908" spans="1:4">
      <c r="A1908" t="s">
        <v>554</v>
      </c>
      <c r="B1908" t="s">
        <v>555</v>
      </c>
      <c r="C1908" s="342">
        <v>2350</v>
      </c>
      <c r="D1908" s="344">
        <v>0.04</v>
      </c>
    </row>
    <row r="1909" spans="1:4">
      <c r="A1909" t="s">
        <v>554</v>
      </c>
      <c r="B1909" t="s">
        <v>555</v>
      </c>
      <c r="C1909" s="343">
        <v>2350</v>
      </c>
      <c r="D1909" s="345">
        <v>0.04</v>
      </c>
    </row>
    <row r="1910" spans="1:4">
      <c r="A1910" t="s">
        <v>554</v>
      </c>
      <c r="B1910" t="s">
        <v>556</v>
      </c>
      <c r="C1910" s="342">
        <v>1545</v>
      </c>
      <c r="D1910" s="344">
        <v>3.3000000000000002E-2</v>
      </c>
    </row>
    <row r="1911" spans="1:4">
      <c r="A1911" t="s">
        <v>554</v>
      </c>
      <c r="B1911" t="s">
        <v>556</v>
      </c>
      <c r="C1911" s="343">
        <v>1896</v>
      </c>
      <c r="D1911" s="345">
        <v>4.1000000000000002E-2</v>
      </c>
    </row>
    <row r="1912" spans="1:4">
      <c r="A1912" t="s">
        <v>554</v>
      </c>
      <c r="B1912" t="s">
        <v>555</v>
      </c>
      <c r="C1912" s="342">
        <v>3194</v>
      </c>
      <c r="D1912" s="344">
        <v>5.3999999999999999E-2</v>
      </c>
    </row>
    <row r="1913" spans="1:4">
      <c r="A1913" t="s">
        <v>554</v>
      </c>
      <c r="B1913" t="s">
        <v>555</v>
      </c>
      <c r="C1913" s="343">
        <v>2120</v>
      </c>
      <c r="D1913" s="345">
        <v>3.5999999999999997E-2</v>
      </c>
    </row>
    <row r="1914" spans="1:4">
      <c r="A1914" t="s">
        <v>554</v>
      </c>
      <c r="B1914" t="s">
        <v>555</v>
      </c>
      <c r="C1914" s="342">
        <v>4790</v>
      </c>
      <c r="D1914" s="344">
        <v>8.1000000000000003E-2</v>
      </c>
    </row>
    <row r="1915" spans="1:4">
      <c r="A1915" t="s">
        <v>554</v>
      </c>
      <c r="B1915" t="s">
        <v>555</v>
      </c>
      <c r="C1915" s="343">
        <v>4790</v>
      </c>
      <c r="D1915" s="345">
        <v>8.1000000000000003E-2</v>
      </c>
    </row>
    <row r="1916" spans="1:4">
      <c r="A1916" t="s">
        <v>554</v>
      </c>
      <c r="B1916" t="s">
        <v>556</v>
      </c>
      <c r="C1916" s="342">
        <v>5402</v>
      </c>
      <c r="D1916" s="344">
        <v>0.11700000000000001</v>
      </c>
    </row>
    <row r="1917" spans="1:4">
      <c r="A1917" t="s">
        <v>554</v>
      </c>
      <c r="B1917" t="s">
        <v>555</v>
      </c>
      <c r="C1917" s="343">
        <v>4670</v>
      </c>
      <c r="D1917" s="345">
        <v>7.9000000000000001E-2</v>
      </c>
    </row>
    <row r="1918" spans="1:4">
      <c r="A1918" t="s">
        <v>554</v>
      </c>
      <c r="B1918" t="s">
        <v>555</v>
      </c>
      <c r="C1918" s="342">
        <v>4645</v>
      </c>
      <c r="D1918" s="344">
        <v>7.9000000000000001E-2</v>
      </c>
    </row>
    <row r="1919" spans="1:4">
      <c r="A1919" t="s">
        <v>554</v>
      </c>
      <c r="B1919" t="s">
        <v>555</v>
      </c>
      <c r="C1919" s="343">
        <v>5470</v>
      </c>
      <c r="D1919" s="345">
        <v>9.2999999999999999E-2</v>
      </c>
    </row>
    <row r="1920" spans="1:4">
      <c r="A1920" t="s">
        <v>554</v>
      </c>
      <c r="B1920" t="s">
        <v>555</v>
      </c>
      <c r="C1920" s="342">
        <v>4670</v>
      </c>
      <c r="D1920" s="344">
        <v>7.9000000000000001E-2</v>
      </c>
    </row>
    <row r="1921" spans="1:4">
      <c r="A1921" t="s">
        <v>554</v>
      </c>
      <c r="B1921" t="s">
        <v>555</v>
      </c>
      <c r="C1921" s="343">
        <v>5470</v>
      </c>
      <c r="D1921" s="345">
        <v>9.2999999999999999E-2</v>
      </c>
    </row>
    <row r="1922" spans="1:4">
      <c r="A1922" t="s">
        <v>554</v>
      </c>
      <c r="B1922" t="s">
        <v>555</v>
      </c>
      <c r="C1922" s="342">
        <v>4670</v>
      </c>
      <c r="D1922" s="344">
        <v>7.9000000000000001E-2</v>
      </c>
    </row>
    <row r="1923" spans="1:4">
      <c r="A1923" t="s">
        <v>554</v>
      </c>
      <c r="B1923" t="s">
        <v>555</v>
      </c>
      <c r="C1923" s="343">
        <v>4790</v>
      </c>
      <c r="D1923" s="345">
        <v>8.1000000000000003E-2</v>
      </c>
    </row>
    <row r="1924" spans="1:4">
      <c r="A1924" t="s">
        <v>554</v>
      </c>
      <c r="B1924" t="s">
        <v>555</v>
      </c>
      <c r="C1924" s="342">
        <v>2590</v>
      </c>
      <c r="D1924" s="344">
        <v>4.3999999999999997E-2</v>
      </c>
    </row>
    <row r="1925" spans="1:4">
      <c r="A1925" t="s">
        <v>554</v>
      </c>
      <c r="B1925" t="s">
        <v>555</v>
      </c>
      <c r="C1925" s="343">
        <v>2590</v>
      </c>
      <c r="D1925" s="345">
        <v>4.3999999999999997E-2</v>
      </c>
    </row>
    <row r="1926" spans="1:4">
      <c r="A1926" t="s">
        <v>554</v>
      </c>
      <c r="B1926" t="s">
        <v>555</v>
      </c>
      <c r="C1926" s="342">
        <v>2864</v>
      </c>
      <c r="D1926" s="344">
        <v>4.8000000000000001E-2</v>
      </c>
    </row>
    <row r="1927" spans="1:4">
      <c r="A1927" t="s">
        <v>554</v>
      </c>
      <c r="B1927" t="s">
        <v>555</v>
      </c>
      <c r="C1927" s="343">
        <v>3185</v>
      </c>
      <c r="D1927" s="345">
        <v>5.3999999999999999E-2</v>
      </c>
    </row>
    <row r="1928" spans="1:4">
      <c r="A1928" t="s">
        <v>554</v>
      </c>
      <c r="B1928" t="s">
        <v>555</v>
      </c>
      <c r="C1928" s="342">
        <v>3185</v>
      </c>
      <c r="D1928" s="344">
        <v>5.3999999999999999E-2</v>
      </c>
    </row>
    <row r="1929" spans="1:4">
      <c r="A1929" t="s">
        <v>554</v>
      </c>
      <c r="B1929" t="s">
        <v>555</v>
      </c>
      <c r="C1929" s="343">
        <v>3185</v>
      </c>
      <c r="D1929" s="345">
        <v>5.3999999999999999E-2</v>
      </c>
    </row>
    <row r="1930" spans="1:4">
      <c r="A1930" t="s">
        <v>554</v>
      </c>
      <c r="B1930" t="s">
        <v>555</v>
      </c>
      <c r="C1930" s="342">
        <v>3515</v>
      </c>
      <c r="D1930" s="344">
        <v>5.8999999999999997E-2</v>
      </c>
    </row>
    <row r="1931" spans="1:4">
      <c r="A1931" t="s">
        <v>554</v>
      </c>
      <c r="B1931" t="s">
        <v>555</v>
      </c>
      <c r="C1931" s="343">
        <v>3515</v>
      </c>
      <c r="D1931" s="345">
        <v>5.8999999999999997E-2</v>
      </c>
    </row>
    <row r="1932" spans="1:4">
      <c r="A1932" t="s">
        <v>554</v>
      </c>
      <c r="B1932" t="s">
        <v>555</v>
      </c>
      <c r="C1932" s="342">
        <v>3515</v>
      </c>
      <c r="D1932" s="344">
        <v>5.8999999999999997E-2</v>
      </c>
    </row>
    <row r="1933" spans="1:4">
      <c r="A1933" t="s">
        <v>554</v>
      </c>
      <c r="B1933" t="s">
        <v>555</v>
      </c>
      <c r="C1933" s="343">
        <v>1200</v>
      </c>
      <c r="D1933" s="345">
        <v>0.02</v>
      </c>
    </row>
    <row r="1934" spans="1:4">
      <c r="A1934" t="s">
        <v>554</v>
      </c>
      <c r="B1934" t="s">
        <v>555</v>
      </c>
      <c r="C1934" s="342">
        <v>1200</v>
      </c>
      <c r="D1934" s="344">
        <v>0.02</v>
      </c>
    </row>
    <row r="1935" spans="1:4">
      <c r="A1935" t="s">
        <v>554</v>
      </c>
      <c r="B1935" t="s">
        <v>555</v>
      </c>
      <c r="C1935" s="343">
        <v>1200</v>
      </c>
      <c r="D1935" s="345">
        <v>0.02</v>
      </c>
    </row>
    <row r="1936" spans="1:4">
      <c r="A1936" t="s">
        <v>554</v>
      </c>
      <c r="B1936" t="s">
        <v>555</v>
      </c>
      <c r="C1936" s="342">
        <v>1200</v>
      </c>
      <c r="D1936" s="344">
        <v>0.02</v>
      </c>
    </row>
    <row r="1937" spans="1:4">
      <c r="A1937" t="s">
        <v>554</v>
      </c>
      <c r="B1937" t="s">
        <v>555</v>
      </c>
      <c r="C1937" s="343">
        <v>1200</v>
      </c>
      <c r="D1937" s="345">
        <v>0.02</v>
      </c>
    </row>
    <row r="1938" spans="1:4">
      <c r="A1938" t="s">
        <v>554</v>
      </c>
      <c r="B1938" t="s">
        <v>555</v>
      </c>
      <c r="C1938" s="342">
        <v>1200</v>
      </c>
      <c r="D1938" s="344">
        <v>0.02</v>
      </c>
    </row>
    <row r="1939" spans="1:4">
      <c r="A1939" t="s">
        <v>554</v>
      </c>
      <c r="B1939" t="s">
        <v>555</v>
      </c>
      <c r="C1939" s="343">
        <v>1200</v>
      </c>
      <c r="D1939" s="345">
        <v>0.02</v>
      </c>
    </row>
    <row r="1940" spans="1:4">
      <c r="A1940" t="s">
        <v>554</v>
      </c>
      <c r="B1940" t="s">
        <v>555</v>
      </c>
      <c r="C1940" s="342">
        <v>1200</v>
      </c>
      <c r="D1940" s="344">
        <v>0.02</v>
      </c>
    </row>
    <row r="1941" spans="1:4">
      <c r="A1941" t="s">
        <v>554</v>
      </c>
      <c r="B1941" t="s">
        <v>555</v>
      </c>
      <c r="C1941" s="343">
        <v>1200</v>
      </c>
      <c r="D1941" s="345">
        <v>0.02</v>
      </c>
    </row>
    <row r="1942" spans="1:4">
      <c r="A1942" t="s">
        <v>554</v>
      </c>
      <c r="B1942" t="s">
        <v>555</v>
      </c>
      <c r="C1942" s="342">
        <v>1200</v>
      </c>
      <c r="D1942" s="344">
        <v>0.02</v>
      </c>
    </row>
    <row r="1943" spans="1:4">
      <c r="A1943" t="s">
        <v>554</v>
      </c>
      <c r="B1943" t="s">
        <v>555</v>
      </c>
      <c r="C1943" s="343">
        <v>1200</v>
      </c>
      <c r="D1943" s="345">
        <v>0.02</v>
      </c>
    </row>
    <row r="1944" spans="1:4">
      <c r="A1944" t="s">
        <v>554</v>
      </c>
      <c r="B1944" t="s">
        <v>555</v>
      </c>
      <c r="C1944" s="342">
        <v>1200</v>
      </c>
      <c r="D1944" s="344">
        <v>0.02</v>
      </c>
    </row>
    <row r="1945" spans="1:4">
      <c r="A1945" t="s">
        <v>554</v>
      </c>
      <c r="B1945" t="s">
        <v>555</v>
      </c>
      <c r="C1945" s="343">
        <v>2798</v>
      </c>
      <c r="D1945" s="345">
        <v>4.7E-2</v>
      </c>
    </row>
    <row r="1946" spans="1:4">
      <c r="A1946" t="s">
        <v>554</v>
      </c>
      <c r="B1946" t="s">
        <v>555</v>
      </c>
      <c r="C1946" s="342">
        <v>4655</v>
      </c>
      <c r="D1946" s="344">
        <v>7.9000000000000001E-2</v>
      </c>
    </row>
    <row r="1947" spans="1:4">
      <c r="A1947" t="s">
        <v>554</v>
      </c>
      <c r="B1947" t="s">
        <v>555</v>
      </c>
      <c r="C1947" s="343">
        <v>4655</v>
      </c>
      <c r="D1947" s="345">
        <v>7.9000000000000001E-2</v>
      </c>
    </row>
    <row r="1948" spans="1:4">
      <c r="A1948" t="s">
        <v>554</v>
      </c>
      <c r="B1948" t="s">
        <v>555</v>
      </c>
      <c r="C1948" s="342">
        <v>4655</v>
      </c>
      <c r="D1948" s="344">
        <v>7.9000000000000001E-2</v>
      </c>
    </row>
    <row r="1949" spans="1:4">
      <c r="A1949" t="s">
        <v>554</v>
      </c>
      <c r="B1949" t="s">
        <v>555</v>
      </c>
      <c r="C1949" s="343">
        <v>4655</v>
      </c>
      <c r="D1949" s="345">
        <v>7.9000000000000001E-2</v>
      </c>
    </row>
    <row r="1950" spans="1:4">
      <c r="A1950" t="s">
        <v>554</v>
      </c>
      <c r="B1950" t="s">
        <v>555</v>
      </c>
      <c r="C1950" s="342">
        <v>4655</v>
      </c>
      <c r="D1950" s="344">
        <v>7.9000000000000001E-2</v>
      </c>
    </row>
    <row r="1951" spans="1:4">
      <c r="A1951" t="s">
        <v>554</v>
      </c>
      <c r="B1951" t="s">
        <v>555</v>
      </c>
      <c r="C1951" s="343">
        <v>4655</v>
      </c>
      <c r="D1951" s="345">
        <v>7.9000000000000001E-2</v>
      </c>
    </row>
    <row r="1952" spans="1:4">
      <c r="A1952" t="s">
        <v>554</v>
      </c>
      <c r="B1952" t="s">
        <v>555</v>
      </c>
      <c r="C1952" s="342">
        <v>4655</v>
      </c>
      <c r="D1952" s="344">
        <v>7.9000000000000001E-2</v>
      </c>
    </row>
    <row r="1953" spans="1:4">
      <c r="A1953" t="s">
        <v>554</v>
      </c>
      <c r="B1953" t="s">
        <v>555</v>
      </c>
      <c r="C1953" s="343">
        <v>4655</v>
      </c>
      <c r="D1953" s="345">
        <v>7.9000000000000001E-2</v>
      </c>
    </row>
    <row r="1954" spans="1:4">
      <c r="A1954" t="s">
        <v>554</v>
      </c>
      <c r="B1954" t="s">
        <v>555</v>
      </c>
      <c r="C1954" s="342">
        <v>4655</v>
      </c>
      <c r="D1954" s="344">
        <v>7.9000000000000001E-2</v>
      </c>
    </row>
    <row r="1955" spans="1:4">
      <c r="A1955" t="s">
        <v>554</v>
      </c>
      <c r="B1955" t="s">
        <v>555</v>
      </c>
      <c r="C1955" s="343">
        <v>4655</v>
      </c>
      <c r="D1955" s="345">
        <v>7.9000000000000001E-2</v>
      </c>
    </row>
    <row r="1956" spans="1:4">
      <c r="A1956" t="s">
        <v>554</v>
      </c>
      <c r="B1956" t="s">
        <v>555</v>
      </c>
      <c r="C1956" s="342">
        <v>4655</v>
      </c>
      <c r="D1956" s="344">
        <v>7.9000000000000001E-2</v>
      </c>
    </row>
    <row r="1957" spans="1:4">
      <c r="A1957" t="s">
        <v>554</v>
      </c>
      <c r="B1957" t="s">
        <v>555</v>
      </c>
      <c r="C1957" s="343">
        <v>4655</v>
      </c>
      <c r="D1957" s="345">
        <v>7.9000000000000001E-2</v>
      </c>
    </row>
    <row r="1958" spans="1:4">
      <c r="A1958" t="s">
        <v>554</v>
      </c>
      <c r="B1958" t="s">
        <v>555</v>
      </c>
      <c r="C1958" s="342">
        <v>1960</v>
      </c>
      <c r="D1958" s="344">
        <v>3.3000000000000002E-2</v>
      </c>
    </row>
    <row r="1959" spans="1:4">
      <c r="A1959" t="s">
        <v>554</v>
      </c>
      <c r="B1959" t="s">
        <v>555</v>
      </c>
      <c r="C1959" s="343">
        <v>1960</v>
      </c>
      <c r="D1959" s="345">
        <v>3.3000000000000002E-2</v>
      </c>
    </row>
    <row r="1960" spans="1:4">
      <c r="A1960" t="s">
        <v>554</v>
      </c>
      <c r="B1960" t="s">
        <v>555</v>
      </c>
      <c r="C1960" s="342">
        <v>3149</v>
      </c>
      <c r="D1960" s="344">
        <v>5.2999999999999999E-2</v>
      </c>
    </row>
    <row r="1961" spans="1:4">
      <c r="A1961" t="s">
        <v>554</v>
      </c>
      <c r="B1961" t="s">
        <v>555</v>
      </c>
      <c r="C1961" s="343">
        <v>1900</v>
      </c>
      <c r="D1961" s="345">
        <v>3.2000000000000001E-2</v>
      </c>
    </row>
    <row r="1962" spans="1:4">
      <c r="A1962" t="s">
        <v>554</v>
      </c>
      <c r="B1962" t="s">
        <v>555</v>
      </c>
      <c r="C1962" s="342">
        <v>1190</v>
      </c>
      <c r="D1962" s="344">
        <v>0.02</v>
      </c>
    </row>
    <row r="1963" spans="1:4">
      <c r="A1963" t="s">
        <v>554</v>
      </c>
      <c r="B1963" t="s">
        <v>555</v>
      </c>
      <c r="C1963" s="343">
        <v>1190</v>
      </c>
      <c r="D1963" s="345">
        <v>0.02</v>
      </c>
    </row>
    <row r="1964" spans="1:4">
      <c r="A1964" t="s">
        <v>554</v>
      </c>
      <c r="B1964" t="s">
        <v>555</v>
      </c>
      <c r="C1964" s="342">
        <v>1190</v>
      </c>
      <c r="D1964" s="344">
        <v>0.02</v>
      </c>
    </row>
    <row r="1965" spans="1:4">
      <c r="A1965" t="s">
        <v>554</v>
      </c>
      <c r="B1965" t="s">
        <v>555</v>
      </c>
      <c r="C1965" s="343">
        <v>1190</v>
      </c>
      <c r="D1965" s="345">
        <v>0.02</v>
      </c>
    </row>
    <row r="1966" spans="1:4">
      <c r="A1966" t="s">
        <v>554</v>
      </c>
      <c r="B1966" t="s">
        <v>555</v>
      </c>
      <c r="C1966" s="342">
        <v>3480</v>
      </c>
      <c r="D1966" s="344">
        <v>5.8999999999999997E-2</v>
      </c>
    </row>
    <row r="1967" spans="1:4">
      <c r="A1967" t="s">
        <v>554</v>
      </c>
      <c r="B1967" t="s">
        <v>555</v>
      </c>
      <c r="C1967" s="343">
        <v>2640</v>
      </c>
      <c r="D1967" s="345">
        <v>4.4999999999999998E-2</v>
      </c>
    </row>
    <row r="1968" spans="1:4">
      <c r="A1968" t="s">
        <v>554</v>
      </c>
      <c r="B1968" t="s">
        <v>557</v>
      </c>
      <c r="C1968" s="342">
        <v>3033</v>
      </c>
      <c r="D1968" s="344">
        <v>0.10199999999999999</v>
      </c>
    </row>
    <row r="1969" spans="1:4">
      <c r="A1969" t="s">
        <v>554</v>
      </c>
      <c r="B1969" t="s">
        <v>555</v>
      </c>
      <c r="C1969" s="343">
        <v>1100</v>
      </c>
      <c r="D1969" s="345">
        <v>1.9E-2</v>
      </c>
    </row>
    <row r="1970" spans="1:4">
      <c r="A1970" t="s">
        <v>554</v>
      </c>
      <c r="B1970" t="s">
        <v>555</v>
      </c>
      <c r="C1970" s="342">
        <v>1100</v>
      </c>
      <c r="D1970" s="344">
        <v>1.9E-2</v>
      </c>
    </row>
    <row r="1971" spans="1:4">
      <c r="A1971" t="s">
        <v>554</v>
      </c>
      <c r="B1971" t="s">
        <v>555</v>
      </c>
      <c r="C1971" s="343">
        <v>1100</v>
      </c>
      <c r="D1971" s="345">
        <v>1.9E-2</v>
      </c>
    </row>
    <row r="1972" spans="1:4">
      <c r="A1972" t="s">
        <v>554</v>
      </c>
      <c r="B1972" t="s">
        <v>555</v>
      </c>
      <c r="C1972" s="342">
        <v>1100</v>
      </c>
      <c r="D1972" s="344">
        <v>1.9E-2</v>
      </c>
    </row>
    <row r="1973" spans="1:4">
      <c r="A1973" t="s">
        <v>554</v>
      </c>
      <c r="B1973" t="s">
        <v>555</v>
      </c>
      <c r="C1973" s="343">
        <v>2725</v>
      </c>
      <c r="D1973" s="345">
        <v>4.5999999999999999E-2</v>
      </c>
    </row>
    <row r="1974" spans="1:4">
      <c r="A1974" t="s">
        <v>558</v>
      </c>
      <c r="B1974" t="s">
        <v>151</v>
      </c>
      <c r="C1974" s="342">
        <v>7531</v>
      </c>
      <c r="D1974" s="344">
        <v>0.92200000000000004</v>
      </c>
    </row>
    <row r="1975" spans="1:4">
      <c r="A1975" t="s">
        <v>558</v>
      </c>
      <c r="B1975" t="s">
        <v>151</v>
      </c>
      <c r="C1975" s="343">
        <v>7531</v>
      </c>
      <c r="D1975" s="345">
        <v>0.92200000000000004</v>
      </c>
    </row>
    <row r="1976" spans="1:4">
      <c r="A1976" t="s">
        <v>558</v>
      </c>
      <c r="B1976" t="s">
        <v>151</v>
      </c>
      <c r="C1976" s="342">
        <v>7531</v>
      </c>
      <c r="D1976" s="344">
        <v>0.92200000000000004</v>
      </c>
    </row>
    <row r="1977" spans="1:4">
      <c r="A1977" t="s">
        <v>558</v>
      </c>
      <c r="B1977" t="s">
        <v>151</v>
      </c>
      <c r="C1977" s="343">
        <v>7531</v>
      </c>
      <c r="D1977" s="345">
        <v>0.92200000000000004</v>
      </c>
    </row>
    <row r="1978" spans="1:4">
      <c r="A1978" t="s">
        <v>558</v>
      </c>
      <c r="B1978" t="s">
        <v>151</v>
      </c>
      <c r="C1978" s="342">
        <v>7531</v>
      </c>
      <c r="D1978" s="344">
        <v>0.92200000000000004</v>
      </c>
    </row>
    <row r="1979" spans="1:4">
      <c r="A1979" t="s">
        <v>558</v>
      </c>
      <c r="B1979" t="s">
        <v>151</v>
      </c>
      <c r="C1979" s="343">
        <v>7531</v>
      </c>
      <c r="D1979" s="345">
        <v>0.92200000000000004</v>
      </c>
    </row>
    <row r="1980" spans="1:4">
      <c r="A1980" t="s">
        <v>558</v>
      </c>
      <c r="B1980" t="s">
        <v>151</v>
      </c>
      <c r="C1980" s="342">
        <v>7531</v>
      </c>
      <c r="D1980" s="344">
        <v>0.92200000000000004</v>
      </c>
    </row>
    <row r="1981" spans="1:4">
      <c r="A1981" t="s">
        <v>558</v>
      </c>
      <c r="B1981" t="s">
        <v>151</v>
      </c>
      <c r="C1981" s="343">
        <v>7531</v>
      </c>
      <c r="D1981" s="345">
        <v>0.92200000000000004</v>
      </c>
    </row>
    <row r="1982" spans="1:4">
      <c r="A1982" t="s">
        <v>558</v>
      </c>
      <c r="B1982" t="s">
        <v>151</v>
      </c>
      <c r="C1982" s="342">
        <v>7531</v>
      </c>
      <c r="D1982" s="344">
        <v>0.92200000000000004</v>
      </c>
    </row>
    <row r="1983" spans="1:4">
      <c r="A1983" t="s">
        <v>558</v>
      </c>
      <c r="B1983" t="s">
        <v>151</v>
      </c>
      <c r="C1983" s="343">
        <v>7531</v>
      </c>
      <c r="D1983" s="345">
        <v>0.92200000000000004</v>
      </c>
    </row>
    <row r="1984" spans="1:4">
      <c r="A1984" t="s">
        <v>558</v>
      </c>
      <c r="B1984" t="s">
        <v>151</v>
      </c>
      <c r="C1984" s="342">
        <v>7531</v>
      </c>
      <c r="D1984" s="344">
        <v>0.92200000000000004</v>
      </c>
    </row>
    <row r="1985" spans="1:4">
      <c r="A1985" t="s">
        <v>558</v>
      </c>
      <c r="B1985" t="s">
        <v>151</v>
      </c>
      <c r="C1985" s="343">
        <v>7531</v>
      </c>
      <c r="D1985" s="345">
        <v>0.92200000000000004</v>
      </c>
    </row>
    <row r="1986" spans="1:4">
      <c r="A1986" t="s">
        <v>558</v>
      </c>
      <c r="B1986" t="s">
        <v>151</v>
      </c>
      <c r="C1986" s="342">
        <v>7531</v>
      </c>
      <c r="D1986" s="344">
        <v>0.92200000000000004</v>
      </c>
    </row>
    <row r="1987" spans="1:4">
      <c r="A1987" t="s">
        <v>558</v>
      </c>
      <c r="B1987" t="s">
        <v>151</v>
      </c>
      <c r="C1987" s="343">
        <v>7531</v>
      </c>
      <c r="D1987" s="345">
        <v>0.92200000000000004</v>
      </c>
    </row>
    <row r="1988" spans="1:4">
      <c r="A1988" t="s">
        <v>558</v>
      </c>
      <c r="B1988" t="s">
        <v>151</v>
      </c>
      <c r="C1988" s="342">
        <v>7531</v>
      </c>
      <c r="D1988" s="344">
        <v>0.92200000000000004</v>
      </c>
    </row>
    <row r="1989" spans="1:4">
      <c r="A1989" t="s">
        <v>558</v>
      </c>
      <c r="B1989" t="s">
        <v>151</v>
      </c>
      <c r="C1989" s="343">
        <v>7531</v>
      </c>
      <c r="D1989" s="345">
        <v>0.92200000000000004</v>
      </c>
    </row>
    <row r="1990" spans="1:4">
      <c r="A1990" t="s">
        <v>559</v>
      </c>
      <c r="B1990" t="s">
        <v>555</v>
      </c>
      <c r="C1990" s="342">
        <v>2485</v>
      </c>
      <c r="D1990" s="344">
        <v>4.2000000000000003E-2</v>
      </c>
    </row>
    <row r="1991" spans="1:4">
      <c r="A1991" t="s">
        <v>559</v>
      </c>
      <c r="B1991" t="s">
        <v>555</v>
      </c>
      <c r="C1991" s="343">
        <v>2485</v>
      </c>
      <c r="D1991" s="345">
        <v>4.2000000000000003E-2</v>
      </c>
    </row>
    <row r="1992" spans="1:4">
      <c r="A1992" t="s">
        <v>559</v>
      </c>
      <c r="B1992" t="s">
        <v>560</v>
      </c>
      <c r="C1992" s="342">
        <v>5850</v>
      </c>
      <c r="D1992" s="344">
        <v>0.29399999999999998</v>
      </c>
    </row>
    <row r="1993" spans="1:4">
      <c r="A1993" t="s">
        <v>559</v>
      </c>
      <c r="B1993" t="s">
        <v>557</v>
      </c>
      <c r="C1993" s="343">
        <v>7062</v>
      </c>
      <c r="D1993" s="345">
        <v>0.23799999999999999</v>
      </c>
    </row>
    <row r="1994" spans="1:4">
      <c r="A1994" t="s">
        <v>559</v>
      </c>
      <c r="B1994" t="s">
        <v>555</v>
      </c>
      <c r="C1994" s="342">
        <v>2485</v>
      </c>
      <c r="D1994" s="344">
        <v>4.2000000000000003E-2</v>
      </c>
    </row>
    <row r="1995" spans="1:4">
      <c r="A1995" t="s">
        <v>559</v>
      </c>
      <c r="B1995" t="s">
        <v>561</v>
      </c>
      <c r="C1995" s="343">
        <v>6045</v>
      </c>
      <c r="D1995" s="345">
        <v>0.252</v>
      </c>
    </row>
    <row r="1996" spans="1:4">
      <c r="A1996" t="s">
        <v>559</v>
      </c>
      <c r="B1996" t="s">
        <v>560</v>
      </c>
      <c r="C1996" s="342">
        <v>5850</v>
      </c>
      <c r="D1996" s="344">
        <v>0.29399999999999998</v>
      </c>
    </row>
    <row r="1997" spans="1:4">
      <c r="A1997" t="s">
        <v>559</v>
      </c>
      <c r="B1997" t="s">
        <v>560</v>
      </c>
      <c r="C1997" s="343">
        <v>5850</v>
      </c>
      <c r="D1997" s="345">
        <v>0.29399999999999998</v>
      </c>
    </row>
    <row r="1998" spans="1:4">
      <c r="A1998" t="s">
        <v>559</v>
      </c>
      <c r="B1998" t="s">
        <v>557</v>
      </c>
      <c r="C1998" s="342">
        <v>7062</v>
      </c>
      <c r="D1998" s="344">
        <v>0.23799999999999999</v>
      </c>
    </row>
    <row r="1999" spans="1:4">
      <c r="A1999" t="s">
        <v>559</v>
      </c>
      <c r="B1999" t="s">
        <v>555</v>
      </c>
      <c r="C1999" s="343">
        <v>2485</v>
      </c>
      <c r="D1999" s="345">
        <v>4.2000000000000003E-2</v>
      </c>
    </row>
    <row r="2000" spans="1:4">
      <c r="A2000" t="s">
        <v>559</v>
      </c>
      <c r="B2000" t="s">
        <v>560</v>
      </c>
      <c r="C2000" s="342">
        <v>5850</v>
      </c>
      <c r="D2000" s="344">
        <v>0.29399999999999998</v>
      </c>
    </row>
    <row r="2001" spans="1:4">
      <c r="A2001" t="s">
        <v>559</v>
      </c>
      <c r="B2001" t="s">
        <v>555</v>
      </c>
      <c r="C2001" s="343">
        <v>3075</v>
      </c>
      <c r="D2001" s="345">
        <v>5.1999999999999998E-2</v>
      </c>
    </row>
    <row r="2002" spans="1:4">
      <c r="A2002" t="s">
        <v>559</v>
      </c>
      <c r="B2002" t="s">
        <v>555</v>
      </c>
      <c r="C2002" s="342">
        <v>2485</v>
      </c>
      <c r="D2002" s="344">
        <v>4.2000000000000003E-2</v>
      </c>
    </row>
    <row r="2003" spans="1:4">
      <c r="A2003" t="s">
        <v>559</v>
      </c>
      <c r="B2003" t="s">
        <v>561</v>
      </c>
      <c r="C2003" s="343">
        <v>6045</v>
      </c>
      <c r="D2003" s="345">
        <v>0.252</v>
      </c>
    </row>
    <row r="2004" spans="1:4">
      <c r="A2004" t="s">
        <v>559</v>
      </c>
      <c r="B2004" t="s">
        <v>560</v>
      </c>
      <c r="C2004" s="342">
        <v>5850</v>
      </c>
      <c r="D2004" s="344">
        <v>0.29399999999999998</v>
      </c>
    </row>
    <row r="2005" spans="1:4">
      <c r="A2005" t="s">
        <v>559</v>
      </c>
      <c r="B2005" t="s">
        <v>560</v>
      </c>
      <c r="C2005" s="343">
        <v>5850</v>
      </c>
      <c r="D2005" s="345">
        <v>0.29399999999999998</v>
      </c>
    </row>
    <row r="2006" spans="1:4">
      <c r="A2006" t="s">
        <v>559</v>
      </c>
      <c r="B2006" t="s">
        <v>560</v>
      </c>
      <c r="C2006" s="342">
        <v>3400</v>
      </c>
      <c r="D2006" s="344">
        <v>0.17100000000000001</v>
      </c>
    </row>
    <row r="2007" spans="1:4">
      <c r="A2007" t="s">
        <v>559</v>
      </c>
      <c r="B2007" t="s">
        <v>561</v>
      </c>
      <c r="C2007" s="343">
        <v>6659</v>
      </c>
      <c r="D2007" s="345">
        <v>0.27800000000000002</v>
      </c>
    </row>
    <row r="2008" spans="1:4">
      <c r="A2008" t="s">
        <v>559</v>
      </c>
      <c r="B2008" t="s">
        <v>561</v>
      </c>
      <c r="C2008" s="342">
        <v>6045</v>
      </c>
      <c r="D2008" s="344">
        <v>0.252</v>
      </c>
    </row>
    <row r="2009" spans="1:4">
      <c r="A2009" t="s">
        <v>559</v>
      </c>
      <c r="B2009" t="s">
        <v>557</v>
      </c>
      <c r="C2009" s="343">
        <v>7142</v>
      </c>
      <c r="D2009" s="345">
        <v>0.24099999999999999</v>
      </c>
    </row>
    <row r="2010" spans="1:4">
      <c r="A2010" t="s">
        <v>559</v>
      </c>
      <c r="B2010" t="s">
        <v>555</v>
      </c>
      <c r="C2010" s="342">
        <v>2485</v>
      </c>
      <c r="D2010" s="344">
        <v>4.2000000000000003E-2</v>
      </c>
    </row>
    <row r="2011" spans="1:4">
      <c r="A2011" t="s">
        <v>559</v>
      </c>
      <c r="B2011" t="s">
        <v>555</v>
      </c>
      <c r="C2011" s="343">
        <v>2485</v>
      </c>
      <c r="D2011" s="345">
        <v>4.2000000000000003E-2</v>
      </c>
    </row>
    <row r="2012" spans="1:4">
      <c r="A2012" t="s">
        <v>559</v>
      </c>
      <c r="B2012" t="s">
        <v>555</v>
      </c>
      <c r="C2012" s="342">
        <v>2485</v>
      </c>
      <c r="D2012" s="344">
        <v>4.2000000000000003E-2</v>
      </c>
    </row>
    <row r="2013" spans="1:4">
      <c r="A2013" t="s">
        <v>559</v>
      </c>
      <c r="B2013" t="s">
        <v>555</v>
      </c>
      <c r="C2013" s="343">
        <v>2485</v>
      </c>
      <c r="D2013" s="345">
        <v>4.2000000000000003E-2</v>
      </c>
    </row>
    <row r="2014" spans="1:4">
      <c r="A2014" t="s">
        <v>559</v>
      </c>
      <c r="B2014" t="s">
        <v>555</v>
      </c>
      <c r="C2014" s="342">
        <v>2485</v>
      </c>
      <c r="D2014" s="344">
        <v>4.2000000000000003E-2</v>
      </c>
    </row>
    <row r="2015" spans="1:4">
      <c r="A2015" t="s">
        <v>559</v>
      </c>
      <c r="B2015" t="s">
        <v>555</v>
      </c>
      <c r="C2015" s="343">
        <v>2485</v>
      </c>
      <c r="D2015" s="345">
        <v>4.2000000000000003E-2</v>
      </c>
    </row>
    <row r="2016" spans="1:4">
      <c r="A2016" t="s">
        <v>559</v>
      </c>
      <c r="B2016" t="s">
        <v>555</v>
      </c>
      <c r="C2016" s="342">
        <v>2485</v>
      </c>
      <c r="D2016" s="344">
        <v>4.2000000000000003E-2</v>
      </c>
    </row>
    <row r="2017" spans="1:4">
      <c r="A2017" t="s">
        <v>559</v>
      </c>
      <c r="B2017" t="s">
        <v>555</v>
      </c>
      <c r="C2017" s="343">
        <v>2485</v>
      </c>
      <c r="D2017" s="345">
        <v>4.2000000000000003E-2</v>
      </c>
    </row>
    <row r="2018" spans="1:4">
      <c r="A2018" t="s">
        <v>559</v>
      </c>
      <c r="B2018" t="s">
        <v>557</v>
      </c>
      <c r="C2018" s="342">
        <v>7062</v>
      </c>
      <c r="D2018" s="344">
        <v>0.23799999999999999</v>
      </c>
    </row>
    <row r="2019" spans="1:4">
      <c r="A2019" t="s">
        <v>559</v>
      </c>
      <c r="B2019" t="s">
        <v>560</v>
      </c>
      <c r="C2019" s="343">
        <v>5850</v>
      </c>
      <c r="D2019" s="345">
        <v>0.29399999999999998</v>
      </c>
    </row>
    <row r="2020" spans="1:4">
      <c r="A2020" t="s">
        <v>559</v>
      </c>
      <c r="B2020" t="s">
        <v>557</v>
      </c>
      <c r="C2020" s="342">
        <v>3957</v>
      </c>
      <c r="D2020" s="344">
        <v>0.13300000000000001</v>
      </c>
    </row>
    <row r="2021" spans="1:4">
      <c r="A2021" t="s">
        <v>559</v>
      </c>
      <c r="B2021" t="s">
        <v>560</v>
      </c>
      <c r="C2021" s="343">
        <v>6659</v>
      </c>
      <c r="D2021" s="345">
        <v>0.33500000000000002</v>
      </c>
    </row>
    <row r="2022" spans="1:4">
      <c r="A2022" t="s">
        <v>559</v>
      </c>
      <c r="B2022" t="s">
        <v>560</v>
      </c>
      <c r="C2022" s="342">
        <v>3115</v>
      </c>
      <c r="D2022" s="344">
        <v>0.157</v>
      </c>
    </row>
    <row r="2023" spans="1:4">
      <c r="A2023" t="s">
        <v>559</v>
      </c>
      <c r="B2023" t="s">
        <v>561</v>
      </c>
      <c r="C2023" s="343">
        <v>6045</v>
      </c>
      <c r="D2023" s="345">
        <v>0.252</v>
      </c>
    </row>
    <row r="2024" spans="1:4">
      <c r="A2024" t="s">
        <v>559</v>
      </c>
      <c r="B2024" t="s">
        <v>557</v>
      </c>
      <c r="C2024" s="342">
        <v>7062</v>
      </c>
      <c r="D2024" s="344">
        <v>0.23799999999999999</v>
      </c>
    </row>
    <row r="2025" spans="1:4">
      <c r="A2025" t="s">
        <v>559</v>
      </c>
      <c r="B2025" t="s">
        <v>557</v>
      </c>
      <c r="C2025" s="343">
        <v>5848</v>
      </c>
      <c r="D2025" s="345">
        <v>0.19700000000000001</v>
      </c>
    </row>
    <row r="2026" spans="1:4">
      <c r="A2026" t="s">
        <v>559</v>
      </c>
      <c r="B2026" t="s">
        <v>560</v>
      </c>
      <c r="C2026" s="342">
        <v>5850</v>
      </c>
      <c r="D2026" s="344">
        <v>0.29399999999999998</v>
      </c>
    </row>
    <row r="2027" spans="1:4">
      <c r="A2027" t="s">
        <v>559</v>
      </c>
      <c r="B2027" t="s">
        <v>557</v>
      </c>
      <c r="C2027" s="343">
        <v>7062</v>
      </c>
      <c r="D2027" s="345">
        <v>0.23799999999999999</v>
      </c>
    </row>
    <row r="2028" spans="1:4">
      <c r="A2028" t="s">
        <v>559</v>
      </c>
      <c r="B2028" t="s">
        <v>560</v>
      </c>
      <c r="C2028" s="342">
        <v>5850</v>
      </c>
      <c r="D2028" s="344">
        <v>0.29399999999999998</v>
      </c>
    </row>
    <row r="2029" spans="1:4">
      <c r="A2029" t="s">
        <v>559</v>
      </c>
      <c r="B2029" t="s">
        <v>560</v>
      </c>
      <c r="C2029" s="343">
        <v>5850</v>
      </c>
      <c r="D2029" s="345">
        <v>0.29399999999999998</v>
      </c>
    </row>
    <row r="2030" spans="1:4">
      <c r="A2030" t="s">
        <v>559</v>
      </c>
      <c r="B2030" t="s">
        <v>560</v>
      </c>
      <c r="C2030" s="342">
        <v>5850</v>
      </c>
      <c r="D2030" s="344">
        <v>0.29399999999999998</v>
      </c>
    </row>
    <row r="2031" spans="1:4">
      <c r="A2031" t="s">
        <v>559</v>
      </c>
      <c r="B2031" t="s">
        <v>557</v>
      </c>
      <c r="C2031" s="343">
        <v>5848</v>
      </c>
      <c r="D2031" s="345">
        <v>0.19700000000000001</v>
      </c>
    </row>
    <row r="2032" spans="1:4">
      <c r="A2032" t="s">
        <v>559</v>
      </c>
      <c r="B2032" t="s">
        <v>560</v>
      </c>
      <c r="C2032" s="342">
        <v>3400</v>
      </c>
      <c r="D2032" s="344">
        <v>0.17100000000000001</v>
      </c>
    </row>
    <row r="2033" spans="1:4">
      <c r="A2033" t="s">
        <v>559</v>
      </c>
      <c r="B2033" t="s">
        <v>560</v>
      </c>
      <c r="C2033" s="343">
        <v>6659</v>
      </c>
      <c r="D2033" s="345">
        <v>0.33500000000000002</v>
      </c>
    </row>
    <row r="2034" spans="1:4">
      <c r="A2034" t="s">
        <v>559</v>
      </c>
      <c r="B2034" t="s">
        <v>560</v>
      </c>
      <c r="C2034" s="342">
        <v>3115</v>
      </c>
      <c r="D2034" s="344">
        <v>0.157</v>
      </c>
    </row>
    <row r="2035" spans="1:4">
      <c r="A2035" t="s">
        <v>559</v>
      </c>
      <c r="B2035" t="s">
        <v>557</v>
      </c>
      <c r="C2035" s="343">
        <v>7062</v>
      </c>
      <c r="D2035" s="345">
        <v>0.23799999999999999</v>
      </c>
    </row>
    <row r="2036" spans="1:4">
      <c r="A2036" t="s">
        <v>559</v>
      </c>
      <c r="B2036" t="s">
        <v>557</v>
      </c>
      <c r="C2036" s="342">
        <v>7062</v>
      </c>
      <c r="D2036" s="344">
        <v>0.23799999999999999</v>
      </c>
    </row>
    <row r="2037" spans="1:4">
      <c r="A2037" t="s">
        <v>559</v>
      </c>
      <c r="B2037" t="s">
        <v>557</v>
      </c>
      <c r="C2037" s="343">
        <v>7062</v>
      </c>
      <c r="D2037" s="345">
        <v>0.23799999999999999</v>
      </c>
    </row>
    <row r="2038" spans="1:4">
      <c r="A2038" t="s">
        <v>559</v>
      </c>
      <c r="B2038" t="s">
        <v>557</v>
      </c>
      <c r="C2038" s="342">
        <v>3677</v>
      </c>
      <c r="D2038" s="344">
        <v>0.124</v>
      </c>
    </row>
    <row r="2039" spans="1:4">
      <c r="A2039" t="s">
        <v>559</v>
      </c>
      <c r="B2039" t="s">
        <v>557</v>
      </c>
      <c r="C2039" s="343">
        <v>7142</v>
      </c>
      <c r="D2039" s="345">
        <v>0.24099999999999999</v>
      </c>
    </row>
    <row r="2040" spans="1:4">
      <c r="A2040" t="s">
        <v>559</v>
      </c>
      <c r="B2040" t="s">
        <v>557</v>
      </c>
      <c r="C2040" s="342">
        <v>3957</v>
      </c>
      <c r="D2040" s="344">
        <v>0.13300000000000001</v>
      </c>
    </row>
    <row r="2041" spans="1:4">
      <c r="A2041" t="s">
        <v>559</v>
      </c>
      <c r="B2041" t="s">
        <v>557</v>
      </c>
      <c r="C2041" s="343">
        <v>3677</v>
      </c>
      <c r="D2041" s="345">
        <v>0.124</v>
      </c>
    </row>
    <row r="2042" spans="1:4">
      <c r="A2042" t="s">
        <v>559</v>
      </c>
      <c r="B2042" t="s">
        <v>557</v>
      </c>
      <c r="C2042" s="342">
        <v>7142</v>
      </c>
      <c r="D2042" s="344">
        <v>0.24099999999999999</v>
      </c>
    </row>
    <row r="2043" spans="1:4">
      <c r="A2043" t="s">
        <v>559</v>
      </c>
      <c r="B2043" t="s">
        <v>556</v>
      </c>
      <c r="C2043" s="343">
        <v>3075</v>
      </c>
      <c r="D2043" s="345">
        <v>6.6000000000000003E-2</v>
      </c>
    </row>
    <row r="2044" spans="1:4">
      <c r="A2044" t="s">
        <v>559</v>
      </c>
      <c r="B2044" t="s">
        <v>557</v>
      </c>
      <c r="C2044" s="342">
        <v>7142</v>
      </c>
      <c r="D2044" s="344">
        <v>0.24099999999999999</v>
      </c>
    </row>
    <row r="2045" spans="1:4">
      <c r="A2045" t="s">
        <v>559</v>
      </c>
      <c r="B2045" t="s">
        <v>561</v>
      </c>
      <c r="C2045" s="343">
        <v>7660</v>
      </c>
      <c r="D2045" s="345">
        <v>0.31900000000000001</v>
      </c>
    </row>
    <row r="2046" spans="1:4">
      <c r="A2046" t="s">
        <v>559</v>
      </c>
      <c r="B2046" t="s">
        <v>561</v>
      </c>
      <c r="C2046" s="342">
        <v>7660</v>
      </c>
      <c r="D2046" s="344">
        <v>0.31900000000000001</v>
      </c>
    </row>
    <row r="2047" spans="1:4">
      <c r="A2047" t="s">
        <v>559</v>
      </c>
      <c r="B2047" t="s">
        <v>560</v>
      </c>
      <c r="C2047" s="343">
        <v>5850</v>
      </c>
      <c r="D2047" s="345">
        <v>0.29399999999999998</v>
      </c>
    </row>
    <row r="2048" spans="1:4">
      <c r="A2048" t="s">
        <v>559</v>
      </c>
      <c r="B2048" t="s">
        <v>560</v>
      </c>
      <c r="C2048" s="342">
        <v>5850</v>
      </c>
      <c r="D2048" s="344">
        <v>0.29399999999999998</v>
      </c>
    </row>
    <row r="2049" spans="1:4">
      <c r="A2049" t="s">
        <v>559</v>
      </c>
      <c r="B2049" t="s">
        <v>560</v>
      </c>
      <c r="C2049" s="343">
        <v>5850</v>
      </c>
      <c r="D2049" s="345">
        <v>0.29399999999999998</v>
      </c>
    </row>
    <row r="2050" spans="1:4">
      <c r="A2050" t="s">
        <v>559</v>
      </c>
      <c r="B2050" t="s">
        <v>561</v>
      </c>
      <c r="C2050" s="342">
        <v>6659</v>
      </c>
      <c r="D2050" s="344">
        <v>0.27800000000000002</v>
      </c>
    </row>
    <row r="2051" spans="1:4">
      <c r="A2051" t="s">
        <v>559</v>
      </c>
      <c r="B2051" t="s">
        <v>557</v>
      </c>
      <c r="C2051" s="343">
        <v>6530</v>
      </c>
      <c r="D2051" s="345">
        <v>0.221</v>
      </c>
    </row>
    <row r="2052" spans="1:4">
      <c r="A2052" t="s">
        <v>562</v>
      </c>
      <c r="B2052" t="s">
        <v>563</v>
      </c>
      <c r="C2052" s="342">
        <v>7477</v>
      </c>
      <c r="D2052" s="344">
        <v>0.372</v>
      </c>
    </row>
    <row r="2053" spans="1:4">
      <c r="A2053" t="s">
        <v>562</v>
      </c>
      <c r="B2053" t="s">
        <v>563</v>
      </c>
      <c r="C2053" s="343">
        <v>7477</v>
      </c>
      <c r="D2053" s="345">
        <v>0.375</v>
      </c>
    </row>
    <row r="2054" spans="1:4">
      <c r="A2054" t="s">
        <v>562</v>
      </c>
      <c r="B2054" t="s">
        <v>563</v>
      </c>
      <c r="C2054" s="342">
        <v>7477</v>
      </c>
      <c r="D2054" s="344">
        <v>0.372</v>
      </c>
    </row>
    <row r="2055" spans="1:4">
      <c r="A2055" t="s">
        <v>562</v>
      </c>
      <c r="B2055" t="s">
        <v>563</v>
      </c>
      <c r="C2055" s="343">
        <v>7477</v>
      </c>
      <c r="D2055" s="345">
        <v>0.372</v>
      </c>
    </row>
    <row r="2056" spans="1:4">
      <c r="A2056" t="s">
        <v>562</v>
      </c>
      <c r="B2056" t="s">
        <v>563</v>
      </c>
      <c r="C2056" s="342">
        <v>7477</v>
      </c>
      <c r="D2056" s="344">
        <v>0.375</v>
      </c>
    </row>
    <row r="2057" spans="1:4">
      <c r="A2057" t="s">
        <v>562</v>
      </c>
      <c r="B2057" t="s">
        <v>563</v>
      </c>
      <c r="C2057" s="343">
        <v>7477</v>
      </c>
      <c r="D2057" s="345">
        <v>0.375</v>
      </c>
    </row>
    <row r="2058" spans="1:4">
      <c r="A2058" t="s">
        <v>562</v>
      </c>
      <c r="B2058" t="s">
        <v>563</v>
      </c>
      <c r="C2058" s="342">
        <v>7477</v>
      </c>
      <c r="D2058" s="344">
        <v>0.375</v>
      </c>
    </row>
    <row r="2059" spans="1:4">
      <c r="A2059" t="s">
        <v>562</v>
      </c>
      <c r="B2059" t="s">
        <v>563</v>
      </c>
      <c r="C2059" s="343">
        <v>7477</v>
      </c>
      <c r="D2059" s="345">
        <v>0.375</v>
      </c>
    </row>
    <row r="2060" spans="1:4">
      <c r="A2060" t="s">
        <v>562</v>
      </c>
      <c r="B2060" t="s">
        <v>563</v>
      </c>
      <c r="C2060" s="342">
        <v>7477</v>
      </c>
      <c r="D2060" s="344">
        <v>0.375</v>
      </c>
    </row>
    <row r="2061" spans="1:4">
      <c r="A2061" t="s">
        <v>562</v>
      </c>
      <c r="B2061" t="s">
        <v>563</v>
      </c>
      <c r="C2061" s="343">
        <v>7477</v>
      </c>
      <c r="D2061" s="345">
        <v>0.372</v>
      </c>
    </row>
    <row r="2062" spans="1:4">
      <c r="A2062" t="s">
        <v>562</v>
      </c>
      <c r="B2062" t="s">
        <v>563</v>
      </c>
      <c r="C2062" s="342">
        <v>7477</v>
      </c>
      <c r="D2062" s="344">
        <v>0.372</v>
      </c>
    </row>
    <row r="2063" spans="1:4">
      <c r="A2063" t="s">
        <v>562</v>
      </c>
      <c r="B2063" t="s">
        <v>563</v>
      </c>
      <c r="C2063" s="343">
        <v>7477</v>
      </c>
      <c r="D2063" s="345">
        <v>0.372</v>
      </c>
    </row>
    <row r="2064" spans="1:4">
      <c r="A2064" t="s">
        <v>562</v>
      </c>
      <c r="B2064" t="s">
        <v>563</v>
      </c>
      <c r="C2064" s="342">
        <v>7477</v>
      </c>
      <c r="D2064" s="344">
        <v>0.372</v>
      </c>
    </row>
    <row r="2065" spans="1:4">
      <c r="A2065" t="s">
        <v>562</v>
      </c>
      <c r="B2065" t="s">
        <v>563</v>
      </c>
      <c r="C2065" s="343">
        <v>7477</v>
      </c>
      <c r="D2065" s="345">
        <v>0.375</v>
      </c>
    </row>
    <row r="2066" spans="1:4">
      <c r="A2066" t="s">
        <v>562</v>
      </c>
      <c r="B2066" t="s">
        <v>563</v>
      </c>
      <c r="C2066" s="342">
        <v>7477</v>
      </c>
      <c r="D2066" s="344">
        <v>0.372</v>
      </c>
    </row>
    <row r="2067" spans="1:4">
      <c r="A2067" t="s">
        <v>562</v>
      </c>
      <c r="B2067" t="s">
        <v>563</v>
      </c>
      <c r="C2067" s="343">
        <v>7477</v>
      </c>
      <c r="D2067" s="345">
        <v>0.375</v>
      </c>
    </row>
    <row r="2068" spans="1:4">
      <c r="A2068" t="s">
        <v>564</v>
      </c>
      <c r="B2068" t="s">
        <v>167</v>
      </c>
      <c r="C2068" s="342">
        <v>5922</v>
      </c>
      <c r="D2068" s="344">
        <v>3.1E-2</v>
      </c>
    </row>
    <row r="2069" spans="1:4">
      <c r="A2069" t="s">
        <v>564</v>
      </c>
      <c r="B2069" t="s">
        <v>555</v>
      </c>
      <c r="C2069" s="343">
        <v>4510</v>
      </c>
      <c r="D2069" s="345">
        <v>7.5999999999999998E-2</v>
      </c>
    </row>
    <row r="2070" spans="1:4">
      <c r="A2070" t="s">
        <v>564</v>
      </c>
      <c r="B2070" t="s">
        <v>555</v>
      </c>
      <c r="C2070" s="342">
        <v>5190</v>
      </c>
      <c r="D2070" s="344">
        <v>8.7999999999999995E-2</v>
      </c>
    </row>
    <row r="2071" spans="1:4">
      <c r="A2071" t="s">
        <v>564</v>
      </c>
      <c r="B2071" t="s">
        <v>555</v>
      </c>
      <c r="C2071" s="343">
        <v>4600</v>
      </c>
      <c r="D2071" s="345">
        <v>7.8E-2</v>
      </c>
    </row>
    <row r="2072" spans="1:4">
      <c r="A2072" t="s">
        <v>564</v>
      </c>
      <c r="B2072" t="s">
        <v>555</v>
      </c>
      <c r="C2072" s="342">
        <v>4518</v>
      </c>
      <c r="D2072" s="344">
        <v>7.5999999999999998E-2</v>
      </c>
    </row>
    <row r="2073" spans="1:4">
      <c r="A2073" t="s">
        <v>564</v>
      </c>
      <c r="B2073" t="s">
        <v>567</v>
      </c>
      <c r="C2073" s="343">
        <v>4524</v>
      </c>
      <c r="D2073" s="345">
        <v>0.11899999999999999</v>
      </c>
    </row>
    <row r="2074" spans="1:4">
      <c r="A2074" t="s">
        <v>564</v>
      </c>
      <c r="B2074" t="s">
        <v>167</v>
      </c>
      <c r="C2074" s="342">
        <v>1675</v>
      </c>
      <c r="D2074" s="344">
        <v>8.9999999999999993E-3</v>
      </c>
    </row>
    <row r="2075" spans="1:4">
      <c r="A2075" t="s">
        <v>564</v>
      </c>
      <c r="B2075" t="s">
        <v>167</v>
      </c>
      <c r="C2075" s="343">
        <v>5922</v>
      </c>
      <c r="D2075" s="345">
        <v>3.1E-2</v>
      </c>
    </row>
    <row r="2076" spans="1:4">
      <c r="A2076" t="s">
        <v>564</v>
      </c>
      <c r="B2076" t="s">
        <v>555</v>
      </c>
      <c r="C2076" s="342">
        <v>4550</v>
      </c>
      <c r="D2076" s="344">
        <v>7.6999999999999999E-2</v>
      </c>
    </row>
    <row r="2077" spans="1:4">
      <c r="A2077" t="s">
        <v>564</v>
      </c>
      <c r="B2077" t="s">
        <v>555</v>
      </c>
      <c r="C2077" s="343">
        <v>4510</v>
      </c>
      <c r="D2077" s="345">
        <v>7.5999999999999998E-2</v>
      </c>
    </row>
    <row r="2078" spans="1:4">
      <c r="A2078" t="s">
        <v>564</v>
      </c>
      <c r="B2078" t="s">
        <v>567</v>
      </c>
      <c r="C2078" s="342">
        <v>4524</v>
      </c>
      <c r="D2078" s="344">
        <v>0.11899999999999999</v>
      </c>
    </row>
    <row r="2079" spans="1:4">
      <c r="A2079" t="s">
        <v>564</v>
      </c>
      <c r="B2079" t="s">
        <v>167</v>
      </c>
      <c r="C2079" s="343">
        <v>5025</v>
      </c>
      <c r="D2079" s="345">
        <v>2.7E-2</v>
      </c>
    </row>
    <row r="2080" spans="1:4">
      <c r="A2080" t="s">
        <v>564</v>
      </c>
      <c r="B2080" t="s">
        <v>167</v>
      </c>
      <c r="C2080" s="342">
        <v>5250</v>
      </c>
      <c r="D2080" s="344">
        <v>2.8000000000000001E-2</v>
      </c>
    </row>
    <row r="2081" spans="1:4">
      <c r="A2081" t="s">
        <v>564</v>
      </c>
      <c r="B2081" t="s">
        <v>167</v>
      </c>
      <c r="C2081" s="343">
        <v>5137</v>
      </c>
      <c r="D2081" s="345">
        <v>2.7E-2</v>
      </c>
    </row>
    <row r="2082" spans="1:4">
      <c r="A2082" t="s">
        <v>564</v>
      </c>
      <c r="B2082" t="s">
        <v>167</v>
      </c>
      <c r="C2082" s="342">
        <v>5137</v>
      </c>
      <c r="D2082" s="344">
        <v>2.7E-2</v>
      </c>
    </row>
    <row r="2083" spans="1:4">
      <c r="A2083" t="s">
        <v>564</v>
      </c>
      <c r="B2083" t="s">
        <v>555</v>
      </c>
      <c r="C2083" s="343">
        <v>4600</v>
      </c>
      <c r="D2083" s="345">
        <v>7.8E-2</v>
      </c>
    </row>
    <row r="2084" spans="1:4">
      <c r="A2084" t="s">
        <v>564</v>
      </c>
      <c r="B2084" t="s">
        <v>167</v>
      </c>
      <c r="C2084" s="342">
        <v>5137</v>
      </c>
      <c r="D2084" s="344">
        <v>2.7E-2</v>
      </c>
    </row>
    <row r="2085" spans="1:4">
      <c r="A2085" t="s">
        <v>564</v>
      </c>
      <c r="B2085" t="s">
        <v>555</v>
      </c>
      <c r="C2085" s="343">
        <v>4420</v>
      </c>
      <c r="D2085" s="345">
        <v>7.4999999999999997E-2</v>
      </c>
    </row>
    <row r="2086" spans="1:4">
      <c r="A2086" t="s">
        <v>564</v>
      </c>
      <c r="B2086" t="s">
        <v>567</v>
      </c>
      <c r="C2086" s="342">
        <v>4524</v>
      </c>
      <c r="D2086" s="344">
        <v>0.11899999999999999</v>
      </c>
    </row>
    <row r="2087" spans="1:4">
      <c r="A2087" t="s">
        <v>564</v>
      </c>
      <c r="B2087" t="s">
        <v>555</v>
      </c>
      <c r="C2087" s="343">
        <v>4600</v>
      </c>
      <c r="D2087" s="345">
        <v>7.8E-2</v>
      </c>
    </row>
    <row r="2088" spans="1:4">
      <c r="A2088" t="s">
        <v>564</v>
      </c>
      <c r="B2088" t="s">
        <v>167</v>
      </c>
      <c r="C2088" s="342">
        <v>4808</v>
      </c>
      <c r="D2088" s="344">
        <v>2.5000000000000001E-2</v>
      </c>
    </row>
    <row r="2089" spans="1:4">
      <c r="A2089" t="s">
        <v>564</v>
      </c>
      <c r="B2089" t="s">
        <v>167</v>
      </c>
      <c r="C2089" s="343">
        <v>4649</v>
      </c>
      <c r="D2089" s="345">
        <v>2.5000000000000001E-2</v>
      </c>
    </row>
    <row r="2090" spans="1:4">
      <c r="A2090" t="s">
        <v>564</v>
      </c>
      <c r="B2090" t="s">
        <v>167</v>
      </c>
      <c r="C2090" s="342">
        <v>5873</v>
      </c>
      <c r="D2090" s="344">
        <v>3.1E-2</v>
      </c>
    </row>
    <row r="2091" spans="1:4">
      <c r="A2091" t="s">
        <v>564</v>
      </c>
      <c r="B2091" t="s">
        <v>555</v>
      </c>
      <c r="C2091" s="343">
        <v>4318</v>
      </c>
      <c r="D2091" s="345">
        <v>7.2999999999999995E-2</v>
      </c>
    </row>
    <row r="2092" spans="1:4">
      <c r="A2092" t="s">
        <v>564</v>
      </c>
      <c r="B2092" t="s">
        <v>555</v>
      </c>
      <c r="C2092" s="342">
        <v>4510</v>
      </c>
      <c r="D2092" s="344">
        <v>7.5999999999999998E-2</v>
      </c>
    </row>
    <row r="2093" spans="1:4">
      <c r="A2093" t="s">
        <v>564</v>
      </c>
      <c r="B2093" t="s">
        <v>167</v>
      </c>
      <c r="C2093" s="343">
        <v>5250</v>
      </c>
      <c r="D2093" s="345">
        <v>2.8000000000000001E-2</v>
      </c>
    </row>
    <row r="2094" spans="1:4">
      <c r="A2094" t="s">
        <v>564</v>
      </c>
      <c r="B2094" t="s">
        <v>167</v>
      </c>
      <c r="C2094" s="342">
        <v>5053</v>
      </c>
      <c r="D2094" s="344">
        <v>2.7E-2</v>
      </c>
    </row>
    <row r="2095" spans="1:4">
      <c r="A2095" t="s">
        <v>564</v>
      </c>
      <c r="B2095" t="s">
        <v>167</v>
      </c>
      <c r="C2095" s="343">
        <v>4808</v>
      </c>
      <c r="D2095" s="345">
        <v>2.5000000000000001E-2</v>
      </c>
    </row>
    <row r="2096" spans="1:4">
      <c r="A2096" t="s">
        <v>564</v>
      </c>
      <c r="B2096" t="s">
        <v>567</v>
      </c>
      <c r="C2096" s="342">
        <v>4510</v>
      </c>
      <c r="D2096" s="344">
        <v>0.11899999999999999</v>
      </c>
    </row>
    <row r="2097" spans="1:4">
      <c r="A2097" t="s">
        <v>564</v>
      </c>
      <c r="B2097" t="s">
        <v>167</v>
      </c>
      <c r="C2097" s="343">
        <v>1675</v>
      </c>
      <c r="D2097" s="345">
        <v>8.9999999999999993E-3</v>
      </c>
    </row>
    <row r="2098" spans="1:4">
      <c r="A2098" t="s">
        <v>564</v>
      </c>
      <c r="B2098" t="s">
        <v>167</v>
      </c>
      <c r="C2098" s="342">
        <v>5924</v>
      </c>
      <c r="D2098" s="344">
        <v>3.1E-2</v>
      </c>
    </row>
    <row r="2099" spans="1:4">
      <c r="A2099" t="s">
        <v>564</v>
      </c>
      <c r="B2099" t="s">
        <v>167</v>
      </c>
      <c r="C2099" s="343">
        <v>4742</v>
      </c>
      <c r="D2099" s="345">
        <v>2.5000000000000001E-2</v>
      </c>
    </row>
    <row r="2100" spans="1:4">
      <c r="A2100" t="s">
        <v>564</v>
      </c>
      <c r="B2100" t="s">
        <v>167</v>
      </c>
      <c r="C2100" s="342">
        <v>4524</v>
      </c>
      <c r="D2100" s="344">
        <v>2.4E-2</v>
      </c>
    </row>
    <row r="2101" spans="1:4">
      <c r="A2101" t="s">
        <v>564</v>
      </c>
      <c r="B2101" t="s">
        <v>167</v>
      </c>
      <c r="C2101" s="343">
        <v>5303</v>
      </c>
      <c r="D2101" s="345">
        <v>2.8000000000000001E-2</v>
      </c>
    </row>
    <row r="2102" spans="1:4">
      <c r="A2102" t="s">
        <v>564</v>
      </c>
      <c r="B2102" t="s">
        <v>567</v>
      </c>
      <c r="C2102" s="342">
        <v>1624</v>
      </c>
      <c r="D2102" s="344">
        <v>4.2999999999999997E-2</v>
      </c>
    </row>
    <row r="2103" spans="1:4">
      <c r="A2103" t="s">
        <v>564</v>
      </c>
      <c r="B2103" t="s">
        <v>167</v>
      </c>
      <c r="C2103" s="343">
        <v>1675</v>
      </c>
      <c r="D2103" s="345">
        <v>8.9999999999999993E-3</v>
      </c>
    </row>
    <row r="2104" spans="1:4">
      <c r="A2104" t="s">
        <v>564</v>
      </c>
      <c r="B2104" t="s">
        <v>567</v>
      </c>
      <c r="C2104" s="342">
        <v>4524</v>
      </c>
      <c r="D2104" s="344">
        <v>0.11899999999999999</v>
      </c>
    </row>
    <row r="2105" spans="1:4">
      <c r="A2105" t="s">
        <v>564</v>
      </c>
      <c r="B2105" t="s">
        <v>555</v>
      </c>
      <c r="C2105" s="343">
        <v>4390</v>
      </c>
      <c r="D2105" s="345">
        <v>7.3999999999999996E-2</v>
      </c>
    </row>
    <row r="2106" spans="1:4">
      <c r="A2106" t="s">
        <v>564</v>
      </c>
      <c r="B2106" t="s">
        <v>555</v>
      </c>
      <c r="C2106" s="342">
        <v>4390</v>
      </c>
      <c r="D2106" s="344">
        <v>7.3999999999999996E-2</v>
      </c>
    </row>
    <row r="2107" spans="1:4">
      <c r="A2107" t="s">
        <v>564</v>
      </c>
      <c r="B2107" t="s">
        <v>167</v>
      </c>
      <c r="C2107" s="343">
        <v>5250</v>
      </c>
      <c r="D2107" s="345">
        <v>2.8000000000000001E-2</v>
      </c>
    </row>
    <row r="2108" spans="1:4">
      <c r="A2108" t="s">
        <v>564</v>
      </c>
      <c r="B2108" t="s">
        <v>555</v>
      </c>
      <c r="C2108" s="342">
        <v>1490</v>
      </c>
      <c r="D2108" s="344">
        <v>2.5000000000000001E-2</v>
      </c>
    </row>
    <row r="2109" spans="1:4">
      <c r="A2109" t="s">
        <v>564</v>
      </c>
      <c r="B2109" t="s">
        <v>555</v>
      </c>
      <c r="C2109" s="343">
        <v>4518</v>
      </c>
      <c r="D2109" s="345">
        <v>7.5999999999999998E-2</v>
      </c>
    </row>
    <row r="2110" spans="1:4">
      <c r="A2110" t="s">
        <v>564</v>
      </c>
      <c r="B2110" t="s">
        <v>555</v>
      </c>
      <c r="C2110" s="342">
        <v>4510</v>
      </c>
      <c r="D2110" s="344">
        <v>7.5999999999999998E-2</v>
      </c>
    </row>
    <row r="2111" spans="1:4">
      <c r="A2111" t="s">
        <v>564</v>
      </c>
      <c r="B2111" t="s">
        <v>167</v>
      </c>
      <c r="C2111" s="343">
        <v>4524</v>
      </c>
      <c r="D2111" s="345">
        <v>2.4E-2</v>
      </c>
    </row>
    <row r="2112" spans="1:4">
      <c r="A2112" t="s">
        <v>564</v>
      </c>
      <c r="B2112" t="s">
        <v>567</v>
      </c>
      <c r="C2112" s="342">
        <v>4524</v>
      </c>
      <c r="D2112" s="344">
        <v>0.11899999999999999</v>
      </c>
    </row>
    <row r="2113" spans="1:4">
      <c r="A2113" t="s">
        <v>564</v>
      </c>
      <c r="B2113" t="s">
        <v>555</v>
      </c>
      <c r="C2113" s="343">
        <v>4600</v>
      </c>
      <c r="D2113" s="345">
        <v>7.8E-2</v>
      </c>
    </row>
    <row r="2114" spans="1:4">
      <c r="A2114" t="s">
        <v>564</v>
      </c>
      <c r="B2114" t="s">
        <v>567</v>
      </c>
      <c r="C2114" s="342">
        <v>5324</v>
      </c>
      <c r="D2114" s="344">
        <v>0.14000000000000001</v>
      </c>
    </row>
    <row r="2115" spans="1:4">
      <c r="A2115" t="s">
        <v>564</v>
      </c>
      <c r="B2115" t="s">
        <v>167</v>
      </c>
      <c r="C2115" s="343">
        <v>4950</v>
      </c>
      <c r="D2115" s="345">
        <v>2.5999999999999999E-2</v>
      </c>
    </row>
    <row r="2116" spans="1:4">
      <c r="A2116" t="s">
        <v>564</v>
      </c>
      <c r="B2116" t="s">
        <v>555</v>
      </c>
      <c r="C2116" s="342">
        <v>4521</v>
      </c>
      <c r="D2116" s="344">
        <v>7.5999999999999998E-2</v>
      </c>
    </row>
    <row r="2117" spans="1:4">
      <c r="A2117" t="s">
        <v>564</v>
      </c>
      <c r="B2117" t="s">
        <v>167</v>
      </c>
      <c r="C2117" s="343">
        <v>4524</v>
      </c>
      <c r="D2117" s="345">
        <v>2.4E-2</v>
      </c>
    </row>
    <row r="2118" spans="1:4">
      <c r="A2118" t="s">
        <v>564</v>
      </c>
      <c r="B2118" t="s">
        <v>555</v>
      </c>
      <c r="C2118" s="342">
        <v>4420</v>
      </c>
      <c r="D2118" s="344">
        <v>7.4999999999999997E-2</v>
      </c>
    </row>
    <row r="2119" spans="1:4">
      <c r="A2119" t="s">
        <v>564</v>
      </c>
      <c r="B2119" t="s">
        <v>167</v>
      </c>
      <c r="C2119" s="343">
        <v>1675</v>
      </c>
      <c r="D2119" s="345">
        <v>8.9999999999999993E-3</v>
      </c>
    </row>
    <row r="2120" spans="1:4">
      <c r="A2120" t="s">
        <v>564</v>
      </c>
      <c r="B2120" t="s">
        <v>167</v>
      </c>
      <c r="C2120" s="342">
        <v>4732</v>
      </c>
      <c r="D2120" s="344">
        <v>2.5000000000000001E-2</v>
      </c>
    </row>
    <row r="2121" spans="1:4">
      <c r="A2121" t="s">
        <v>564</v>
      </c>
      <c r="B2121" t="s">
        <v>555</v>
      </c>
      <c r="C2121" s="343">
        <v>4650</v>
      </c>
      <c r="D2121" s="345">
        <v>7.9000000000000001E-2</v>
      </c>
    </row>
    <row r="2122" spans="1:4">
      <c r="A2122" t="s">
        <v>564</v>
      </c>
      <c r="B2122" t="s">
        <v>555</v>
      </c>
      <c r="C2122" s="342">
        <v>4318</v>
      </c>
      <c r="D2122" s="344">
        <v>7.2999999999999995E-2</v>
      </c>
    </row>
    <row r="2123" spans="1:4">
      <c r="A2123" t="s">
        <v>564</v>
      </c>
      <c r="B2123" t="s">
        <v>555</v>
      </c>
      <c r="C2123" s="343">
        <v>4510</v>
      </c>
      <c r="D2123" s="345">
        <v>7.5999999999999998E-2</v>
      </c>
    </row>
    <row r="2124" spans="1:4">
      <c r="A2124" t="s">
        <v>564</v>
      </c>
      <c r="B2124" t="s">
        <v>555</v>
      </c>
      <c r="C2124" s="342">
        <v>4625</v>
      </c>
      <c r="D2124" s="344">
        <v>7.8E-2</v>
      </c>
    </row>
    <row r="2125" spans="1:4">
      <c r="A2125" t="s">
        <v>564</v>
      </c>
      <c r="B2125" t="s">
        <v>167</v>
      </c>
      <c r="C2125" s="343">
        <v>4524</v>
      </c>
      <c r="D2125" s="345">
        <v>2.4E-2</v>
      </c>
    </row>
    <row r="2126" spans="1:4">
      <c r="A2126" t="s">
        <v>564</v>
      </c>
      <c r="B2126" t="s">
        <v>167</v>
      </c>
      <c r="C2126" s="342">
        <v>5250</v>
      </c>
      <c r="D2126" s="344">
        <v>2.8000000000000001E-2</v>
      </c>
    </row>
    <row r="2127" spans="1:4">
      <c r="A2127" t="s">
        <v>564</v>
      </c>
      <c r="B2127" t="s">
        <v>555</v>
      </c>
      <c r="C2127" s="343">
        <v>4390</v>
      </c>
      <c r="D2127" s="345">
        <v>7.3999999999999996E-2</v>
      </c>
    </row>
    <row r="2128" spans="1:4">
      <c r="A2128" t="s">
        <v>564</v>
      </c>
      <c r="B2128" t="s">
        <v>555</v>
      </c>
      <c r="C2128" s="342">
        <v>4518</v>
      </c>
      <c r="D2128" s="344">
        <v>7.5999999999999998E-2</v>
      </c>
    </row>
    <row r="2129" spans="1:4">
      <c r="A2129" t="s">
        <v>564</v>
      </c>
      <c r="B2129" t="s">
        <v>167</v>
      </c>
      <c r="C2129" s="343">
        <v>4503</v>
      </c>
      <c r="D2129" s="345">
        <v>2.4E-2</v>
      </c>
    </row>
    <row r="2130" spans="1:4">
      <c r="A2130" t="s">
        <v>564</v>
      </c>
      <c r="B2130" t="s">
        <v>167</v>
      </c>
      <c r="C2130" s="342">
        <v>4503</v>
      </c>
      <c r="D2130" s="344">
        <v>2.4E-2</v>
      </c>
    </row>
    <row r="2131" spans="1:4">
      <c r="A2131" t="s">
        <v>564</v>
      </c>
      <c r="B2131" t="s">
        <v>567</v>
      </c>
      <c r="C2131" s="343">
        <v>4510</v>
      </c>
      <c r="D2131" s="345">
        <v>0.11899999999999999</v>
      </c>
    </row>
    <row r="2132" spans="1:4">
      <c r="A2132" t="s">
        <v>564</v>
      </c>
      <c r="B2132" t="s">
        <v>167</v>
      </c>
      <c r="C2132" s="342">
        <v>4942</v>
      </c>
      <c r="D2132" s="344">
        <v>2.5999999999999999E-2</v>
      </c>
    </row>
    <row r="2133" spans="1:4">
      <c r="A2133" t="s">
        <v>564</v>
      </c>
      <c r="B2133" t="s">
        <v>567</v>
      </c>
      <c r="C2133" s="343">
        <v>4524</v>
      </c>
      <c r="D2133" s="345">
        <v>0.11899999999999999</v>
      </c>
    </row>
    <row r="2134" spans="1:4">
      <c r="A2134" t="s">
        <v>564</v>
      </c>
      <c r="B2134" t="s">
        <v>567</v>
      </c>
      <c r="C2134" s="342">
        <v>4524</v>
      </c>
      <c r="D2134" s="344">
        <v>0.11899999999999999</v>
      </c>
    </row>
    <row r="2135" spans="1:4">
      <c r="A2135" t="s">
        <v>564</v>
      </c>
      <c r="B2135" t="s">
        <v>567</v>
      </c>
      <c r="C2135" s="343">
        <v>4524</v>
      </c>
      <c r="D2135" s="345">
        <v>0.11899999999999999</v>
      </c>
    </row>
    <row r="2136" spans="1:4">
      <c r="A2136" t="s">
        <v>564</v>
      </c>
      <c r="B2136" t="s">
        <v>566</v>
      </c>
      <c r="C2136" s="342">
        <v>9160</v>
      </c>
      <c r="D2136" s="344">
        <v>0.24</v>
      </c>
    </row>
    <row r="2137" spans="1:4">
      <c r="A2137" t="s">
        <v>564</v>
      </c>
      <c r="B2137" t="s">
        <v>567</v>
      </c>
      <c r="C2137" s="343">
        <v>5324</v>
      </c>
      <c r="D2137" s="345">
        <v>0.14000000000000001</v>
      </c>
    </row>
    <row r="2138" spans="1:4">
      <c r="A2138" t="s">
        <v>564</v>
      </c>
      <c r="B2138" t="s">
        <v>567</v>
      </c>
      <c r="C2138" s="342">
        <v>4524</v>
      </c>
      <c r="D2138" s="344">
        <v>0.11899999999999999</v>
      </c>
    </row>
    <row r="2139" spans="1:4">
      <c r="A2139" t="s">
        <v>564</v>
      </c>
      <c r="B2139" t="s">
        <v>567</v>
      </c>
      <c r="C2139" s="343">
        <v>4524</v>
      </c>
      <c r="D2139" s="345">
        <v>0.11899999999999999</v>
      </c>
    </row>
    <row r="2140" spans="1:4">
      <c r="A2140" t="s">
        <v>564</v>
      </c>
      <c r="B2140" t="s">
        <v>567</v>
      </c>
      <c r="C2140" s="342">
        <v>1624</v>
      </c>
      <c r="D2140" s="344">
        <v>4.2999999999999997E-2</v>
      </c>
    </row>
    <row r="2141" spans="1:4">
      <c r="A2141" t="s">
        <v>564</v>
      </c>
      <c r="B2141" t="s">
        <v>555</v>
      </c>
      <c r="C2141" s="343">
        <v>5450</v>
      </c>
      <c r="D2141" s="345">
        <v>9.1999999999999998E-2</v>
      </c>
    </row>
    <row r="2142" spans="1:4">
      <c r="A2142" t="s">
        <v>564</v>
      </c>
      <c r="B2142" t="s">
        <v>555</v>
      </c>
      <c r="C2142" s="342">
        <v>1750</v>
      </c>
      <c r="D2142" s="344">
        <v>0.03</v>
      </c>
    </row>
    <row r="2143" spans="1:4">
      <c r="A2143" t="s">
        <v>564</v>
      </c>
      <c r="B2143" t="s">
        <v>555</v>
      </c>
      <c r="C2143" s="343">
        <v>4650</v>
      </c>
      <c r="D2143" s="345">
        <v>7.9000000000000001E-2</v>
      </c>
    </row>
    <row r="2144" spans="1:4">
      <c r="A2144" t="s">
        <v>564</v>
      </c>
      <c r="B2144" t="s">
        <v>555</v>
      </c>
      <c r="C2144" s="342">
        <v>4650</v>
      </c>
      <c r="D2144" s="344">
        <v>7.9000000000000001E-2</v>
      </c>
    </row>
    <row r="2145" spans="1:4">
      <c r="A2145" t="s">
        <v>564</v>
      </c>
      <c r="B2145" t="s">
        <v>555</v>
      </c>
      <c r="C2145" s="343">
        <v>4650</v>
      </c>
      <c r="D2145" s="345">
        <v>7.9000000000000001E-2</v>
      </c>
    </row>
    <row r="2146" spans="1:4">
      <c r="A2146" t="s">
        <v>564</v>
      </c>
      <c r="B2146" t="s">
        <v>555</v>
      </c>
      <c r="C2146" s="342">
        <v>4600</v>
      </c>
      <c r="D2146" s="344">
        <v>7.8E-2</v>
      </c>
    </row>
    <row r="2147" spans="1:4">
      <c r="A2147" t="s">
        <v>564</v>
      </c>
      <c r="B2147" t="s">
        <v>555</v>
      </c>
      <c r="C2147" s="343">
        <v>4650</v>
      </c>
      <c r="D2147" s="345">
        <v>7.9000000000000001E-2</v>
      </c>
    </row>
    <row r="2148" spans="1:4">
      <c r="A2148" t="s">
        <v>564</v>
      </c>
      <c r="B2148" t="s">
        <v>167</v>
      </c>
      <c r="C2148" s="342">
        <v>5303</v>
      </c>
      <c r="D2148" s="344">
        <v>2.8000000000000001E-2</v>
      </c>
    </row>
    <row r="2149" spans="1:4">
      <c r="A2149" t="s">
        <v>564</v>
      </c>
      <c r="B2149" t="s">
        <v>555</v>
      </c>
      <c r="C2149" s="343">
        <v>4510</v>
      </c>
      <c r="D2149" s="345">
        <v>7.5999999999999998E-2</v>
      </c>
    </row>
    <row r="2150" spans="1:4">
      <c r="A2150" t="s">
        <v>564</v>
      </c>
      <c r="B2150" t="s">
        <v>555</v>
      </c>
      <c r="C2150" s="342">
        <v>4470</v>
      </c>
      <c r="D2150" s="344">
        <v>7.5999999999999998E-2</v>
      </c>
    </row>
    <row r="2151" spans="1:4">
      <c r="A2151" t="s">
        <v>564</v>
      </c>
      <c r="B2151" t="s">
        <v>167</v>
      </c>
      <c r="C2151" s="343">
        <v>5864</v>
      </c>
      <c r="D2151" s="345">
        <v>3.1E-2</v>
      </c>
    </row>
    <row r="2152" spans="1:4">
      <c r="A2152" t="s">
        <v>564</v>
      </c>
      <c r="B2152" t="s">
        <v>555</v>
      </c>
      <c r="C2152" s="342">
        <v>4390</v>
      </c>
      <c r="D2152" s="344">
        <v>7.3999999999999996E-2</v>
      </c>
    </row>
    <row r="2153" spans="1:4">
      <c r="A2153" t="s">
        <v>564</v>
      </c>
      <c r="B2153" t="s">
        <v>555</v>
      </c>
      <c r="C2153" s="343">
        <v>4460</v>
      </c>
      <c r="D2153" s="345">
        <v>7.4999999999999997E-2</v>
      </c>
    </row>
    <row r="2154" spans="1:4">
      <c r="A2154" t="s">
        <v>564</v>
      </c>
      <c r="B2154" t="s">
        <v>555</v>
      </c>
      <c r="C2154" s="342">
        <v>4550</v>
      </c>
      <c r="D2154" s="344">
        <v>7.6999999999999999E-2</v>
      </c>
    </row>
    <row r="2155" spans="1:4">
      <c r="A2155" t="s">
        <v>564</v>
      </c>
      <c r="B2155" t="s">
        <v>555</v>
      </c>
      <c r="C2155" s="343">
        <v>4550</v>
      </c>
      <c r="D2155" s="345">
        <v>7.6999999999999999E-2</v>
      </c>
    </row>
    <row r="2156" spans="1:4">
      <c r="A2156" t="s">
        <v>564</v>
      </c>
      <c r="B2156" t="s">
        <v>555</v>
      </c>
      <c r="C2156" s="342">
        <v>4460</v>
      </c>
      <c r="D2156" s="344">
        <v>7.4999999999999997E-2</v>
      </c>
    </row>
    <row r="2157" spans="1:4">
      <c r="A2157" t="s">
        <v>564</v>
      </c>
      <c r="B2157" t="s">
        <v>567</v>
      </c>
      <c r="C2157" s="343">
        <v>4510</v>
      </c>
      <c r="D2157" s="345">
        <v>0.11899999999999999</v>
      </c>
    </row>
    <row r="2158" spans="1:4">
      <c r="A2158" t="s">
        <v>564</v>
      </c>
      <c r="B2158" t="s">
        <v>567</v>
      </c>
      <c r="C2158" s="342">
        <v>4510</v>
      </c>
      <c r="D2158" s="344">
        <v>0.11899999999999999</v>
      </c>
    </row>
    <row r="2159" spans="1:4">
      <c r="A2159" t="s">
        <v>564</v>
      </c>
      <c r="B2159" t="s">
        <v>567</v>
      </c>
      <c r="C2159" s="343">
        <v>5310</v>
      </c>
      <c r="D2159" s="345">
        <v>0.14000000000000001</v>
      </c>
    </row>
    <row r="2160" spans="1:4">
      <c r="A2160" t="s">
        <v>564</v>
      </c>
      <c r="B2160" t="s">
        <v>167</v>
      </c>
      <c r="C2160" s="342">
        <v>5922</v>
      </c>
      <c r="D2160" s="344">
        <v>3.1E-2</v>
      </c>
    </row>
    <row r="2161" spans="1:4">
      <c r="A2161" t="s">
        <v>564</v>
      </c>
      <c r="B2161" t="s">
        <v>567</v>
      </c>
      <c r="C2161" s="343">
        <v>5310</v>
      </c>
      <c r="D2161" s="345">
        <v>0.14000000000000001</v>
      </c>
    </row>
    <row r="2162" spans="1:4">
      <c r="A2162" t="s">
        <v>564</v>
      </c>
      <c r="B2162" t="s">
        <v>567</v>
      </c>
      <c r="C2162" s="342">
        <v>4510</v>
      </c>
      <c r="D2162" s="344">
        <v>0.11899999999999999</v>
      </c>
    </row>
    <row r="2163" spans="1:4">
      <c r="A2163" t="s">
        <v>564</v>
      </c>
      <c r="B2163" t="s">
        <v>567</v>
      </c>
      <c r="C2163" s="343">
        <v>4510</v>
      </c>
      <c r="D2163" s="345">
        <v>0.11899999999999999</v>
      </c>
    </row>
    <row r="2164" spans="1:4">
      <c r="A2164" t="s">
        <v>564</v>
      </c>
      <c r="B2164" t="s">
        <v>167</v>
      </c>
      <c r="C2164" s="342">
        <v>5873</v>
      </c>
      <c r="D2164" s="344">
        <v>3.1E-2</v>
      </c>
    </row>
    <row r="2165" spans="1:4">
      <c r="A2165" t="s">
        <v>564</v>
      </c>
      <c r="B2165" t="s">
        <v>555</v>
      </c>
      <c r="C2165" s="343">
        <v>4455</v>
      </c>
      <c r="D2165" s="345">
        <v>7.4999999999999997E-2</v>
      </c>
    </row>
    <row r="2166" spans="1:4">
      <c r="A2166" t="s">
        <v>564</v>
      </c>
      <c r="B2166" t="s">
        <v>555</v>
      </c>
      <c r="C2166" s="342">
        <v>4390</v>
      </c>
      <c r="D2166" s="344">
        <v>7.3999999999999996E-2</v>
      </c>
    </row>
    <row r="2167" spans="1:4">
      <c r="A2167" t="s">
        <v>564</v>
      </c>
      <c r="B2167" t="s">
        <v>167</v>
      </c>
      <c r="C2167" s="343">
        <v>5137</v>
      </c>
      <c r="D2167" s="345">
        <v>2.7E-2</v>
      </c>
    </row>
    <row r="2168" spans="1:4">
      <c r="A2168" t="s">
        <v>564</v>
      </c>
      <c r="B2168" t="s">
        <v>555</v>
      </c>
      <c r="C2168" s="342">
        <v>4518</v>
      </c>
      <c r="D2168" s="344">
        <v>7.5999999999999998E-2</v>
      </c>
    </row>
    <row r="2169" spans="1:4">
      <c r="A2169" t="s">
        <v>564</v>
      </c>
      <c r="B2169" t="s">
        <v>555</v>
      </c>
      <c r="C2169" s="343">
        <v>4518</v>
      </c>
      <c r="D2169" s="345">
        <v>7.5999999999999998E-2</v>
      </c>
    </row>
    <row r="2170" spans="1:4">
      <c r="A2170" t="s">
        <v>564</v>
      </c>
      <c r="B2170" t="s">
        <v>167</v>
      </c>
      <c r="C2170" s="342">
        <v>5817</v>
      </c>
      <c r="D2170" s="344">
        <v>3.1E-2</v>
      </c>
    </row>
    <row r="2171" spans="1:4">
      <c r="A2171" t="s">
        <v>564</v>
      </c>
      <c r="B2171" t="s">
        <v>167</v>
      </c>
      <c r="C2171" s="343">
        <v>5922</v>
      </c>
      <c r="D2171" s="345">
        <v>3.1E-2</v>
      </c>
    </row>
    <row r="2172" spans="1:4">
      <c r="A2172" t="s">
        <v>564</v>
      </c>
      <c r="B2172" t="s">
        <v>555</v>
      </c>
      <c r="C2172" s="342">
        <v>4600</v>
      </c>
      <c r="D2172" s="344">
        <v>7.8E-2</v>
      </c>
    </row>
    <row r="2173" spans="1:4">
      <c r="A2173" t="s">
        <v>564</v>
      </c>
      <c r="B2173" t="s">
        <v>555</v>
      </c>
      <c r="C2173" s="343">
        <v>4600</v>
      </c>
      <c r="D2173" s="345">
        <v>7.8E-2</v>
      </c>
    </row>
    <row r="2174" spans="1:4">
      <c r="A2174" t="s">
        <v>564</v>
      </c>
      <c r="B2174" t="s">
        <v>555</v>
      </c>
      <c r="C2174" s="342">
        <v>1580</v>
      </c>
      <c r="D2174" s="344">
        <v>2.7E-2</v>
      </c>
    </row>
    <row r="2175" spans="1:4">
      <c r="A2175" t="s">
        <v>564</v>
      </c>
      <c r="B2175" t="s">
        <v>555</v>
      </c>
      <c r="C2175" s="343">
        <v>4510</v>
      </c>
      <c r="D2175" s="345">
        <v>7.5999999999999998E-2</v>
      </c>
    </row>
    <row r="2176" spans="1:4">
      <c r="A2176" t="s">
        <v>564</v>
      </c>
      <c r="B2176" t="s">
        <v>555</v>
      </c>
      <c r="C2176" s="342">
        <v>1490</v>
      </c>
      <c r="D2176" s="344">
        <v>2.5000000000000001E-2</v>
      </c>
    </row>
    <row r="2177" spans="1:4">
      <c r="A2177" t="s">
        <v>564</v>
      </c>
      <c r="B2177" t="s">
        <v>555</v>
      </c>
      <c r="C2177" s="343">
        <v>5190</v>
      </c>
      <c r="D2177" s="345">
        <v>8.7999999999999995E-2</v>
      </c>
    </row>
    <row r="2178" spans="1:4">
      <c r="A2178" t="s">
        <v>564</v>
      </c>
      <c r="B2178" t="s">
        <v>555</v>
      </c>
      <c r="C2178" s="342">
        <v>4510</v>
      </c>
      <c r="D2178" s="344">
        <v>7.5999999999999998E-2</v>
      </c>
    </row>
    <row r="2179" spans="1:4">
      <c r="A2179" t="s">
        <v>564</v>
      </c>
      <c r="B2179" t="s">
        <v>555</v>
      </c>
      <c r="C2179" s="343">
        <v>4518</v>
      </c>
      <c r="D2179" s="345">
        <v>7.5999999999999998E-2</v>
      </c>
    </row>
    <row r="2180" spans="1:4">
      <c r="A2180" t="s">
        <v>564</v>
      </c>
      <c r="B2180" t="s">
        <v>555</v>
      </c>
      <c r="C2180" s="342">
        <v>4538</v>
      </c>
      <c r="D2180" s="344">
        <v>7.6999999999999999E-2</v>
      </c>
    </row>
    <row r="2181" spans="1:4">
      <c r="A2181" t="s">
        <v>564</v>
      </c>
      <c r="B2181" t="s">
        <v>555</v>
      </c>
      <c r="C2181" s="343">
        <v>4390</v>
      </c>
      <c r="D2181" s="345">
        <v>7.3999999999999996E-2</v>
      </c>
    </row>
    <row r="2182" spans="1:4">
      <c r="A2182" t="s">
        <v>564</v>
      </c>
      <c r="B2182" t="s">
        <v>167</v>
      </c>
      <c r="C2182" s="342">
        <v>5922</v>
      </c>
      <c r="D2182" s="344">
        <v>3.1E-2</v>
      </c>
    </row>
    <row r="2183" spans="1:4">
      <c r="A2183" t="s">
        <v>564</v>
      </c>
      <c r="B2183" t="s">
        <v>555</v>
      </c>
      <c r="C2183" s="343">
        <v>4510</v>
      </c>
      <c r="D2183" s="345">
        <v>7.5999999999999998E-2</v>
      </c>
    </row>
    <row r="2184" spans="1:4">
      <c r="A2184" t="s">
        <v>564</v>
      </c>
      <c r="B2184" t="s">
        <v>555</v>
      </c>
      <c r="C2184" s="342">
        <v>4510</v>
      </c>
      <c r="D2184" s="344">
        <v>7.5999999999999998E-2</v>
      </c>
    </row>
    <row r="2185" spans="1:4">
      <c r="A2185" t="s">
        <v>564</v>
      </c>
      <c r="B2185" t="s">
        <v>555</v>
      </c>
      <c r="C2185" s="343">
        <v>4390</v>
      </c>
      <c r="D2185" s="345">
        <v>7.3999999999999996E-2</v>
      </c>
    </row>
    <row r="2186" spans="1:4">
      <c r="A2186" t="s">
        <v>564</v>
      </c>
      <c r="B2186" t="s">
        <v>555</v>
      </c>
      <c r="C2186" s="342">
        <v>4510</v>
      </c>
      <c r="D2186" s="344">
        <v>7.5999999999999998E-2</v>
      </c>
    </row>
    <row r="2187" spans="1:4">
      <c r="A2187" t="s">
        <v>564</v>
      </c>
      <c r="B2187" t="s">
        <v>555</v>
      </c>
      <c r="C2187" s="343">
        <v>4510</v>
      </c>
      <c r="D2187" s="345">
        <v>7.5999999999999998E-2</v>
      </c>
    </row>
    <row r="2188" spans="1:4">
      <c r="A2188" t="s">
        <v>564</v>
      </c>
      <c r="B2188" t="s">
        <v>555</v>
      </c>
      <c r="C2188" s="342">
        <v>4510</v>
      </c>
      <c r="D2188" s="344">
        <v>7.5999999999999998E-2</v>
      </c>
    </row>
    <row r="2189" spans="1:4">
      <c r="A2189" t="s">
        <v>564</v>
      </c>
      <c r="B2189" t="s">
        <v>555</v>
      </c>
      <c r="C2189" s="343">
        <v>4450</v>
      </c>
      <c r="D2189" s="345">
        <v>7.4999999999999997E-2</v>
      </c>
    </row>
    <row r="2190" spans="1:4">
      <c r="A2190" t="s">
        <v>564</v>
      </c>
      <c r="B2190" t="s">
        <v>555</v>
      </c>
      <c r="C2190" s="342">
        <v>4290</v>
      </c>
      <c r="D2190" s="344">
        <v>7.2999999999999995E-2</v>
      </c>
    </row>
    <row r="2191" spans="1:4">
      <c r="A2191" t="s">
        <v>564</v>
      </c>
      <c r="B2191" t="s">
        <v>555</v>
      </c>
      <c r="C2191" s="343">
        <v>1490</v>
      </c>
      <c r="D2191" s="345">
        <v>2.5000000000000001E-2</v>
      </c>
    </row>
    <row r="2192" spans="1:4">
      <c r="A2192" t="s">
        <v>564</v>
      </c>
      <c r="B2192" t="s">
        <v>555</v>
      </c>
      <c r="C2192" s="342">
        <v>4390</v>
      </c>
      <c r="D2192" s="344">
        <v>7.3999999999999996E-2</v>
      </c>
    </row>
    <row r="2193" spans="1:4">
      <c r="A2193" t="s">
        <v>564</v>
      </c>
      <c r="B2193" t="s">
        <v>555</v>
      </c>
      <c r="C2193" s="343">
        <v>4390</v>
      </c>
      <c r="D2193" s="345">
        <v>7.3999999999999996E-2</v>
      </c>
    </row>
    <row r="2194" spans="1:4">
      <c r="A2194" t="s">
        <v>564</v>
      </c>
      <c r="B2194" t="s">
        <v>555</v>
      </c>
      <c r="C2194" s="342">
        <v>4390</v>
      </c>
      <c r="D2194" s="344">
        <v>7.3999999999999996E-2</v>
      </c>
    </row>
    <row r="2195" spans="1:4">
      <c r="A2195" t="s">
        <v>564</v>
      </c>
      <c r="B2195" t="s">
        <v>167</v>
      </c>
      <c r="C2195" s="343">
        <v>5922</v>
      </c>
      <c r="D2195" s="345">
        <v>3.1E-2</v>
      </c>
    </row>
    <row r="2196" spans="1:4">
      <c r="A2196" t="s">
        <v>564</v>
      </c>
      <c r="B2196" t="s">
        <v>167</v>
      </c>
      <c r="C2196" s="342">
        <v>5303</v>
      </c>
      <c r="D2196" s="344">
        <v>2.8000000000000001E-2</v>
      </c>
    </row>
    <row r="2197" spans="1:4">
      <c r="A2197" t="s">
        <v>564</v>
      </c>
      <c r="B2197" t="s">
        <v>555</v>
      </c>
      <c r="C2197" s="343">
        <v>1490</v>
      </c>
      <c r="D2197" s="345">
        <v>2.5000000000000001E-2</v>
      </c>
    </row>
    <row r="2198" spans="1:4">
      <c r="A2198" t="s">
        <v>564</v>
      </c>
      <c r="B2198" t="s">
        <v>167</v>
      </c>
      <c r="C2198" s="342">
        <v>5873</v>
      </c>
      <c r="D2198" s="344">
        <v>3.1E-2</v>
      </c>
    </row>
    <row r="2199" spans="1:4">
      <c r="A2199" t="s">
        <v>564</v>
      </c>
      <c r="B2199" t="s">
        <v>555</v>
      </c>
      <c r="C2199" s="343">
        <v>4518</v>
      </c>
      <c r="D2199" s="345">
        <v>7.5999999999999998E-2</v>
      </c>
    </row>
    <row r="2200" spans="1:4">
      <c r="A2200" t="s">
        <v>564</v>
      </c>
      <c r="B2200" t="s">
        <v>555</v>
      </c>
      <c r="C2200" s="342">
        <v>4518</v>
      </c>
      <c r="D2200" s="344">
        <v>7.5999999999999998E-2</v>
      </c>
    </row>
    <row r="2201" spans="1:4">
      <c r="A2201" t="s">
        <v>564</v>
      </c>
      <c r="B2201" t="s">
        <v>555</v>
      </c>
      <c r="C2201" s="343">
        <v>4518</v>
      </c>
      <c r="D2201" s="345">
        <v>7.5999999999999998E-2</v>
      </c>
    </row>
    <row r="2202" spans="1:4">
      <c r="A2202" t="s">
        <v>564</v>
      </c>
      <c r="B2202" t="s">
        <v>565</v>
      </c>
      <c r="C2202" s="342">
        <v>5050</v>
      </c>
      <c r="D2202" s="344">
        <v>0.16300000000000001</v>
      </c>
    </row>
    <row r="2203" spans="1:4">
      <c r="A2203" t="s">
        <v>564</v>
      </c>
      <c r="B2203" t="s">
        <v>566</v>
      </c>
      <c r="C2203" s="343">
        <v>9160</v>
      </c>
      <c r="D2203" s="345">
        <v>0.24</v>
      </c>
    </row>
    <row r="2204" spans="1:4">
      <c r="A2204" t="s">
        <v>564</v>
      </c>
      <c r="B2204" t="s">
        <v>167</v>
      </c>
      <c r="C2204" s="342">
        <v>5922</v>
      </c>
      <c r="D2204" s="344">
        <v>3.1E-2</v>
      </c>
    </row>
    <row r="2205" spans="1:4">
      <c r="A2205" t="s">
        <v>564</v>
      </c>
      <c r="B2205" t="s">
        <v>566</v>
      </c>
      <c r="C2205" s="343">
        <v>9160</v>
      </c>
      <c r="D2205" s="345">
        <v>0.24</v>
      </c>
    </row>
    <row r="2206" spans="1:4">
      <c r="A2206" t="s">
        <v>564</v>
      </c>
      <c r="B2206" t="s">
        <v>566</v>
      </c>
      <c r="C2206" s="342">
        <v>9160</v>
      </c>
      <c r="D2206" s="344">
        <v>0.24</v>
      </c>
    </row>
    <row r="2207" spans="1:4">
      <c r="A2207" t="s">
        <v>564</v>
      </c>
      <c r="B2207" t="s">
        <v>555</v>
      </c>
      <c r="C2207" s="343">
        <v>4510</v>
      </c>
      <c r="D2207" s="345">
        <v>7.5999999999999998E-2</v>
      </c>
    </row>
    <row r="2208" spans="1:4">
      <c r="A2208" t="s">
        <v>564</v>
      </c>
      <c r="B2208" t="s">
        <v>167</v>
      </c>
      <c r="C2208" s="342">
        <v>5137</v>
      </c>
      <c r="D2208" s="344">
        <v>2.7E-2</v>
      </c>
    </row>
    <row r="2209" spans="1:4">
      <c r="A2209" t="s">
        <v>564</v>
      </c>
      <c r="B2209" t="s">
        <v>566</v>
      </c>
      <c r="C2209" s="343">
        <v>9160</v>
      </c>
      <c r="D2209" s="345">
        <v>0.24</v>
      </c>
    </row>
    <row r="2210" spans="1:4">
      <c r="A2210" t="s">
        <v>564</v>
      </c>
      <c r="B2210" t="s">
        <v>566</v>
      </c>
      <c r="C2210" s="342">
        <v>9160</v>
      </c>
      <c r="D2210" s="344">
        <v>0.24</v>
      </c>
    </row>
    <row r="2211" spans="1:4">
      <c r="A2211" t="s">
        <v>564</v>
      </c>
      <c r="B2211" t="s">
        <v>566</v>
      </c>
      <c r="C2211" s="343">
        <v>9160</v>
      </c>
      <c r="D2211" s="345">
        <v>0.24</v>
      </c>
    </row>
    <row r="2212" spans="1:4">
      <c r="A2212" t="s">
        <v>564</v>
      </c>
      <c r="B2212" t="s">
        <v>566</v>
      </c>
      <c r="C2212" s="342">
        <v>9160</v>
      </c>
      <c r="D2212" s="344">
        <v>0.24</v>
      </c>
    </row>
    <row r="2213" spans="1:4">
      <c r="A2213" t="s">
        <v>564</v>
      </c>
      <c r="B2213" t="s">
        <v>555</v>
      </c>
      <c r="C2213" s="343">
        <v>4518</v>
      </c>
      <c r="D2213" s="345">
        <v>7.5999999999999998E-2</v>
      </c>
    </row>
    <row r="2214" spans="1:4">
      <c r="A2214" t="s">
        <v>564</v>
      </c>
      <c r="B2214" t="s">
        <v>167</v>
      </c>
      <c r="C2214" s="342">
        <v>5922</v>
      </c>
      <c r="D2214" s="344">
        <v>3.1E-2</v>
      </c>
    </row>
    <row r="2215" spans="1:4">
      <c r="A2215" t="s">
        <v>564</v>
      </c>
      <c r="B2215" t="s">
        <v>167</v>
      </c>
      <c r="C2215" s="343">
        <v>5922</v>
      </c>
      <c r="D2215" s="345">
        <v>3.1E-2</v>
      </c>
    </row>
    <row r="2216" spans="1:4">
      <c r="A2216" t="s">
        <v>564</v>
      </c>
      <c r="B2216" t="s">
        <v>167</v>
      </c>
      <c r="C2216" s="342">
        <v>5922</v>
      </c>
      <c r="D2216" s="344">
        <v>3.1E-2</v>
      </c>
    </row>
    <row r="2217" spans="1:4">
      <c r="A2217" t="s">
        <v>564</v>
      </c>
      <c r="B2217" t="s">
        <v>555</v>
      </c>
      <c r="C2217" s="343">
        <v>4518</v>
      </c>
      <c r="D2217" s="345">
        <v>7.5999999999999998E-2</v>
      </c>
    </row>
    <row r="2218" spans="1:4">
      <c r="A2218" t="s">
        <v>564</v>
      </c>
      <c r="B2218" t="s">
        <v>167</v>
      </c>
      <c r="C2218" s="342">
        <v>5922</v>
      </c>
      <c r="D2218" s="344">
        <v>3.1E-2</v>
      </c>
    </row>
    <row r="2219" spans="1:4">
      <c r="A2219" t="s">
        <v>564</v>
      </c>
      <c r="B2219" t="s">
        <v>167</v>
      </c>
      <c r="C2219" s="343">
        <v>4942</v>
      </c>
      <c r="D2219" s="345">
        <v>2.5999999999999999E-2</v>
      </c>
    </row>
    <row r="2220" spans="1:4">
      <c r="A2220" t="s">
        <v>564</v>
      </c>
      <c r="B2220" t="s">
        <v>555</v>
      </c>
      <c r="C2220" s="342">
        <v>4518</v>
      </c>
      <c r="D2220" s="344">
        <v>7.5999999999999998E-2</v>
      </c>
    </row>
    <row r="2221" spans="1:4">
      <c r="A2221" t="s">
        <v>564</v>
      </c>
      <c r="B2221" t="s">
        <v>167</v>
      </c>
      <c r="C2221" s="343">
        <v>5864</v>
      </c>
      <c r="D2221" s="345">
        <v>3.1E-2</v>
      </c>
    </row>
    <row r="2222" spans="1:4">
      <c r="A2222" t="s">
        <v>564</v>
      </c>
      <c r="B2222" t="s">
        <v>555</v>
      </c>
      <c r="C2222" s="342">
        <v>4518</v>
      </c>
      <c r="D2222" s="344">
        <v>7.5999999999999998E-2</v>
      </c>
    </row>
    <row r="2223" spans="1:4">
      <c r="A2223" t="s">
        <v>564</v>
      </c>
      <c r="B2223" t="s">
        <v>555</v>
      </c>
      <c r="C2223" s="343">
        <v>4434</v>
      </c>
      <c r="D2223" s="345">
        <v>7.4999999999999997E-2</v>
      </c>
    </row>
    <row r="2224" spans="1:4">
      <c r="A2224" t="s">
        <v>564</v>
      </c>
      <c r="B2224" t="s">
        <v>555</v>
      </c>
      <c r="C2224" s="342">
        <v>4518</v>
      </c>
      <c r="D2224" s="344">
        <v>7.5999999999999998E-2</v>
      </c>
    </row>
    <row r="2225" spans="1:4">
      <c r="A2225" t="s">
        <v>564</v>
      </c>
      <c r="B2225" t="s">
        <v>555</v>
      </c>
      <c r="C2225" s="343">
        <v>4518</v>
      </c>
      <c r="D2225" s="345">
        <v>7.5999999999999998E-2</v>
      </c>
    </row>
    <row r="2226" spans="1:4">
      <c r="A2226" t="s">
        <v>564</v>
      </c>
      <c r="B2226" t="s">
        <v>555</v>
      </c>
      <c r="C2226" s="342">
        <v>4434</v>
      </c>
      <c r="D2226" s="344">
        <v>7.4999999999999997E-2</v>
      </c>
    </row>
    <row r="2227" spans="1:4">
      <c r="A2227" t="s">
        <v>564</v>
      </c>
      <c r="B2227" t="s">
        <v>167</v>
      </c>
      <c r="C2227" s="343">
        <v>5922</v>
      </c>
      <c r="D2227" s="345">
        <v>3.1E-2</v>
      </c>
    </row>
    <row r="2228" spans="1:4">
      <c r="A2228" t="s">
        <v>564</v>
      </c>
      <c r="B2228" t="s">
        <v>167</v>
      </c>
      <c r="C2228" s="342">
        <v>5922</v>
      </c>
      <c r="D2228" s="344">
        <v>3.1E-2</v>
      </c>
    </row>
    <row r="2229" spans="1:4">
      <c r="A2229" t="s">
        <v>564</v>
      </c>
      <c r="B2229" t="s">
        <v>167</v>
      </c>
      <c r="C2229" s="343">
        <v>5922</v>
      </c>
      <c r="D2229" s="345">
        <v>3.1E-2</v>
      </c>
    </row>
    <row r="2230" spans="1:4">
      <c r="A2230" t="s">
        <v>564</v>
      </c>
      <c r="B2230" t="s">
        <v>167</v>
      </c>
      <c r="C2230" s="342">
        <v>5922</v>
      </c>
      <c r="D2230" s="344">
        <v>3.1E-2</v>
      </c>
    </row>
    <row r="2231" spans="1:4">
      <c r="A2231" t="s">
        <v>564</v>
      </c>
      <c r="B2231" t="s">
        <v>555</v>
      </c>
      <c r="C2231" s="343">
        <v>4518</v>
      </c>
      <c r="D2231" s="345">
        <v>7.5999999999999998E-2</v>
      </c>
    </row>
    <row r="2232" spans="1:4">
      <c r="A2232" t="s">
        <v>564</v>
      </c>
      <c r="B2232" t="s">
        <v>167</v>
      </c>
      <c r="C2232" s="342">
        <v>5922</v>
      </c>
      <c r="D2232" s="344">
        <v>3.1E-2</v>
      </c>
    </row>
    <row r="2233" spans="1:4">
      <c r="A2233" t="s">
        <v>564</v>
      </c>
      <c r="B2233" t="s">
        <v>167</v>
      </c>
      <c r="C2233" s="343">
        <v>5936</v>
      </c>
      <c r="D2233" s="345">
        <v>3.1E-2</v>
      </c>
    </row>
    <row r="2234" spans="1:4">
      <c r="A2234" t="s">
        <v>564</v>
      </c>
      <c r="B2234" t="s">
        <v>167</v>
      </c>
      <c r="C2234" s="342">
        <v>5873</v>
      </c>
      <c r="D2234" s="344">
        <v>3.1E-2</v>
      </c>
    </row>
    <row r="2235" spans="1:4">
      <c r="A2235" t="s">
        <v>564</v>
      </c>
      <c r="B2235" t="s">
        <v>167</v>
      </c>
      <c r="C2235" s="343">
        <v>5817</v>
      </c>
      <c r="D2235" s="345">
        <v>3.1E-2</v>
      </c>
    </row>
    <row r="2236" spans="1:4">
      <c r="A2236" t="s">
        <v>564</v>
      </c>
      <c r="B2236" t="s">
        <v>167</v>
      </c>
      <c r="C2236" s="342">
        <v>5137</v>
      </c>
      <c r="D2236" s="344">
        <v>2.7E-2</v>
      </c>
    </row>
    <row r="2237" spans="1:4">
      <c r="A2237" t="s">
        <v>564</v>
      </c>
      <c r="B2237" t="s">
        <v>167</v>
      </c>
      <c r="C2237" s="343">
        <v>5817</v>
      </c>
      <c r="D2237" s="345">
        <v>3.1E-2</v>
      </c>
    </row>
    <row r="2238" spans="1:4">
      <c r="A2238" t="s">
        <v>564</v>
      </c>
      <c r="B2238" t="s">
        <v>167</v>
      </c>
      <c r="C2238" s="342">
        <v>6397</v>
      </c>
      <c r="D2238" s="344">
        <v>3.4000000000000002E-2</v>
      </c>
    </row>
    <row r="2239" spans="1:4">
      <c r="A2239" t="s">
        <v>564</v>
      </c>
      <c r="B2239" t="s">
        <v>167</v>
      </c>
      <c r="C2239" s="343">
        <v>4808</v>
      </c>
      <c r="D2239" s="345">
        <v>2.5000000000000001E-2</v>
      </c>
    </row>
    <row r="2240" spans="1:4">
      <c r="A2240" t="s">
        <v>564</v>
      </c>
      <c r="B2240" t="s">
        <v>167</v>
      </c>
      <c r="C2240" s="342">
        <v>4808</v>
      </c>
      <c r="D2240" s="344">
        <v>2.5000000000000001E-2</v>
      </c>
    </row>
    <row r="2241" spans="1:4">
      <c r="A2241" t="s">
        <v>564</v>
      </c>
      <c r="B2241" t="s">
        <v>167</v>
      </c>
      <c r="C2241" s="343">
        <v>5137</v>
      </c>
      <c r="D2241" s="345">
        <v>2.7E-2</v>
      </c>
    </row>
    <row r="2242" spans="1:4">
      <c r="A2242" t="s">
        <v>564</v>
      </c>
      <c r="B2242" t="s">
        <v>167</v>
      </c>
      <c r="C2242" s="342">
        <v>5137</v>
      </c>
      <c r="D2242" s="344">
        <v>2.7E-2</v>
      </c>
    </row>
    <row r="2243" spans="1:4">
      <c r="A2243" t="s">
        <v>564</v>
      </c>
      <c r="B2243" t="s">
        <v>167</v>
      </c>
      <c r="C2243" s="343">
        <v>5303</v>
      </c>
      <c r="D2243" s="345">
        <v>2.8000000000000001E-2</v>
      </c>
    </row>
    <row r="2244" spans="1:4">
      <c r="A2244" t="s">
        <v>564</v>
      </c>
      <c r="B2244" t="s">
        <v>555</v>
      </c>
      <c r="C2244" s="342">
        <v>4450</v>
      </c>
      <c r="D2244" s="344">
        <v>7.4999999999999997E-2</v>
      </c>
    </row>
    <row r="2245" spans="1:4">
      <c r="A2245" t="s">
        <v>564</v>
      </c>
      <c r="B2245" t="s">
        <v>167</v>
      </c>
      <c r="C2245" s="343">
        <v>6289</v>
      </c>
      <c r="D2245" s="345">
        <v>3.3000000000000002E-2</v>
      </c>
    </row>
    <row r="2246" spans="1:4">
      <c r="A2246" t="s">
        <v>564</v>
      </c>
      <c r="B2246" t="s">
        <v>167</v>
      </c>
      <c r="C2246" s="342">
        <v>6289</v>
      </c>
      <c r="D2246" s="344">
        <v>3.3000000000000002E-2</v>
      </c>
    </row>
    <row r="2247" spans="1:4">
      <c r="A2247" t="s">
        <v>564</v>
      </c>
      <c r="B2247" t="s">
        <v>167</v>
      </c>
      <c r="C2247" s="343">
        <v>6289</v>
      </c>
      <c r="D2247" s="345">
        <v>3.3000000000000002E-2</v>
      </c>
    </row>
    <row r="2248" spans="1:4">
      <c r="A2248" t="s">
        <v>564</v>
      </c>
      <c r="B2248" t="s">
        <v>167</v>
      </c>
      <c r="C2248" s="342">
        <v>6289</v>
      </c>
      <c r="D2248" s="344">
        <v>3.3000000000000002E-2</v>
      </c>
    </row>
    <row r="2249" spans="1:4">
      <c r="A2249" t="s">
        <v>568</v>
      </c>
      <c r="B2249" t="s">
        <v>572</v>
      </c>
      <c r="C2249" s="343">
        <v>240</v>
      </c>
      <c r="D2249" s="345">
        <v>2E-3</v>
      </c>
    </row>
    <row r="2250" spans="1:4">
      <c r="A2250" t="s">
        <v>568</v>
      </c>
      <c r="B2250" t="s">
        <v>572</v>
      </c>
      <c r="C2250" s="342">
        <v>240</v>
      </c>
      <c r="D2250" s="344">
        <v>2E-3</v>
      </c>
    </row>
    <row r="2251" spans="1:4">
      <c r="A2251" t="s">
        <v>568</v>
      </c>
      <c r="B2251" t="s">
        <v>572</v>
      </c>
      <c r="C2251" s="343">
        <v>240</v>
      </c>
      <c r="D2251" s="345">
        <v>2E-3</v>
      </c>
    </row>
    <row r="2252" spans="1:4">
      <c r="A2252" t="s">
        <v>568</v>
      </c>
      <c r="B2252" t="s">
        <v>572</v>
      </c>
      <c r="C2252" s="342">
        <v>240</v>
      </c>
      <c r="D2252" s="344">
        <v>2E-3</v>
      </c>
    </row>
    <row r="2253" spans="1:4">
      <c r="A2253" t="s">
        <v>568</v>
      </c>
      <c r="B2253" t="s">
        <v>572</v>
      </c>
      <c r="C2253" s="343">
        <v>240</v>
      </c>
      <c r="D2253" s="345">
        <v>2E-3</v>
      </c>
    </row>
    <row r="2254" spans="1:4">
      <c r="A2254" t="s">
        <v>568</v>
      </c>
      <c r="B2254" t="s">
        <v>572</v>
      </c>
      <c r="C2254" s="342">
        <v>240</v>
      </c>
      <c r="D2254" s="344">
        <v>2E-3</v>
      </c>
    </row>
    <row r="2255" spans="1:4">
      <c r="A2255" t="s">
        <v>568</v>
      </c>
      <c r="B2255" t="s">
        <v>572</v>
      </c>
      <c r="C2255" s="343">
        <v>240</v>
      </c>
      <c r="D2255" s="345">
        <v>2E-3</v>
      </c>
    </row>
    <row r="2256" spans="1:4">
      <c r="A2256" t="s">
        <v>568</v>
      </c>
      <c r="B2256" t="s">
        <v>572</v>
      </c>
      <c r="C2256" s="342">
        <v>240</v>
      </c>
      <c r="D2256" s="344">
        <v>2E-3</v>
      </c>
    </row>
    <row r="2257" spans="1:4">
      <c r="A2257" t="s">
        <v>568</v>
      </c>
      <c r="B2257" t="s">
        <v>572</v>
      </c>
      <c r="C2257" s="343">
        <v>240</v>
      </c>
      <c r="D2257" s="345">
        <v>2E-3</v>
      </c>
    </row>
    <row r="2258" spans="1:4">
      <c r="A2258" t="s">
        <v>568</v>
      </c>
      <c r="B2258" t="s">
        <v>572</v>
      </c>
      <c r="C2258" s="342">
        <v>240</v>
      </c>
      <c r="D2258" s="344">
        <v>2E-3</v>
      </c>
    </row>
    <row r="2259" spans="1:4">
      <c r="A2259" t="s">
        <v>568</v>
      </c>
      <c r="B2259" t="s">
        <v>572</v>
      </c>
      <c r="C2259" s="343">
        <v>240</v>
      </c>
      <c r="D2259" s="345">
        <v>2E-3</v>
      </c>
    </row>
    <row r="2260" spans="1:4">
      <c r="A2260" t="s">
        <v>568</v>
      </c>
      <c r="B2260" t="s">
        <v>572</v>
      </c>
      <c r="C2260" s="342">
        <v>240</v>
      </c>
      <c r="D2260" s="344">
        <v>2E-3</v>
      </c>
    </row>
    <row r="2261" spans="1:4">
      <c r="A2261" t="s">
        <v>568</v>
      </c>
      <c r="B2261" t="s">
        <v>572</v>
      </c>
      <c r="C2261" s="343">
        <v>240</v>
      </c>
      <c r="D2261" s="345">
        <v>2E-3</v>
      </c>
    </row>
    <row r="2262" spans="1:4">
      <c r="A2262" t="s">
        <v>568</v>
      </c>
      <c r="B2262" t="s">
        <v>572</v>
      </c>
      <c r="C2262" s="342">
        <v>240</v>
      </c>
      <c r="D2262" s="344">
        <v>2E-3</v>
      </c>
    </row>
    <row r="2263" spans="1:4">
      <c r="A2263" t="s">
        <v>568</v>
      </c>
      <c r="B2263" t="s">
        <v>572</v>
      </c>
      <c r="C2263" s="343">
        <v>240</v>
      </c>
      <c r="D2263" s="345">
        <v>2E-3</v>
      </c>
    </row>
    <row r="2264" spans="1:4">
      <c r="A2264" t="s">
        <v>568</v>
      </c>
      <c r="B2264" t="s">
        <v>572</v>
      </c>
      <c r="C2264" s="342">
        <v>240</v>
      </c>
      <c r="D2264" s="344">
        <v>2E-3</v>
      </c>
    </row>
    <row r="2265" spans="1:4">
      <c r="A2265" t="s">
        <v>568</v>
      </c>
      <c r="B2265" t="s">
        <v>572</v>
      </c>
      <c r="C2265" s="343">
        <v>240</v>
      </c>
      <c r="D2265" s="345">
        <v>2E-3</v>
      </c>
    </row>
    <row r="2266" spans="1:4">
      <c r="A2266" t="s">
        <v>568</v>
      </c>
      <c r="B2266" t="s">
        <v>572</v>
      </c>
      <c r="C2266" s="342">
        <v>240</v>
      </c>
      <c r="D2266" s="344">
        <v>2E-3</v>
      </c>
    </row>
    <row r="2267" spans="1:4">
      <c r="A2267" t="s">
        <v>568</v>
      </c>
      <c r="B2267" t="s">
        <v>572</v>
      </c>
      <c r="C2267" s="343">
        <v>240</v>
      </c>
      <c r="D2267" s="345">
        <v>2E-3</v>
      </c>
    </row>
    <row r="2268" spans="1:4">
      <c r="A2268" t="s">
        <v>568</v>
      </c>
      <c r="B2268" t="s">
        <v>572</v>
      </c>
      <c r="C2268" s="342">
        <v>240</v>
      </c>
      <c r="D2268" s="344">
        <v>2E-3</v>
      </c>
    </row>
    <row r="2269" spans="1:4">
      <c r="A2269" t="s">
        <v>568</v>
      </c>
      <c r="B2269" t="s">
        <v>572</v>
      </c>
      <c r="C2269" s="343">
        <v>240</v>
      </c>
      <c r="D2269" s="345">
        <v>2E-3</v>
      </c>
    </row>
    <row r="2270" spans="1:4">
      <c r="A2270" t="s">
        <v>568</v>
      </c>
      <c r="B2270" t="s">
        <v>572</v>
      </c>
      <c r="C2270" s="342">
        <v>240</v>
      </c>
      <c r="D2270" s="344">
        <v>2E-3</v>
      </c>
    </row>
    <row r="2271" spans="1:4">
      <c r="A2271" t="s">
        <v>568</v>
      </c>
      <c r="B2271" t="s">
        <v>572</v>
      </c>
      <c r="C2271" s="343">
        <v>240</v>
      </c>
      <c r="D2271" s="345">
        <v>2E-3</v>
      </c>
    </row>
    <row r="2272" spans="1:4">
      <c r="A2272" t="s">
        <v>568</v>
      </c>
      <c r="B2272" t="s">
        <v>572</v>
      </c>
      <c r="C2272" s="342">
        <v>240</v>
      </c>
      <c r="D2272" s="344">
        <v>2E-3</v>
      </c>
    </row>
    <row r="2273" spans="1:4">
      <c r="A2273" t="s">
        <v>568</v>
      </c>
      <c r="B2273" t="s">
        <v>572</v>
      </c>
      <c r="C2273" s="343">
        <v>240</v>
      </c>
      <c r="D2273" s="345">
        <v>2E-3</v>
      </c>
    </row>
    <row r="2274" spans="1:4">
      <c r="A2274" t="s">
        <v>568</v>
      </c>
      <c r="B2274" t="s">
        <v>572</v>
      </c>
      <c r="C2274" s="342">
        <v>240</v>
      </c>
      <c r="D2274" s="344">
        <v>2E-3</v>
      </c>
    </row>
    <row r="2275" spans="1:4">
      <c r="A2275" t="s">
        <v>568</v>
      </c>
      <c r="B2275" t="s">
        <v>572</v>
      </c>
      <c r="C2275" s="343">
        <v>240</v>
      </c>
      <c r="D2275" s="345">
        <v>2E-3</v>
      </c>
    </row>
    <row r="2276" spans="1:4">
      <c r="A2276" t="s">
        <v>568</v>
      </c>
      <c r="B2276" t="s">
        <v>572</v>
      </c>
      <c r="C2276" s="342">
        <v>240</v>
      </c>
      <c r="D2276" s="344">
        <v>2E-3</v>
      </c>
    </row>
    <row r="2277" spans="1:4">
      <c r="A2277" t="s">
        <v>568</v>
      </c>
      <c r="B2277" t="s">
        <v>572</v>
      </c>
      <c r="C2277" s="343">
        <v>240</v>
      </c>
      <c r="D2277" s="345">
        <v>2E-3</v>
      </c>
    </row>
    <row r="2278" spans="1:4">
      <c r="A2278" t="s">
        <v>568</v>
      </c>
      <c r="B2278" t="s">
        <v>572</v>
      </c>
      <c r="C2278" s="342">
        <v>240</v>
      </c>
      <c r="D2278" s="344">
        <v>2E-3</v>
      </c>
    </row>
    <row r="2279" spans="1:4">
      <c r="A2279" t="s">
        <v>568</v>
      </c>
      <c r="B2279" t="s">
        <v>572</v>
      </c>
      <c r="C2279" s="343">
        <v>240</v>
      </c>
      <c r="D2279" s="345">
        <v>2E-3</v>
      </c>
    </row>
    <row r="2280" spans="1:4">
      <c r="A2280" t="s">
        <v>568</v>
      </c>
      <c r="B2280" t="s">
        <v>572</v>
      </c>
      <c r="C2280" s="342">
        <v>240</v>
      </c>
      <c r="D2280" s="344">
        <v>2E-3</v>
      </c>
    </row>
    <row r="2281" spans="1:4">
      <c r="A2281" t="s">
        <v>568</v>
      </c>
      <c r="B2281" t="s">
        <v>572</v>
      </c>
      <c r="C2281" s="343">
        <v>240</v>
      </c>
      <c r="D2281" s="345">
        <v>2E-3</v>
      </c>
    </row>
    <row r="2282" spans="1:4">
      <c r="A2282" t="s">
        <v>568</v>
      </c>
      <c r="B2282" t="s">
        <v>572</v>
      </c>
      <c r="C2282" s="342">
        <v>240</v>
      </c>
      <c r="D2282" s="344">
        <v>2E-3</v>
      </c>
    </row>
    <row r="2283" spans="1:4">
      <c r="A2283" t="s">
        <v>568</v>
      </c>
      <c r="B2283" t="s">
        <v>572</v>
      </c>
      <c r="C2283" s="343">
        <v>240</v>
      </c>
      <c r="D2283" s="345">
        <v>2E-3</v>
      </c>
    </row>
    <row r="2284" spans="1:4">
      <c r="A2284" t="s">
        <v>568</v>
      </c>
      <c r="B2284" t="s">
        <v>572</v>
      </c>
      <c r="C2284" s="342">
        <v>240</v>
      </c>
      <c r="D2284" s="344">
        <v>2E-3</v>
      </c>
    </row>
    <row r="2285" spans="1:4">
      <c r="A2285" t="s">
        <v>568</v>
      </c>
      <c r="B2285" t="s">
        <v>572</v>
      </c>
      <c r="C2285" s="343">
        <v>240</v>
      </c>
      <c r="D2285" s="345">
        <v>2E-3</v>
      </c>
    </row>
    <row r="2286" spans="1:4">
      <c r="A2286" t="s">
        <v>568</v>
      </c>
      <c r="B2286" t="s">
        <v>572</v>
      </c>
      <c r="C2286" s="342">
        <v>240</v>
      </c>
      <c r="D2286" s="344">
        <v>2E-3</v>
      </c>
    </row>
    <row r="2287" spans="1:4">
      <c r="A2287" t="s">
        <v>568</v>
      </c>
      <c r="B2287" t="s">
        <v>572</v>
      </c>
      <c r="C2287" s="343">
        <v>240</v>
      </c>
      <c r="D2287" s="345">
        <v>2E-3</v>
      </c>
    </row>
    <row r="2288" spans="1:4">
      <c r="A2288" t="s">
        <v>568</v>
      </c>
      <c r="B2288" t="s">
        <v>572</v>
      </c>
      <c r="C2288" s="342">
        <v>240</v>
      </c>
      <c r="D2288" s="344">
        <v>2E-3</v>
      </c>
    </row>
    <row r="2289" spans="1:4">
      <c r="A2289" t="s">
        <v>568</v>
      </c>
      <c r="B2289" t="s">
        <v>572</v>
      </c>
      <c r="C2289" s="343">
        <v>240</v>
      </c>
      <c r="D2289" s="345">
        <v>2E-3</v>
      </c>
    </row>
    <row r="2290" spans="1:4">
      <c r="A2290" t="s">
        <v>568</v>
      </c>
      <c r="B2290" t="s">
        <v>572</v>
      </c>
      <c r="C2290" s="342">
        <v>240</v>
      </c>
      <c r="D2290" s="344">
        <v>2E-3</v>
      </c>
    </row>
    <row r="2291" spans="1:4">
      <c r="A2291" t="s">
        <v>568</v>
      </c>
      <c r="B2291" t="s">
        <v>572</v>
      </c>
      <c r="C2291" s="343">
        <v>240</v>
      </c>
      <c r="D2291" s="345">
        <v>2E-3</v>
      </c>
    </row>
    <row r="2292" spans="1:4">
      <c r="A2292" t="s">
        <v>568</v>
      </c>
      <c r="B2292" t="s">
        <v>572</v>
      </c>
      <c r="C2292" s="342">
        <v>240</v>
      </c>
      <c r="D2292" s="344">
        <v>2E-3</v>
      </c>
    </row>
    <row r="2293" spans="1:4">
      <c r="A2293" t="s">
        <v>568</v>
      </c>
      <c r="B2293" t="s">
        <v>572</v>
      </c>
      <c r="C2293" s="343">
        <v>240</v>
      </c>
      <c r="D2293" s="345">
        <v>2E-3</v>
      </c>
    </row>
    <row r="2294" spans="1:4">
      <c r="A2294" t="s">
        <v>568</v>
      </c>
      <c r="B2294" t="s">
        <v>572</v>
      </c>
      <c r="C2294" s="342">
        <v>240</v>
      </c>
      <c r="D2294" s="344">
        <v>2E-3</v>
      </c>
    </row>
    <row r="2295" spans="1:4">
      <c r="A2295" t="s">
        <v>568</v>
      </c>
      <c r="B2295" t="s">
        <v>572</v>
      </c>
      <c r="C2295" s="343">
        <v>240</v>
      </c>
      <c r="D2295" s="345">
        <v>2E-3</v>
      </c>
    </row>
    <row r="2296" spans="1:4">
      <c r="A2296" t="s">
        <v>568</v>
      </c>
      <c r="B2296" t="s">
        <v>572</v>
      </c>
      <c r="C2296" s="342">
        <v>240</v>
      </c>
      <c r="D2296" s="344">
        <v>2E-3</v>
      </c>
    </row>
    <row r="2297" spans="1:4">
      <c r="A2297" t="s">
        <v>568</v>
      </c>
      <c r="B2297" t="s">
        <v>572</v>
      </c>
      <c r="C2297" s="343">
        <v>240</v>
      </c>
      <c r="D2297" s="345">
        <v>2E-3</v>
      </c>
    </row>
    <row r="2298" spans="1:4">
      <c r="A2298" t="s">
        <v>568</v>
      </c>
      <c r="B2298" t="s">
        <v>572</v>
      </c>
      <c r="C2298" s="342">
        <v>240</v>
      </c>
      <c r="D2298" s="344">
        <v>2E-3</v>
      </c>
    </row>
    <row r="2299" spans="1:4">
      <c r="A2299" t="s">
        <v>568</v>
      </c>
      <c r="B2299" t="s">
        <v>572</v>
      </c>
      <c r="C2299" s="343">
        <v>240</v>
      </c>
      <c r="D2299" s="345">
        <v>2E-3</v>
      </c>
    </row>
    <row r="2300" spans="1:4">
      <c r="A2300" t="s">
        <v>568</v>
      </c>
      <c r="B2300" t="s">
        <v>572</v>
      </c>
      <c r="C2300" s="342">
        <v>240</v>
      </c>
      <c r="D2300" s="344">
        <v>2E-3</v>
      </c>
    </row>
    <row r="2301" spans="1:4">
      <c r="A2301" t="s">
        <v>568</v>
      </c>
      <c r="B2301" t="s">
        <v>572</v>
      </c>
      <c r="C2301" s="343">
        <v>240</v>
      </c>
      <c r="D2301" s="345">
        <v>2E-3</v>
      </c>
    </row>
    <row r="2302" spans="1:4">
      <c r="A2302" t="s">
        <v>568</v>
      </c>
      <c r="B2302" t="s">
        <v>572</v>
      </c>
      <c r="C2302" s="342">
        <v>240</v>
      </c>
      <c r="D2302" s="344">
        <v>2E-3</v>
      </c>
    </row>
    <row r="2303" spans="1:4">
      <c r="A2303" t="s">
        <v>568</v>
      </c>
      <c r="B2303" t="s">
        <v>572</v>
      </c>
      <c r="C2303" s="343">
        <v>240</v>
      </c>
      <c r="D2303" s="345">
        <v>2E-3</v>
      </c>
    </row>
    <row r="2304" spans="1:4">
      <c r="A2304" t="s">
        <v>568</v>
      </c>
      <c r="B2304" t="s">
        <v>572</v>
      </c>
      <c r="C2304" s="342">
        <v>240</v>
      </c>
      <c r="D2304" s="344">
        <v>2E-3</v>
      </c>
    </row>
    <row r="2305" spans="1:4">
      <c r="A2305" t="s">
        <v>568</v>
      </c>
      <c r="B2305" t="s">
        <v>572</v>
      </c>
      <c r="C2305" s="343">
        <v>240</v>
      </c>
      <c r="D2305" s="345">
        <v>2E-3</v>
      </c>
    </row>
    <row r="2306" spans="1:4">
      <c r="A2306" t="s">
        <v>568</v>
      </c>
      <c r="B2306" t="s">
        <v>572</v>
      </c>
      <c r="C2306" s="342">
        <v>240</v>
      </c>
      <c r="D2306" s="344">
        <v>2E-3</v>
      </c>
    </row>
    <row r="2307" spans="1:4">
      <c r="A2307" t="s">
        <v>568</v>
      </c>
      <c r="B2307" t="s">
        <v>572</v>
      </c>
      <c r="C2307" s="343">
        <v>240</v>
      </c>
      <c r="D2307" s="345">
        <v>2E-3</v>
      </c>
    </row>
    <row r="2308" spans="1:4">
      <c r="A2308" t="s">
        <v>568</v>
      </c>
      <c r="B2308" t="s">
        <v>572</v>
      </c>
      <c r="C2308" s="342">
        <v>240</v>
      </c>
      <c r="D2308" s="344">
        <v>2E-3</v>
      </c>
    </row>
    <row r="2309" spans="1:4">
      <c r="A2309" t="s">
        <v>568</v>
      </c>
      <c r="B2309" t="s">
        <v>572</v>
      </c>
      <c r="C2309" s="343">
        <v>240</v>
      </c>
      <c r="D2309" s="345">
        <v>2E-3</v>
      </c>
    </row>
    <row r="2310" spans="1:4">
      <c r="A2310" t="s">
        <v>568</v>
      </c>
      <c r="B2310" t="s">
        <v>572</v>
      </c>
      <c r="C2310" s="342">
        <v>240</v>
      </c>
      <c r="D2310" s="344">
        <v>2E-3</v>
      </c>
    </row>
    <row r="2311" spans="1:4">
      <c r="A2311" t="s">
        <v>568</v>
      </c>
      <c r="B2311" t="s">
        <v>572</v>
      </c>
      <c r="C2311" s="343">
        <v>240</v>
      </c>
      <c r="D2311" s="345">
        <v>2E-3</v>
      </c>
    </row>
    <row r="2312" spans="1:4">
      <c r="A2312" t="s">
        <v>568</v>
      </c>
      <c r="B2312" t="s">
        <v>572</v>
      </c>
      <c r="C2312" s="342">
        <v>240</v>
      </c>
      <c r="D2312" s="344">
        <v>2E-3</v>
      </c>
    </row>
    <row r="2313" spans="1:4">
      <c r="A2313" t="s">
        <v>568</v>
      </c>
      <c r="B2313" t="s">
        <v>572</v>
      </c>
      <c r="C2313" s="343">
        <v>240</v>
      </c>
      <c r="D2313" s="345">
        <v>2E-3</v>
      </c>
    </row>
    <row r="2314" spans="1:4">
      <c r="A2314" t="s">
        <v>568</v>
      </c>
      <c r="B2314" t="s">
        <v>572</v>
      </c>
      <c r="C2314" s="342">
        <v>240</v>
      </c>
      <c r="D2314" s="344">
        <v>2E-3</v>
      </c>
    </row>
    <row r="2315" spans="1:4">
      <c r="A2315" t="s">
        <v>568</v>
      </c>
      <c r="B2315" t="s">
        <v>572</v>
      </c>
      <c r="C2315" s="343">
        <v>240</v>
      </c>
      <c r="D2315" s="345">
        <v>2E-3</v>
      </c>
    </row>
    <row r="2316" spans="1:4">
      <c r="A2316" t="s">
        <v>568</v>
      </c>
      <c r="B2316" t="s">
        <v>572</v>
      </c>
      <c r="C2316" s="342">
        <v>240</v>
      </c>
      <c r="D2316" s="344">
        <v>2E-3</v>
      </c>
    </row>
    <row r="2317" spans="1:4">
      <c r="A2317" t="s">
        <v>568</v>
      </c>
      <c r="B2317" t="s">
        <v>572</v>
      </c>
      <c r="C2317" s="343">
        <v>240</v>
      </c>
      <c r="D2317" s="345">
        <v>2E-3</v>
      </c>
    </row>
    <row r="2318" spans="1:4">
      <c r="A2318" t="s">
        <v>568</v>
      </c>
      <c r="B2318" t="s">
        <v>572</v>
      </c>
      <c r="C2318" s="342">
        <v>240</v>
      </c>
      <c r="D2318" s="344">
        <v>2E-3</v>
      </c>
    </row>
    <row r="2319" spans="1:4">
      <c r="A2319" t="s">
        <v>568</v>
      </c>
      <c r="B2319" t="s">
        <v>572</v>
      </c>
      <c r="C2319" s="343">
        <v>240</v>
      </c>
      <c r="D2319" s="345">
        <v>2E-3</v>
      </c>
    </row>
    <row r="2320" spans="1:4">
      <c r="A2320" t="s">
        <v>568</v>
      </c>
      <c r="B2320" t="s">
        <v>572</v>
      </c>
      <c r="C2320" s="342">
        <v>240</v>
      </c>
      <c r="D2320" s="344">
        <v>2E-3</v>
      </c>
    </row>
    <row r="2321" spans="1:4">
      <c r="A2321" t="s">
        <v>568</v>
      </c>
      <c r="B2321" t="s">
        <v>572</v>
      </c>
      <c r="C2321" s="343">
        <v>240</v>
      </c>
      <c r="D2321" s="345">
        <v>2E-3</v>
      </c>
    </row>
    <row r="2322" spans="1:4">
      <c r="A2322" t="s">
        <v>568</v>
      </c>
      <c r="B2322" t="s">
        <v>572</v>
      </c>
      <c r="C2322" s="342">
        <v>240</v>
      </c>
      <c r="D2322" s="344">
        <v>2E-3</v>
      </c>
    </row>
    <row r="2323" spans="1:4">
      <c r="A2323" t="s">
        <v>568</v>
      </c>
      <c r="B2323" t="s">
        <v>572</v>
      </c>
      <c r="C2323" s="343">
        <v>240</v>
      </c>
      <c r="D2323" s="345">
        <v>2E-3</v>
      </c>
    </row>
    <row r="2324" spans="1:4">
      <c r="A2324" t="s">
        <v>568</v>
      </c>
      <c r="B2324" t="s">
        <v>572</v>
      </c>
      <c r="C2324" s="342">
        <v>240</v>
      </c>
      <c r="D2324" s="344">
        <v>2E-3</v>
      </c>
    </row>
    <row r="2325" spans="1:4">
      <c r="A2325" t="s">
        <v>568</v>
      </c>
      <c r="B2325" t="s">
        <v>572</v>
      </c>
      <c r="C2325" s="343">
        <v>240</v>
      </c>
      <c r="D2325" s="345">
        <v>2E-3</v>
      </c>
    </row>
    <row r="2326" spans="1:4">
      <c r="A2326" t="s">
        <v>568</v>
      </c>
      <c r="B2326" t="s">
        <v>572</v>
      </c>
      <c r="C2326" s="342">
        <v>240</v>
      </c>
      <c r="D2326" s="344">
        <v>2E-3</v>
      </c>
    </row>
    <row r="2327" spans="1:4">
      <c r="A2327" t="s">
        <v>568</v>
      </c>
      <c r="B2327" t="s">
        <v>572</v>
      </c>
      <c r="C2327" s="343">
        <v>240</v>
      </c>
      <c r="D2327" s="345">
        <v>2E-3</v>
      </c>
    </row>
    <row r="2328" spans="1:4">
      <c r="A2328" t="s">
        <v>568</v>
      </c>
      <c r="B2328" t="s">
        <v>572</v>
      </c>
      <c r="C2328" s="342">
        <v>240</v>
      </c>
      <c r="D2328" s="344">
        <v>2E-3</v>
      </c>
    </row>
    <row r="2329" spans="1:4">
      <c r="A2329" t="s">
        <v>568</v>
      </c>
      <c r="B2329" t="s">
        <v>572</v>
      </c>
      <c r="C2329" s="343">
        <v>240</v>
      </c>
      <c r="D2329" s="345">
        <v>2E-3</v>
      </c>
    </row>
    <row r="2330" spans="1:4">
      <c r="A2330" t="s">
        <v>568</v>
      </c>
      <c r="B2330" t="s">
        <v>572</v>
      </c>
      <c r="C2330" s="342">
        <v>240</v>
      </c>
      <c r="D2330" s="344">
        <v>2E-3</v>
      </c>
    </row>
    <row r="2331" spans="1:4">
      <c r="A2331" t="s">
        <v>568</v>
      </c>
      <c r="B2331" t="s">
        <v>572</v>
      </c>
      <c r="C2331" s="343">
        <v>240</v>
      </c>
      <c r="D2331" s="345">
        <v>2E-3</v>
      </c>
    </row>
    <row r="2332" spans="1:4">
      <c r="A2332" t="s">
        <v>568</v>
      </c>
      <c r="B2332" t="s">
        <v>572</v>
      </c>
      <c r="C2332" s="342">
        <v>240</v>
      </c>
      <c r="D2332" s="344">
        <v>2E-3</v>
      </c>
    </row>
    <row r="2333" spans="1:4">
      <c r="A2333" t="s">
        <v>568</v>
      </c>
      <c r="B2333" t="s">
        <v>572</v>
      </c>
      <c r="C2333" s="343">
        <v>240</v>
      </c>
      <c r="D2333" s="345">
        <v>2E-3</v>
      </c>
    </row>
    <row r="2334" spans="1:4">
      <c r="A2334" t="s">
        <v>568</v>
      </c>
      <c r="B2334" t="s">
        <v>572</v>
      </c>
      <c r="C2334" s="342">
        <v>240</v>
      </c>
      <c r="D2334" s="344">
        <v>2E-3</v>
      </c>
    </row>
    <row r="2335" spans="1:4">
      <c r="A2335" t="s">
        <v>568</v>
      </c>
      <c r="B2335" t="s">
        <v>572</v>
      </c>
      <c r="C2335" s="343">
        <v>240</v>
      </c>
      <c r="D2335" s="345">
        <v>2E-3</v>
      </c>
    </row>
    <row r="2336" spans="1:4">
      <c r="A2336" t="s">
        <v>568</v>
      </c>
      <c r="B2336" t="s">
        <v>572</v>
      </c>
      <c r="C2336" s="342">
        <v>240</v>
      </c>
      <c r="D2336" s="344">
        <v>2E-3</v>
      </c>
    </row>
    <row r="2337" spans="1:4">
      <c r="A2337" t="s">
        <v>568</v>
      </c>
      <c r="B2337" t="s">
        <v>572</v>
      </c>
      <c r="C2337" s="343">
        <v>240</v>
      </c>
      <c r="D2337" s="345">
        <v>2E-3</v>
      </c>
    </row>
    <row r="2338" spans="1:4">
      <c r="A2338" t="s">
        <v>568</v>
      </c>
      <c r="B2338" t="s">
        <v>572</v>
      </c>
      <c r="C2338" s="342">
        <v>240</v>
      </c>
      <c r="D2338" s="344">
        <v>2E-3</v>
      </c>
    </row>
    <row r="2339" spans="1:4">
      <c r="A2339" t="s">
        <v>568</v>
      </c>
      <c r="B2339" t="s">
        <v>572</v>
      </c>
      <c r="C2339" s="343">
        <v>240</v>
      </c>
      <c r="D2339" s="345">
        <v>2E-3</v>
      </c>
    </row>
    <row r="2340" spans="1:4">
      <c r="A2340" t="s">
        <v>568</v>
      </c>
      <c r="B2340" t="s">
        <v>572</v>
      </c>
      <c r="C2340" s="342">
        <v>240</v>
      </c>
      <c r="D2340" s="344">
        <v>2E-3</v>
      </c>
    </row>
    <row r="2341" spans="1:4">
      <c r="A2341" t="s">
        <v>568</v>
      </c>
      <c r="B2341" t="s">
        <v>572</v>
      </c>
      <c r="C2341" s="343">
        <v>240</v>
      </c>
      <c r="D2341" s="345">
        <v>2E-3</v>
      </c>
    </row>
    <row r="2342" spans="1:4">
      <c r="A2342" t="s">
        <v>568</v>
      </c>
      <c r="B2342" t="s">
        <v>572</v>
      </c>
      <c r="C2342" s="342">
        <v>240</v>
      </c>
      <c r="D2342" s="344">
        <v>2E-3</v>
      </c>
    </row>
    <row r="2343" spans="1:4">
      <c r="A2343" t="s">
        <v>568</v>
      </c>
      <c r="B2343" t="s">
        <v>572</v>
      </c>
      <c r="C2343" s="343">
        <v>240</v>
      </c>
      <c r="D2343" s="345">
        <v>2E-3</v>
      </c>
    </row>
    <row r="2344" spans="1:4">
      <c r="A2344" t="s">
        <v>568</v>
      </c>
      <c r="B2344" t="s">
        <v>572</v>
      </c>
      <c r="C2344" s="342">
        <v>240</v>
      </c>
      <c r="D2344" s="344">
        <v>2E-3</v>
      </c>
    </row>
    <row r="2345" spans="1:4">
      <c r="A2345" t="s">
        <v>568</v>
      </c>
      <c r="B2345" t="s">
        <v>571</v>
      </c>
      <c r="C2345" s="343">
        <v>110</v>
      </c>
      <c r="D2345" s="345">
        <v>0</v>
      </c>
    </row>
    <row r="2346" spans="1:4">
      <c r="A2346" t="s">
        <v>568</v>
      </c>
      <c r="B2346" t="s">
        <v>571</v>
      </c>
      <c r="C2346" s="342">
        <v>110</v>
      </c>
      <c r="D2346" s="344">
        <v>0</v>
      </c>
    </row>
    <row r="2347" spans="1:4">
      <c r="A2347" t="s">
        <v>568</v>
      </c>
      <c r="B2347" t="s">
        <v>571</v>
      </c>
      <c r="C2347" s="343">
        <v>110</v>
      </c>
      <c r="D2347" s="345">
        <v>0</v>
      </c>
    </row>
    <row r="2348" spans="1:4">
      <c r="A2348" t="s">
        <v>568</v>
      </c>
      <c r="B2348" t="s">
        <v>571</v>
      </c>
      <c r="C2348" s="342">
        <v>110</v>
      </c>
      <c r="D2348" s="344">
        <v>0</v>
      </c>
    </row>
    <row r="2349" spans="1:4">
      <c r="A2349" t="s">
        <v>568</v>
      </c>
      <c r="B2349" t="s">
        <v>571</v>
      </c>
      <c r="C2349" s="343">
        <v>110</v>
      </c>
      <c r="D2349" s="345">
        <v>0</v>
      </c>
    </row>
    <row r="2350" spans="1:4">
      <c r="A2350" t="s">
        <v>568</v>
      </c>
      <c r="B2350" t="s">
        <v>571</v>
      </c>
      <c r="C2350" s="342">
        <v>110</v>
      </c>
      <c r="D2350" s="344">
        <v>0</v>
      </c>
    </row>
    <row r="2351" spans="1:4">
      <c r="A2351" t="s">
        <v>568</v>
      </c>
      <c r="B2351" t="s">
        <v>571</v>
      </c>
      <c r="C2351" s="343">
        <v>110</v>
      </c>
      <c r="D2351" s="345">
        <v>0</v>
      </c>
    </row>
    <row r="2352" spans="1:4">
      <c r="A2352" t="s">
        <v>568</v>
      </c>
      <c r="B2352" t="s">
        <v>571</v>
      </c>
      <c r="C2352" s="342">
        <v>110</v>
      </c>
      <c r="D2352" s="344">
        <v>0</v>
      </c>
    </row>
    <row r="2353" spans="1:4">
      <c r="A2353" t="s">
        <v>568</v>
      </c>
      <c r="B2353" t="s">
        <v>571</v>
      </c>
      <c r="C2353" s="343">
        <v>110</v>
      </c>
      <c r="D2353" s="345">
        <v>0</v>
      </c>
    </row>
    <row r="2354" spans="1:4">
      <c r="A2354" t="s">
        <v>568</v>
      </c>
      <c r="B2354" t="s">
        <v>571</v>
      </c>
      <c r="C2354" s="342">
        <v>110</v>
      </c>
      <c r="D2354" s="344">
        <v>0</v>
      </c>
    </row>
    <row r="2355" spans="1:4">
      <c r="A2355" t="s">
        <v>568</v>
      </c>
      <c r="B2355" t="s">
        <v>571</v>
      </c>
      <c r="C2355" s="343">
        <v>110</v>
      </c>
      <c r="D2355" s="345">
        <v>0</v>
      </c>
    </row>
    <row r="2356" spans="1:4">
      <c r="A2356" t="s">
        <v>568</v>
      </c>
      <c r="B2356" t="s">
        <v>571</v>
      </c>
      <c r="C2356" s="342">
        <v>110</v>
      </c>
      <c r="D2356" s="344">
        <v>0</v>
      </c>
    </row>
    <row r="2357" spans="1:4">
      <c r="A2357" t="s">
        <v>568</v>
      </c>
      <c r="B2357" t="s">
        <v>571</v>
      </c>
      <c r="C2357" s="343">
        <v>110</v>
      </c>
      <c r="D2357" s="345">
        <v>0</v>
      </c>
    </row>
    <row r="2358" spans="1:4">
      <c r="A2358" t="s">
        <v>568</v>
      </c>
      <c r="B2358" t="s">
        <v>571</v>
      </c>
      <c r="C2358" s="342">
        <v>110</v>
      </c>
      <c r="D2358" s="344">
        <v>0</v>
      </c>
    </row>
    <row r="2359" spans="1:4">
      <c r="A2359" t="s">
        <v>568</v>
      </c>
      <c r="B2359" t="s">
        <v>571</v>
      </c>
      <c r="C2359" s="343">
        <v>110</v>
      </c>
      <c r="D2359" s="345">
        <v>0</v>
      </c>
    </row>
    <row r="2360" spans="1:4">
      <c r="A2360" t="s">
        <v>568</v>
      </c>
      <c r="B2360" t="s">
        <v>571</v>
      </c>
      <c r="C2360" s="342">
        <v>110</v>
      </c>
      <c r="D2360" s="344">
        <v>0</v>
      </c>
    </row>
    <row r="2361" spans="1:4">
      <c r="A2361" t="s">
        <v>568</v>
      </c>
      <c r="B2361" t="s">
        <v>571</v>
      </c>
      <c r="C2361" s="343">
        <v>110</v>
      </c>
      <c r="D2361" s="345">
        <v>0</v>
      </c>
    </row>
    <row r="2362" spans="1:4">
      <c r="A2362" t="s">
        <v>568</v>
      </c>
      <c r="B2362" t="s">
        <v>571</v>
      </c>
      <c r="C2362" s="342">
        <v>110</v>
      </c>
      <c r="D2362" s="344">
        <v>0</v>
      </c>
    </row>
    <row r="2363" spans="1:4">
      <c r="A2363" t="s">
        <v>568</v>
      </c>
      <c r="B2363" t="s">
        <v>468</v>
      </c>
      <c r="C2363" s="343">
        <v>140</v>
      </c>
      <c r="D2363" s="345">
        <v>2E-3</v>
      </c>
    </row>
    <row r="2364" spans="1:4">
      <c r="A2364" t="s">
        <v>568</v>
      </c>
      <c r="B2364" t="s">
        <v>468</v>
      </c>
      <c r="C2364" s="342">
        <v>140</v>
      </c>
      <c r="D2364" s="344">
        <v>2E-3</v>
      </c>
    </row>
    <row r="2365" spans="1:4">
      <c r="A2365" t="s">
        <v>568</v>
      </c>
      <c r="B2365" t="s">
        <v>468</v>
      </c>
      <c r="C2365" s="343">
        <v>140</v>
      </c>
      <c r="D2365" s="345">
        <v>2E-3</v>
      </c>
    </row>
    <row r="2366" spans="1:4">
      <c r="A2366" t="s">
        <v>568</v>
      </c>
      <c r="B2366" t="s">
        <v>468</v>
      </c>
      <c r="C2366" s="342">
        <v>140</v>
      </c>
      <c r="D2366" s="344">
        <v>2E-3</v>
      </c>
    </row>
    <row r="2367" spans="1:4">
      <c r="A2367" t="s">
        <v>568</v>
      </c>
      <c r="B2367" t="s">
        <v>468</v>
      </c>
      <c r="C2367" s="343">
        <v>140</v>
      </c>
      <c r="D2367" s="345">
        <v>2E-3</v>
      </c>
    </row>
    <row r="2368" spans="1:4">
      <c r="A2368" t="s">
        <v>568</v>
      </c>
      <c r="B2368" t="s">
        <v>468</v>
      </c>
      <c r="C2368" s="342">
        <v>140</v>
      </c>
      <c r="D2368" s="344">
        <v>2E-3</v>
      </c>
    </row>
    <row r="2369" spans="1:4">
      <c r="A2369" t="s">
        <v>568</v>
      </c>
      <c r="B2369" t="s">
        <v>468</v>
      </c>
      <c r="C2369" s="343">
        <v>140</v>
      </c>
      <c r="D2369" s="345">
        <v>2E-3</v>
      </c>
    </row>
    <row r="2370" spans="1:4">
      <c r="A2370" t="s">
        <v>568</v>
      </c>
      <c r="B2370" t="s">
        <v>468</v>
      </c>
      <c r="C2370" s="342">
        <v>140</v>
      </c>
      <c r="D2370" s="344">
        <v>2E-3</v>
      </c>
    </row>
    <row r="2371" spans="1:4">
      <c r="A2371" t="s">
        <v>568</v>
      </c>
      <c r="B2371" t="s">
        <v>468</v>
      </c>
      <c r="C2371" s="343">
        <v>140</v>
      </c>
      <c r="D2371" s="345">
        <v>2E-3</v>
      </c>
    </row>
    <row r="2372" spans="1:4">
      <c r="A2372" t="s">
        <v>568</v>
      </c>
      <c r="B2372" t="s">
        <v>468</v>
      </c>
      <c r="C2372" s="342">
        <v>140</v>
      </c>
      <c r="D2372" s="344">
        <v>2E-3</v>
      </c>
    </row>
    <row r="2373" spans="1:4">
      <c r="A2373" t="s">
        <v>568</v>
      </c>
      <c r="B2373" t="s">
        <v>468</v>
      </c>
      <c r="C2373" s="343">
        <v>140</v>
      </c>
      <c r="D2373" s="345">
        <v>2E-3</v>
      </c>
    </row>
    <row r="2374" spans="1:4">
      <c r="A2374" t="s">
        <v>568</v>
      </c>
      <c r="B2374" t="s">
        <v>468</v>
      </c>
      <c r="C2374" s="342">
        <v>140</v>
      </c>
      <c r="D2374" s="344">
        <v>2E-3</v>
      </c>
    </row>
    <row r="2375" spans="1:4">
      <c r="A2375" t="s">
        <v>568</v>
      </c>
      <c r="B2375" t="s">
        <v>468</v>
      </c>
      <c r="C2375" s="343">
        <v>140</v>
      </c>
      <c r="D2375" s="345">
        <v>2E-3</v>
      </c>
    </row>
    <row r="2376" spans="1:4">
      <c r="A2376" t="s">
        <v>568</v>
      </c>
      <c r="B2376" t="s">
        <v>468</v>
      </c>
      <c r="C2376" s="342">
        <v>140</v>
      </c>
      <c r="D2376" s="344">
        <v>2E-3</v>
      </c>
    </row>
    <row r="2377" spans="1:4">
      <c r="A2377" t="s">
        <v>568</v>
      </c>
      <c r="B2377" t="s">
        <v>468</v>
      </c>
      <c r="C2377" s="343">
        <v>140</v>
      </c>
      <c r="D2377" s="345">
        <v>2E-3</v>
      </c>
    </row>
    <row r="2378" spans="1:4">
      <c r="A2378" t="s">
        <v>568</v>
      </c>
      <c r="B2378" t="s">
        <v>468</v>
      </c>
      <c r="C2378" s="342">
        <v>140</v>
      </c>
      <c r="D2378" s="344">
        <v>2E-3</v>
      </c>
    </row>
    <row r="2379" spans="1:4">
      <c r="A2379" t="s">
        <v>568</v>
      </c>
      <c r="B2379" t="s">
        <v>468</v>
      </c>
      <c r="C2379" s="343">
        <v>140</v>
      </c>
      <c r="D2379" s="345">
        <v>2E-3</v>
      </c>
    </row>
    <row r="2380" spans="1:4">
      <c r="A2380" t="s">
        <v>568</v>
      </c>
      <c r="B2380" t="s">
        <v>468</v>
      </c>
      <c r="C2380" s="342">
        <v>140</v>
      </c>
      <c r="D2380" s="344">
        <v>2E-3</v>
      </c>
    </row>
    <row r="2381" spans="1:4">
      <c r="A2381" t="s">
        <v>568</v>
      </c>
      <c r="B2381" t="s">
        <v>468</v>
      </c>
      <c r="C2381" s="343">
        <v>140</v>
      </c>
      <c r="D2381" s="345">
        <v>2E-3</v>
      </c>
    </row>
    <row r="2382" spans="1:4">
      <c r="A2382" t="s">
        <v>568</v>
      </c>
      <c r="B2382" t="s">
        <v>468</v>
      </c>
      <c r="C2382" s="342">
        <v>140</v>
      </c>
      <c r="D2382" s="344">
        <v>2E-3</v>
      </c>
    </row>
    <row r="2383" spans="1:4">
      <c r="A2383" t="s">
        <v>568</v>
      </c>
      <c r="B2383" t="s">
        <v>468</v>
      </c>
      <c r="C2383" s="343">
        <v>140</v>
      </c>
      <c r="D2383" s="345">
        <v>2E-3</v>
      </c>
    </row>
    <row r="2384" spans="1:4">
      <c r="A2384" t="s">
        <v>568</v>
      </c>
      <c r="B2384" t="s">
        <v>468</v>
      </c>
      <c r="C2384" s="342">
        <v>140</v>
      </c>
      <c r="D2384" s="344">
        <v>2E-3</v>
      </c>
    </row>
    <row r="2385" spans="1:4">
      <c r="A2385" t="s">
        <v>568</v>
      </c>
      <c r="B2385" t="s">
        <v>468</v>
      </c>
      <c r="C2385" s="343">
        <v>140</v>
      </c>
      <c r="D2385" s="345">
        <v>2E-3</v>
      </c>
    </row>
    <row r="2386" spans="1:4">
      <c r="A2386" t="s">
        <v>568</v>
      </c>
      <c r="B2386" t="s">
        <v>468</v>
      </c>
      <c r="C2386" s="342">
        <v>140</v>
      </c>
      <c r="D2386" s="344">
        <v>2E-3</v>
      </c>
    </row>
    <row r="2387" spans="1:4">
      <c r="A2387" t="s">
        <v>568</v>
      </c>
      <c r="B2387" t="s">
        <v>468</v>
      </c>
      <c r="C2387" s="343">
        <v>140</v>
      </c>
      <c r="D2387" s="345">
        <v>2E-3</v>
      </c>
    </row>
    <row r="2388" spans="1:4">
      <c r="A2388" t="s">
        <v>568</v>
      </c>
      <c r="B2388" t="s">
        <v>468</v>
      </c>
      <c r="C2388" s="342">
        <v>140</v>
      </c>
      <c r="D2388" s="344">
        <v>2E-3</v>
      </c>
    </row>
    <row r="2389" spans="1:4">
      <c r="A2389" t="s">
        <v>568</v>
      </c>
      <c r="B2389" t="s">
        <v>468</v>
      </c>
      <c r="C2389" s="343">
        <v>140</v>
      </c>
      <c r="D2389" s="345">
        <v>2E-3</v>
      </c>
    </row>
    <row r="2390" spans="1:4">
      <c r="A2390" t="s">
        <v>568</v>
      </c>
      <c r="B2390" t="s">
        <v>468</v>
      </c>
      <c r="C2390" s="342">
        <v>140</v>
      </c>
      <c r="D2390" s="344">
        <v>2E-3</v>
      </c>
    </row>
    <row r="2391" spans="1:4">
      <c r="A2391" t="s">
        <v>568</v>
      </c>
      <c r="B2391" t="s">
        <v>468</v>
      </c>
      <c r="C2391" s="343">
        <v>140</v>
      </c>
      <c r="D2391" s="345">
        <v>2E-3</v>
      </c>
    </row>
    <row r="2392" spans="1:4">
      <c r="A2392" t="s">
        <v>568</v>
      </c>
      <c r="B2392" t="s">
        <v>468</v>
      </c>
      <c r="C2392" s="342">
        <v>140</v>
      </c>
      <c r="D2392" s="344">
        <v>2E-3</v>
      </c>
    </row>
    <row r="2393" spans="1:4">
      <c r="A2393" t="s">
        <v>568</v>
      </c>
      <c r="B2393" t="s">
        <v>468</v>
      </c>
      <c r="C2393" s="343">
        <v>140</v>
      </c>
      <c r="D2393" s="345">
        <v>2E-3</v>
      </c>
    </row>
    <row r="2394" spans="1:4">
      <c r="A2394" t="s">
        <v>568</v>
      </c>
      <c r="B2394" t="s">
        <v>468</v>
      </c>
      <c r="C2394" s="342">
        <v>140</v>
      </c>
      <c r="D2394" s="344">
        <v>2E-3</v>
      </c>
    </row>
    <row r="2395" spans="1:4">
      <c r="A2395" t="s">
        <v>568</v>
      </c>
      <c r="B2395" t="s">
        <v>468</v>
      </c>
      <c r="C2395" s="343">
        <v>140</v>
      </c>
      <c r="D2395" s="345">
        <v>2E-3</v>
      </c>
    </row>
    <row r="2396" spans="1:4">
      <c r="A2396" t="s">
        <v>568</v>
      </c>
      <c r="B2396" t="s">
        <v>468</v>
      </c>
      <c r="C2396" s="342">
        <v>140</v>
      </c>
      <c r="D2396" s="344">
        <v>2E-3</v>
      </c>
    </row>
    <row r="2397" spans="1:4">
      <c r="A2397" t="s">
        <v>568</v>
      </c>
      <c r="B2397" t="s">
        <v>468</v>
      </c>
      <c r="C2397" s="343">
        <v>140</v>
      </c>
      <c r="D2397" s="345">
        <v>2E-3</v>
      </c>
    </row>
    <row r="2398" spans="1:4">
      <c r="A2398" t="s">
        <v>568</v>
      </c>
      <c r="B2398" t="s">
        <v>468</v>
      </c>
      <c r="C2398" s="342">
        <v>140</v>
      </c>
      <c r="D2398" s="344">
        <v>2E-3</v>
      </c>
    </row>
    <row r="2399" spans="1:4">
      <c r="A2399" t="s">
        <v>568</v>
      </c>
      <c r="B2399" t="s">
        <v>468</v>
      </c>
      <c r="C2399" s="343">
        <v>140</v>
      </c>
      <c r="D2399" s="345">
        <v>2E-3</v>
      </c>
    </row>
    <row r="2400" spans="1:4">
      <c r="A2400" t="s">
        <v>568</v>
      </c>
      <c r="B2400" t="s">
        <v>468</v>
      </c>
      <c r="C2400" s="342">
        <v>140</v>
      </c>
      <c r="D2400" s="344">
        <v>2E-3</v>
      </c>
    </row>
    <row r="2401" spans="1:4">
      <c r="A2401" t="s">
        <v>568</v>
      </c>
      <c r="B2401" t="s">
        <v>468</v>
      </c>
      <c r="C2401" s="343">
        <v>140</v>
      </c>
      <c r="D2401" s="345">
        <v>2E-3</v>
      </c>
    </row>
    <row r="2402" spans="1:4">
      <c r="A2402" t="s">
        <v>568</v>
      </c>
      <c r="B2402" t="s">
        <v>468</v>
      </c>
      <c r="C2402" s="342">
        <v>140</v>
      </c>
      <c r="D2402" s="344">
        <v>2E-3</v>
      </c>
    </row>
    <row r="2403" spans="1:4">
      <c r="A2403" t="s">
        <v>568</v>
      </c>
      <c r="B2403" t="s">
        <v>468</v>
      </c>
      <c r="C2403" s="343">
        <v>140</v>
      </c>
      <c r="D2403" s="345">
        <v>2E-3</v>
      </c>
    </row>
    <row r="2404" spans="1:4">
      <c r="A2404" t="s">
        <v>568</v>
      </c>
      <c r="B2404" t="s">
        <v>468</v>
      </c>
      <c r="C2404" s="342">
        <v>140</v>
      </c>
      <c r="D2404" s="344">
        <v>2E-3</v>
      </c>
    </row>
    <row r="2405" spans="1:4">
      <c r="A2405" t="s">
        <v>568</v>
      </c>
      <c r="B2405" t="s">
        <v>468</v>
      </c>
      <c r="C2405" s="343">
        <v>140</v>
      </c>
      <c r="D2405" s="345">
        <v>2E-3</v>
      </c>
    </row>
    <row r="2406" spans="1:4">
      <c r="A2406" t="s">
        <v>568</v>
      </c>
      <c r="B2406" t="s">
        <v>468</v>
      </c>
      <c r="C2406" s="342">
        <v>140</v>
      </c>
      <c r="D2406" s="344">
        <v>2E-3</v>
      </c>
    </row>
    <row r="2407" spans="1:4">
      <c r="A2407" t="s">
        <v>568</v>
      </c>
      <c r="B2407" t="s">
        <v>468</v>
      </c>
      <c r="C2407" s="343">
        <v>140</v>
      </c>
      <c r="D2407" s="345">
        <v>2E-3</v>
      </c>
    </row>
    <row r="2408" spans="1:4">
      <c r="A2408" t="s">
        <v>568</v>
      </c>
      <c r="B2408" t="s">
        <v>468</v>
      </c>
      <c r="C2408" s="342">
        <v>140</v>
      </c>
      <c r="D2408" s="344">
        <v>2E-3</v>
      </c>
    </row>
    <row r="2409" spans="1:4">
      <c r="A2409" t="s">
        <v>568</v>
      </c>
      <c r="B2409" t="s">
        <v>468</v>
      </c>
      <c r="C2409" s="343">
        <v>140</v>
      </c>
      <c r="D2409" s="345">
        <v>2E-3</v>
      </c>
    </row>
    <row r="2410" spans="1:4">
      <c r="A2410" t="s">
        <v>568</v>
      </c>
      <c r="B2410" t="s">
        <v>468</v>
      </c>
      <c r="C2410" s="342">
        <v>140</v>
      </c>
      <c r="D2410" s="344">
        <v>2E-3</v>
      </c>
    </row>
    <row r="2411" spans="1:4">
      <c r="A2411" t="s">
        <v>568</v>
      </c>
      <c r="B2411" t="s">
        <v>468</v>
      </c>
      <c r="C2411" s="343">
        <v>140</v>
      </c>
      <c r="D2411" s="345">
        <v>2E-3</v>
      </c>
    </row>
    <row r="2412" spans="1:4">
      <c r="A2412" t="s">
        <v>568</v>
      </c>
      <c r="B2412" t="s">
        <v>468</v>
      </c>
      <c r="C2412" s="342">
        <v>140</v>
      </c>
      <c r="D2412" s="344">
        <v>2E-3</v>
      </c>
    </row>
    <row r="2413" spans="1:4">
      <c r="A2413" t="s">
        <v>568</v>
      </c>
      <c r="B2413" t="s">
        <v>468</v>
      </c>
      <c r="C2413" s="343">
        <v>140</v>
      </c>
      <c r="D2413" s="345">
        <v>2E-3</v>
      </c>
    </row>
    <row r="2414" spans="1:4">
      <c r="A2414" t="s">
        <v>568</v>
      </c>
      <c r="B2414" t="s">
        <v>468</v>
      </c>
      <c r="C2414" s="342">
        <v>140</v>
      </c>
      <c r="D2414" s="344">
        <v>2E-3</v>
      </c>
    </row>
    <row r="2415" spans="1:4">
      <c r="A2415" t="s">
        <v>568</v>
      </c>
      <c r="B2415" t="s">
        <v>468</v>
      </c>
      <c r="C2415" s="343">
        <v>140</v>
      </c>
      <c r="D2415" s="345">
        <v>2E-3</v>
      </c>
    </row>
    <row r="2416" spans="1:4">
      <c r="A2416" t="s">
        <v>568</v>
      </c>
      <c r="B2416" t="s">
        <v>468</v>
      </c>
      <c r="C2416" s="342">
        <v>140</v>
      </c>
      <c r="D2416" s="344">
        <v>2E-3</v>
      </c>
    </row>
    <row r="2417" spans="1:4">
      <c r="A2417" t="s">
        <v>568</v>
      </c>
      <c r="B2417" t="s">
        <v>468</v>
      </c>
      <c r="C2417" s="343">
        <v>140</v>
      </c>
      <c r="D2417" s="345">
        <v>2E-3</v>
      </c>
    </row>
    <row r="2418" spans="1:4">
      <c r="A2418" t="s">
        <v>568</v>
      </c>
      <c r="B2418" t="s">
        <v>468</v>
      </c>
      <c r="C2418" s="342">
        <v>140</v>
      </c>
      <c r="D2418" s="344">
        <v>2E-3</v>
      </c>
    </row>
    <row r="2419" spans="1:4">
      <c r="A2419" t="s">
        <v>568</v>
      </c>
      <c r="B2419" t="s">
        <v>468</v>
      </c>
      <c r="C2419" s="343">
        <v>140</v>
      </c>
      <c r="D2419" s="345">
        <v>2E-3</v>
      </c>
    </row>
    <row r="2420" spans="1:4">
      <c r="A2420" t="s">
        <v>568</v>
      </c>
      <c r="B2420" t="s">
        <v>468</v>
      </c>
      <c r="C2420" s="342">
        <v>140</v>
      </c>
      <c r="D2420" s="344">
        <v>2E-3</v>
      </c>
    </row>
    <row r="2421" spans="1:4">
      <c r="A2421" t="s">
        <v>568</v>
      </c>
      <c r="B2421" t="s">
        <v>468</v>
      </c>
      <c r="C2421" s="343">
        <v>140</v>
      </c>
      <c r="D2421" s="345">
        <v>2E-3</v>
      </c>
    </row>
    <row r="2422" spans="1:4">
      <c r="A2422" t="s">
        <v>568</v>
      </c>
      <c r="B2422" t="s">
        <v>468</v>
      </c>
      <c r="C2422" s="342">
        <v>140</v>
      </c>
      <c r="D2422" s="344">
        <v>2E-3</v>
      </c>
    </row>
    <row r="2423" spans="1:4">
      <c r="A2423" t="s">
        <v>568</v>
      </c>
      <c r="B2423" t="s">
        <v>468</v>
      </c>
      <c r="C2423" s="343">
        <v>140</v>
      </c>
      <c r="D2423" s="345">
        <v>2E-3</v>
      </c>
    </row>
    <row r="2424" spans="1:4">
      <c r="A2424" t="s">
        <v>568</v>
      </c>
      <c r="B2424" t="s">
        <v>468</v>
      </c>
      <c r="C2424" s="342">
        <v>140</v>
      </c>
      <c r="D2424" s="344">
        <v>2E-3</v>
      </c>
    </row>
    <row r="2425" spans="1:4">
      <c r="A2425" t="s">
        <v>568</v>
      </c>
      <c r="B2425" t="s">
        <v>468</v>
      </c>
      <c r="C2425" s="343">
        <v>140</v>
      </c>
      <c r="D2425" s="345">
        <v>2E-3</v>
      </c>
    </row>
    <row r="2426" spans="1:4">
      <c r="A2426" t="s">
        <v>568</v>
      </c>
      <c r="B2426" t="s">
        <v>468</v>
      </c>
      <c r="C2426" s="342">
        <v>140</v>
      </c>
      <c r="D2426" s="344">
        <v>2E-3</v>
      </c>
    </row>
    <row r="2427" spans="1:4">
      <c r="A2427" t="s">
        <v>568</v>
      </c>
      <c r="B2427" t="s">
        <v>468</v>
      </c>
      <c r="C2427" s="343">
        <v>140</v>
      </c>
      <c r="D2427" s="345">
        <v>2E-3</v>
      </c>
    </row>
    <row r="2428" spans="1:4">
      <c r="A2428" t="s">
        <v>568</v>
      </c>
      <c r="B2428" t="s">
        <v>468</v>
      </c>
      <c r="C2428" s="342">
        <v>140</v>
      </c>
      <c r="D2428" s="344">
        <v>2E-3</v>
      </c>
    </row>
    <row r="2429" spans="1:4">
      <c r="A2429" t="s">
        <v>568</v>
      </c>
      <c r="B2429" t="s">
        <v>468</v>
      </c>
      <c r="C2429" s="343">
        <v>140</v>
      </c>
      <c r="D2429" s="345">
        <v>2E-3</v>
      </c>
    </row>
    <row r="2430" spans="1:4">
      <c r="A2430" t="s">
        <v>568</v>
      </c>
      <c r="B2430" t="s">
        <v>468</v>
      </c>
      <c r="C2430" s="342">
        <v>140</v>
      </c>
      <c r="D2430" s="344">
        <v>2E-3</v>
      </c>
    </row>
    <row r="2431" spans="1:4">
      <c r="A2431" t="s">
        <v>568</v>
      </c>
      <c r="B2431" t="s">
        <v>468</v>
      </c>
      <c r="C2431" s="343">
        <v>140</v>
      </c>
      <c r="D2431" s="345">
        <v>2E-3</v>
      </c>
    </row>
    <row r="2432" spans="1:4">
      <c r="A2432" t="s">
        <v>568</v>
      </c>
      <c r="B2432" t="s">
        <v>468</v>
      </c>
      <c r="C2432" s="342">
        <v>140</v>
      </c>
      <c r="D2432" s="344">
        <v>2E-3</v>
      </c>
    </row>
    <row r="2433" spans="1:4">
      <c r="A2433" t="s">
        <v>568</v>
      </c>
      <c r="B2433" t="s">
        <v>468</v>
      </c>
      <c r="C2433" s="343">
        <v>140</v>
      </c>
      <c r="D2433" s="345">
        <v>2E-3</v>
      </c>
    </row>
    <row r="2434" spans="1:4">
      <c r="A2434" t="s">
        <v>568</v>
      </c>
      <c r="B2434" t="s">
        <v>468</v>
      </c>
      <c r="C2434" s="342">
        <v>140</v>
      </c>
      <c r="D2434" s="344">
        <v>2E-3</v>
      </c>
    </row>
    <row r="2435" spans="1:4">
      <c r="A2435" t="s">
        <v>568</v>
      </c>
      <c r="B2435" t="s">
        <v>468</v>
      </c>
      <c r="C2435" s="343">
        <v>140</v>
      </c>
      <c r="D2435" s="345">
        <v>2E-3</v>
      </c>
    </row>
    <row r="2436" spans="1:4">
      <c r="A2436" t="s">
        <v>568</v>
      </c>
      <c r="B2436" t="s">
        <v>468</v>
      </c>
      <c r="C2436" s="342">
        <v>140</v>
      </c>
      <c r="D2436" s="344">
        <v>2E-3</v>
      </c>
    </row>
    <row r="2437" spans="1:4">
      <c r="A2437" t="s">
        <v>568</v>
      </c>
      <c r="B2437" t="s">
        <v>468</v>
      </c>
      <c r="C2437" s="343">
        <v>140</v>
      </c>
      <c r="D2437" s="345">
        <v>2E-3</v>
      </c>
    </row>
    <row r="2438" spans="1:4">
      <c r="A2438" t="s">
        <v>568</v>
      </c>
      <c r="B2438" t="s">
        <v>468</v>
      </c>
      <c r="C2438" s="342">
        <v>140</v>
      </c>
      <c r="D2438" s="344">
        <v>2E-3</v>
      </c>
    </row>
    <row r="2439" spans="1:4">
      <c r="A2439" t="s">
        <v>568</v>
      </c>
      <c r="B2439" t="s">
        <v>468</v>
      </c>
      <c r="C2439" s="343">
        <v>140</v>
      </c>
      <c r="D2439" s="345">
        <v>2E-3</v>
      </c>
    </row>
    <row r="2440" spans="1:4">
      <c r="A2440" t="s">
        <v>568</v>
      </c>
      <c r="B2440" t="s">
        <v>468</v>
      </c>
      <c r="C2440" s="342">
        <v>140</v>
      </c>
      <c r="D2440" s="344">
        <v>2E-3</v>
      </c>
    </row>
    <row r="2441" spans="1:4">
      <c r="A2441" t="s">
        <v>568</v>
      </c>
      <c r="B2441" t="s">
        <v>468</v>
      </c>
      <c r="C2441" s="343">
        <v>140</v>
      </c>
      <c r="D2441" s="345">
        <v>2E-3</v>
      </c>
    </row>
    <row r="2442" spans="1:4">
      <c r="A2442" t="s">
        <v>568</v>
      </c>
      <c r="B2442" t="s">
        <v>468</v>
      </c>
      <c r="C2442" s="342">
        <v>140</v>
      </c>
      <c r="D2442" s="344">
        <v>2E-3</v>
      </c>
    </row>
    <row r="2443" spans="1:4">
      <c r="A2443" t="s">
        <v>568</v>
      </c>
      <c r="B2443" t="s">
        <v>468</v>
      </c>
      <c r="C2443" s="343">
        <v>140</v>
      </c>
      <c r="D2443" s="345">
        <v>2E-3</v>
      </c>
    </row>
    <row r="2444" spans="1:4">
      <c r="A2444" t="s">
        <v>568</v>
      </c>
      <c r="B2444" t="s">
        <v>468</v>
      </c>
      <c r="C2444" s="342">
        <v>140</v>
      </c>
      <c r="D2444" s="344">
        <v>2E-3</v>
      </c>
    </row>
    <row r="2445" spans="1:4">
      <c r="A2445" t="s">
        <v>568</v>
      </c>
      <c r="B2445" t="s">
        <v>468</v>
      </c>
      <c r="C2445" s="343">
        <v>140</v>
      </c>
      <c r="D2445" s="345">
        <v>2E-3</v>
      </c>
    </row>
    <row r="2446" spans="1:4">
      <c r="A2446" t="s">
        <v>568</v>
      </c>
      <c r="B2446" t="s">
        <v>468</v>
      </c>
      <c r="C2446" s="342">
        <v>140</v>
      </c>
      <c r="D2446" s="344">
        <v>2E-3</v>
      </c>
    </row>
    <row r="2447" spans="1:4">
      <c r="A2447" t="s">
        <v>568</v>
      </c>
      <c r="B2447" t="s">
        <v>468</v>
      </c>
      <c r="C2447" s="343">
        <v>140</v>
      </c>
      <c r="D2447" s="345">
        <v>2E-3</v>
      </c>
    </row>
    <row r="2448" spans="1:4">
      <c r="A2448" t="s">
        <v>568</v>
      </c>
      <c r="B2448" t="s">
        <v>468</v>
      </c>
      <c r="C2448" s="342">
        <v>140</v>
      </c>
      <c r="D2448" s="344">
        <v>2E-3</v>
      </c>
    </row>
    <row r="2449" spans="1:4">
      <c r="A2449" t="s">
        <v>568</v>
      </c>
      <c r="B2449" t="s">
        <v>468</v>
      </c>
      <c r="C2449" s="343">
        <v>140</v>
      </c>
      <c r="D2449" s="345">
        <v>2E-3</v>
      </c>
    </row>
    <row r="2450" spans="1:4">
      <c r="A2450" t="s">
        <v>568</v>
      </c>
      <c r="B2450" t="s">
        <v>468</v>
      </c>
      <c r="C2450" s="342">
        <v>140</v>
      </c>
      <c r="D2450" s="344">
        <v>2E-3</v>
      </c>
    </row>
    <row r="2451" spans="1:4">
      <c r="A2451" t="s">
        <v>568</v>
      </c>
      <c r="B2451" t="s">
        <v>468</v>
      </c>
      <c r="C2451" s="343">
        <v>140</v>
      </c>
      <c r="D2451" s="345">
        <v>2E-3</v>
      </c>
    </row>
    <row r="2452" spans="1:4">
      <c r="A2452" t="s">
        <v>568</v>
      </c>
      <c r="B2452" t="s">
        <v>468</v>
      </c>
      <c r="C2452" s="342">
        <v>140</v>
      </c>
      <c r="D2452" s="344">
        <v>2E-3</v>
      </c>
    </row>
    <row r="2453" spans="1:4">
      <c r="A2453" t="s">
        <v>568</v>
      </c>
      <c r="B2453" t="s">
        <v>468</v>
      </c>
      <c r="C2453" s="343">
        <v>140</v>
      </c>
      <c r="D2453" s="345">
        <v>2E-3</v>
      </c>
    </row>
    <row r="2454" spans="1:4">
      <c r="A2454" t="s">
        <v>568</v>
      </c>
      <c r="B2454" t="s">
        <v>468</v>
      </c>
      <c r="C2454" s="342">
        <v>140</v>
      </c>
      <c r="D2454" s="344">
        <v>2E-3</v>
      </c>
    </row>
    <row r="2455" spans="1:4">
      <c r="A2455" t="s">
        <v>568</v>
      </c>
      <c r="B2455" t="s">
        <v>468</v>
      </c>
      <c r="C2455" s="343">
        <v>140</v>
      </c>
      <c r="D2455" s="345">
        <v>2E-3</v>
      </c>
    </row>
    <row r="2456" spans="1:4">
      <c r="A2456" t="s">
        <v>568</v>
      </c>
      <c r="B2456" t="s">
        <v>468</v>
      </c>
      <c r="C2456" s="342">
        <v>140</v>
      </c>
      <c r="D2456" s="344">
        <v>2E-3</v>
      </c>
    </row>
    <row r="2457" spans="1:4">
      <c r="A2457" t="s">
        <v>568</v>
      </c>
      <c r="B2457" t="s">
        <v>468</v>
      </c>
      <c r="C2457" s="343">
        <v>140</v>
      </c>
      <c r="D2457" s="345">
        <v>2E-3</v>
      </c>
    </row>
    <row r="2458" spans="1:4">
      <c r="A2458" t="s">
        <v>568</v>
      </c>
      <c r="B2458" t="s">
        <v>468</v>
      </c>
      <c r="C2458" s="342">
        <v>140</v>
      </c>
      <c r="D2458" s="344">
        <v>2E-3</v>
      </c>
    </row>
    <row r="2459" spans="1:4">
      <c r="A2459" t="s">
        <v>568</v>
      </c>
      <c r="B2459" t="s">
        <v>468</v>
      </c>
      <c r="C2459" s="343">
        <v>140</v>
      </c>
      <c r="D2459" s="345">
        <v>2E-3</v>
      </c>
    </row>
    <row r="2460" spans="1:4">
      <c r="A2460" t="s">
        <v>568</v>
      </c>
      <c r="B2460" t="s">
        <v>468</v>
      </c>
      <c r="C2460" s="342">
        <v>140</v>
      </c>
      <c r="D2460" s="344">
        <v>2E-3</v>
      </c>
    </row>
    <row r="2461" spans="1:4">
      <c r="A2461" t="s">
        <v>568</v>
      </c>
      <c r="B2461" t="s">
        <v>468</v>
      </c>
      <c r="C2461" s="343">
        <v>140</v>
      </c>
      <c r="D2461" s="345">
        <v>2E-3</v>
      </c>
    </row>
    <row r="2462" spans="1:4">
      <c r="A2462" t="s">
        <v>568</v>
      </c>
      <c r="B2462" t="s">
        <v>468</v>
      </c>
      <c r="C2462" s="342">
        <v>140</v>
      </c>
      <c r="D2462" s="344">
        <v>2E-3</v>
      </c>
    </row>
    <row r="2463" spans="1:4">
      <c r="A2463" t="s">
        <v>568</v>
      </c>
      <c r="B2463" t="s">
        <v>468</v>
      </c>
      <c r="C2463" s="343">
        <v>140</v>
      </c>
      <c r="D2463" s="345">
        <v>2E-3</v>
      </c>
    </row>
    <row r="2464" spans="1:4">
      <c r="A2464" t="s">
        <v>568</v>
      </c>
      <c r="B2464" t="s">
        <v>468</v>
      </c>
      <c r="C2464" s="342">
        <v>140</v>
      </c>
      <c r="D2464" s="344">
        <v>2E-3</v>
      </c>
    </row>
    <row r="2465" spans="1:4">
      <c r="A2465" t="s">
        <v>568</v>
      </c>
      <c r="B2465" t="s">
        <v>468</v>
      </c>
      <c r="C2465" s="343">
        <v>140</v>
      </c>
      <c r="D2465" s="345">
        <v>2E-3</v>
      </c>
    </row>
    <row r="2466" spans="1:4">
      <c r="A2466" t="s">
        <v>568</v>
      </c>
      <c r="B2466" t="s">
        <v>468</v>
      </c>
      <c r="C2466" s="342">
        <v>140</v>
      </c>
      <c r="D2466" s="344">
        <v>2E-3</v>
      </c>
    </row>
    <row r="2467" spans="1:4">
      <c r="A2467" t="s">
        <v>568</v>
      </c>
      <c r="B2467" t="s">
        <v>468</v>
      </c>
      <c r="C2467" s="343">
        <v>140</v>
      </c>
      <c r="D2467" s="345">
        <v>2E-3</v>
      </c>
    </row>
    <row r="2468" spans="1:4">
      <c r="A2468" t="s">
        <v>568</v>
      </c>
      <c r="B2468" t="s">
        <v>468</v>
      </c>
      <c r="C2468" s="342">
        <v>140</v>
      </c>
      <c r="D2468" s="344">
        <v>2E-3</v>
      </c>
    </row>
    <row r="2469" spans="1:4">
      <c r="A2469" t="s">
        <v>568</v>
      </c>
      <c r="B2469" t="s">
        <v>468</v>
      </c>
      <c r="C2469" s="343">
        <v>140</v>
      </c>
      <c r="D2469" s="345">
        <v>2E-3</v>
      </c>
    </row>
    <row r="2470" spans="1:4">
      <c r="A2470" t="s">
        <v>568</v>
      </c>
      <c r="B2470" t="s">
        <v>468</v>
      </c>
      <c r="C2470" s="342">
        <v>140</v>
      </c>
      <c r="D2470" s="344">
        <v>2E-3</v>
      </c>
    </row>
    <row r="2471" spans="1:4">
      <c r="A2471" t="s">
        <v>568</v>
      </c>
      <c r="B2471" t="s">
        <v>468</v>
      </c>
      <c r="C2471" s="343">
        <v>140</v>
      </c>
      <c r="D2471" s="345">
        <v>2E-3</v>
      </c>
    </row>
    <row r="2472" spans="1:4">
      <c r="A2472" t="s">
        <v>568</v>
      </c>
      <c r="B2472" t="s">
        <v>468</v>
      </c>
      <c r="C2472" s="342">
        <v>140</v>
      </c>
      <c r="D2472" s="344">
        <v>2E-3</v>
      </c>
    </row>
    <row r="2473" spans="1:4">
      <c r="A2473" t="s">
        <v>568</v>
      </c>
      <c r="B2473" t="s">
        <v>468</v>
      </c>
      <c r="C2473" s="343">
        <v>140</v>
      </c>
      <c r="D2473" s="345">
        <v>2E-3</v>
      </c>
    </row>
    <row r="2474" spans="1:4">
      <c r="A2474" t="s">
        <v>568</v>
      </c>
      <c r="B2474" t="s">
        <v>468</v>
      </c>
      <c r="C2474" s="342">
        <v>140</v>
      </c>
      <c r="D2474" s="344">
        <v>2E-3</v>
      </c>
    </row>
    <row r="2475" spans="1:4">
      <c r="A2475" t="s">
        <v>568</v>
      </c>
      <c r="B2475" t="s">
        <v>468</v>
      </c>
      <c r="C2475" s="343">
        <v>140</v>
      </c>
      <c r="D2475" s="345">
        <v>2E-3</v>
      </c>
    </row>
    <row r="2476" spans="1:4">
      <c r="A2476" t="s">
        <v>568</v>
      </c>
      <c r="B2476" t="s">
        <v>468</v>
      </c>
      <c r="C2476" s="342">
        <v>140</v>
      </c>
      <c r="D2476" s="344">
        <v>2E-3</v>
      </c>
    </row>
    <row r="2477" spans="1:4">
      <c r="A2477" t="s">
        <v>568</v>
      </c>
      <c r="B2477" t="s">
        <v>468</v>
      </c>
      <c r="C2477" s="343">
        <v>140</v>
      </c>
      <c r="D2477" s="345">
        <v>2E-3</v>
      </c>
    </row>
    <row r="2478" spans="1:4">
      <c r="A2478" t="s">
        <v>568</v>
      </c>
      <c r="B2478" t="s">
        <v>468</v>
      </c>
      <c r="C2478" s="342">
        <v>140</v>
      </c>
      <c r="D2478" s="344">
        <v>2E-3</v>
      </c>
    </row>
    <row r="2479" spans="1:4">
      <c r="A2479" t="s">
        <v>568</v>
      </c>
      <c r="B2479" t="s">
        <v>468</v>
      </c>
      <c r="C2479" s="343">
        <v>140</v>
      </c>
      <c r="D2479" s="345">
        <v>2E-3</v>
      </c>
    </row>
    <row r="2480" spans="1:4">
      <c r="A2480" t="s">
        <v>568</v>
      </c>
      <c r="B2480" t="s">
        <v>468</v>
      </c>
      <c r="C2480" s="342">
        <v>140</v>
      </c>
      <c r="D2480" s="344">
        <v>2E-3</v>
      </c>
    </row>
    <row r="2481" spans="1:4">
      <c r="A2481" t="s">
        <v>568</v>
      </c>
      <c r="B2481" t="s">
        <v>468</v>
      </c>
      <c r="C2481" s="343">
        <v>140</v>
      </c>
      <c r="D2481" s="345">
        <v>2E-3</v>
      </c>
    </row>
    <row r="2482" spans="1:4">
      <c r="A2482" t="s">
        <v>568</v>
      </c>
      <c r="B2482" t="s">
        <v>468</v>
      </c>
      <c r="C2482" s="342">
        <v>140</v>
      </c>
      <c r="D2482" s="344">
        <v>2E-3</v>
      </c>
    </row>
    <row r="2483" spans="1:4">
      <c r="A2483" t="s">
        <v>568</v>
      </c>
      <c r="B2483" t="s">
        <v>468</v>
      </c>
      <c r="C2483" s="343">
        <v>140</v>
      </c>
      <c r="D2483" s="345">
        <v>2E-3</v>
      </c>
    </row>
    <row r="2484" spans="1:4">
      <c r="A2484" t="s">
        <v>568</v>
      </c>
      <c r="B2484" t="s">
        <v>468</v>
      </c>
      <c r="C2484" s="342">
        <v>140</v>
      </c>
      <c r="D2484" s="344">
        <v>2E-3</v>
      </c>
    </row>
    <row r="2485" spans="1:4">
      <c r="A2485" t="s">
        <v>568</v>
      </c>
      <c r="B2485" t="s">
        <v>468</v>
      </c>
      <c r="C2485" s="343">
        <v>140</v>
      </c>
      <c r="D2485" s="345">
        <v>2E-3</v>
      </c>
    </row>
    <row r="2486" spans="1:4">
      <c r="A2486" t="s">
        <v>568</v>
      </c>
      <c r="B2486" t="s">
        <v>468</v>
      </c>
      <c r="C2486" s="342">
        <v>140</v>
      </c>
      <c r="D2486" s="344">
        <v>2E-3</v>
      </c>
    </row>
    <row r="2487" spans="1:4">
      <c r="A2487" t="s">
        <v>568</v>
      </c>
      <c r="B2487" t="s">
        <v>468</v>
      </c>
      <c r="C2487" s="343">
        <v>140</v>
      </c>
      <c r="D2487" s="345">
        <v>2E-3</v>
      </c>
    </row>
    <row r="2488" spans="1:4">
      <c r="A2488" t="s">
        <v>568</v>
      </c>
      <c r="B2488" t="s">
        <v>468</v>
      </c>
      <c r="C2488" s="342">
        <v>140</v>
      </c>
      <c r="D2488" s="344">
        <v>2E-3</v>
      </c>
    </row>
    <row r="2489" spans="1:4">
      <c r="A2489" t="s">
        <v>568</v>
      </c>
      <c r="B2489" t="s">
        <v>468</v>
      </c>
      <c r="C2489" s="343">
        <v>140</v>
      </c>
      <c r="D2489" s="345">
        <v>2E-3</v>
      </c>
    </row>
    <row r="2490" spans="1:4">
      <c r="A2490" t="s">
        <v>568</v>
      </c>
      <c r="B2490" t="s">
        <v>468</v>
      </c>
      <c r="C2490" s="342">
        <v>140</v>
      </c>
      <c r="D2490" s="344">
        <v>2E-3</v>
      </c>
    </row>
    <row r="2491" spans="1:4">
      <c r="A2491" t="s">
        <v>568</v>
      </c>
      <c r="B2491" t="s">
        <v>468</v>
      </c>
      <c r="C2491" s="343">
        <v>140</v>
      </c>
      <c r="D2491" s="345">
        <v>2E-3</v>
      </c>
    </row>
    <row r="2492" spans="1:4">
      <c r="A2492" t="s">
        <v>568</v>
      </c>
      <c r="B2492" t="s">
        <v>468</v>
      </c>
      <c r="C2492" s="342">
        <v>140</v>
      </c>
      <c r="D2492" s="344">
        <v>2E-3</v>
      </c>
    </row>
    <row r="2493" spans="1:4">
      <c r="A2493" t="s">
        <v>568</v>
      </c>
      <c r="B2493" t="s">
        <v>468</v>
      </c>
      <c r="C2493" s="343">
        <v>140</v>
      </c>
      <c r="D2493" s="345">
        <v>2E-3</v>
      </c>
    </row>
    <row r="2494" spans="1:4">
      <c r="A2494" t="s">
        <v>568</v>
      </c>
      <c r="B2494" t="s">
        <v>468</v>
      </c>
      <c r="C2494" s="342">
        <v>140</v>
      </c>
      <c r="D2494" s="344">
        <v>2E-3</v>
      </c>
    </row>
    <row r="2495" spans="1:4">
      <c r="A2495" t="s">
        <v>568</v>
      </c>
      <c r="B2495" t="s">
        <v>468</v>
      </c>
      <c r="C2495" s="343">
        <v>140</v>
      </c>
      <c r="D2495" s="345">
        <v>2E-3</v>
      </c>
    </row>
    <row r="2496" spans="1:4">
      <c r="A2496" t="s">
        <v>568</v>
      </c>
      <c r="B2496" t="s">
        <v>468</v>
      </c>
      <c r="C2496" s="342">
        <v>140</v>
      </c>
      <c r="D2496" s="344">
        <v>2E-3</v>
      </c>
    </row>
    <row r="2497" spans="1:4">
      <c r="A2497" t="s">
        <v>568</v>
      </c>
      <c r="B2497" t="s">
        <v>468</v>
      </c>
      <c r="C2497" s="343">
        <v>140</v>
      </c>
      <c r="D2497" s="345">
        <v>2E-3</v>
      </c>
    </row>
    <row r="2498" spans="1:4">
      <c r="A2498" t="s">
        <v>568</v>
      </c>
      <c r="B2498" t="s">
        <v>468</v>
      </c>
      <c r="C2498" s="342">
        <v>140</v>
      </c>
      <c r="D2498" s="344">
        <v>2E-3</v>
      </c>
    </row>
    <row r="2499" spans="1:4">
      <c r="A2499" t="s">
        <v>568</v>
      </c>
      <c r="B2499" t="s">
        <v>468</v>
      </c>
      <c r="C2499" s="343">
        <v>140</v>
      </c>
      <c r="D2499" s="345">
        <v>2E-3</v>
      </c>
    </row>
    <row r="2500" spans="1:4">
      <c r="A2500" t="s">
        <v>568</v>
      </c>
      <c r="B2500" t="s">
        <v>468</v>
      </c>
      <c r="C2500" s="342">
        <v>140</v>
      </c>
      <c r="D2500" s="344">
        <v>2E-3</v>
      </c>
    </row>
    <row r="2501" spans="1:4">
      <c r="A2501" t="s">
        <v>568</v>
      </c>
      <c r="B2501" t="s">
        <v>468</v>
      </c>
      <c r="C2501" s="343">
        <v>140</v>
      </c>
      <c r="D2501" s="345">
        <v>2E-3</v>
      </c>
    </row>
    <row r="2502" spans="1:4">
      <c r="A2502" t="s">
        <v>568</v>
      </c>
      <c r="B2502" t="s">
        <v>468</v>
      </c>
      <c r="C2502" s="342">
        <v>140</v>
      </c>
      <c r="D2502" s="344">
        <v>2E-3</v>
      </c>
    </row>
    <row r="2503" spans="1:4">
      <c r="A2503" t="s">
        <v>568</v>
      </c>
      <c r="B2503" t="s">
        <v>468</v>
      </c>
      <c r="C2503" s="343">
        <v>140</v>
      </c>
      <c r="D2503" s="345">
        <v>2E-3</v>
      </c>
    </row>
    <row r="2504" spans="1:4">
      <c r="A2504" t="s">
        <v>568</v>
      </c>
      <c r="B2504" t="s">
        <v>468</v>
      </c>
      <c r="C2504" s="342">
        <v>140</v>
      </c>
      <c r="D2504" s="344">
        <v>2E-3</v>
      </c>
    </row>
    <row r="2505" spans="1:4">
      <c r="A2505" t="s">
        <v>568</v>
      </c>
      <c r="B2505" t="s">
        <v>468</v>
      </c>
      <c r="C2505" s="343">
        <v>140</v>
      </c>
      <c r="D2505" s="345">
        <v>2E-3</v>
      </c>
    </row>
    <row r="2506" spans="1:4">
      <c r="A2506" t="s">
        <v>568</v>
      </c>
      <c r="B2506" t="s">
        <v>468</v>
      </c>
      <c r="C2506" s="342">
        <v>140</v>
      </c>
      <c r="D2506" s="344">
        <v>2E-3</v>
      </c>
    </row>
    <row r="2507" spans="1:4">
      <c r="A2507" t="s">
        <v>568</v>
      </c>
      <c r="B2507" t="s">
        <v>468</v>
      </c>
      <c r="C2507" s="343">
        <v>140</v>
      </c>
      <c r="D2507" s="345">
        <v>2E-3</v>
      </c>
    </row>
    <row r="2508" spans="1:4">
      <c r="A2508" t="s">
        <v>568</v>
      </c>
      <c r="B2508" t="s">
        <v>468</v>
      </c>
      <c r="C2508" s="342">
        <v>140</v>
      </c>
      <c r="D2508" s="344">
        <v>2E-3</v>
      </c>
    </row>
    <row r="2509" spans="1:4">
      <c r="A2509" t="s">
        <v>568</v>
      </c>
      <c r="B2509" t="s">
        <v>468</v>
      </c>
      <c r="C2509" s="343">
        <v>140</v>
      </c>
      <c r="D2509" s="345">
        <v>2E-3</v>
      </c>
    </row>
    <row r="2510" spans="1:4">
      <c r="A2510" t="s">
        <v>568</v>
      </c>
      <c r="B2510" t="s">
        <v>468</v>
      </c>
      <c r="C2510" s="342">
        <v>140</v>
      </c>
      <c r="D2510" s="344">
        <v>2E-3</v>
      </c>
    </row>
    <row r="2511" spans="1:4">
      <c r="A2511" t="s">
        <v>568</v>
      </c>
      <c r="B2511" t="s">
        <v>468</v>
      </c>
      <c r="C2511" s="343">
        <v>140</v>
      </c>
      <c r="D2511" s="345">
        <v>2E-3</v>
      </c>
    </row>
    <row r="2512" spans="1:4">
      <c r="A2512" t="s">
        <v>568</v>
      </c>
      <c r="B2512" t="s">
        <v>468</v>
      </c>
      <c r="C2512" s="342">
        <v>140</v>
      </c>
      <c r="D2512" s="344">
        <v>2E-3</v>
      </c>
    </row>
    <row r="2513" spans="1:4">
      <c r="A2513" t="s">
        <v>568</v>
      </c>
      <c r="B2513" t="s">
        <v>468</v>
      </c>
      <c r="C2513" s="343">
        <v>140</v>
      </c>
      <c r="D2513" s="345">
        <v>2E-3</v>
      </c>
    </row>
    <row r="2514" spans="1:4">
      <c r="A2514" t="s">
        <v>568</v>
      </c>
      <c r="B2514" t="s">
        <v>468</v>
      </c>
      <c r="C2514" s="342">
        <v>140</v>
      </c>
      <c r="D2514" s="344">
        <v>2E-3</v>
      </c>
    </row>
    <row r="2515" spans="1:4">
      <c r="A2515" t="s">
        <v>568</v>
      </c>
      <c r="B2515" t="s">
        <v>468</v>
      </c>
      <c r="C2515" s="343">
        <v>140</v>
      </c>
      <c r="D2515" s="345">
        <v>2E-3</v>
      </c>
    </row>
    <row r="2516" spans="1:4">
      <c r="A2516" t="s">
        <v>568</v>
      </c>
      <c r="B2516" t="s">
        <v>468</v>
      </c>
      <c r="C2516" s="342">
        <v>140</v>
      </c>
      <c r="D2516" s="344">
        <v>2E-3</v>
      </c>
    </row>
    <row r="2517" spans="1:4">
      <c r="A2517" t="s">
        <v>568</v>
      </c>
      <c r="B2517" t="s">
        <v>468</v>
      </c>
      <c r="C2517" s="343">
        <v>140</v>
      </c>
      <c r="D2517" s="345">
        <v>2E-3</v>
      </c>
    </row>
    <row r="2518" spans="1:4">
      <c r="A2518" t="s">
        <v>568</v>
      </c>
      <c r="B2518" t="s">
        <v>468</v>
      </c>
      <c r="C2518" s="342">
        <v>140</v>
      </c>
      <c r="D2518" s="344">
        <v>2E-3</v>
      </c>
    </row>
    <row r="2519" spans="1:4">
      <c r="A2519" t="s">
        <v>568</v>
      </c>
      <c r="B2519" t="s">
        <v>473</v>
      </c>
      <c r="C2519" s="343">
        <v>140</v>
      </c>
      <c r="D2519" s="345">
        <v>2E-3</v>
      </c>
    </row>
    <row r="2520" spans="1:4">
      <c r="A2520" t="s">
        <v>568</v>
      </c>
      <c r="B2520" t="s">
        <v>473</v>
      </c>
      <c r="C2520" s="342">
        <v>140</v>
      </c>
      <c r="D2520" s="344">
        <v>2E-3</v>
      </c>
    </row>
    <row r="2521" spans="1:4">
      <c r="A2521" t="s">
        <v>568</v>
      </c>
      <c r="B2521" t="s">
        <v>473</v>
      </c>
      <c r="C2521" s="343">
        <v>140</v>
      </c>
      <c r="D2521" s="345">
        <v>2E-3</v>
      </c>
    </row>
    <row r="2522" spans="1:4">
      <c r="A2522" t="s">
        <v>568</v>
      </c>
      <c r="B2522" t="s">
        <v>473</v>
      </c>
      <c r="C2522" s="342">
        <v>140</v>
      </c>
      <c r="D2522" s="344">
        <v>2E-3</v>
      </c>
    </row>
    <row r="2523" spans="1:4">
      <c r="A2523" t="s">
        <v>568</v>
      </c>
      <c r="B2523" t="s">
        <v>473</v>
      </c>
      <c r="C2523" s="343">
        <v>140</v>
      </c>
      <c r="D2523" s="345">
        <v>2E-3</v>
      </c>
    </row>
    <row r="2524" spans="1:4">
      <c r="A2524" t="s">
        <v>568</v>
      </c>
      <c r="B2524" t="s">
        <v>473</v>
      </c>
      <c r="C2524" s="342">
        <v>140</v>
      </c>
      <c r="D2524" s="344">
        <v>2E-3</v>
      </c>
    </row>
    <row r="2525" spans="1:4">
      <c r="A2525" t="s">
        <v>568</v>
      </c>
      <c r="B2525" t="s">
        <v>473</v>
      </c>
      <c r="C2525" s="343">
        <v>140</v>
      </c>
      <c r="D2525" s="345">
        <v>2E-3</v>
      </c>
    </row>
    <row r="2526" spans="1:4">
      <c r="A2526" t="s">
        <v>568</v>
      </c>
      <c r="B2526" t="s">
        <v>473</v>
      </c>
      <c r="C2526" s="342">
        <v>140</v>
      </c>
      <c r="D2526" s="344">
        <v>2E-3</v>
      </c>
    </row>
    <row r="2527" spans="1:4">
      <c r="A2527" t="s">
        <v>568</v>
      </c>
      <c r="B2527" t="s">
        <v>473</v>
      </c>
      <c r="C2527" s="343">
        <v>140</v>
      </c>
      <c r="D2527" s="345">
        <v>2E-3</v>
      </c>
    </row>
    <row r="2528" spans="1:4">
      <c r="A2528" t="s">
        <v>568</v>
      </c>
      <c r="B2528" t="s">
        <v>473</v>
      </c>
      <c r="C2528" s="342">
        <v>140</v>
      </c>
      <c r="D2528" s="344">
        <v>2E-3</v>
      </c>
    </row>
    <row r="2529" spans="1:4">
      <c r="A2529" t="s">
        <v>568</v>
      </c>
      <c r="B2529" t="s">
        <v>473</v>
      </c>
      <c r="C2529" s="343">
        <v>140</v>
      </c>
      <c r="D2529" s="345">
        <v>2E-3</v>
      </c>
    </row>
    <row r="2530" spans="1:4">
      <c r="A2530" t="s">
        <v>568</v>
      </c>
      <c r="B2530" t="s">
        <v>473</v>
      </c>
      <c r="C2530" s="342">
        <v>140</v>
      </c>
      <c r="D2530" s="344">
        <v>2E-3</v>
      </c>
    </row>
    <row r="2531" spans="1:4">
      <c r="A2531" t="s">
        <v>568</v>
      </c>
      <c r="B2531" t="s">
        <v>473</v>
      </c>
      <c r="C2531" s="343">
        <v>140</v>
      </c>
      <c r="D2531" s="345">
        <v>2E-3</v>
      </c>
    </row>
    <row r="2532" spans="1:4">
      <c r="A2532" t="s">
        <v>568</v>
      </c>
      <c r="B2532" t="s">
        <v>473</v>
      </c>
      <c r="C2532" s="342">
        <v>140</v>
      </c>
      <c r="D2532" s="344">
        <v>2E-3</v>
      </c>
    </row>
    <row r="2533" spans="1:4">
      <c r="A2533" t="s">
        <v>568</v>
      </c>
      <c r="B2533" t="s">
        <v>477</v>
      </c>
      <c r="C2533" s="343">
        <v>260</v>
      </c>
      <c r="D2533" s="345">
        <v>4.0000000000000001E-3</v>
      </c>
    </row>
    <row r="2534" spans="1:4">
      <c r="A2534" t="s">
        <v>568</v>
      </c>
      <c r="B2534" t="s">
        <v>477</v>
      </c>
      <c r="C2534" s="342">
        <v>260</v>
      </c>
      <c r="D2534" s="344">
        <v>4.0000000000000001E-3</v>
      </c>
    </row>
    <row r="2535" spans="1:4">
      <c r="A2535" t="s">
        <v>568</v>
      </c>
      <c r="B2535" t="s">
        <v>477</v>
      </c>
      <c r="C2535" s="343">
        <v>260</v>
      </c>
      <c r="D2535" s="345">
        <v>4.0000000000000001E-3</v>
      </c>
    </row>
    <row r="2536" spans="1:4">
      <c r="A2536" t="s">
        <v>568</v>
      </c>
      <c r="B2536" t="s">
        <v>477</v>
      </c>
      <c r="C2536" s="342">
        <v>260</v>
      </c>
      <c r="D2536" s="344">
        <v>4.0000000000000001E-3</v>
      </c>
    </row>
    <row r="2537" spans="1:4">
      <c r="A2537" t="s">
        <v>568</v>
      </c>
      <c r="B2537" t="s">
        <v>477</v>
      </c>
      <c r="C2537" s="343">
        <v>260</v>
      </c>
      <c r="D2537" s="345">
        <v>4.0000000000000001E-3</v>
      </c>
    </row>
    <row r="2538" spans="1:4">
      <c r="A2538" t="s">
        <v>568</v>
      </c>
      <c r="B2538" t="s">
        <v>477</v>
      </c>
      <c r="C2538" s="342">
        <v>260</v>
      </c>
      <c r="D2538" s="344">
        <v>4.0000000000000001E-3</v>
      </c>
    </row>
    <row r="2539" spans="1:4">
      <c r="A2539" t="s">
        <v>568</v>
      </c>
      <c r="B2539" t="s">
        <v>477</v>
      </c>
      <c r="C2539" s="343">
        <v>260</v>
      </c>
      <c r="D2539" s="345">
        <v>4.0000000000000001E-3</v>
      </c>
    </row>
    <row r="2540" spans="1:4">
      <c r="A2540" t="s">
        <v>568</v>
      </c>
      <c r="B2540" t="s">
        <v>477</v>
      </c>
      <c r="C2540" s="342">
        <v>260</v>
      </c>
      <c r="D2540" s="344">
        <v>4.0000000000000001E-3</v>
      </c>
    </row>
    <row r="2541" spans="1:4">
      <c r="A2541" t="s">
        <v>568</v>
      </c>
      <c r="B2541" t="s">
        <v>477</v>
      </c>
      <c r="C2541" s="343">
        <v>260</v>
      </c>
      <c r="D2541" s="345">
        <v>4.0000000000000001E-3</v>
      </c>
    </row>
    <row r="2542" spans="1:4">
      <c r="A2542" t="s">
        <v>568</v>
      </c>
      <c r="B2542" t="s">
        <v>477</v>
      </c>
      <c r="C2542" s="342">
        <v>260</v>
      </c>
      <c r="D2542" s="344">
        <v>4.0000000000000001E-3</v>
      </c>
    </row>
    <row r="2543" spans="1:4">
      <c r="A2543" t="s">
        <v>568</v>
      </c>
      <c r="B2543" t="s">
        <v>477</v>
      </c>
      <c r="C2543" s="343">
        <v>260</v>
      </c>
      <c r="D2543" s="345">
        <v>4.0000000000000001E-3</v>
      </c>
    </row>
    <row r="2544" spans="1:4">
      <c r="A2544" t="s">
        <v>568</v>
      </c>
      <c r="B2544" t="s">
        <v>477</v>
      </c>
      <c r="C2544" s="342">
        <v>260</v>
      </c>
      <c r="D2544" s="344">
        <v>4.0000000000000001E-3</v>
      </c>
    </row>
    <row r="2545" spans="1:4">
      <c r="A2545" t="s">
        <v>568</v>
      </c>
      <c r="B2545" t="s">
        <v>477</v>
      </c>
      <c r="C2545" s="343">
        <v>260</v>
      </c>
      <c r="D2545" s="345">
        <v>4.0000000000000001E-3</v>
      </c>
    </row>
    <row r="2546" spans="1:4">
      <c r="A2546" t="s">
        <v>568</v>
      </c>
      <c r="B2546" t="s">
        <v>477</v>
      </c>
      <c r="C2546" s="342">
        <v>260</v>
      </c>
      <c r="D2546" s="344">
        <v>4.0000000000000001E-3</v>
      </c>
    </row>
    <row r="2547" spans="1:4">
      <c r="A2547" t="s">
        <v>568</v>
      </c>
      <c r="B2547" t="s">
        <v>477</v>
      </c>
      <c r="C2547" s="343">
        <v>260</v>
      </c>
      <c r="D2547" s="345">
        <v>4.0000000000000001E-3</v>
      </c>
    </row>
    <row r="2548" spans="1:4">
      <c r="A2548" t="s">
        <v>568</v>
      </c>
      <c r="B2548" t="s">
        <v>477</v>
      </c>
      <c r="C2548" s="342">
        <v>260</v>
      </c>
      <c r="D2548" s="344">
        <v>4.0000000000000001E-3</v>
      </c>
    </row>
    <row r="2549" spans="1:4">
      <c r="A2549" t="s">
        <v>568</v>
      </c>
      <c r="B2549" t="s">
        <v>477</v>
      </c>
      <c r="C2549" s="343">
        <v>260</v>
      </c>
      <c r="D2549" s="345">
        <v>4.0000000000000001E-3</v>
      </c>
    </row>
    <row r="2550" spans="1:4">
      <c r="A2550" t="s">
        <v>568</v>
      </c>
      <c r="B2550" t="s">
        <v>477</v>
      </c>
      <c r="C2550" s="342">
        <v>260</v>
      </c>
      <c r="D2550" s="344">
        <v>4.0000000000000001E-3</v>
      </c>
    </row>
    <row r="2551" spans="1:4">
      <c r="A2551" t="s">
        <v>568</v>
      </c>
      <c r="B2551" t="s">
        <v>477</v>
      </c>
      <c r="C2551" s="343">
        <v>260</v>
      </c>
      <c r="D2551" s="345">
        <v>4.0000000000000001E-3</v>
      </c>
    </row>
    <row r="2552" spans="1:4">
      <c r="A2552" t="s">
        <v>568</v>
      </c>
      <c r="B2552" t="s">
        <v>477</v>
      </c>
      <c r="C2552" s="342">
        <v>260</v>
      </c>
      <c r="D2552" s="344">
        <v>4.0000000000000001E-3</v>
      </c>
    </row>
    <row r="2553" spans="1:4">
      <c r="A2553" t="s">
        <v>568</v>
      </c>
      <c r="B2553" t="s">
        <v>477</v>
      </c>
      <c r="C2553" s="343">
        <v>260</v>
      </c>
      <c r="D2553" s="345">
        <v>4.0000000000000001E-3</v>
      </c>
    </row>
    <row r="2554" spans="1:4">
      <c r="A2554" t="s">
        <v>568</v>
      </c>
      <c r="B2554" t="s">
        <v>477</v>
      </c>
      <c r="C2554" s="342">
        <v>260</v>
      </c>
      <c r="D2554" s="344">
        <v>4.0000000000000001E-3</v>
      </c>
    </row>
    <row r="2555" spans="1:4">
      <c r="A2555" t="s">
        <v>568</v>
      </c>
      <c r="B2555" t="s">
        <v>477</v>
      </c>
      <c r="C2555" s="343">
        <v>260</v>
      </c>
      <c r="D2555" s="345">
        <v>4.0000000000000001E-3</v>
      </c>
    </row>
    <row r="2556" spans="1:4">
      <c r="A2556" t="s">
        <v>568</v>
      </c>
      <c r="B2556" t="s">
        <v>477</v>
      </c>
      <c r="C2556" s="342">
        <v>260</v>
      </c>
      <c r="D2556" s="344">
        <v>4.0000000000000001E-3</v>
      </c>
    </row>
    <row r="2557" spans="1:4">
      <c r="A2557" t="s">
        <v>568</v>
      </c>
      <c r="B2557" t="s">
        <v>477</v>
      </c>
      <c r="C2557" s="343">
        <v>260</v>
      </c>
      <c r="D2557" s="345">
        <v>4.0000000000000001E-3</v>
      </c>
    </row>
    <row r="2558" spans="1:4">
      <c r="A2558" t="s">
        <v>568</v>
      </c>
      <c r="B2558" t="s">
        <v>477</v>
      </c>
      <c r="C2558" s="342">
        <v>260</v>
      </c>
      <c r="D2558" s="344">
        <v>4.0000000000000001E-3</v>
      </c>
    </row>
    <row r="2559" spans="1:4">
      <c r="A2559" t="s">
        <v>568</v>
      </c>
      <c r="B2559" t="s">
        <v>477</v>
      </c>
      <c r="C2559" s="343">
        <v>260</v>
      </c>
      <c r="D2559" s="345">
        <v>4.0000000000000001E-3</v>
      </c>
    </row>
    <row r="2560" spans="1:4">
      <c r="A2560" t="s">
        <v>568</v>
      </c>
      <c r="B2560" t="s">
        <v>477</v>
      </c>
      <c r="C2560" s="342">
        <v>260</v>
      </c>
      <c r="D2560" s="344">
        <v>4.0000000000000001E-3</v>
      </c>
    </row>
    <row r="2561" spans="1:4">
      <c r="A2561" t="s">
        <v>568</v>
      </c>
      <c r="B2561" t="s">
        <v>477</v>
      </c>
      <c r="C2561" s="343">
        <v>260</v>
      </c>
      <c r="D2561" s="345">
        <v>4.0000000000000001E-3</v>
      </c>
    </row>
    <row r="2562" spans="1:4">
      <c r="A2562" t="s">
        <v>568</v>
      </c>
      <c r="B2562" t="s">
        <v>477</v>
      </c>
      <c r="C2562" s="342">
        <v>260</v>
      </c>
      <c r="D2562" s="344">
        <v>4.0000000000000001E-3</v>
      </c>
    </row>
    <row r="2563" spans="1:4">
      <c r="A2563" t="s">
        <v>568</v>
      </c>
      <c r="B2563" t="s">
        <v>477</v>
      </c>
      <c r="C2563" s="343">
        <v>260</v>
      </c>
      <c r="D2563" s="345">
        <v>4.0000000000000001E-3</v>
      </c>
    </row>
    <row r="2564" spans="1:4">
      <c r="A2564" t="s">
        <v>568</v>
      </c>
      <c r="B2564" t="s">
        <v>477</v>
      </c>
      <c r="C2564" s="342">
        <v>260</v>
      </c>
      <c r="D2564" s="344">
        <v>4.0000000000000001E-3</v>
      </c>
    </row>
    <row r="2565" spans="1:4">
      <c r="A2565" t="s">
        <v>568</v>
      </c>
      <c r="B2565" t="s">
        <v>477</v>
      </c>
      <c r="C2565" s="343">
        <v>260</v>
      </c>
      <c r="D2565" s="345">
        <v>4.0000000000000001E-3</v>
      </c>
    </row>
    <row r="2566" spans="1:4">
      <c r="A2566" t="s">
        <v>568</v>
      </c>
      <c r="B2566" t="s">
        <v>477</v>
      </c>
      <c r="C2566" s="342">
        <v>260</v>
      </c>
      <c r="D2566" s="344">
        <v>4.0000000000000001E-3</v>
      </c>
    </row>
    <row r="2567" spans="1:4">
      <c r="A2567" t="s">
        <v>568</v>
      </c>
      <c r="B2567" t="s">
        <v>477</v>
      </c>
      <c r="C2567" s="343">
        <v>260</v>
      </c>
      <c r="D2567" s="345">
        <v>4.0000000000000001E-3</v>
      </c>
    </row>
    <row r="2568" spans="1:4">
      <c r="A2568" t="s">
        <v>568</v>
      </c>
      <c r="B2568" t="s">
        <v>477</v>
      </c>
      <c r="C2568" s="342">
        <v>260</v>
      </c>
      <c r="D2568" s="344">
        <v>4.0000000000000001E-3</v>
      </c>
    </row>
    <row r="2569" spans="1:4">
      <c r="A2569" t="s">
        <v>568</v>
      </c>
      <c r="B2569" t="s">
        <v>569</v>
      </c>
      <c r="C2569" s="343">
        <v>150</v>
      </c>
      <c r="D2569" s="345">
        <v>2E-3</v>
      </c>
    </row>
    <row r="2570" spans="1:4">
      <c r="A2570" t="s">
        <v>568</v>
      </c>
      <c r="B2570" t="s">
        <v>569</v>
      </c>
      <c r="C2570" s="342">
        <v>150</v>
      </c>
      <c r="D2570" s="344">
        <v>2E-3</v>
      </c>
    </row>
    <row r="2571" spans="1:4">
      <c r="A2571" t="s">
        <v>568</v>
      </c>
      <c r="B2571" t="s">
        <v>569</v>
      </c>
      <c r="C2571" s="343">
        <v>150</v>
      </c>
      <c r="D2571" s="345">
        <v>2E-3</v>
      </c>
    </row>
    <row r="2572" spans="1:4">
      <c r="A2572" t="s">
        <v>568</v>
      </c>
      <c r="B2572" t="s">
        <v>569</v>
      </c>
      <c r="C2572" s="342">
        <v>150</v>
      </c>
      <c r="D2572" s="344">
        <v>2E-3</v>
      </c>
    </row>
    <row r="2573" spans="1:4">
      <c r="A2573" t="s">
        <v>568</v>
      </c>
      <c r="B2573" t="s">
        <v>569</v>
      </c>
      <c r="C2573" s="343">
        <v>150</v>
      </c>
      <c r="D2573" s="345">
        <v>2E-3</v>
      </c>
    </row>
    <row r="2574" spans="1:4">
      <c r="A2574" t="s">
        <v>568</v>
      </c>
      <c r="B2574" t="s">
        <v>569</v>
      </c>
      <c r="C2574" s="342">
        <v>150</v>
      </c>
      <c r="D2574" s="344">
        <v>2E-3</v>
      </c>
    </row>
    <row r="2575" spans="1:4">
      <c r="A2575" t="s">
        <v>568</v>
      </c>
      <c r="B2575" t="s">
        <v>569</v>
      </c>
      <c r="C2575" s="343">
        <v>150</v>
      </c>
      <c r="D2575" s="345">
        <v>2E-3</v>
      </c>
    </row>
    <row r="2576" spans="1:4">
      <c r="A2576" t="s">
        <v>568</v>
      </c>
      <c r="B2576" t="s">
        <v>569</v>
      </c>
      <c r="C2576" s="342">
        <v>150</v>
      </c>
      <c r="D2576" s="344">
        <v>2E-3</v>
      </c>
    </row>
    <row r="2577" spans="1:4">
      <c r="A2577" t="s">
        <v>568</v>
      </c>
      <c r="B2577" t="s">
        <v>569</v>
      </c>
      <c r="C2577" s="343">
        <v>150</v>
      </c>
      <c r="D2577" s="345">
        <v>2E-3</v>
      </c>
    </row>
    <row r="2578" spans="1:4">
      <c r="A2578" t="s">
        <v>568</v>
      </c>
      <c r="B2578" t="s">
        <v>569</v>
      </c>
      <c r="C2578" s="342">
        <v>150</v>
      </c>
      <c r="D2578" s="344">
        <v>2E-3</v>
      </c>
    </row>
    <row r="2579" spans="1:4">
      <c r="A2579" t="s">
        <v>568</v>
      </c>
      <c r="B2579" t="s">
        <v>569</v>
      </c>
      <c r="C2579" s="343">
        <v>150</v>
      </c>
      <c r="D2579" s="345">
        <v>2E-3</v>
      </c>
    </row>
    <row r="2580" spans="1:4">
      <c r="A2580" t="s">
        <v>568</v>
      </c>
      <c r="B2580" t="s">
        <v>569</v>
      </c>
      <c r="C2580" s="342">
        <v>150</v>
      </c>
      <c r="D2580" s="344">
        <v>2E-3</v>
      </c>
    </row>
    <row r="2581" spans="1:4">
      <c r="A2581" t="s">
        <v>568</v>
      </c>
      <c r="B2581" t="s">
        <v>569</v>
      </c>
      <c r="C2581" s="343">
        <v>150</v>
      </c>
      <c r="D2581" s="345">
        <v>2E-3</v>
      </c>
    </row>
    <row r="2582" spans="1:4">
      <c r="A2582" t="s">
        <v>568</v>
      </c>
      <c r="B2582" t="s">
        <v>569</v>
      </c>
      <c r="C2582" s="342">
        <v>150</v>
      </c>
      <c r="D2582" s="344">
        <v>2E-3</v>
      </c>
    </row>
    <row r="2583" spans="1:4">
      <c r="A2583" t="s">
        <v>568</v>
      </c>
      <c r="B2583" t="s">
        <v>569</v>
      </c>
      <c r="C2583" s="343">
        <v>140</v>
      </c>
      <c r="D2583" s="345">
        <v>1E-3</v>
      </c>
    </row>
    <row r="2584" spans="1:4">
      <c r="A2584" t="s">
        <v>568</v>
      </c>
      <c r="B2584" t="s">
        <v>569</v>
      </c>
      <c r="C2584" s="342">
        <v>140</v>
      </c>
      <c r="D2584" s="344">
        <v>1E-3</v>
      </c>
    </row>
    <row r="2585" spans="1:4">
      <c r="A2585" t="s">
        <v>568</v>
      </c>
      <c r="B2585" t="s">
        <v>569</v>
      </c>
      <c r="C2585" s="343">
        <v>140</v>
      </c>
      <c r="D2585" s="345">
        <v>1E-3</v>
      </c>
    </row>
    <row r="2586" spans="1:4">
      <c r="A2586" t="s">
        <v>568</v>
      </c>
      <c r="B2586" t="s">
        <v>569</v>
      </c>
      <c r="C2586" s="342">
        <v>140</v>
      </c>
      <c r="D2586" s="344">
        <v>1E-3</v>
      </c>
    </row>
    <row r="2587" spans="1:4">
      <c r="A2587" t="s">
        <v>568</v>
      </c>
      <c r="B2587" t="s">
        <v>569</v>
      </c>
      <c r="C2587" s="343">
        <v>140</v>
      </c>
      <c r="D2587" s="345">
        <v>1E-3</v>
      </c>
    </row>
    <row r="2588" spans="1:4">
      <c r="A2588" t="s">
        <v>568</v>
      </c>
      <c r="B2588" t="s">
        <v>569</v>
      </c>
      <c r="C2588" s="342">
        <v>140</v>
      </c>
      <c r="D2588" s="344">
        <v>1E-3</v>
      </c>
    </row>
    <row r="2589" spans="1:4">
      <c r="A2589" t="s">
        <v>568</v>
      </c>
      <c r="B2589" t="s">
        <v>569</v>
      </c>
      <c r="C2589" s="343">
        <v>140</v>
      </c>
      <c r="D2589" s="345">
        <v>1E-3</v>
      </c>
    </row>
    <row r="2590" spans="1:4">
      <c r="A2590" t="s">
        <v>568</v>
      </c>
      <c r="B2590" t="s">
        <v>569</v>
      </c>
      <c r="C2590" s="342">
        <v>140</v>
      </c>
      <c r="D2590" s="344">
        <v>1E-3</v>
      </c>
    </row>
    <row r="2591" spans="1:4">
      <c r="A2591" t="s">
        <v>568</v>
      </c>
      <c r="B2591" t="s">
        <v>569</v>
      </c>
      <c r="C2591" s="343">
        <v>140</v>
      </c>
      <c r="D2591" s="345">
        <v>1E-3</v>
      </c>
    </row>
    <row r="2592" spans="1:4">
      <c r="A2592" t="s">
        <v>568</v>
      </c>
      <c r="B2592" t="s">
        <v>569</v>
      </c>
      <c r="C2592" s="342">
        <v>140</v>
      </c>
      <c r="D2592" s="344">
        <v>1E-3</v>
      </c>
    </row>
    <row r="2593" spans="1:4">
      <c r="A2593" t="s">
        <v>568</v>
      </c>
      <c r="B2593" t="s">
        <v>569</v>
      </c>
      <c r="C2593" s="343">
        <v>140</v>
      </c>
      <c r="D2593" s="345">
        <v>1E-3</v>
      </c>
    </row>
    <row r="2594" spans="1:4">
      <c r="A2594" t="s">
        <v>568</v>
      </c>
      <c r="B2594" t="s">
        <v>569</v>
      </c>
      <c r="C2594" s="342">
        <v>140</v>
      </c>
      <c r="D2594" s="344">
        <v>1E-3</v>
      </c>
    </row>
    <row r="2595" spans="1:4">
      <c r="A2595" t="s">
        <v>568</v>
      </c>
      <c r="B2595" t="s">
        <v>569</v>
      </c>
      <c r="C2595" s="343">
        <v>140</v>
      </c>
      <c r="D2595" s="345">
        <v>1E-3</v>
      </c>
    </row>
    <row r="2596" spans="1:4">
      <c r="A2596" t="s">
        <v>568</v>
      </c>
      <c r="B2596" t="s">
        <v>569</v>
      </c>
      <c r="C2596" s="342">
        <v>140</v>
      </c>
      <c r="D2596" s="344">
        <v>1E-3</v>
      </c>
    </row>
    <row r="2597" spans="1:4">
      <c r="A2597" t="s">
        <v>568</v>
      </c>
      <c r="B2597" t="s">
        <v>569</v>
      </c>
      <c r="C2597" s="343">
        <v>140</v>
      </c>
      <c r="D2597" s="345">
        <v>1E-3</v>
      </c>
    </row>
    <row r="2598" spans="1:4">
      <c r="A2598" t="s">
        <v>568</v>
      </c>
      <c r="B2598" t="s">
        <v>569</v>
      </c>
      <c r="C2598" s="342">
        <v>140</v>
      </c>
      <c r="D2598" s="344">
        <v>1E-3</v>
      </c>
    </row>
    <row r="2599" spans="1:4">
      <c r="A2599" t="s">
        <v>568</v>
      </c>
      <c r="B2599" t="s">
        <v>569</v>
      </c>
      <c r="C2599" s="343">
        <v>140</v>
      </c>
      <c r="D2599" s="345">
        <v>1E-3</v>
      </c>
    </row>
    <row r="2600" spans="1:4">
      <c r="A2600" t="s">
        <v>568</v>
      </c>
      <c r="B2600" t="s">
        <v>569</v>
      </c>
      <c r="C2600" s="342">
        <v>140</v>
      </c>
      <c r="D2600" s="344">
        <v>1E-3</v>
      </c>
    </row>
    <row r="2601" spans="1:4">
      <c r="A2601" t="s">
        <v>568</v>
      </c>
      <c r="B2601" t="s">
        <v>569</v>
      </c>
      <c r="C2601" s="343">
        <v>140</v>
      </c>
      <c r="D2601" s="345">
        <v>1E-3</v>
      </c>
    </row>
    <row r="2602" spans="1:4">
      <c r="A2602" t="s">
        <v>568</v>
      </c>
      <c r="B2602" t="s">
        <v>569</v>
      </c>
      <c r="C2602" s="342">
        <v>140</v>
      </c>
      <c r="D2602" s="344">
        <v>1E-3</v>
      </c>
    </row>
    <row r="2603" spans="1:4">
      <c r="A2603" t="s">
        <v>568</v>
      </c>
      <c r="B2603" t="s">
        <v>569</v>
      </c>
      <c r="C2603" s="343">
        <v>140</v>
      </c>
      <c r="D2603" s="345">
        <v>1E-3</v>
      </c>
    </row>
    <row r="2604" spans="1:4">
      <c r="A2604" t="s">
        <v>568</v>
      </c>
      <c r="B2604" t="s">
        <v>569</v>
      </c>
      <c r="C2604" s="342">
        <v>140</v>
      </c>
      <c r="D2604" s="344">
        <v>1E-3</v>
      </c>
    </row>
    <row r="2605" spans="1:4">
      <c r="A2605" t="s">
        <v>568</v>
      </c>
      <c r="B2605" t="s">
        <v>569</v>
      </c>
      <c r="C2605" s="343">
        <v>140</v>
      </c>
      <c r="D2605" s="345">
        <v>1E-3</v>
      </c>
    </row>
    <row r="2606" spans="1:4">
      <c r="A2606" t="s">
        <v>568</v>
      </c>
      <c r="B2606" t="s">
        <v>569</v>
      </c>
      <c r="C2606" s="342">
        <v>140</v>
      </c>
      <c r="D2606" s="344">
        <v>1E-3</v>
      </c>
    </row>
    <row r="2607" spans="1:4">
      <c r="A2607" t="s">
        <v>568</v>
      </c>
      <c r="B2607" t="s">
        <v>569</v>
      </c>
      <c r="C2607" s="343">
        <v>140</v>
      </c>
      <c r="D2607" s="345">
        <v>1E-3</v>
      </c>
    </row>
    <row r="2608" spans="1:4">
      <c r="A2608" t="s">
        <v>568</v>
      </c>
      <c r="B2608" t="s">
        <v>569</v>
      </c>
      <c r="C2608" s="342">
        <v>140</v>
      </c>
      <c r="D2608" s="344">
        <v>1E-3</v>
      </c>
    </row>
    <row r="2609" spans="1:4">
      <c r="A2609" t="s">
        <v>568</v>
      </c>
      <c r="B2609" t="s">
        <v>569</v>
      </c>
      <c r="C2609" s="343">
        <v>140</v>
      </c>
      <c r="D2609" s="345">
        <v>1E-3</v>
      </c>
    </row>
    <row r="2610" spans="1:4">
      <c r="A2610" t="s">
        <v>568</v>
      </c>
      <c r="B2610" t="s">
        <v>569</v>
      </c>
      <c r="C2610" s="342">
        <v>140</v>
      </c>
      <c r="D2610" s="344">
        <v>1E-3</v>
      </c>
    </row>
    <row r="2611" spans="1:4">
      <c r="A2611" t="s">
        <v>568</v>
      </c>
      <c r="B2611" t="s">
        <v>569</v>
      </c>
      <c r="C2611" s="343">
        <v>140</v>
      </c>
      <c r="D2611" s="345">
        <v>1E-3</v>
      </c>
    </row>
    <row r="2612" spans="1:4">
      <c r="A2612" t="s">
        <v>568</v>
      </c>
      <c r="B2612" t="s">
        <v>569</v>
      </c>
      <c r="C2612" s="342">
        <v>140</v>
      </c>
      <c r="D2612" s="344">
        <v>1E-3</v>
      </c>
    </row>
    <row r="2613" spans="1:4">
      <c r="A2613" t="s">
        <v>568</v>
      </c>
      <c r="B2613" t="s">
        <v>569</v>
      </c>
      <c r="C2613" s="343">
        <v>140</v>
      </c>
      <c r="D2613" s="345">
        <v>1E-3</v>
      </c>
    </row>
    <row r="2614" spans="1:4">
      <c r="A2614" t="s">
        <v>568</v>
      </c>
      <c r="B2614" t="s">
        <v>569</v>
      </c>
      <c r="C2614" s="342">
        <v>140</v>
      </c>
      <c r="D2614" s="344">
        <v>1E-3</v>
      </c>
    </row>
    <row r="2615" spans="1:4">
      <c r="A2615" t="s">
        <v>568</v>
      </c>
      <c r="B2615" t="s">
        <v>569</v>
      </c>
      <c r="C2615" s="343">
        <v>140</v>
      </c>
      <c r="D2615" s="345">
        <v>1E-3</v>
      </c>
    </row>
    <row r="2616" spans="1:4">
      <c r="A2616" t="s">
        <v>568</v>
      </c>
      <c r="B2616" t="s">
        <v>569</v>
      </c>
      <c r="C2616" s="342">
        <v>140</v>
      </c>
      <c r="D2616" s="344">
        <v>1E-3</v>
      </c>
    </row>
    <row r="2617" spans="1:4">
      <c r="A2617" t="s">
        <v>568</v>
      </c>
      <c r="B2617" t="s">
        <v>569</v>
      </c>
      <c r="C2617" s="343">
        <v>140</v>
      </c>
      <c r="D2617" s="345">
        <v>1E-3</v>
      </c>
    </row>
    <row r="2618" spans="1:4">
      <c r="A2618" t="s">
        <v>568</v>
      </c>
      <c r="B2618" t="s">
        <v>569</v>
      </c>
      <c r="C2618" s="342">
        <v>140</v>
      </c>
      <c r="D2618" s="344">
        <v>1E-3</v>
      </c>
    </row>
    <row r="2619" spans="1:4">
      <c r="A2619" t="s">
        <v>568</v>
      </c>
      <c r="B2619" t="s">
        <v>569</v>
      </c>
      <c r="C2619" s="343">
        <v>140</v>
      </c>
      <c r="D2619" s="345">
        <v>1E-3</v>
      </c>
    </row>
    <row r="2620" spans="1:4">
      <c r="A2620" t="s">
        <v>568</v>
      </c>
      <c r="B2620" t="s">
        <v>569</v>
      </c>
      <c r="C2620" s="342">
        <v>140</v>
      </c>
      <c r="D2620" s="344">
        <v>1E-3</v>
      </c>
    </row>
    <row r="2621" spans="1:4">
      <c r="A2621" t="s">
        <v>568</v>
      </c>
      <c r="B2621" t="s">
        <v>569</v>
      </c>
      <c r="C2621" s="343">
        <v>140</v>
      </c>
      <c r="D2621" s="345">
        <v>1E-3</v>
      </c>
    </row>
    <row r="2622" spans="1:4">
      <c r="A2622" t="s">
        <v>568</v>
      </c>
      <c r="B2622" t="s">
        <v>569</v>
      </c>
      <c r="C2622" s="342">
        <v>140</v>
      </c>
      <c r="D2622" s="344">
        <v>1E-3</v>
      </c>
    </row>
    <row r="2623" spans="1:4">
      <c r="A2623" t="s">
        <v>568</v>
      </c>
      <c r="B2623" t="s">
        <v>569</v>
      </c>
      <c r="C2623" s="343">
        <v>140</v>
      </c>
      <c r="D2623" s="345">
        <v>1E-3</v>
      </c>
    </row>
    <row r="2624" spans="1:4">
      <c r="A2624" t="s">
        <v>568</v>
      </c>
      <c r="B2624" t="s">
        <v>569</v>
      </c>
      <c r="C2624" s="342">
        <v>140</v>
      </c>
      <c r="D2624" s="344">
        <v>1E-3</v>
      </c>
    </row>
    <row r="2625" spans="1:4">
      <c r="A2625" t="s">
        <v>568</v>
      </c>
      <c r="B2625" t="s">
        <v>569</v>
      </c>
      <c r="C2625" s="343">
        <v>140</v>
      </c>
      <c r="D2625" s="345">
        <v>1E-3</v>
      </c>
    </row>
    <row r="2626" spans="1:4">
      <c r="A2626" t="s">
        <v>568</v>
      </c>
      <c r="B2626" t="s">
        <v>569</v>
      </c>
      <c r="C2626" s="342">
        <v>140</v>
      </c>
      <c r="D2626" s="344">
        <v>1E-3</v>
      </c>
    </row>
    <row r="2627" spans="1:4">
      <c r="A2627" t="s">
        <v>568</v>
      </c>
      <c r="B2627" t="s">
        <v>569</v>
      </c>
      <c r="C2627" s="343">
        <v>140</v>
      </c>
      <c r="D2627" s="345">
        <v>1E-3</v>
      </c>
    </row>
    <row r="2628" spans="1:4">
      <c r="A2628" t="s">
        <v>568</v>
      </c>
      <c r="B2628" t="s">
        <v>569</v>
      </c>
      <c r="C2628" s="342">
        <v>140</v>
      </c>
      <c r="D2628" s="344">
        <v>1E-3</v>
      </c>
    </row>
    <row r="2629" spans="1:4">
      <c r="A2629" t="s">
        <v>568</v>
      </c>
      <c r="B2629" t="s">
        <v>569</v>
      </c>
      <c r="C2629" s="343">
        <v>140</v>
      </c>
      <c r="D2629" s="345">
        <v>1E-3</v>
      </c>
    </row>
    <row r="2630" spans="1:4">
      <c r="A2630" t="s">
        <v>568</v>
      </c>
      <c r="B2630" t="s">
        <v>569</v>
      </c>
      <c r="C2630" s="342">
        <v>140</v>
      </c>
      <c r="D2630" s="344">
        <v>1E-3</v>
      </c>
    </row>
    <row r="2631" spans="1:4">
      <c r="A2631" t="s">
        <v>568</v>
      </c>
      <c r="B2631" t="s">
        <v>569</v>
      </c>
      <c r="C2631" s="343">
        <v>140</v>
      </c>
      <c r="D2631" s="345">
        <v>1E-3</v>
      </c>
    </row>
    <row r="2632" spans="1:4">
      <c r="A2632" t="s">
        <v>568</v>
      </c>
      <c r="B2632" t="s">
        <v>569</v>
      </c>
      <c r="C2632" s="342">
        <v>140</v>
      </c>
      <c r="D2632" s="344">
        <v>1E-3</v>
      </c>
    </row>
    <row r="2633" spans="1:4">
      <c r="A2633" t="s">
        <v>568</v>
      </c>
      <c r="B2633" t="s">
        <v>569</v>
      </c>
      <c r="C2633" s="343">
        <v>140</v>
      </c>
      <c r="D2633" s="345">
        <v>1E-3</v>
      </c>
    </row>
    <row r="2634" spans="1:4">
      <c r="A2634" t="s">
        <v>568</v>
      </c>
      <c r="B2634" t="s">
        <v>569</v>
      </c>
      <c r="C2634" s="342">
        <v>140</v>
      </c>
      <c r="D2634" s="344">
        <v>1E-3</v>
      </c>
    </row>
    <row r="2635" spans="1:4">
      <c r="A2635" t="s">
        <v>568</v>
      </c>
      <c r="B2635" t="s">
        <v>569</v>
      </c>
      <c r="C2635" s="343">
        <v>140</v>
      </c>
      <c r="D2635" s="345">
        <v>1E-3</v>
      </c>
    </row>
    <row r="2636" spans="1:4">
      <c r="A2636" t="s">
        <v>568</v>
      </c>
      <c r="B2636" t="s">
        <v>569</v>
      </c>
      <c r="C2636" s="342">
        <v>140</v>
      </c>
      <c r="D2636" s="344">
        <v>1E-3</v>
      </c>
    </row>
    <row r="2637" spans="1:4">
      <c r="A2637" t="s">
        <v>568</v>
      </c>
      <c r="B2637" t="s">
        <v>569</v>
      </c>
      <c r="C2637" s="343">
        <v>140</v>
      </c>
      <c r="D2637" s="345">
        <v>1E-3</v>
      </c>
    </row>
    <row r="2638" spans="1:4">
      <c r="A2638" t="s">
        <v>568</v>
      </c>
      <c r="B2638" t="s">
        <v>569</v>
      </c>
      <c r="C2638" s="342">
        <v>140</v>
      </c>
      <c r="D2638" s="344">
        <v>1E-3</v>
      </c>
    </row>
    <row r="2639" spans="1:4">
      <c r="A2639" t="s">
        <v>568</v>
      </c>
      <c r="B2639" t="s">
        <v>569</v>
      </c>
      <c r="C2639" s="343">
        <v>140</v>
      </c>
      <c r="D2639" s="345">
        <v>1E-3</v>
      </c>
    </row>
    <row r="2640" spans="1:4">
      <c r="A2640" t="s">
        <v>568</v>
      </c>
      <c r="B2640" t="s">
        <v>569</v>
      </c>
      <c r="C2640" s="342">
        <v>140</v>
      </c>
      <c r="D2640" s="344">
        <v>1E-3</v>
      </c>
    </row>
    <row r="2641" spans="1:4">
      <c r="A2641" t="s">
        <v>568</v>
      </c>
      <c r="B2641" t="s">
        <v>569</v>
      </c>
      <c r="C2641" s="343">
        <v>140</v>
      </c>
      <c r="D2641" s="345">
        <v>1E-3</v>
      </c>
    </row>
    <row r="2642" spans="1:4">
      <c r="A2642" t="s">
        <v>568</v>
      </c>
      <c r="B2642" t="s">
        <v>569</v>
      </c>
      <c r="C2642" s="342">
        <v>140</v>
      </c>
      <c r="D2642" s="344">
        <v>1E-3</v>
      </c>
    </row>
    <row r="2643" spans="1:4">
      <c r="A2643" t="s">
        <v>568</v>
      </c>
      <c r="B2643" t="s">
        <v>569</v>
      </c>
      <c r="C2643" s="343">
        <v>140</v>
      </c>
      <c r="D2643" s="345">
        <v>1E-3</v>
      </c>
    </row>
    <row r="2644" spans="1:4">
      <c r="A2644" t="s">
        <v>568</v>
      </c>
      <c r="B2644" t="s">
        <v>569</v>
      </c>
      <c r="C2644" s="342">
        <v>140</v>
      </c>
      <c r="D2644" s="344">
        <v>1E-3</v>
      </c>
    </row>
    <row r="2645" spans="1:4">
      <c r="A2645" t="s">
        <v>568</v>
      </c>
      <c r="B2645" t="s">
        <v>569</v>
      </c>
      <c r="C2645" s="343">
        <v>140</v>
      </c>
      <c r="D2645" s="345">
        <v>1E-3</v>
      </c>
    </row>
    <row r="2646" spans="1:4">
      <c r="A2646" t="s">
        <v>568</v>
      </c>
      <c r="B2646" t="s">
        <v>569</v>
      </c>
      <c r="C2646" s="342">
        <v>140</v>
      </c>
      <c r="D2646" s="344">
        <v>1E-3</v>
      </c>
    </row>
    <row r="2647" spans="1:4">
      <c r="A2647" t="s">
        <v>568</v>
      </c>
      <c r="B2647" t="s">
        <v>569</v>
      </c>
      <c r="C2647" s="343">
        <v>140</v>
      </c>
      <c r="D2647" s="345">
        <v>1E-3</v>
      </c>
    </row>
    <row r="2648" spans="1:4">
      <c r="A2648" t="s">
        <v>568</v>
      </c>
      <c r="B2648" t="s">
        <v>569</v>
      </c>
      <c r="C2648" s="342">
        <v>140</v>
      </c>
      <c r="D2648" s="344">
        <v>1E-3</v>
      </c>
    </row>
    <row r="2649" spans="1:4">
      <c r="A2649" t="s">
        <v>568</v>
      </c>
      <c r="B2649" t="s">
        <v>569</v>
      </c>
      <c r="C2649" s="343">
        <v>140</v>
      </c>
      <c r="D2649" s="345">
        <v>1E-3</v>
      </c>
    </row>
    <row r="2650" spans="1:4">
      <c r="A2650" t="s">
        <v>568</v>
      </c>
      <c r="B2650" t="s">
        <v>569</v>
      </c>
      <c r="C2650" s="342">
        <v>140</v>
      </c>
      <c r="D2650" s="344">
        <v>1E-3</v>
      </c>
    </row>
    <row r="2651" spans="1:4">
      <c r="A2651" t="s">
        <v>568</v>
      </c>
      <c r="B2651" t="s">
        <v>508</v>
      </c>
      <c r="C2651" s="343">
        <v>235</v>
      </c>
      <c r="D2651" s="345">
        <v>4.0000000000000001E-3</v>
      </c>
    </row>
    <row r="2652" spans="1:4">
      <c r="A2652" t="s">
        <v>568</v>
      </c>
      <c r="B2652" t="s">
        <v>508</v>
      </c>
      <c r="C2652" s="342">
        <v>235</v>
      </c>
      <c r="D2652" s="344">
        <v>4.0000000000000001E-3</v>
      </c>
    </row>
    <row r="2653" spans="1:4">
      <c r="A2653" t="s">
        <v>568</v>
      </c>
      <c r="B2653" t="s">
        <v>508</v>
      </c>
      <c r="C2653" s="343">
        <v>235</v>
      </c>
      <c r="D2653" s="345">
        <v>4.0000000000000001E-3</v>
      </c>
    </row>
    <row r="2654" spans="1:4">
      <c r="A2654" t="s">
        <v>568</v>
      </c>
      <c r="B2654" t="s">
        <v>508</v>
      </c>
      <c r="C2654" s="342">
        <v>235</v>
      </c>
      <c r="D2654" s="344">
        <v>4.0000000000000001E-3</v>
      </c>
    </row>
    <row r="2655" spans="1:4">
      <c r="A2655" t="s">
        <v>568</v>
      </c>
      <c r="B2655" t="s">
        <v>508</v>
      </c>
      <c r="C2655" s="343">
        <v>235</v>
      </c>
      <c r="D2655" s="345">
        <v>4.0000000000000001E-3</v>
      </c>
    </row>
    <row r="2656" spans="1:4">
      <c r="A2656" t="s">
        <v>568</v>
      </c>
      <c r="B2656" t="s">
        <v>508</v>
      </c>
      <c r="C2656" s="342">
        <v>235</v>
      </c>
      <c r="D2656" s="344">
        <v>4.0000000000000001E-3</v>
      </c>
    </row>
    <row r="2657" spans="1:4">
      <c r="A2657" t="s">
        <v>568</v>
      </c>
      <c r="B2657" t="s">
        <v>508</v>
      </c>
      <c r="C2657" s="343">
        <v>235</v>
      </c>
      <c r="D2657" s="345">
        <v>4.0000000000000001E-3</v>
      </c>
    </row>
    <row r="2658" spans="1:4">
      <c r="A2658" t="s">
        <v>568</v>
      </c>
      <c r="B2658" t="s">
        <v>508</v>
      </c>
      <c r="C2658" s="342">
        <v>235</v>
      </c>
      <c r="D2658" s="344">
        <v>4.0000000000000001E-3</v>
      </c>
    </row>
    <row r="2659" spans="1:4">
      <c r="A2659" t="s">
        <v>568</v>
      </c>
      <c r="B2659" t="s">
        <v>508</v>
      </c>
      <c r="C2659" s="343">
        <v>235</v>
      </c>
      <c r="D2659" s="345">
        <v>4.0000000000000001E-3</v>
      </c>
    </row>
    <row r="2660" spans="1:4">
      <c r="A2660" t="s">
        <v>568</v>
      </c>
      <c r="B2660" t="s">
        <v>508</v>
      </c>
      <c r="C2660" s="342">
        <v>235</v>
      </c>
      <c r="D2660" s="344">
        <v>4.0000000000000001E-3</v>
      </c>
    </row>
    <row r="2661" spans="1:4">
      <c r="A2661" t="s">
        <v>568</v>
      </c>
      <c r="B2661" t="s">
        <v>508</v>
      </c>
      <c r="C2661" s="343">
        <v>235</v>
      </c>
      <c r="D2661" s="345">
        <v>4.0000000000000001E-3</v>
      </c>
    </row>
    <row r="2662" spans="1:4">
      <c r="A2662" t="s">
        <v>568</v>
      </c>
      <c r="B2662" t="s">
        <v>508</v>
      </c>
      <c r="C2662" s="342">
        <v>235</v>
      </c>
      <c r="D2662" s="344">
        <v>4.0000000000000001E-3</v>
      </c>
    </row>
    <row r="2663" spans="1:4">
      <c r="A2663" t="s">
        <v>568</v>
      </c>
      <c r="B2663" t="s">
        <v>508</v>
      </c>
      <c r="C2663" s="343">
        <v>235</v>
      </c>
      <c r="D2663" s="345">
        <v>4.0000000000000001E-3</v>
      </c>
    </row>
    <row r="2664" spans="1:4">
      <c r="A2664" t="s">
        <v>568</v>
      </c>
      <c r="B2664" t="s">
        <v>508</v>
      </c>
      <c r="C2664" s="342">
        <v>235</v>
      </c>
      <c r="D2664" s="344">
        <v>4.0000000000000001E-3</v>
      </c>
    </row>
    <row r="2665" spans="1:4">
      <c r="A2665" t="s">
        <v>568</v>
      </c>
      <c r="B2665" t="s">
        <v>508</v>
      </c>
      <c r="C2665" s="343">
        <v>235</v>
      </c>
      <c r="D2665" s="345">
        <v>4.0000000000000001E-3</v>
      </c>
    </row>
    <row r="2666" spans="1:4">
      <c r="A2666" t="s">
        <v>568</v>
      </c>
      <c r="B2666" t="s">
        <v>508</v>
      </c>
      <c r="C2666" s="342">
        <v>235</v>
      </c>
      <c r="D2666" s="344">
        <v>4.0000000000000001E-3</v>
      </c>
    </row>
    <row r="2667" spans="1:4">
      <c r="A2667" t="s">
        <v>568</v>
      </c>
      <c r="B2667" t="s">
        <v>570</v>
      </c>
      <c r="C2667" s="343">
        <v>110</v>
      </c>
      <c r="D2667" s="345">
        <v>0</v>
      </c>
    </row>
    <row r="2668" spans="1:4">
      <c r="A2668" t="s">
        <v>568</v>
      </c>
      <c r="B2668" t="s">
        <v>570</v>
      </c>
      <c r="C2668" s="342">
        <v>110</v>
      </c>
      <c r="D2668" s="344">
        <v>0</v>
      </c>
    </row>
    <row r="2669" spans="1:4">
      <c r="A2669" t="s">
        <v>568</v>
      </c>
      <c r="B2669" t="s">
        <v>570</v>
      </c>
      <c r="C2669" s="343">
        <v>110</v>
      </c>
      <c r="D2669" s="345">
        <v>0</v>
      </c>
    </row>
    <row r="2670" spans="1:4">
      <c r="A2670" t="s">
        <v>568</v>
      </c>
      <c r="B2670" t="s">
        <v>570</v>
      </c>
      <c r="C2670" s="342">
        <v>110</v>
      </c>
      <c r="D2670" s="344">
        <v>0</v>
      </c>
    </row>
    <row r="2671" spans="1:4">
      <c r="A2671" t="s">
        <v>568</v>
      </c>
      <c r="B2671" t="s">
        <v>570</v>
      </c>
      <c r="C2671" s="343">
        <v>110</v>
      </c>
      <c r="D2671" s="345">
        <v>0</v>
      </c>
    </row>
    <row r="2672" spans="1:4">
      <c r="A2672" t="s">
        <v>568</v>
      </c>
      <c r="B2672" t="s">
        <v>570</v>
      </c>
      <c r="C2672" s="342">
        <v>110</v>
      </c>
      <c r="D2672" s="344">
        <v>0</v>
      </c>
    </row>
    <row r="2673" spans="1:4">
      <c r="A2673" t="s">
        <v>568</v>
      </c>
      <c r="B2673" t="s">
        <v>570</v>
      </c>
      <c r="C2673" s="343">
        <v>110</v>
      </c>
      <c r="D2673" s="345">
        <v>0</v>
      </c>
    </row>
    <row r="2674" spans="1:4">
      <c r="A2674" t="s">
        <v>568</v>
      </c>
      <c r="B2674" t="s">
        <v>570</v>
      </c>
      <c r="C2674" s="342">
        <v>110</v>
      </c>
      <c r="D2674" s="344">
        <v>0</v>
      </c>
    </row>
    <row r="2675" spans="1:4">
      <c r="A2675" t="s">
        <v>568</v>
      </c>
      <c r="B2675" t="s">
        <v>570</v>
      </c>
      <c r="C2675" s="343">
        <v>110</v>
      </c>
      <c r="D2675" s="345">
        <v>0</v>
      </c>
    </row>
    <row r="2676" spans="1:4">
      <c r="A2676" t="s">
        <v>568</v>
      </c>
      <c r="B2676" t="s">
        <v>570</v>
      </c>
      <c r="C2676" s="342">
        <v>110</v>
      </c>
      <c r="D2676" s="344">
        <v>0</v>
      </c>
    </row>
    <row r="2677" spans="1:4">
      <c r="A2677" t="s">
        <v>568</v>
      </c>
      <c r="B2677" t="s">
        <v>570</v>
      </c>
      <c r="C2677" s="343">
        <v>110</v>
      </c>
      <c r="D2677" s="345">
        <v>0</v>
      </c>
    </row>
    <row r="2678" spans="1:4">
      <c r="A2678" t="s">
        <v>568</v>
      </c>
      <c r="B2678" t="s">
        <v>570</v>
      </c>
      <c r="C2678" s="342">
        <v>110</v>
      </c>
      <c r="D2678" s="344">
        <v>0</v>
      </c>
    </row>
    <row r="2679" spans="1:4">
      <c r="A2679" t="s">
        <v>568</v>
      </c>
      <c r="B2679" t="s">
        <v>570</v>
      </c>
      <c r="C2679" s="343">
        <v>110</v>
      </c>
      <c r="D2679" s="345">
        <v>0</v>
      </c>
    </row>
    <row r="2680" spans="1:4">
      <c r="A2680" t="s">
        <v>568</v>
      </c>
      <c r="B2680" t="s">
        <v>570</v>
      </c>
      <c r="C2680" s="342">
        <v>110</v>
      </c>
      <c r="D2680" s="344">
        <v>0</v>
      </c>
    </row>
    <row r="2681" spans="1:4">
      <c r="A2681" t="s">
        <v>568</v>
      </c>
      <c r="B2681" t="s">
        <v>570</v>
      </c>
      <c r="C2681" s="343">
        <v>110</v>
      </c>
      <c r="D2681" s="345">
        <v>0</v>
      </c>
    </row>
    <row r="2682" spans="1:4">
      <c r="A2682" t="s">
        <v>568</v>
      </c>
      <c r="B2682" t="s">
        <v>570</v>
      </c>
      <c r="C2682" s="342">
        <v>110</v>
      </c>
      <c r="D2682" s="344">
        <v>0</v>
      </c>
    </row>
    <row r="2683" spans="1:4">
      <c r="A2683" t="s">
        <v>568</v>
      </c>
      <c r="B2683" t="s">
        <v>570</v>
      </c>
      <c r="C2683" s="343">
        <v>110</v>
      </c>
      <c r="D2683" s="345">
        <v>0</v>
      </c>
    </row>
    <row r="2684" spans="1:4">
      <c r="A2684" t="s">
        <v>568</v>
      </c>
      <c r="B2684" t="s">
        <v>570</v>
      </c>
      <c r="C2684" s="342">
        <v>110</v>
      </c>
      <c r="D2684" s="344">
        <v>0</v>
      </c>
    </row>
    <row r="2685" spans="1:4">
      <c r="A2685" t="s">
        <v>568</v>
      </c>
      <c r="B2685" t="s">
        <v>477</v>
      </c>
      <c r="C2685" s="343">
        <v>215</v>
      </c>
      <c r="D2685" s="345">
        <v>4.0000000000000001E-3</v>
      </c>
    </row>
    <row r="2686" spans="1:4">
      <c r="A2686" t="s">
        <v>568</v>
      </c>
      <c r="B2686" t="s">
        <v>477</v>
      </c>
      <c r="C2686" s="342">
        <v>215</v>
      </c>
      <c r="D2686" s="344">
        <v>4.0000000000000001E-3</v>
      </c>
    </row>
    <row r="2687" spans="1:4">
      <c r="A2687" t="s">
        <v>568</v>
      </c>
      <c r="B2687" t="s">
        <v>477</v>
      </c>
      <c r="C2687" s="343">
        <v>260</v>
      </c>
      <c r="D2687" s="345">
        <v>4.0000000000000001E-3</v>
      </c>
    </row>
    <row r="2688" spans="1:4">
      <c r="A2688" t="s">
        <v>568</v>
      </c>
      <c r="B2688" t="s">
        <v>477</v>
      </c>
      <c r="C2688" s="342">
        <v>260</v>
      </c>
      <c r="D2688" s="344">
        <v>4.0000000000000001E-3</v>
      </c>
    </row>
    <row r="2689" spans="1:4">
      <c r="A2689" t="s">
        <v>568</v>
      </c>
      <c r="B2689" t="s">
        <v>477</v>
      </c>
      <c r="C2689" s="343">
        <v>260</v>
      </c>
      <c r="D2689" s="345">
        <v>4.0000000000000001E-3</v>
      </c>
    </row>
    <row r="2690" spans="1:4">
      <c r="A2690" t="s">
        <v>568</v>
      </c>
      <c r="B2690" t="s">
        <v>477</v>
      </c>
      <c r="C2690" s="342">
        <v>260</v>
      </c>
      <c r="D2690" s="344">
        <v>4.0000000000000001E-3</v>
      </c>
    </row>
    <row r="2691" spans="1:4">
      <c r="A2691" t="s">
        <v>568</v>
      </c>
      <c r="B2691" t="s">
        <v>572</v>
      </c>
      <c r="C2691" s="343">
        <v>240</v>
      </c>
      <c r="D2691" s="345">
        <v>2E-3</v>
      </c>
    </row>
    <row r="2692" spans="1:4">
      <c r="A2692" t="s">
        <v>568</v>
      </c>
      <c r="B2692" t="s">
        <v>572</v>
      </c>
      <c r="C2692" s="342">
        <v>240</v>
      </c>
      <c r="D2692" s="344">
        <v>2E-3</v>
      </c>
    </row>
    <row r="2693" spans="1:4">
      <c r="A2693" t="s">
        <v>568</v>
      </c>
      <c r="B2693" t="s">
        <v>572</v>
      </c>
      <c r="C2693" s="343">
        <v>240</v>
      </c>
      <c r="D2693" s="345">
        <v>2E-3</v>
      </c>
    </row>
    <row r="2694" spans="1:4">
      <c r="A2694" t="s">
        <v>568</v>
      </c>
      <c r="B2694" t="s">
        <v>572</v>
      </c>
      <c r="C2694" s="346">
        <v>240</v>
      </c>
      <c r="D2694" s="351">
        <v>2E-3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F8F21-9AC4-4444-829E-48B98FBB19B2}">
  <sheetPr codeName="Sheet7"/>
  <dimension ref="A1:T152"/>
  <sheetViews>
    <sheetView workbookViewId="0">
      <selection sqref="A1:N1"/>
    </sheetView>
  </sheetViews>
  <sheetFormatPr defaultRowHeight="14.25"/>
  <cols>
    <col min="1" max="1" width="13.5703125" customWidth="1"/>
    <col min="3" max="3" width="19.7109375" customWidth="1"/>
    <col min="18" max="18" width="10.5703125" customWidth="1"/>
  </cols>
  <sheetData>
    <row r="1" spans="1:20" ht="26.45" thickBot="1">
      <c r="A1" s="490" t="s">
        <v>574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2"/>
    </row>
    <row r="2" spans="1:20" ht="28.5">
      <c r="A2" s="56" t="s">
        <v>575</v>
      </c>
      <c r="B2" s="47" t="s">
        <v>576</v>
      </c>
      <c r="C2" s="57" t="s">
        <v>577</v>
      </c>
      <c r="D2" s="48" t="s">
        <v>578</v>
      </c>
      <c r="E2" s="48" t="s">
        <v>186</v>
      </c>
      <c r="F2" s="48" t="s">
        <v>579</v>
      </c>
      <c r="G2" s="48" t="s">
        <v>580</v>
      </c>
      <c r="H2" s="48" t="s">
        <v>581</v>
      </c>
      <c r="I2" s="48" t="s">
        <v>582</v>
      </c>
      <c r="J2" s="48" t="s">
        <v>583</v>
      </c>
      <c r="K2" s="48" t="s">
        <v>584</v>
      </c>
      <c r="L2" s="48" t="s">
        <v>585</v>
      </c>
      <c r="M2" s="48" t="s">
        <v>586</v>
      </c>
      <c r="N2" s="49" t="s">
        <v>587</v>
      </c>
      <c r="P2" s="59" t="s">
        <v>588</v>
      </c>
      <c r="Q2" s="59" t="s">
        <v>589</v>
      </c>
      <c r="R2" s="59" t="s">
        <v>590</v>
      </c>
      <c r="S2" s="60" t="s">
        <v>591</v>
      </c>
      <c r="T2" s="61">
        <v>1.2</v>
      </c>
    </row>
    <row r="3" spans="1:20">
      <c r="A3" s="56">
        <v>1004</v>
      </c>
      <c r="B3" s="47"/>
      <c r="C3" s="57" t="s">
        <v>543</v>
      </c>
      <c r="D3" s="48" t="s">
        <v>592</v>
      </c>
      <c r="E3" s="48">
        <v>12</v>
      </c>
      <c r="F3" s="48">
        <v>100</v>
      </c>
      <c r="G3" s="48">
        <v>10</v>
      </c>
      <c r="H3" s="48">
        <v>100</v>
      </c>
      <c r="I3" s="48">
        <v>0.8</v>
      </c>
      <c r="J3" s="48">
        <v>9.4</v>
      </c>
      <c r="K3" s="48">
        <v>0.8</v>
      </c>
      <c r="L3" s="48">
        <v>9.4</v>
      </c>
      <c r="M3" s="48">
        <v>0.28999999999999998</v>
      </c>
      <c r="N3" s="50">
        <v>750</v>
      </c>
      <c r="P3" s="23">
        <f t="shared" ref="P3:P37" si="0">(F3*H3)*2/1000000*E3</f>
        <v>0.24</v>
      </c>
      <c r="Q3">
        <v>16</v>
      </c>
      <c r="R3">
        <f>Q3*P3*$T$2</f>
        <v>4.6079999999999997</v>
      </c>
    </row>
    <row r="4" spans="1:20">
      <c r="A4" s="56">
        <v>1020</v>
      </c>
      <c r="B4" s="47"/>
      <c r="C4" s="57" t="s">
        <v>593</v>
      </c>
      <c r="D4" s="48" t="s">
        <v>592</v>
      </c>
      <c r="E4" s="48">
        <v>1</v>
      </c>
      <c r="F4" s="48">
        <v>100</v>
      </c>
      <c r="G4" s="48">
        <v>10</v>
      </c>
      <c r="H4" s="48">
        <v>145.5</v>
      </c>
      <c r="I4" s="48">
        <v>1.1000000000000001</v>
      </c>
      <c r="J4" s="48">
        <v>1.1000000000000001</v>
      </c>
      <c r="K4" s="48">
        <v>1.1000000000000001</v>
      </c>
      <c r="L4" s="48">
        <v>1.1000000000000001</v>
      </c>
      <c r="M4" s="48">
        <v>0.03</v>
      </c>
      <c r="N4" s="50">
        <v>750</v>
      </c>
      <c r="P4" s="23">
        <f t="shared" si="0"/>
        <v>2.9100000000000001E-2</v>
      </c>
      <c r="Q4">
        <v>16</v>
      </c>
      <c r="R4">
        <f t="shared" ref="R4:R67" si="1">Q4*P4*$T$2</f>
        <v>0.55871999999999999</v>
      </c>
    </row>
    <row r="5" spans="1:20">
      <c r="A5" s="56">
        <v>1020</v>
      </c>
      <c r="B5" s="47"/>
      <c r="C5" s="57" t="s">
        <v>593</v>
      </c>
      <c r="D5" s="48" t="s">
        <v>592</v>
      </c>
      <c r="E5" s="48">
        <v>2</v>
      </c>
      <c r="F5" s="48">
        <v>100</v>
      </c>
      <c r="G5" s="48">
        <v>10</v>
      </c>
      <c r="H5" s="48">
        <v>145.5</v>
      </c>
      <c r="I5" s="48">
        <v>1.1000000000000001</v>
      </c>
      <c r="J5" s="48">
        <v>2.2999999999999998</v>
      </c>
      <c r="K5" s="48">
        <v>1.1000000000000001</v>
      </c>
      <c r="L5" s="48">
        <v>2.2999999999999998</v>
      </c>
      <c r="M5" s="48">
        <v>7.0000000000000007E-2</v>
      </c>
      <c r="N5" s="50">
        <v>750</v>
      </c>
      <c r="P5" s="23">
        <f t="shared" si="0"/>
        <v>5.8200000000000002E-2</v>
      </c>
      <c r="Q5">
        <v>16</v>
      </c>
      <c r="R5">
        <f t="shared" si="1"/>
        <v>1.11744</v>
      </c>
    </row>
    <row r="6" spans="1:20">
      <c r="A6" s="56">
        <v>1020</v>
      </c>
      <c r="B6" s="47"/>
      <c r="C6" s="57" t="s">
        <v>593</v>
      </c>
      <c r="D6" s="48" t="s">
        <v>592</v>
      </c>
      <c r="E6" s="48">
        <v>3</v>
      </c>
      <c r="F6" s="48">
        <v>100</v>
      </c>
      <c r="G6" s="48">
        <v>10</v>
      </c>
      <c r="H6" s="48">
        <v>145.5</v>
      </c>
      <c r="I6" s="48">
        <v>1.1000000000000001</v>
      </c>
      <c r="J6" s="48">
        <v>3.4</v>
      </c>
      <c r="K6" s="48">
        <v>1.1000000000000001</v>
      </c>
      <c r="L6" s="48">
        <v>3.4</v>
      </c>
      <c r="M6" s="48">
        <v>0.1</v>
      </c>
      <c r="N6" s="50">
        <v>750</v>
      </c>
      <c r="P6" s="23">
        <f t="shared" si="0"/>
        <v>8.7300000000000003E-2</v>
      </c>
      <c r="Q6">
        <v>16</v>
      </c>
      <c r="R6">
        <f t="shared" si="1"/>
        <v>1.6761600000000001</v>
      </c>
    </row>
    <row r="7" spans="1:20">
      <c r="A7" s="56">
        <v>1020</v>
      </c>
      <c r="B7" s="47"/>
      <c r="C7" s="57" t="s">
        <v>594</v>
      </c>
      <c r="D7" s="48" t="s">
        <v>592</v>
      </c>
      <c r="E7" s="48">
        <v>1</v>
      </c>
      <c r="F7" s="48">
        <v>100</v>
      </c>
      <c r="G7" s="48">
        <v>10</v>
      </c>
      <c r="H7" s="48">
        <v>145.5</v>
      </c>
      <c r="I7" s="48">
        <v>1.1000000000000001</v>
      </c>
      <c r="J7" s="48">
        <v>1.1000000000000001</v>
      </c>
      <c r="K7" s="48">
        <v>1.1000000000000001</v>
      </c>
      <c r="L7" s="48">
        <v>1.1000000000000001</v>
      </c>
      <c r="M7" s="48">
        <v>0.03</v>
      </c>
      <c r="N7" s="50">
        <v>750</v>
      </c>
      <c r="P7" s="23">
        <f t="shared" si="0"/>
        <v>2.9100000000000001E-2</v>
      </c>
      <c r="Q7">
        <v>16</v>
      </c>
      <c r="R7">
        <f t="shared" si="1"/>
        <v>0.55871999999999999</v>
      </c>
    </row>
    <row r="8" spans="1:20">
      <c r="A8" s="56">
        <v>1020</v>
      </c>
      <c r="B8" s="47"/>
      <c r="C8" s="57" t="s">
        <v>595</v>
      </c>
      <c r="D8" s="48" t="s">
        <v>592</v>
      </c>
      <c r="E8" s="48">
        <v>1</v>
      </c>
      <c r="F8" s="48">
        <v>100</v>
      </c>
      <c r="G8" s="48">
        <v>10</v>
      </c>
      <c r="H8" s="48">
        <v>145.5</v>
      </c>
      <c r="I8" s="48">
        <v>1.1000000000000001</v>
      </c>
      <c r="J8" s="48">
        <v>1.1000000000000001</v>
      </c>
      <c r="K8" s="48">
        <v>1.1000000000000001</v>
      </c>
      <c r="L8" s="48">
        <v>1.1000000000000001</v>
      </c>
      <c r="M8" s="48">
        <v>0.03</v>
      </c>
      <c r="N8" s="50">
        <v>750</v>
      </c>
      <c r="P8" s="23">
        <f t="shared" si="0"/>
        <v>2.9100000000000001E-2</v>
      </c>
      <c r="Q8">
        <v>16</v>
      </c>
      <c r="R8">
        <f t="shared" si="1"/>
        <v>0.55871999999999999</v>
      </c>
    </row>
    <row r="9" spans="1:20">
      <c r="A9" s="56">
        <v>1020</v>
      </c>
      <c r="B9" s="47"/>
      <c r="C9" s="57" t="s">
        <v>596</v>
      </c>
      <c r="D9" s="48" t="s">
        <v>592</v>
      </c>
      <c r="E9" s="48">
        <v>2</v>
      </c>
      <c r="F9" s="48">
        <v>100</v>
      </c>
      <c r="G9" s="48">
        <v>10</v>
      </c>
      <c r="H9" s="48">
        <v>145.69999999999999</v>
      </c>
      <c r="I9" s="48">
        <v>1.1000000000000001</v>
      </c>
      <c r="J9" s="48">
        <v>2.2999999999999998</v>
      </c>
      <c r="K9" s="48">
        <v>1.1000000000000001</v>
      </c>
      <c r="L9" s="48">
        <v>2.2999999999999998</v>
      </c>
      <c r="M9" s="48">
        <v>7.0000000000000007E-2</v>
      </c>
      <c r="N9" s="50">
        <v>750</v>
      </c>
      <c r="P9" s="23">
        <f t="shared" si="0"/>
        <v>5.8279999999999992E-2</v>
      </c>
      <c r="Q9">
        <v>16</v>
      </c>
      <c r="R9">
        <f t="shared" si="1"/>
        <v>1.1189759999999997</v>
      </c>
    </row>
    <row r="10" spans="1:20">
      <c r="A10" s="56">
        <v>1020</v>
      </c>
      <c r="B10" s="47"/>
      <c r="C10" s="57" t="s">
        <v>596</v>
      </c>
      <c r="D10" s="48" t="s">
        <v>592</v>
      </c>
      <c r="E10" s="48">
        <v>2</v>
      </c>
      <c r="F10" s="48">
        <v>100</v>
      </c>
      <c r="G10" s="48">
        <v>10</v>
      </c>
      <c r="H10" s="48">
        <v>145.69999999999999</v>
      </c>
      <c r="I10" s="48">
        <v>1.1000000000000001</v>
      </c>
      <c r="J10" s="48">
        <v>2.2999999999999998</v>
      </c>
      <c r="K10" s="48">
        <v>1.1000000000000001</v>
      </c>
      <c r="L10" s="48">
        <v>2.2999999999999998</v>
      </c>
      <c r="M10" s="48">
        <v>7.0000000000000007E-2</v>
      </c>
      <c r="N10" s="50">
        <v>750</v>
      </c>
      <c r="P10" s="23">
        <f t="shared" si="0"/>
        <v>5.8279999999999992E-2</v>
      </c>
      <c r="Q10">
        <v>16</v>
      </c>
      <c r="R10">
        <f t="shared" si="1"/>
        <v>1.1189759999999997</v>
      </c>
    </row>
    <row r="11" spans="1:20">
      <c r="A11" s="56" t="s">
        <v>597</v>
      </c>
      <c r="B11" s="47"/>
      <c r="C11" s="57" t="s">
        <v>598</v>
      </c>
      <c r="D11" s="48" t="s">
        <v>107</v>
      </c>
      <c r="E11" s="48">
        <v>2</v>
      </c>
      <c r="F11" s="48">
        <v>300</v>
      </c>
      <c r="G11" s="48">
        <v>15</v>
      </c>
      <c r="H11" s="48">
        <v>160</v>
      </c>
      <c r="I11" s="48">
        <v>5.4</v>
      </c>
      <c r="J11" s="48">
        <v>10.7</v>
      </c>
      <c r="K11" s="48">
        <v>5.7</v>
      </c>
      <c r="L11" s="48">
        <v>11.3</v>
      </c>
      <c r="M11" s="48">
        <v>0.1</v>
      </c>
      <c r="N11" s="50">
        <v>750</v>
      </c>
      <c r="P11" s="23">
        <f t="shared" si="0"/>
        <v>0.192</v>
      </c>
      <c r="Q11">
        <v>24</v>
      </c>
      <c r="R11">
        <f t="shared" si="1"/>
        <v>5.5296000000000003</v>
      </c>
    </row>
    <row r="12" spans="1:20">
      <c r="A12" s="56" t="s">
        <v>599</v>
      </c>
      <c r="B12" s="47"/>
      <c r="C12" s="57" t="s">
        <v>600</v>
      </c>
      <c r="D12" s="48" t="s">
        <v>107</v>
      </c>
      <c r="E12" s="48">
        <v>2</v>
      </c>
      <c r="F12" s="48">
        <v>300</v>
      </c>
      <c r="G12" s="48">
        <v>10</v>
      </c>
      <c r="H12" s="48">
        <v>160</v>
      </c>
      <c r="I12" s="48">
        <v>3.6</v>
      </c>
      <c r="J12" s="48">
        <v>7.2</v>
      </c>
      <c r="K12" s="48">
        <v>3.8</v>
      </c>
      <c r="L12" s="48">
        <v>7.5</v>
      </c>
      <c r="M12" s="48">
        <v>0.1</v>
      </c>
      <c r="N12" s="50">
        <v>750</v>
      </c>
      <c r="P12" s="23">
        <f t="shared" si="0"/>
        <v>0.192</v>
      </c>
      <c r="Q12">
        <v>16</v>
      </c>
      <c r="R12">
        <f t="shared" si="1"/>
        <v>3.6863999999999999</v>
      </c>
    </row>
    <row r="13" spans="1:20">
      <c r="A13" s="56" t="s">
        <v>601</v>
      </c>
      <c r="B13" s="47"/>
      <c r="C13" s="57" t="s">
        <v>600</v>
      </c>
      <c r="D13" s="48" t="s">
        <v>107</v>
      </c>
      <c r="E13" s="48">
        <v>12</v>
      </c>
      <c r="F13" s="48">
        <v>280</v>
      </c>
      <c r="G13" s="48">
        <v>10</v>
      </c>
      <c r="H13" s="48">
        <v>160</v>
      </c>
      <c r="I13" s="48">
        <v>3.3</v>
      </c>
      <c r="J13" s="48">
        <v>40</v>
      </c>
      <c r="K13" s="48">
        <v>3.5</v>
      </c>
      <c r="L13" s="48">
        <v>42.2</v>
      </c>
      <c r="M13" s="48">
        <v>0.54</v>
      </c>
      <c r="N13" s="50">
        <v>750</v>
      </c>
      <c r="P13" s="23">
        <f t="shared" si="0"/>
        <v>1.0751999999999999</v>
      </c>
      <c r="Q13">
        <v>16</v>
      </c>
      <c r="R13">
        <f t="shared" si="1"/>
        <v>20.643839999999997</v>
      </c>
    </row>
    <row r="14" spans="1:20">
      <c r="A14" s="56" t="s">
        <v>602</v>
      </c>
      <c r="B14" s="47"/>
      <c r="C14" s="57" t="s">
        <v>600</v>
      </c>
      <c r="D14" s="48" t="s">
        <v>107</v>
      </c>
      <c r="E14" s="48">
        <v>1</v>
      </c>
      <c r="F14" s="48">
        <v>300</v>
      </c>
      <c r="G14" s="48">
        <v>10</v>
      </c>
      <c r="H14" s="48">
        <v>160</v>
      </c>
      <c r="I14" s="48">
        <v>3.6</v>
      </c>
      <c r="J14" s="48">
        <v>3.6</v>
      </c>
      <c r="K14" s="48">
        <v>3.8</v>
      </c>
      <c r="L14" s="48">
        <v>3.8</v>
      </c>
      <c r="M14" s="48">
        <v>0.05</v>
      </c>
      <c r="N14" s="50">
        <v>750</v>
      </c>
      <c r="P14" s="23">
        <f t="shared" si="0"/>
        <v>9.6000000000000002E-2</v>
      </c>
      <c r="Q14">
        <v>16</v>
      </c>
      <c r="R14">
        <f t="shared" si="1"/>
        <v>1.8431999999999999</v>
      </c>
    </row>
    <row r="15" spans="1:20">
      <c r="A15" s="56" t="s">
        <v>603</v>
      </c>
      <c r="B15" s="47"/>
      <c r="C15" s="57" t="s">
        <v>598</v>
      </c>
      <c r="D15" s="48" t="s">
        <v>107</v>
      </c>
      <c r="E15" s="48">
        <v>2</v>
      </c>
      <c r="F15" s="48">
        <v>300</v>
      </c>
      <c r="G15" s="48">
        <v>15</v>
      </c>
      <c r="H15" s="48">
        <v>160</v>
      </c>
      <c r="I15" s="48">
        <v>5.4</v>
      </c>
      <c r="J15" s="48">
        <v>10.7</v>
      </c>
      <c r="K15" s="48">
        <v>5.7</v>
      </c>
      <c r="L15" s="48">
        <v>11.3</v>
      </c>
      <c r="M15" s="48">
        <v>0.1</v>
      </c>
      <c r="N15" s="50">
        <v>750</v>
      </c>
      <c r="P15" s="23">
        <f t="shared" si="0"/>
        <v>0.192</v>
      </c>
      <c r="Q15">
        <v>24</v>
      </c>
      <c r="R15">
        <f t="shared" si="1"/>
        <v>5.5296000000000003</v>
      </c>
    </row>
    <row r="16" spans="1:20">
      <c r="A16" s="56" t="s">
        <v>604</v>
      </c>
      <c r="B16" s="47"/>
      <c r="C16" s="57" t="s">
        <v>600</v>
      </c>
      <c r="D16" s="48" t="s">
        <v>107</v>
      </c>
      <c r="E16" s="48">
        <v>2</v>
      </c>
      <c r="F16" s="48">
        <v>300</v>
      </c>
      <c r="G16" s="48">
        <v>10</v>
      </c>
      <c r="H16" s="48">
        <v>160</v>
      </c>
      <c r="I16" s="48">
        <v>3.6</v>
      </c>
      <c r="J16" s="48">
        <v>7.2</v>
      </c>
      <c r="K16" s="48">
        <v>3.8</v>
      </c>
      <c r="L16" s="48">
        <v>7.5</v>
      </c>
      <c r="M16" s="48">
        <v>0.1</v>
      </c>
      <c r="N16" s="50">
        <v>750</v>
      </c>
      <c r="P16" s="23">
        <f t="shared" si="0"/>
        <v>0.192</v>
      </c>
      <c r="Q16">
        <v>16</v>
      </c>
      <c r="R16">
        <f t="shared" si="1"/>
        <v>3.6863999999999999</v>
      </c>
    </row>
    <row r="17" spans="1:18">
      <c r="A17" s="56" t="s">
        <v>605</v>
      </c>
      <c r="B17" s="47"/>
      <c r="C17" s="57" t="s">
        <v>600</v>
      </c>
      <c r="D17" s="48" t="s">
        <v>107</v>
      </c>
      <c r="E17" s="48">
        <v>4</v>
      </c>
      <c r="F17" s="48">
        <v>300</v>
      </c>
      <c r="G17" s="48">
        <v>10</v>
      </c>
      <c r="H17" s="48">
        <v>160</v>
      </c>
      <c r="I17" s="48">
        <v>3.8</v>
      </c>
      <c r="J17" s="48">
        <v>15.1</v>
      </c>
      <c r="K17" s="48">
        <v>3.8</v>
      </c>
      <c r="L17" s="48">
        <v>15.1</v>
      </c>
      <c r="M17" s="48">
        <v>0.19</v>
      </c>
      <c r="N17" s="50">
        <v>750</v>
      </c>
      <c r="P17" s="23">
        <f t="shared" si="0"/>
        <v>0.38400000000000001</v>
      </c>
      <c r="Q17">
        <v>16</v>
      </c>
      <c r="R17">
        <f t="shared" si="1"/>
        <v>7.3727999999999998</v>
      </c>
    </row>
    <row r="18" spans="1:18">
      <c r="A18" s="56" t="s">
        <v>606</v>
      </c>
      <c r="B18" s="47"/>
      <c r="C18" s="57" t="s">
        <v>600</v>
      </c>
      <c r="D18" s="48" t="s">
        <v>107</v>
      </c>
      <c r="E18" s="48">
        <v>1</v>
      </c>
      <c r="F18" s="48">
        <v>300</v>
      </c>
      <c r="G18" s="48">
        <v>10</v>
      </c>
      <c r="H18" s="48">
        <v>160</v>
      </c>
      <c r="I18" s="48">
        <v>3.6</v>
      </c>
      <c r="J18" s="48">
        <v>3.6</v>
      </c>
      <c r="K18" s="48">
        <v>3.8</v>
      </c>
      <c r="L18" s="48">
        <v>3.8</v>
      </c>
      <c r="M18" s="48">
        <v>0.05</v>
      </c>
      <c r="N18" s="50">
        <v>750</v>
      </c>
      <c r="P18" s="23">
        <f t="shared" si="0"/>
        <v>9.6000000000000002E-2</v>
      </c>
      <c r="Q18">
        <v>16</v>
      </c>
      <c r="R18">
        <f t="shared" si="1"/>
        <v>1.8431999999999999</v>
      </c>
    </row>
    <row r="19" spans="1:18">
      <c r="A19" s="56" t="s">
        <v>607</v>
      </c>
      <c r="B19" s="47"/>
      <c r="C19" s="57" t="s">
        <v>600</v>
      </c>
      <c r="D19" s="48" t="s">
        <v>107</v>
      </c>
      <c r="E19" s="48">
        <v>4</v>
      </c>
      <c r="F19" s="48">
        <v>300</v>
      </c>
      <c r="G19" s="48">
        <v>10</v>
      </c>
      <c r="H19" s="48">
        <v>160</v>
      </c>
      <c r="I19" s="48">
        <v>3.6</v>
      </c>
      <c r="J19" s="48">
        <v>14.3</v>
      </c>
      <c r="K19" s="48">
        <v>3.8</v>
      </c>
      <c r="L19" s="48">
        <v>15.1</v>
      </c>
      <c r="M19" s="48">
        <v>0.19</v>
      </c>
      <c r="N19" s="50">
        <v>750</v>
      </c>
      <c r="P19" s="23">
        <f t="shared" si="0"/>
        <v>0.38400000000000001</v>
      </c>
      <c r="Q19">
        <v>16</v>
      </c>
      <c r="R19">
        <f t="shared" si="1"/>
        <v>7.3727999999999998</v>
      </c>
    </row>
    <row r="20" spans="1:18">
      <c r="A20" s="56" t="s">
        <v>608</v>
      </c>
      <c r="B20" s="47"/>
      <c r="C20" s="57" t="s">
        <v>600</v>
      </c>
      <c r="D20" s="48" t="s">
        <v>107</v>
      </c>
      <c r="E20" s="48">
        <v>2</v>
      </c>
      <c r="F20" s="48">
        <v>300</v>
      </c>
      <c r="G20" s="48">
        <v>10</v>
      </c>
      <c r="H20" s="48">
        <v>160</v>
      </c>
      <c r="I20" s="48">
        <v>3.6</v>
      </c>
      <c r="J20" s="48">
        <v>7.2</v>
      </c>
      <c r="K20" s="48">
        <v>3.8</v>
      </c>
      <c r="L20" s="48">
        <v>7.5</v>
      </c>
      <c r="M20" s="48">
        <v>0.1</v>
      </c>
      <c r="N20" s="50">
        <v>750</v>
      </c>
      <c r="P20" s="23">
        <f t="shared" si="0"/>
        <v>0.192</v>
      </c>
      <c r="Q20">
        <v>16</v>
      </c>
      <c r="R20">
        <f t="shared" si="1"/>
        <v>3.6863999999999999</v>
      </c>
    </row>
    <row r="21" spans="1:18">
      <c r="A21" s="56" t="s">
        <v>609</v>
      </c>
      <c r="B21" s="47"/>
      <c r="C21" s="57" t="s">
        <v>600</v>
      </c>
      <c r="D21" s="48" t="s">
        <v>107</v>
      </c>
      <c r="E21" s="48">
        <v>2</v>
      </c>
      <c r="F21" s="48">
        <v>300</v>
      </c>
      <c r="G21" s="48">
        <v>10</v>
      </c>
      <c r="H21" s="48">
        <v>160</v>
      </c>
      <c r="I21" s="48">
        <v>3.6</v>
      </c>
      <c r="J21" s="48">
        <v>7.2</v>
      </c>
      <c r="K21" s="48">
        <v>3.8</v>
      </c>
      <c r="L21" s="48">
        <v>7.5</v>
      </c>
      <c r="M21" s="48">
        <v>0.1</v>
      </c>
      <c r="N21" s="50">
        <v>750</v>
      </c>
      <c r="P21" s="23">
        <f t="shared" si="0"/>
        <v>0.192</v>
      </c>
      <c r="Q21">
        <v>16</v>
      </c>
      <c r="R21">
        <f t="shared" si="1"/>
        <v>3.6863999999999999</v>
      </c>
    </row>
    <row r="22" spans="1:18">
      <c r="A22" s="56" t="s">
        <v>610</v>
      </c>
      <c r="B22" s="47"/>
      <c r="C22" s="57" t="s">
        <v>598</v>
      </c>
      <c r="D22" s="48" t="s">
        <v>107</v>
      </c>
      <c r="E22" s="48">
        <v>2</v>
      </c>
      <c r="F22" s="48">
        <v>300</v>
      </c>
      <c r="G22" s="48">
        <v>15</v>
      </c>
      <c r="H22" s="48">
        <v>160</v>
      </c>
      <c r="I22" s="48">
        <v>5.3</v>
      </c>
      <c r="J22" s="48">
        <v>10.7</v>
      </c>
      <c r="K22" s="48">
        <v>5.7</v>
      </c>
      <c r="L22" s="48">
        <v>11.3</v>
      </c>
      <c r="M22" s="48">
        <v>0.1</v>
      </c>
      <c r="N22" s="50">
        <v>750</v>
      </c>
      <c r="P22" s="23">
        <f t="shared" si="0"/>
        <v>0.192</v>
      </c>
      <c r="Q22">
        <v>24</v>
      </c>
      <c r="R22">
        <f t="shared" si="1"/>
        <v>5.5296000000000003</v>
      </c>
    </row>
    <row r="23" spans="1:18">
      <c r="A23" s="56" t="s">
        <v>611</v>
      </c>
      <c r="B23" s="47"/>
      <c r="C23" s="57" t="s">
        <v>543</v>
      </c>
      <c r="D23" s="48" t="s">
        <v>592</v>
      </c>
      <c r="E23" s="48">
        <v>12</v>
      </c>
      <c r="F23" s="48">
        <v>100</v>
      </c>
      <c r="G23" s="48">
        <v>10</v>
      </c>
      <c r="H23" s="48">
        <v>100</v>
      </c>
      <c r="I23" s="48">
        <v>0.8</v>
      </c>
      <c r="J23" s="48">
        <v>9.4</v>
      </c>
      <c r="K23" s="48">
        <v>0.8</v>
      </c>
      <c r="L23" s="48">
        <v>9.4</v>
      </c>
      <c r="M23" s="48">
        <v>0.28999999999999998</v>
      </c>
      <c r="N23" s="50">
        <v>750</v>
      </c>
      <c r="P23" s="23">
        <f t="shared" si="0"/>
        <v>0.24</v>
      </c>
      <c r="Q23">
        <v>16</v>
      </c>
      <c r="R23">
        <f t="shared" si="1"/>
        <v>4.6079999999999997</v>
      </c>
    </row>
    <row r="24" spans="1:18">
      <c r="A24" s="56" t="s">
        <v>611</v>
      </c>
      <c r="B24" s="47"/>
      <c r="C24" s="57" t="s">
        <v>543</v>
      </c>
      <c r="D24" s="48" t="s">
        <v>592</v>
      </c>
      <c r="E24" s="48">
        <v>48</v>
      </c>
      <c r="F24" s="48">
        <v>100</v>
      </c>
      <c r="G24" s="48">
        <v>10</v>
      </c>
      <c r="H24" s="48">
        <v>100</v>
      </c>
      <c r="I24" s="48">
        <v>0.8</v>
      </c>
      <c r="J24" s="48">
        <v>37.700000000000003</v>
      </c>
      <c r="K24" s="48">
        <v>0.8</v>
      </c>
      <c r="L24" s="48">
        <v>37.700000000000003</v>
      </c>
      <c r="M24" s="48">
        <v>1.1499999999999999</v>
      </c>
      <c r="N24" s="50">
        <v>750</v>
      </c>
      <c r="P24" s="23">
        <f t="shared" si="0"/>
        <v>0.96</v>
      </c>
      <c r="Q24">
        <v>16</v>
      </c>
      <c r="R24">
        <f t="shared" si="1"/>
        <v>18.431999999999999</v>
      </c>
    </row>
    <row r="25" spans="1:18">
      <c r="A25" s="56" t="s">
        <v>612</v>
      </c>
      <c r="B25" s="47"/>
      <c r="C25" s="57" t="s">
        <v>543</v>
      </c>
      <c r="D25" s="48" t="s">
        <v>592</v>
      </c>
      <c r="E25" s="48">
        <v>48</v>
      </c>
      <c r="F25" s="48">
        <v>100</v>
      </c>
      <c r="G25" s="48">
        <v>10</v>
      </c>
      <c r="H25" s="48">
        <v>100</v>
      </c>
      <c r="I25" s="48">
        <v>0.8</v>
      </c>
      <c r="J25" s="48">
        <v>37.700000000000003</v>
      </c>
      <c r="K25" s="48">
        <v>0.8</v>
      </c>
      <c r="L25" s="48">
        <v>37.700000000000003</v>
      </c>
      <c r="M25" s="48">
        <v>1.1499999999999999</v>
      </c>
      <c r="N25" s="50">
        <v>750</v>
      </c>
      <c r="P25" s="23">
        <f t="shared" si="0"/>
        <v>0.96</v>
      </c>
      <c r="Q25">
        <v>16</v>
      </c>
      <c r="R25">
        <f t="shared" si="1"/>
        <v>18.431999999999999</v>
      </c>
    </row>
    <row r="26" spans="1:18">
      <c r="A26" s="56" t="s">
        <v>613</v>
      </c>
      <c r="B26" s="47"/>
      <c r="C26" s="57" t="s">
        <v>614</v>
      </c>
      <c r="D26" s="48" t="s">
        <v>592</v>
      </c>
      <c r="E26" s="48">
        <v>24</v>
      </c>
      <c r="F26" s="48">
        <v>94</v>
      </c>
      <c r="G26" s="48">
        <v>5</v>
      </c>
      <c r="H26" s="48">
        <v>194</v>
      </c>
      <c r="I26" s="48">
        <v>0.7</v>
      </c>
      <c r="J26" s="48">
        <v>17.2</v>
      </c>
      <c r="K26" s="48">
        <v>0.7</v>
      </c>
      <c r="L26" s="48">
        <v>17.2</v>
      </c>
      <c r="M26" s="48">
        <v>0.94</v>
      </c>
      <c r="N26" s="50">
        <v>750</v>
      </c>
      <c r="P26" s="23">
        <f t="shared" si="0"/>
        <v>0.87532799999999988</v>
      </c>
      <c r="Q26">
        <v>22.1</v>
      </c>
      <c r="R26">
        <f t="shared" si="1"/>
        <v>23.213698559999997</v>
      </c>
    </row>
    <row r="27" spans="1:18">
      <c r="A27" s="56" t="s">
        <v>615</v>
      </c>
      <c r="B27" s="47"/>
      <c r="C27" s="57" t="s">
        <v>543</v>
      </c>
      <c r="D27" s="48" t="s">
        <v>592</v>
      </c>
      <c r="E27" s="48">
        <v>1</v>
      </c>
      <c r="F27" s="48">
        <v>100</v>
      </c>
      <c r="G27" s="48">
        <v>10</v>
      </c>
      <c r="H27" s="48">
        <v>100</v>
      </c>
      <c r="I27" s="48">
        <v>0.8</v>
      </c>
      <c r="J27" s="48">
        <v>0.8</v>
      </c>
      <c r="K27" s="48">
        <v>0.8</v>
      </c>
      <c r="L27" s="48">
        <v>0.8</v>
      </c>
      <c r="M27" s="48">
        <v>0.02</v>
      </c>
      <c r="N27" s="50">
        <v>750</v>
      </c>
      <c r="P27" s="23">
        <f t="shared" si="0"/>
        <v>0.02</v>
      </c>
      <c r="Q27">
        <v>16</v>
      </c>
      <c r="R27">
        <f t="shared" si="1"/>
        <v>0.38400000000000001</v>
      </c>
    </row>
    <row r="28" spans="1:18">
      <c r="A28" s="56" t="s">
        <v>616</v>
      </c>
      <c r="B28" s="47"/>
      <c r="C28" s="57" t="s">
        <v>617</v>
      </c>
      <c r="D28" s="48" t="s">
        <v>592</v>
      </c>
      <c r="E28" s="48">
        <v>1</v>
      </c>
      <c r="F28" s="48">
        <v>100</v>
      </c>
      <c r="G28" s="48">
        <v>10</v>
      </c>
      <c r="H28" s="48">
        <v>136.80000000000001</v>
      </c>
      <c r="I28" s="48">
        <v>1.1000000000000001</v>
      </c>
      <c r="J28" s="48">
        <v>1.1000000000000001</v>
      </c>
      <c r="K28" s="48">
        <v>1.1000000000000001</v>
      </c>
      <c r="L28" s="48">
        <v>1.1000000000000001</v>
      </c>
      <c r="M28" s="48">
        <v>0.03</v>
      </c>
      <c r="N28" s="50">
        <v>750</v>
      </c>
      <c r="P28" s="23">
        <f t="shared" si="0"/>
        <v>2.7360000000000002E-2</v>
      </c>
      <c r="Q28">
        <v>16</v>
      </c>
      <c r="R28">
        <f t="shared" si="1"/>
        <v>0.525312</v>
      </c>
    </row>
    <row r="29" spans="1:18">
      <c r="A29" s="56" t="s">
        <v>616</v>
      </c>
      <c r="B29" s="47"/>
      <c r="C29" s="57" t="s">
        <v>618</v>
      </c>
      <c r="D29" s="48" t="s">
        <v>592</v>
      </c>
      <c r="E29" s="48">
        <v>1</v>
      </c>
      <c r="F29" s="48">
        <v>100</v>
      </c>
      <c r="G29" s="48">
        <v>10</v>
      </c>
      <c r="H29" s="48">
        <v>136.80000000000001</v>
      </c>
      <c r="I29" s="48">
        <v>1.1000000000000001</v>
      </c>
      <c r="J29" s="48">
        <v>1.1000000000000001</v>
      </c>
      <c r="K29" s="48">
        <v>1.1000000000000001</v>
      </c>
      <c r="L29" s="48">
        <v>1.1000000000000001</v>
      </c>
      <c r="M29" s="48">
        <v>0.03</v>
      </c>
      <c r="N29" s="50">
        <v>750</v>
      </c>
      <c r="P29" s="23">
        <f t="shared" si="0"/>
        <v>2.7360000000000002E-2</v>
      </c>
      <c r="Q29">
        <v>16</v>
      </c>
      <c r="R29">
        <f t="shared" si="1"/>
        <v>0.525312</v>
      </c>
    </row>
    <row r="30" spans="1:18">
      <c r="A30" s="56" t="s">
        <v>616</v>
      </c>
      <c r="B30" s="47"/>
      <c r="C30" s="57" t="s">
        <v>619</v>
      </c>
      <c r="D30" s="48" t="s">
        <v>592</v>
      </c>
      <c r="E30" s="48">
        <v>1</v>
      </c>
      <c r="F30" s="48">
        <v>100</v>
      </c>
      <c r="G30" s="48">
        <v>10</v>
      </c>
      <c r="H30" s="48">
        <v>137.4</v>
      </c>
      <c r="I30" s="48">
        <v>1.1000000000000001</v>
      </c>
      <c r="J30" s="48">
        <v>1.1000000000000001</v>
      </c>
      <c r="K30" s="48">
        <v>1.1000000000000001</v>
      </c>
      <c r="L30" s="48">
        <v>1.1000000000000001</v>
      </c>
      <c r="M30" s="48">
        <v>0.03</v>
      </c>
      <c r="N30" s="50">
        <v>750</v>
      </c>
      <c r="P30" s="23">
        <f t="shared" si="0"/>
        <v>2.7480000000000001E-2</v>
      </c>
      <c r="Q30">
        <v>16</v>
      </c>
      <c r="R30">
        <f t="shared" si="1"/>
        <v>0.52761599999999997</v>
      </c>
    </row>
    <row r="31" spans="1:18">
      <c r="A31" s="56" t="s">
        <v>616</v>
      </c>
      <c r="B31" s="47"/>
      <c r="C31" s="57" t="s">
        <v>619</v>
      </c>
      <c r="D31" s="48" t="s">
        <v>592</v>
      </c>
      <c r="E31" s="48">
        <v>1</v>
      </c>
      <c r="F31" s="48">
        <v>100</v>
      </c>
      <c r="G31" s="48">
        <v>10</v>
      </c>
      <c r="H31" s="48">
        <v>137.4</v>
      </c>
      <c r="I31" s="48">
        <v>1.1000000000000001</v>
      </c>
      <c r="J31" s="48">
        <v>1.1000000000000001</v>
      </c>
      <c r="K31" s="48">
        <v>1.1000000000000001</v>
      </c>
      <c r="L31" s="48">
        <v>1.1000000000000001</v>
      </c>
      <c r="M31" s="48">
        <v>0.03</v>
      </c>
      <c r="N31" s="50">
        <v>750</v>
      </c>
      <c r="P31" s="23">
        <f t="shared" si="0"/>
        <v>2.7480000000000001E-2</v>
      </c>
      <c r="Q31">
        <v>16</v>
      </c>
      <c r="R31">
        <f t="shared" si="1"/>
        <v>0.52761599999999997</v>
      </c>
    </row>
    <row r="32" spans="1:18">
      <c r="A32" s="56" t="s">
        <v>616</v>
      </c>
      <c r="B32" s="47"/>
      <c r="C32" s="57" t="s">
        <v>620</v>
      </c>
      <c r="D32" s="48" t="s">
        <v>592</v>
      </c>
      <c r="E32" s="48">
        <v>1</v>
      </c>
      <c r="F32" s="48">
        <v>100</v>
      </c>
      <c r="G32" s="48">
        <v>10</v>
      </c>
      <c r="H32" s="48">
        <v>137.5</v>
      </c>
      <c r="I32" s="48">
        <v>1.1000000000000001</v>
      </c>
      <c r="J32" s="48">
        <v>1.1000000000000001</v>
      </c>
      <c r="K32" s="48">
        <v>1.1000000000000001</v>
      </c>
      <c r="L32" s="48">
        <v>1.1000000000000001</v>
      </c>
      <c r="M32" s="48">
        <v>0.03</v>
      </c>
      <c r="N32" s="50">
        <v>750</v>
      </c>
      <c r="P32" s="23">
        <f t="shared" si="0"/>
        <v>2.75E-2</v>
      </c>
      <c r="Q32">
        <v>16</v>
      </c>
      <c r="R32">
        <f t="shared" si="1"/>
        <v>0.52800000000000002</v>
      </c>
    </row>
    <row r="33" spans="1:18">
      <c r="A33" s="56" t="s">
        <v>616</v>
      </c>
      <c r="B33" s="47"/>
      <c r="C33" s="57" t="s">
        <v>621</v>
      </c>
      <c r="D33" s="48" t="s">
        <v>592</v>
      </c>
      <c r="E33" s="48">
        <v>1</v>
      </c>
      <c r="F33" s="48">
        <v>100</v>
      </c>
      <c r="G33" s="48">
        <v>10</v>
      </c>
      <c r="H33" s="48">
        <v>137.6</v>
      </c>
      <c r="I33" s="48">
        <v>1.1000000000000001</v>
      </c>
      <c r="J33" s="48">
        <v>1.1000000000000001</v>
      </c>
      <c r="K33" s="48">
        <v>1.1000000000000001</v>
      </c>
      <c r="L33" s="48">
        <v>1.1000000000000001</v>
      </c>
      <c r="M33" s="48">
        <v>0.03</v>
      </c>
      <c r="N33" s="50">
        <v>750</v>
      </c>
      <c r="P33" s="23">
        <f t="shared" si="0"/>
        <v>2.7519999999999999E-2</v>
      </c>
      <c r="Q33">
        <v>16</v>
      </c>
      <c r="R33">
        <f t="shared" si="1"/>
        <v>0.52838399999999996</v>
      </c>
    </row>
    <row r="34" spans="1:18">
      <c r="A34" s="56" t="s">
        <v>616</v>
      </c>
      <c r="B34" s="47"/>
      <c r="C34" s="57" t="s">
        <v>622</v>
      </c>
      <c r="D34" s="48" t="s">
        <v>592</v>
      </c>
      <c r="E34" s="48">
        <v>1</v>
      </c>
      <c r="F34" s="48">
        <v>100</v>
      </c>
      <c r="G34" s="48">
        <v>10</v>
      </c>
      <c r="H34" s="48">
        <v>137.9</v>
      </c>
      <c r="I34" s="48">
        <v>1.1000000000000001</v>
      </c>
      <c r="J34" s="48">
        <v>1.1000000000000001</v>
      </c>
      <c r="K34" s="48">
        <v>1.1000000000000001</v>
      </c>
      <c r="L34" s="48">
        <v>1.1000000000000001</v>
      </c>
      <c r="M34" s="48">
        <v>0.03</v>
      </c>
      <c r="N34" s="50">
        <v>750</v>
      </c>
      <c r="P34" s="23">
        <f t="shared" si="0"/>
        <v>2.758E-2</v>
      </c>
      <c r="Q34">
        <v>16</v>
      </c>
      <c r="R34">
        <f t="shared" si="1"/>
        <v>0.52953600000000001</v>
      </c>
    </row>
    <row r="35" spans="1:18">
      <c r="A35" s="56" t="s">
        <v>616</v>
      </c>
      <c r="B35" s="47"/>
      <c r="C35" s="57" t="s">
        <v>623</v>
      </c>
      <c r="D35" s="48" t="s">
        <v>592</v>
      </c>
      <c r="E35" s="48">
        <v>1</v>
      </c>
      <c r="F35" s="48">
        <v>100</v>
      </c>
      <c r="G35" s="48">
        <v>10</v>
      </c>
      <c r="H35" s="48">
        <v>138</v>
      </c>
      <c r="I35" s="48">
        <v>1.1000000000000001</v>
      </c>
      <c r="J35" s="48">
        <v>1.1000000000000001</v>
      </c>
      <c r="K35" s="48">
        <v>1.1000000000000001</v>
      </c>
      <c r="L35" s="48">
        <v>1.1000000000000001</v>
      </c>
      <c r="M35" s="48">
        <v>0.03</v>
      </c>
      <c r="N35" s="50">
        <v>750</v>
      </c>
      <c r="P35" s="23">
        <f t="shared" si="0"/>
        <v>2.76E-2</v>
      </c>
      <c r="Q35">
        <v>16</v>
      </c>
      <c r="R35">
        <f t="shared" si="1"/>
        <v>0.52991999999999995</v>
      </c>
    </row>
    <row r="36" spans="1:18">
      <c r="A36" s="56" t="s">
        <v>616</v>
      </c>
      <c r="B36" s="47"/>
      <c r="C36" s="57" t="s">
        <v>624</v>
      </c>
      <c r="D36" s="48" t="s">
        <v>592</v>
      </c>
      <c r="E36" s="48">
        <v>2</v>
      </c>
      <c r="F36" s="48">
        <v>100</v>
      </c>
      <c r="G36" s="48">
        <v>10</v>
      </c>
      <c r="H36" s="48">
        <v>138.30000000000001</v>
      </c>
      <c r="I36" s="48">
        <v>1.1000000000000001</v>
      </c>
      <c r="J36" s="48">
        <v>2.2000000000000002</v>
      </c>
      <c r="K36" s="48">
        <v>1.1000000000000001</v>
      </c>
      <c r="L36" s="48">
        <v>2.2000000000000002</v>
      </c>
      <c r="M36" s="48">
        <v>0.06</v>
      </c>
      <c r="N36" s="50">
        <v>750</v>
      </c>
      <c r="P36" s="23">
        <f t="shared" si="0"/>
        <v>5.5320000000000008E-2</v>
      </c>
      <c r="Q36">
        <v>16</v>
      </c>
      <c r="R36">
        <f t="shared" si="1"/>
        <v>1.0621440000000002</v>
      </c>
    </row>
    <row r="37" spans="1:18">
      <c r="A37" s="56" t="s">
        <v>625</v>
      </c>
      <c r="B37" s="47"/>
      <c r="C37" s="57" t="s">
        <v>626</v>
      </c>
      <c r="D37" s="48" t="s">
        <v>592</v>
      </c>
      <c r="E37" s="48">
        <v>2</v>
      </c>
      <c r="F37" s="48">
        <v>100</v>
      </c>
      <c r="G37" s="48">
        <v>10</v>
      </c>
      <c r="H37" s="48">
        <v>138.6</v>
      </c>
      <c r="I37" s="48">
        <v>1.1000000000000001</v>
      </c>
      <c r="J37" s="48">
        <v>2.2000000000000002</v>
      </c>
      <c r="K37" s="48">
        <v>1.1000000000000001</v>
      </c>
      <c r="L37" s="48">
        <v>2.2000000000000002</v>
      </c>
      <c r="M37" s="48">
        <v>0.06</v>
      </c>
      <c r="N37" s="50">
        <v>750</v>
      </c>
      <c r="P37" s="23">
        <f t="shared" si="0"/>
        <v>5.5440000000000003E-2</v>
      </c>
      <c r="Q37">
        <v>16</v>
      </c>
      <c r="R37">
        <f t="shared" si="1"/>
        <v>1.0644480000000001</v>
      </c>
    </row>
    <row r="38" spans="1:18">
      <c r="A38" s="46" t="s">
        <v>627</v>
      </c>
      <c r="B38" s="47"/>
      <c r="C38" s="57" t="s">
        <v>628</v>
      </c>
      <c r="D38" s="48" t="s">
        <v>107</v>
      </c>
      <c r="E38" s="48">
        <v>1</v>
      </c>
      <c r="F38" s="48">
        <v>12110</v>
      </c>
      <c r="G38" s="48">
        <v>100</v>
      </c>
      <c r="H38" s="48">
        <v>200</v>
      </c>
      <c r="I38" s="48">
        <v>432</v>
      </c>
      <c r="J38" s="48">
        <v>432</v>
      </c>
      <c r="K38" s="48">
        <v>411.1</v>
      </c>
      <c r="L38" s="48">
        <v>411.1</v>
      </c>
      <c r="M38" s="48">
        <v>6.85</v>
      </c>
      <c r="N38" s="50">
        <v>700</v>
      </c>
      <c r="P38" s="23">
        <f xml:space="preserve"> 0.566*F38*E38/10^3</f>
        <v>6.8542599999999991</v>
      </c>
      <c r="Q38">
        <v>40.6</v>
      </c>
      <c r="R38">
        <f t="shared" si="1"/>
        <v>333.93954719999994</v>
      </c>
    </row>
    <row r="39" spans="1:18">
      <c r="A39" s="46" t="s">
        <v>627</v>
      </c>
      <c r="B39" s="47"/>
      <c r="C39" s="57" t="s">
        <v>628</v>
      </c>
      <c r="D39" s="48" t="s">
        <v>107</v>
      </c>
      <c r="E39" s="48">
        <v>2</v>
      </c>
      <c r="F39" s="48">
        <v>12110</v>
      </c>
      <c r="G39" s="48">
        <v>100</v>
      </c>
      <c r="H39" s="48">
        <v>200</v>
      </c>
      <c r="I39" s="48">
        <v>432</v>
      </c>
      <c r="J39" s="48">
        <v>863.9</v>
      </c>
      <c r="K39" s="48">
        <v>411.1</v>
      </c>
      <c r="L39" s="48">
        <v>822.1</v>
      </c>
      <c r="M39" s="48">
        <v>13.71</v>
      </c>
      <c r="N39" s="50">
        <v>700</v>
      </c>
      <c r="P39" s="23">
        <f xml:space="preserve"> 0.566*F39*E39/10^3</f>
        <v>13.708519999999998</v>
      </c>
      <c r="Q39">
        <v>40.6</v>
      </c>
      <c r="R39">
        <f t="shared" si="1"/>
        <v>667.87909439999987</v>
      </c>
    </row>
    <row r="40" spans="1:18">
      <c r="A40" s="46" t="s">
        <v>627</v>
      </c>
      <c r="B40" s="47"/>
      <c r="C40" s="57" t="s">
        <v>628</v>
      </c>
      <c r="D40" s="48" t="s">
        <v>107</v>
      </c>
      <c r="E40" s="48">
        <v>3</v>
      </c>
      <c r="F40" s="48">
        <v>12110</v>
      </c>
      <c r="G40" s="48">
        <v>100</v>
      </c>
      <c r="H40" s="48">
        <v>200</v>
      </c>
      <c r="I40" s="48">
        <v>432</v>
      </c>
      <c r="J40" s="48">
        <v>1295.9000000000001</v>
      </c>
      <c r="K40" s="48">
        <v>411.1</v>
      </c>
      <c r="L40" s="48">
        <v>1233.2</v>
      </c>
      <c r="M40" s="48">
        <v>20.56</v>
      </c>
      <c r="N40" s="50">
        <v>700</v>
      </c>
      <c r="P40" s="23">
        <f xml:space="preserve"> 0.566*F40*E40/10^3</f>
        <v>20.56278</v>
      </c>
      <c r="Q40">
        <v>40.6</v>
      </c>
      <c r="R40">
        <f t="shared" si="1"/>
        <v>1001.8186416</v>
      </c>
    </row>
    <row r="41" spans="1:18">
      <c r="A41" s="46" t="s">
        <v>629</v>
      </c>
      <c r="B41" s="47"/>
      <c r="C41" s="57" t="s">
        <v>630</v>
      </c>
      <c r="D41" s="48" t="s">
        <v>107</v>
      </c>
      <c r="E41" s="48">
        <v>1</v>
      </c>
      <c r="F41" s="48">
        <v>132.4</v>
      </c>
      <c r="G41" s="48">
        <v>100</v>
      </c>
      <c r="H41" s="48">
        <v>100</v>
      </c>
      <c r="I41" s="48">
        <v>1.9</v>
      </c>
      <c r="J41" s="48">
        <v>1.9</v>
      </c>
      <c r="K41" s="48">
        <v>1.9</v>
      </c>
      <c r="L41" s="48">
        <v>1.9</v>
      </c>
      <c r="M41" s="48">
        <v>0.05</v>
      </c>
      <c r="N41" s="50">
        <v>700</v>
      </c>
      <c r="P41" s="23">
        <f xml:space="preserve"> 0.383*F41*E41/10^3</f>
        <v>5.0709200000000003E-2</v>
      </c>
      <c r="Q41">
        <v>62</v>
      </c>
      <c r="R41">
        <f t="shared" si="1"/>
        <v>3.7727644800000002</v>
      </c>
    </row>
    <row r="42" spans="1:18">
      <c r="A42" s="46" t="s">
        <v>629</v>
      </c>
      <c r="B42" s="47"/>
      <c r="C42" s="57" t="s">
        <v>630</v>
      </c>
      <c r="D42" s="48" t="s">
        <v>107</v>
      </c>
      <c r="E42" s="48">
        <v>1</v>
      </c>
      <c r="F42" s="48">
        <v>132.4</v>
      </c>
      <c r="G42" s="48">
        <v>100</v>
      </c>
      <c r="H42" s="48">
        <v>100</v>
      </c>
      <c r="I42" s="48">
        <v>1.9</v>
      </c>
      <c r="J42" s="48">
        <v>1.9</v>
      </c>
      <c r="K42" s="48">
        <v>1.9</v>
      </c>
      <c r="L42" s="48">
        <v>1.9</v>
      </c>
      <c r="M42" s="48">
        <v>0.05</v>
      </c>
      <c r="N42" s="50">
        <v>700</v>
      </c>
      <c r="P42" s="23">
        <f xml:space="preserve"> 0.383*F42*E42/10^3</f>
        <v>5.0709200000000003E-2</v>
      </c>
      <c r="Q42">
        <v>62</v>
      </c>
      <c r="R42">
        <f t="shared" si="1"/>
        <v>3.7727644800000002</v>
      </c>
    </row>
    <row r="43" spans="1:18">
      <c r="A43" s="46" t="s">
        <v>629</v>
      </c>
      <c r="B43" s="47"/>
      <c r="C43" s="57" t="s">
        <v>630</v>
      </c>
      <c r="D43" s="48" t="s">
        <v>107</v>
      </c>
      <c r="E43" s="48">
        <v>2</v>
      </c>
      <c r="F43" s="48">
        <v>132.4</v>
      </c>
      <c r="G43" s="48">
        <v>100</v>
      </c>
      <c r="H43" s="48">
        <v>100</v>
      </c>
      <c r="I43" s="48">
        <v>1.9</v>
      </c>
      <c r="J43" s="48">
        <v>3.9</v>
      </c>
      <c r="K43" s="48">
        <v>1.9</v>
      </c>
      <c r="L43" s="48">
        <v>3.8</v>
      </c>
      <c r="M43" s="48">
        <v>0.1</v>
      </c>
      <c r="N43" s="50">
        <v>700</v>
      </c>
      <c r="P43" s="23">
        <f xml:space="preserve"> 0.383*F43*E43/10^3</f>
        <v>0.10141840000000001</v>
      </c>
      <c r="Q43">
        <v>62</v>
      </c>
      <c r="R43">
        <f t="shared" si="1"/>
        <v>7.5455289600000004</v>
      </c>
    </row>
    <row r="44" spans="1:18">
      <c r="A44" s="46" t="s">
        <v>629</v>
      </c>
      <c r="B44" s="47"/>
      <c r="C44" s="57" t="s">
        <v>630</v>
      </c>
      <c r="D44" s="48" t="s">
        <v>107</v>
      </c>
      <c r="E44" s="48">
        <v>2</v>
      </c>
      <c r="F44" s="48">
        <v>132.4</v>
      </c>
      <c r="G44" s="48">
        <v>100</v>
      </c>
      <c r="H44" s="48">
        <v>100</v>
      </c>
      <c r="I44" s="48">
        <v>1.9</v>
      </c>
      <c r="J44" s="48">
        <v>3.9</v>
      </c>
      <c r="K44" s="48">
        <v>1.9</v>
      </c>
      <c r="L44" s="48">
        <v>3.8</v>
      </c>
      <c r="M44" s="48">
        <v>0.1</v>
      </c>
      <c r="N44" s="50">
        <v>700</v>
      </c>
      <c r="P44" s="23">
        <f xml:space="preserve"> 0.383*F44*E44/10^3</f>
        <v>0.10141840000000001</v>
      </c>
      <c r="Q44">
        <v>62</v>
      </c>
      <c r="R44">
        <f t="shared" si="1"/>
        <v>7.5455289600000004</v>
      </c>
    </row>
    <row r="45" spans="1:18">
      <c r="A45" s="46" t="s">
        <v>631</v>
      </c>
      <c r="B45" s="47"/>
      <c r="C45" s="57" t="s">
        <v>628</v>
      </c>
      <c r="D45" s="48" t="s">
        <v>107</v>
      </c>
      <c r="E45" s="48">
        <v>1</v>
      </c>
      <c r="F45" s="48">
        <v>11960</v>
      </c>
      <c r="G45" s="48">
        <v>100</v>
      </c>
      <c r="H45" s="48">
        <v>200</v>
      </c>
      <c r="I45" s="48">
        <v>426.6</v>
      </c>
      <c r="J45" s="48">
        <v>426.6</v>
      </c>
      <c r="K45" s="48">
        <v>406</v>
      </c>
      <c r="L45" s="48">
        <v>406</v>
      </c>
      <c r="M45" s="48">
        <v>6.77</v>
      </c>
      <c r="N45" s="50">
        <v>700</v>
      </c>
      <c r="P45" s="23">
        <f xml:space="preserve"> 0.566*F45*E45/10^3</f>
        <v>6.7693599999999998</v>
      </c>
      <c r="Q45">
        <v>40.6</v>
      </c>
      <c r="R45">
        <f t="shared" si="1"/>
        <v>329.8032192</v>
      </c>
    </row>
    <row r="46" spans="1:18">
      <c r="A46" s="46" t="s">
        <v>631</v>
      </c>
      <c r="B46" s="47"/>
      <c r="C46" s="57" t="s">
        <v>628</v>
      </c>
      <c r="D46" s="48" t="s">
        <v>107</v>
      </c>
      <c r="E46" s="48">
        <v>2</v>
      </c>
      <c r="F46" s="48">
        <v>11960</v>
      </c>
      <c r="G46" s="48">
        <v>100</v>
      </c>
      <c r="H46" s="48">
        <v>200</v>
      </c>
      <c r="I46" s="48">
        <v>426.6</v>
      </c>
      <c r="J46" s="48">
        <v>853.2</v>
      </c>
      <c r="K46" s="48">
        <v>406</v>
      </c>
      <c r="L46" s="48">
        <v>811.9</v>
      </c>
      <c r="M46" s="48">
        <v>13.54</v>
      </c>
      <c r="N46" s="50">
        <v>700</v>
      </c>
      <c r="P46" s="23">
        <f xml:space="preserve"> 0.566*F46*E46/10^3</f>
        <v>13.53872</v>
      </c>
      <c r="Q46">
        <v>40.6</v>
      </c>
      <c r="R46">
        <f t="shared" si="1"/>
        <v>659.6064384</v>
      </c>
    </row>
    <row r="47" spans="1:18">
      <c r="A47" s="46" t="s">
        <v>631</v>
      </c>
      <c r="B47" s="47"/>
      <c r="C47" s="57" t="s">
        <v>628</v>
      </c>
      <c r="D47" s="48" t="s">
        <v>107</v>
      </c>
      <c r="E47" s="48">
        <v>3</v>
      </c>
      <c r="F47" s="48">
        <v>11960</v>
      </c>
      <c r="G47" s="48">
        <v>100</v>
      </c>
      <c r="H47" s="48">
        <v>200</v>
      </c>
      <c r="I47" s="48">
        <v>426.6</v>
      </c>
      <c r="J47" s="48">
        <v>1279.9000000000001</v>
      </c>
      <c r="K47" s="48">
        <v>406</v>
      </c>
      <c r="L47" s="48">
        <v>1217.9000000000001</v>
      </c>
      <c r="M47" s="48">
        <v>20.309999999999999</v>
      </c>
      <c r="N47" s="50">
        <v>700</v>
      </c>
      <c r="P47" s="23">
        <f xml:space="preserve"> 0.566*F47*E47/10^3</f>
        <v>20.308079999999997</v>
      </c>
      <c r="Q47">
        <v>40.6</v>
      </c>
      <c r="R47">
        <f t="shared" si="1"/>
        <v>989.40965759999983</v>
      </c>
    </row>
    <row r="48" spans="1:18">
      <c r="A48" s="56" t="s">
        <v>632</v>
      </c>
      <c r="B48" s="47"/>
      <c r="C48" s="57" t="s">
        <v>630</v>
      </c>
      <c r="D48" s="48" t="s">
        <v>107</v>
      </c>
      <c r="E48" s="48">
        <v>1</v>
      </c>
      <c r="F48" s="48">
        <v>41.4</v>
      </c>
      <c r="G48" s="48">
        <v>100</v>
      </c>
      <c r="H48" s="48">
        <v>100</v>
      </c>
      <c r="I48" s="48">
        <v>0.6</v>
      </c>
      <c r="J48" s="48">
        <v>0.6</v>
      </c>
      <c r="K48" s="48">
        <v>0.6</v>
      </c>
      <c r="L48" s="48">
        <v>0.6</v>
      </c>
      <c r="M48" s="48">
        <v>0.02</v>
      </c>
      <c r="N48" s="50">
        <v>750</v>
      </c>
      <c r="P48" s="23">
        <f xml:space="preserve"> 0.383*F48*E48/10^3</f>
        <v>1.5856200000000001E-2</v>
      </c>
      <c r="Q48">
        <v>54.2</v>
      </c>
      <c r="R48">
        <f t="shared" si="1"/>
        <v>1.0312872480000002</v>
      </c>
    </row>
    <row r="49" spans="1:18">
      <c r="A49" s="56" t="s">
        <v>632</v>
      </c>
      <c r="B49" s="47"/>
      <c r="C49" s="57" t="s">
        <v>630</v>
      </c>
      <c r="D49" s="48" t="s">
        <v>107</v>
      </c>
      <c r="E49" s="48">
        <v>1</v>
      </c>
      <c r="F49" s="48">
        <v>41.4</v>
      </c>
      <c r="G49" s="48">
        <v>100</v>
      </c>
      <c r="H49" s="48">
        <v>100</v>
      </c>
      <c r="I49" s="48">
        <v>0.6</v>
      </c>
      <c r="J49" s="48">
        <v>0.6</v>
      </c>
      <c r="K49" s="48">
        <v>0.6</v>
      </c>
      <c r="L49" s="48">
        <v>0.6</v>
      </c>
      <c r="M49" s="48">
        <v>0.02</v>
      </c>
      <c r="N49" s="50">
        <v>750</v>
      </c>
      <c r="P49" s="23">
        <f xml:space="preserve"> 0.383*F49*E49/10^3</f>
        <v>1.5856200000000001E-2</v>
      </c>
      <c r="Q49">
        <v>54.2</v>
      </c>
      <c r="R49">
        <f t="shared" si="1"/>
        <v>1.0312872480000002</v>
      </c>
    </row>
    <row r="50" spans="1:18">
      <c r="A50" s="56" t="s">
        <v>632</v>
      </c>
      <c r="B50" s="47"/>
      <c r="C50" s="57" t="s">
        <v>630</v>
      </c>
      <c r="D50" s="48" t="s">
        <v>107</v>
      </c>
      <c r="E50" s="48">
        <v>2</v>
      </c>
      <c r="F50" s="48">
        <v>41.4</v>
      </c>
      <c r="G50" s="48">
        <v>100</v>
      </c>
      <c r="H50" s="48">
        <v>100</v>
      </c>
      <c r="I50" s="48">
        <v>0.6</v>
      </c>
      <c r="J50" s="48">
        <v>1.2</v>
      </c>
      <c r="K50" s="48">
        <v>0.6</v>
      </c>
      <c r="L50" s="48">
        <v>1.2</v>
      </c>
      <c r="M50" s="48">
        <v>0.03</v>
      </c>
      <c r="N50" s="50">
        <v>750</v>
      </c>
      <c r="P50" s="23">
        <f xml:space="preserve"> 0.383*F50*E50/10^3</f>
        <v>3.1712400000000002E-2</v>
      </c>
      <c r="Q50">
        <v>54.2</v>
      </c>
      <c r="R50">
        <f t="shared" si="1"/>
        <v>2.0625744960000003</v>
      </c>
    </row>
    <row r="51" spans="1:18">
      <c r="A51" s="56" t="s">
        <v>632</v>
      </c>
      <c r="B51" s="47"/>
      <c r="C51" s="57" t="s">
        <v>630</v>
      </c>
      <c r="D51" s="48" t="s">
        <v>107</v>
      </c>
      <c r="E51" s="48">
        <v>2</v>
      </c>
      <c r="F51" s="48">
        <v>41.4</v>
      </c>
      <c r="G51" s="48">
        <v>100</v>
      </c>
      <c r="H51" s="48">
        <v>100</v>
      </c>
      <c r="I51" s="48">
        <v>0.6</v>
      </c>
      <c r="J51" s="48">
        <v>1.2</v>
      </c>
      <c r="K51" s="48">
        <v>0.6</v>
      </c>
      <c r="L51" s="48">
        <v>1.2</v>
      </c>
      <c r="M51" s="48">
        <v>0.03</v>
      </c>
      <c r="N51" s="50">
        <v>750</v>
      </c>
      <c r="P51" s="23">
        <f xml:space="preserve"> 0.383*F51*E51/10^3</f>
        <v>3.1712400000000002E-2</v>
      </c>
      <c r="Q51">
        <v>54.2</v>
      </c>
      <c r="R51">
        <f t="shared" si="1"/>
        <v>2.0625744960000003</v>
      </c>
    </row>
    <row r="52" spans="1:18">
      <c r="A52" s="56" t="s">
        <v>633</v>
      </c>
      <c r="B52" s="47"/>
      <c r="C52" s="57" t="s">
        <v>634</v>
      </c>
      <c r="D52" s="48" t="s">
        <v>635</v>
      </c>
      <c r="E52" s="48">
        <v>1</v>
      </c>
      <c r="F52" s="48">
        <v>6946.3</v>
      </c>
      <c r="G52" s="48">
        <v>100</v>
      </c>
      <c r="H52" s="48">
        <v>100</v>
      </c>
      <c r="I52" s="48">
        <v>83.8</v>
      </c>
      <c r="J52" s="48">
        <v>83.8</v>
      </c>
      <c r="K52" s="48">
        <v>81.5</v>
      </c>
      <c r="L52" s="48">
        <v>81.5</v>
      </c>
      <c r="M52" s="48">
        <v>2.68</v>
      </c>
      <c r="N52" s="50">
        <v>750</v>
      </c>
      <c r="P52" s="23">
        <f t="shared" ref="P52:P63" si="2" xml:space="preserve"> 0.386*F52*E52/10^3</f>
        <v>2.6812718000000002</v>
      </c>
      <c r="Q52">
        <v>128.4</v>
      </c>
      <c r="R52">
        <f t="shared" si="1"/>
        <v>413.13035894400008</v>
      </c>
    </row>
    <row r="53" spans="1:18">
      <c r="A53" s="56" t="s">
        <v>636</v>
      </c>
      <c r="B53" s="47"/>
      <c r="C53" s="57" t="s">
        <v>634</v>
      </c>
      <c r="D53" s="48" t="s">
        <v>635</v>
      </c>
      <c r="E53" s="48">
        <v>1</v>
      </c>
      <c r="F53" s="48">
        <v>6913.4</v>
      </c>
      <c r="G53" s="48">
        <v>100</v>
      </c>
      <c r="H53" s="48">
        <v>100</v>
      </c>
      <c r="I53" s="48">
        <v>83.4</v>
      </c>
      <c r="J53" s="48">
        <v>83.4</v>
      </c>
      <c r="K53" s="48">
        <v>81.099999999999994</v>
      </c>
      <c r="L53" s="48">
        <v>81.099999999999994</v>
      </c>
      <c r="M53" s="48">
        <v>2.67</v>
      </c>
      <c r="N53" s="50">
        <v>750</v>
      </c>
      <c r="P53" s="23">
        <f t="shared" si="2"/>
        <v>2.6685724</v>
      </c>
      <c r="Q53">
        <v>128.4</v>
      </c>
      <c r="R53">
        <f t="shared" si="1"/>
        <v>411.17363539199999</v>
      </c>
    </row>
    <row r="54" spans="1:18">
      <c r="A54" s="56" t="s">
        <v>637</v>
      </c>
      <c r="B54" s="47"/>
      <c r="C54" s="57" t="s">
        <v>634</v>
      </c>
      <c r="D54" s="48" t="s">
        <v>635</v>
      </c>
      <c r="E54" s="48">
        <v>1</v>
      </c>
      <c r="F54" s="48">
        <v>6940.3</v>
      </c>
      <c r="G54" s="48">
        <v>100</v>
      </c>
      <c r="H54" s="48">
        <v>100</v>
      </c>
      <c r="I54" s="48">
        <v>83.7</v>
      </c>
      <c r="J54" s="48">
        <v>83.7</v>
      </c>
      <c r="K54" s="48">
        <v>81.400000000000006</v>
      </c>
      <c r="L54" s="48">
        <v>81.400000000000006</v>
      </c>
      <c r="M54" s="48">
        <v>2.68</v>
      </c>
      <c r="N54" s="50">
        <v>750</v>
      </c>
      <c r="P54" s="23">
        <f t="shared" si="2"/>
        <v>2.6789558000000002</v>
      </c>
      <c r="Q54">
        <v>128.4</v>
      </c>
      <c r="R54">
        <f t="shared" si="1"/>
        <v>412.77350966400002</v>
      </c>
    </row>
    <row r="55" spans="1:18">
      <c r="A55" s="56" t="s">
        <v>638</v>
      </c>
      <c r="B55" s="47"/>
      <c r="C55" s="57" t="s">
        <v>634</v>
      </c>
      <c r="D55" s="48" t="s">
        <v>635</v>
      </c>
      <c r="E55" s="48">
        <v>1</v>
      </c>
      <c r="F55" s="48">
        <v>6917.5</v>
      </c>
      <c r="G55" s="48">
        <v>100</v>
      </c>
      <c r="H55" s="48">
        <v>100</v>
      </c>
      <c r="I55" s="48">
        <v>83.4</v>
      </c>
      <c r="J55" s="48">
        <v>83.4</v>
      </c>
      <c r="K55" s="48">
        <v>81.2</v>
      </c>
      <c r="L55" s="48">
        <v>81.2</v>
      </c>
      <c r="M55" s="48">
        <v>2.67</v>
      </c>
      <c r="N55" s="50">
        <v>750</v>
      </c>
      <c r="P55" s="23">
        <f t="shared" si="2"/>
        <v>2.6701550000000003</v>
      </c>
      <c r="Q55">
        <v>128.4</v>
      </c>
      <c r="R55">
        <f t="shared" si="1"/>
        <v>411.41748240000004</v>
      </c>
    </row>
    <row r="56" spans="1:18">
      <c r="A56" s="56" t="s">
        <v>639</v>
      </c>
      <c r="B56" s="47"/>
      <c r="C56" s="57" t="s">
        <v>634</v>
      </c>
      <c r="D56" s="48" t="s">
        <v>635</v>
      </c>
      <c r="E56" s="48">
        <v>1</v>
      </c>
      <c r="F56" s="48">
        <v>6944.2</v>
      </c>
      <c r="G56" s="48">
        <v>100</v>
      </c>
      <c r="H56" s="48">
        <v>100</v>
      </c>
      <c r="I56" s="48">
        <v>83.7</v>
      </c>
      <c r="J56" s="48">
        <v>83.7</v>
      </c>
      <c r="K56" s="48">
        <v>81.5</v>
      </c>
      <c r="L56" s="48">
        <v>81.5</v>
      </c>
      <c r="M56" s="48">
        <v>2.68</v>
      </c>
      <c r="N56" s="50">
        <v>750</v>
      </c>
      <c r="P56" s="23">
        <f t="shared" si="2"/>
        <v>2.6804612000000003</v>
      </c>
      <c r="Q56">
        <v>128.4</v>
      </c>
      <c r="R56">
        <f t="shared" si="1"/>
        <v>413.00546169600005</v>
      </c>
    </row>
    <row r="57" spans="1:18">
      <c r="A57" s="56" t="s">
        <v>639</v>
      </c>
      <c r="B57" s="47"/>
      <c r="C57" s="57" t="s">
        <v>634</v>
      </c>
      <c r="D57" s="48" t="s">
        <v>635</v>
      </c>
      <c r="E57" s="48">
        <v>1</v>
      </c>
      <c r="F57" s="48">
        <v>6944.3</v>
      </c>
      <c r="G57" s="48">
        <v>100</v>
      </c>
      <c r="H57" s="48">
        <v>100</v>
      </c>
      <c r="I57" s="48">
        <v>83.7</v>
      </c>
      <c r="J57" s="48">
        <v>83.7</v>
      </c>
      <c r="K57" s="48">
        <v>81.5</v>
      </c>
      <c r="L57" s="48">
        <v>81.5</v>
      </c>
      <c r="M57" s="48">
        <v>2.68</v>
      </c>
      <c r="N57" s="50">
        <v>750</v>
      </c>
      <c r="P57" s="23">
        <f t="shared" si="2"/>
        <v>2.6804998000000002</v>
      </c>
      <c r="Q57">
        <v>128.4</v>
      </c>
      <c r="R57">
        <f t="shared" si="1"/>
        <v>413.011409184</v>
      </c>
    </row>
    <row r="58" spans="1:18">
      <c r="A58" s="56" t="s">
        <v>639</v>
      </c>
      <c r="B58" s="47"/>
      <c r="C58" s="57" t="s">
        <v>634</v>
      </c>
      <c r="D58" s="48" t="s">
        <v>635</v>
      </c>
      <c r="E58" s="48">
        <v>1</v>
      </c>
      <c r="F58" s="48">
        <v>6945</v>
      </c>
      <c r="G58" s="48">
        <v>100</v>
      </c>
      <c r="H58" s="48">
        <v>100</v>
      </c>
      <c r="I58" s="48">
        <v>83.7</v>
      </c>
      <c r="J58" s="48">
        <v>83.7</v>
      </c>
      <c r="K58" s="48">
        <v>81.5</v>
      </c>
      <c r="L58" s="48">
        <v>81.5</v>
      </c>
      <c r="M58" s="48">
        <v>2.68</v>
      </c>
      <c r="N58" s="50">
        <v>750</v>
      </c>
      <c r="P58" s="23">
        <f t="shared" si="2"/>
        <v>2.6807699999999999</v>
      </c>
      <c r="Q58">
        <v>128.4</v>
      </c>
      <c r="R58">
        <f t="shared" si="1"/>
        <v>413.05304159999997</v>
      </c>
    </row>
    <row r="59" spans="1:18">
      <c r="A59" s="56" t="s">
        <v>639</v>
      </c>
      <c r="B59" s="47"/>
      <c r="C59" s="57" t="s">
        <v>634</v>
      </c>
      <c r="D59" s="48" t="s">
        <v>635</v>
      </c>
      <c r="E59" s="48">
        <v>1</v>
      </c>
      <c r="F59" s="48">
        <v>6945</v>
      </c>
      <c r="G59" s="48">
        <v>100</v>
      </c>
      <c r="H59" s="48">
        <v>100</v>
      </c>
      <c r="I59" s="48">
        <v>83.7</v>
      </c>
      <c r="J59" s="48">
        <v>83.7</v>
      </c>
      <c r="K59" s="48">
        <v>81.5</v>
      </c>
      <c r="L59" s="48">
        <v>81.5</v>
      </c>
      <c r="M59" s="48">
        <v>2.68</v>
      </c>
      <c r="N59" s="50">
        <v>750</v>
      </c>
      <c r="P59" s="23">
        <f t="shared" si="2"/>
        <v>2.6807699999999999</v>
      </c>
      <c r="Q59">
        <v>128.4</v>
      </c>
      <c r="R59">
        <f t="shared" si="1"/>
        <v>413.05304159999997</v>
      </c>
    </row>
    <row r="60" spans="1:18">
      <c r="A60" s="56" t="s">
        <v>640</v>
      </c>
      <c r="B60" s="47"/>
      <c r="C60" s="57" t="s">
        <v>634</v>
      </c>
      <c r="D60" s="48" t="s">
        <v>635</v>
      </c>
      <c r="E60" s="48">
        <v>1</v>
      </c>
      <c r="F60" s="48">
        <v>6760.5</v>
      </c>
      <c r="G60" s="48">
        <v>100</v>
      </c>
      <c r="H60" s="48">
        <v>100</v>
      </c>
      <c r="I60" s="48">
        <v>81.5</v>
      </c>
      <c r="J60" s="48">
        <v>81.5</v>
      </c>
      <c r="K60" s="48">
        <v>79.3</v>
      </c>
      <c r="L60" s="48">
        <v>79.3</v>
      </c>
      <c r="M60" s="48">
        <v>2.61</v>
      </c>
      <c r="N60" s="50">
        <v>750</v>
      </c>
      <c r="P60" s="23">
        <f t="shared" si="2"/>
        <v>2.609553</v>
      </c>
      <c r="Q60">
        <v>128.4</v>
      </c>
      <c r="R60">
        <f t="shared" si="1"/>
        <v>402.07992624000002</v>
      </c>
    </row>
    <row r="61" spans="1:18">
      <c r="A61" s="56" t="s">
        <v>640</v>
      </c>
      <c r="B61" s="47"/>
      <c r="C61" s="57" t="s">
        <v>634</v>
      </c>
      <c r="D61" s="48" t="s">
        <v>635</v>
      </c>
      <c r="E61" s="48">
        <v>1</v>
      </c>
      <c r="F61" s="48">
        <v>6760.5</v>
      </c>
      <c r="G61" s="48">
        <v>100</v>
      </c>
      <c r="H61" s="48">
        <v>100</v>
      </c>
      <c r="I61" s="48">
        <v>81.5</v>
      </c>
      <c r="J61" s="48">
        <v>81.5</v>
      </c>
      <c r="K61" s="48">
        <v>79.3</v>
      </c>
      <c r="L61" s="48">
        <v>79.3</v>
      </c>
      <c r="M61" s="48">
        <v>2.61</v>
      </c>
      <c r="N61" s="50">
        <v>750</v>
      </c>
      <c r="P61" s="23">
        <f t="shared" si="2"/>
        <v>2.609553</v>
      </c>
      <c r="Q61">
        <v>128.4</v>
      </c>
      <c r="R61">
        <f t="shared" si="1"/>
        <v>402.07992624000002</v>
      </c>
    </row>
    <row r="62" spans="1:18">
      <c r="A62" s="56" t="s">
        <v>640</v>
      </c>
      <c r="B62" s="47"/>
      <c r="C62" s="57" t="s">
        <v>634</v>
      </c>
      <c r="D62" s="48" t="s">
        <v>635</v>
      </c>
      <c r="E62" s="48">
        <v>1</v>
      </c>
      <c r="F62" s="48">
        <v>6760.7</v>
      </c>
      <c r="G62" s="48">
        <v>100</v>
      </c>
      <c r="H62" s="48">
        <v>100</v>
      </c>
      <c r="I62" s="48">
        <v>81.5</v>
      </c>
      <c r="J62" s="48">
        <v>81.5</v>
      </c>
      <c r="K62" s="48">
        <v>79.3</v>
      </c>
      <c r="L62" s="48">
        <v>79.3</v>
      </c>
      <c r="M62" s="48">
        <v>2.61</v>
      </c>
      <c r="N62" s="50">
        <v>750</v>
      </c>
      <c r="P62" s="23">
        <f t="shared" si="2"/>
        <v>2.6096302000000002</v>
      </c>
      <c r="Q62">
        <v>128.4</v>
      </c>
      <c r="R62">
        <f t="shared" si="1"/>
        <v>402.09182121600003</v>
      </c>
    </row>
    <row r="63" spans="1:18">
      <c r="A63" s="56" t="s">
        <v>640</v>
      </c>
      <c r="B63" s="47"/>
      <c r="C63" s="57" t="s">
        <v>634</v>
      </c>
      <c r="D63" s="48" t="s">
        <v>635</v>
      </c>
      <c r="E63" s="48">
        <v>1</v>
      </c>
      <c r="F63" s="48">
        <v>6760.7</v>
      </c>
      <c r="G63" s="48">
        <v>100</v>
      </c>
      <c r="H63" s="48">
        <v>100</v>
      </c>
      <c r="I63" s="48">
        <v>81.5</v>
      </c>
      <c r="J63" s="48">
        <v>81.5</v>
      </c>
      <c r="K63" s="48">
        <v>79.3</v>
      </c>
      <c r="L63" s="48">
        <v>79.3</v>
      </c>
      <c r="M63" s="48">
        <v>2.61</v>
      </c>
      <c r="N63" s="50">
        <v>750</v>
      </c>
      <c r="P63" s="23">
        <f t="shared" si="2"/>
        <v>2.6096302000000002</v>
      </c>
      <c r="Q63">
        <v>128.4</v>
      </c>
      <c r="R63">
        <f t="shared" si="1"/>
        <v>402.09182121600003</v>
      </c>
    </row>
    <row r="64" spans="1:18">
      <c r="A64" s="56" t="s">
        <v>641</v>
      </c>
      <c r="B64" s="47"/>
      <c r="C64" s="57" t="s">
        <v>630</v>
      </c>
      <c r="D64" s="48" t="s">
        <v>107</v>
      </c>
      <c r="E64" s="48">
        <v>1</v>
      </c>
      <c r="F64" s="48">
        <v>137.30000000000001</v>
      </c>
      <c r="G64" s="48">
        <v>100</v>
      </c>
      <c r="H64" s="48">
        <v>100</v>
      </c>
      <c r="I64" s="48">
        <v>2</v>
      </c>
      <c r="J64" s="48">
        <v>2</v>
      </c>
      <c r="K64" s="48">
        <v>2</v>
      </c>
      <c r="L64" s="48">
        <v>2</v>
      </c>
      <c r="M64" s="48">
        <v>0.05</v>
      </c>
      <c r="N64" s="50">
        <v>750</v>
      </c>
      <c r="P64" s="23">
        <f t="shared" ref="P64:P78" si="3" xml:space="preserve"> 0.383*F64*E64/10^3</f>
        <v>5.2585900000000005E-2</v>
      </c>
      <c r="Q64">
        <v>54.2</v>
      </c>
      <c r="R64">
        <f t="shared" si="1"/>
        <v>3.4201869360000008</v>
      </c>
    </row>
    <row r="65" spans="1:18">
      <c r="A65" s="56" t="s">
        <v>641</v>
      </c>
      <c r="B65" s="47"/>
      <c r="C65" s="57" t="s">
        <v>630</v>
      </c>
      <c r="D65" s="48" t="s">
        <v>107</v>
      </c>
      <c r="E65" s="48">
        <v>1</v>
      </c>
      <c r="F65" s="48">
        <v>137.30000000000001</v>
      </c>
      <c r="G65" s="48">
        <v>100</v>
      </c>
      <c r="H65" s="48">
        <v>100</v>
      </c>
      <c r="I65" s="48">
        <v>2</v>
      </c>
      <c r="J65" s="48">
        <v>2</v>
      </c>
      <c r="K65" s="48">
        <v>2</v>
      </c>
      <c r="L65" s="48">
        <v>2</v>
      </c>
      <c r="M65" s="48">
        <v>0.05</v>
      </c>
      <c r="N65" s="50">
        <v>750</v>
      </c>
      <c r="P65" s="23">
        <f t="shared" si="3"/>
        <v>5.2585900000000005E-2</v>
      </c>
      <c r="Q65">
        <v>54.2</v>
      </c>
      <c r="R65">
        <f t="shared" si="1"/>
        <v>3.4201869360000008</v>
      </c>
    </row>
    <row r="66" spans="1:18">
      <c r="A66" s="56" t="s">
        <v>641</v>
      </c>
      <c r="B66" s="47"/>
      <c r="C66" s="57" t="s">
        <v>630</v>
      </c>
      <c r="D66" s="48" t="s">
        <v>107</v>
      </c>
      <c r="E66" s="48">
        <v>2</v>
      </c>
      <c r="F66" s="48">
        <v>137.30000000000001</v>
      </c>
      <c r="G66" s="48">
        <v>100</v>
      </c>
      <c r="H66" s="48">
        <v>100</v>
      </c>
      <c r="I66" s="48">
        <v>2</v>
      </c>
      <c r="J66" s="48">
        <v>4</v>
      </c>
      <c r="K66" s="48">
        <v>2</v>
      </c>
      <c r="L66" s="48">
        <v>4</v>
      </c>
      <c r="M66" s="48">
        <v>0.11</v>
      </c>
      <c r="N66" s="50">
        <v>750</v>
      </c>
      <c r="P66" s="23">
        <f t="shared" si="3"/>
        <v>0.10517180000000001</v>
      </c>
      <c r="Q66">
        <v>54.2</v>
      </c>
      <c r="R66">
        <f t="shared" si="1"/>
        <v>6.8403738720000016</v>
      </c>
    </row>
    <row r="67" spans="1:18">
      <c r="A67" s="56" t="s">
        <v>641</v>
      </c>
      <c r="B67" s="47"/>
      <c r="C67" s="57" t="s">
        <v>630</v>
      </c>
      <c r="D67" s="48" t="s">
        <v>107</v>
      </c>
      <c r="E67" s="48">
        <v>2</v>
      </c>
      <c r="F67" s="48">
        <v>137.30000000000001</v>
      </c>
      <c r="G67" s="48">
        <v>100</v>
      </c>
      <c r="H67" s="48">
        <v>100</v>
      </c>
      <c r="I67" s="48">
        <v>2</v>
      </c>
      <c r="J67" s="48">
        <v>4</v>
      </c>
      <c r="K67" s="48">
        <v>2</v>
      </c>
      <c r="L67" s="48">
        <v>4</v>
      </c>
      <c r="M67" s="48">
        <v>0.11</v>
      </c>
      <c r="N67" s="50">
        <v>750</v>
      </c>
      <c r="P67" s="23">
        <f t="shared" si="3"/>
        <v>0.10517180000000001</v>
      </c>
      <c r="Q67">
        <v>54.2</v>
      </c>
      <c r="R67">
        <f t="shared" si="1"/>
        <v>6.8403738720000016</v>
      </c>
    </row>
    <row r="68" spans="1:18">
      <c r="A68" s="56" t="s">
        <v>641</v>
      </c>
      <c r="B68" s="47"/>
      <c r="C68" s="57" t="s">
        <v>630</v>
      </c>
      <c r="D68" s="48" t="s">
        <v>107</v>
      </c>
      <c r="E68" s="48">
        <v>1</v>
      </c>
      <c r="F68" s="48">
        <v>137.4</v>
      </c>
      <c r="G68" s="48">
        <v>100</v>
      </c>
      <c r="H68" s="48">
        <v>100</v>
      </c>
      <c r="I68" s="48">
        <v>2</v>
      </c>
      <c r="J68" s="48">
        <v>2</v>
      </c>
      <c r="K68" s="48">
        <v>2</v>
      </c>
      <c r="L68" s="48">
        <v>2</v>
      </c>
      <c r="M68" s="48">
        <v>0.05</v>
      </c>
      <c r="N68" s="50">
        <v>750</v>
      </c>
      <c r="P68" s="23">
        <f t="shared" si="3"/>
        <v>5.2624200000000003E-2</v>
      </c>
      <c r="Q68">
        <v>54.2</v>
      </c>
      <c r="R68">
        <f t="shared" ref="R68:R131" si="4">Q68*P68*$T$2</f>
        <v>3.4226779680000003</v>
      </c>
    </row>
    <row r="69" spans="1:18">
      <c r="A69" s="56" t="s">
        <v>641</v>
      </c>
      <c r="B69" s="47"/>
      <c r="C69" s="57" t="s">
        <v>630</v>
      </c>
      <c r="D69" s="48" t="s">
        <v>107</v>
      </c>
      <c r="E69" s="48">
        <v>1</v>
      </c>
      <c r="F69" s="48">
        <v>137.5</v>
      </c>
      <c r="G69" s="48">
        <v>100</v>
      </c>
      <c r="H69" s="48">
        <v>100</v>
      </c>
      <c r="I69" s="48">
        <v>2</v>
      </c>
      <c r="J69" s="48">
        <v>2</v>
      </c>
      <c r="K69" s="48">
        <v>2</v>
      </c>
      <c r="L69" s="48">
        <v>2</v>
      </c>
      <c r="M69" s="48">
        <v>0.05</v>
      </c>
      <c r="N69" s="50">
        <v>750</v>
      </c>
      <c r="P69" s="23">
        <f t="shared" si="3"/>
        <v>5.2662500000000001E-2</v>
      </c>
      <c r="Q69">
        <v>54.2</v>
      </c>
      <c r="R69">
        <f t="shared" si="4"/>
        <v>3.4251689999999999</v>
      </c>
    </row>
    <row r="70" spans="1:18">
      <c r="A70" s="56" t="s">
        <v>641</v>
      </c>
      <c r="B70" s="47"/>
      <c r="C70" s="57" t="s">
        <v>630</v>
      </c>
      <c r="D70" s="48" t="s">
        <v>107</v>
      </c>
      <c r="E70" s="48">
        <v>2</v>
      </c>
      <c r="F70" s="48">
        <v>137.6</v>
      </c>
      <c r="G70" s="48">
        <v>100</v>
      </c>
      <c r="H70" s="48">
        <v>100</v>
      </c>
      <c r="I70" s="48">
        <v>2</v>
      </c>
      <c r="J70" s="48">
        <v>4</v>
      </c>
      <c r="K70" s="48">
        <v>2</v>
      </c>
      <c r="L70" s="48">
        <v>4</v>
      </c>
      <c r="M70" s="48">
        <v>0.11</v>
      </c>
      <c r="N70" s="50">
        <v>750</v>
      </c>
      <c r="P70" s="23">
        <f t="shared" si="3"/>
        <v>0.1054016</v>
      </c>
      <c r="Q70">
        <v>54.2</v>
      </c>
      <c r="R70">
        <f t="shared" si="4"/>
        <v>6.8553200639999998</v>
      </c>
    </row>
    <row r="71" spans="1:18">
      <c r="A71" s="56" t="s">
        <v>641</v>
      </c>
      <c r="B71" s="47"/>
      <c r="C71" s="57" t="s">
        <v>630</v>
      </c>
      <c r="D71" s="48" t="s">
        <v>107</v>
      </c>
      <c r="E71" s="48">
        <v>2</v>
      </c>
      <c r="F71" s="48">
        <v>137.6</v>
      </c>
      <c r="G71" s="48">
        <v>100</v>
      </c>
      <c r="H71" s="48">
        <v>100</v>
      </c>
      <c r="I71" s="48">
        <v>2</v>
      </c>
      <c r="J71" s="48">
        <v>4</v>
      </c>
      <c r="K71" s="48">
        <v>2</v>
      </c>
      <c r="L71" s="48">
        <v>4</v>
      </c>
      <c r="M71" s="48">
        <v>0.11</v>
      </c>
      <c r="N71" s="50">
        <v>750</v>
      </c>
      <c r="P71" s="23">
        <f t="shared" si="3"/>
        <v>0.1054016</v>
      </c>
      <c r="Q71">
        <v>54.2</v>
      </c>
      <c r="R71">
        <f t="shared" si="4"/>
        <v>6.8553200639999998</v>
      </c>
    </row>
    <row r="72" spans="1:18">
      <c r="A72" s="56" t="s">
        <v>642</v>
      </c>
      <c r="B72" s="47"/>
      <c r="C72" s="57" t="s">
        <v>630</v>
      </c>
      <c r="D72" s="48" t="s">
        <v>107</v>
      </c>
      <c r="E72" s="48">
        <v>1</v>
      </c>
      <c r="F72" s="48">
        <v>122.1</v>
      </c>
      <c r="G72" s="48">
        <v>100</v>
      </c>
      <c r="H72" s="48">
        <v>100</v>
      </c>
      <c r="I72" s="48">
        <v>1.8</v>
      </c>
      <c r="J72" s="48">
        <v>1.8</v>
      </c>
      <c r="K72" s="48">
        <v>1.8</v>
      </c>
      <c r="L72" s="48">
        <v>1.8</v>
      </c>
      <c r="M72" s="48">
        <v>0.05</v>
      </c>
      <c r="N72" s="50">
        <v>750</v>
      </c>
      <c r="P72" s="23">
        <f t="shared" si="3"/>
        <v>4.6764300000000002E-2</v>
      </c>
      <c r="Q72">
        <v>54.2</v>
      </c>
      <c r="R72">
        <f t="shared" si="4"/>
        <v>3.0415500720000002</v>
      </c>
    </row>
    <row r="73" spans="1:18">
      <c r="A73" s="56" t="s">
        <v>642</v>
      </c>
      <c r="B73" s="47"/>
      <c r="C73" s="57" t="s">
        <v>630</v>
      </c>
      <c r="D73" s="48" t="s">
        <v>107</v>
      </c>
      <c r="E73" s="48">
        <v>1</v>
      </c>
      <c r="F73" s="48">
        <v>122.6</v>
      </c>
      <c r="G73" s="48">
        <v>100</v>
      </c>
      <c r="H73" s="48">
        <v>100</v>
      </c>
      <c r="I73" s="48">
        <v>1.8</v>
      </c>
      <c r="J73" s="48">
        <v>1.8</v>
      </c>
      <c r="K73" s="48">
        <v>1.8</v>
      </c>
      <c r="L73" s="48">
        <v>1.8</v>
      </c>
      <c r="M73" s="48">
        <v>0.05</v>
      </c>
      <c r="N73" s="50">
        <v>750</v>
      </c>
      <c r="P73" s="23">
        <f t="shared" si="3"/>
        <v>4.6955799999999999E-2</v>
      </c>
      <c r="Q73">
        <v>54.2</v>
      </c>
      <c r="R73">
        <f t="shared" si="4"/>
        <v>3.0540052320000002</v>
      </c>
    </row>
    <row r="74" spans="1:18">
      <c r="A74" s="56" t="s">
        <v>642</v>
      </c>
      <c r="B74" s="47"/>
      <c r="C74" s="57" t="s">
        <v>630</v>
      </c>
      <c r="D74" s="48" t="s">
        <v>107</v>
      </c>
      <c r="E74" s="48">
        <v>1</v>
      </c>
      <c r="F74" s="48">
        <v>122.6</v>
      </c>
      <c r="G74" s="48">
        <v>100</v>
      </c>
      <c r="H74" s="48">
        <v>100</v>
      </c>
      <c r="I74" s="48">
        <v>1.8</v>
      </c>
      <c r="J74" s="48">
        <v>1.8</v>
      </c>
      <c r="K74" s="48">
        <v>1.8</v>
      </c>
      <c r="L74" s="48">
        <v>1.8</v>
      </c>
      <c r="M74" s="48">
        <v>0.05</v>
      </c>
      <c r="N74" s="50">
        <v>750</v>
      </c>
      <c r="P74" s="23">
        <f t="shared" si="3"/>
        <v>4.6955799999999999E-2</v>
      </c>
      <c r="Q74">
        <v>54.2</v>
      </c>
      <c r="R74">
        <f t="shared" si="4"/>
        <v>3.0540052320000002</v>
      </c>
    </row>
    <row r="75" spans="1:18">
      <c r="A75" s="56" t="s">
        <v>642</v>
      </c>
      <c r="B75" s="47"/>
      <c r="C75" s="57" t="s">
        <v>630</v>
      </c>
      <c r="D75" s="48" t="s">
        <v>107</v>
      </c>
      <c r="E75" s="48">
        <v>2</v>
      </c>
      <c r="F75" s="48">
        <v>122.6</v>
      </c>
      <c r="G75" s="48">
        <v>100</v>
      </c>
      <c r="H75" s="48">
        <v>100</v>
      </c>
      <c r="I75" s="48">
        <v>1.8</v>
      </c>
      <c r="J75" s="48">
        <v>3.6</v>
      </c>
      <c r="K75" s="48">
        <v>1.8</v>
      </c>
      <c r="L75" s="48">
        <v>3.5</v>
      </c>
      <c r="M75" s="48">
        <v>0.09</v>
      </c>
      <c r="N75" s="50">
        <v>750</v>
      </c>
      <c r="P75" s="23">
        <f t="shared" si="3"/>
        <v>9.3911599999999998E-2</v>
      </c>
      <c r="Q75">
        <v>54.2</v>
      </c>
      <c r="R75">
        <f t="shared" si="4"/>
        <v>6.1080104640000004</v>
      </c>
    </row>
    <row r="76" spans="1:18">
      <c r="A76" s="56" t="s">
        <v>642</v>
      </c>
      <c r="B76" s="47"/>
      <c r="C76" s="57" t="s">
        <v>630</v>
      </c>
      <c r="D76" s="48" t="s">
        <v>107</v>
      </c>
      <c r="E76" s="48">
        <v>2</v>
      </c>
      <c r="F76" s="48">
        <v>122.6</v>
      </c>
      <c r="G76" s="48">
        <v>100</v>
      </c>
      <c r="H76" s="48">
        <v>100</v>
      </c>
      <c r="I76" s="48">
        <v>1.8</v>
      </c>
      <c r="J76" s="48">
        <v>3.6</v>
      </c>
      <c r="K76" s="48">
        <v>1.8</v>
      </c>
      <c r="L76" s="48">
        <v>3.5</v>
      </c>
      <c r="M76" s="48">
        <v>0.09</v>
      </c>
      <c r="N76" s="50">
        <v>750</v>
      </c>
      <c r="P76" s="23">
        <f t="shared" si="3"/>
        <v>9.3911599999999998E-2</v>
      </c>
      <c r="Q76">
        <v>54.2</v>
      </c>
      <c r="R76">
        <f t="shared" si="4"/>
        <v>6.1080104640000004</v>
      </c>
    </row>
    <row r="77" spans="1:18">
      <c r="A77" s="56" t="s">
        <v>642</v>
      </c>
      <c r="B77" s="47"/>
      <c r="C77" s="57" t="s">
        <v>630</v>
      </c>
      <c r="D77" s="48" t="s">
        <v>107</v>
      </c>
      <c r="E77" s="48">
        <v>4</v>
      </c>
      <c r="F77" s="48">
        <v>122.6</v>
      </c>
      <c r="G77" s="48">
        <v>100</v>
      </c>
      <c r="H77" s="48">
        <v>100</v>
      </c>
      <c r="I77" s="48">
        <v>1.8</v>
      </c>
      <c r="J77" s="48">
        <v>7.2</v>
      </c>
      <c r="K77" s="48">
        <v>1.8</v>
      </c>
      <c r="L77" s="48">
        <v>7.1</v>
      </c>
      <c r="M77" s="48">
        <v>0.19</v>
      </c>
      <c r="N77" s="50">
        <v>750</v>
      </c>
      <c r="P77" s="23">
        <f t="shared" si="3"/>
        <v>0.1878232</v>
      </c>
      <c r="Q77">
        <v>54.2</v>
      </c>
      <c r="R77">
        <f t="shared" si="4"/>
        <v>12.216020928000001</v>
      </c>
    </row>
    <row r="78" spans="1:18">
      <c r="A78" s="56" t="s">
        <v>642</v>
      </c>
      <c r="B78" s="47"/>
      <c r="C78" s="57" t="s">
        <v>630</v>
      </c>
      <c r="D78" s="48" t="s">
        <v>107</v>
      </c>
      <c r="E78" s="48">
        <v>1</v>
      </c>
      <c r="F78" s="48">
        <v>122.7</v>
      </c>
      <c r="G78" s="48">
        <v>100</v>
      </c>
      <c r="H78" s="48">
        <v>100</v>
      </c>
      <c r="I78" s="48">
        <v>1.8</v>
      </c>
      <c r="J78" s="48">
        <v>1.8</v>
      </c>
      <c r="K78" s="48">
        <v>1.8</v>
      </c>
      <c r="L78" s="48">
        <v>1.8</v>
      </c>
      <c r="M78" s="48">
        <v>0.05</v>
      </c>
      <c r="N78" s="50">
        <v>750</v>
      </c>
      <c r="P78" s="23">
        <f t="shared" si="3"/>
        <v>4.6994100000000004E-2</v>
      </c>
      <c r="Q78">
        <v>54.2</v>
      </c>
      <c r="R78">
        <f t="shared" si="4"/>
        <v>3.0564962640000002</v>
      </c>
    </row>
    <row r="79" spans="1:18">
      <c r="A79" s="56" t="s">
        <v>643</v>
      </c>
      <c r="B79" s="47"/>
      <c r="C79" s="57" t="s">
        <v>634</v>
      </c>
      <c r="D79" s="48" t="s">
        <v>635</v>
      </c>
      <c r="E79" s="48">
        <v>24</v>
      </c>
      <c r="F79" s="48">
        <v>5640</v>
      </c>
      <c r="G79" s="48">
        <v>100</v>
      </c>
      <c r="H79" s="48">
        <v>100</v>
      </c>
      <c r="I79" s="48">
        <v>68</v>
      </c>
      <c r="J79" s="48">
        <v>1632.1</v>
      </c>
      <c r="K79" s="48">
        <v>66.2</v>
      </c>
      <c r="L79" s="48">
        <v>1588.3</v>
      </c>
      <c r="M79" s="48">
        <v>52.29</v>
      </c>
      <c r="N79" s="50">
        <v>750</v>
      </c>
      <c r="P79" s="23">
        <f xml:space="preserve"> 0.386*F79*E79/10^3</f>
        <v>52.248959999999997</v>
      </c>
      <c r="Q79">
        <v>128.4</v>
      </c>
      <c r="R79">
        <f t="shared" si="4"/>
        <v>8050.5197568000003</v>
      </c>
    </row>
    <row r="80" spans="1:18">
      <c r="A80" s="56" t="s">
        <v>644</v>
      </c>
      <c r="B80" s="47"/>
      <c r="C80" s="57" t="s">
        <v>645</v>
      </c>
      <c r="D80" s="48" t="s">
        <v>635</v>
      </c>
      <c r="E80" s="48">
        <v>60</v>
      </c>
      <c r="F80" s="48">
        <v>120</v>
      </c>
      <c r="G80" s="48">
        <v>120</v>
      </c>
      <c r="H80" s="48">
        <v>120</v>
      </c>
      <c r="I80" s="48">
        <v>1.7</v>
      </c>
      <c r="J80" s="48">
        <v>104.9</v>
      </c>
      <c r="K80" s="48">
        <v>1.7</v>
      </c>
      <c r="L80" s="48">
        <v>104.9</v>
      </c>
      <c r="M80" s="48">
        <v>3.68</v>
      </c>
      <c r="N80" s="50">
        <v>750</v>
      </c>
      <c r="P80" s="23">
        <f>0.292*F80*E80/10^3</f>
        <v>2.1024000000000003</v>
      </c>
      <c r="Q80">
        <v>40</v>
      </c>
      <c r="R80">
        <f t="shared" si="4"/>
        <v>100.9152</v>
      </c>
    </row>
    <row r="81" spans="1:18">
      <c r="A81" s="56" t="s">
        <v>646</v>
      </c>
      <c r="B81" s="47"/>
      <c r="C81" s="57" t="s">
        <v>634</v>
      </c>
      <c r="D81" s="48" t="s">
        <v>635</v>
      </c>
      <c r="E81" s="48">
        <v>30</v>
      </c>
      <c r="F81" s="48">
        <v>5864</v>
      </c>
      <c r="G81" s="48">
        <v>100</v>
      </c>
      <c r="H81" s="48">
        <v>100</v>
      </c>
      <c r="I81" s="48">
        <v>70.7</v>
      </c>
      <c r="J81" s="48">
        <v>2121.1999999999998</v>
      </c>
      <c r="K81" s="48">
        <v>68.8</v>
      </c>
      <c r="L81" s="48">
        <v>2064.3000000000002</v>
      </c>
      <c r="M81" s="48">
        <v>67.959999999999994</v>
      </c>
      <c r="N81" s="50">
        <v>750</v>
      </c>
      <c r="P81" s="23">
        <f t="shared" ref="P81:P91" si="5" xml:space="preserve"> 0.386*F81*E81/10^3</f>
        <v>67.905119999999997</v>
      </c>
      <c r="Q81">
        <v>128.4</v>
      </c>
      <c r="R81">
        <f t="shared" si="4"/>
        <v>10462.8208896</v>
      </c>
    </row>
    <row r="82" spans="1:18">
      <c r="A82" s="56" t="s">
        <v>647</v>
      </c>
      <c r="B82" s="47"/>
      <c r="C82" s="57" t="s">
        <v>634</v>
      </c>
      <c r="D82" s="48" t="s">
        <v>635</v>
      </c>
      <c r="E82" s="48">
        <v>2</v>
      </c>
      <c r="F82" s="48">
        <v>2100</v>
      </c>
      <c r="G82" s="48">
        <v>100</v>
      </c>
      <c r="H82" s="48">
        <v>100</v>
      </c>
      <c r="I82" s="48">
        <v>25.3</v>
      </c>
      <c r="J82" s="48">
        <v>50.6</v>
      </c>
      <c r="K82" s="48">
        <v>24.6</v>
      </c>
      <c r="L82" s="48">
        <v>49.3</v>
      </c>
      <c r="M82" s="48">
        <v>1.62</v>
      </c>
      <c r="N82" s="50">
        <v>750</v>
      </c>
      <c r="P82" s="23">
        <f t="shared" si="5"/>
        <v>1.6212</v>
      </c>
      <c r="Q82">
        <v>128.4</v>
      </c>
      <c r="R82">
        <f t="shared" si="4"/>
        <v>249.79449599999998</v>
      </c>
    </row>
    <row r="83" spans="1:18">
      <c r="A83" s="56" t="s">
        <v>647</v>
      </c>
      <c r="B83" s="47"/>
      <c r="C83" s="57" t="s">
        <v>634</v>
      </c>
      <c r="D83" s="48" t="s">
        <v>635</v>
      </c>
      <c r="E83" s="48">
        <v>2</v>
      </c>
      <c r="F83" s="48">
        <v>2100</v>
      </c>
      <c r="G83" s="48">
        <v>100</v>
      </c>
      <c r="H83" s="48">
        <v>100</v>
      </c>
      <c r="I83" s="48">
        <v>25.3</v>
      </c>
      <c r="J83" s="48">
        <v>50.6</v>
      </c>
      <c r="K83" s="48">
        <v>24.6</v>
      </c>
      <c r="L83" s="48">
        <v>49.3</v>
      </c>
      <c r="M83" s="48">
        <v>1.62</v>
      </c>
      <c r="N83" s="50">
        <v>750</v>
      </c>
      <c r="P83" s="23">
        <f t="shared" si="5"/>
        <v>1.6212</v>
      </c>
      <c r="Q83">
        <v>128.4</v>
      </c>
      <c r="R83">
        <f t="shared" si="4"/>
        <v>249.79449599999998</v>
      </c>
    </row>
    <row r="84" spans="1:18">
      <c r="A84" s="56" t="s">
        <v>647</v>
      </c>
      <c r="B84" s="47"/>
      <c r="C84" s="57" t="s">
        <v>634</v>
      </c>
      <c r="D84" s="48" t="s">
        <v>635</v>
      </c>
      <c r="E84" s="48">
        <v>12</v>
      </c>
      <c r="F84" s="48">
        <v>2100</v>
      </c>
      <c r="G84" s="48">
        <v>100</v>
      </c>
      <c r="H84" s="48">
        <v>100</v>
      </c>
      <c r="I84" s="48">
        <v>25.3</v>
      </c>
      <c r="J84" s="48">
        <v>303.89999999999998</v>
      </c>
      <c r="K84" s="48">
        <v>24.6</v>
      </c>
      <c r="L84" s="48">
        <v>295.7</v>
      </c>
      <c r="M84" s="48">
        <v>9.73</v>
      </c>
      <c r="N84" s="50">
        <v>750</v>
      </c>
      <c r="P84" s="23">
        <f t="shared" si="5"/>
        <v>9.7271999999999998</v>
      </c>
      <c r="Q84">
        <v>128.4</v>
      </c>
      <c r="R84">
        <f t="shared" si="4"/>
        <v>1498.7669760000001</v>
      </c>
    </row>
    <row r="85" spans="1:18">
      <c r="A85" s="56" t="s">
        <v>647</v>
      </c>
      <c r="B85" s="47"/>
      <c r="C85" s="57" t="s">
        <v>634</v>
      </c>
      <c r="D85" s="48" t="s">
        <v>635</v>
      </c>
      <c r="E85" s="48">
        <v>2</v>
      </c>
      <c r="F85" s="48">
        <v>2100.1</v>
      </c>
      <c r="G85" s="48">
        <v>100</v>
      </c>
      <c r="H85" s="48">
        <v>100</v>
      </c>
      <c r="I85" s="48">
        <v>25.3</v>
      </c>
      <c r="J85" s="48">
        <v>50.6</v>
      </c>
      <c r="K85" s="48">
        <v>24.6</v>
      </c>
      <c r="L85" s="48">
        <v>49.3</v>
      </c>
      <c r="M85" s="48">
        <v>1.62</v>
      </c>
      <c r="N85" s="50">
        <v>750</v>
      </c>
      <c r="P85" s="23">
        <f t="shared" si="5"/>
        <v>1.6212772</v>
      </c>
      <c r="Q85">
        <v>128.4</v>
      </c>
      <c r="R85">
        <f t="shared" si="4"/>
        <v>249.80639097599999</v>
      </c>
    </row>
    <row r="86" spans="1:18">
      <c r="A86" s="56" t="s">
        <v>647</v>
      </c>
      <c r="B86" s="47"/>
      <c r="C86" s="57" t="s">
        <v>634</v>
      </c>
      <c r="D86" s="48" t="s">
        <v>635</v>
      </c>
      <c r="E86" s="48">
        <v>1</v>
      </c>
      <c r="F86" s="48">
        <v>2100.1999999999998</v>
      </c>
      <c r="G86" s="48">
        <v>100</v>
      </c>
      <c r="H86" s="48">
        <v>100</v>
      </c>
      <c r="I86" s="48">
        <v>25.3</v>
      </c>
      <c r="J86" s="48">
        <v>25.3</v>
      </c>
      <c r="K86" s="48">
        <v>24.6</v>
      </c>
      <c r="L86" s="48">
        <v>24.6</v>
      </c>
      <c r="M86" s="48">
        <v>0.81</v>
      </c>
      <c r="N86" s="50">
        <v>750</v>
      </c>
      <c r="P86" s="23">
        <f t="shared" si="5"/>
        <v>0.81067719999999999</v>
      </c>
      <c r="Q86">
        <v>128.4</v>
      </c>
      <c r="R86">
        <f t="shared" si="4"/>
        <v>124.909142976</v>
      </c>
    </row>
    <row r="87" spans="1:18">
      <c r="A87" s="56" t="s">
        <v>647</v>
      </c>
      <c r="B87" s="47"/>
      <c r="C87" s="57" t="s">
        <v>634</v>
      </c>
      <c r="D87" s="48" t="s">
        <v>635</v>
      </c>
      <c r="E87" s="48">
        <v>1</v>
      </c>
      <c r="F87" s="48">
        <v>2100.1999999999998</v>
      </c>
      <c r="G87" s="48">
        <v>100</v>
      </c>
      <c r="H87" s="48">
        <v>100</v>
      </c>
      <c r="I87" s="48">
        <v>25.3</v>
      </c>
      <c r="J87" s="48">
        <v>25.3</v>
      </c>
      <c r="K87" s="48">
        <v>24.6</v>
      </c>
      <c r="L87" s="48">
        <v>24.6</v>
      </c>
      <c r="M87" s="48">
        <v>0.81</v>
      </c>
      <c r="N87" s="50">
        <v>750</v>
      </c>
      <c r="P87" s="23">
        <f t="shared" si="5"/>
        <v>0.81067719999999999</v>
      </c>
      <c r="Q87">
        <v>128.4</v>
      </c>
      <c r="R87">
        <f t="shared" si="4"/>
        <v>124.909142976</v>
      </c>
    </row>
    <row r="88" spans="1:18">
      <c r="A88" s="56" t="s">
        <v>647</v>
      </c>
      <c r="B88" s="47"/>
      <c r="C88" s="57" t="s">
        <v>634</v>
      </c>
      <c r="D88" s="48" t="s">
        <v>635</v>
      </c>
      <c r="E88" s="48">
        <v>4</v>
      </c>
      <c r="F88" s="48">
        <v>2100.1999999999998</v>
      </c>
      <c r="G88" s="48">
        <v>100</v>
      </c>
      <c r="H88" s="48">
        <v>100</v>
      </c>
      <c r="I88" s="48">
        <v>25.3</v>
      </c>
      <c r="J88" s="48">
        <v>101.3</v>
      </c>
      <c r="K88" s="48">
        <v>24.6</v>
      </c>
      <c r="L88" s="48">
        <v>98.6</v>
      </c>
      <c r="M88" s="48">
        <v>3.25</v>
      </c>
      <c r="N88" s="50">
        <v>750</v>
      </c>
      <c r="P88" s="23">
        <f t="shared" si="5"/>
        <v>3.2427087999999999</v>
      </c>
      <c r="Q88">
        <v>128.4</v>
      </c>
      <c r="R88">
        <f t="shared" si="4"/>
        <v>499.63657190399999</v>
      </c>
    </row>
    <row r="89" spans="1:18">
      <c r="A89" s="56" t="s">
        <v>647</v>
      </c>
      <c r="B89" s="47"/>
      <c r="C89" s="57" t="s">
        <v>634</v>
      </c>
      <c r="D89" s="48" t="s">
        <v>635</v>
      </c>
      <c r="E89" s="48">
        <v>2</v>
      </c>
      <c r="F89" s="48">
        <v>2100.5</v>
      </c>
      <c r="G89" s="48">
        <v>100</v>
      </c>
      <c r="H89" s="48">
        <v>100</v>
      </c>
      <c r="I89" s="48">
        <v>25.3</v>
      </c>
      <c r="J89" s="48">
        <v>50.7</v>
      </c>
      <c r="K89" s="48">
        <v>24.6</v>
      </c>
      <c r="L89" s="48">
        <v>49.3</v>
      </c>
      <c r="M89" s="48">
        <v>1.62</v>
      </c>
      <c r="N89" s="50">
        <v>750</v>
      </c>
      <c r="P89" s="23">
        <f t="shared" si="5"/>
        <v>1.621586</v>
      </c>
      <c r="Q89">
        <v>128.4</v>
      </c>
      <c r="R89">
        <f t="shared" si="4"/>
        <v>249.85397088000002</v>
      </c>
    </row>
    <row r="90" spans="1:18">
      <c r="A90" s="56" t="s">
        <v>647</v>
      </c>
      <c r="B90" s="47"/>
      <c r="C90" s="57" t="s">
        <v>634</v>
      </c>
      <c r="D90" s="48" t="s">
        <v>635</v>
      </c>
      <c r="E90" s="48">
        <v>2</v>
      </c>
      <c r="F90" s="48">
        <v>2100.6999999999998</v>
      </c>
      <c r="G90" s="48">
        <v>100</v>
      </c>
      <c r="H90" s="48">
        <v>100</v>
      </c>
      <c r="I90" s="48">
        <v>25.3</v>
      </c>
      <c r="J90" s="48">
        <v>50.7</v>
      </c>
      <c r="K90" s="48">
        <v>24.6</v>
      </c>
      <c r="L90" s="48">
        <v>49.3</v>
      </c>
      <c r="M90" s="48">
        <v>1.62</v>
      </c>
      <c r="N90" s="50">
        <v>750</v>
      </c>
      <c r="P90" s="23">
        <f t="shared" si="5"/>
        <v>1.6217404</v>
      </c>
      <c r="Q90">
        <v>128.4</v>
      </c>
      <c r="R90">
        <f t="shared" si="4"/>
        <v>249.87776083200001</v>
      </c>
    </row>
    <row r="91" spans="1:18">
      <c r="A91" s="56" t="s">
        <v>648</v>
      </c>
      <c r="B91" s="47"/>
      <c r="C91" s="57" t="s">
        <v>634</v>
      </c>
      <c r="D91" s="48" t="s">
        <v>635</v>
      </c>
      <c r="E91" s="48">
        <v>2</v>
      </c>
      <c r="F91" s="48">
        <v>2098</v>
      </c>
      <c r="G91" s="48">
        <v>100</v>
      </c>
      <c r="H91" s="48">
        <v>100</v>
      </c>
      <c r="I91" s="48">
        <v>25.3</v>
      </c>
      <c r="J91" s="48">
        <v>50.6</v>
      </c>
      <c r="K91" s="48">
        <v>24.6</v>
      </c>
      <c r="L91" s="48">
        <v>49.2</v>
      </c>
      <c r="M91" s="48">
        <v>1.62</v>
      </c>
      <c r="N91" s="50">
        <v>750</v>
      </c>
      <c r="P91" s="23">
        <f t="shared" si="5"/>
        <v>1.619656</v>
      </c>
      <c r="Q91">
        <v>128.4</v>
      </c>
      <c r="R91">
        <f t="shared" si="4"/>
        <v>249.55659648</v>
      </c>
    </row>
    <row r="92" spans="1:18">
      <c r="A92" s="46" t="s">
        <v>649</v>
      </c>
      <c r="B92" s="47"/>
      <c r="C92" s="57" t="s">
        <v>650</v>
      </c>
      <c r="D92" s="48" t="s">
        <v>592</v>
      </c>
      <c r="E92" s="48">
        <v>20</v>
      </c>
      <c r="F92" s="48">
        <v>170</v>
      </c>
      <c r="G92" s="48">
        <v>15</v>
      </c>
      <c r="H92" s="48">
        <v>270</v>
      </c>
      <c r="I92" s="48">
        <v>5.4</v>
      </c>
      <c r="J92" s="48">
        <v>108.1</v>
      </c>
      <c r="K92" s="48">
        <v>5.4</v>
      </c>
      <c r="L92" s="48">
        <v>108.1</v>
      </c>
      <c r="M92" s="48">
        <v>2.1</v>
      </c>
      <c r="N92" s="50">
        <v>600</v>
      </c>
      <c r="P92" s="23">
        <f t="shared" ref="P92:P113" si="6">(F92*H92)*2/1000000*E92</f>
        <v>1.8360000000000001</v>
      </c>
      <c r="Q92">
        <v>9.9</v>
      </c>
      <c r="R92">
        <f t="shared" si="4"/>
        <v>21.811679999999999</v>
      </c>
    </row>
    <row r="93" spans="1:18">
      <c r="A93" s="46" t="s">
        <v>651</v>
      </c>
      <c r="B93" s="47"/>
      <c r="C93" s="57" t="s">
        <v>652</v>
      </c>
      <c r="D93" s="48" t="s">
        <v>107</v>
      </c>
      <c r="E93" s="48">
        <v>52</v>
      </c>
      <c r="F93" s="48">
        <v>200</v>
      </c>
      <c r="G93" s="48">
        <v>10</v>
      </c>
      <c r="H93" s="48">
        <v>70</v>
      </c>
      <c r="I93" s="48">
        <v>0.9</v>
      </c>
      <c r="J93" s="48">
        <v>44.9</v>
      </c>
      <c r="K93" s="48">
        <v>1.1000000000000001</v>
      </c>
      <c r="L93" s="48">
        <v>57.1</v>
      </c>
      <c r="M93" s="48">
        <v>0.73</v>
      </c>
      <c r="N93" s="50">
        <v>600</v>
      </c>
      <c r="P93" s="23">
        <f t="shared" si="6"/>
        <v>1.456</v>
      </c>
      <c r="Q93">
        <v>33.9</v>
      </c>
      <c r="R93">
        <f t="shared" si="4"/>
        <v>59.230079999999994</v>
      </c>
    </row>
    <row r="94" spans="1:18">
      <c r="A94" s="46" t="s">
        <v>653</v>
      </c>
      <c r="B94" s="47"/>
      <c r="C94" s="57" t="s">
        <v>598</v>
      </c>
      <c r="D94" s="48" t="s">
        <v>107</v>
      </c>
      <c r="E94" s="48">
        <v>20</v>
      </c>
      <c r="F94" s="48">
        <v>300</v>
      </c>
      <c r="G94" s="48">
        <v>15</v>
      </c>
      <c r="H94" s="48">
        <v>160</v>
      </c>
      <c r="I94" s="48">
        <v>5.7</v>
      </c>
      <c r="J94" s="48">
        <v>113</v>
      </c>
      <c r="K94" s="48">
        <v>5.7</v>
      </c>
      <c r="L94" s="48">
        <v>113</v>
      </c>
      <c r="M94" s="48">
        <v>0.96</v>
      </c>
      <c r="N94" s="50">
        <v>600</v>
      </c>
      <c r="P94" s="23">
        <f t="shared" si="6"/>
        <v>1.92</v>
      </c>
      <c r="Q94">
        <v>9.9</v>
      </c>
      <c r="R94">
        <f t="shared" si="4"/>
        <v>22.8096</v>
      </c>
    </row>
    <row r="95" spans="1:18">
      <c r="A95" s="46" t="s">
        <v>654</v>
      </c>
      <c r="B95" s="47"/>
      <c r="C95" s="57" t="s">
        <v>598</v>
      </c>
      <c r="D95" s="48" t="s">
        <v>107</v>
      </c>
      <c r="E95" s="48">
        <v>32</v>
      </c>
      <c r="F95" s="48">
        <v>300</v>
      </c>
      <c r="G95" s="48">
        <v>15</v>
      </c>
      <c r="H95" s="48">
        <v>160</v>
      </c>
      <c r="I95" s="48">
        <v>5.4</v>
      </c>
      <c r="J95" s="48">
        <v>171.9</v>
      </c>
      <c r="K95" s="48">
        <v>5.7</v>
      </c>
      <c r="L95" s="48">
        <v>180.9</v>
      </c>
      <c r="M95" s="48">
        <v>1.54</v>
      </c>
      <c r="N95" s="50">
        <v>600</v>
      </c>
      <c r="P95" s="23">
        <f t="shared" si="6"/>
        <v>3.0720000000000001</v>
      </c>
      <c r="Q95">
        <v>9.9</v>
      </c>
      <c r="R95">
        <f t="shared" si="4"/>
        <v>36.495359999999998</v>
      </c>
    </row>
    <row r="96" spans="1:18">
      <c r="A96" s="46" t="s">
        <v>655</v>
      </c>
      <c r="B96" s="47"/>
      <c r="C96" s="57" t="s">
        <v>656</v>
      </c>
      <c r="D96" s="48" t="s">
        <v>107</v>
      </c>
      <c r="E96" s="48">
        <v>6</v>
      </c>
      <c r="F96" s="48">
        <v>360</v>
      </c>
      <c r="G96" s="48">
        <v>20</v>
      </c>
      <c r="H96" s="48">
        <v>300</v>
      </c>
      <c r="I96" s="48">
        <v>16.7</v>
      </c>
      <c r="J96" s="48">
        <v>100.4</v>
      </c>
      <c r="K96" s="48">
        <v>17</v>
      </c>
      <c r="L96" s="48">
        <v>101.7</v>
      </c>
      <c r="M96" s="48">
        <v>0.65</v>
      </c>
      <c r="N96" s="50">
        <v>600</v>
      </c>
      <c r="P96" s="23">
        <f t="shared" si="6"/>
        <v>1.296</v>
      </c>
      <c r="Q96">
        <v>17.899999999999999</v>
      </c>
      <c r="R96">
        <f t="shared" si="4"/>
        <v>27.838079999999998</v>
      </c>
    </row>
    <row r="97" spans="1:18">
      <c r="A97" s="46" t="s">
        <v>655</v>
      </c>
      <c r="B97" s="47"/>
      <c r="C97" s="57" t="s">
        <v>656</v>
      </c>
      <c r="D97" s="48" t="s">
        <v>107</v>
      </c>
      <c r="E97" s="48">
        <v>2</v>
      </c>
      <c r="F97" s="48">
        <v>360</v>
      </c>
      <c r="G97" s="48">
        <v>20</v>
      </c>
      <c r="H97" s="48">
        <v>300</v>
      </c>
      <c r="I97" s="48">
        <v>16.7</v>
      </c>
      <c r="J97" s="48">
        <v>33.5</v>
      </c>
      <c r="K97" s="48">
        <v>17</v>
      </c>
      <c r="L97" s="48">
        <v>33.9</v>
      </c>
      <c r="M97" s="48">
        <v>0.22</v>
      </c>
      <c r="N97" s="50">
        <v>600</v>
      </c>
      <c r="P97" s="23">
        <f t="shared" si="6"/>
        <v>0.432</v>
      </c>
      <c r="Q97">
        <v>17.899999999999999</v>
      </c>
      <c r="R97">
        <f t="shared" si="4"/>
        <v>9.2793599999999987</v>
      </c>
    </row>
    <row r="98" spans="1:18">
      <c r="A98" s="46" t="s">
        <v>657</v>
      </c>
      <c r="B98" s="47"/>
      <c r="C98" s="57" t="s">
        <v>658</v>
      </c>
      <c r="D98" s="48" t="s">
        <v>107</v>
      </c>
      <c r="E98" s="48">
        <v>10</v>
      </c>
      <c r="F98" s="48">
        <v>360</v>
      </c>
      <c r="G98" s="48">
        <v>20</v>
      </c>
      <c r="H98" s="48">
        <v>135</v>
      </c>
      <c r="I98" s="48">
        <v>7.5</v>
      </c>
      <c r="J98" s="48">
        <v>75.2</v>
      </c>
      <c r="K98" s="48">
        <v>7.6</v>
      </c>
      <c r="L98" s="48">
        <v>76.3</v>
      </c>
      <c r="M98" s="48">
        <v>0.49</v>
      </c>
      <c r="N98" s="50">
        <v>600</v>
      </c>
      <c r="P98" s="23">
        <f t="shared" si="6"/>
        <v>0.97199999999999998</v>
      </c>
      <c r="Q98">
        <v>17.899999999999999</v>
      </c>
      <c r="R98">
        <f t="shared" si="4"/>
        <v>20.878559999999997</v>
      </c>
    </row>
    <row r="99" spans="1:18">
      <c r="A99" s="46" t="s">
        <v>659</v>
      </c>
      <c r="B99" s="47"/>
      <c r="C99" s="57" t="s">
        <v>660</v>
      </c>
      <c r="D99" s="48" t="s">
        <v>107</v>
      </c>
      <c r="E99" s="48">
        <v>12</v>
      </c>
      <c r="F99" s="48">
        <v>100</v>
      </c>
      <c r="G99" s="48">
        <v>5</v>
      </c>
      <c r="H99" s="48">
        <v>50</v>
      </c>
      <c r="I99" s="48">
        <v>0.2</v>
      </c>
      <c r="J99" s="48">
        <v>2.2000000000000002</v>
      </c>
      <c r="K99" s="48">
        <v>0.2</v>
      </c>
      <c r="L99" s="48">
        <v>2.4</v>
      </c>
      <c r="M99" s="48">
        <v>0.06</v>
      </c>
      <c r="N99" s="50">
        <v>600</v>
      </c>
      <c r="P99" s="23">
        <f t="shared" si="6"/>
        <v>0.12</v>
      </c>
      <c r="Q99">
        <v>54.1</v>
      </c>
      <c r="R99">
        <f t="shared" si="4"/>
        <v>7.7904</v>
      </c>
    </row>
    <row r="100" spans="1:18">
      <c r="A100" s="46" t="s">
        <v>661</v>
      </c>
      <c r="B100" s="47"/>
      <c r="C100" s="57" t="s">
        <v>662</v>
      </c>
      <c r="D100" s="48" t="s">
        <v>592</v>
      </c>
      <c r="E100" s="48">
        <v>12</v>
      </c>
      <c r="F100" s="48">
        <v>144</v>
      </c>
      <c r="G100" s="48">
        <v>5</v>
      </c>
      <c r="H100" s="48">
        <v>144</v>
      </c>
      <c r="I100" s="48">
        <v>0.8</v>
      </c>
      <c r="J100" s="48">
        <v>9.8000000000000007</v>
      </c>
      <c r="K100" s="48">
        <v>0.8</v>
      </c>
      <c r="L100" s="48">
        <v>9.8000000000000007</v>
      </c>
      <c r="M100" s="48">
        <v>0.53</v>
      </c>
      <c r="N100" s="50">
        <v>600</v>
      </c>
      <c r="P100" s="23">
        <f t="shared" si="6"/>
        <v>0.497664</v>
      </c>
      <c r="Q100">
        <v>54.1</v>
      </c>
      <c r="R100">
        <f t="shared" si="4"/>
        <v>32.308346879999995</v>
      </c>
    </row>
    <row r="101" spans="1:18">
      <c r="A101" s="46" t="s">
        <v>663</v>
      </c>
      <c r="B101" s="47"/>
      <c r="C101" s="57" t="s">
        <v>528</v>
      </c>
      <c r="D101" s="48" t="s">
        <v>592</v>
      </c>
      <c r="E101" s="48">
        <v>40</v>
      </c>
      <c r="F101" s="48">
        <v>400</v>
      </c>
      <c r="G101" s="48">
        <v>10</v>
      </c>
      <c r="H101" s="48">
        <v>120</v>
      </c>
      <c r="I101" s="48">
        <v>3.8</v>
      </c>
      <c r="J101" s="48">
        <v>150.69999999999999</v>
      </c>
      <c r="K101" s="48">
        <v>3.8</v>
      </c>
      <c r="L101" s="48">
        <v>150.69999999999999</v>
      </c>
      <c r="M101" s="48">
        <v>1.92</v>
      </c>
      <c r="N101" s="50">
        <v>600</v>
      </c>
      <c r="P101" s="23">
        <f t="shared" si="6"/>
        <v>3.84</v>
      </c>
      <c r="Q101">
        <v>33.9</v>
      </c>
      <c r="R101">
        <f t="shared" si="4"/>
        <v>156.21119999999999</v>
      </c>
    </row>
    <row r="102" spans="1:18">
      <c r="A102" s="46" t="s">
        <v>664</v>
      </c>
      <c r="B102" s="47"/>
      <c r="C102" s="57" t="s">
        <v>665</v>
      </c>
      <c r="D102" s="48" t="s">
        <v>592</v>
      </c>
      <c r="E102" s="48">
        <v>40</v>
      </c>
      <c r="F102" s="48">
        <v>114</v>
      </c>
      <c r="G102" s="48">
        <v>5</v>
      </c>
      <c r="H102" s="48">
        <v>114</v>
      </c>
      <c r="I102" s="48">
        <v>0.5</v>
      </c>
      <c r="J102" s="48">
        <v>20.399999999999999</v>
      </c>
      <c r="K102" s="48">
        <v>0.5</v>
      </c>
      <c r="L102" s="48">
        <v>20.399999999999999</v>
      </c>
      <c r="M102" s="48">
        <v>1.1299999999999999</v>
      </c>
      <c r="N102" s="50">
        <v>600</v>
      </c>
      <c r="P102" s="23">
        <f t="shared" si="6"/>
        <v>1.0396800000000002</v>
      </c>
      <c r="Q102">
        <v>54.1</v>
      </c>
      <c r="R102">
        <f t="shared" si="4"/>
        <v>67.49602560000001</v>
      </c>
    </row>
    <row r="103" spans="1:18">
      <c r="A103" s="46" t="s">
        <v>666</v>
      </c>
      <c r="B103" s="47"/>
      <c r="C103" s="57" t="s">
        <v>667</v>
      </c>
      <c r="D103" s="48" t="s">
        <v>592</v>
      </c>
      <c r="E103" s="48">
        <v>80</v>
      </c>
      <c r="F103" s="48">
        <v>110</v>
      </c>
      <c r="G103" s="48">
        <v>5</v>
      </c>
      <c r="H103" s="48">
        <v>45</v>
      </c>
      <c r="I103" s="48">
        <v>0.2</v>
      </c>
      <c r="J103" s="48">
        <v>15.5</v>
      </c>
      <c r="K103" s="48">
        <v>0.2</v>
      </c>
      <c r="L103" s="48">
        <v>15.5</v>
      </c>
      <c r="M103" s="48">
        <v>0.4</v>
      </c>
      <c r="N103" s="50">
        <v>600</v>
      </c>
      <c r="P103" s="23">
        <f t="shared" si="6"/>
        <v>0.79200000000000004</v>
      </c>
      <c r="Q103">
        <v>54.1</v>
      </c>
      <c r="R103">
        <f t="shared" si="4"/>
        <v>51.416640000000001</v>
      </c>
    </row>
    <row r="104" spans="1:18">
      <c r="A104" s="46" t="s">
        <v>668</v>
      </c>
      <c r="B104" s="47"/>
      <c r="C104" s="57" t="s">
        <v>669</v>
      </c>
      <c r="D104" s="48" t="s">
        <v>592</v>
      </c>
      <c r="E104" s="48">
        <v>40</v>
      </c>
      <c r="F104" s="48">
        <v>450</v>
      </c>
      <c r="G104" s="48">
        <v>20</v>
      </c>
      <c r="H104" s="48">
        <v>160</v>
      </c>
      <c r="I104" s="48">
        <v>11.3</v>
      </c>
      <c r="J104" s="48">
        <v>452.2</v>
      </c>
      <c r="K104" s="48">
        <v>11.3</v>
      </c>
      <c r="L104" s="48">
        <v>452.2</v>
      </c>
      <c r="M104" s="48">
        <v>6.74</v>
      </c>
      <c r="N104" s="50">
        <v>600</v>
      </c>
      <c r="P104" s="23">
        <f t="shared" si="6"/>
        <v>5.76</v>
      </c>
      <c r="Q104">
        <v>17.899999999999999</v>
      </c>
      <c r="R104">
        <f t="shared" si="4"/>
        <v>123.72479999999997</v>
      </c>
    </row>
    <row r="105" spans="1:18">
      <c r="A105" s="46" t="s">
        <v>670</v>
      </c>
      <c r="B105" s="47"/>
      <c r="C105" s="57" t="s">
        <v>543</v>
      </c>
      <c r="D105" s="48" t="s">
        <v>592</v>
      </c>
      <c r="E105" s="48">
        <v>7</v>
      </c>
      <c r="F105" s="48">
        <v>100</v>
      </c>
      <c r="G105" s="48">
        <v>10</v>
      </c>
      <c r="H105" s="48">
        <v>100</v>
      </c>
      <c r="I105" s="48">
        <v>0.8</v>
      </c>
      <c r="J105" s="48">
        <v>5.5</v>
      </c>
      <c r="K105" s="48">
        <v>0.8</v>
      </c>
      <c r="L105" s="48">
        <v>5.5</v>
      </c>
      <c r="M105" s="48">
        <v>0.17</v>
      </c>
      <c r="N105" s="50">
        <v>600</v>
      </c>
      <c r="P105" s="23">
        <f t="shared" si="6"/>
        <v>0.14000000000000001</v>
      </c>
      <c r="Q105">
        <v>33.9</v>
      </c>
      <c r="R105">
        <f t="shared" si="4"/>
        <v>5.6952000000000007</v>
      </c>
    </row>
    <row r="106" spans="1:18">
      <c r="A106" s="46" t="s">
        <v>670</v>
      </c>
      <c r="B106" s="47"/>
      <c r="C106" s="57" t="s">
        <v>543</v>
      </c>
      <c r="D106" s="48" t="s">
        <v>592</v>
      </c>
      <c r="E106" s="48">
        <v>40</v>
      </c>
      <c r="F106" s="48">
        <v>100</v>
      </c>
      <c r="G106" s="48">
        <v>10</v>
      </c>
      <c r="H106" s="48">
        <v>100</v>
      </c>
      <c r="I106" s="48">
        <v>0.8</v>
      </c>
      <c r="J106" s="48">
        <v>31.4</v>
      </c>
      <c r="K106" s="48">
        <v>0.8</v>
      </c>
      <c r="L106" s="48">
        <v>31.4</v>
      </c>
      <c r="M106" s="48">
        <v>0.96</v>
      </c>
      <c r="N106" s="50">
        <v>600</v>
      </c>
      <c r="P106" s="23">
        <f t="shared" si="6"/>
        <v>0.8</v>
      </c>
      <c r="Q106">
        <v>33.9</v>
      </c>
      <c r="R106">
        <f t="shared" si="4"/>
        <v>32.543999999999997</v>
      </c>
    </row>
    <row r="107" spans="1:18">
      <c r="A107" s="46" t="s">
        <v>671</v>
      </c>
      <c r="B107" s="47"/>
      <c r="C107" s="57" t="s">
        <v>614</v>
      </c>
      <c r="D107" s="48" t="s">
        <v>592</v>
      </c>
      <c r="E107" s="48">
        <v>12</v>
      </c>
      <c r="F107" s="48">
        <v>194</v>
      </c>
      <c r="G107" s="48">
        <v>5</v>
      </c>
      <c r="H107" s="48">
        <v>194</v>
      </c>
      <c r="I107" s="48">
        <v>1.5</v>
      </c>
      <c r="J107" s="48">
        <v>17.7</v>
      </c>
      <c r="K107" s="48">
        <v>1.5</v>
      </c>
      <c r="L107" s="48">
        <v>17.7</v>
      </c>
      <c r="M107" s="48">
        <v>0.95</v>
      </c>
      <c r="N107" s="50">
        <v>600</v>
      </c>
      <c r="P107" s="23">
        <f t="shared" si="6"/>
        <v>0.90326400000000007</v>
      </c>
      <c r="Q107">
        <v>54.1</v>
      </c>
      <c r="R107">
        <f t="shared" si="4"/>
        <v>58.639898880000004</v>
      </c>
    </row>
    <row r="108" spans="1:18">
      <c r="A108" s="46" t="s">
        <v>672</v>
      </c>
      <c r="B108" s="47"/>
      <c r="C108" s="57" t="s">
        <v>673</v>
      </c>
      <c r="D108" s="48" t="s">
        <v>592</v>
      </c>
      <c r="E108" s="48">
        <v>24</v>
      </c>
      <c r="F108" s="48">
        <v>450</v>
      </c>
      <c r="G108" s="48">
        <v>5</v>
      </c>
      <c r="H108" s="48">
        <v>150</v>
      </c>
      <c r="I108" s="48">
        <v>2.6</v>
      </c>
      <c r="J108" s="48">
        <v>63.6</v>
      </c>
      <c r="K108" s="48">
        <v>2.6</v>
      </c>
      <c r="L108" s="48">
        <v>63.6</v>
      </c>
      <c r="M108" s="48">
        <v>1.62</v>
      </c>
      <c r="N108" s="50">
        <v>600</v>
      </c>
      <c r="P108" s="23">
        <f t="shared" si="6"/>
        <v>3.24</v>
      </c>
      <c r="Q108">
        <v>54.1</v>
      </c>
      <c r="R108">
        <f t="shared" si="4"/>
        <v>210.34080000000003</v>
      </c>
    </row>
    <row r="109" spans="1:18">
      <c r="A109" s="46" t="s">
        <v>674</v>
      </c>
      <c r="B109" s="47"/>
      <c r="C109" s="57" t="s">
        <v>650</v>
      </c>
      <c r="D109" s="48" t="s">
        <v>592</v>
      </c>
      <c r="E109" s="48">
        <v>20</v>
      </c>
      <c r="F109" s="48">
        <v>170</v>
      </c>
      <c r="G109" s="48">
        <v>15</v>
      </c>
      <c r="H109" s="48">
        <v>270</v>
      </c>
      <c r="I109" s="48">
        <v>5.4</v>
      </c>
      <c r="J109" s="48">
        <v>108.1</v>
      </c>
      <c r="K109" s="48">
        <v>5.4</v>
      </c>
      <c r="L109" s="48">
        <v>108.1</v>
      </c>
      <c r="M109" s="48">
        <v>2.1</v>
      </c>
      <c r="N109" s="50">
        <v>600</v>
      </c>
      <c r="P109" s="23">
        <f t="shared" si="6"/>
        <v>1.8360000000000001</v>
      </c>
      <c r="Q109">
        <v>9.9</v>
      </c>
      <c r="R109">
        <f t="shared" si="4"/>
        <v>21.811679999999999</v>
      </c>
    </row>
    <row r="110" spans="1:18">
      <c r="A110" s="46" t="s">
        <v>675</v>
      </c>
      <c r="B110" s="47"/>
      <c r="C110" s="57" t="s">
        <v>662</v>
      </c>
      <c r="D110" s="48" t="s">
        <v>592</v>
      </c>
      <c r="E110" s="48">
        <v>40</v>
      </c>
      <c r="F110" s="48">
        <v>94</v>
      </c>
      <c r="G110" s="48">
        <v>5</v>
      </c>
      <c r="H110" s="48">
        <v>144</v>
      </c>
      <c r="I110" s="48">
        <v>0.5</v>
      </c>
      <c r="J110" s="48">
        <v>21.3</v>
      </c>
      <c r="K110" s="48">
        <v>0.5</v>
      </c>
      <c r="L110" s="48">
        <v>21.3</v>
      </c>
      <c r="M110" s="48">
        <v>1.18</v>
      </c>
      <c r="N110" s="50">
        <v>600</v>
      </c>
      <c r="P110" s="23">
        <f t="shared" si="6"/>
        <v>1.0828799999999998</v>
      </c>
      <c r="Q110">
        <v>54.1</v>
      </c>
      <c r="R110">
        <f t="shared" si="4"/>
        <v>70.300569599999989</v>
      </c>
    </row>
    <row r="111" spans="1:18">
      <c r="A111" s="46" t="s">
        <v>676</v>
      </c>
      <c r="B111" s="47"/>
      <c r="C111" s="57" t="s">
        <v>529</v>
      </c>
      <c r="D111" s="48" t="s">
        <v>592</v>
      </c>
      <c r="E111" s="48">
        <v>24</v>
      </c>
      <c r="F111" s="48">
        <v>450</v>
      </c>
      <c r="G111" s="48">
        <v>10</v>
      </c>
      <c r="H111" s="48">
        <v>140</v>
      </c>
      <c r="I111" s="48">
        <v>4.9000000000000004</v>
      </c>
      <c r="J111" s="48">
        <v>118.7</v>
      </c>
      <c r="K111" s="48">
        <v>4.9000000000000004</v>
      </c>
      <c r="L111" s="48">
        <v>118.7</v>
      </c>
      <c r="M111" s="48">
        <v>1.51</v>
      </c>
      <c r="N111" s="50">
        <v>600</v>
      </c>
      <c r="P111" s="23">
        <f t="shared" si="6"/>
        <v>3.024</v>
      </c>
      <c r="Q111">
        <v>33.9</v>
      </c>
      <c r="R111">
        <f t="shared" si="4"/>
        <v>123.01631999999999</v>
      </c>
    </row>
    <row r="112" spans="1:18">
      <c r="A112" s="46" t="s">
        <v>677</v>
      </c>
      <c r="B112" s="47"/>
      <c r="C112" s="57" t="s">
        <v>660</v>
      </c>
      <c r="D112" s="48" t="s">
        <v>592</v>
      </c>
      <c r="E112" s="48">
        <v>20</v>
      </c>
      <c r="F112" s="48">
        <v>100</v>
      </c>
      <c r="G112" s="48">
        <v>5</v>
      </c>
      <c r="H112" s="48">
        <v>50</v>
      </c>
      <c r="I112" s="48">
        <v>0.2</v>
      </c>
      <c r="J112" s="48">
        <v>3.7</v>
      </c>
      <c r="K112" s="48">
        <v>0.2</v>
      </c>
      <c r="L112" s="48">
        <v>3.9</v>
      </c>
      <c r="M112" s="48">
        <v>0.1</v>
      </c>
      <c r="N112" s="50">
        <v>600</v>
      </c>
      <c r="P112" s="23">
        <f t="shared" si="6"/>
        <v>0.2</v>
      </c>
      <c r="Q112">
        <v>54.1</v>
      </c>
      <c r="R112">
        <f t="shared" si="4"/>
        <v>12.984</v>
      </c>
    </row>
    <row r="113" spans="1:18">
      <c r="A113" s="46" t="s">
        <v>678</v>
      </c>
      <c r="B113" s="47"/>
      <c r="C113" s="57" t="s">
        <v>660</v>
      </c>
      <c r="D113" s="48" t="s">
        <v>592</v>
      </c>
      <c r="E113" s="48">
        <v>20</v>
      </c>
      <c r="F113" s="48">
        <v>100</v>
      </c>
      <c r="G113" s="48">
        <v>5</v>
      </c>
      <c r="H113" s="48">
        <v>50</v>
      </c>
      <c r="I113" s="48">
        <v>0.2</v>
      </c>
      <c r="J113" s="48">
        <v>3.9</v>
      </c>
      <c r="K113" s="48">
        <v>0.2</v>
      </c>
      <c r="L113" s="48">
        <v>3.9</v>
      </c>
      <c r="M113" s="48">
        <v>0.1</v>
      </c>
      <c r="N113" s="50">
        <v>600</v>
      </c>
      <c r="P113" s="23">
        <f t="shared" si="6"/>
        <v>0.2</v>
      </c>
      <c r="Q113">
        <v>54.1</v>
      </c>
      <c r="R113">
        <f t="shared" si="4"/>
        <v>12.984</v>
      </c>
    </row>
    <row r="114" spans="1:18">
      <c r="A114" s="46" t="s">
        <v>679</v>
      </c>
      <c r="B114" s="47"/>
      <c r="C114" s="57" t="s">
        <v>680</v>
      </c>
      <c r="D114" s="48" t="s">
        <v>107</v>
      </c>
      <c r="E114" s="48">
        <v>2</v>
      </c>
      <c r="F114" s="48">
        <v>12135</v>
      </c>
      <c r="G114" s="48">
        <v>200</v>
      </c>
      <c r="H114" s="48">
        <v>200</v>
      </c>
      <c r="I114" s="48">
        <v>585.29999999999995</v>
      </c>
      <c r="J114" s="48">
        <v>1170.5999999999999</v>
      </c>
      <c r="K114" s="48">
        <v>564.29999999999995</v>
      </c>
      <c r="L114" s="48">
        <v>1128.7</v>
      </c>
      <c r="M114" s="48">
        <v>18.579999999999998</v>
      </c>
      <c r="N114" s="50">
        <v>600</v>
      </c>
      <c r="P114" s="23">
        <f xml:space="preserve"> 0.766*F114*E114/10^3</f>
        <v>18.590820000000001</v>
      </c>
      <c r="Q114">
        <v>69.7</v>
      </c>
      <c r="R114">
        <f t="shared" si="4"/>
        <v>1554.9361848000001</v>
      </c>
    </row>
    <row r="115" spans="1:18">
      <c r="A115" s="46" t="s">
        <v>681</v>
      </c>
      <c r="B115" s="47"/>
      <c r="C115" s="57" t="s">
        <v>682</v>
      </c>
      <c r="D115" s="48" t="s">
        <v>107</v>
      </c>
      <c r="E115" s="48">
        <v>12</v>
      </c>
      <c r="F115" s="48">
        <v>1911.5</v>
      </c>
      <c r="G115" s="48">
        <v>80</v>
      </c>
      <c r="H115" s="48">
        <v>80</v>
      </c>
      <c r="I115" s="48">
        <v>17.5</v>
      </c>
      <c r="J115" s="48">
        <v>209.4</v>
      </c>
      <c r="K115" s="48">
        <v>17.600000000000001</v>
      </c>
      <c r="L115" s="48">
        <v>211.5</v>
      </c>
      <c r="M115" s="48">
        <v>7.03</v>
      </c>
      <c r="N115" s="50">
        <v>560</v>
      </c>
      <c r="P115" s="23">
        <f xml:space="preserve"> 0.306*F115*E115/10^3</f>
        <v>7.0190280000000005</v>
      </c>
      <c r="Q115">
        <v>128.4</v>
      </c>
      <c r="R115">
        <f t="shared" si="4"/>
        <v>1081.4918342400001</v>
      </c>
    </row>
    <row r="116" spans="1:18">
      <c r="A116" s="46" t="s">
        <v>681</v>
      </c>
      <c r="B116" s="47"/>
      <c r="C116" s="57" t="s">
        <v>682</v>
      </c>
      <c r="D116" s="48" t="s">
        <v>107</v>
      </c>
      <c r="E116" s="48">
        <v>12</v>
      </c>
      <c r="F116" s="48">
        <v>1912</v>
      </c>
      <c r="G116" s="48">
        <v>80</v>
      </c>
      <c r="H116" s="48">
        <v>80</v>
      </c>
      <c r="I116" s="48">
        <v>17.5</v>
      </c>
      <c r="J116" s="48">
        <v>209.5</v>
      </c>
      <c r="K116" s="48">
        <v>17.600000000000001</v>
      </c>
      <c r="L116" s="48">
        <v>211.6</v>
      </c>
      <c r="M116" s="48">
        <v>7.03</v>
      </c>
      <c r="N116" s="50">
        <v>560</v>
      </c>
      <c r="P116" s="23">
        <f xml:space="preserve"> 0.306*F116*E116/10^3</f>
        <v>7.0208639999999995</v>
      </c>
      <c r="Q116">
        <v>128.4</v>
      </c>
      <c r="R116">
        <f t="shared" si="4"/>
        <v>1081.7747251199999</v>
      </c>
    </row>
    <row r="117" spans="1:18">
      <c r="A117" s="46" t="s">
        <v>683</v>
      </c>
      <c r="B117" s="47"/>
      <c r="C117" s="57" t="s">
        <v>682</v>
      </c>
      <c r="D117" s="48" t="s">
        <v>107</v>
      </c>
      <c r="E117" s="48">
        <v>4</v>
      </c>
      <c r="F117" s="48">
        <v>1924.3</v>
      </c>
      <c r="G117" s="48">
        <v>80</v>
      </c>
      <c r="H117" s="48">
        <v>80</v>
      </c>
      <c r="I117" s="48">
        <v>17.600000000000001</v>
      </c>
      <c r="J117" s="48">
        <v>70.2</v>
      </c>
      <c r="K117" s="48">
        <v>17.7</v>
      </c>
      <c r="L117" s="48">
        <v>71</v>
      </c>
      <c r="M117" s="48">
        <v>2.36</v>
      </c>
      <c r="N117" s="50">
        <v>560</v>
      </c>
      <c r="P117" s="23">
        <f xml:space="preserve"> 0.306*F117*E117/10^3</f>
        <v>2.3553431999999996</v>
      </c>
      <c r="Q117">
        <v>128.4</v>
      </c>
      <c r="R117">
        <f t="shared" si="4"/>
        <v>362.91128025599994</v>
      </c>
    </row>
    <row r="118" spans="1:18">
      <c r="A118" s="46" t="s">
        <v>684</v>
      </c>
      <c r="B118" s="47"/>
      <c r="C118" s="57" t="s">
        <v>685</v>
      </c>
      <c r="D118" s="48" t="s">
        <v>107</v>
      </c>
      <c r="E118" s="48">
        <v>6</v>
      </c>
      <c r="F118" s="48">
        <v>9563.1</v>
      </c>
      <c r="G118" s="48">
        <v>150</v>
      </c>
      <c r="H118" s="48">
        <v>150</v>
      </c>
      <c r="I118" s="48">
        <v>217.7</v>
      </c>
      <c r="J118" s="48">
        <v>1306.2</v>
      </c>
      <c r="K118" s="48">
        <v>212.9</v>
      </c>
      <c r="L118" s="48">
        <v>1277.2</v>
      </c>
      <c r="M118" s="48">
        <v>33.44</v>
      </c>
      <c r="N118" s="50">
        <v>630</v>
      </c>
      <c r="P118" s="23">
        <f xml:space="preserve"> 0.283*F118*E118/10^3</f>
        <v>16.2381438</v>
      </c>
      <c r="Q118">
        <v>72</v>
      </c>
      <c r="R118">
        <f t="shared" si="4"/>
        <v>1402.9756243199997</v>
      </c>
    </row>
    <row r="119" spans="1:18">
      <c r="A119" s="46" t="s">
        <v>686</v>
      </c>
      <c r="B119" s="47"/>
      <c r="C119" s="57" t="s">
        <v>687</v>
      </c>
      <c r="D119" s="48" t="s">
        <v>107</v>
      </c>
      <c r="E119" s="48">
        <v>40</v>
      </c>
      <c r="F119" s="48">
        <v>2722.6</v>
      </c>
      <c r="G119" s="48">
        <v>50</v>
      </c>
      <c r="H119" s="48">
        <v>50</v>
      </c>
      <c r="I119" s="48">
        <v>15.4</v>
      </c>
      <c r="J119" s="48">
        <v>617.4</v>
      </c>
      <c r="K119" s="48">
        <v>14.9</v>
      </c>
      <c r="L119" s="48">
        <v>594.1</v>
      </c>
      <c r="M119" s="48">
        <v>20.260000000000002</v>
      </c>
      <c r="N119" s="50">
        <v>675</v>
      </c>
      <c r="P119" s="23">
        <f xml:space="preserve"> 0.186*F119*E119/10^3</f>
        <v>20.256143999999999</v>
      </c>
      <c r="Q119">
        <v>63.5</v>
      </c>
      <c r="R119">
        <f t="shared" si="4"/>
        <v>1543.5181728</v>
      </c>
    </row>
    <row r="120" spans="1:18">
      <c r="A120" s="46" t="s">
        <v>688</v>
      </c>
      <c r="B120" s="47"/>
      <c r="C120" s="57" t="s">
        <v>689</v>
      </c>
      <c r="D120" s="48" t="s">
        <v>107</v>
      </c>
      <c r="E120" s="48">
        <v>20</v>
      </c>
      <c r="F120" s="48">
        <v>10089.6</v>
      </c>
      <c r="G120" s="48">
        <v>120</v>
      </c>
      <c r="H120" s="48">
        <v>120</v>
      </c>
      <c r="I120" s="48">
        <v>181.8</v>
      </c>
      <c r="J120" s="48">
        <v>3635.5</v>
      </c>
      <c r="K120" s="48">
        <v>177.1</v>
      </c>
      <c r="L120" s="48">
        <v>3541.4</v>
      </c>
      <c r="M120" s="48">
        <v>93.39</v>
      </c>
      <c r="N120" s="50">
        <v>645</v>
      </c>
      <c r="P120" s="23">
        <f xml:space="preserve"> 0.483*F120*E120/10^3</f>
        <v>97.465535999999986</v>
      </c>
      <c r="Q120">
        <v>72</v>
      </c>
      <c r="R120">
        <f t="shared" si="4"/>
        <v>8421.0223103999979</v>
      </c>
    </row>
    <row r="121" spans="1:18">
      <c r="A121" s="46" t="s">
        <v>688</v>
      </c>
      <c r="B121" s="47"/>
      <c r="C121" s="57" t="s">
        <v>689</v>
      </c>
      <c r="D121" s="48" t="s">
        <v>107</v>
      </c>
      <c r="E121" s="48">
        <v>20</v>
      </c>
      <c r="F121" s="48">
        <v>10089.6</v>
      </c>
      <c r="G121" s="48">
        <v>120</v>
      </c>
      <c r="H121" s="48">
        <v>120</v>
      </c>
      <c r="I121" s="48">
        <v>181.8</v>
      </c>
      <c r="J121" s="48">
        <v>3635.5</v>
      </c>
      <c r="K121" s="48">
        <v>177.1</v>
      </c>
      <c r="L121" s="48">
        <v>3541.4</v>
      </c>
      <c r="M121" s="48">
        <v>93.39</v>
      </c>
      <c r="N121" s="50">
        <v>645</v>
      </c>
      <c r="P121" s="23">
        <f xml:space="preserve"> 0.483*F121*E121/10^3</f>
        <v>97.465535999999986</v>
      </c>
      <c r="Q121">
        <v>72</v>
      </c>
      <c r="R121">
        <f t="shared" si="4"/>
        <v>8421.0223103999979</v>
      </c>
    </row>
    <row r="122" spans="1:18">
      <c r="A122" s="46" t="s">
        <v>690</v>
      </c>
      <c r="B122" s="47"/>
      <c r="C122" s="57" t="s">
        <v>691</v>
      </c>
      <c r="D122" s="48" t="s">
        <v>107</v>
      </c>
      <c r="E122" s="48">
        <v>20</v>
      </c>
      <c r="F122" s="48">
        <v>181.6</v>
      </c>
      <c r="G122" s="48">
        <v>100</v>
      </c>
      <c r="H122" s="48">
        <v>100</v>
      </c>
      <c r="I122" s="48">
        <v>4.0999999999999996</v>
      </c>
      <c r="J122" s="48">
        <v>83</v>
      </c>
      <c r="K122" s="48">
        <v>3.9</v>
      </c>
      <c r="L122" s="48">
        <v>77.7</v>
      </c>
      <c r="M122" s="48">
        <v>1.33</v>
      </c>
      <c r="N122" s="50">
        <v>580</v>
      </c>
      <c r="P122" s="23">
        <f xml:space="preserve"> 0.366*F122*E122/10^3</f>
        <v>1.3293119999999998</v>
      </c>
      <c r="Q122">
        <v>69.7</v>
      </c>
      <c r="R122">
        <f t="shared" si="4"/>
        <v>111.18365567999999</v>
      </c>
    </row>
    <row r="123" spans="1:18">
      <c r="A123" s="46" t="s">
        <v>692</v>
      </c>
      <c r="B123" s="47"/>
      <c r="C123" s="57" t="s">
        <v>682</v>
      </c>
      <c r="D123" s="48" t="s">
        <v>107</v>
      </c>
      <c r="E123" s="48">
        <v>20</v>
      </c>
      <c r="F123" s="48">
        <v>2506.8000000000002</v>
      </c>
      <c r="G123" s="48">
        <v>80</v>
      </c>
      <c r="H123" s="48">
        <v>80</v>
      </c>
      <c r="I123" s="48">
        <v>23</v>
      </c>
      <c r="J123" s="48">
        <v>460.3</v>
      </c>
      <c r="K123" s="48">
        <v>23.1</v>
      </c>
      <c r="L123" s="48">
        <v>462.4</v>
      </c>
      <c r="M123" s="48">
        <v>15.36</v>
      </c>
      <c r="N123" s="50">
        <v>560</v>
      </c>
      <c r="P123" s="23">
        <f xml:space="preserve"> 0.306*F123*E123/10^3</f>
        <v>15.341616000000002</v>
      </c>
      <c r="Q123">
        <v>128.4</v>
      </c>
      <c r="R123">
        <f t="shared" si="4"/>
        <v>2363.8361932800003</v>
      </c>
    </row>
    <row r="124" spans="1:18">
      <c r="A124" s="46" t="s">
        <v>692</v>
      </c>
      <c r="B124" s="47"/>
      <c r="C124" s="57" t="s">
        <v>682</v>
      </c>
      <c r="D124" s="48" t="s">
        <v>107</v>
      </c>
      <c r="E124" s="48">
        <v>20</v>
      </c>
      <c r="F124" s="48">
        <v>2506.8000000000002</v>
      </c>
      <c r="G124" s="48">
        <v>80</v>
      </c>
      <c r="H124" s="48">
        <v>80</v>
      </c>
      <c r="I124" s="48">
        <v>23</v>
      </c>
      <c r="J124" s="48">
        <v>460.3</v>
      </c>
      <c r="K124" s="48">
        <v>23.1</v>
      </c>
      <c r="L124" s="48">
        <v>462.4</v>
      </c>
      <c r="M124" s="48">
        <v>15.36</v>
      </c>
      <c r="N124" s="50">
        <v>560</v>
      </c>
      <c r="P124" s="23">
        <f xml:space="preserve"> 0.306*F124*E124/10^3</f>
        <v>15.341616000000002</v>
      </c>
      <c r="Q124">
        <v>128.4</v>
      </c>
      <c r="R124">
        <f t="shared" si="4"/>
        <v>2363.8361932800003</v>
      </c>
    </row>
    <row r="125" spans="1:18">
      <c r="A125" s="46" t="s">
        <v>693</v>
      </c>
      <c r="B125" s="47"/>
      <c r="C125" s="57" t="s">
        <v>694</v>
      </c>
      <c r="D125" s="48" t="s">
        <v>107</v>
      </c>
      <c r="E125" s="48">
        <v>20</v>
      </c>
      <c r="F125" s="48">
        <v>12110</v>
      </c>
      <c r="G125" s="48">
        <v>100</v>
      </c>
      <c r="H125" s="48">
        <v>150</v>
      </c>
      <c r="I125" s="48">
        <v>271.39999999999998</v>
      </c>
      <c r="J125" s="48">
        <v>5428.7</v>
      </c>
      <c r="K125" s="48">
        <v>262.39999999999998</v>
      </c>
      <c r="L125" s="48">
        <v>5247.5</v>
      </c>
      <c r="M125" s="48">
        <v>116.01</v>
      </c>
      <c r="N125" s="50">
        <v>610</v>
      </c>
      <c r="P125" s="23">
        <f xml:space="preserve"> 0.479*F125*E125/10^3</f>
        <v>116.01379999999999</v>
      </c>
      <c r="Q125">
        <v>93.7</v>
      </c>
      <c r="R125">
        <f t="shared" si="4"/>
        <v>13044.591671999999</v>
      </c>
    </row>
    <row r="126" spans="1:18">
      <c r="A126" s="46" t="s">
        <v>695</v>
      </c>
      <c r="B126" s="47"/>
      <c r="C126" s="57" t="s">
        <v>691</v>
      </c>
      <c r="D126" s="48" t="s">
        <v>107</v>
      </c>
      <c r="E126" s="48">
        <v>20</v>
      </c>
      <c r="F126" s="48">
        <v>86.5</v>
      </c>
      <c r="G126" s="48">
        <v>100</v>
      </c>
      <c r="H126" s="48">
        <v>100</v>
      </c>
      <c r="I126" s="48">
        <v>2</v>
      </c>
      <c r="J126" s="48">
        <v>39</v>
      </c>
      <c r="K126" s="48">
        <v>1.8</v>
      </c>
      <c r="L126" s="48">
        <v>37</v>
      </c>
      <c r="M126" s="48">
        <v>0.63</v>
      </c>
      <c r="N126" s="50">
        <v>580</v>
      </c>
      <c r="P126" s="23">
        <f xml:space="preserve"> 0.366*F126*E126/10^3</f>
        <v>0.63317999999999997</v>
      </c>
      <c r="Q126">
        <v>69.7</v>
      </c>
      <c r="R126">
        <f t="shared" si="4"/>
        <v>52.959175199999997</v>
      </c>
    </row>
    <row r="127" spans="1:18">
      <c r="A127" s="46" t="s">
        <v>696</v>
      </c>
      <c r="B127" s="47"/>
      <c r="C127" s="57" t="s">
        <v>687</v>
      </c>
      <c r="D127" s="48" t="s">
        <v>107</v>
      </c>
      <c r="E127" s="48">
        <v>20</v>
      </c>
      <c r="F127" s="48">
        <v>2628</v>
      </c>
      <c r="G127" s="48">
        <v>50</v>
      </c>
      <c r="H127" s="48">
        <v>50</v>
      </c>
      <c r="I127" s="48">
        <v>14.9</v>
      </c>
      <c r="J127" s="48">
        <v>297.7</v>
      </c>
      <c r="K127" s="48">
        <v>14.3</v>
      </c>
      <c r="L127" s="48">
        <v>286.8</v>
      </c>
      <c r="M127" s="48">
        <v>9.7799999999999994</v>
      </c>
      <c r="N127" s="50">
        <v>675</v>
      </c>
      <c r="P127" s="23">
        <f xml:space="preserve"> 0.186*F127*E127/10^3</f>
        <v>9.7761599999999991</v>
      </c>
      <c r="Q127">
        <v>63.5</v>
      </c>
      <c r="R127">
        <f t="shared" si="4"/>
        <v>744.94339200000002</v>
      </c>
    </row>
    <row r="128" spans="1:18">
      <c r="A128" s="46" t="s">
        <v>696</v>
      </c>
      <c r="B128" s="47"/>
      <c r="C128" s="57" t="s">
        <v>687</v>
      </c>
      <c r="D128" s="48" t="s">
        <v>107</v>
      </c>
      <c r="E128" s="48">
        <v>20</v>
      </c>
      <c r="F128" s="48">
        <v>2628</v>
      </c>
      <c r="G128" s="48">
        <v>50</v>
      </c>
      <c r="H128" s="48">
        <v>50</v>
      </c>
      <c r="I128" s="48">
        <v>14.9</v>
      </c>
      <c r="J128" s="48">
        <v>297.7</v>
      </c>
      <c r="K128" s="48">
        <v>14.3</v>
      </c>
      <c r="L128" s="48">
        <v>286.8</v>
      </c>
      <c r="M128" s="48">
        <v>9.7799999999999994</v>
      </c>
      <c r="N128" s="50">
        <v>675</v>
      </c>
      <c r="P128" s="23">
        <f xml:space="preserve"> 0.186*F128*E128/10^3</f>
        <v>9.7761599999999991</v>
      </c>
      <c r="Q128">
        <v>63.5</v>
      </c>
      <c r="R128">
        <f t="shared" si="4"/>
        <v>744.94339200000002</v>
      </c>
    </row>
    <row r="129" spans="1:18">
      <c r="A129" s="46" t="s">
        <v>697</v>
      </c>
      <c r="B129" s="47"/>
      <c r="C129" s="57" t="s">
        <v>698</v>
      </c>
      <c r="D129" s="48" t="s">
        <v>107</v>
      </c>
      <c r="E129" s="48">
        <v>20</v>
      </c>
      <c r="F129" s="48">
        <v>2525</v>
      </c>
      <c r="G129" s="48">
        <v>70</v>
      </c>
      <c r="H129" s="48">
        <v>70</v>
      </c>
      <c r="I129" s="48">
        <v>20.3</v>
      </c>
      <c r="J129" s="48">
        <v>405.7</v>
      </c>
      <c r="K129" s="48">
        <v>20.100000000000001</v>
      </c>
      <c r="L129" s="48">
        <v>402.3</v>
      </c>
      <c r="M129" s="48">
        <v>13.45</v>
      </c>
      <c r="N129" s="50">
        <v>610</v>
      </c>
      <c r="P129" s="23">
        <f xml:space="preserve"> 0.266*F129*E129/10^3</f>
        <v>13.433000000000002</v>
      </c>
      <c r="Q129">
        <v>63.5</v>
      </c>
      <c r="R129">
        <f t="shared" si="4"/>
        <v>1023.5946000000001</v>
      </c>
    </row>
    <row r="130" spans="1:18">
      <c r="A130" s="46" t="s">
        <v>697</v>
      </c>
      <c r="B130" s="47"/>
      <c r="C130" s="57" t="s">
        <v>698</v>
      </c>
      <c r="D130" s="48" t="s">
        <v>107</v>
      </c>
      <c r="E130" s="48">
        <v>20</v>
      </c>
      <c r="F130" s="48">
        <v>2525</v>
      </c>
      <c r="G130" s="48">
        <v>70</v>
      </c>
      <c r="H130" s="48">
        <v>70</v>
      </c>
      <c r="I130" s="48">
        <v>20.3</v>
      </c>
      <c r="J130" s="48">
        <v>405.7</v>
      </c>
      <c r="K130" s="48">
        <v>20.100000000000001</v>
      </c>
      <c r="L130" s="48">
        <v>402.3</v>
      </c>
      <c r="M130" s="48">
        <v>13.45</v>
      </c>
      <c r="N130" s="50">
        <v>610</v>
      </c>
      <c r="P130" s="23">
        <f xml:space="preserve"> 0.266*F130*E130/10^3</f>
        <v>13.433000000000002</v>
      </c>
      <c r="Q130">
        <v>63.5</v>
      </c>
      <c r="R130">
        <f t="shared" si="4"/>
        <v>1023.5946000000001</v>
      </c>
    </row>
    <row r="131" spans="1:18">
      <c r="A131" s="46" t="s">
        <v>699</v>
      </c>
      <c r="B131" s="47"/>
      <c r="C131" s="57" t="s">
        <v>698</v>
      </c>
      <c r="D131" s="48" t="s">
        <v>107</v>
      </c>
      <c r="E131" s="48">
        <v>20</v>
      </c>
      <c r="F131" s="48">
        <v>2616.3000000000002</v>
      </c>
      <c r="G131" s="48">
        <v>70</v>
      </c>
      <c r="H131" s="48">
        <v>70</v>
      </c>
      <c r="I131" s="48">
        <v>21.1</v>
      </c>
      <c r="J131" s="48">
        <v>421</v>
      </c>
      <c r="K131" s="48">
        <v>20.8</v>
      </c>
      <c r="L131" s="48">
        <v>416.8</v>
      </c>
      <c r="M131" s="48">
        <v>13.93</v>
      </c>
      <c r="N131" s="50">
        <v>610</v>
      </c>
      <c r="P131" s="23">
        <f xml:space="preserve"> 0.266*F131*E131/10^3</f>
        <v>13.918716000000002</v>
      </c>
      <c r="Q131">
        <v>63.5</v>
      </c>
      <c r="R131">
        <f t="shared" si="4"/>
        <v>1060.6061592000001</v>
      </c>
    </row>
    <row r="132" spans="1:18">
      <c r="A132" s="46" t="s">
        <v>699</v>
      </c>
      <c r="B132" s="47"/>
      <c r="C132" s="57" t="s">
        <v>698</v>
      </c>
      <c r="D132" s="48" t="s">
        <v>107</v>
      </c>
      <c r="E132" s="48">
        <v>20</v>
      </c>
      <c r="F132" s="48">
        <v>2616.3000000000002</v>
      </c>
      <c r="G132" s="48">
        <v>70</v>
      </c>
      <c r="H132" s="48">
        <v>70</v>
      </c>
      <c r="I132" s="48">
        <v>21.1</v>
      </c>
      <c r="J132" s="48">
        <v>421</v>
      </c>
      <c r="K132" s="48">
        <v>20.8</v>
      </c>
      <c r="L132" s="48">
        <v>416.8</v>
      </c>
      <c r="M132" s="48">
        <v>13.93</v>
      </c>
      <c r="N132" s="50">
        <v>610</v>
      </c>
      <c r="P132" s="23">
        <f xml:space="preserve"> 0.266*F132*E132/10^3</f>
        <v>13.918716000000002</v>
      </c>
      <c r="Q132">
        <v>63.5</v>
      </c>
      <c r="R132">
        <f t="shared" ref="R132:R151" si="7">Q132*P132*$T$2</f>
        <v>1060.6061592000001</v>
      </c>
    </row>
    <row r="133" spans="1:18">
      <c r="A133" s="46" t="s">
        <v>700</v>
      </c>
      <c r="B133" s="47"/>
      <c r="C133" s="57" t="s">
        <v>682</v>
      </c>
      <c r="D133" s="48" t="s">
        <v>107</v>
      </c>
      <c r="E133" s="48">
        <v>20</v>
      </c>
      <c r="F133" s="48">
        <v>2554.5</v>
      </c>
      <c r="G133" s="48">
        <v>80</v>
      </c>
      <c r="H133" s="48">
        <v>80</v>
      </c>
      <c r="I133" s="48">
        <v>23.4</v>
      </c>
      <c r="J133" s="48">
        <v>467.2</v>
      </c>
      <c r="K133" s="48">
        <v>23.6</v>
      </c>
      <c r="L133" s="48">
        <v>471.2</v>
      </c>
      <c r="M133" s="48">
        <v>15.65</v>
      </c>
      <c r="N133" s="50">
        <v>560</v>
      </c>
      <c r="P133" s="23">
        <f xml:space="preserve"> 0.306*F133*E133/10^3</f>
        <v>15.63354</v>
      </c>
      <c r="Q133">
        <v>128.4</v>
      </c>
      <c r="R133">
        <f t="shared" si="7"/>
        <v>2408.8158432</v>
      </c>
    </row>
    <row r="134" spans="1:18">
      <c r="A134" s="46" t="s">
        <v>701</v>
      </c>
      <c r="B134" s="47"/>
      <c r="C134" s="57" t="s">
        <v>694</v>
      </c>
      <c r="D134" s="48" t="s">
        <v>107</v>
      </c>
      <c r="E134" s="48">
        <v>20</v>
      </c>
      <c r="F134" s="48">
        <v>11980</v>
      </c>
      <c r="G134" s="48">
        <v>100</v>
      </c>
      <c r="H134" s="48">
        <v>150</v>
      </c>
      <c r="I134" s="48">
        <v>268.5</v>
      </c>
      <c r="J134" s="48">
        <v>5370.4</v>
      </c>
      <c r="K134" s="48">
        <v>259.60000000000002</v>
      </c>
      <c r="L134" s="48">
        <v>5191.2</v>
      </c>
      <c r="M134" s="48">
        <v>114.77</v>
      </c>
      <c r="N134" s="50">
        <v>610</v>
      </c>
      <c r="P134" s="23">
        <f xml:space="preserve"> 0.479*F134*E134/10^3</f>
        <v>114.7684</v>
      </c>
      <c r="Q134">
        <v>93.7</v>
      </c>
      <c r="R134">
        <f t="shared" si="7"/>
        <v>12904.558896</v>
      </c>
    </row>
    <row r="135" spans="1:18">
      <c r="A135" s="46" t="s">
        <v>702</v>
      </c>
      <c r="B135" s="47"/>
      <c r="C135" s="57" t="s">
        <v>680</v>
      </c>
      <c r="D135" s="48" t="s">
        <v>107</v>
      </c>
      <c r="E135" s="48">
        <v>4</v>
      </c>
      <c r="F135" s="48">
        <v>11970</v>
      </c>
      <c r="G135" s="48">
        <v>200</v>
      </c>
      <c r="H135" s="48">
        <v>200</v>
      </c>
      <c r="I135" s="48">
        <v>577.29999999999995</v>
      </c>
      <c r="J135" s="48">
        <v>2309.3000000000002</v>
      </c>
      <c r="K135" s="48">
        <v>556.70000000000005</v>
      </c>
      <c r="L135" s="48">
        <v>2226.6999999999998</v>
      </c>
      <c r="M135" s="48">
        <v>36.659999999999997</v>
      </c>
      <c r="N135" s="50">
        <v>600</v>
      </c>
      <c r="P135" s="23">
        <f xml:space="preserve"> 0.766*F135*E135/10^3</f>
        <v>36.676079999999999</v>
      </c>
      <c r="Q135">
        <v>69.7</v>
      </c>
      <c r="R135">
        <f t="shared" si="7"/>
        <v>3067.5873311999999</v>
      </c>
    </row>
    <row r="136" spans="1:18">
      <c r="A136" s="46" t="s">
        <v>703</v>
      </c>
      <c r="B136" s="47"/>
      <c r="C136" s="57" t="s">
        <v>682</v>
      </c>
      <c r="D136" s="48" t="s">
        <v>107</v>
      </c>
      <c r="E136" s="48">
        <v>8</v>
      </c>
      <c r="F136" s="48">
        <v>1976.4</v>
      </c>
      <c r="G136" s="48">
        <v>80</v>
      </c>
      <c r="H136" s="48">
        <v>80</v>
      </c>
      <c r="I136" s="48">
        <v>18</v>
      </c>
      <c r="J136" s="48">
        <v>144.19999999999999</v>
      </c>
      <c r="K136" s="48">
        <v>18.2</v>
      </c>
      <c r="L136" s="48">
        <v>145.80000000000001</v>
      </c>
      <c r="M136" s="48">
        <v>4.84</v>
      </c>
      <c r="N136" s="50">
        <v>560</v>
      </c>
      <c r="P136" s="23">
        <f xml:space="preserve"> 0.306*F136*E136/10^3</f>
        <v>4.8382272000000004</v>
      </c>
      <c r="Q136">
        <v>128.4</v>
      </c>
      <c r="R136">
        <f t="shared" si="7"/>
        <v>745.47404697600007</v>
      </c>
    </row>
    <row r="137" spans="1:18">
      <c r="A137" s="46" t="s">
        <v>704</v>
      </c>
      <c r="B137" s="47"/>
      <c r="C137" s="57" t="s">
        <v>705</v>
      </c>
      <c r="D137" s="48" t="s">
        <v>111</v>
      </c>
      <c r="E137" s="48">
        <v>80</v>
      </c>
      <c r="F137" s="48">
        <v>50</v>
      </c>
      <c r="G137" s="48">
        <v>12</v>
      </c>
      <c r="H137" s="48">
        <v>12</v>
      </c>
      <c r="I137" s="48">
        <v>0</v>
      </c>
      <c r="J137" s="48">
        <v>3.2</v>
      </c>
      <c r="K137" s="48">
        <v>0</v>
      </c>
      <c r="L137" s="48">
        <v>3.2</v>
      </c>
      <c r="M137" s="48">
        <v>0.16</v>
      </c>
      <c r="N137" s="50"/>
      <c r="P137" s="23">
        <f xml:space="preserve"> 0.2*F137*E137/10^3</f>
        <v>0.8</v>
      </c>
      <c r="R137">
        <f t="shared" si="7"/>
        <v>0</v>
      </c>
    </row>
    <row r="138" spans="1:18">
      <c r="A138" s="46" t="s">
        <v>706</v>
      </c>
      <c r="B138" s="47"/>
      <c r="C138" s="57" t="s">
        <v>687</v>
      </c>
      <c r="D138" s="48" t="s">
        <v>107</v>
      </c>
      <c r="E138" s="48">
        <v>20</v>
      </c>
      <c r="F138" s="48">
        <v>1506.5</v>
      </c>
      <c r="G138" s="48">
        <v>50</v>
      </c>
      <c r="H138" s="48">
        <v>50</v>
      </c>
      <c r="I138" s="48">
        <v>8.6999999999999993</v>
      </c>
      <c r="J138" s="48">
        <v>173.2</v>
      </c>
      <c r="K138" s="48">
        <v>8.1999999999999993</v>
      </c>
      <c r="L138" s="48">
        <v>164.4</v>
      </c>
      <c r="M138" s="48">
        <v>5.6</v>
      </c>
      <c r="N138" s="50">
        <v>675</v>
      </c>
      <c r="P138" s="23">
        <f t="shared" ref="P138:P143" si="8" xml:space="preserve"> 0.186*F138*E138/10^3</f>
        <v>5.6041800000000004</v>
      </c>
      <c r="Q138">
        <v>63.5</v>
      </c>
      <c r="R138">
        <f t="shared" si="7"/>
        <v>427.03851600000002</v>
      </c>
    </row>
    <row r="139" spans="1:18">
      <c r="A139" s="46" t="s">
        <v>706</v>
      </c>
      <c r="B139" s="47"/>
      <c r="C139" s="57" t="s">
        <v>687</v>
      </c>
      <c r="D139" s="48" t="s">
        <v>107</v>
      </c>
      <c r="E139" s="48">
        <v>20</v>
      </c>
      <c r="F139" s="48">
        <v>1506.5</v>
      </c>
      <c r="G139" s="48">
        <v>50</v>
      </c>
      <c r="H139" s="48">
        <v>50</v>
      </c>
      <c r="I139" s="48">
        <v>8.6999999999999993</v>
      </c>
      <c r="J139" s="48">
        <v>173.2</v>
      </c>
      <c r="K139" s="48">
        <v>8.1999999999999993</v>
      </c>
      <c r="L139" s="48">
        <v>164.4</v>
      </c>
      <c r="M139" s="48">
        <v>5.6</v>
      </c>
      <c r="N139" s="50">
        <v>675</v>
      </c>
      <c r="P139" s="23">
        <f t="shared" si="8"/>
        <v>5.6041800000000004</v>
      </c>
      <c r="Q139">
        <v>63.5</v>
      </c>
      <c r="R139">
        <f t="shared" si="7"/>
        <v>427.03851600000002</v>
      </c>
    </row>
    <row r="140" spans="1:18">
      <c r="A140" s="46" t="s">
        <v>707</v>
      </c>
      <c r="B140" s="47"/>
      <c r="C140" s="57" t="s">
        <v>687</v>
      </c>
      <c r="D140" s="48" t="s">
        <v>107</v>
      </c>
      <c r="E140" s="48">
        <v>20</v>
      </c>
      <c r="F140" s="48">
        <v>1674.2</v>
      </c>
      <c r="G140" s="48">
        <v>50</v>
      </c>
      <c r="H140" s="48">
        <v>50</v>
      </c>
      <c r="I140" s="48">
        <v>9.6</v>
      </c>
      <c r="J140" s="48">
        <v>192.5</v>
      </c>
      <c r="K140" s="48">
        <v>9.1</v>
      </c>
      <c r="L140" s="48">
        <v>182.7</v>
      </c>
      <c r="M140" s="48">
        <v>6.23</v>
      </c>
      <c r="N140" s="50">
        <v>675</v>
      </c>
      <c r="P140" s="23">
        <f t="shared" si="8"/>
        <v>6.2280240000000004</v>
      </c>
      <c r="Q140">
        <v>63.5</v>
      </c>
      <c r="R140">
        <f t="shared" si="7"/>
        <v>474.5754288</v>
      </c>
    </row>
    <row r="141" spans="1:18">
      <c r="A141" s="46" t="s">
        <v>707</v>
      </c>
      <c r="B141" s="47"/>
      <c r="C141" s="57" t="s">
        <v>687</v>
      </c>
      <c r="D141" s="48" t="s">
        <v>107</v>
      </c>
      <c r="E141" s="48">
        <v>20</v>
      </c>
      <c r="F141" s="48">
        <v>1674.2</v>
      </c>
      <c r="G141" s="48">
        <v>50</v>
      </c>
      <c r="H141" s="48">
        <v>50</v>
      </c>
      <c r="I141" s="48">
        <v>9.6</v>
      </c>
      <c r="J141" s="48">
        <v>192.4</v>
      </c>
      <c r="K141" s="48">
        <v>9.1</v>
      </c>
      <c r="L141" s="48">
        <v>182.7</v>
      </c>
      <c r="M141" s="48">
        <v>6.23</v>
      </c>
      <c r="N141" s="50">
        <v>675</v>
      </c>
      <c r="P141" s="23">
        <f t="shared" si="8"/>
        <v>6.2280240000000004</v>
      </c>
      <c r="Q141">
        <v>63.5</v>
      </c>
      <c r="R141">
        <f t="shared" si="7"/>
        <v>474.5754288</v>
      </c>
    </row>
    <row r="142" spans="1:18">
      <c r="A142" s="46" t="s">
        <v>708</v>
      </c>
      <c r="B142" s="47"/>
      <c r="C142" s="57" t="s">
        <v>687</v>
      </c>
      <c r="D142" s="48" t="s">
        <v>107</v>
      </c>
      <c r="E142" s="48">
        <v>20</v>
      </c>
      <c r="F142" s="48">
        <v>1832</v>
      </c>
      <c r="G142" s="48">
        <v>50</v>
      </c>
      <c r="H142" s="48">
        <v>50</v>
      </c>
      <c r="I142" s="48">
        <v>10.5</v>
      </c>
      <c r="J142" s="48">
        <v>210.6</v>
      </c>
      <c r="K142" s="48">
        <v>10</v>
      </c>
      <c r="L142" s="48">
        <v>199.9</v>
      </c>
      <c r="M142" s="48">
        <v>6.82</v>
      </c>
      <c r="N142" s="50">
        <v>675</v>
      </c>
      <c r="P142" s="23">
        <f t="shared" si="8"/>
        <v>6.8150399999999998</v>
      </c>
      <c r="Q142">
        <v>63.5</v>
      </c>
      <c r="R142">
        <f t="shared" si="7"/>
        <v>519.30604800000003</v>
      </c>
    </row>
    <row r="143" spans="1:18">
      <c r="A143" s="46" t="s">
        <v>708</v>
      </c>
      <c r="B143" s="47"/>
      <c r="C143" s="57" t="s">
        <v>687</v>
      </c>
      <c r="D143" s="48" t="s">
        <v>107</v>
      </c>
      <c r="E143" s="48">
        <v>20</v>
      </c>
      <c r="F143" s="48">
        <v>1832</v>
      </c>
      <c r="G143" s="48">
        <v>50</v>
      </c>
      <c r="H143" s="48">
        <v>50</v>
      </c>
      <c r="I143" s="48">
        <v>10.5</v>
      </c>
      <c r="J143" s="48">
        <v>210.6</v>
      </c>
      <c r="K143" s="48">
        <v>10</v>
      </c>
      <c r="L143" s="48">
        <v>199.9</v>
      </c>
      <c r="M143" s="48">
        <v>6.82</v>
      </c>
      <c r="N143" s="50">
        <v>675</v>
      </c>
      <c r="P143" s="23">
        <f t="shared" si="8"/>
        <v>6.8150399999999998</v>
      </c>
      <c r="Q143">
        <v>63.5</v>
      </c>
      <c r="R143">
        <f t="shared" si="7"/>
        <v>519.30604800000003</v>
      </c>
    </row>
    <row r="144" spans="1:18">
      <c r="A144" s="46" t="s">
        <v>709</v>
      </c>
      <c r="B144" s="47"/>
      <c r="C144" s="57" t="s">
        <v>705</v>
      </c>
      <c r="D144" s="48" t="s">
        <v>111</v>
      </c>
      <c r="E144" s="48">
        <v>24</v>
      </c>
      <c r="F144" s="48">
        <v>50</v>
      </c>
      <c r="G144" s="48">
        <v>12</v>
      </c>
      <c r="H144" s="48">
        <v>12</v>
      </c>
      <c r="I144" s="48">
        <v>0</v>
      </c>
      <c r="J144" s="48">
        <v>1</v>
      </c>
      <c r="K144" s="48">
        <v>0</v>
      </c>
      <c r="L144" s="48">
        <v>1</v>
      </c>
      <c r="M144" s="48">
        <v>0.05</v>
      </c>
      <c r="N144" s="50"/>
      <c r="P144" s="23">
        <f xml:space="preserve"> 0.2*F144*E144/10^3</f>
        <v>0.24</v>
      </c>
      <c r="R144">
        <f t="shared" si="7"/>
        <v>0</v>
      </c>
    </row>
    <row r="145" spans="1:20">
      <c r="A145" s="46" t="s">
        <v>710</v>
      </c>
      <c r="B145" s="47"/>
      <c r="C145" s="57" t="s">
        <v>682</v>
      </c>
      <c r="D145" s="48" t="s">
        <v>107</v>
      </c>
      <c r="E145" s="48">
        <v>20</v>
      </c>
      <c r="F145" s="48">
        <v>2467.3000000000002</v>
      </c>
      <c r="G145" s="48">
        <v>80</v>
      </c>
      <c r="H145" s="48">
        <v>80</v>
      </c>
      <c r="I145" s="48">
        <v>22.6</v>
      </c>
      <c r="J145" s="48">
        <v>451.6</v>
      </c>
      <c r="K145" s="48">
        <v>22.8</v>
      </c>
      <c r="L145" s="48">
        <v>455.1</v>
      </c>
      <c r="M145" s="48">
        <v>15.11</v>
      </c>
      <c r="N145" s="50">
        <v>560</v>
      </c>
      <c r="P145" s="23">
        <f xml:space="preserve"> 0.306*F145*E145/10^3</f>
        <v>15.099876000000002</v>
      </c>
      <c r="Q145">
        <v>128.4</v>
      </c>
      <c r="R145">
        <f t="shared" si="7"/>
        <v>2326.5888940800005</v>
      </c>
    </row>
    <row r="146" spans="1:20">
      <c r="A146" s="46" t="s">
        <v>711</v>
      </c>
      <c r="B146" s="47"/>
      <c r="C146" s="57" t="s">
        <v>712</v>
      </c>
      <c r="D146" s="48" t="s">
        <v>107</v>
      </c>
      <c r="E146" s="48">
        <v>10</v>
      </c>
      <c r="F146" s="48">
        <v>145</v>
      </c>
      <c r="G146" s="48">
        <v>120</v>
      </c>
      <c r="H146" s="48">
        <v>120</v>
      </c>
      <c r="I146" s="48">
        <v>3.9</v>
      </c>
      <c r="J146" s="48">
        <v>38.799999999999997</v>
      </c>
      <c r="K146" s="48">
        <v>3.8</v>
      </c>
      <c r="L146" s="48">
        <v>38.299999999999997</v>
      </c>
      <c r="M146" s="48">
        <v>0.65</v>
      </c>
      <c r="N146" s="50">
        <v>610</v>
      </c>
      <c r="P146" s="23">
        <f xml:space="preserve"> 0.446*F146*E146/10^3</f>
        <v>0.64670000000000005</v>
      </c>
      <c r="Q146">
        <v>69.7</v>
      </c>
      <c r="R146">
        <f t="shared" si="7"/>
        <v>54.089988000000005</v>
      </c>
    </row>
    <row r="147" spans="1:20">
      <c r="A147" s="46" t="s">
        <v>713</v>
      </c>
      <c r="B147" s="47"/>
      <c r="C147" s="57" t="s">
        <v>682</v>
      </c>
      <c r="D147" s="48" t="s">
        <v>107</v>
      </c>
      <c r="E147" s="48">
        <v>2</v>
      </c>
      <c r="F147" s="48">
        <v>2032.1</v>
      </c>
      <c r="G147" s="48">
        <v>80</v>
      </c>
      <c r="H147" s="48">
        <v>80</v>
      </c>
      <c r="I147" s="48">
        <v>18.5</v>
      </c>
      <c r="J147" s="48">
        <v>37</v>
      </c>
      <c r="K147" s="48">
        <v>18.7</v>
      </c>
      <c r="L147" s="48">
        <v>37.5</v>
      </c>
      <c r="M147" s="48">
        <v>1.24</v>
      </c>
      <c r="N147" s="50">
        <v>560</v>
      </c>
      <c r="P147" s="23">
        <f xml:space="preserve"> 0.306*F147*E147/10^3</f>
        <v>1.2436452</v>
      </c>
      <c r="Q147">
        <v>128.4</v>
      </c>
      <c r="R147">
        <f t="shared" si="7"/>
        <v>191.62085241599999</v>
      </c>
    </row>
    <row r="148" spans="1:20">
      <c r="A148" s="46" t="s">
        <v>714</v>
      </c>
      <c r="B148" s="47"/>
      <c r="C148" s="57" t="s">
        <v>682</v>
      </c>
      <c r="D148" s="48" t="s">
        <v>107</v>
      </c>
      <c r="E148" s="48">
        <v>8</v>
      </c>
      <c r="F148" s="48">
        <v>1920.6</v>
      </c>
      <c r="G148" s="48">
        <v>80</v>
      </c>
      <c r="H148" s="48">
        <v>80</v>
      </c>
      <c r="I148" s="48">
        <v>17.5</v>
      </c>
      <c r="J148" s="48">
        <v>140.19999999999999</v>
      </c>
      <c r="K148" s="48">
        <v>17.7</v>
      </c>
      <c r="L148" s="48">
        <v>141.69999999999999</v>
      </c>
      <c r="M148" s="48">
        <v>4.71</v>
      </c>
      <c r="N148" s="50">
        <v>560</v>
      </c>
      <c r="P148" s="23">
        <f xml:space="preserve"> 0.306*F148*E148/10^3</f>
        <v>4.7016287999999999</v>
      </c>
      <c r="Q148">
        <v>128.4</v>
      </c>
      <c r="R148">
        <f t="shared" si="7"/>
        <v>724.42696550400001</v>
      </c>
    </row>
    <row r="149" spans="1:20">
      <c r="A149" s="46" t="s">
        <v>715</v>
      </c>
      <c r="B149" s="47"/>
      <c r="C149" s="57" t="s">
        <v>682</v>
      </c>
      <c r="D149" s="48" t="s">
        <v>107</v>
      </c>
      <c r="E149" s="48">
        <v>2</v>
      </c>
      <c r="F149" s="48">
        <v>1971.5</v>
      </c>
      <c r="G149" s="48">
        <v>80</v>
      </c>
      <c r="H149" s="48">
        <v>80</v>
      </c>
      <c r="I149" s="48">
        <v>18</v>
      </c>
      <c r="J149" s="48">
        <v>36</v>
      </c>
      <c r="K149" s="48">
        <v>18.2</v>
      </c>
      <c r="L149" s="48">
        <v>36.4</v>
      </c>
      <c r="M149" s="48">
        <v>1.21</v>
      </c>
      <c r="N149" s="50">
        <v>560</v>
      </c>
      <c r="P149" s="23">
        <f xml:space="preserve"> 0.306*F149*E149/10^3</f>
        <v>1.206558</v>
      </c>
      <c r="Q149">
        <v>128.4</v>
      </c>
      <c r="R149">
        <f t="shared" si="7"/>
        <v>185.90645664000002</v>
      </c>
    </row>
    <row r="150" spans="1:20">
      <c r="A150" s="46" t="s">
        <v>716</v>
      </c>
      <c r="B150" s="47"/>
      <c r="C150" s="57" t="s">
        <v>712</v>
      </c>
      <c r="D150" s="48" t="s">
        <v>107</v>
      </c>
      <c r="E150" s="48">
        <v>2</v>
      </c>
      <c r="F150" s="48">
        <v>145</v>
      </c>
      <c r="G150" s="48">
        <v>120</v>
      </c>
      <c r="H150" s="48">
        <v>120</v>
      </c>
      <c r="I150" s="48">
        <v>4</v>
      </c>
      <c r="J150" s="48">
        <v>8</v>
      </c>
      <c r="K150" s="48">
        <v>3.8</v>
      </c>
      <c r="L150" s="48">
        <v>7.7</v>
      </c>
      <c r="M150" s="48">
        <v>0.13</v>
      </c>
      <c r="N150" s="50">
        <v>610</v>
      </c>
      <c r="P150" s="23">
        <f xml:space="preserve"> 0.446*F150*E150/10^3</f>
        <v>0.12934000000000001</v>
      </c>
      <c r="Q150">
        <v>69.7</v>
      </c>
      <c r="R150">
        <f t="shared" si="7"/>
        <v>10.8179976</v>
      </c>
    </row>
    <row r="151" spans="1:20" ht="15" thickBot="1">
      <c r="A151" s="51"/>
      <c r="B151" s="52"/>
      <c r="C151" s="58"/>
      <c r="D151" s="53"/>
      <c r="E151" s="54">
        <v>1638</v>
      </c>
      <c r="F151" s="53"/>
      <c r="G151" s="53"/>
      <c r="H151" s="53"/>
      <c r="I151" s="53"/>
      <c r="J151" s="54">
        <v>42507</v>
      </c>
      <c r="K151" s="53"/>
      <c r="L151" s="54">
        <v>41331.4</v>
      </c>
      <c r="M151" s="53"/>
      <c r="N151" s="55"/>
      <c r="R151">
        <f t="shared" si="7"/>
        <v>0</v>
      </c>
    </row>
    <row r="152" spans="1:20">
      <c r="P152" s="20">
        <f t="shared" ref="P152:R152" si="9">SUM(P3:P151)</f>
        <v>1026.1894494999999</v>
      </c>
      <c r="Q152" s="20"/>
      <c r="R152" s="20">
        <f t="shared" si="9"/>
        <v>105623.94687386403</v>
      </c>
      <c r="S152" s="62">
        <f>R152/P152</f>
        <v>102.92831106900212</v>
      </c>
      <c r="T152" s="18" t="s">
        <v>717</v>
      </c>
    </row>
  </sheetData>
  <autoFilter ref="A2:Q151" xr:uid="{F2F8F515-F7C3-4EEF-A6D1-31A0F9B71785}"/>
  <mergeCells count="1">
    <mergeCell ref="A1:N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ValidTillDays xmlns="67f72299-ac7c-4625-b403-a095ae70dd05" xsi:nil="true"/>
    <poPrice xmlns="67f72299-ac7c-4625-b403-a095ae70dd05" xsi:nil="true"/>
    <contactPhonePrimary xmlns="67f72299-ac7c-4625-b403-a095ae70dd05" xsi:nil="true"/>
    <pqOfferManager xmlns="67f72299-ac7c-4625-b403-a095ae70dd05" xsi:nil="true"/>
    <pqOfferManagerPhone xmlns="67f72299-ac7c-4625-b403-a095ae70dd05" xsi:nil="true"/>
    <pqBudgeterPhone xmlns="67f72299-ac7c-4625-b403-a095ae70dd05" xsi:nil="true"/>
    <poNumber xmlns="67f72299-ac7c-4625-b403-a095ae70dd05" xsi:nil="true"/>
    <pqBudgeterEMail xmlns="67f72299-ac7c-4625-b403-a095ae70dd05" xsi:nil="true"/>
    <formattedDate xmlns="67f72299-ac7c-4625-b403-a095ae70dd05" xsi:nil="true"/>
    <contactName xmlns="67f72299-ac7c-4625-b403-a095ae70dd05" xsi:nil="true"/>
    <contactEMail xmlns="67f72299-ac7c-4625-b403-a095ae70dd05" xsi:nil="true"/>
    <pqBudgeterJobTitle xmlns="67f72299-ac7c-4625-b403-a095ae70dd05" xsi:nil="true"/>
    <pqOfferManagerEMail xmlns="67f72299-ac7c-4625-b403-a095ae70dd05" xsi:nil="true"/>
    <pqBudgeter xmlns="67f72299-ac7c-4625-b403-a095ae70dd05" xsi:nil="true"/>
    <lcf76f155ced4ddcb4097134ff3c332f xmlns="4677cf2c-acb3-4c5f-9d0d-3ee5fdee7961">
      <Terms xmlns="http://schemas.microsoft.com/office/infopath/2007/PartnerControls"/>
    </lcf76f155ced4ddcb4097134ff3c332f>
    <pqAddress xmlns="67f72299-ac7c-4625-b403-a095ae70dd05" xsi:nil="true"/>
    <pqOfferManagerJobTitle xmlns="67f72299-ac7c-4625-b403-a095ae70dd05" xsi:nil="true"/>
    <Olulisusterasepakkumiseks xmlns="4677cf2c-acb3-4c5f-9d0d-3ee5fdee7961">false</Olulisusterasepakkumiseks>
    <poClient xmlns="67f72299-ac7c-4625-b403-a095ae70dd05" xsi:nil="true"/>
    <pqName xmlns="67f72299-ac7c-4625-b403-a095ae70dd05" xsi:nil="true"/>
    <TaxCatchAll xmlns="67f72299-ac7c-4625-b403-a095ae70dd0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PriceOfferTemplate" ma:contentTypeID="0x0101003656FDA27A494BC092A9328040A274D000700830A3D05D564AB9A0E847634159A2" ma:contentTypeVersion="57" ma:contentTypeDescription="" ma:contentTypeScope="" ma:versionID="a805a3d851210df3861e2e79dcb5104c">
  <xsd:schema xmlns:xsd="http://www.w3.org/2001/XMLSchema" xmlns:xs="http://www.w3.org/2001/XMLSchema" xmlns:p="http://schemas.microsoft.com/office/2006/metadata/properties" xmlns:ns1="67f72299-ac7c-4625-b403-a095ae70dd05" xmlns:ns3="4677cf2c-acb3-4c5f-9d0d-3ee5fdee7961" targetNamespace="http://schemas.microsoft.com/office/2006/metadata/properties" ma:root="true" ma:fieldsID="a4b49562f982dfaaa3b7b79366044a65" ns1:_="" ns3:_="">
    <xsd:import namespace="67f72299-ac7c-4625-b403-a095ae70dd05"/>
    <xsd:import namespace="4677cf2c-acb3-4c5f-9d0d-3ee5fdee7961"/>
    <xsd:element name="properties">
      <xsd:complexType>
        <xsd:sequence>
          <xsd:element name="documentManagement">
            <xsd:complexType>
              <xsd:all>
                <xsd:element ref="ns1:contactName" minOccurs="0"/>
                <xsd:element ref="ns1:contactPhonePrimary" minOccurs="0"/>
                <xsd:element ref="ns1:contactEMail" minOccurs="0"/>
                <xsd:element ref="ns1:poClient" minOccurs="0"/>
                <xsd:element ref="ns1:formattedDate" minOccurs="0"/>
                <xsd:element ref="ns1:poNumber" minOccurs="0"/>
                <xsd:element ref="ns1:pqName" minOccurs="0"/>
                <xsd:element ref="ns1:pqAddress" minOccurs="0"/>
                <xsd:element ref="ns1:poPrice" minOccurs="0"/>
                <xsd:element ref="ns1:poValidTillDays" minOccurs="0"/>
                <xsd:element ref="ns1:pqOfferManager" minOccurs="0"/>
                <xsd:element ref="ns1:pqOfferManagerJobTitle" minOccurs="0"/>
                <xsd:element ref="ns1:pqOfferManagerPhone" minOccurs="0"/>
                <xsd:element ref="ns1:pqOfferManagerEMail" minOccurs="0"/>
                <xsd:element ref="ns1:pqBudgeter" minOccurs="0"/>
                <xsd:element ref="ns1:pqBudgeterJobTitle" minOccurs="0"/>
                <xsd:element ref="ns1:pqBudgeterPhone" minOccurs="0"/>
                <xsd:element ref="ns1:pqBudgeterEMail" minOccurs="0"/>
                <xsd:element ref="ns3:MediaServiceMetadata" minOccurs="0"/>
                <xsd:element ref="ns3:MediaServiceFastMetadata" minOccurs="0"/>
                <xsd:element ref="ns1:SharedWithUsers" minOccurs="0"/>
                <xsd:element ref="ns1:SharedWithDetails" minOccurs="0"/>
                <xsd:element ref="ns3:lcf76f155ced4ddcb4097134ff3c332f" minOccurs="0"/>
                <xsd:element ref="ns1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Olulisusterasepakkumiseks" minOccurs="0"/>
                <xsd:element ref="ns3:MediaServiceLocation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f72299-ac7c-4625-b403-a095ae70dd05" elementFormDefault="qualified">
    <xsd:import namespace="http://schemas.microsoft.com/office/2006/documentManagement/types"/>
    <xsd:import namespace="http://schemas.microsoft.com/office/infopath/2007/PartnerControls"/>
    <xsd:element name="contactName" ma:index="0" nillable="true" ma:displayName="Kontakti nimi" ma:internalName="contactName" ma:readOnly="false">
      <xsd:simpleType>
        <xsd:restriction base="dms:Text"/>
      </xsd:simpleType>
    </xsd:element>
    <xsd:element name="contactPhonePrimary" ma:index="1" nillable="true" ma:displayName="Kontakti mobiil" ma:internalName="contactPhonePrimary" ma:readOnly="false">
      <xsd:simpleType>
        <xsd:restriction base="dms:Text"/>
      </xsd:simpleType>
    </xsd:element>
    <xsd:element name="contactEMail" ma:index="2" nillable="true" ma:displayName="Kontakti e-mail" ma:internalName="contactEMail" ma:readOnly="false">
      <xsd:simpleType>
        <xsd:restriction base="dms:Text"/>
      </xsd:simpleType>
    </xsd:element>
    <xsd:element name="poClient" ma:index="3" nillable="true" ma:displayName="Kliendi nimi" ma:internalName="poClient" ma:readOnly="false">
      <xsd:simpleType>
        <xsd:restriction base="dms:Text"/>
      </xsd:simpleType>
    </xsd:element>
    <xsd:element name="formattedDate" ma:index="4" nillable="true" ma:displayName="Kuupäev" ma:internalName="formattedDate" ma:readOnly="false">
      <xsd:simpleType>
        <xsd:restriction base="dms:Text"/>
      </xsd:simpleType>
    </xsd:element>
    <xsd:element name="poNumber" ma:index="5" nillable="true" ma:displayName="DSP Kood" ma:internalName="poNumber" ma:readOnly="false">
      <xsd:simpleType>
        <xsd:restriction base="dms:Text"/>
      </xsd:simpleType>
    </xsd:element>
    <xsd:element name="pqName" ma:index="6" nillable="true" ma:displayName="Objekti nimi" ma:internalName="pqName" ma:readOnly="false">
      <xsd:simpleType>
        <xsd:restriction base="dms:Text"/>
      </xsd:simpleType>
    </xsd:element>
    <xsd:element name="pqAddress" ma:index="7" nillable="true" ma:displayName="Objekti aadress" ma:internalName="pqAddress" ma:readOnly="false">
      <xsd:simpleType>
        <xsd:restriction base="dms:Text"/>
      </xsd:simpleType>
    </xsd:element>
    <xsd:element name="poPrice" ma:index="8" nillable="true" ma:displayName="Hind (km-ta)" ma:internalName="poPrice" ma:readOnly="false">
      <xsd:simpleType>
        <xsd:restriction base="dms:Text"/>
      </xsd:simpleType>
    </xsd:element>
    <xsd:element name="poValidTillDays" ma:index="9" nillable="true" ma:displayName="Kehtivus päevades" ma:internalName="poValidTillDays" ma:readOnly="false">
      <xsd:simpleType>
        <xsd:restriction base="dms:Text"/>
      </xsd:simpleType>
    </xsd:element>
    <xsd:element name="pqOfferManager" ma:index="10" nillable="true" ma:displayName="Pakkumise juht" ma:internalName="pqOfferManager" ma:readOnly="false">
      <xsd:simpleType>
        <xsd:restriction base="dms:Text"/>
      </xsd:simpleType>
    </xsd:element>
    <xsd:element name="pqOfferManagerJobTitle" ma:index="11" nillable="true" ma:displayName="Pakkumise juhi positsioon" ma:internalName="pqOfferManagerJobTitle" ma:readOnly="false">
      <xsd:simpleType>
        <xsd:restriction base="dms:Text"/>
      </xsd:simpleType>
    </xsd:element>
    <xsd:element name="pqOfferManagerPhone" ma:index="12" nillable="true" ma:displayName="Pakkumise juhi mobiil" ma:internalName="pqOfferManagerPhone" ma:readOnly="false">
      <xsd:simpleType>
        <xsd:restriction base="dms:Text"/>
      </xsd:simpleType>
    </xsd:element>
    <xsd:element name="pqOfferManagerEMail" ma:index="13" nillable="true" ma:displayName="Pakkumise juhi e-mail" ma:internalName="pqOfferManagerEMail" ma:readOnly="false">
      <xsd:simpleType>
        <xsd:restriction base="dms:Text"/>
      </xsd:simpleType>
    </xsd:element>
    <xsd:element name="pqBudgeter" ma:index="14" nillable="true" ma:displayName="Eelarvestaja" ma:internalName="pqBudgeter" ma:readOnly="false">
      <xsd:simpleType>
        <xsd:restriction base="dms:Text"/>
      </xsd:simpleType>
    </xsd:element>
    <xsd:element name="pqBudgeterJobTitle" ma:index="15" nillable="true" ma:displayName="Eelarvestaja positsioon" ma:internalName="pqBudgeterJobTitle" ma:readOnly="false">
      <xsd:simpleType>
        <xsd:restriction base="dms:Text"/>
      </xsd:simpleType>
    </xsd:element>
    <xsd:element name="pqBudgeterPhone" ma:index="16" nillable="true" ma:displayName="Eelarvestaja mobiil" ma:internalName="pqBudgeterPhone" ma:readOnly="false">
      <xsd:simpleType>
        <xsd:restriction base="dms:Text"/>
      </xsd:simpleType>
    </xsd:element>
    <xsd:element name="pqBudgeterEMail" ma:index="17" nillable="true" ma:displayName="Eelarvestaja e-mail" ma:internalName="pqBudgeterEMail" ma:readOnly="false">
      <xsd:simpleType>
        <xsd:restriction base="dms:Text"/>
      </xsd:simpleType>
    </xsd:element>
    <xsd:element name="SharedWithUsers" ma:index="28" nillable="true" ma:displayName="Ühiskasutuse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Ühiskasutusse andmise üksikasjad" ma:internalName="SharedWithDetails" ma:readOnly="true">
      <xsd:simpleType>
        <xsd:restriction base="dms:Note">
          <xsd:maxLength value="255"/>
        </xsd:restriction>
      </xsd:simpleType>
    </xsd:element>
    <xsd:element name="TaxCatchAll" ma:index="32" nillable="true" ma:displayName="Taxonomy Catch All Column" ma:hidden="true" ma:list="{896ab889-f28e-42ce-8acc-e4c65d811d6c}" ma:internalName="TaxCatchAll" ma:showField="CatchAllData" ma:web="67f72299-ac7c-4625-b403-a095ae70dd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7cf2c-acb3-4c5f-9d0d-3ee5fdee79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7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31" nillable="true" ma:taxonomy="true" ma:internalName="lcf76f155ced4ddcb4097134ff3c332f" ma:taxonomyFieldName="MediaServiceImageTags" ma:displayName="Pildisildid" ma:readOnly="false" ma:fieldId="{5cf76f15-5ced-4ddc-b409-7134ff3c332f}" ma:taxonomyMulti="true" ma:sspId="7917b355-1b09-41e2-8b23-d37907ecb1f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33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3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Olulisusterasepakkumiseks" ma:index="37" nillable="true" ma:displayName="Olulisus terase pakkumiseks" ma:default="0" ma:format="Dropdown" ma:internalName="Olulisusterasepakkumiseks">
      <xsd:simpleType>
        <xsd:restriction base="dms:Boolean"/>
      </xsd:simpleType>
    </xsd:element>
    <xsd:element name="MediaServiceLocation" ma:index="38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3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4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4" ma:displayName="Sisutüüp"/>
        <xsd:element ref="dc:title" minOccurs="0" maxOccurs="1" ma:index="20" ma:displayName="Pealkiri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A3E679-A0E1-43FC-B7A6-E495DABBE7D7}"/>
</file>

<file path=customXml/itemProps2.xml><?xml version="1.0" encoding="utf-8"?>
<ds:datastoreItem xmlns:ds="http://schemas.openxmlformats.org/officeDocument/2006/customXml" ds:itemID="{65716432-2347-4A32-9368-F26265C6E9FF}"/>
</file>

<file path=customXml/itemProps3.xml><?xml version="1.0" encoding="utf-8"?>
<ds:datastoreItem xmlns:ds="http://schemas.openxmlformats.org/officeDocument/2006/customXml" ds:itemID="{01C3C3D4-FC81-4278-8235-5D6FFEA35B3C}"/>
</file>

<file path=customXml/itemProps4.xml><?xml version="1.0" encoding="utf-8"?>
<ds:datastoreItem xmlns:ds="http://schemas.openxmlformats.org/officeDocument/2006/customXml" ds:itemID="{5A931D5D-CCBF-45F6-8B93-A2CF637A131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Tarmo Aigro</dc:creator>
  <cp:keywords/>
  <dc:description/>
  <cp:lastModifiedBy>Denis Kamerads</cp:lastModifiedBy>
  <cp:revision/>
  <dcterms:created xsi:type="dcterms:W3CDTF">2009-04-04T10:52:59Z</dcterms:created>
  <dcterms:modified xsi:type="dcterms:W3CDTF">2025-11-28T08:56:17Z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0x0101003656FDA27A494BC092A9328040A274D000700830A3D05D564AB9A0E847634159A2</vt:lpwstr>
  </property>
  <property fmtid="{D5CDD505-2E9C-101B-9397-08002B2CF9AE}" pid="3" name="MediaServiceImageTags">
    <vt:lpwstr/>
  </property>
</Properties>
</file>