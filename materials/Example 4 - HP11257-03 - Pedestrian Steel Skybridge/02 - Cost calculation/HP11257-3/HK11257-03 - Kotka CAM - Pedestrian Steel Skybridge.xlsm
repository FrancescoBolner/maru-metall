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2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maruas.sharepoint.com/sites/MM-Sales/PQDocs/HK11257 - Kotka CAM (2E500) - Easpring/03. Eelarve/"/>
    </mc:Choice>
  </mc:AlternateContent>
  <xr:revisionPtr revIDLastSave="354703" documentId="8_{2C6AE1ED-3B6A-492C-998F-39949421F2DC}" xr6:coauthVersionLast="47" xr6:coauthVersionMax="47" xr10:uidLastSave="{0F3C188B-7ACD-469E-9D98-421BB96D89FD}"/>
  <bookViews>
    <workbookView xWindow="-109" yWindow="-109" windowWidth="34995" windowHeight="19060" firstSheet="1" activeTab="1" xr2:uid="{32A163C6-D2D5-4DCD-A1BE-15CE9F423BDC}"/>
  </bookViews>
  <sheets>
    <sheet name="Data" sheetId="15" state="hidden" r:id="rId1"/>
    <sheet name="Koostamine" sheetId="18" r:id="rId2"/>
    <sheet name="Gaasilõikus" sheetId="4" r:id="rId3"/>
    <sheet name="Saagimine" sheetId="5" r:id="rId4"/>
    <sheet name="Materjalid" sheetId="12" state="hidden" r:id="rId5"/>
    <sheet name="Pakkeleht" sheetId="13" state="hidden" r:id="rId6"/>
    <sheet name="Pakkumistabel" sheetId="19" r:id="rId7"/>
    <sheet name="Terasehind" sheetId="28" r:id="rId8"/>
    <sheet name="Tuletõke" sheetId="31" r:id="rId9"/>
    <sheet name="Tuletõkke R90" sheetId="30" state="hidden" r:id="rId10"/>
  </sheets>
  <externalReferences>
    <externalReference r:id="rId11"/>
    <externalReference r:id="rId12"/>
  </externalReferences>
  <definedNames>
    <definedName name="_xlnm._FilterDatabase" localSheetId="1" hidden="1">Koostamine!$A$6:$BA$204</definedName>
    <definedName name="_xlnm._FilterDatabase" localSheetId="3" hidden="1">Saagimine!$B$6:$Q$35</definedName>
    <definedName name="_xlnm._FilterDatabase" localSheetId="9" hidden="1">'Tuletõkke R90'!$A$2:$Q$151</definedName>
    <definedName name="_xleta.COLUMNS" hidden="1" xlm="1">#NAME?</definedName>
    <definedName name="_xleta.IF" hidden="1" xlm="1">#NAME?</definedName>
    <definedName name="_xleta.SUM" hidden="1" xlm="1">#NAME?</definedName>
    <definedName name="Aadress">#N/A</definedName>
    <definedName name="firmakulu">Koostamine!$L$2</definedName>
    <definedName name="FRTA">#REF!</definedName>
    <definedName name="GATA">#REF!</definedName>
    <definedName name="GITA">#REF!</definedName>
    <definedName name="KOTA">#REF!</definedName>
    <definedName name="Kuupäev" localSheetId="1">Koostamine!$C$2</definedName>
    <definedName name="Kuupäev">#REF!</definedName>
    <definedName name="null">Koostamine!$AB$2</definedName>
    <definedName name="Number" localSheetId="1">Koostamine!$F$1</definedName>
    <definedName name="Number">#REF!</definedName>
    <definedName name="Objekt" localSheetId="1">#REF!</definedName>
    <definedName name="Objekt">#REF!</definedName>
    <definedName name="pakendus">Koostamine!$AV$5</definedName>
    <definedName name="PATA">#REF!</definedName>
    <definedName name="_xlnm.Print_Area" localSheetId="2">Gaasilõikus!$A:$W</definedName>
    <definedName name="_xlnm.Print_Area" localSheetId="1">Koostamine!$A:$W</definedName>
    <definedName name="_xlnm.Print_Area" localSheetId="4">Materjalid!$A:$H</definedName>
    <definedName name="_xlnm.Print_Area" localSheetId="5">Pakkeleht!$A$1:$G$48</definedName>
    <definedName name="_xlnm.Print_Area" localSheetId="3">Saagimine!$A$1:$T$137</definedName>
    <definedName name="_xlnm.Print_Titles" localSheetId="2">Gaasilõikus!$1:$5</definedName>
    <definedName name="_xlnm.Print_Titles" localSheetId="1">Koostamine!$1:$5</definedName>
    <definedName name="_xlnm.Print_Titles" localSheetId="4">Materjalid!$1:$1</definedName>
    <definedName name="_xlnm.Print_Titles" localSheetId="5">Pakkeleht!$1:$5</definedName>
    <definedName name="_xlnm.Print_Titles" localSheetId="3">Saagimine!$1:$5</definedName>
    <definedName name="PUTA">#REF!</definedName>
    <definedName name="SATA">#REF!</definedName>
    <definedName name="Zink">Koostamine!$AK$2</definedName>
    <definedName name="Zn">Koostamine!#REF!</definedName>
    <definedName name="Tehnoloog" localSheetId="1">Koostamine!#REF!</definedName>
    <definedName name="Tehnoloog">#REF!</definedName>
    <definedName name="Tellija" localSheetId="1">Koostamine!$F$2</definedName>
    <definedName name="Tellija">#REF!</definedName>
    <definedName name="Toode" localSheetId="1">Koostamine!$F$3</definedName>
    <definedName name="Toode">#REF!</definedName>
    <definedName name="TRTA">#REF!</definedName>
    <definedName name="VATA">#REF!</definedName>
    <definedName name="VMTA">#REF!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11" i="18" l="1"/>
  <c r="L16" i="18"/>
  <c r="L21" i="18"/>
  <c r="L27" i="18" s="1"/>
  <c r="L38" i="18"/>
  <c r="L44" i="18"/>
  <c r="L50" i="18" s="1"/>
  <c r="L106" i="18"/>
  <c r="L121" i="18" s="1"/>
  <c r="L129" i="18"/>
  <c r="L143" i="18" s="1"/>
  <c r="L147" i="18" s="1"/>
  <c r="L133" i="18"/>
  <c r="L163" i="18"/>
  <c r="L249" i="18" s="1"/>
  <c r="L167" i="18"/>
  <c r="L218" i="18"/>
  <c r="L220" i="18" s="1"/>
  <c r="L239" i="18"/>
  <c r="L240" i="18" s="1"/>
  <c r="L270" i="18"/>
  <c r="L298" i="18" s="1"/>
  <c r="L299" i="18" s="1"/>
  <c r="L274" i="18"/>
  <c r="L280" i="18"/>
  <c r="L286" i="18"/>
  <c r="L288" i="18" s="1"/>
  <c r="L292" i="18"/>
  <c r="L304" i="18"/>
  <c r="L308" i="18" s="1"/>
  <c r="L312" i="18"/>
  <c r="L315" i="18" s="1"/>
  <c r="L324" i="18"/>
  <c r="L327" i="18" s="1"/>
  <c r="L331" i="18"/>
  <c r="L338" i="18"/>
  <c r="L341" i="18" s="1"/>
  <c r="L344" i="18"/>
  <c r="L357" i="18"/>
  <c r="L358" i="18" s="1"/>
  <c r="L363" i="18"/>
  <c r="L375" i="18"/>
  <c r="L377" i="18" s="1"/>
  <c r="L379" i="18"/>
  <c r="L409" i="18"/>
  <c r="L413" i="18" s="1"/>
  <c r="L416" i="18"/>
  <c r="L420" i="18" s="1"/>
  <c r="L428" i="18"/>
  <c r="L432" i="18"/>
  <c r="L441" i="18" s="1"/>
  <c r="L443" i="18"/>
  <c r="L447" i="18"/>
  <c r="L449" i="18" s="1"/>
  <c r="L460" i="18"/>
  <c r="L461" i="18" s="1"/>
  <c r="L448" i="18"/>
  <c r="L438" i="18"/>
  <c r="L437" i="18"/>
  <c r="L436" i="18"/>
  <c r="L422" i="18"/>
  <c r="L421" i="18"/>
  <c r="L376" i="18"/>
  <c r="L364" i="18"/>
  <c r="L361" i="18"/>
  <c r="L360" i="18"/>
  <c r="L359" i="18"/>
  <c r="L348" i="18"/>
  <c r="L347" i="18"/>
  <c r="L342" i="18"/>
  <c r="L340" i="18"/>
  <c r="L339" i="18"/>
  <c r="L335" i="18"/>
  <c r="L328" i="18"/>
  <c r="L326" i="18"/>
  <c r="L325" i="18"/>
  <c r="L316" i="18"/>
  <c r="L314" i="18"/>
  <c r="L310" i="18"/>
  <c r="L309" i="18"/>
  <c r="L307" i="18"/>
  <c r="L306" i="18"/>
  <c r="L302" i="18"/>
  <c r="L301" i="18"/>
  <c r="L300" i="18"/>
  <c r="L290" i="18"/>
  <c r="L289" i="18"/>
  <c r="L287" i="18"/>
  <c r="L282" i="18"/>
  <c r="L278" i="18"/>
  <c r="L277" i="18"/>
  <c r="L276" i="18"/>
  <c r="L275" i="18"/>
  <c r="L256" i="18"/>
  <c r="L247" i="18"/>
  <c r="L243" i="18"/>
  <c r="L221" i="18"/>
  <c r="L149" i="18"/>
  <c r="L148" i="18"/>
  <c r="L146" i="18"/>
  <c r="L140" i="18"/>
  <c r="L138" i="18"/>
  <c r="L136" i="18"/>
  <c r="L135" i="18"/>
  <c r="L120" i="18"/>
  <c r="L119" i="18"/>
  <c r="L118" i="18"/>
  <c r="L115" i="18"/>
  <c r="L113" i="18"/>
  <c r="L112" i="18"/>
  <c r="L110" i="18"/>
  <c r="L108" i="18"/>
  <c r="L107" i="18"/>
  <c r="L52" i="18"/>
  <c r="L40" i="18"/>
  <c r="L39" i="18"/>
  <c r="L34" i="18"/>
  <c r="L31" i="18"/>
  <c r="L29" i="18"/>
  <c r="L28" i="18"/>
  <c r="L26" i="18"/>
  <c r="L24" i="18"/>
  <c r="L23" i="18"/>
  <c r="AE38" i="18"/>
  <c r="AD38" i="18"/>
  <c r="AD21" i="18" s="1"/>
  <c r="AD44" i="18"/>
  <c r="AD59" i="18"/>
  <c r="AD16" i="18" s="1"/>
  <c r="AD77" i="18"/>
  <c r="AD95" i="18"/>
  <c r="AD106" i="18"/>
  <c r="AF124" i="18"/>
  <c r="AD124" i="18"/>
  <c r="AF133" i="18"/>
  <c r="AD133" i="18"/>
  <c r="AF143" i="18"/>
  <c r="AD143" i="18"/>
  <c r="AF152" i="18"/>
  <c r="AF129" i="18" s="1"/>
  <c r="AD152" i="18"/>
  <c r="AF167" i="18"/>
  <c r="AD207" i="18"/>
  <c r="AD223" i="18"/>
  <c r="AD230" i="18"/>
  <c r="AF258" i="18"/>
  <c r="AD258" i="18"/>
  <c r="AK266" i="18"/>
  <c r="AJ266" i="18"/>
  <c r="AF266" i="18"/>
  <c r="AD266" i="18"/>
  <c r="AC266" i="18"/>
  <c r="AF375" i="18"/>
  <c r="AE375" i="18"/>
  <c r="AJ383" i="18"/>
  <c r="AK383" i="18" s="1"/>
  <c r="AF383" i="18"/>
  <c r="AD383" i="18"/>
  <c r="AC383" i="18"/>
  <c r="AF386" i="18"/>
  <c r="AF391" i="18"/>
  <c r="AF397" i="18"/>
  <c r="AF403" i="18"/>
  <c r="AF409" i="18"/>
  <c r="AK416" i="18"/>
  <c r="AK420" i="18"/>
  <c r="AJ420" i="18"/>
  <c r="AJ416" i="18" s="1"/>
  <c r="AF420" i="18"/>
  <c r="AF416" i="18" s="1"/>
  <c r="AE420" i="18"/>
  <c r="AE416" i="18" s="1"/>
  <c r="AK432" i="18"/>
  <c r="AJ432" i="18"/>
  <c r="AF432" i="18"/>
  <c r="AE432" i="18"/>
  <c r="AD432" i="18"/>
  <c r="AF443" i="18"/>
  <c r="AD443" i="18"/>
  <c r="AF447" i="18"/>
  <c r="AD447" i="18"/>
  <c r="AF451" i="18"/>
  <c r="AD451" i="18"/>
  <c r="AK456" i="18"/>
  <c r="AJ456" i="18"/>
  <c r="AF456" i="18"/>
  <c r="AE456" i="18"/>
  <c r="AD456" i="18"/>
  <c r="AF460" i="18"/>
  <c r="AE460" i="18"/>
  <c r="AD460" i="18"/>
  <c r="AJ463" i="18"/>
  <c r="AF463" i="18"/>
  <c r="AF428" i="18" s="1"/>
  <c r="AE463" i="18"/>
  <c r="AD463" i="18"/>
  <c r="E23" i="19"/>
  <c r="F23" i="19" s="1"/>
  <c r="D23" i="19"/>
  <c r="AK463" i="18" l="1"/>
  <c r="AD428" i="18"/>
  <c r="AF379" i="18"/>
  <c r="L172" i="18"/>
  <c r="L171" i="18"/>
  <c r="L169" i="18"/>
  <c r="L168" i="18"/>
  <c r="L170" i="18"/>
  <c r="L333" i="18"/>
  <c r="L332" i="18"/>
  <c r="L334" i="18"/>
  <c r="L403" i="18"/>
  <c r="L383" i="18"/>
  <c r="L384" i="18" s="1"/>
  <c r="L386" i="18"/>
  <c r="L397" i="18"/>
  <c r="L391" i="18"/>
  <c r="L47" i="18"/>
  <c r="L245" i="18"/>
  <c r="L244" i="18"/>
  <c r="L242" i="18"/>
  <c r="L246" i="18"/>
  <c r="L241" i="18"/>
  <c r="AD129" i="18"/>
  <c r="L367" i="18"/>
  <c r="L365" i="18"/>
  <c r="L366" i="18"/>
  <c r="L296" i="18"/>
  <c r="L295" i="18"/>
  <c r="L293" i="18"/>
  <c r="L294" i="18"/>
  <c r="L49" i="18"/>
  <c r="L54" i="18"/>
  <c r="L46" i="18"/>
  <c r="L55" i="18"/>
  <c r="L53" i="18"/>
  <c r="AJ53" i="18" s="1"/>
  <c r="L51" i="18"/>
  <c r="L48" i="18"/>
  <c r="L45" i="18"/>
  <c r="L412" i="18"/>
  <c r="L411" i="18"/>
  <c r="L410" i="18"/>
  <c r="L255" i="18"/>
  <c r="L254" i="18"/>
  <c r="L252" i="18"/>
  <c r="L251" i="18"/>
  <c r="L250" i="18"/>
  <c r="L253" i="18"/>
  <c r="L111" i="18"/>
  <c r="L219" i="18"/>
  <c r="L313" i="18"/>
  <c r="L433" i="18"/>
  <c r="L77" i="18"/>
  <c r="L95" i="18"/>
  <c r="L124" i="18"/>
  <c r="L423" i="18"/>
  <c r="L424" i="18"/>
  <c r="L230" i="18"/>
  <c r="L200" i="18"/>
  <c r="L266" i="18"/>
  <c r="L267" i="18" s="1"/>
  <c r="L207" i="18"/>
  <c r="L223" i="18"/>
  <c r="L145" i="18"/>
  <c r="L144" i="18"/>
  <c r="L189" i="18"/>
  <c r="L134" i="18"/>
  <c r="L139" i="18"/>
  <c r="L117" i="18"/>
  <c r="L109" i="18"/>
  <c r="L122" i="18"/>
  <c r="L114" i="18"/>
  <c r="L33" i="18"/>
  <c r="L25" i="18"/>
  <c r="L30" i="18"/>
  <c r="L22" i="18"/>
  <c r="L32" i="18"/>
  <c r="L116" i="18"/>
  <c r="L137" i="18"/>
  <c r="L451" i="18"/>
  <c r="L456" i="18"/>
  <c r="L463" i="18"/>
  <c r="L174" i="18"/>
  <c r="L59" i="18"/>
  <c r="L445" i="18"/>
  <c r="L444" i="18"/>
  <c r="L439" i="18"/>
  <c r="L435" i="18"/>
  <c r="L434" i="18"/>
  <c r="L440" i="18"/>
  <c r="L346" i="18"/>
  <c r="L345" i="18"/>
  <c r="L284" i="18"/>
  <c r="L283" i="18"/>
  <c r="L281" i="18"/>
  <c r="L258" i="18"/>
  <c r="L305" i="18"/>
  <c r="L369" i="18"/>
  <c r="L318" i="18"/>
  <c r="L152" i="18"/>
  <c r="L350" i="18"/>
  <c r="L126" i="18" l="1"/>
  <c r="L125" i="18"/>
  <c r="L388" i="18"/>
  <c r="L387" i="18"/>
  <c r="L389" i="18"/>
  <c r="L156" i="18"/>
  <c r="L155" i="18"/>
  <c r="L153" i="18"/>
  <c r="L159" i="18"/>
  <c r="L157" i="18"/>
  <c r="L158" i="18"/>
  <c r="L154" i="18"/>
  <c r="L69" i="18"/>
  <c r="L61" i="18"/>
  <c r="L66" i="18"/>
  <c r="L70" i="18"/>
  <c r="L68" i="18"/>
  <c r="L65" i="18"/>
  <c r="L73" i="18"/>
  <c r="L63" i="18"/>
  <c r="L71" i="18"/>
  <c r="L60" i="18"/>
  <c r="L64" i="18"/>
  <c r="L62" i="18"/>
  <c r="L67" i="18"/>
  <c r="L72" i="18"/>
  <c r="L89" i="18"/>
  <c r="L81" i="18"/>
  <c r="L86" i="18"/>
  <c r="L78" i="18"/>
  <c r="L84" i="18"/>
  <c r="L93" i="18"/>
  <c r="L83" i="18"/>
  <c r="L91" i="18"/>
  <c r="L80" i="18"/>
  <c r="L88" i="18"/>
  <c r="L85" i="18"/>
  <c r="L92" i="18"/>
  <c r="L87" i="18"/>
  <c r="L82" i="18"/>
  <c r="L79" i="18"/>
  <c r="L90" i="18"/>
  <c r="L406" i="18"/>
  <c r="L407" i="18"/>
  <c r="L404" i="18"/>
  <c r="L405" i="18"/>
  <c r="L203" i="18"/>
  <c r="L202" i="18"/>
  <c r="L201" i="18"/>
  <c r="L204" i="18"/>
  <c r="L205" i="18"/>
  <c r="L370" i="18"/>
  <c r="L371" i="18"/>
  <c r="L372" i="18"/>
  <c r="L373" i="18"/>
  <c r="L468" i="18"/>
  <c r="L464" i="18"/>
  <c r="L466" i="18"/>
  <c r="L467" i="18"/>
  <c r="L465" i="18"/>
  <c r="L235" i="18"/>
  <c r="L234" i="18"/>
  <c r="L232" i="18"/>
  <c r="L236" i="18"/>
  <c r="L233" i="18"/>
  <c r="L237" i="18"/>
  <c r="L231" i="18"/>
  <c r="L320" i="18"/>
  <c r="L319" i="18"/>
  <c r="L322" i="18"/>
  <c r="L321" i="18"/>
  <c r="L457" i="18"/>
  <c r="L458" i="18"/>
  <c r="L193" i="18"/>
  <c r="L192" i="18"/>
  <c r="L198" i="18"/>
  <c r="L190" i="18"/>
  <c r="L197" i="18"/>
  <c r="L195" i="18"/>
  <c r="L191" i="18"/>
  <c r="L194" i="18"/>
  <c r="L196" i="18"/>
  <c r="L264" i="18"/>
  <c r="L262" i="18"/>
  <c r="L261" i="18"/>
  <c r="AJ261" i="18" s="1"/>
  <c r="L259" i="18"/>
  <c r="L260" i="18"/>
  <c r="AJ260" i="18" s="1"/>
  <c r="L263" i="18"/>
  <c r="L453" i="18"/>
  <c r="L452" i="18"/>
  <c r="L395" i="18"/>
  <c r="L394" i="18"/>
  <c r="L393" i="18"/>
  <c r="L392" i="18"/>
  <c r="L182" i="18"/>
  <c r="L181" i="18"/>
  <c r="L179" i="18"/>
  <c r="L184" i="18"/>
  <c r="L183" i="18"/>
  <c r="L178" i="18"/>
  <c r="L176" i="18"/>
  <c r="L185" i="18"/>
  <c r="L186" i="18"/>
  <c r="L180" i="18"/>
  <c r="L175" i="18"/>
  <c r="L177" i="18"/>
  <c r="L400" i="18"/>
  <c r="L399" i="18"/>
  <c r="L398" i="18"/>
  <c r="L401" i="18"/>
  <c r="L225" i="18"/>
  <c r="L224" i="18"/>
  <c r="L228" i="18"/>
  <c r="L226" i="18"/>
  <c r="L227" i="18"/>
  <c r="L355" i="18"/>
  <c r="L353" i="18"/>
  <c r="L351" i="18"/>
  <c r="L352" i="18"/>
  <c r="L354" i="18"/>
  <c r="L213" i="18"/>
  <c r="L212" i="18"/>
  <c r="L210" i="18"/>
  <c r="L216" i="18"/>
  <c r="L215" i="18"/>
  <c r="L211" i="18"/>
  <c r="L208" i="18"/>
  <c r="L214" i="18"/>
  <c r="L209" i="18"/>
  <c r="L99" i="18"/>
  <c r="L104" i="18"/>
  <c r="L96" i="18"/>
  <c r="L97" i="18"/>
  <c r="L103" i="18"/>
  <c r="L101" i="18"/>
  <c r="L98" i="18"/>
  <c r="L100" i="18"/>
  <c r="L102" i="18"/>
  <c r="W61" i="5" l="1"/>
  <c r="F38" i="13"/>
  <c r="D38" i="13"/>
  <c r="A8" i="13"/>
  <c r="A26" i="13"/>
  <c r="A24" i="13"/>
  <c r="A23" i="13"/>
  <c r="A22" i="13"/>
  <c r="H55" i="12"/>
  <c r="G55" i="12"/>
  <c r="F55" i="12"/>
  <c r="A21" i="13"/>
  <c r="H44" i="12"/>
  <c r="G44" i="12"/>
  <c r="F44" i="12"/>
  <c r="A7" i="13"/>
  <c r="H25" i="12"/>
  <c r="G25" i="12"/>
  <c r="F25" i="12"/>
  <c r="A20" i="13"/>
  <c r="H13" i="12"/>
  <c r="G13" i="12"/>
  <c r="F13" i="12"/>
  <c r="A19" i="13"/>
  <c r="A18" i="13"/>
  <c r="A17" i="13"/>
  <c r="H56" i="12"/>
  <c r="G56" i="12"/>
  <c r="F56" i="12"/>
  <c r="A27" i="13"/>
  <c r="H27" i="12"/>
  <c r="G27" i="12"/>
  <c r="F27" i="12"/>
  <c r="A16" i="13"/>
  <c r="H26" i="12"/>
  <c r="G26" i="12"/>
  <c r="F26" i="12"/>
  <c r="A15" i="13"/>
  <c r="A14" i="13"/>
  <c r="H19" i="12"/>
  <c r="G19" i="12"/>
  <c r="F19" i="12"/>
  <c r="A13" i="13"/>
  <c r="H8" i="12"/>
  <c r="G8" i="12"/>
  <c r="F8" i="12"/>
  <c r="H24" i="12"/>
  <c r="G24" i="12"/>
  <c r="F24" i="12"/>
  <c r="A12" i="13"/>
  <c r="H23" i="12"/>
  <c r="G23" i="12"/>
  <c r="F23" i="12"/>
  <c r="A11" i="13"/>
  <c r="H50" i="12"/>
  <c r="G50" i="12"/>
  <c r="F50" i="12"/>
  <c r="H20" i="12"/>
  <c r="G20" i="12"/>
  <c r="F20" i="12"/>
  <c r="A10" i="13"/>
  <c r="H18" i="12"/>
  <c r="G18" i="12"/>
  <c r="F18" i="12"/>
  <c r="H16" i="12"/>
  <c r="G16" i="12"/>
  <c r="F16" i="12"/>
  <c r="A9" i="13"/>
  <c r="H14" i="12"/>
  <c r="G14" i="12"/>
  <c r="F14" i="12"/>
  <c r="H12" i="12"/>
  <c r="G12" i="12"/>
  <c r="F12" i="12"/>
  <c r="H57" i="12"/>
  <c r="G57" i="12"/>
  <c r="F57" i="12"/>
  <c r="H17" i="12"/>
  <c r="G17" i="12"/>
  <c r="F17" i="12"/>
  <c r="H34" i="12"/>
  <c r="G34" i="12"/>
  <c r="F34" i="12"/>
  <c r="H31" i="12"/>
  <c r="G31" i="12"/>
  <c r="F31" i="12"/>
  <c r="H41" i="12"/>
  <c r="G41" i="12"/>
  <c r="F41" i="12"/>
  <c r="H11" i="12"/>
  <c r="G11" i="12"/>
  <c r="F11" i="12"/>
  <c r="H39" i="12"/>
  <c r="G39" i="12"/>
  <c r="F39" i="12"/>
  <c r="H30" i="12"/>
  <c r="G30" i="12"/>
  <c r="F30" i="12"/>
  <c r="H53" i="12"/>
  <c r="G53" i="12"/>
  <c r="F53" i="12"/>
  <c r="H37" i="12"/>
  <c r="G37" i="12"/>
  <c r="F37" i="12"/>
  <c r="H10" i="12"/>
  <c r="G10" i="12"/>
  <c r="F10" i="12"/>
  <c r="H9" i="12"/>
  <c r="G9" i="12"/>
  <c r="F9" i="12"/>
  <c r="A29" i="13"/>
  <c r="H35" i="12"/>
  <c r="G35" i="12"/>
  <c r="F35" i="12"/>
  <c r="A28" i="13"/>
  <c r="H47" i="12"/>
  <c r="G47" i="12"/>
  <c r="F47" i="12"/>
  <c r="H7" i="12"/>
  <c r="G7" i="12"/>
  <c r="F7" i="12"/>
  <c r="A36" i="13"/>
  <c r="H54" i="12"/>
  <c r="G54" i="12"/>
  <c r="F54" i="12"/>
  <c r="A25" i="13"/>
  <c r="H29" i="12"/>
  <c r="G29" i="12"/>
  <c r="F29" i="12"/>
  <c r="H52" i="12"/>
  <c r="G52" i="12"/>
  <c r="F52" i="12"/>
  <c r="A34" i="13"/>
  <c r="A32" i="13"/>
  <c r="H42" i="12"/>
  <c r="G42" i="12"/>
  <c r="F42" i="12"/>
  <c r="A31" i="13"/>
  <c r="H48" i="12"/>
  <c r="G48" i="12"/>
  <c r="F48" i="12"/>
  <c r="H32" i="12"/>
  <c r="G32" i="12"/>
  <c r="F32" i="12"/>
  <c r="H33" i="12"/>
  <c r="G33" i="12"/>
  <c r="F33" i="12"/>
  <c r="H22" i="12"/>
  <c r="G22" i="12"/>
  <c r="F22" i="12"/>
  <c r="A33" i="13"/>
  <c r="H28" i="12"/>
  <c r="G28" i="12"/>
  <c r="F28" i="12"/>
  <c r="H21" i="12"/>
  <c r="G21" i="12"/>
  <c r="F21" i="12"/>
  <c r="H40" i="12"/>
  <c r="G40" i="12"/>
  <c r="F40" i="12"/>
  <c r="A30" i="13"/>
  <c r="H49" i="12"/>
  <c r="G49" i="12"/>
  <c r="F49" i="12"/>
  <c r="H15" i="12"/>
  <c r="G15" i="12"/>
  <c r="F15" i="12"/>
  <c r="H36" i="12"/>
  <c r="G36" i="12"/>
  <c r="F36" i="12"/>
  <c r="H45" i="12"/>
  <c r="G45" i="12"/>
  <c r="F45" i="12"/>
  <c r="H43" i="12"/>
  <c r="G43" i="12"/>
  <c r="F43" i="12"/>
  <c r="H58" i="12"/>
  <c r="G58" i="12"/>
  <c r="F58" i="12"/>
  <c r="H38" i="12"/>
  <c r="G38" i="12"/>
  <c r="F38" i="12"/>
  <c r="H51" i="12"/>
  <c r="G51" i="12"/>
  <c r="F51" i="12"/>
  <c r="H46" i="12"/>
  <c r="G46" i="12"/>
  <c r="F46" i="12"/>
  <c r="A35" i="13"/>
  <c r="G11" i="19"/>
  <c r="AJ461" i="18" l="1"/>
  <c r="AJ460" i="18" s="1"/>
  <c r="AC461" i="18"/>
  <c r="AC460" i="18" s="1"/>
  <c r="G460" i="18"/>
  <c r="C10" i="19"/>
  <c r="K7" i="19"/>
  <c r="K4" i="19"/>
  <c r="K13" i="19" s="1"/>
  <c r="B429" i="18"/>
  <c r="AX428" i="18"/>
  <c r="AT428" i="18"/>
  <c r="AS428" i="18"/>
  <c r="AQ467" i="18"/>
  <c r="AP467" i="18"/>
  <c r="A467" i="18"/>
  <c r="K433" i="18"/>
  <c r="AQ436" i="18"/>
  <c r="AP436" i="18"/>
  <c r="A436" i="18"/>
  <c r="AQ433" i="18"/>
  <c r="AP433" i="18"/>
  <c r="A433" i="18"/>
  <c r="AQ468" i="18"/>
  <c r="AP468" i="18"/>
  <c r="A468" i="18"/>
  <c r="AQ439" i="18"/>
  <c r="AP439" i="18"/>
  <c r="A439" i="18"/>
  <c r="AQ437" i="18"/>
  <c r="AP437" i="18"/>
  <c r="A437" i="18"/>
  <c r="AQ435" i="18"/>
  <c r="AP435" i="18"/>
  <c r="A435" i="18"/>
  <c r="AQ441" i="18"/>
  <c r="AP441" i="18"/>
  <c r="A441" i="18"/>
  <c r="AQ466" i="18"/>
  <c r="AP466" i="18"/>
  <c r="A466" i="18"/>
  <c r="AL466" i="18" s="1"/>
  <c r="AQ465" i="18"/>
  <c r="AP465" i="18"/>
  <c r="A465" i="18"/>
  <c r="AL465" i="18" s="1"/>
  <c r="AQ464" i="18"/>
  <c r="AP464" i="18"/>
  <c r="A464" i="18"/>
  <c r="AL464" i="18" s="1"/>
  <c r="J463" i="18"/>
  <c r="G463" i="18"/>
  <c r="A453" i="18"/>
  <c r="G447" i="18"/>
  <c r="AQ453" i="18"/>
  <c r="AP453" i="18"/>
  <c r="AL453" i="18"/>
  <c r="AK453" i="18"/>
  <c r="AQ452" i="18"/>
  <c r="AP452" i="18"/>
  <c r="A452" i="18"/>
  <c r="G451" i="18"/>
  <c r="AQ440" i="18"/>
  <c r="AP440" i="18"/>
  <c r="A440" i="18"/>
  <c r="AL440" i="18" s="1"/>
  <c r="AQ438" i="18"/>
  <c r="AP438" i="18"/>
  <c r="A438" i="18"/>
  <c r="AL438" i="18" s="1"/>
  <c r="AQ449" i="18"/>
  <c r="AP449" i="18"/>
  <c r="AL449" i="18"/>
  <c r="AK449" i="18"/>
  <c r="A449" i="18"/>
  <c r="AQ448" i="18"/>
  <c r="AP448" i="18"/>
  <c r="A448" i="18"/>
  <c r="AL448" i="18" s="1"/>
  <c r="A398" i="18"/>
  <c r="AQ401" i="18"/>
  <c r="AP401" i="18"/>
  <c r="AD401" i="18"/>
  <c r="AD397" i="18" s="1"/>
  <c r="A401" i="18"/>
  <c r="AL401" i="18" s="1"/>
  <c r="AQ400" i="18"/>
  <c r="AP400" i="18"/>
  <c r="AD400" i="18"/>
  <c r="A400" i="18"/>
  <c r="AQ399" i="18"/>
  <c r="AP399" i="18"/>
  <c r="AD399" i="18"/>
  <c r="A399" i="18"/>
  <c r="AQ398" i="18"/>
  <c r="AP398" i="18"/>
  <c r="AL398" i="18"/>
  <c r="AK398" i="18"/>
  <c r="J397" i="18"/>
  <c r="G397" i="18"/>
  <c r="A332" i="18"/>
  <c r="AQ335" i="18"/>
  <c r="AP335" i="18"/>
  <c r="AD335" i="18"/>
  <c r="A335" i="18"/>
  <c r="AL335" i="18" s="1"/>
  <c r="AQ334" i="18"/>
  <c r="AP334" i="18"/>
  <c r="J334" i="18"/>
  <c r="H334" i="18"/>
  <c r="AQ333" i="18"/>
  <c r="AP333" i="18"/>
  <c r="J333" i="18"/>
  <c r="H333" i="18"/>
  <c r="AQ332" i="18"/>
  <c r="AP332" i="18"/>
  <c r="AL332" i="18"/>
  <c r="AK332" i="18"/>
  <c r="J331" i="18"/>
  <c r="G331" i="18"/>
  <c r="AQ413" i="18"/>
  <c r="AP413" i="18"/>
  <c r="AD413" i="18"/>
  <c r="A413" i="18"/>
  <c r="AL413" i="18" s="1"/>
  <c r="AQ412" i="18"/>
  <c r="AP412" i="18"/>
  <c r="A412" i="18"/>
  <c r="AQ411" i="18"/>
  <c r="AP411" i="18"/>
  <c r="A410" i="18"/>
  <c r="AQ407" i="18"/>
  <c r="AP407" i="18"/>
  <c r="AD407" i="18"/>
  <c r="A407" i="18"/>
  <c r="AL407" i="18" s="1"/>
  <c r="A384" i="18"/>
  <c r="AQ384" i="18"/>
  <c r="AP384" i="18"/>
  <c r="AL384" i="18"/>
  <c r="BA383" i="18"/>
  <c r="J383" i="18"/>
  <c r="G383" i="18"/>
  <c r="AQ284" i="18"/>
  <c r="AP284" i="18"/>
  <c r="AD284" i="18"/>
  <c r="A284" i="18"/>
  <c r="AL284" i="18" s="1"/>
  <c r="AQ283" i="18"/>
  <c r="AP283" i="18"/>
  <c r="J283" i="18"/>
  <c r="H283" i="18"/>
  <c r="AQ282" i="18"/>
  <c r="AP282" i="18"/>
  <c r="J282" i="18"/>
  <c r="H282" i="18"/>
  <c r="AQ281" i="18"/>
  <c r="AP281" i="18"/>
  <c r="AL281" i="18"/>
  <c r="AK281" i="18"/>
  <c r="A281" i="18"/>
  <c r="J280" i="18"/>
  <c r="G280" i="18"/>
  <c r="A275" i="18"/>
  <c r="AQ278" i="18"/>
  <c r="AP278" i="18"/>
  <c r="AD278" i="18"/>
  <c r="A278" i="18"/>
  <c r="AL278" i="18" s="1"/>
  <c r="AQ277" i="18"/>
  <c r="AP277" i="18"/>
  <c r="J277" i="18"/>
  <c r="H277" i="18"/>
  <c r="AQ276" i="18"/>
  <c r="AP276" i="18"/>
  <c r="J276" i="18"/>
  <c r="H276" i="18"/>
  <c r="AQ275" i="18"/>
  <c r="AP275" i="18"/>
  <c r="AL275" i="18"/>
  <c r="AK275" i="18"/>
  <c r="J274" i="18"/>
  <c r="G274" i="18"/>
  <c r="BA266" i="18"/>
  <c r="AQ172" i="18"/>
  <c r="AP172" i="18"/>
  <c r="AD172" i="18"/>
  <c r="A172" i="18"/>
  <c r="AL172" i="18" s="1"/>
  <c r="AQ171" i="18"/>
  <c r="AP171" i="18"/>
  <c r="A171" i="18"/>
  <c r="AL171" i="18" s="1"/>
  <c r="AQ170" i="18"/>
  <c r="AP170" i="18"/>
  <c r="AD170" i="18"/>
  <c r="A170" i="18"/>
  <c r="AL170" i="18" s="1"/>
  <c r="A168" i="18"/>
  <c r="AQ169" i="18"/>
  <c r="AP169" i="18"/>
  <c r="AD169" i="18"/>
  <c r="A169" i="18"/>
  <c r="AL169" i="18" s="1"/>
  <c r="AQ168" i="18"/>
  <c r="AP168" i="18"/>
  <c r="AL168" i="18"/>
  <c r="AK168" i="18"/>
  <c r="J167" i="18"/>
  <c r="G167" i="18"/>
  <c r="AQ342" i="18"/>
  <c r="AP342" i="18"/>
  <c r="AD342" i="18"/>
  <c r="A342" i="18"/>
  <c r="AL342" i="18" s="1"/>
  <c r="AQ341" i="18"/>
  <c r="AP341" i="18"/>
  <c r="J341" i="18"/>
  <c r="H341" i="18"/>
  <c r="AQ340" i="18"/>
  <c r="AP340" i="18"/>
  <c r="J340" i="18"/>
  <c r="H340" i="18"/>
  <c r="AQ339" i="18"/>
  <c r="AP339" i="18"/>
  <c r="AL339" i="18"/>
  <c r="AK339" i="18"/>
  <c r="A339" i="18"/>
  <c r="J338" i="18"/>
  <c r="G338" i="18"/>
  <c r="AQ367" i="18"/>
  <c r="AP367" i="18"/>
  <c r="AD367" i="18"/>
  <c r="A367" i="18"/>
  <c r="AL367" i="18" s="1"/>
  <c r="AQ361" i="18"/>
  <c r="AP361" i="18"/>
  <c r="AD361" i="18"/>
  <c r="A361" i="18"/>
  <c r="AL361" i="18" s="1"/>
  <c r="AQ366" i="18"/>
  <c r="AP366" i="18"/>
  <c r="A366" i="18"/>
  <c r="AL366" i="18" s="1"/>
  <c r="AQ365" i="18"/>
  <c r="AP365" i="18"/>
  <c r="J365" i="18"/>
  <c r="H365" i="18"/>
  <c r="AQ364" i="18"/>
  <c r="AP364" i="18"/>
  <c r="AL364" i="18"/>
  <c r="A364" i="18"/>
  <c r="J363" i="18"/>
  <c r="G363" i="18"/>
  <c r="AQ348" i="18"/>
  <c r="AP348" i="18"/>
  <c r="AD348" i="18"/>
  <c r="A348" i="18"/>
  <c r="AL348" i="18" s="1"/>
  <c r="A287" i="18"/>
  <c r="AQ290" i="18"/>
  <c r="AP290" i="18"/>
  <c r="AD290" i="18"/>
  <c r="A290" i="18"/>
  <c r="AL290" i="18" s="1"/>
  <c r="AQ289" i="18"/>
  <c r="AP289" i="18"/>
  <c r="J289" i="18"/>
  <c r="H289" i="18"/>
  <c r="AQ288" i="18"/>
  <c r="AP288" i="18"/>
  <c r="J288" i="18"/>
  <c r="H288" i="18"/>
  <c r="AQ287" i="18"/>
  <c r="AP287" i="18"/>
  <c r="AL287" i="18"/>
  <c r="AK287" i="18"/>
  <c r="J286" i="18"/>
  <c r="G286" i="18"/>
  <c r="A299" i="18"/>
  <c r="AQ302" i="18"/>
  <c r="AP302" i="18"/>
  <c r="AD302" i="18"/>
  <c r="A302" i="18"/>
  <c r="AL302" i="18" s="1"/>
  <c r="AQ301" i="18"/>
  <c r="AP301" i="18"/>
  <c r="J301" i="18"/>
  <c r="H301" i="18"/>
  <c r="AQ300" i="18"/>
  <c r="AP300" i="18"/>
  <c r="J300" i="18"/>
  <c r="H300" i="18"/>
  <c r="AQ299" i="18"/>
  <c r="AP299" i="18"/>
  <c r="AL299" i="18"/>
  <c r="AK299" i="18"/>
  <c r="J298" i="18"/>
  <c r="G298" i="18"/>
  <c r="A313" i="18"/>
  <c r="A267" i="18"/>
  <c r="AQ267" i="18"/>
  <c r="AP267" i="18"/>
  <c r="AL267" i="18"/>
  <c r="J266" i="18"/>
  <c r="G266" i="18"/>
  <c r="AQ328" i="18"/>
  <c r="AP328" i="18"/>
  <c r="AD328" i="18"/>
  <c r="A328" i="18"/>
  <c r="AL328" i="18" s="1"/>
  <c r="AQ322" i="18"/>
  <c r="AP322" i="18"/>
  <c r="AD322" i="18"/>
  <c r="A322" i="18"/>
  <c r="AL322" i="18" s="1"/>
  <c r="AQ316" i="18"/>
  <c r="AP316" i="18"/>
  <c r="AD316" i="18"/>
  <c r="A316" i="18"/>
  <c r="AL316" i="18" s="1"/>
  <c r="AQ310" i="18"/>
  <c r="AP310" i="18"/>
  <c r="AD310" i="18"/>
  <c r="A310" i="18"/>
  <c r="AL310" i="18" s="1"/>
  <c r="AQ296" i="18"/>
  <c r="AP296" i="18"/>
  <c r="AQ315" i="18"/>
  <c r="AP315" i="18"/>
  <c r="H315" i="18"/>
  <c r="AQ314" i="18"/>
  <c r="AP314" i="18"/>
  <c r="J314" i="18"/>
  <c r="H314" i="18"/>
  <c r="AQ313" i="18"/>
  <c r="AP313" i="18"/>
  <c r="AL313" i="18"/>
  <c r="J312" i="18"/>
  <c r="G312" i="18"/>
  <c r="AD312" i="18" l="1"/>
  <c r="AD167" i="18"/>
  <c r="AK460" i="18"/>
  <c r="AD274" i="18"/>
  <c r="AL467" i="18"/>
  <c r="AL436" i="18"/>
  <c r="AL433" i="18"/>
  <c r="AL468" i="18"/>
  <c r="AL439" i="18"/>
  <c r="AL437" i="18"/>
  <c r="AL435" i="18"/>
  <c r="AL441" i="18"/>
  <c r="AL452" i="18"/>
  <c r="A334" i="18"/>
  <c r="AL334" i="18" s="1"/>
  <c r="A333" i="18"/>
  <c r="AL333" i="18" s="1"/>
  <c r="AL399" i="18"/>
  <c r="AL400" i="18"/>
  <c r="AD333" i="18"/>
  <c r="A411" i="18"/>
  <c r="AL411" i="18" s="1"/>
  <c r="AD411" i="18"/>
  <c r="AD409" i="18" s="1"/>
  <c r="AL412" i="18"/>
  <c r="A283" i="18"/>
  <c r="AL283" i="18" s="1"/>
  <c r="AD276" i="18"/>
  <c r="A282" i="18"/>
  <c r="AL282" i="18" s="1"/>
  <c r="AD283" i="18"/>
  <c r="AD280" i="18" s="1"/>
  <c r="A277" i="18"/>
  <c r="AL277" i="18" s="1"/>
  <c r="AD282" i="18"/>
  <c r="A276" i="18"/>
  <c r="AL276" i="18" s="1"/>
  <c r="AD277" i="18"/>
  <c r="A300" i="18"/>
  <c r="AL300" i="18" s="1"/>
  <c r="A340" i="18"/>
  <c r="AL340" i="18" s="1"/>
  <c r="A341" i="18"/>
  <c r="AL341" i="18" s="1"/>
  <c r="AD340" i="18"/>
  <c r="A288" i="18"/>
  <c r="AL288" i="18" s="1"/>
  <c r="A365" i="18"/>
  <c r="AL365" i="18" s="1"/>
  <c r="AD365" i="18"/>
  <c r="AD363" i="18" s="1"/>
  <c r="A289" i="18"/>
  <c r="AL289" i="18" s="1"/>
  <c r="AD288" i="18"/>
  <c r="AD300" i="18"/>
  <c r="A301" i="18"/>
  <c r="A314" i="18"/>
  <c r="AL314" i="18" s="1"/>
  <c r="AD314" i="18"/>
  <c r="A315" i="18"/>
  <c r="AQ140" i="18"/>
  <c r="AP140" i="18"/>
  <c r="A140" i="18"/>
  <c r="J139" i="18"/>
  <c r="AL139" i="18" s="1"/>
  <c r="AQ139" i="18"/>
  <c r="AP139" i="18"/>
  <c r="AK139" i="18"/>
  <c r="AJ139" i="18" s="1"/>
  <c r="AQ159" i="18"/>
  <c r="AP159" i="18"/>
  <c r="A159" i="18"/>
  <c r="AL159" i="18" s="1"/>
  <c r="K158" i="18"/>
  <c r="AQ158" i="18"/>
  <c r="AP158" i="18"/>
  <c r="A158" i="18"/>
  <c r="J157" i="18"/>
  <c r="A157" i="18" s="1"/>
  <c r="AQ157" i="18"/>
  <c r="AP157" i="18"/>
  <c r="AK157" i="18"/>
  <c r="AJ157" i="18" s="1"/>
  <c r="AQ183" i="18"/>
  <c r="AP183" i="18"/>
  <c r="A183" i="18"/>
  <c r="A182" i="18"/>
  <c r="AQ182" i="18"/>
  <c r="AP182" i="18"/>
  <c r="AL182" i="18"/>
  <c r="AK182" i="18"/>
  <c r="AJ182" i="18" s="1"/>
  <c r="AQ228" i="18"/>
  <c r="AP228" i="18"/>
  <c r="A228" i="18"/>
  <c r="AL228" i="18" s="1"/>
  <c r="AQ227" i="18"/>
  <c r="AP227" i="18"/>
  <c r="A227" i="18"/>
  <c r="AL227" i="18" s="1"/>
  <c r="J208" i="18"/>
  <c r="AL208" i="18" s="1"/>
  <c r="AQ226" i="18"/>
  <c r="AP226" i="18"/>
  <c r="A226" i="18"/>
  <c r="AL226" i="18" s="1"/>
  <c r="AQ225" i="18"/>
  <c r="AP225" i="18"/>
  <c r="A225" i="18"/>
  <c r="AL225" i="18" s="1"/>
  <c r="AQ224" i="18"/>
  <c r="AP224" i="18"/>
  <c r="AL224" i="18"/>
  <c r="AK224" i="18"/>
  <c r="A224" i="18"/>
  <c r="J223" i="18"/>
  <c r="G223" i="18"/>
  <c r="J236" i="18"/>
  <c r="AL236" i="18" s="1"/>
  <c r="AQ237" i="18"/>
  <c r="AP237" i="18"/>
  <c r="A237" i="18"/>
  <c r="AL237" i="18" s="1"/>
  <c r="AQ236" i="18"/>
  <c r="AP236" i="18"/>
  <c r="AK236" i="18"/>
  <c r="AJ236" i="18" s="1"/>
  <c r="K255" i="18"/>
  <c r="K254" i="18"/>
  <c r="AQ252" i="18"/>
  <c r="AP252" i="18"/>
  <c r="AL252" i="18"/>
  <c r="A252" i="18"/>
  <c r="J249" i="18"/>
  <c r="AQ256" i="18"/>
  <c r="AP256" i="18"/>
  <c r="A256" i="18"/>
  <c r="AQ255" i="18"/>
  <c r="AP255" i="18"/>
  <c r="A255" i="18"/>
  <c r="AL255" i="18" s="1"/>
  <c r="AQ254" i="18"/>
  <c r="AP254" i="18"/>
  <c r="AL254" i="18"/>
  <c r="AK254" i="18"/>
  <c r="AJ254" i="18" s="1"/>
  <c r="A254" i="18"/>
  <c r="AQ253" i="18"/>
  <c r="AP253" i="18"/>
  <c r="A253" i="18"/>
  <c r="AQ251" i="18"/>
  <c r="AP251" i="18"/>
  <c r="AD251" i="18"/>
  <c r="AD249" i="18" s="1"/>
  <c r="A251" i="18"/>
  <c r="AL251" i="18" s="1"/>
  <c r="AQ250" i="18"/>
  <c r="AP250" i="18"/>
  <c r="AL250" i="18"/>
  <c r="AK250" i="18"/>
  <c r="A250" i="18"/>
  <c r="G249" i="18"/>
  <c r="AQ247" i="18"/>
  <c r="AP247" i="18"/>
  <c r="A247" i="18"/>
  <c r="AL247" i="18" s="1"/>
  <c r="K246" i="18"/>
  <c r="K245" i="18"/>
  <c r="AQ246" i="18"/>
  <c r="AP246" i="18"/>
  <c r="A246" i="18"/>
  <c r="AQ245" i="18"/>
  <c r="AP245" i="18"/>
  <c r="AL245" i="18"/>
  <c r="AK245" i="18"/>
  <c r="AJ245" i="18" s="1"/>
  <c r="A245" i="18"/>
  <c r="AQ242" i="18"/>
  <c r="AP242" i="18"/>
  <c r="AL242" i="18"/>
  <c r="A242" i="18"/>
  <c r="AQ244" i="18"/>
  <c r="AP244" i="18"/>
  <c r="A244" i="18"/>
  <c r="AL244" i="18" s="1"/>
  <c r="AQ264" i="18"/>
  <c r="AP264" i="18"/>
  <c r="A264" i="18"/>
  <c r="AQ263" i="18"/>
  <c r="AP263" i="18"/>
  <c r="A263" i="18"/>
  <c r="AL263" i="18" s="1"/>
  <c r="A261" i="18"/>
  <c r="AQ261" i="18"/>
  <c r="AP261" i="18"/>
  <c r="A260" i="18"/>
  <c r="AQ260" i="18"/>
  <c r="AP260" i="18"/>
  <c r="AL260" i="18"/>
  <c r="A126" i="18"/>
  <c r="AQ126" i="18"/>
  <c r="AP126" i="18"/>
  <c r="AL126" i="18"/>
  <c r="AK126" i="18"/>
  <c r="AQ125" i="18"/>
  <c r="AP125" i="18"/>
  <c r="A125" i="18"/>
  <c r="J124" i="18"/>
  <c r="G124" i="18"/>
  <c r="A111" i="18"/>
  <c r="AQ111" i="18"/>
  <c r="AP111" i="18"/>
  <c r="AL111" i="18"/>
  <c r="AK111" i="18"/>
  <c r="AQ113" i="18"/>
  <c r="A113" i="18"/>
  <c r="AQ112" i="18"/>
  <c r="AP112" i="18"/>
  <c r="AL112" i="18"/>
  <c r="A112" i="18"/>
  <c r="A115" i="18"/>
  <c r="AQ122" i="18"/>
  <c r="AP122" i="18"/>
  <c r="A122" i="18"/>
  <c r="AL122" i="18" s="1"/>
  <c r="AQ121" i="18"/>
  <c r="A121" i="18"/>
  <c r="AL121" i="18" s="1"/>
  <c r="AQ120" i="18"/>
  <c r="AP120" i="18"/>
  <c r="AL120" i="18"/>
  <c r="A120" i="18"/>
  <c r="AQ119" i="18"/>
  <c r="AP119" i="18"/>
  <c r="AL119" i="18"/>
  <c r="AK119" i="18"/>
  <c r="A119" i="18"/>
  <c r="AQ118" i="18"/>
  <c r="AP118" i="18"/>
  <c r="A118" i="18"/>
  <c r="AL118" i="18" s="1"/>
  <c r="AQ117" i="18"/>
  <c r="AP117" i="18"/>
  <c r="A117" i="18"/>
  <c r="AQ116" i="18"/>
  <c r="AP116" i="18"/>
  <c r="A116" i="18"/>
  <c r="AL116" i="18" s="1"/>
  <c r="AQ115" i="18"/>
  <c r="AP115" i="18"/>
  <c r="AL115" i="18"/>
  <c r="AK115" i="18"/>
  <c r="AJ115" i="18" s="1"/>
  <c r="AQ114" i="18"/>
  <c r="AP114" i="18"/>
  <c r="A114" i="18"/>
  <c r="AQ110" i="18"/>
  <c r="AP110" i="18"/>
  <c r="A110" i="18"/>
  <c r="AL110" i="18" s="1"/>
  <c r="AQ109" i="18"/>
  <c r="AP109" i="18"/>
  <c r="A109" i="18"/>
  <c r="AL109" i="18" s="1"/>
  <c r="J108" i="18"/>
  <c r="A108" i="18" s="1"/>
  <c r="AL107" i="18"/>
  <c r="A107" i="18"/>
  <c r="J106" i="18"/>
  <c r="G106" i="18"/>
  <c r="AQ72" i="18"/>
  <c r="A72" i="18"/>
  <c r="AL72" i="18" s="1"/>
  <c r="A71" i="18"/>
  <c r="AQ71" i="18"/>
  <c r="AP71" i="18"/>
  <c r="AL71" i="18"/>
  <c r="AK71" i="18"/>
  <c r="AQ70" i="18"/>
  <c r="AP70" i="18"/>
  <c r="AL70" i="18"/>
  <c r="AK70" i="18"/>
  <c r="A70" i="18"/>
  <c r="AQ67" i="18"/>
  <c r="AP67" i="18"/>
  <c r="A67" i="18"/>
  <c r="AQ66" i="18"/>
  <c r="AP66" i="18"/>
  <c r="AL66" i="18"/>
  <c r="AK66" i="18"/>
  <c r="AJ66" i="18" s="1"/>
  <c r="A66" i="18"/>
  <c r="J61" i="18"/>
  <c r="A60" i="18"/>
  <c r="J59" i="18"/>
  <c r="A90" i="18"/>
  <c r="AQ90" i="18"/>
  <c r="AP90" i="18"/>
  <c r="AL90" i="18"/>
  <c r="AK90" i="18"/>
  <c r="AQ88" i="18"/>
  <c r="AP88" i="18"/>
  <c r="A88" i="18"/>
  <c r="AL88" i="18" s="1"/>
  <c r="AQ87" i="18"/>
  <c r="AP87" i="18"/>
  <c r="A87" i="18"/>
  <c r="AL87" i="18" s="1"/>
  <c r="AQ79" i="18"/>
  <c r="AQ78" i="18"/>
  <c r="AQ96" i="18"/>
  <c r="AQ104" i="18"/>
  <c r="AP104" i="18"/>
  <c r="A104" i="18"/>
  <c r="AL104" i="18" s="1"/>
  <c r="AQ434" i="18"/>
  <c r="AP434" i="18"/>
  <c r="A434" i="18"/>
  <c r="J432" i="18"/>
  <c r="G432" i="18"/>
  <c r="AQ100" i="18"/>
  <c r="AP100" i="18"/>
  <c r="A100" i="18"/>
  <c r="AL100" i="18" s="1"/>
  <c r="AQ103" i="18"/>
  <c r="AP103" i="18"/>
  <c r="A103" i="18"/>
  <c r="AQ102" i="18"/>
  <c r="AP102" i="18"/>
  <c r="AL102" i="18"/>
  <c r="AK102" i="18"/>
  <c r="AJ102" i="18" s="1"/>
  <c r="A102" i="18"/>
  <c r="A96" i="18"/>
  <c r="AQ93" i="18"/>
  <c r="AP93" i="18"/>
  <c r="A93" i="18"/>
  <c r="AL93" i="18" s="1"/>
  <c r="AQ92" i="18"/>
  <c r="AP92" i="18"/>
  <c r="A92" i="18"/>
  <c r="AL92" i="18" s="1"/>
  <c r="AQ86" i="18"/>
  <c r="AP86" i="18"/>
  <c r="A86" i="18"/>
  <c r="AL86" i="18" s="1"/>
  <c r="AQ84" i="18"/>
  <c r="AP84" i="18"/>
  <c r="A84" i="18"/>
  <c r="AL84" i="18" s="1"/>
  <c r="AQ91" i="18"/>
  <c r="AP91" i="18"/>
  <c r="A91" i="18"/>
  <c r="AL91" i="18" s="1"/>
  <c r="A89" i="18"/>
  <c r="J79" i="18"/>
  <c r="A79" i="18" s="1"/>
  <c r="AQ80" i="18"/>
  <c r="AP80" i="18"/>
  <c r="J80" i="18"/>
  <c r="AL80" i="18" s="1"/>
  <c r="AP78" i="18"/>
  <c r="AL78" i="18"/>
  <c r="A78" i="18"/>
  <c r="J95" i="18"/>
  <c r="AQ101" i="18"/>
  <c r="AP101" i="18"/>
  <c r="A101" i="18"/>
  <c r="AL101" i="18" s="1"/>
  <c r="AQ99" i="18"/>
  <c r="AP99" i="18"/>
  <c r="A99" i="18"/>
  <c r="AL99" i="18" s="1"/>
  <c r="AQ98" i="18"/>
  <c r="AP98" i="18"/>
  <c r="A98" i="18"/>
  <c r="AL98" i="18" s="1"/>
  <c r="AQ97" i="18"/>
  <c r="AP97" i="18"/>
  <c r="J97" i="18"/>
  <c r="AL97" i="18" s="1"/>
  <c r="AP96" i="18"/>
  <c r="AL96" i="18"/>
  <c r="Q96" i="18"/>
  <c r="G95" i="18"/>
  <c r="A55" i="18"/>
  <c r="AQ55" i="18"/>
  <c r="AP55" i="18"/>
  <c r="AL55" i="18"/>
  <c r="AK55" i="18"/>
  <c r="AQ54" i="18"/>
  <c r="AP54" i="18"/>
  <c r="A54" i="18"/>
  <c r="AL54" i="18" s="1"/>
  <c r="A53" i="18"/>
  <c r="AQ53" i="18"/>
  <c r="AP53" i="18"/>
  <c r="AL53" i="18"/>
  <c r="AQ50" i="18"/>
  <c r="AP50" i="18"/>
  <c r="A50" i="18"/>
  <c r="AQ461" i="18"/>
  <c r="AP461" i="18"/>
  <c r="A461" i="18"/>
  <c r="AL461" i="18" s="1"/>
  <c r="AQ34" i="18"/>
  <c r="AP34" i="18"/>
  <c r="A34" i="18"/>
  <c r="AL34" i="18" s="1"/>
  <c r="A33" i="18"/>
  <c r="AQ33" i="18"/>
  <c r="AP33" i="18"/>
  <c r="AL33" i="18"/>
  <c r="AK33" i="18"/>
  <c r="AJ33" i="18" s="1"/>
  <c r="AQ458" i="18"/>
  <c r="AP458" i="18"/>
  <c r="A458" i="18"/>
  <c r="AL458" i="18" s="1"/>
  <c r="J456" i="18"/>
  <c r="AQ457" i="18"/>
  <c r="AP457" i="18"/>
  <c r="A457" i="18"/>
  <c r="AL457" i="18" s="1"/>
  <c r="G456" i="18"/>
  <c r="AQ32" i="18"/>
  <c r="AP32" i="18"/>
  <c r="AL32" i="18"/>
  <c r="AK32" i="18"/>
  <c r="A32" i="18"/>
  <c r="AQ31" i="18"/>
  <c r="AP31" i="18"/>
  <c r="A31" i="18"/>
  <c r="AQ30" i="18"/>
  <c r="AP30" i="18"/>
  <c r="A30" i="18"/>
  <c r="AL30" i="18" s="1"/>
  <c r="AQ29" i="18"/>
  <c r="AP29" i="18"/>
  <c r="A29" i="18"/>
  <c r="AL29" i="18" s="1"/>
  <c r="AQ28" i="18"/>
  <c r="A28" i="18"/>
  <c r="AL28" i="18" s="1"/>
  <c r="AD395" i="18"/>
  <c r="AD391" i="18" s="1"/>
  <c r="AD394" i="18"/>
  <c r="AD393" i="18"/>
  <c r="AD377" i="18"/>
  <c r="AD375" i="18" s="1"/>
  <c r="AD373" i="18"/>
  <c r="AD355" i="18"/>
  <c r="AD309" i="18"/>
  <c r="AD243" i="18"/>
  <c r="AD239" i="18" s="1"/>
  <c r="AD221" i="18"/>
  <c r="AD218" i="18" s="1"/>
  <c r="AD220" i="18"/>
  <c r="AD203" i="18"/>
  <c r="AD202" i="18"/>
  <c r="AD181" i="18"/>
  <c r="AL147" i="18"/>
  <c r="AK147" i="18"/>
  <c r="AL410" i="18"/>
  <c r="AK410" i="18"/>
  <c r="AL404" i="18"/>
  <c r="AK404" i="18"/>
  <c r="AL392" i="18"/>
  <c r="AK392" i="18"/>
  <c r="AL387" i="18"/>
  <c r="AK387" i="18"/>
  <c r="AL370" i="18"/>
  <c r="AL345" i="18"/>
  <c r="AK345" i="18"/>
  <c r="AL358" i="18"/>
  <c r="AL351" i="18"/>
  <c r="AL325" i="18"/>
  <c r="AL319" i="18"/>
  <c r="AL305" i="18"/>
  <c r="AL293" i="18"/>
  <c r="AK293" i="18"/>
  <c r="AL259" i="18"/>
  <c r="AK241" i="18"/>
  <c r="AL240" i="18"/>
  <c r="AK240" i="18"/>
  <c r="AL235" i="18"/>
  <c r="AK235" i="18"/>
  <c r="AL231" i="18"/>
  <c r="AK231" i="18"/>
  <c r="AL219" i="18"/>
  <c r="AK219" i="18"/>
  <c r="AL215" i="18"/>
  <c r="AK215" i="18"/>
  <c r="AK208" i="18"/>
  <c r="AL205" i="18"/>
  <c r="AK205" i="18"/>
  <c r="AJ205" i="18" s="1"/>
  <c r="AL204" i="18"/>
  <c r="AK204" i="18"/>
  <c r="AL201" i="18"/>
  <c r="AK201" i="18"/>
  <c r="AD200" i="18" l="1"/>
  <c r="M384" i="18"/>
  <c r="M383" i="18" s="1"/>
  <c r="AL301" i="18"/>
  <c r="A139" i="18"/>
  <c r="AL315" i="18"/>
  <c r="AL140" i="18"/>
  <c r="AL158" i="18"/>
  <c r="AL157" i="18"/>
  <c r="AL183" i="18"/>
  <c r="A236" i="18"/>
  <c r="AL253" i="18"/>
  <c r="AL256" i="18"/>
  <c r="AL246" i="18"/>
  <c r="AL264" i="18"/>
  <c r="AL125" i="18"/>
  <c r="AL113" i="18"/>
  <c r="AL108" i="18"/>
  <c r="AL117" i="18"/>
  <c r="AL114" i="18"/>
  <c r="AL67" i="18"/>
  <c r="AL434" i="18"/>
  <c r="AL103" i="18"/>
  <c r="A80" i="18"/>
  <c r="A97" i="18"/>
  <c r="AL50" i="18"/>
  <c r="AL31" i="18"/>
  <c r="AK197" i="18"/>
  <c r="AL196" i="18"/>
  <c r="AK196" i="18"/>
  <c r="AL185" i="18"/>
  <c r="AK185" i="18"/>
  <c r="AL184" i="18"/>
  <c r="AK184" i="18"/>
  <c r="AL175" i="18"/>
  <c r="AK175" i="18"/>
  <c r="AL89" i="18"/>
  <c r="AK89" i="18"/>
  <c r="AJ89" i="18" s="1"/>
  <c r="AL445" i="18"/>
  <c r="AK445" i="18"/>
  <c r="AL149" i="18"/>
  <c r="AK149" i="18"/>
  <c r="AJ149" i="18" s="1"/>
  <c r="AL156" i="18"/>
  <c r="AK156" i="18"/>
  <c r="AG170" i="18" l="1"/>
  <c r="AI401" i="18"/>
  <c r="AI315" i="18"/>
  <c r="BA468" i="18"/>
  <c r="AF351" i="18"/>
  <c r="AF350" i="18" s="1"/>
  <c r="AF358" i="18"/>
  <c r="AF357" i="18" s="1"/>
  <c r="B434" i="18"/>
  <c r="BA439" i="18"/>
  <c r="AI412" i="18"/>
  <c r="AG339" i="18"/>
  <c r="AJ407" i="18"/>
  <c r="BA171" i="18"/>
  <c r="B168" i="18"/>
  <c r="BA448" i="18"/>
  <c r="AI452" i="18"/>
  <c r="AC436" i="18"/>
  <c r="BA440" i="18"/>
  <c r="AI433" i="18"/>
  <c r="AI465" i="18"/>
  <c r="AG467" i="18"/>
  <c r="AI275" i="18"/>
  <c r="AI340" i="18"/>
  <c r="AC288" i="18"/>
  <c r="AG439" i="18"/>
  <c r="M313" i="18"/>
  <c r="BA172" i="18"/>
  <c r="AG435" i="18"/>
  <c r="AI467" i="18"/>
  <c r="M468" i="18"/>
  <c r="AC452" i="18"/>
  <c r="AC451" i="18" s="1"/>
  <c r="AG399" i="18"/>
  <c r="AF319" i="18"/>
  <c r="AF318" i="18" s="1"/>
  <c r="AI439" i="18"/>
  <c r="AI277" i="18"/>
  <c r="AF345" i="18"/>
  <c r="AF344" i="18" s="1"/>
  <c r="B439" i="18"/>
  <c r="AR439" i="18" s="1"/>
  <c r="M439" i="18"/>
  <c r="BA348" i="18"/>
  <c r="M433" i="18"/>
  <c r="AG433" i="18"/>
  <c r="M410" i="18"/>
  <c r="AI413" i="18"/>
  <c r="AG411" i="18"/>
  <c r="AG398" i="18"/>
  <c r="AI400" i="18"/>
  <c r="AI435" i="18"/>
  <c r="AC435" i="18"/>
  <c r="BA453" i="18"/>
  <c r="AI276" i="18"/>
  <c r="AC465" i="18"/>
  <c r="B465" i="18"/>
  <c r="AR465" i="18" s="1"/>
  <c r="BA464" i="18"/>
  <c r="BA463" i="18" s="1"/>
  <c r="M464" i="18"/>
  <c r="AC464" i="18"/>
  <c r="AG464" i="18"/>
  <c r="B464" i="18"/>
  <c r="AR464" i="18" s="1"/>
  <c r="AI464" i="18"/>
  <c r="BA466" i="18"/>
  <c r="M466" i="18"/>
  <c r="AC466" i="18"/>
  <c r="AG466" i="18"/>
  <c r="B466" i="18"/>
  <c r="AI466" i="18"/>
  <c r="AE449" i="18"/>
  <c r="AE447" i="18" s="1"/>
  <c r="BA61" i="18"/>
  <c r="AI453" i="18"/>
  <c r="AG453" i="18"/>
  <c r="B384" i="18"/>
  <c r="B383" i="18" s="1"/>
  <c r="AF370" i="18"/>
  <c r="AF369" i="18" s="1"/>
  <c r="AJ287" i="18"/>
  <c r="BA290" i="18"/>
  <c r="AG289" i="18"/>
  <c r="AG299" i="18"/>
  <c r="AG361" i="18"/>
  <c r="BA278" i="18"/>
  <c r="AF293" i="18"/>
  <c r="AF292" i="18" s="1"/>
  <c r="BA342" i="18"/>
  <c r="AC365" i="18"/>
  <c r="AJ364" i="18"/>
  <c r="AJ367" i="18"/>
  <c r="AJ296" i="18"/>
  <c r="B332" i="18"/>
  <c r="AF305" i="18"/>
  <c r="AF304" i="18" s="1"/>
  <c r="B301" i="18"/>
  <c r="AR301" i="18" s="1"/>
  <c r="M302" i="18"/>
  <c r="M300" i="18"/>
  <c r="AF325" i="18"/>
  <c r="AF324" i="18" s="1"/>
  <c r="M366" i="18"/>
  <c r="M267" i="18"/>
  <c r="M266" i="18" s="1"/>
  <c r="AG341" i="18"/>
  <c r="B267" i="18"/>
  <c r="B266" i="18" s="1"/>
  <c r="AD289" i="18"/>
  <c r="AD286" i="18" s="1"/>
  <c r="AE267" i="18"/>
  <c r="AE266" i="18" s="1"/>
  <c r="AG267" i="18"/>
  <c r="AG266" i="18" s="1"/>
  <c r="AI267" i="18"/>
  <c r="AI266" i="18" s="1"/>
  <c r="G59" i="18"/>
  <c r="G44" i="18"/>
  <c r="G443" i="18"/>
  <c r="G77" i="18"/>
  <c r="G38" i="18"/>
  <c r="G21" i="18"/>
  <c r="AL190" i="18"/>
  <c r="AK190" i="18"/>
  <c r="C9" i="19"/>
  <c r="AH266" i="18" l="1"/>
  <c r="AL266" i="18" s="1"/>
  <c r="AN266" i="18" s="1"/>
  <c r="AO266" i="18" s="1"/>
  <c r="AI451" i="18"/>
  <c r="AI468" i="18"/>
  <c r="AI463" i="18" s="1"/>
  <c r="B468" i="18"/>
  <c r="B463" i="18" s="1"/>
  <c r="AC439" i="18"/>
  <c r="M436" i="18"/>
  <c r="AC433" i="18"/>
  <c r="M448" i="18"/>
  <c r="BA460" i="18"/>
  <c r="BA39" i="18"/>
  <c r="M465" i="18"/>
  <c r="M463" i="18" s="1"/>
  <c r="BA465" i="18"/>
  <c r="B435" i="18"/>
  <c r="AR435" i="18" s="1"/>
  <c r="AG468" i="18"/>
  <c r="M435" i="18"/>
  <c r="AG465" i="18"/>
  <c r="B467" i="18"/>
  <c r="AR467" i="18" s="1"/>
  <c r="AC467" i="18"/>
  <c r="AC468" i="18"/>
  <c r="AC463" i="18" s="1"/>
  <c r="M467" i="18"/>
  <c r="BA467" i="18"/>
  <c r="BA435" i="18"/>
  <c r="AG436" i="18"/>
  <c r="B436" i="18"/>
  <c r="AR436" i="18" s="1"/>
  <c r="B433" i="18"/>
  <c r="AR433" i="18" s="1"/>
  <c r="BA436" i="18"/>
  <c r="AI436" i="18"/>
  <c r="BA433" i="18"/>
  <c r="M275" i="18"/>
  <c r="M171" i="18"/>
  <c r="BA437" i="18"/>
  <c r="M437" i="18"/>
  <c r="AC437" i="18"/>
  <c r="AG437" i="18"/>
  <c r="B437" i="18"/>
  <c r="AR437" i="18" s="1"/>
  <c r="AI437" i="18"/>
  <c r="AJ453" i="18"/>
  <c r="AJ451" i="18" s="1"/>
  <c r="AE453" i="18"/>
  <c r="AE451" i="18" s="1"/>
  <c r="BA441" i="18"/>
  <c r="M441" i="18"/>
  <c r="AC441" i="18"/>
  <c r="AG441" i="18"/>
  <c r="B441" i="18"/>
  <c r="AI441" i="18"/>
  <c r="B276" i="18"/>
  <c r="AR276" i="18" s="1"/>
  <c r="AR466" i="18"/>
  <c r="M440" i="18"/>
  <c r="AC440" i="18"/>
  <c r="AI440" i="18"/>
  <c r="AG440" i="18"/>
  <c r="M452" i="18"/>
  <c r="BA452" i="18"/>
  <c r="BA451" i="18" s="1"/>
  <c r="AG452" i="18"/>
  <c r="AG451" i="18" s="1"/>
  <c r="B440" i="18"/>
  <c r="B452" i="18"/>
  <c r="AR452" i="18" s="1"/>
  <c r="M453" i="18"/>
  <c r="M451" i="18" s="1"/>
  <c r="B453" i="18"/>
  <c r="B451" i="18" s="1"/>
  <c r="M438" i="18"/>
  <c r="B438" i="18"/>
  <c r="AR438" i="18" s="1"/>
  <c r="AC438" i="18"/>
  <c r="AG438" i="18"/>
  <c r="AI438" i="18"/>
  <c r="BA438" i="18"/>
  <c r="BA447" i="18"/>
  <c r="AJ400" i="18"/>
  <c r="M401" i="18"/>
  <c r="AI448" i="18"/>
  <c r="AG448" i="18"/>
  <c r="AC448" i="18"/>
  <c r="AC447" i="18" s="1"/>
  <c r="B448" i="18"/>
  <c r="AR448" i="18" s="1"/>
  <c r="AI449" i="18"/>
  <c r="BA399" i="18"/>
  <c r="B449" i="18"/>
  <c r="AG449" i="18"/>
  <c r="B170" i="18"/>
  <c r="AR170" i="18" s="1"/>
  <c r="AC170" i="18"/>
  <c r="BA449" i="18"/>
  <c r="B172" i="18"/>
  <c r="AC172" i="18"/>
  <c r="AJ449" i="18"/>
  <c r="AJ447" i="18" s="1"/>
  <c r="AK447" i="18" s="1"/>
  <c r="M449" i="18"/>
  <c r="M399" i="18"/>
  <c r="AJ413" i="18"/>
  <c r="AC399" i="18"/>
  <c r="BA339" i="18"/>
  <c r="M332" i="18"/>
  <c r="AC171" i="18"/>
  <c r="AJ172" i="18"/>
  <c r="B412" i="18"/>
  <c r="AR412" i="18" s="1"/>
  <c r="AG171" i="18"/>
  <c r="B171" i="18"/>
  <c r="AR171" i="18" s="1"/>
  <c r="AG401" i="18"/>
  <c r="AG397" i="18" s="1"/>
  <c r="AG276" i="18"/>
  <c r="B401" i="18"/>
  <c r="AJ401" i="18"/>
  <c r="AI171" i="18"/>
  <c r="AJ278" i="18"/>
  <c r="AG412" i="18"/>
  <c r="B410" i="18"/>
  <c r="AJ171" i="18"/>
  <c r="M276" i="18"/>
  <c r="B400" i="18"/>
  <c r="AR400" i="18" s="1"/>
  <c r="AC400" i="18"/>
  <c r="BA400" i="18"/>
  <c r="AJ398" i="18"/>
  <c r="BA398" i="18"/>
  <c r="M400" i="18"/>
  <c r="AI398" i="18"/>
  <c r="AG400" i="18"/>
  <c r="BA401" i="18"/>
  <c r="AI411" i="18"/>
  <c r="AI399" i="18"/>
  <c r="B399" i="18"/>
  <c r="AR399" i="18" s="1"/>
  <c r="AE398" i="18"/>
  <c r="AE397" i="18" s="1"/>
  <c r="AC401" i="18"/>
  <c r="B398" i="18"/>
  <c r="AR398" i="18" s="1"/>
  <c r="M398" i="18"/>
  <c r="B275" i="18"/>
  <c r="AR275" i="18" s="1"/>
  <c r="B340" i="18"/>
  <c r="AR340" i="18" s="1"/>
  <c r="AE275" i="18"/>
  <c r="AE274" i="18" s="1"/>
  <c r="AJ275" i="18"/>
  <c r="AF275" i="18"/>
  <c r="AF274" i="18" s="1"/>
  <c r="AJ412" i="18"/>
  <c r="BA412" i="18"/>
  <c r="M412" i="18"/>
  <c r="AC412" i="18"/>
  <c r="BA335" i="18"/>
  <c r="AG335" i="18"/>
  <c r="AC335" i="18"/>
  <c r="M335" i="18"/>
  <c r="AJ335" i="18"/>
  <c r="AI335" i="18"/>
  <c r="B335" i="18"/>
  <c r="AG407" i="18"/>
  <c r="B407" i="18"/>
  <c r="M334" i="18"/>
  <c r="AC334" i="18"/>
  <c r="AG334" i="18"/>
  <c r="AJ334" i="18"/>
  <c r="B334" i="18"/>
  <c r="AR334" i="18" s="1"/>
  <c r="AI334" i="18"/>
  <c r="AD334" i="18"/>
  <c r="AD331" i="18" s="1"/>
  <c r="BA334" i="18"/>
  <c r="AG333" i="18"/>
  <c r="AC333" i="18"/>
  <c r="M333" i="18"/>
  <c r="B333" i="18"/>
  <c r="AR333" i="18" s="1"/>
  <c r="AI333" i="18"/>
  <c r="M407" i="18"/>
  <c r="AC407" i="18"/>
  <c r="AR332" i="18"/>
  <c r="AF332" i="18"/>
  <c r="AF331" i="18" s="1"/>
  <c r="BA332" i="18"/>
  <c r="AG332" i="18"/>
  <c r="AE332" i="18"/>
  <c r="AE331" i="18" s="1"/>
  <c r="AJ332" i="18"/>
  <c r="AI332" i="18"/>
  <c r="B411" i="18"/>
  <c r="AR411" i="18" s="1"/>
  <c r="BA411" i="18"/>
  <c r="AC411" i="18"/>
  <c r="M411" i="18"/>
  <c r="AG413" i="18"/>
  <c r="M413" i="18"/>
  <c r="M409" i="18" s="1"/>
  <c r="AC413" i="18"/>
  <c r="AI172" i="18"/>
  <c r="B413" i="18"/>
  <c r="M172" i="18"/>
  <c r="AG275" i="18"/>
  <c r="AC276" i="18"/>
  <c r="AI407" i="18"/>
  <c r="AC278" i="18"/>
  <c r="AG277" i="18"/>
  <c r="AG300" i="18"/>
  <c r="AG278" i="18"/>
  <c r="M278" i="18"/>
  <c r="AI170" i="18"/>
  <c r="AJ170" i="18"/>
  <c r="BA170" i="18"/>
  <c r="M170" i="18"/>
  <c r="AG172" i="18"/>
  <c r="M168" i="18"/>
  <c r="AG384" i="18"/>
  <c r="AG383" i="18" s="1"/>
  <c r="AE384" i="18"/>
  <c r="AE383" i="18" s="1"/>
  <c r="AI384" i="18"/>
  <c r="AI383" i="18" s="1"/>
  <c r="M277" i="18"/>
  <c r="AG282" i="18"/>
  <c r="AC282" i="18"/>
  <c r="M282" i="18"/>
  <c r="B282" i="18"/>
  <c r="AR282" i="18" s="1"/>
  <c r="AI282" i="18"/>
  <c r="AI278" i="18"/>
  <c r="AI274" i="18" s="1"/>
  <c r="BA275" i="18"/>
  <c r="BA284" i="18"/>
  <c r="AC284" i="18"/>
  <c r="M284" i="18"/>
  <c r="M280" i="18" s="1"/>
  <c r="AJ284" i="18"/>
  <c r="AG284" i="18"/>
  <c r="AG280" i="18" s="1"/>
  <c r="B284" i="18"/>
  <c r="AI284" i="18"/>
  <c r="M283" i="18"/>
  <c r="AG283" i="18"/>
  <c r="AC283" i="18"/>
  <c r="AJ283" i="18"/>
  <c r="BA283" i="18"/>
  <c r="AI283" i="18"/>
  <c r="B283" i="18"/>
  <c r="AR283" i="18" s="1"/>
  <c r="BA277" i="18"/>
  <c r="B281" i="18"/>
  <c r="AR281" i="18" s="1"/>
  <c r="BA281" i="18"/>
  <c r="AG281" i="18"/>
  <c r="AF281" i="18"/>
  <c r="AF280" i="18" s="1"/>
  <c r="AE281" i="18"/>
  <c r="AE280" i="18" s="1"/>
  <c r="M281" i="18"/>
  <c r="AJ281" i="18"/>
  <c r="AI281" i="18"/>
  <c r="B277" i="18"/>
  <c r="AR277" i="18" s="1"/>
  <c r="B278" i="18"/>
  <c r="B366" i="18"/>
  <c r="AR366" i="18" s="1"/>
  <c r="AJ277" i="18"/>
  <c r="AC277" i="18"/>
  <c r="M340" i="18"/>
  <c r="AG340" i="18"/>
  <c r="B365" i="18"/>
  <c r="AR365" i="18" s="1"/>
  <c r="AJ341" i="18"/>
  <c r="BA302" i="18"/>
  <c r="AG365" i="18"/>
  <c r="AI302" i="18"/>
  <c r="AG302" i="18"/>
  <c r="AG298" i="18" s="1"/>
  <c r="AJ302" i="18"/>
  <c r="AC302" i="18"/>
  <c r="B342" i="18"/>
  <c r="AI288" i="18"/>
  <c r="AJ342" i="18"/>
  <c r="AF299" i="18"/>
  <c r="AF298" i="18" s="1"/>
  <c r="AI364" i="18"/>
  <c r="AI361" i="18"/>
  <c r="M339" i="18"/>
  <c r="AG366" i="18"/>
  <c r="AC361" i="18"/>
  <c r="M361" i="18"/>
  <c r="AI341" i="18"/>
  <c r="M365" i="18"/>
  <c r="AI365" i="18"/>
  <c r="AC341" i="18"/>
  <c r="B348" i="18"/>
  <c r="AG342" i="18"/>
  <c r="AG338" i="18" s="1"/>
  <c r="AI348" i="18"/>
  <c r="AC348" i="18"/>
  <c r="M342" i="18"/>
  <c r="M348" i="18"/>
  <c r="AG367" i="18"/>
  <c r="AG363" i="18" s="1"/>
  <c r="AE299" i="18"/>
  <c r="AE298" i="18" s="1"/>
  <c r="AI342" i="18"/>
  <c r="AI338" i="18" s="1"/>
  <c r="M367" i="18"/>
  <c r="M341" i="18"/>
  <c r="AG296" i="18"/>
  <c r="AC301" i="18"/>
  <c r="AC300" i="18"/>
  <c r="AJ348" i="18"/>
  <c r="AG348" i="18"/>
  <c r="AC342" i="18"/>
  <c r="AE339" i="18"/>
  <c r="AE338" i="18" s="1"/>
  <c r="BA341" i="18"/>
  <c r="AD301" i="18"/>
  <c r="AD298" i="18" s="1"/>
  <c r="B302" i="18"/>
  <c r="B300" i="18"/>
  <c r="AR300" i="18" s="1"/>
  <c r="AJ301" i="18"/>
  <c r="B367" i="18"/>
  <c r="B363" i="18" s="1"/>
  <c r="B339" i="18"/>
  <c r="AR339" i="18" s="1"/>
  <c r="AD341" i="18"/>
  <c r="AD338" i="18" s="1"/>
  <c r="AI300" i="18"/>
  <c r="AC367" i="18"/>
  <c r="AJ339" i="18"/>
  <c r="AI339" i="18"/>
  <c r="AI367" i="18"/>
  <c r="AC340" i="18"/>
  <c r="AF339" i="18"/>
  <c r="AF338" i="18" s="1"/>
  <c r="B341" i="18"/>
  <c r="AR341" i="18" s="1"/>
  <c r="AG168" i="18"/>
  <c r="AE168" i="18"/>
  <c r="AE167" i="18" s="1"/>
  <c r="AI168" i="18"/>
  <c r="AR168" i="18"/>
  <c r="BA169" i="18"/>
  <c r="M169" i="18"/>
  <c r="B169" i="18"/>
  <c r="AR169" i="18" s="1"/>
  <c r="AJ169" i="18"/>
  <c r="AC169" i="18"/>
  <c r="AG169" i="18"/>
  <c r="AI169" i="18"/>
  <c r="AE287" i="18"/>
  <c r="AE286" i="18" s="1"/>
  <c r="AG287" i="18"/>
  <c r="AI290" i="18"/>
  <c r="AC366" i="18"/>
  <c r="AE364" i="18"/>
  <c r="AE363" i="18" s="1"/>
  <c r="AJ361" i="18"/>
  <c r="B361" i="18"/>
  <c r="AG290" i="18"/>
  <c r="BA366" i="18"/>
  <c r="AF364" i="18"/>
  <c r="AF363" i="18" s="1"/>
  <c r="AF270" i="18" s="1"/>
  <c r="BA364" i="18"/>
  <c r="M364" i="18"/>
  <c r="BA287" i="18"/>
  <c r="AF313" i="18"/>
  <c r="AF312" i="18" s="1"/>
  <c r="AI287" i="18"/>
  <c r="AF287" i="18"/>
  <c r="AF286" i="18" s="1"/>
  <c r="AI366" i="18"/>
  <c r="B364" i="18"/>
  <c r="AR364" i="18" s="1"/>
  <c r="AJ366" i="18"/>
  <c r="AJ363" i="18" s="1"/>
  <c r="AK363" i="18" s="1"/>
  <c r="AG364" i="18"/>
  <c r="AR267" i="18"/>
  <c r="AR266" i="18" s="1"/>
  <c r="BA301" i="18"/>
  <c r="AI299" i="18"/>
  <c r="M301" i="18"/>
  <c r="M298" i="18" s="1"/>
  <c r="B299" i="18"/>
  <c r="AR299" i="18" s="1"/>
  <c r="B288" i="18"/>
  <c r="AR288" i="18" s="1"/>
  <c r="AG288" i="18"/>
  <c r="AG301" i="18"/>
  <c r="BA299" i="18"/>
  <c r="AI301" i="18"/>
  <c r="AJ299" i="18"/>
  <c r="M299" i="18"/>
  <c r="B313" i="18"/>
  <c r="AR313" i="18" s="1"/>
  <c r="M290" i="18"/>
  <c r="AJ290" i="18"/>
  <c r="AJ286" i="18" s="1"/>
  <c r="AK286" i="18" s="1"/>
  <c r="M288" i="18"/>
  <c r="AC289" i="18"/>
  <c r="M289" i="18"/>
  <c r="BA289" i="18"/>
  <c r="B290" i="18"/>
  <c r="B289" i="18"/>
  <c r="AR289" i="18" s="1"/>
  <c r="B287" i="18"/>
  <c r="AR287" i="18" s="1"/>
  <c r="M287" i="18"/>
  <c r="AJ289" i="18"/>
  <c r="AI289" i="18"/>
  <c r="AC290" i="18"/>
  <c r="AC328" i="18"/>
  <c r="M328" i="18"/>
  <c r="AJ328" i="18"/>
  <c r="AG328" i="18"/>
  <c r="BA328" i="18"/>
  <c r="AI328" i="18"/>
  <c r="B328" i="18"/>
  <c r="BA322" i="18"/>
  <c r="B322" i="18"/>
  <c r="AJ322" i="18"/>
  <c r="AI322" i="18"/>
  <c r="M322" i="18"/>
  <c r="AC322" i="18"/>
  <c r="AG322" i="18"/>
  <c r="B310" i="18"/>
  <c r="AI310" i="18"/>
  <c r="M310" i="18"/>
  <c r="BA310" i="18"/>
  <c r="AG310" i="18"/>
  <c r="AJ310" i="18"/>
  <c r="AC310" i="18"/>
  <c r="BA316" i="18"/>
  <c r="AC316" i="18"/>
  <c r="M316" i="18"/>
  <c r="AJ316" i="18"/>
  <c r="AG316" i="18"/>
  <c r="AI316" i="18"/>
  <c r="B316" i="18"/>
  <c r="B312" i="18" s="1"/>
  <c r="AJ313" i="18"/>
  <c r="AG313" i="18"/>
  <c r="BA313" i="18"/>
  <c r="AE313" i="18"/>
  <c r="AE312" i="18" s="1"/>
  <c r="AI313" i="18"/>
  <c r="AG315" i="18"/>
  <c r="AJ315" i="18"/>
  <c r="BA315" i="18"/>
  <c r="M315" i="18"/>
  <c r="AC315" i="18"/>
  <c r="B315" i="18"/>
  <c r="AG314" i="18"/>
  <c r="M314" i="18"/>
  <c r="B314" i="18"/>
  <c r="AR314" i="18" s="1"/>
  <c r="AC314" i="18"/>
  <c r="AI314" i="18"/>
  <c r="AJ159" i="18"/>
  <c r="BA158" i="18"/>
  <c r="AJ155" i="18"/>
  <c r="B140" i="18"/>
  <c r="BA140" i="18"/>
  <c r="AG140" i="18"/>
  <c r="M140" i="18"/>
  <c r="M244" i="18"/>
  <c r="AJ241" i="18"/>
  <c r="AI458" i="18"/>
  <c r="BA237" i="18"/>
  <c r="BA225" i="18"/>
  <c r="AJ224" i="18"/>
  <c r="AJ228" i="18"/>
  <c r="M226" i="18"/>
  <c r="AJ22" i="18"/>
  <c r="AI29" i="18"/>
  <c r="AJ28" i="18"/>
  <c r="AJ27" i="18"/>
  <c r="AC34" i="18"/>
  <c r="AG32" i="18"/>
  <c r="AJ24" i="18"/>
  <c r="AI31" i="18"/>
  <c r="AJ126" i="18"/>
  <c r="AJ124" i="18" s="1"/>
  <c r="AC125" i="18"/>
  <c r="AC124" i="18" s="1"/>
  <c r="AF100" i="18"/>
  <c r="AF104" i="18"/>
  <c r="AJ96" i="18"/>
  <c r="AJ73" i="18"/>
  <c r="AJ71" i="18"/>
  <c r="AI70" i="18"/>
  <c r="M115" i="18"/>
  <c r="AJ107" i="18"/>
  <c r="AJ114" i="18"/>
  <c r="AJ111" i="18"/>
  <c r="B252" i="18"/>
  <c r="AR252" i="18" s="1"/>
  <c r="BA264" i="18"/>
  <c r="AG263" i="18"/>
  <c r="B55" i="18"/>
  <c r="AJ46" i="18"/>
  <c r="AJ45" i="18"/>
  <c r="AJ51" i="18"/>
  <c r="AC50" i="18"/>
  <c r="AD186" i="18"/>
  <c r="AD174" i="18" s="1"/>
  <c r="AD198" i="18"/>
  <c r="AD189" i="18" s="1"/>
  <c r="AD163" i="18" s="1"/>
  <c r="AF87" i="18"/>
  <c r="AJ79" i="18"/>
  <c r="AJ78" i="18"/>
  <c r="AJ85" i="18"/>
  <c r="BA91" i="18"/>
  <c r="BA90" i="18"/>
  <c r="M89" i="18"/>
  <c r="AJ81" i="18"/>
  <c r="AJ259" i="18"/>
  <c r="AJ25" i="18"/>
  <c r="AJ60" i="18"/>
  <c r="AI113" i="18"/>
  <c r="AF88" i="18"/>
  <c r="AJ83" i="18"/>
  <c r="AC30" i="18"/>
  <c r="AJ69" i="18"/>
  <c r="M158" i="18"/>
  <c r="AJ86" i="18"/>
  <c r="B157" i="18"/>
  <c r="AR157" i="18" s="1"/>
  <c r="M182" i="18"/>
  <c r="AC373" i="18"/>
  <c r="AJ227" i="18"/>
  <c r="AJ147" i="18"/>
  <c r="AC360" i="18"/>
  <c r="BA80" i="18"/>
  <c r="BA247" i="18"/>
  <c r="AC355" i="18"/>
  <c r="B227" i="18"/>
  <c r="AR227" i="18" s="1"/>
  <c r="AG227" i="18"/>
  <c r="M227" i="18"/>
  <c r="BA227" i="18"/>
  <c r="AC227" i="18"/>
  <c r="AI227" i="18"/>
  <c r="BA228" i="18"/>
  <c r="M228" i="18"/>
  <c r="B228" i="18"/>
  <c r="M252" i="18"/>
  <c r="AC67" i="18"/>
  <c r="AJ48" i="18"/>
  <c r="AC372" i="18"/>
  <c r="AC354" i="18"/>
  <c r="AI247" i="18"/>
  <c r="AG434" i="18"/>
  <c r="M434" i="18"/>
  <c r="AR434" i="18"/>
  <c r="BA434" i="18"/>
  <c r="BA432" i="18" s="1"/>
  <c r="AC434" i="18"/>
  <c r="AI434" i="18"/>
  <c r="Q48" i="18"/>
  <c r="Q47" i="18"/>
  <c r="Q23" i="18"/>
  <c r="Q422" i="18"/>
  <c r="Q423" i="18"/>
  <c r="Q424" i="18"/>
  <c r="Q421" i="18"/>
  <c r="A424" i="18"/>
  <c r="A423" i="18"/>
  <c r="A422" i="18"/>
  <c r="G420" i="18"/>
  <c r="AX416" i="18"/>
  <c r="AT416" i="18"/>
  <c r="AS416" i="18"/>
  <c r="J241" i="18"/>
  <c r="AL241" i="18" s="1"/>
  <c r="AQ241" i="18"/>
  <c r="AP241" i="18"/>
  <c r="BD11" i="18"/>
  <c r="BC11" i="18"/>
  <c r="AQ410" i="18"/>
  <c r="AP410" i="18"/>
  <c r="J409" i="18"/>
  <c r="G409" i="18"/>
  <c r="A404" i="18"/>
  <c r="AQ406" i="18"/>
  <c r="AP406" i="18"/>
  <c r="A406" i="18"/>
  <c r="AL406" i="18" s="1"/>
  <c r="AQ405" i="18"/>
  <c r="AP405" i="18"/>
  <c r="J405" i="18"/>
  <c r="AQ404" i="18"/>
  <c r="AP404" i="18"/>
  <c r="J403" i="18"/>
  <c r="G403" i="18"/>
  <c r="A392" i="18"/>
  <c r="A387" i="18"/>
  <c r="AQ389" i="18"/>
  <c r="AP389" i="18"/>
  <c r="A389" i="18"/>
  <c r="AL389" i="18" s="1"/>
  <c r="AQ388" i="18"/>
  <c r="AP388" i="18"/>
  <c r="J388" i="18"/>
  <c r="H388" i="18"/>
  <c r="AQ387" i="18"/>
  <c r="AP387" i="18"/>
  <c r="J386" i="18"/>
  <c r="G386" i="18"/>
  <c r="AQ377" i="18"/>
  <c r="AP377" i="18"/>
  <c r="A377" i="18"/>
  <c r="AL377" i="18" s="1"/>
  <c r="AQ376" i="18"/>
  <c r="AP376" i="18"/>
  <c r="G375" i="18"/>
  <c r="AQ373" i="18"/>
  <c r="AP373" i="18"/>
  <c r="A373" i="18"/>
  <c r="AL373" i="18" s="1"/>
  <c r="A370" i="18"/>
  <c r="AQ372" i="18"/>
  <c r="AP372" i="18"/>
  <c r="A372" i="18"/>
  <c r="AL372" i="18" s="1"/>
  <c r="AQ371" i="18"/>
  <c r="AP371" i="18"/>
  <c r="J371" i="18"/>
  <c r="H371" i="18"/>
  <c r="AQ370" i="18"/>
  <c r="AP370" i="18"/>
  <c r="J369" i="18"/>
  <c r="G369" i="18"/>
  <c r="A358" i="18"/>
  <c r="AQ360" i="18"/>
  <c r="AP360" i="18"/>
  <c r="A360" i="18"/>
  <c r="AL360" i="18" s="1"/>
  <c r="AQ359" i="18"/>
  <c r="AP359" i="18"/>
  <c r="J359" i="18"/>
  <c r="H359" i="18"/>
  <c r="AQ358" i="18"/>
  <c r="AP358" i="18"/>
  <c r="J357" i="18"/>
  <c r="G357" i="18"/>
  <c r="H353" i="18"/>
  <c r="A353" i="18" s="1"/>
  <c r="AL353" i="18" s="1"/>
  <c r="A354" i="18"/>
  <c r="AL354" i="18" s="1"/>
  <c r="AP354" i="18"/>
  <c r="AQ354" i="18"/>
  <c r="A355" i="18"/>
  <c r="AL355" i="18" s="1"/>
  <c r="AP355" i="18"/>
  <c r="AQ355" i="18"/>
  <c r="A345" i="18"/>
  <c r="AQ353" i="18"/>
  <c r="AP353" i="18"/>
  <c r="AQ352" i="18"/>
  <c r="AP352" i="18"/>
  <c r="J352" i="18"/>
  <c r="H352" i="18"/>
  <c r="AQ351" i="18"/>
  <c r="AP351" i="18"/>
  <c r="A351" i="18"/>
  <c r="J350" i="18"/>
  <c r="G350" i="18"/>
  <c r="AQ347" i="18"/>
  <c r="AP347" i="18"/>
  <c r="H347" i="18"/>
  <c r="A347" i="18" s="1"/>
  <c r="AL347" i="18" s="1"/>
  <c r="AQ346" i="18"/>
  <c r="AP346" i="18"/>
  <c r="J346" i="18"/>
  <c r="H346" i="18"/>
  <c r="AQ345" i="18"/>
  <c r="AP345" i="18"/>
  <c r="J344" i="18"/>
  <c r="G344" i="18"/>
  <c r="A325" i="18"/>
  <c r="AQ327" i="18"/>
  <c r="AP327" i="18"/>
  <c r="J327" i="18"/>
  <c r="H327" i="18"/>
  <c r="AQ326" i="18"/>
  <c r="AP326" i="18"/>
  <c r="J326" i="18"/>
  <c r="H326" i="18"/>
  <c r="AQ325" i="18"/>
  <c r="AP325" i="18"/>
  <c r="J324" i="18"/>
  <c r="G324" i="18"/>
  <c r="A319" i="18"/>
  <c r="AQ321" i="18"/>
  <c r="AP321" i="18"/>
  <c r="H321" i="18"/>
  <c r="AQ320" i="18"/>
  <c r="AP320" i="18"/>
  <c r="J320" i="18"/>
  <c r="H320" i="18"/>
  <c r="AQ319" i="18"/>
  <c r="AP319" i="18"/>
  <c r="J318" i="18"/>
  <c r="G318" i="18"/>
  <c r="AQ307" i="18"/>
  <c r="AP307" i="18"/>
  <c r="A307" i="18"/>
  <c r="AL307" i="18" s="1"/>
  <c r="AQ309" i="18"/>
  <c r="AP309" i="18"/>
  <c r="A309" i="18"/>
  <c r="AL309" i="18" s="1"/>
  <c r="A305" i="18"/>
  <c r="AQ308" i="18"/>
  <c r="AP308" i="18"/>
  <c r="A308" i="18"/>
  <c r="AL308" i="18" s="1"/>
  <c r="AQ306" i="18"/>
  <c r="AP306" i="18"/>
  <c r="J306" i="18"/>
  <c r="H306" i="18"/>
  <c r="AQ305" i="18"/>
  <c r="AP305" i="18"/>
  <c r="J304" i="18"/>
  <c r="G304" i="18"/>
  <c r="J295" i="18"/>
  <c r="H295" i="18"/>
  <c r="J294" i="18"/>
  <c r="H294" i="18"/>
  <c r="A293" i="18"/>
  <c r="AC298" i="18" l="1"/>
  <c r="AI363" i="18"/>
  <c r="AC363" i="18"/>
  <c r="AH363" i="18" s="1"/>
  <c r="AC312" i="18"/>
  <c r="AI286" i="18"/>
  <c r="AC397" i="18"/>
  <c r="AH397" i="18" s="1"/>
  <c r="AI397" i="18"/>
  <c r="AP266" i="18"/>
  <c r="M363" i="18"/>
  <c r="AH298" i="18"/>
  <c r="B280" i="18"/>
  <c r="AG274" i="18"/>
  <c r="B409" i="18"/>
  <c r="B397" i="18"/>
  <c r="B167" i="18"/>
  <c r="AG463" i="18"/>
  <c r="AM266" i="18"/>
  <c r="AC338" i="18"/>
  <c r="AH338" i="18" s="1"/>
  <c r="AL338" i="18" s="1"/>
  <c r="AN338" i="18" s="1"/>
  <c r="AO338" i="18" s="1"/>
  <c r="AJ298" i="18"/>
  <c r="AK298" i="18" s="1"/>
  <c r="AI167" i="18"/>
  <c r="B331" i="18"/>
  <c r="AK451" i="18"/>
  <c r="AJ280" i="18"/>
  <c r="AK280" i="18" s="1"/>
  <c r="AG167" i="18"/>
  <c r="AC409" i="18"/>
  <c r="AI331" i="18"/>
  <c r="AI432" i="18"/>
  <c r="AC274" i="18"/>
  <c r="AH274" i="18" s="1"/>
  <c r="AJ331" i="18"/>
  <c r="AK331" i="18" s="1"/>
  <c r="B432" i="18"/>
  <c r="AH463" i="18"/>
  <c r="AL463" i="18" s="1"/>
  <c r="AN463" i="18" s="1"/>
  <c r="AO463" i="18" s="1"/>
  <c r="AK124" i="18"/>
  <c r="M286" i="18"/>
  <c r="AI298" i="18"/>
  <c r="AI312" i="18"/>
  <c r="AC280" i="18"/>
  <c r="AH280" i="18" s="1"/>
  <c r="M331" i="18"/>
  <c r="AG447" i="18"/>
  <c r="AH447" i="18" s="1"/>
  <c r="AL447" i="18" s="1"/>
  <c r="AN447" i="18" s="1"/>
  <c r="AO447" i="18" s="1"/>
  <c r="M397" i="18"/>
  <c r="AG432" i="18"/>
  <c r="AJ223" i="18"/>
  <c r="AK223" i="18" s="1"/>
  <c r="AG312" i="18"/>
  <c r="AH312" i="18" s="1"/>
  <c r="AL312" i="18" s="1"/>
  <c r="B286" i="18"/>
  <c r="AM286" i="18" s="1"/>
  <c r="AG286" i="18"/>
  <c r="B298" i="18"/>
  <c r="M338" i="18"/>
  <c r="AJ338" i="18"/>
  <c r="AK338" i="18" s="1"/>
  <c r="B274" i="18"/>
  <c r="AC331" i="18"/>
  <c r="AJ274" i="18"/>
  <c r="AK274" i="18" s="1"/>
  <c r="M447" i="18"/>
  <c r="B447" i="18"/>
  <c r="AC432" i="18"/>
  <c r="AH432" i="18" s="1"/>
  <c r="AH451" i="18"/>
  <c r="AJ312" i="18"/>
  <c r="AK312" i="18" s="1"/>
  <c r="AG331" i="18"/>
  <c r="AJ167" i="18"/>
  <c r="AK167" i="18" s="1"/>
  <c r="M432" i="18"/>
  <c r="AL363" i="18"/>
  <c r="AN363" i="18" s="1"/>
  <c r="AO363" i="18" s="1"/>
  <c r="M312" i="18"/>
  <c r="AC286" i="18"/>
  <c r="AH286" i="18" s="1"/>
  <c r="AL286" i="18" s="1"/>
  <c r="AN286" i="18" s="1"/>
  <c r="B338" i="18"/>
  <c r="AI280" i="18"/>
  <c r="AH383" i="18"/>
  <c r="AL383" i="18" s="1"/>
  <c r="M274" i="18"/>
  <c r="M167" i="18"/>
  <c r="AJ397" i="18"/>
  <c r="AK397" i="18" s="1"/>
  <c r="AC167" i="18"/>
  <c r="AI447" i="18"/>
  <c r="AR468" i="18"/>
  <c r="AR463" i="18" s="1"/>
  <c r="AR441" i="18"/>
  <c r="AR432" i="18" s="1"/>
  <c r="AR453" i="18"/>
  <c r="AR451" i="18" s="1"/>
  <c r="AP451" i="18" s="1"/>
  <c r="AR440" i="18"/>
  <c r="AR172" i="18"/>
  <c r="AR167" i="18" s="1"/>
  <c r="AR449" i="18"/>
  <c r="AR447" i="18" s="1"/>
  <c r="AP447" i="18" s="1"/>
  <c r="AR401" i="18"/>
  <c r="AR397" i="18" s="1"/>
  <c r="AP397" i="18" s="1"/>
  <c r="BA338" i="18"/>
  <c r="BA397" i="18"/>
  <c r="AR407" i="18"/>
  <c r="BA331" i="18"/>
  <c r="AR335" i="18"/>
  <c r="AR331" i="18" s="1"/>
  <c r="AR413" i="18"/>
  <c r="BA167" i="18"/>
  <c r="AR278" i="18"/>
  <c r="AR274" i="18" s="1"/>
  <c r="BA274" i="18"/>
  <c r="AR384" i="18"/>
  <c r="AR383" i="18" s="1"/>
  <c r="AP383" i="18" s="1"/>
  <c r="BA280" i="18"/>
  <c r="AR284" i="18"/>
  <c r="AR280" i="18" s="1"/>
  <c r="AP280" i="18" s="1"/>
  <c r="AR342" i="18"/>
  <c r="AR338" i="18" s="1"/>
  <c r="AP338" i="18" s="1"/>
  <c r="AR348" i="18"/>
  <c r="AR367" i="18"/>
  <c r="AR363" i="18" s="1"/>
  <c r="AP363" i="18" s="1"/>
  <c r="AR302" i="18"/>
  <c r="AR298" i="18" s="1"/>
  <c r="AP298" i="18" s="1"/>
  <c r="BA363" i="18"/>
  <c r="AR361" i="18"/>
  <c r="BA298" i="18"/>
  <c r="BA286" i="18"/>
  <c r="AR290" i="18"/>
  <c r="AR286" i="18" s="1"/>
  <c r="A266" i="18"/>
  <c r="AR322" i="18"/>
  <c r="AR310" i="18"/>
  <c r="AR328" i="18"/>
  <c r="AR316" i="18"/>
  <c r="AR315" i="18"/>
  <c r="BA312" i="18"/>
  <c r="B139" i="18"/>
  <c r="AR139" i="18" s="1"/>
  <c r="AR140" i="18"/>
  <c r="M139" i="18"/>
  <c r="AI139" i="18"/>
  <c r="AI158" i="18"/>
  <c r="AE139" i="18"/>
  <c r="AE133" i="18" s="1"/>
  <c r="BA139" i="18"/>
  <c r="AG158" i="18"/>
  <c r="AI140" i="18"/>
  <c r="AG252" i="18"/>
  <c r="AG225" i="18"/>
  <c r="M157" i="18"/>
  <c r="AJ252" i="18"/>
  <c r="AC159" i="18"/>
  <c r="AI157" i="18"/>
  <c r="BA159" i="18"/>
  <c r="AE157" i="18"/>
  <c r="AE152" i="18" s="1"/>
  <c r="BA157" i="18"/>
  <c r="AE236" i="18"/>
  <c r="B158" i="18"/>
  <c r="AR158" i="18" s="1"/>
  <c r="AC226" i="18"/>
  <c r="AC263" i="18"/>
  <c r="AG264" i="18"/>
  <c r="AI159" i="18"/>
  <c r="AG159" i="18"/>
  <c r="B159" i="18"/>
  <c r="M159" i="18"/>
  <c r="AF39" i="18"/>
  <c r="M225" i="18"/>
  <c r="M223" i="18" s="1"/>
  <c r="AC244" i="18"/>
  <c r="AI237" i="18"/>
  <c r="AE224" i="18"/>
  <c r="AE223" i="18" s="1"/>
  <c r="AE182" i="18"/>
  <c r="AC237" i="18"/>
  <c r="AF224" i="18"/>
  <c r="AF223" i="18" s="1"/>
  <c r="AG237" i="18"/>
  <c r="B237" i="18"/>
  <c r="M237" i="18"/>
  <c r="AI226" i="18"/>
  <c r="AI224" i="18"/>
  <c r="B224" i="18"/>
  <c r="AR224" i="18" s="1"/>
  <c r="BA226" i="18"/>
  <c r="BA223" i="18" s="1"/>
  <c r="M224" i="18"/>
  <c r="AI225" i="18"/>
  <c r="AG224" i="18"/>
  <c r="M236" i="18"/>
  <c r="B236" i="18"/>
  <c r="AR236" i="18" s="1"/>
  <c r="B225" i="18"/>
  <c r="AR225" i="18" s="1"/>
  <c r="AG228" i="18"/>
  <c r="B182" i="18"/>
  <c r="AR182" i="18" s="1"/>
  <c r="AG183" i="18"/>
  <c r="BA183" i="18"/>
  <c r="B183" i="18"/>
  <c r="AR183" i="18" s="1"/>
  <c r="AC183" i="18"/>
  <c r="AI183" i="18"/>
  <c r="M183" i="18"/>
  <c r="AI252" i="18"/>
  <c r="AI236" i="18"/>
  <c r="AE252" i="18"/>
  <c r="B226" i="18"/>
  <c r="AC225" i="18"/>
  <c r="AC228" i="18"/>
  <c r="AG236" i="18"/>
  <c r="AG226" i="18"/>
  <c r="AI182" i="18"/>
  <c r="AI228" i="18"/>
  <c r="AR228" i="18"/>
  <c r="AG247" i="18"/>
  <c r="M247" i="18"/>
  <c r="AJ247" i="18"/>
  <c r="AC247" i="18"/>
  <c r="B244" i="18"/>
  <c r="AR244" i="18" s="1"/>
  <c r="M264" i="18"/>
  <c r="B255" i="18"/>
  <c r="AR255" i="18" s="1"/>
  <c r="AG255" i="18"/>
  <c r="AC255" i="18"/>
  <c r="BA255" i="18"/>
  <c r="M255" i="18"/>
  <c r="AI255" i="18"/>
  <c r="AC264" i="18"/>
  <c r="B247" i="18"/>
  <c r="AI264" i="18"/>
  <c r="AC253" i="18"/>
  <c r="BA253" i="18"/>
  <c r="M253" i="18"/>
  <c r="AG253" i="18"/>
  <c r="B253" i="18"/>
  <c r="AR253" i="18" s="1"/>
  <c r="AI253" i="18"/>
  <c r="B264" i="18"/>
  <c r="AJ264" i="18"/>
  <c r="AJ258" i="18" s="1"/>
  <c r="BA256" i="18"/>
  <c r="AC256" i="18"/>
  <c r="M256" i="18"/>
  <c r="AJ256" i="18"/>
  <c r="AG256" i="18"/>
  <c r="B256" i="18"/>
  <c r="B249" i="18" s="1"/>
  <c r="AI256" i="18"/>
  <c r="M250" i="18"/>
  <c r="B250" i="18"/>
  <c r="AR250" i="18" s="1"/>
  <c r="AI250" i="18"/>
  <c r="AG250" i="18"/>
  <c r="AF250" i="18"/>
  <c r="AF249" i="18" s="1"/>
  <c r="AE250" i="18"/>
  <c r="AJ250" i="18"/>
  <c r="AG254" i="18"/>
  <c r="AE254" i="18"/>
  <c r="M254" i="18"/>
  <c r="B254" i="18"/>
  <c r="AR254" i="18" s="1"/>
  <c r="AI254" i="18"/>
  <c r="AJ251" i="18"/>
  <c r="AG251" i="18"/>
  <c r="BA251" i="18"/>
  <c r="BA249" i="18" s="1"/>
  <c r="AC251" i="18"/>
  <c r="M251" i="18"/>
  <c r="AI251" i="18"/>
  <c r="B251" i="18"/>
  <c r="AR251" i="18" s="1"/>
  <c r="AI244" i="18"/>
  <c r="AG244" i="18"/>
  <c r="BA244" i="18"/>
  <c r="B246" i="18"/>
  <c r="AR246" i="18" s="1"/>
  <c r="AI246" i="18"/>
  <c r="BA246" i="18"/>
  <c r="M246" i="18"/>
  <c r="AC246" i="18"/>
  <c r="AG246" i="18"/>
  <c r="BA263" i="18"/>
  <c r="AI245" i="18"/>
  <c r="AG245" i="18"/>
  <c r="AE245" i="18"/>
  <c r="M245" i="18"/>
  <c r="B245" i="18"/>
  <c r="AI263" i="18"/>
  <c r="B242" i="18"/>
  <c r="AR242" i="18" s="1"/>
  <c r="M242" i="18"/>
  <c r="AJ242" i="18"/>
  <c r="AE242" i="18"/>
  <c r="AG242" i="18"/>
  <c r="AI242" i="18"/>
  <c r="B263" i="18"/>
  <c r="AR263" i="18" s="1"/>
  <c r="M263" i="18"/>
  <c r="BA241" i="18"/>
  <c r="AE260" i="18"/>
  <c r="AE70" i="18"/>
  <c r="AI260" i="18"/>
  <c r="AI71" i="18"/>
  <c r="AG260" i="18"/>
  <c r="M261" i="18"/>
  <c r="B261" i="18"/>
  <c r="AR261" i="18" s="1"/>
  <c r="AE261" i="18"/>
  <c r="AG261" i="18"/>
  <c r="AI261" i="18"/>
  <c r="B260" i="18"/>
  <c r="AR260" i="18" s="1"/>
  <c r="M260" i="18"/>
  <c r="BA126" i="18"/>
  <c r="AE126" i="18"/>
  <c r="AE124" i="18" s="1"/>
  <c r="AG126" i="18"/>
  <c r="AE71" i="18"/>
  <c r="BA88" i="18"/>
  <c r="M125" i="18"/>
  <c r="B125" i="18"/>
  <c r="AR125" i="18" s="1"/>
  <c r="BA125" i="18"/>
  <c r="AG125" i="18"/>
  <c r="AG104" i="18"/>
  <c r="B126" i="18"/>
  <c r="M126" i="18"/>
  <c r="AI125" i="18"/>
  <c r="AI126" i="18"/>
  <c r="M70" i="18"/>
  <c r="M111" i="18"/>
  <c r="B111" i="18"/>
  <c r="AR111" i="18" s="1"/>
  <c r="AE111" i="18"/>
  <c r="AG111" i="18"/>
  <c r="AI111" i="18"/>
  <c r="BA111" i="18"/>
  <c r="AJ104" i="18"/>
  <c r="AG71" i="18"/>
  <c r="M78" i="18"/>
  <c r="B115" i="18"/>
  <c r="AR115" i="18" s="1"/>
  <c r="AC113" i="18"/>
  <c r="M113" i="18"/>
  <c r="M104" i="18"/>
  <c r="AG113" i="18"/>
  <c r="BA113" i="18"/>
  <c r="BA100" i="18"/>
  <c r="M112" i="18"/>
  <c r="AI112" i="18"/>
  <c r="AJ112" i="18"/>
  <c r="BA112" i="18"/>
  <c r="AG112" i="18"/>
  <c r="AE112" i="18"/>
  <c r="B112" i="18"/>
  <c r="AR112" i="18" s="1"/>
  <c r="B113" i="18"/>
  <c r="BA71" i="18"/>
  <c r="AI104" i="18"/>
  <c r="AI88" i="18"/>
  <c r="AG88" i="18"/>
  <c r="M88" i="18"/>
  <c r="AJ88" i="18"/>
  <c r="AC88" i="18"/>
  <c r="BA104" i="18"/>
  <c r="AG110" i="18"/>
  <c r="BA110" i="18"/>
  <c r="AF110" i="18"/>
  <c r="AF106" i="18" s="1"/>
  <c r="AC110" i="18"/>
  <c r="M110" i="18"/>
  <c r="AJ110" i="18"/>
  <c r="B110" i="18"/>
  <c r="AR110" i="18" s="1"/>
  <c r="AI110" i="18"/>
  <c r="M119" i="18"/>
  <c r="BA119" i="18"/>
  <c r="AG119" i="18"/>
  <c r="AE119" i="18"/>
  <c r="B119" i="18"/>
  <c r="AR119" i="18" s="1"/>
  <c r="AI119" i="18"/>
  <c r="AJ119" i="18"/>
  <c r="BA115" i="18"/>
  <c r="AG115" i="18"/>
  <c r="AE115" i="18"/>
  <c r="AI115" i="18"/>
  <c r="M122" i="18"/>
  <c r="B122" i="18"/>
  <c r="AJ122" i="18"/>
  <c r="AG122" i="18"/>
  <c r="BA122" i="18"/>
  <c r="AC122" i="18"/>
  <c r="AI122" i="18"/>
  <c r="AG121" i="18"/>
  <c r="AC121" i="18"/>
  <c r="BA121" i="18"/>
  <c r="M121" i="18"/>
  <c r="B121" i="18"/>
  <c r="AI121" i="18"/>
  <c r="AG117" i="18"/>
  <c r="BA117" i="18"/>
  <c r="AC117" i="18"/>
  <c r="M117" i="18"/>
  <c r="AJ117" i="18"/>
  <c r="B117" i="18"/>
  <c r="AR117" i="18" s="1"/>
  <c r="AI117" i="18"/>
  <c r="BA120" i="18"/>
  <c r="AG120" i="18"/>
  <c r="AE120" i="18"/>
  <c r="M120" i="18"/>
  <c r="AI120" i="18"/>
  <c r="B120" i="18"/>
  <c r="AR120" i="18" s="1"/>
  <c r="AJ120" i="18"/>
  <c r="AI116" i="18"/>
  <c r="AG116" i="18"/>
  <c r="AC116" i="18"/>
  <c r="BA116" i="18"/>
  <c r="M116" i="18"/>
  <c r="B116" i="18"/>
  <c r="AR116" i="18" s="1"/>
  <c r="BA109" i="18"/>
  <c r="AC109" i="18"/>
  <c r="M109" i="18"/>
  <c r="B109" i="18"/>
  <c r="AR109" i="18" s="1"/>
  <c r="AJ109" i="18"/>
  <c r="AG109" i="18"/>
  <c r="AI109" i="18"/>
  <c r="AJ118" i="18"/>
  <c r="AG118" i="18"/>
  <c r="BA118" i="18"/>
  <c r="AC118" i="18"/>
  <c r="M118" i="18"/>
  <c r="B118" i="18"/>
  <c r="AR118" i="18" s="1"/>
  <c r="AI118" i="18"/>
  <c r="M107" i="18"/>
  <c r="AG107" i="18"/>
  <c r="AC107" i="18"/>
  <c r="AI107" i="18"/>
  <c r="B107" i="18"/>
  <c r="AR107" i="18" s="1"/>
  <c r="AG108" i="18"/>
  <c r="AC108" i="18"/>
  <c r="M108" i="18"/>
  <c r="BA108" i="18"/>
  <c r="B108" i="18"/>
  <c r="AR108" i="18" s="1"/>
  <c r="AI108" i="18"/>
  <c r="BA114" i="18"/>
  <c r="M114" i="18"/>
  <c r="AG114" i="18"/>
  <c r="AC114" i="18"/>
  <c r="B114" i="18"/>
  <c r="AR114" i="18" s="1"/>
  <c r="AI114" i="18"/>
  <c r="B70" i="18"/>
  <c r="AR70" i="18" s="1"/>
  <c r="BA70" i="18"/>
  <c r="AC60" i="18"/>
  <c r="AG60" i="18"/>
  <c r="AG70" i="18"/>
  <c r="AG61" i="18"/>
  <c r="AC61" i="18"/>
  <c r="AG67" i="18"/>
  <c r="B67" i="18"/>
  <c r="AR67" i="18" s="1"/>
  <c r="AC104" i="18"/>
  <c r="M67" i="18"/>
  <c r="AI67" i="18"/>
  <c r="B104" i="18"/>
  <c r="B88" i="18"/>
  <c r="AR88" i="18" s="1"/>
  <c r="BA67" i="18"/>
  <c r="M71" i="18"/>
  <c r="B71" i="18"/>
  <c r="AR71" i="18" s="1"/>
  <c r="AJ70" i="18"/>
  <c r="B72" i="18"/>
  <c r="M72" i="18"/>
  <c r="AG72" i="18"/>
  <c r="BA72" i="18"/>
  <c r="AI72" i="18"/>
  <c r="AC72" i="18"/>
  <c r="B87" i="18"/>
  <c r="AR87" i="18" s="1"/>
  <c r="BA87" i="18"/>
  <c r="AC87" i="18"/>
  <c r="AG87" i="18"/>
  <c r="AJ87" i="18"/>
  <c r="M87" i="18"/>
  <c r="AI90" i="18"/>
  <c r="AJ90" i="18"/>
  <c r="AG90" i="18"/>
  <c r="AE90" i="18"/>
  <c r="M90" i="18"/>
  <c r="B90" i="18"/>
  <c r="AR90" i="18" s="1"/>
  <c r="AE66" i="18"/>
  <c r="M66" i="18"/>
  <c r="BA66" i="18"/>
  <c r="AG66" i="18"/>
  <c r="B66" i="18"/>
  <c r="AR66" i="18" s="1"/>
  <c r="AI66" i="18"/>
  <c r="B80" i="18"/>
  <c r="AR80" i="18" s="1"/>
  <c r="AI87" i="18"/>
  <c r="AJ100" i="18"/>
  <c r="AG100" i="18"/>
  <c r="AC100" i="18"/>
  <c r="M86" i="18"/>
  <c r="M100" i="18"/>
  <c r="AI100" i="18"/>
  <c r="B100" i="18"/>
  <c r="AR100" i="18" s="1"/>
  <c r="AC86" i="18"/>
  <c r="AG78" i="18"/>
  <c r="AC91" i="18"/>
  <c r="BA102" i="18"/>
  <c r="AG102" i="18"/>
  <c r="AE102" i="18"/>
  <c r="AE95" i="18" s="1"/>
  <c r="M102" i="18"/>
  <c r="AI102" i="18"/>
  <c r="B102" i="18"/>
  <c r="AR102" i="18" s="1"/>
  <c r="BA103" i="18"/>
  <c r="M103" i="18"/>
  <c r="AG103" i="18"/>
  <c r="AC103" i="18"/>
  <c r="B103" i="18"/>
  <c r="AI103" i="18"/>
  <c r="AJ55" i="18"/>
  <c r="AG29" i="18"/>
  <c r="M80" i="18"/>
  <c r="AF86" i="18"/>
  <c r="BA53" i="18"/>
  <c r="BA86" i="18"/>
  <c r="B86" i="18"/>
  <c r="AR86" i="18" s="1"/>
  <c r="AI86" i="18"/>
  <c r="AJ93" i="18"/>
  <c r="AG93" i="18"/>
  <c r="BA93" i="18"/>
  <c r="M93" i="18"/>
  <c r="AF93" i="18"/>
  <c r="AC93" i="18"/>
  <c r="AI93" i="18"/>
  <c r="B93" i="18"/>
  <c r="AG86" i="18"/>
  <c r="AJ92" i="18"/>
  <c r="B92" i="18"/>
  <c r="AR92" i="18" s="1"/>
  <c r="BA92" i="18"/>
  <c r="AF92" i="18"/>
  <c r="AG92" i="18"/>
  <c r="AC92" i="18"/>
  <c r="AI92" i="18"/>
  <c r="M92" i="18"/>
  <c r="AG91" i="18"/>
  <c r="AI91" i="18"/>
  <c r="M91" i="18"/>
  <c r="M55" i="18"/>
  <c r="B91" i="18"/>
  <c r="AJ84" i="18"/>
  <c r="AI84" i="18"/>
  <c r="M84" i="18"/>
  <c r="BA84" i="18"/>
  <c r="AF84" i="18"/>
  <c r="AC84" i="18"/>
  <c r="AG84" i="18"/>
  <c r="B84" i="18"/>
  <c r="AR84" i="18" s="1"/>
  <c r="B78" i="18"/>
  <c r="AR78" i="18" s="1"/>
  <c r="AG458" i="18"/>
  <c r="AC78" i="18"/>
  <c r="B89" i="18"/>
  <c r="AI80" i="18"/>
  <c r="AG80" i="18"/>
  <c r="AC80" i="18"/>
  <c r="AI78" i="18"/>
  <c r="AI50" i="18"/>
  <c r="AG53" i="18"/>
  <c r="AG31" i="18"/>
  <c r="B31" i="18"/>
  <c r="AR31" i="18" s="1"/>
  <c r="AG97" i="18"/>
  <c r="BA97" i="18"/>
  <c r="AC97" i="18"/>
  <c r="B97" i="18"/>
  <c r="AR97" i="18" s="1"/>
  <c r="M97" i="18"/>
  <c r="AI97" i="18"/>
  <c r="AG101" i="18"/>
  <c r="BA101" i="18"/>
  <c r="AF101" i="18"/>
  <c r="AF95" i="18" s="1"/>
  <c r="AC101" i="18"/>
  <c r="M101" i="18"/>
  <c r="AJ101" i="18"/>
  <c r="B101" i="18"/>
  <c r="AR101" i="18" s="1"/>
  <c r="AI101" i="18"/>
  <c r="M96" i="18"/>
  <c r="AG96" i="18"/>
  <c r="AC96" i="18"/>
  <c r="AI96" i="18"/>
  <c r="B96" i="18"/>
  <c r="AR96" i="18" s="1"/>
  <c r="AC99" i="18"/>
  <c r="M99" i="18"/>
  <c r="AJ99" i="18"/>
  <c r="AG99" i="18"/>
  <c r="BA99" i="18"/>
  <c r="AF99" i="18"/>
  <c r="B99" i="18"/>
  <c r="AR99" i="18" s="1"/>
  <c r="AI99" i="18"/>
  <c r="AG50" i="18"/>
  <c r="B98" i="18"/>
  <c r="AR98" i="18" s="1"/>
  <c r="AJ98" i="18"/>
  <c r="AG98" i="18"/>
  <c r="AC98" i="18"/>
  <c r="M98" i="18"/>
  <c r="BA98" i="18"/>
  <c r="AF98" i="18"/>
  <c r="AI98" i="18"/>
  <c r="AF55" i="18"/>
  <c r="AE55" i="18"/>
  <c r="AI55" i="18"/>
  <c r="AG55" i="18"/>
  <c r="AR55" i="18"/>
  <c r="AC54" i="18"/>
  <c r="B54" i="18"/>
  <c r="AI54" i="18"/>
  <c r="M54" i="18"/>
  <c r="BA54" i="18"/>
  <c r="AG54" i="18"/>
  <c r="B50" i="18"/>
  <c r="AR50" i="18" s="1"/>
  <c r="AD359" i="18"/>
  <c r="AD357" i="18" s="1"/>
  <c r="AE53" i="18"/>
  <c r="AI53" i="18"/>
  <c r="B53" i="18"/>
  <c r="M53" i="18"/>
  <c r="AJ50" i="18"/>
  <c r="M50" i="18"/>
  <c r="BA50" i="18"/>
  <c r="BA461" i="18"/>
  <c r="M461" i="18"/>
  <c r="M460" i="18" s="1"/>
  <c r="AG461" i="18"/>
  <c r="AG460" i="18" s="1"/>
  <c r="AH460" i="18" s="1"/>
  <c r="AI461" i="18"/>
  <c r="AI460" i="18" s="1"/>
  <c r="B461" i="18"/>
  <c r="B460" i="18" s="1"/>
  <c r="B458" i="18"/>
  <c r="AC458" i="18"/>
  <c r="AC456" i="18" s="1"/>
  <c r="AC428" i="18" s="1"/>
  <c r="B30" i="18"/>
  <c r="AR30" i="18" s="1"/>
  <c r="M458" i="18"/>
  <c r="AJ30" i="18"/>
  <c r="BA458" i="18"/>
  <c r="AG30" i="18"/>
  <c r="AF30" i="18"/>
  <c r="AI30" i="18"/>
  <c r="BA32" i="18"/>
  <c r="M29" i="18"/>
  <c r="BA34" i="18"/>
  <c r="M34" i="18"/>
  <c r="AG34" i="18"/>
  <c r="AI34" i="18"/>
  <c r="B34" i="18"/>
  <c r="AR34" i="18" s="1"/>
  <c r="AJ32" i="18"/>
  <c r="M32" i="18"/>
  <c r="AI32" i="18"/>
  <c r="B32" i="18"/>
  <c r="AR32" i="18" s="1"/>
  <c r="AC29" i="18"/>
  <c r="B33" i="18"/>
  <c r="AR33" i="18" s="1"/>
  <c r="M33" i="18"/>
  <c r="AE33" i="18"/>
  <c r="AE21" i="18" s="1"/>
  <c r="AI33" i="18"/>
  <c r="BA33" i="18"/>
  <c r="AG33" i="18"/>
  <c r="B29" i="18"/>
  <c r="AR29" i="18" s="1"/>
  <c r="AF29" i="18"/>
  <c r="B28" i="18"/>
  <c r="AG28" i="18"/>
  <c r="AI28" i="18"/>
  <c r="BA28" i="18"/>
  <c r="M28" i="18"/>
  <c r="M31" i="18"/>
  <c r="AC31" i="18"/>
  <c r="M457" i="18"/>
  <c r="AC457" i="18"/>
  <c r="AI457" i="18"/>
  <c r="AI456" i="18" s="1"/>
  <c r="AG457" i="18"/>
  <c r="BA457" i="18"/>
  <c r="B457" i="18"/>
  <c r="BA30" i="18"/>
  <c r="M30" i="18"/>
  <c r="AF22" i="18"/>
  <c r="BA29" i="18"/>
  <c r="AF28" i="18"/>
  <c r="AJ29" i="18"/>
  <c r="AJ31" i="18"/>
  <c r="BA31" i="18"/>
  <c r="AD371" i="18"/>
  <c r="AD369" i="18" s="1"/>
  <c r="AD405" i="18"/>
  <c r="AD403" i="18" s="1"/>
  <c r="AD346" i="18"/>
  <c r="AD344" i="18" s="1"/>
  <c r="AL422" i="18"/>
  <c r="AD388" i="18"/>
  <c r="AD386" i="18" s="1"/>
  <c r="AC359" i="18"/>
  <c r="AC357" i="18" s="1"/>
  <c r="A321" i="18"/>
  <c r="AL321" i="18" s="1"/>
  <c r="AC321" i="18"/>
  <c r="AD326" i="18"/>
  <c r="AD324" i="18" s="1"/>
  <c r="AC326" i="18"/>
  <c r="AC371" i="18"/>
  <c r="AC369" i="18" s="1"/>
  <c r="AD352" i="18"/>
  <c r="AD350" i="18" s="1"/>
  <c r="AC352" i="18"/>
  <c r="AC353" i="18"/>
  <c r="AC350" i="18" s="1"/>
  <c r="AD294" i="18"/>
  <c r="AD306" i="18"/>
  <c r="AD304" i="18" s="1"/>
  <c r="AD295" i="18"/>
  <c r="AD320" i="18"/>
  <c r="AD318" i="18" s="1"/>
  <c r="AC320" i="18"/>
  <c r="AC327" i="18"/>
  <c r="AC324" i="18" s="1"/>
  <c r="AC294" i="18"/>
  <c r="AL424" i="18"/>
  <c r="AC295" i="18"/>
  <c r="AL423" i="18"/>
  <c r="AC346" i="18"/>
  <c r="AC347" i="18"/>
  <c r="AC344" i="18" s="1"/>
  <c r="AC83" i="18"/>
  <c r="AC82" i="18"/>
  <c r="AC85" i="18"/>
  <c r="AC243" i="18"/>
  <c r="AC262" i="18"/>
  <c r="AC193" i="18"/>
  <c r="AC198" i="18"/>
  <c r="AC195" i="18"/>
  <c r="AC194" i="18"/>
  <c r="AC192" i="18"/>
  <c r="AC26" i="18"/>
  <c r="AC216" i="18"/>
  <c r="AC213" i="18"/>
  <c r="AC212" i="18"/>
  <c r="AC211" i="18"/>
  <c r="AC209" i="18"/>
  <c r="AC214" i="18"/>
  <c r="AC180" i="18"/>
  <c r="AC177" i="18"/>
  <c r="AC186" i="18"/>
  <c r="AC181" i="18"/>
  <c r="AC179" i="18"/>
  <c r="AC178" i="18"/>
  <c r="AC377" i="18"/>
  <c r="AC375" i="18" s="1"/>
  <c r="AC376" i="18"/>
  <c r="AC232" i="18"/>
  <c r="AC233" i="18"/>
  <c r="AC234" i="18"/>
  <c r="AC309" i="18"/>
  <c r="AC306" i="18"/>
  <c r="AC308" i="18"/>
  <c r="AC307" i="18"/>
  <c r="AC203" i="18"/>
  <c r="AC200" i="18" s="1"/>
  <c r="AC202" i="18"/>
  <c r="AC68" i="18"/>
  <c r="AC64" i="18"/>
  <c r="AC63" i="18"/>
  <c r="AC62" i="18"/>
  <c r="AC73" i="18"/>
  <c r="AC69" i="18"/>
  <c r="AC65" i="18"/>
  <c r="AC221" i="18"/>
  <c r="AC220" i="18"/>
  <c r="AC52" i="18"/>
  <c r="AC51" i="18"/>
  <c r="AC49" i="18"/>
  <c r="AC444" i="18"/>
  <c r="AC443" i="18" s="1"/>
  <c r="A421" i="18"/>
  <c r="AL421" i="18" s="1"/>
  <c r="A241" i="18"/>
  <c r="A405" i="18"/>
  <c r="AL405" i="18" s="1"/>
  <c r="A388" i="18"/>
  <c r="AL388" i="18" s="1"/>
  <c r="A346" i="18"/>
  <c r="AL346" i="18" s="1"/>
  <c r="A376" i="18"/>
  <c r="AL376" i="18" s="1"/>
  <c r="A359" i="18"/>
  <c r="AL359" i="18" s="1"/>
  <c r="A371" i="18"/>
  <c r="AL371" i="18" s="1"/>
  <c r="A352" i="18"/>
  <c r="AL352" i="18" s="1"/>
  <c r="A320" i="18"/>
  <c r="AL320" i="18" s="1"/>
  <c r="A326" i="18"/>
  <c r="AL326" i="18" s="1"/>
  <c r="A327" i="18"/>
  <c r="AL327" i="18" s="1"/>
  <c r="A306" i="18"/>
  <c r="AL306" i="18" s="1"/>
  <c r="AL27" i="18"/>
  <c r="A27" i="18"/>
  <c r="AQ40" i="18"/>
  <c r="J40" i="18"/>
  <c r="AQ39" i="18"/>
  <c r="AP39" i="18"/>
  <c r="AL39" i="18"/>
  <c r="Q39" i="18"/>
  <c r="A39" i="18"/>
  <c r="J38" i="18"/>
  <c r="AQ262" i="18"/>
  <c r="AP262" i="18"/>
  <c r="A262" i="18"/>
  <c r="AL262" i="18" s="1"/>
  <c r="AQ259" i="18"/>
  <c r="AP259" i="18"/>
  <c r="A259" i="18"/>
  <c r="J258" i="18"/>
  <c r="G258" i="18"/>
  <c r="A240" i="18"/>
  <c r="AQ243" i="18"/>
  <c r="AP243" i="18"/>
  <c r="A243" i="18"/>
  <c r="AL243" i="18" s="1"/>
  <c r="AQ240" i="18"/>
  <c r="AP240" i="18"/>
  <c r="G239" i="18"/>
  <c r="A235" i="18"/>
  <c r="AQ235" i="18"/>
  <c r="AP235" i="18"/>
  <c r="A231" i="18"/>
  <c r="AQ234" i="18"/>
  <c r="AP234" i="18"/>
  <c r="A234" i="18"/>
  <c r="AL234" i="18" s="1"/>
  <c r="AQ233" i="18"/>
  <c r="AP233" i="18"/>
  <c r="A233" i="18"/>
  <c r="AL233" i="18" s="1"/>
  <c r="AQ232" i="18"/>
  <c r="AP232" i="18"/>
  <c r="A232" i="18"/>
  <c r="AL232" i="18" s="1"/>
  <c r="AQ231" i="18"/>
  <c r="AP231" i="18"/>
  <c r="J230" i="18"/>
  <c r="G230" i="18"/>
  <c r="AQ221" i="18"/>
  <c r="AP221" i="18"/>
  <c r="A221" i="18"/>
  <c r="AL221" i="18" s="1"/>
  <c r="AQ220" i="18"/>
  <c r="AP220" i="18"/>
  <c r="A220" i="18"/>
  <c r="AL220" i="18" s="1"/>
  <c r="AQ219" i="18"/>
  <c r="AP219" i="18"/>
  <c r="A219" i="18"/>
  <c r="J218" i="18"/>
  <c r="G218" i="18"/>
  <c r="AQ211" i="18"/>
  <c r="AP211" i="18"/>
  <c r="A211" i="18"/>
  <c r="AL211" i="18" s="1"/>
  <c r="A208" i="18"/>
  <c r="AQ216" i="18"/>
  <c r="AP216" i="18"/>
  <c r="A216" i="18"/>
  <c r="AQ215" i="18"/>
  <c r="AP215" i="18"/>
  <c r="A215" i="18"/>
  <c r="AQ214" i="18"/>
  <c r="AP214" i="18"/>
  <c r="A214" i="18"/>
  <c r="AL214" i="18" s="1"/>
  <c r="AQ213" i="18"/>
  <c r="AP213" i="18"/>
  <c r="A213" i="18"/>
  <c r="AL213" i="18" s="1"/>
  <c r="AQ212" i="18"/>
  <c r="AP212" i="18"/>
  <c r="A212" i="18"/>
  <c r="AL212" i="18" s="1"/>
  <c r="AQ210" i="18"/>
  <c r="A210" i="18"/>
  <c r="AL210" i="18" s="1"/>
  <c r="AQ209" i="18"/>
  <c r="AP209" i="18"/>
  <c r="A209" i="18"/>
  <c r="AL209" i="18" s="1"/>
  <c r="AQ208" i="18"/>
  <c r="AP208" i="18"/>
  <c r="J207" i="18"/>
  <c r="G207" i="18"/>
  <c r="A205" i="18"/>
  <c r="AQ205" i="18"/>
  <c r="AP205" i="18"/>
  <c r="A204" i="18"/>
  <c r="A201" i="18"/>
  <c r="AQ179" i="18"/>
  <c r="AP179" i="18"/>
  <c r="A179" i="18"/>
  <c r="AL179" i="18" s="1"/>
  <c r="AQ186" i="18"/>
  <c r="AP186" i="18"/>
  <c r="A186" i="18"/>
  <c r="AQ185" i="18"/>
  <c r="AP185" i="18"/>
  <c r="A185" i="18"/>
  <c r="AQ184" i="18"/>
  <c r="AP184" i="18"/>
  <c r="A184" i="18"/>
  <c r="AQ181" i="18"/>
  <c r="AP181" i="18"/>
  <c r="A181" i="18"/>
  <c r="AL181" i="18" s="1"/>
  <c r="AQ180" i="18"/>
  <c r="AP180" i="18"/>
  <c r="A180" i="18"/>
  <c r="AL180" i="18" s="1"/>
  <c r="AQ178" i="18"/>
  <c r="AP178" i="18"/>
  <c r="A178" i="18"/>
  <c r="AL178" i="18" s="1"/>
  <c r="AQ177" i="18"/>
  <c r="A177" i="18"/>
  <c r="AL177" i="18" s="1"/>
  <c r="AQ176" i="18"/>
  <c r="A176" i="18"/>
  <c r="AL176" i="18" s="1"/>
  <c r="AQ175" i="18"/>
  <c r="AP175" i="18"/>
  <c r="A175" i="18"/>
  <c r="J174" i="18"/>
  <c r="G174" i="18"/>
  <c r="AQ198" i="18"/>
  <c r="AP198" i="18"/>
  <c r="A198" i="18"/>
  <c r="A197" i="18"/>
  <c r="AL197" i="18" s="1"/>
  <c r="AQ197" i="18"/>
  <c r="AP197" i="18"/>
  <c r="A196" i="18"/>
  <c r="AQ196" i="18"/>
  <c r="AP196" i="18"/>
  <c r="AQ195" i="18"/>
  <c r="AP195" i="18"/>
  <c r="A195" i="18"/>
  <c r="AL195" i="18" s="1"/>
  <c r="AQ194" i="18"/>
  <c r="AP194" i="18"/>
  <c r="A194" i="18"/>
  <c r="AL194" i="18" s="1"/>
  <c r="AQ192" i="18"/>
  <c r="AP192" i="18"/>
  <c r="A192" i="18"/>
  <c r="AL192" i="18" s="1"/>
  <c r="AQ193" i="18"/>
  <c r="AP193" i="18"/>
  <c r="A193" i="18"/>
  <c r="AL193" i="18" s="1"/>
  <c r="AQ191" i="18"/>
  <c r="A191" i="18"/>
  <c r="AL191" i="18" s="1"/>
  <c r="AQ190" i="18"/>
  <c r="AP190" i="18"/>
  <c r="A190" i="18"/>
  <c r="J189" i="18"/>
  <c r="G189" i="18"/>
  <c r="C6" i="19"/>
  <c r="AQ149" i="18"/>
  <c r="AP149" i="18"/>
  <c r="A149" i="18"/>
  <c r="AQ148" i="18"/>
  <c r="AP148" i="18"/>
  <c r="A148" i="18"/>
  <c r="AL148" i="18" s="1"/>
  <c r="AQ147" i="18"/>
  <c r="AP147" i="18"/>
  <c r="A147" i="18"/>
  <c r="AQ146" i="18"/>
  <c r="AP146" i="18"/>
  <c r="A146" i="18"/>
  <c r="AL146" i="18" s="1"/>
  <c r="AQ145" i="18"/>
  <c r="AP145" i="18"/>
  <c r="J145" i="18"/>
  <c r="AL145" i="18" s="1"/>
  <c r="AQ144" i="18"/>
  <c r="AP144" i="18"/>
  <c r="AL144" i="18"/>
  <c r="A144" i="18"/>
  <c r="J143" i="18"/>
  <c r="AQ156" i="18"/>
  <c r="AP156" i="18"/>
  <c r="A156" i="18"/>
  <c r="AQ155" i="18"/>
  <c r="AP155" i="18"/>
  <c r="A155" i="18"/>
  <c r="AL155" i="18" s="1"/>
  <c r="AQ154" i="18"/>
  <c r="J154" i="18"/>
  <c r="A154" i="18" s="1"/>
  <c r="AQ153" i="18"/>
  <c r="AP153" i="18"/>
  <c r="AL153" i="18"/>
  <c r="A153" i="18"/>
  <c r="J152" i="18"/>
  <c r="C5" i="19"/>
  <c r="AQ83" i="18"/>
  <c r="AP83" i="18"/>
  <c r="A83" i="18"/>
  <c r="AL83" i="18" s="1"/>
  <c r="A61" i="18"/>
  <c r="AQ73" i="18"/>
  <c r="AP73" i="18"/>
  <c r="A73" i="18"/>
  <c r="AL73" i="18" s="1"/>
  <c r="AQ69" i="18"/>
  <c r="AP69" i="18"/>
  <c r="A69" i="18"/>
  <c r="AL69" i="18" s="1"/>
  <c r="AQ68" i="18"/>
  <c r="AP68" i="18"/>
  <c r="A68" i="18"/>
  <c r="AL68" i="18" s="1"/>
  <c r="AQ65" i="18"/>
  <c r="AP65" i="18"/>
  <c r="A65" i="18"/>
  <c r="AL65" i="18" s="1"/>
  <c r="AQ64" i="18"/>
  <c r="AP64" i="18"/>
  <c r="A64" i="18"/>
  <c r="AL64" i="18" s="1"/>
  <c r="AQ63" i="18"/>
  <c r="AP63" i="18"/>
  <c r="A63" i="18"/>
  <c r="AL63" i="18" s="1"/>
  <c r="AQ62" i="18"/>
  <c r="AP62" i="18"/>
  <c r="A62" i="18"/>
  <c r="AL62" i="18" s="1"/>
  <c r="AL60" i="18"/>
  <c r="AQ52" i="18"/>
  <c r="AP52" i="18"/>
  <c r="A52" i="18"/>
  <c r="AL52" i="18" s="1"/>
  <c r="J46" i="18"/>
  <c r="J48" i="18" s="1"/>
  <c r="AC48" i="18" s="1"/>
  <c r="AQ48" i="18"/>
  <c r="AP48" i="18"/>
  <c r="AQ46" i="18"/>
  <c r="AP46" i="18"/>
  <c r="Q46" i="18"/>
  <c r="AQ51" i="18"/>
  <c r="AP51" i="18"/>
  <c r="A51" i="18"/>
  <c r="AL51" i="18" s="1"/>
  <c r="AQ49" i="18"/>
  <c r="AP49" i="18"/>
  <c r="A49" i="18"/>
  <c r="AL49" i="18" s="1"/>
  <c r="AQ47" i="18"/>
  <c r="AP47" i="18"/>
  <c r="J47" i="18"/>
  <c r="AL47" i="18" s="1"/>
  <c r="AQ45" i="18"/>
  <c r="AP45" i="18"/>
  <c r="AL45" i="18"/>
  <c r="Q45" i="18"/>
  <c r="AC45" i="18" s="1"/>
  <c r="A45" i="18"/>
  <c r="AQ89" i="18"/>
  <c r="AP89" i="18"/>
  <c r="AC79" i="18"/>
  <c r="AQ85" i="18"/>
  <c r="AP85" i="18"/>
  <c r="A85" i="18"/>
  <c r="AL85" i="18" s="1"/>
  <c r="AQ82" i="18"/>
  <c r="AP82" i="18"/>
  <c r="A82" i="18"/>
  <c r="AL82" i="18" s="1"/>
  <c r="AQ81" i="18"/>
  <c r="AP81" i="18"/>
  <c r="J81" i="18"/>
  <c r="AL81" i="18" s="1"/>
  <c r="AP79" i="18"/>
  <c r="AL79" i="18"/>
  <c r="C4" i="19"/>
  <c r="A445" i="18"/>
  <c r="AQ445" i="18"/>
  <c r="AP445" i="18"/>
  <c r="AQ444" i="18"/>
  <c r="AP444" i="18"/>
  <c r="A444" i="18"/>
  <c r="AL444" i="18" s="1"/>
  <c r="Q22" i="18"/>
  <c r="AC22" i="18" s="1"/>
  <c r="B60" i="28"/>
  <c r="B61" i="28"/>
  <c r="AP24" i="18" s="1"/>
  <c r="AQ26" i="18"/>
  <c r="AP26" i="18"/>
  <c r="A26" i="18"/>
  <c r="AL26" i="18" s="1"/>
  <c r="AQ25" i="18"/>
  <c r="AQ24" i="18"/>
  <c r="A24" i="18"/>
  <c r="AL24" i="18" s="1"/>
  <c r="AQ23" i="18"/>
  <c r="J23" i="18"/>
  <c r="AL23" i="18" s="1"/>
  <c r="AQ22" i="18"/>
  <c r="AL22" i="18"/>
  <c r="A22" i="18"/>
  <c r="J21" i="18"/>
  <c r="AX16" i="18"/>
  <c r="AT16" i="18"/>
  <c r="AS16" i="18"/>
  <c r="AC223" i="18" l="1"/>
  <c r="AL451" i="18"/>
  <c r="AN451" i="18" s="1"/>
  <c r="AO451" i="18" s="1"/>
  <c r="AC304" i="18"/>
  <c r="AC318" i="18"/>
  <c r="AL397" i="18"/>
  <c r="AN397" i="18" s="1"/>
  <c r="AO397" i="18" s="1"/>
  <c r="AN312" i="18"/>
  <c r="AO312" i="18" s="1"/>
  <c r="AM312" i="18"/>
  <c r="AC106" i="18"/>
  <c r="AI249" i="18"/>
  <c r="AG223" i="18"/>
  <c r="AP286" i="18"/>
  <c r="AP331" i="18"/>
  <c r="AO286" i="18"/>
  <c r="AH331" i="18"/>
  <c r="AL331" i="18" s="1"/>
  <c r="AN331" i="18" s="1"/>
  <c r="AO331" i="18" s="1"/>
  <c r="AD379" i="18"/>
  <c r="M456" i="18"/>
  <c r="B95" i="18"/>
  <c r="AC258" i="18"/>
  <c r="B223" i="18"/>
  <c r="AM331" i="18"/>
  <c r="AC59" i="18"/>
  <c r="AC189" i="18"/>
  <c r="AG106" i="18"/>
  <c r="AJ95" i="18"/>
  <c r="AK95" i="18" s="1"/>
  <c r="AI124" i="18"/>
  <c r="AG249" i="18"/>
  <c r="AC239" i="18"/>
  <c r="AP432" i="18"/>
  <c r="AN383" i="18"/>
  <c r="AO383" i="18" s="1"/>
  <c r="AM383" i="18"/>
  <c r="AJ106" i="18"/>
  <c r="AJ249" i="18"/>
  <c r="AK249" i="18" s="1"/>
  <c r="AH223" i="18"/>
  <c r="AR312" i="18"/>
  <c r="AP312" i="18" s="1"/>
  <c r="AP463" i="18"/>
  <c r="AL432" i="18"/>
  <c r="AN432" i="18" s="1"/>
  <c r="AO432" i="18" s="1"/>
  <c r="AL280" i="18"/>
  <c r="AN280" i="18" s="1"/>
  <c r="AO280" i="18" s="1"/>
  <c r="B456" i="18"/>
  <c r="AE44" i="18"/>
  <c r="AG456" i="18"/>
  <c r="AC95" i="18"/>
  <c r="B106" i="18"/>
  <c r="M95" i="18"/>
  <c r="M124" i="18"/>
  <c r="AE59" i="18"/>
  <c r="M249" i="18"/>
  <c r="AM338" i="18"/>
  <c r="AM451" i="18"/>
  <c r="AM463" i="18"/>
  <c r="AC174" i="18"/>
  <c r="AC207" i="18"/>
  <c r="M106" i="18"/>
  <c r="B124" i="18"/>
  <c r="AG124" i="18"/>
  <c r="AC249" i="18"/>
  <c r="AH249" i="18" s="1"/>
  <c r="AL249" i="18" s="1"/>
  <c r="AN249" i="18" s="1"/>
  <c r="AO249" i="18" s="1"/>
  <c r="AP274" i="18"/>
  <c r="AH167" i="18"/>
  <c r="AL167" i="18" s="1"/>
  <c r="AN167" i="18" s="1"/>
  <c r="AO167" i="18" s="1"/>
  <c r="AM447" i="18"/>
  <c r="AL274" i="18"/>
  <c r="AN274" i="18" s="1"/>
  <c r="AO274" i="18" s="1"/>
  <c r="AM363" i="18"/>
  <c r="AL298" i="18"/>
  <c r="AN298" i="18" s="1"/>
  <c r="AO298" i="18" s="1"/>
  <c r="AG95" i="18"/>
  <c r="AM167" i="18"/>
  <c r="AC218" i="18"/>
  <c r="AL460" i="18"/>
  <c r="AN460" i="18" s="1"/>
  <c r="AO460" i="18" s="1"/>
  <c r="AE106" i="18"/>
  <c r="AI106" i="18"/>
  <c r="AI95" i="18"/>
  <c r="AE249" i="18"/>
  <c r="AK258" i="18"/>
  <c r="AI223" i="18"/>
  <c r="AC230" i="18"/>
  <c r="AP167" i="18"/>
  <c r="AM397" i="18"/>
  <c r="AR461" i="18"/>
  <c r="AR460" i="18" s="1"/>
  <c r="AP460" i="18" s="1"/>
  <c r="A463" i="18"/>
  <c r="A447" i="18"/>
  <c r="A451" i="18"/>
  <c r="A397" i="18"/>
  <c r="A432" i="18"/>
  <c r="BA456" i="18"/>
  <c r="AR104" i="18"/>
  <c r="A331" i="18"/>
  <c r="A274" i="18"/>
  <c r="A383" i="18"/>
  <c r="A280" i="18"/>
  <c r="A338" i="18"/>
  <c r="A167" i="18"/>
  <c r="A363" i="18"/>
  <c r="A298" i="18"/>
  <c r="A286" i="18"/>
  <c r="M296" i="18"/>
  <c r="BA296" i="18"/>
  <c r="A296" i="18"/>
  <c r="AC296" i="18"/>
  <c r="AC292" i="18" s="1"/>
  <c r="AC270" i="18" s="1"/>
  <c r="AD296" i="18"/>
  <c r="AD292" i="18" s="1"/>
  <c r="AD270" i="18" s="1"/>
  <c r="A312" i="18"/>
  <c r="AR159" i="18"/>
  <c r="AR237" i="18"/>
  <c r="AR226" i="18"/>
  <c r="AR223" i="18" s="1"/>
  <c r="AP223" i="18" s="1"/>
  <c r="AR264" i="18"/>
  <c r="AR247" i="18"/>
  <c r="AR256" i="18"/>
  <c r="AR249" i="18" s="1"/>
  <c r="AP249" i="18" s="1"/>
  <c r="AR245" i="18"/>
  <c r="BA95" i="18"/>
  <c r="BA124" i="18"/>
  <c r="AR126" i="18"/>
  <c r="AR124" i="18" s="1"/>
  <c r="BA106" i="18"/>
  <c r="AR122" i="18"/>
  <c r="AR103" i="18"/>
  <c r="AR93" i="18"/>
  <c r="AR91" i="18"/>
  <c r="AR54" i="18"/>
  <c r="AR53" i="18"/>
  <c r="AR458" i="18"/>
  <c r="AJ39" i="18"/>
  <c r="AJ38" i="18" s="1"/>
  <c r="AR457" i="18"/>
  <c r="AC81" i="18"/>
  <c r="AC77" i="18" s="1"/>
  <c r="AC46" i="18"/>
  <c r="AC47" i="18"/>
  <c r="AC44" i="18" s="1"/>
  <c r="AC406" i="18"/>
  <c r="AC405" i="18"/>
  <c r="AC137" i="18"/>
  <c r="AC136" i="18"/>
  <c r="AC134" i="18"/>
  <c r="AC148" i="18"/>
  <c r="AC146" i="18"/>
  <c r="AC145" i="18"/>
  <c r="AC144" i="18"/>
  <c r="AC39" i="18"/>
  <c r="AC38" i="18" s="1"/>
  <c r="AC389" i="18"/>
  <c r="AC388" i="18"/>
  <c r="AC394" i="18"/>
  <c r="AC393" i="18"/>
  <c r="AC395" i="18"/>
  <c r="AC155" i="18"/>
  <c r="AC153" i="18"/>
  <c r="A40" i="18"/>
  <c r="AL40" i="18"/>
  <c r="AL216" i="18"/>
  <c r="AL186" i="18"/>
  <c r="AL198" i="18"/>
  <c r="A145" i="18"/>
  <c r="AL154" i="18"/>
  <c r="AL61" i="18"/>
  <c r="AL46" i="18"/>
  <c r="A46" i="18"/>
  <c r="A47" i="18"/>
  <c r="A81" i="18"/>
  <c r="A25" i="18"/>
  <c r="AL25" i="18" s="1"/>
  <c r="A23" i="18"/>
  <c r="AM280" i="18" l="1"/>
  <c r="AC391" i="18"/>
  <c r="AC403" i="18"/>
  <c r="AC152" i="18"/>
  <c r="AC143" i="18"/>
  <c r="AM460" i="18"/>
  <c r="AK106" i="18"/>
  <c r="AM432" i="18"/>
  <c r="AM274" i="18"/>
  <c r="AK38" i="18"/>
  <c r="AH106" i="18"/>
  <c r="AL106" i="18" s="1"/>
  <c r="AN106" i="18" s="1"/>
  <c r="AO106" i="18" s="1"/>
  <c r="AC386" i="18"/>
  <c r="AC379" i="18" s="1"/>
  <c r="AR456" i="18"/>
  <c r="AP456" i="18" s="1"/>
  <c r="AP124" i="18"/>
  <c r="AH95" i="18"/>
  <c r="AL95" i="18" s="1"/>
  <c r="AN95" i="18" s="1"/>
  <c r="AO95" i="18" s="1"/>
  <c r="AH124" i="18"/>
  <c r="AL124" i="18" s="1"/>
  <c r="AN124" i="18" s="1"/>
  <c r="AO124" i="18" s="1"/>
  <c r="AC21" i="18"/>
  <c r="AC16" i="18" s="1"/>
  <c r="AR95" i="18"/>
  <c r="AP95" i="18" s="1"/>
  <c r="AL223" i="18"/>
  <c r="AN223" i="18" s="1"/>
  <c r="AO223" i="18" s="1"/>
  <c r="AH456" i="18"/>
  <c r="AL456" i="18" s="1"/>
  <c r="AN456" i="18" s="1"/>
  <c r="AO456" i="18" s="1"/>
  <c r="AC163" i="18"/>
  <c r="AM249" i="18"/>
  <c r="AM298" i="18"/>
  <c r="A460" i="18"/>
  <c r="A223" i="18"/>
  <c r="AL296" i="18"/>
  <c r="AI296" i="18" s="1"/>
  <c r="B296" i="18"/>
  <c r="A124" i="18"/>
  <c r="A249" i="18"/>
  <c r="C106" i="18"/>
  <c r="A106" i="18"/>
  <c r="C95" i="18"/>
  <c r="A95" i="18"/>
  <c r="A456" i="18"/>
  <c r="AD421" i="18"/>
  <c r="AC421" i="18"/>
  <c r="AG421" i="18"/>
  <c r="AD422" i="18"/>
  <c r="AC422" i="18"/>
  <c r="AG422" i="18"/>
  <c r="AC424" i="18"/>
  <c r="AC420" i="18" s="1"/>
  <c r="AD424" i="18"/>
  <c r="AG424" i="18"/>
  <c r="AC423" i="18"/>
  <c r="AD423" i="18"/>
  <c r="AG423" i="18"/>
  <c r="AG241" i="18"/>
  <c r="AE241" i="18"/>
  <c r="BA389" i="18"/>
  <c r="AI241" i="18"/>
  <c r="B404" i="18"/>
  <c r="B241" i="18"/>
  <c r="AR241" i="18" s="1"/>
  <c r="M241" i="18"/>
  <c r="AF240" i="18"/>
  <c r="AF239" i="18" s="1"/>
  <c r="AJ240" i="18"/>
  <c r="BA372" i="18"/>
  <c r="B370" i="18"/>
  <c r="BA309" i="18"/>
  <c r="B327" i="18"/>
  <c r="AE325" i="18"/>
  <c r="AE324" i="18" s="1"/>
  <c r="AG345" i="18"/>
  <c r="AJ377" i="18"/>
  <c r="AJ375" i="18" s="1"/>
  <c r="BA394" i="18"/>
  <c r="BA388" i="18"/>
  <c r="M351" i="18"/>
  <c r="BA308" i="18"/>
  <c r="AG387" i="18"/>
  <c r="AE358" i="18"/>
  <c r="AE357" i="18" s="1"/>
  <c r="AG359" i="18"/>
  <c r="BA321" i="18"/>
  <c r="BA393" i="18"/>
  <c r="BA360" i="18"/>
  <c r="AG347" i="18"/>
  <c r="AG344" i="18" s="1"/>
  <c r="AG346" i="18"/>
  <c r="BA376" i="18"/>
  <c r="M319" i="18"/>
  <c r="B392" i="18"/>
  <c r="M354" i="18"/>
  <c r="BA295" i="18"/>
  <c r="B373" i="18"/>
  <c r="BA307" i="18"/>
  <c r="BA305" i="18"/>
  <c r="BA293" i="18"/>
  <c r="BA377" i="18"/>
  <c r="BA358" i="18"/>
  <c r="AI359" i="18"/>
  <c r="AG326" i="18"/>
  <c r="AL48" i="18"/>
  <c r="A48" i="18"/>
  <c r="AC416" i="18" l="1"/>
  <c r="AM456" i="18"/>
  <c r="AM124" i="18"/>
  <c r="AM223" i="18"/>
  <c r="AK375" i="18"/>
  <c r="AM106" i="18"/>
  <c r="AG420" i="18"/>
  <c r="AG416" i="18" s="1"/>
  <c r="AD420" i="18"/>
  <c r="AD416" i="18" s="1"/>
  <c r="AD11" i="18" s="1"/>
  <c r="AD7" i="18" s="1"/>
  <c r="AM95" i="18"/>
  <c r="AR296" i="18"/>
  <c r="M423" i="18"/>
  <c r="B423" i="18"/>
  <c r="AR423" i="18" s="1"/>
  <c r="AI423" i="18"/>
  <c r="M424" i="18"/>
  <c r="M420" i="18" s="1"/>
  <c r="M416" i="18" s="1"/>
  <c r="B424" i="18"/>
  <c r="AI424" i="18"/>
  <c r="M422" i="18"/>
  <c r="B422" i="18"/>
  <c r="AR422" i="18" s="1"/>
  <c r="AI422" i="18"/>
  <c r="M421" i="18"/>
  <c r="AI421" i="18"/>
  <c r="B421" i="18"/>
  <c r="AR421" i="18" s="1"/>
  <c r="BA370" i="18"/>
  <c r="BA369" i="18" s="1"/>
  <c r="M404" i="18"/>
  <c r="AR410" i="18"/>
  <c r="AR409" i="18" s="1"/>
  <c r="B359" i="18"/>
  <c r="AR359" i="18" s="1"/>
  <c r="BA357" i="18"/>
  <c r="M359" i="18"/>
  <c r="BA410" i="18"/>
  <c r="BA409" i="18" s="1"/>
  <c r="AG410" i="18"/>
  <c r="AG409" i="18" s="1"/>
  <c r="AE410" i="18"/>
  <c r="AE409" i="18" s="1"/>
  <c r="AJ410" i="18"/>
  <c r="AJ409" i="18" s="1"/>
  <c r="AI410" i="18"/>
  <c r="AI409" i="18" s="1"/>
  <c r="AI404" i="18"/>
  <c r="AR404" i="18"/>
  <c r="AJ404" i="18"/>
  <c r="AG404" i="18"/>
  <c r="BA404" i="18"/>
  <c r="AE404" i="18"/>
  <c r="AE403" i="18" s="1"/>
  <c r="M405" i="18"/>
  <c r="B405" i="18"/>
  <c r="AR405" i="18" s="1"/>
  <c r="AI405" i="18"/>
  <c r="BA405" i="18"/>
  <c r="AG405" i="18"/>
  <c r="B406" i="18"/>
  <c r="B403" i="18" s="1"/>
  <c r="AJ406" i="18"/>
  <c r="AI406" i="18"/>
  <c r="AG406" i="18"/>
  <c r="BA406" i="18"/>
  <c r="M406" i="18"/>
  <c r="M403" i="18" s="1"/>
  <c r="AJ327" i="18"/>
  <c r="AJ354" i="18"/>
  <c r="B355" i="18"/>
  <c r="BA327" i="18"/>
  <c r="B307" i="18"/>
  <c r="AR307" i="18" s="1"/>
  <c r="BA392" i="18"/>
  <c r="M392" i="18"/>
  <c r="BA325" i="18"/>
  <c r="BA351" i="18"/>
  <c r="AJ395" i="18"/>
  <c r="BA395" i="18"/>
  <c r="M387" i="18"/>
  <c r="AI325" i="18"/>
  <c r="BA347" i="18"/>
  <c r="B388" i="18"/>
  <c r="AR388" i="18" s="1"/>
  <c r="AI389" i="18"/>
  <c r="AJ389" i="18"/>
  <c r="B389" i="18"/>
  <c r="AJ387" i="18"/>
  <c r="M389" i="18"/>
  <c r="M386" i="18" s="1"/>
  <c r="AI388" i="18"/>
  <c r="AE387" i="18"/>
  <c r="AE386" i="18" s="1"/>
  <c r="AG389" i="18"/>
  <c r="M388" i="18"/>
  <c r="BA345" i="18"/>
  <c r="AI387" i="18"/>
  <c r="AG388" i="18"/>
  <c r="B387" i="18"/>
  <c r="AR387" i="18" s="1"/>
  <c r="BA387" i="18"/>
  <c r="BA386" i="18" s="1"/>
  <c r="AJ373" i="18"/>
  <c r="AG373" i="18"/>
  <c r="M373" i="18"/>
  <c r="AI358" i="18"/>
  <c r="AJ358" i="18"/>
  <c r="AG325" i="18"/>
  <c r="AI373" i="18"/>
  <c r="BA319" i="18"/>
  <c r="BA318" i="18" s="1"/>
  <c r="BA353" i="18"/>
  <c r="M327" i="18"/>
  <c r="BA292" i="18"/>
  <c r="AI347" i="18"/>
  <c r="B360" i="18"/>
  <c r="AJ295" i="18"/>
  <c r="M326" i="18"/>
  <c r="AG358" i="18"/>
  <c r="AI352" i="18"/>
  <c r="AI326" i="18"/>
  <c r="BA375" i="18"/>
  <c r="BA304" i="18"/>
  <c r="AG355" i="18"/>
  <c r="B354" i="18"/>
  <c r="AR354" i="18" s="1"/>
  <c r="M360" i="18"/>
  <c r="M357" i="18" s="1"/>
  <c r="AG354" i="18"/>
  <c r="M370" i="18"/>
  <c r="M355" i="18"/>
  <c r="B319" i="18"/>
  <c r="AR319" i="18" s="1"/>
  <c r="AI354" i="18"/>
  <c r="AR373" i="18"/>
  <c r="AE345" i="18"/>
  <c r="AE344" i="18" s="1"/>
  <c r="AH344" i="18" s="1"/>
  <c r="AJ307" i="18"/>
  <c r="M377" i="18"/>
  <c r="AG377" i="18"/>
  <c r="AG375" i="18" s="1"/>
  <c r="AI377" i="18"/>
  <c r="B377" i="18"/>
  <c r="AG376" i="18"/>
  <c r="B376" i="18"/>
  <c r="AR376" i="18" s="1"/>
  <c r="M376" i="18"/>
  <c r="AI376" i="18"/>
  <c r="M353" i="18"/>
  <c r="AG351" i="18"/>
  <c r="M346" i="18"/>
  <c r="B346" i="18"/>
  <c r="AR346" i="18" s="1"/>
  <c r="AI346" i="18"/>
  <c r="AJ345" i="18"/>
  <c r="AI307" i="18"/>
  <c r="B345" i="18"/>
  <c r="AR345" i="18" s="1"/>
  <c r="M347" i="18"/>
  <c r="M344" i="18" s="1"/>
  <c r="AI345" i="18"/>
  <c r="AI360" i="18"/>
  <c r="AI357" i="18" s="1"/>
  <c r="M307" i="18"/>
  <c r="M345" i="18"/>
  <c r="B347" i="18"/>
  <c r="AG360" i="18"/>
  <c r="AG357" i="18" s="1"/>
  <c r="AH357" i="18" s="1"/>
  <c r="AG353" i="18"/>
  <c r="AJ347" i="18"/>
  <c r="AG307" i="18"/>
  <c r="AJ360" i="18"/>
  <c r="AJ357" i="18" s="1"/>
  <c r="AK357" i="18" s="1"/>
  <c r="AG371" i="18"/>
  <c r="B371" i="18"/>
  <c r="AR371" i="18" s="1"/>
  <c r="M371" i="18"/>
  <c r="AI371" i="18"/>
  <c r="AJ370" i="18"/>
  <c r="AG370" i="18"/>
  <c r="AE370" i="18"/>
  <c r="AE369" i="18" s="1"/>
  <c r="AR370" i="18"/>
  <c r="AI370" i="18"/>
  <c r="M372" i="18"/>
  <c r="AJ372" i="18"/>
  <c r="AG372" i="18"/>
  <c r="B372" i="18"/>
  <c r="B369" i="18" s="1"/>
  <c r="AI372" i="18"/>
  <c r="AG327" i="18"/>
  <c r="AG324" i="18" s="1"/>
  <c r="AH324" i="18" s="1"/>
  <c r="AI355" i="18"/>
  <c r="M358" i="18"/>
  <c r="B358" i="18"/>
  <c r="AR358" i="18" s="1"/>
  <c r="AI327" i="18"/>
  <c r="AJ355" i="18"/>
  <c r="AE351" i="18"/>
  <c r="AE350" i="18" s="1"/>
  <c r="B353" i="18"/>
  <c r="AR353" i="18" s="1"/>
  <c r="B352" i="18"/>
  <c r="AR352" i="18" s="1"/>
  <c r="AI353" i="18"/>
  <c r="B351" i="18"/>
  <c r="AR351" i="18" s="1"/>
  <c r="AJ353" i="18"/>
  <c r="AG352" i="18"/>
  <c r="AJ351" i="18"/>
  <c r="AI351" i="18"/>
  <c r="M352" i="18"/>
  <c r="B326" i="18"/>
  <c r="AR326" i="18" s="1"/>
  <c r="AJ325" i="18"/>
  <c r="B325" i="18"/>
  <c r="AR325" i="18" s="1"/>
  <c r="M325" i="18"/>
  <c r="AR327" i="18"/>
  <c r="AR324" i="18" s="1"/>
  <c r="AG319" i="18"/>
  <c r="AE319" i="18"/>
  <c r="AE318" i="18" s="1"/>
  <c r="AI319" i="18"/>
  <c r="AJ319" i="18"/>
  <c r="M321" i="18"/>
  <c r="M318" i="18" s="1"/>
  <c r="AG321" i="18"/>
  <c r="AJ321" i="18"/>
  <c r="AI321" i="18"/>
  <c r="B321" i="18"/>
  <c r="B318" i="18" s="1"/>
  <c r="AG320" i="18"/>
  <c r="B320" i="18"/>
  <c r="AR320" i="18" s="1"/>
  <c r="M320" i="18"/>
  <c r="AI320" i="18"/>
  <c r="AG306" i="18"/>
  <c r="M306" i="18"/>
  <c r="B306" i="18"/>
  <c r="AR306" i="18" s="1"/>
  <c r="AI306" i="18"/>
  <c r="AG308" i="18"/>
  <c r="M308" i="18"/>
  <c r="B308" i="18"/>
  <c r="AJ308" i="18"/>
  <c r="AI308" i="18"/>
  <c r="AJ309" i="18"/>
  <c r="AG309" i="18"/>
  <c r="M309" i="18"/>
  <c r="M304" i="18" s="1"/>
  <c r="AI309" i="18"/>
  <c r="AI304" i="18" s="1"/>
  <c r="B309" i="18"/>
  <c r="M305" i="18"/>
  <c r="B305" i="18"/>
  <c r="AR305" i="18" s="1"/>
  <c r="AG305" i="18"/>
  <c r="AE305" i="18"/>
  <c r="AE304" i="18" s="1"/>
  <c r="AI305" i="18"/>
  <c r="AJ305" i="18"/>
  <c r="BA147" i="18"/>
  <c r="M146" i="18"/>
  <c r="B148" i="18"/>
  <c r="B153" i="18"/>
  <c r="AR153" i="18" s="1"/>
  <c r="BA210" i="18"/>
  <c r="B240" i="18"/>
  <c r="BA197" i="18"/>
  <c r="BA196" i="18"/>
  <c r="AJ195" i="18"/>
  <c r="BA192" i="18"/>
  <c r="M293" i="18"/>
  <c r="B293" i="18"/>
  <c r="AG156" i="18"/>
  <c r="AI144" i="18"/>
  <c r="BA148" i="18"/>
  <c r="AJ215" i="18"/>
  <c r="AJ180" i="18"/>
  <c r="AG178" i="18"/>
  <c r="BA185" i="18"/>
  <c r="AG177" i="18"/>
  <c r="AE205" i="18"/>
  <c r="BA203" i="18"/>
  <c r="AJ82" i="18"/>
  <c r="AJ77" i="18" s="1"/>
  <c r="AG81" i="18"/>
  <c r="BA193" i="18"/>
  <c r="AF231" i="18"/>
  <c r="AF230" i="18" s="1"/>
  <c r="BA23" i="18"/>
  <c r="AJ137" i="18"/>
  <c r="B27" i="18"/>
  <c r="AG49" i="18"/>
  <c r="BA26" i="18"/>
  <c r="AG25" i="18"/>
  <c r="M27" i="18"/>
  <c r="AJ220" i="18"/>
  <c r="BA179" i="18"/>
  <c r="B204" i="18"/>
  <c r="M213" i="18"/>
  <c r="AG212" i="18"/>
  <c r="BA198" i="18"/>
  <c r="BA83" i="18"/>
  <c r="BA191" i="18"/>
  <c r="AJ194" i="18"/>
  <c r="AI46" i="18"/>
  <c r="AF48" i="18"/>
  <c r="AJ243" i="18"/>
  <c r="AJ239" i="18" s="1"/>
  <c r="BA186" i="18"/>
  <c r="BA181" i="18"/>
  <c r="AG154" i="18"/>
  <c r="AI148" i="18"/>
  <c r="AJ136" i="18"/>
  <c r="BA184" i="18"/>
  <c r="AI235" i="18"/>
  <c r="AI209" i="18"/>
  <c r="M61" i="18"/>
  <c r="M444" i="18"/>
  <c r="BA176" i="18"/>
  <c r="B214" i="18"/>
  <c r="AR214" i="18" s="1"/>
  <c r="BA202" i="18"/>
  <c r="BA47" i="18"/>
  <c r="BA24" i="18"/>
  <c r="AG145" i="18"/>
  <c r="AG89" i="18"/>
  <c r="AG153" i="18"/>
  <c r="AI403" i="18" l="1"/>
  <c r="AI324" i="18"/>
  <c r="AJ403" i="18"/>
  <c r="AK403" i="18" s="1"/>
  <c r="AJ344" i="18"/>
  <c r="AK344" i="18" s="1"/>
  <c r="AL357" i="18"/>
  <c r="AN357" i="18" s="1"/>
  <c r="B304" i="18"/>
  <c r="M375" i="18"/>
  <c r="AH409" i="18"/>
  <c r="B420" i="18"/>
  <c r="AI369" i="18"/>
  <c r="AJ350" i="18"/>
  <c r="AK350" i="18" s="1"/>
  <c r="B350" i="18"/>
  <c r="AK77" i="18"/>
  <c r="AG304" i="18"/>
  <c r="AI318" i="18"/>
  <c r="B344" i="18"/>
  <c r="AG350" i="18"/>
  <c r="B357" i="18"/>
  <c r="AM357" i="18" s="1"/>
  <c r="B386" i="18"/>
  <c r="AH304" i="18"/>
  <c r="AJ304" i="18"/>
  <c r="AK304" i="18" s="1"/>
  <c r="AJ318" i="18"/>
  <c r="AK318" i="18" s="1"/>
  <c r="AI344" i="18"/>
  <c r="AJ386" i="18"/>
  <c r="AK386" i="18" s="1"/>
  <c r="AJ324" i="18"/>
  <c r="AK324" i="18" s="1"/>
  <c r="AL324" i="18" s="1"/>
  <c r="AN324" i="18" s="1"/>
  <c r="AO324" i="18" s="1"/>
  <c r="AK239" i="18"/>
  <c r="AG318" i="18"/>
  <c r="AH318" i="18" s="1"/>
  <c r="B375" i="18"/>
  <c r="M369" i="18"/>
  <c r="AI386" i="18"/>
  <c r="AH420" i="18"/>
  <c r="AI350" i="18"/>
  <c r="AI375" i="18"/>
  <c r="M350" i="18"/>
  <c r="M324" i="18"/>
  <c r="AG369" i="18"/>
  <c r="AG386" i="18"/>
  <c r="AH386" i="18" s="1"/>
  <c r="AL386" i="18" s="1"/>
  <c r="AN386" i="18" s="1"/>
  <c r="AO386" i="18" s="1"/>
  <c r="AP409" i="18"/>
  <c r="AH416" i="18"/>
  <c r="AH369" i="18"/>
  <c r="AH375" i="18"/>
  <c r="AJ369" i="18"/>
  <c r="AG403" i="18"/>
  <c r="AK409" i="18"/>
  <c r="AI420" i="18"/>
  <c r="AI416" i="18" s="1"/>
  <c r="B324" i="18"/>
  <c r="AP324" i="18" s="1"/>
  <c r="BA403" i="18"/>
  <c r="AR424" i="18"/>
  <c r="AR420" i="18" s="1"/>
  <c r="AR355" i="18"/>
  <c r="AR350" i="18" s="1"/>
  <c r="AP350" i="18" s="1"/>
  <c r="AR406" i="18"/>
  <c r="AR403" i="18" s="1"/>
  <c r="AP403" i="18" s="1"/>
  <c r="BA324" i="18"/>
  <c r="BA391" i="18"/>
  <c r="BA350" i="18"/>
  <c r="BA344" i="18"/>
  <c r="AR389" i="18"/>
  <c r="AR386" i="18" s="1"/>
  <c r="AR347" i="18"/>
  <c r="AR344" i="18" s="1"/>
  <c r="AP344" i="18" s="1"/>
  <c r="AR360" i="18"/>
  <c r="AR357" i="18" s="1"/>
  <c r="AP357" i="18" s="1"/>
  <c r="AR377" i="18"/>
  <c r="AR375" i="18" s="1"/>
  <c r="AR372" i="18"/>
  <c r="AR369" i="18" s="1"/>
  <c r="AP369" i="18" s="1"/>
  <c r="AR321" i="18"/>
  <c r="AR318" i="18" s="1"/>
  <c r="AP318" i="18" s="1"/>
  <c r="AR309" i="18"/>
  <c r="AR304" i="18" s="1"/>
  <c r="AP304" i="18" s="1"/>
  <c r="AR308" i="18"/>
  <c r="AJ153" i="18"/>
  <c r="AI153" i="18"/>
  <c r="AI27" i="18"/>
  <c r="AR27" i="18"/>
  <c r="AI40" i="18"/>
  <c r="B40" i="18"/>
  <c r="AJ213" i="18"/>
  <c r="AJ235" i="18"/>
  <c r="M240" i="18"/>
  <c r="B262" i="18"/>
  <c r="AG262" i="18"/>
  <c r="BA262" i="18"/>
  <c r="BA258" i="18" s="1"/>
  <c r="M262" i="18"/>
  <c r="M258" i="18" s="1"/>
  <c r="AI262" i="18"/>
  <c r="AG259" i="18"/>
  <c r="AE259" i="18"/>
  <c r="AE258" i="18" s="1"/>
  <c r="M259" i="18"/>
  <c r="B259" i="18"/>
  <c r="AR259" i="18" s="1"/>
  <c r="AI259" i="18"/>
  <c r="AG235" i="18"/>
  <c r="AG240" i="18"/>
  <c r="AE240" i="18"/>
  <c r="AE239" i="18" s="1"/>
  <c r="AH239" i="18" s="1"/>
  <c r="AI240" i="18"/>
  <c r="AR240" i="18"/>
  <c r="M216" i="18"/>
  <c r="BA243" i="18"/>
  <c r="M243" i="18"/>
  <c r="M239" i="18" s="1"/>
  <c r="B243" i="18"/>
  <c r="B239" i="18" s="1"/>
  <c r="AG243" i="18"/>
  <c r="AG239" i="18" s="1"/>
  <c r="AI243" i="18"/>
  <c r="M221" i="18"/>
  <c r="AG221" i="18"/>
  <c r="M235" i="18"/>
  <c r="B235" i="18"/>
  <c r="AG216" i="18"/>
  <c r="AJ233" i="18"/>
  <c r="AG210" i="18"/>
  <c r="BA221" i="18"/>
  <c r="AI216" i="18"/>
  <c r="BA216" i="18"/>
  <c r="B215" i="18"/>
  <c r="AR215" i="18" s="1"/>
  <c r="B231" i="18"/>
  <c r="AR231" i="18" s="1"/>
  <c r="M231" i="18"/>
  <c r="B232" i="18"/>
  <c r="AR232" i="18" s="1"/>
  <c r="BA232" i="18"/>
  <c r="M232" i="18"/>
  <c r="AG232" i="18"/>
  <c r="AI232" i="18"/>
  <c r="AJ231" i="18"/>
  <c r="AG231" i="18"/>
  <c r="AE231" i="18"/>
  <c r="AE230" i="18" s="1"/>
  <c r="AI231" i="18"/>
  <c r="AG233" i="18"/>
  <c r="M233" i="18"/>
  <c r="BA233" i="18"/>
  <c r="B233" i="18"/>
  <c r="AR233" i="18" s="1"/>
  <c r="AI233" i="18"/>
  <c r="BA234" i="18"/>
  <c r="AG234" i="18"/>
  <c r="M234" i="18"/>
  <c r="AJ234" i="18"/>
  <c r="B234" i="18"/>
  <c r="AI234" i="18"/>
  <c r="AI230" i="18" s="1"/>
  <c r="B221" i="18"/>
  <c r="AJ221" i="18"/>
  <c r="AJ218" i="18" s="1"/>
  <c r="AK218" i="18" s="1"/>
  <c r="AI221" i="18"/>
  <c r="AG209" i="18"/>
  <c r="BA212" i="18"/>
  <c r="BA209" i="18"/>
  <c r="AJ212" i="18"/>
  <c r="AI212" i="18"/>
  <c r="B216" i="18"/>
  <c r="M212" i="18"/>
  <c r="AF219" i="18"/>
  <c r="AF218" i="18" s="1"/>
  <c r="AF163" i="18" s="1"/>
  <c r="B219" i="18"/>
  <c r="AR219" i="18" s="1"/>
  <c r="AI219" i="18"/>
  <c r="AG219" i="18"/>
  <c r="AE219" i="18"/>
  <c r="AE218" i="18" s="1"/>
  <c r="M219" i="18"/>
  <c r="AJ216" i="18"/>
  <c r="B211" i="18"/>
  <c r="AR211" i="18" s="1"/>
  <c r="AJ211" i="18"/>
  <c r="AI211" i="18"/>
  <c r="BA211" i="18"/>
  <c r="M211" i="18"/>
  <c r="AG211" i="18"/>
  <c r="AI220" i="18"/>
  <c r="AG220" i="18"/>
  <c r="BA220" i="18"/>
  <c r="B220" i="18"/>
  <c r="M220" i="18"/>
  <c r="B212" i="18"/>
  <c r="AR212" i="18" s="1"/>
  <c r="AI210" i="18"/>
  <c r="M210" i="18"/>
  <c r="B210" i="18"/>
  <c r="AG213" i="18"/>
  <c r="M209" i="18"/>
  <c r="AG208" i="18"/>
  <c r="AJ208" i="18"/>
  <c r="M214" i="18"/>
  <c r="AI214" i="18"/>
  <c r="AJ214" i="18"/>
  <c r="B213" i="18"/>
  <c r="AR213" i="18" s="1"/>
  <c r="BA214" i="18"/>
  <c r="AI208" i="18"/>
  <c r="B209" i="18"/>
  <c r="AR209" i="18" s="1"/>
  <c r="AG214" i="18"/>
  <c r="AI215" i="18"/>
  <c r="AI213" i="18"/>
  <c r="AE208" i="18"/>
  <c r="AE207" i="18" s="1"/>
  <c r="AF205" i="18"/>
  <c r="AF200" i="18" s="1"/>
  <c r="M215" i="18"/>
  <c r="AF208" i="18"/>
  <c r="AF207" i="18" s="1"/>
  <c r="BA215" i="18"/>
  <c r="BA213" i="18"/>
  <c r="AG215" i="18"/>
  <c r="M208" i="18"/>
  <c r="B208" i="18"/>
  <c r="AR208" i="18" s="1"/>
  <c r="BA200" i="18"/>
  <c r="B201" i="18"/>
  <c r="AG205" i="18"/>
  <c r="M201" i="18"/>
  <c r="AI205" i="18"/>
  <c r="B205" i="18"/>
  <c r="M205" i="18"/>
  <c r="M204" i="18"/>
  <c r="M192" i="18"/>
  <c r="B192" i="18"/>
  <c r="AR192" i="18" s="1"/>
  <c r="B191" i="18"/>
  <c r="M147" i="18"/>
  <c r="B144" i="18"/>
  <c r="AR144" i="18" s="1"/>
  <c r="AJ185" i="18"/>
  <c r="BA194" i="18"/>
  <c r="B175" i="18"/>
  <c r="AR175" i="18" s="1"/>
  <c r="AJ196" i="18"/>
  <c r="B185" i="18"/>
  <c r="AR185" i="18" s="1"/>
  <c r="B177" i="18"/>
  <c r="BA177" i="18"/>
  <c r="AI198" i="18"/>
  <c r="BA180" i="18"/>
  <c r="AJ190" i="18"/>
  <c r="M186" i="18"/>
  <c r="BA195" i="18"/>
  <c r="BA178" i="18"/>
  <c r="AG185" i="18"/>
  <c r="B198" i="18"/>
  <c r="M177" i="18"/>
  <c r="AI177" i="18"/>
  <c r="AJ181" i="18"/>
  <c r="AI185" i="18"/>
  <c r="AJ193" i="18"/>
  <c r="AJ175" i="18"/>
  <c r="M175" i="18"/>
  <c r="AE175" i="18"/>
  <c r="AE174" i="18" s="1"/>
  <c r="AI175" i="18"/>
  <c r="M198" i="18"/>
  <c r="AG198" i="18"/>
  <c r="M176" i="18"/>
  <c r="AI176" i="18"/>
  <c r="AI181" i="18"/>
  <c r="M181" i="18"/>
  <c r="AI186" i="18"/>
  <c r="B186" i="18"/>
  <c r="AI180" i="18"/>
  <c r="AG180" i="18"/>
  <c r="AG186" i="18"/>
  <c r="B181" i="18"/>
  <c r="AG181" i="18"/>
  <c r="AG184" i="18"/>
  <c r="AJ148" i="18"/>
  <c r="B154" i="18"/>
  <c r="M185" i="18"/>
  <c r="AF178" i="18"/>
  <c r="AF174" i="18" s="1"/>
  <c r="AJ178" i="18"/>
  <c r="B178" i="18"/>
  <c r="AR178" i="18" s="1"/>
  <c r="M178" i="18"/>
  <c r="AI178" i="18"/>
  <c r="AJ184" i="18"/>
  <c r="B180" i="18"/>
  <c r="AR180" i="18" s="1"/>
  <c r="AF175" i="18"/>
  <c r="AG175" i="18"/>
  <c r="B184" i="18"/>
  <c r="AR184" i="18" s="1"/>
  <c r="AJ179" i="18"/>
  <c r="M179" i="18"/>
  <c r="AG179" i="18"/>
  <c r="B179" i="18"/>
  <c r="AR179" i="18" s="1"/>
  <c r="AI179" i="18"/>
  <c r="AI184" i="18"/>
  <c r="M180" i="18"/>
  <c r="AG176" i="18"/>
  <c r="M184" i="18"/>
  <c r="B176" i="18"/>
  <c r="M148" i="18"/>
  <c r="AG192" i="18"/>
  <c r="B145" i="18"/>
  <c r="AR145" i="18" s="1"/>
  <c r="AI192" i="18"/>
  <c r="AI190" i="18"/>
  <c r="AI197" i="18"/>
  <c r="AG197" i="18"/>
  <c r="AJ197" i="18"/>
  <c r="AJ189" i="18" s="1"/>
  <c r="AK189" i="18" s="1"/>
  <c r="M190" i="18"/>
  <c r="AG190" i="18"/>
  <c r="B197" i="18"/>
  <c r="M197" i="18"/>
  <c r="M156" i="18"/>
  <c r="BA146" i="18"/>
  <c r="AI146" i="18"/>
  <c r="B146" i="18"/>
  <c r="AR146" i="18" s="1"/>
  <c r="B193" i="18"/>
  <c r="AR193" i="18" s="1"/>
  <c r="M196" i="18"/>
  <c r="B196" i="18"/>
  <c r="AG196" i="18"/>
  <c r="AI196" i="18"/>
  <c r="AJ144" i="18"/>
  <c r="AG193" i="18"/>
  <c r="AI154" i="18"/>
  <c r="AG147" i="18"/>
  <c r="AJ156" i="18"/>
  <c r="AJ152" i="18" s="1"/>
  <c r="AG191" i="18"/>
  <c r="M191" i="18"/>
  <c r="M195" i="18"/>
  <c r="AG195" i="18"/>
  <c r="B195" i="18"/>
  <c r="AI195" i="18"/>
  <c r="M193" i="18"/>
  <c r="AI193" i="18"/>
  <c r="B194" i="18"/>
  <c r="AR194" i="18" s="1"/>
  <c r="M194" i="18"/>
  <c r="AI194" i="18"/>
  <c r="AG194" i="18"/>
  <c r="AF190" i="18"/>
  <c r="AF189" i="18" s="1"/>
  <c r="AE190" i="18"/>
  <c r="AE189" i="18" s="1"/>
  <c r="AI191" i="18"/>
  <c r="B190" i="18"/>
  <c r="AR190" i="18" s="1"/>
  <c r="AI444" i="18"/>
  <c r="M48" i="18"/>
  <c r="M144" i="18"/>
  <c r="AG148" i="18"/>
  <c r="AG143" i="18" s="1"/>
  <c r="AG144" i="18"/>
  <c r="AI147" i="18"/>
  <c r="M149" i="18"/>
  <c r="AE149" i="18"/>
  <c r="AE143" i="18" s="1"/>
  <c r="BA149" i="18"/>
  <c r="AI145" i="18"/>
  <c r="B147" i="18"/>
  <c r="AR147" i="18" s="1"/>
  <c r="AJ146" i="18"/>
  <c r="M145" i="18"/>
  <c r="BA145" i="18"/>
  <c r="AG146" i="18"/>
  <c r="B149" i="18"/>
  <c r="AI149" i="18"/>
  <c r="B47" i="18"/>
  <c r="AR47" i="18" s="1"/>
  <c r="AR148" i="18"/>
  <c r="BA137" i="18"/>
  <c r="M137" i="18"/>
  <c r="AI156" i="18"/>
  <c r="B156" i="18"/>
  <c r="M155" i="18"/>
  <c r="BA155" i="18"/>
  <c r="BA156" i="18"/>
  <c r="M153" i="18"/>
  <c r="M134" i="18"/>
  <c r="M154" i="18"/>
  <c r="BA154" i="18"/>
  <c r="BA136" i="18"/>
  <c r="M136" i="18"/>
  <c r="AG155" i="18"/>
  <c r="AG152" i="18" s="1"/>
  <c r="AJ49" i="18"/>
  <c r="AI155" i="18"/>
  <c r="B155" i="18"/>
  <c r="AR155" i="18" s="1"/>
  <c r="AG83" i="18"/>
  <c r="B83" i="18"/>
  <c r="AR83" i="18" s="1"/>
  <c r="AI52" i="18"/>
  <c r="AG52" i="18"/>
  <c r="BA49" i="18"/>
  <c r="AF51" i="18"/>
  <c r="BA52" i="18"/>
  <c r="AJ62" i="18"/>
  <c r="AG48" i="18"/>
  <c r="M83" i="18"/>
  <c r="M60" i="18"/>
  <c r="AI83" i="18"/>
  <c r="AF83" i="18"/>
  <c r="AI45" i="18"/>
  <c r="M45" i="18"/>
  <c r="M46" i="18"/>
  <c r="AF46" i="18"/>
  <c r="AI49" i="18"/>
  <c r="BA51" i="18"/>
  <c r="B61" i="18"/>
  <c r="AR61" i="18" s="1"/>
  <c r="M82" i="18"/>
  <c r="AF82" i="18"/>
  <c r="B60" i="18"/>
  <c r="AR60" i="18" s="1"/>
  <c r="AJ63" i="18"/>
  <c r="AG63" i="18"/>
  <c r="BA63" i="18"/>
  <c r="AF63" i="18"/>
  <c r="M63" i="18"/>
  <c r="B63" i="18"/>
  <c r="AR63" i="18" s="1"/>
  <c r="AI63" i="18"/>
  <c r="AG45" i="18"/>
  <c r="AI65" i="18"/>
  <c r="AG65" i="18"/>
  <c r="BA65" i="18"/>
  <c r="M65" i="18"/>
  <c r="B65" i="18"/>
  <c r="AR65" i="18" s="1"/>
  <c r="AI61" i="18"/>
  <c r="M47" i="18"/>
  <c r="AG62" i="18"/>
  <c r="BA62" i="18"/>
  <c r="M62" i="18"/>
  <c r="AI62" i="18"/>
  <c r="B62" i="18"/>
  <c r="AR62" i="18" s="1"/>
  <c r="AG68" i="18"/>
  <c r="BA68" i="18"/>
  <c r="M68" i="18"/>
  <c r="AJ68" i="18"/>
  <c r="B68" i="18"/>
  <c r="AR68" i="18" s="1"/>
  <c r="AI68" i="18"/>
  <c r="AI26" i="18"/>
  <c r="AF47" i="18"/>
  <c r="AG64" i="18"/>
  <c r="BA64" i="18"/>
  <c r="AF64" i="18"/>
  <c r="AF59" i="18" s="1"/>
  <c r="M64" i="18"/>
  <c r="B64" i="18"/>
  <c r="AR64" i="18" s="1"/>
  <c r="AJ64" i="18"/>
  <c r="AI64" i="18"/>
  <c r="B69" i="18"/>
  <c r="AR69" i="18" s="1"/>
  <c r="AG69" i="18"/>
  <c r="BA69" i="18"/>
  <c r="M69" i="18"/>
  <c r="AI69" i="18"/>
  <c r="B45" i="18"/>
  <c r="AR45" i="18" s="1"/>
  <c r="AI60" i="18"/>
  <c r="BA73" i="18"/>
  <c r="M73" i="18"/>
  <c r="B73" i="18"/>
  <c r="AG73" i="18"/>
  <c r="AG59" i="18" s="1"/>
  <c r="AI73" i="18"/>
  <c r="AF85" i="18"/>
  <c r="AF77" i="18" s="1"/>
  <c r="AI51" i="18"/>
  <c r="B48" i="18"/>
  <c r="AR48" i="18" s="1"/>
  <c r="AF52" i="18"/>
  <c r="AG46" i="18"/>
  <c r="BA48" i="18"/>
  <c r="M52" i="18"/>
  <c r="B49" i="18"/>
  <c r="AR49" i="18" s="1"/>
  <c r="AF45" i="18"/>
  <c r="B46" i="18"/>
  <c r="AR46" i="18" s="1"/>
  <c r="AI48" i="18"/>
  <c r="B52" i="18"/>
  <c r="AG47" i="18"/>
  <c r="AJ52" i="18"/>
  <c r="AJ44" i="18" s="1"/>
  <c r="AK44" i="18" s="1"/>
  <c r="B51" i="18"/>
  <c r="AR51" i="18" s="1"/>
  <c r="M51" i="18"/>
  <c r="AG51" i="18"/>
  <c r="M49" i="18"/>
  <c r="AI47" i="18"/>
  <c r="BA89" i="18"/>
  <c r="AI89" i="18"/>
  <c r="AI85" i="18"/>
  <c r="AR89" i="18"/>
  <c r="AG85" i="18"/>
  <c r="AG77" i="18" s="1"/>
  <c r="BA85" i="18"/>
  <c r="B85" i="18"/>
  <c r="B77" i="18" s="1"/>
  <c r="M85" i="18"/>
  <c r="AE89" i="18"/>
  <c r="AE77" i="18" s="1"/>
  <c r="BA25" i="18"/>
  <c r="BA21" i="18" s="1"/>
  <c r="AG79" i="18"/>
  <c r="AI81" i="18"/>
  <c r="B81" i="18"/>
  <c r="AR81" i="18" s="1"/>
  <c r="M81" i="18"/>
  <c r="BA81" i="18"/>
  <c r="B79" i="18"/>
  <c r="B444" i="18"/>
  <c r="AI82" i="18"/>
  <c r="AG444" i="18"/>
  <c r="B82" i="18"/>
  <c r="AR82" i="18" s="1"/>
  <c r="BA444" i="18"/>
  <c r="AG82" i="18"/>
  <c r="AI79" i="18"/>
  <c r="BA82" i="18"/>
  <c r="M79" i="18"/>
  <c r="BA445" i="18"/>
  <c r="AJ445" i="18"/>
  <c r="AJ443" i="18" s="1"/>
  <c r="M23" i="18"/>
  <c r="B445" i="18"/>
  <c r="M445" i="18"/>
  <c r="M443" i="18" s="1"/>
  <c r="M428" i="18" s="1"/>
  <c r="AE445" i="18"/>
  <c r="AE443" i="18" s="1"/>
  <c r="AI445" i="18"/>
  <c r="AI443" i="18" s="1"/>
  <c r="AI428" i="18" s="1"/>
  <c r="AG445" i="18"/>
  <c r="AF23" i="18"/>
  <c r="M22" i="18"/>
  <c r="M24" i="18"/>
  <c r="AJ26" i="18"/>
  <c r="AJ21" i="18" s="1"/>
  <c r="AK21" i="18" s="1"/>
  <c r="M25" i="18"/>
  <c r="AL318" i="18" l="1"/>
  <c r="AI239" i="18"/>
  <c r="AI258" i="18"/>
  <c r="AI143" i="18"/>
  <c r="AL344" i="18"/>
  <c r="AN344" i="18" s="1"/>
  <c r="AO344" i="18" s="1"/>
  <c r="AN318" i="18"/>
  <c r="AO318" i="18" s="1"/>
  <c r="AM318" i="18"/>
  <c r="AH152" i="18"/>
  <c r="M44" i="18"/>
  <c r="M77" i="18"/>
  <c r="AI207" i="18"/>
  <c r="M218" i="18"/>
  <c r="AM386" i="18"/>
  <c r="AH403" i="18"/>
  <c r="AL403" i="18" s="1"/>
  <c r="AG174" i="18"/>
  <c r="M174" i="18"/>
  <c r="AL239" i="18"/>
  <c r="AN239" i="18" s="1"/>
  <c r="AO239" i="18" s="1"/>
  <c r="AJ59" i="18"/>
  <c r="M152" i="18"/>
  <c r="AG189" i="18"/>
  <c r="AL416" i="18"/>
  <c r="AN416" i="18" s="1"/>
  <c r="B443" i="18"/>
  <c r="AI59" i="18"/>
  <c r="AH59" i="18"/>
  <c r="M189" i="18"/>
  <c r="AJ174" i="18"/>
  <c r="AK174" i="18" s="1"/>
  <c r="AG230" i="18"/>
  <c r="AP375" i="18"/>
  <c r="AH350" i="18"/>
  <c r="AL350" i="18" s="1"/>
  <c r="AN350" i="18" s="1"/>
  <c r="AO350" i="18" s="1"/>
  <c r="AO357" i="18"/>
  <c r="AE428" i="18"/>
  <c r="B174" i="18"/>
  <c r="AI189" i="18"/>
  <c r="AH230" i="18"/>
  <c r="AG207" i="18"/>
  <c r="AH207" i="18" s="1"/>
  <c r="AG258" i="18"/>
  <c r="AK369" i="18"/>
  <c r="AM344" i="18"/>
  <c r="AM350" i="18"/>
  <c r="AK443" i="18"/>
  <c r="AJ428" i="18"/>
  <c r="AG44" i="18"/>
  <c r="B143" i="18"/>
  <c r="AE129" i="18"/>
  <c r="AH143" i="18"/>
  <c r="AK152" i="18"/>
  <c r="AJ143" i="18"/>
  <c r="AK143" i="18" s="1"/>
  <c r="AI174" i="18"/>
  <c r="AH174" i="18"/>
  <c r="B189" i="18"/>
  <c r="AI218" i="18"/>
  <c r="B230" i="18"/>
  <c r="B258" i="18"/>
  <c r="AR416" i="18"/>
  <c r="AP416" i="18" s="1"/>
  <c r="AP420" i="18"/>
  <c r="AL375" i="18"/>
  <c r="AN375" i="18" s="1"/>
  <c r="AO375" i="18" s="1"/>
  <c r="AL420" i="18"/>
  <c r="AN420" i="18" s="1"/>
  <c r="AO420" i="18" s="1"/>
  <c r="AL304" i="18"/>
  <c r="AN304" i="18" s="1"/>
  <c r="AO304" i="18" s="1"/>
  <c r="B416" i="18"/>
  <c r="AM420" i="18"/>
  <c r="B59" i="18"/>
  <c r="AI77" i="18"/>
  <c r="M59" i="18"/>
  <c r="AI44" i="18"/>
  <c r="B152" i="18"/>
  <c r="M143" i="18"/>
  <c r="M230" i="18"/>
  <c r="M207" i="18"/>
  <c r="AP386" i="18"/>
  <c r="AL409" i="18"/>
  <c r="AG443" i="18"/>
  <c r="AG428" i="18" s="1"/>
  <c r="AE16" i="18"/>
  <c r="AH77" i="18"/>
  <c r="B44" i="18"/>
  <c r="AF44" i="18"/>
  <c r="AH44" i="18" s="1"/>
  <c r="AI152" i="18"/>
  <c r="AH189" i="18"/>
  <c r="AJ207" i="18"/>
  <c r="AK207" i="18" s="1"/>
  <c r="B207" i="18"/>
  <c r="B218" i="18"/>
  <c r="AG218" i="18"/>
  <c r="AH218" i="18" s="1"/>
  <c r="AL218" i="18" s="1"/>
  <c r="AN218" i="18" s="1"/>
  <c r="AO218" i="18" s="1"/>
  <c r="AH258" i="18"/>
  <c r="AL258" i="18" s="1"/>
  <c r="AN258" i="18" s="1"/>
  <c r="AO258" i="18" s="1"/>
  <c r="AJ230" i="18"/>
  <c r="AM324" i="18"/>
  <c r="AL369" i="18"/>
  <c r="C432" i="18"/>
  <c r="AR444" i="18"/>
  <c r="B417" i="18"/>
  <c r="BA428" i="18"/>
  <c r="BA427" i="18" s="1"/>
  <c r="C451" i="18"/>
  <c r="C447" i="18"/>
  <c r="BA44" i="18"/>
  <c r="BA77" i="18"/>
  <c r="BA59" i="18"/>
  <c r="AR262" i="18"/>
  <c r="AR258" i="18" s="1"/>
  <c r="AR181" i="18"/>
  <c r="AR85" i="18"/>
  <c r="AR77" i="18" s="1"/>
  <c r="AP77" i="18" s="1"/>
  <c r="AR52" i="18"/>
  <c r="AR44" i="18" s="1"/>
  <c r="AP44" i="18" s="1"/>
  <c r="BA443" i="18"/>
  <c r="A420" i="18"/>
  <c r="BA416" i="18"/>
  <c r="BA379" i="18"/>
  <c r="BA378" i="18" s="1"/>
  <c r="A409" i="18"/>
  <c r="A403" i="18"/>
  <c r="A386" i="18"/>
  <c r="BA270" i="18"/>
  <c r="BA269" i="18" s="1"/>
  <c r="A357" i="18"/>
  <c r="A344" i="18"/>
  <c r="A375" i="18"/>
  <c r="A369" i="18"/>
  <c r="A350" i="18"/>
  <c r="A324" i="18"/>
  <c r="A304" i="18"/>
  <c r="A318" i="18"/>
  <c r="M40" i="18"/>
  <c r="AF40" i="18"/>
  <c r="AF38" i="18" s="1"/>
  <c r="AG40" i="18"/>
  <c r="AG38" i="18" s="1"/>
  <c r="BA40" i="18"/>
  <c r="B39" i="18"/>
  <c r="AR39" i="18" s="1"/>
  <c r="M39" i="18"/>
  <c r="AG39" i="18"/>
  <c r="AI39" i="18"/>
  <c r="AI38" i="18" s="1"/>
  <c r="AI21" i="18" s="1"/>
  <c r="BA239" i="18"/>
  <c r="BA207" i="18"/>
  <c r="BA218" i="18"/>
  <c r="AR243" i="18"/>
  <c r="AR239" i="18" s="1"/>
  <c r="AP239" i="18" s="1"/>
  <c r="AR235" i="18"/>
  <c r="BA230" i="18"/>
  <c r="AR234" i="18"/>
  <c r="AR216" i="18"/>
  <c r="AR221" i="18"/>
  <c r="AR220" i="18"/>
  <c r="AR205" i="18"/>
  <c r="BA189" i="18"/>
  <c r="AR198" i="18"/>
  <c r="BA174" i="18"/>
  <c r="AR186" i="18"/>
  <c r="AR197" i="18"/>
  <c r="BA143" i="18"/>
  <c r="AR196" i="18"/>
  <c r="AR195" i="18"/>
  <c r="AR156" i="18"/>
  <c r="AR149" i="18"/>
  <c r="AR143" i="18" s="1"/>
  <c r="AP143" i="18" s="1"/>
  <c r="BA152" i="18"/>
  <c r="AR79" i="18"/>
  <c r="AR73" i="18"/>
  <c r="AR445" i="18"/>
  <c r="AR443" i="18" s="1"/>
  <c r="AG24" i="18"/>
  <c r="AI24" i="18"/>
  <c r="B24" i="18"/>
  <c r="AR24" i="18" s="1"/>
  <c r="AI25" i="18"/>
  <c r="B25" i="18"/>
  <c r="AG22" i="18"/>
  <c r="AI22" i="18"/>
  <c r="B22" i="18"/>
  <c r="AG23" i="18"/>
  <c r="AI23" i="18"/>
  <c r="B23" i="18"/>
  <c r="M26" i="18"/>
  <c r="B26" i="18"/>
  <c r="AG26" i="18"/>
  <c r="C8" i="19"/>
  <c r="AQ395" i="18"/>
  <c r="AP395" i="18"/>
  <c r="A395" i="18"/>
  <c r="AL395" i="18" s="1"/>
  <c r="AQ394" i="18"/>
  <c r="AP394" i="18"/>
  <c r="A394" i="18"/>
  <c r="AL394" i="18" s="1"/>
  <c r="AQ393" i="18"/>
  <c r="AP393" i="18"/>
  <c r="A393" i="18"/>
  <c r="AL393" i="18" s="1"/>
  <c r="AQ392" i="18"/>
  <c r="AP392" i="18"/>
  <c r="J391" i="18"/>
  <c r="G391" i="18"/>
  <c r="AX379" i="18"/>
  <c r="AT379" i="18"/>
  <c r="AS379" i="18"/>
  <c r="AQ295" i="18"/>
  <c r="AP295" i="18"/>
  <c r="A295" i="18"/>
  <c r="AL295" i="18" s="1"/>
  <c r="AQ294" i="18"/>
  <c r="AP294" i="18"/>
  <c r="A294" i="18"/>
  <c r="AL294" i="18" s="1"/>
  <c r="AQ293" i="18"/>
  <c r="AP293" i="18"/>
  <c r="J292" i="18"/>
  <c r="G292" i="18"/>
  <c r="AX270" i="18"/>
  <c r="AT270" i="18"/>
  <c r="AS270" i="18"/>
  <c r="AL189" i="18" l="1"/>
  <c r="AN189" i="18" s="1"/>
  <c r="AO189" i="18" s="1"/>
  <c r="AL207" i="18"/>
  <c r="AN207" i="18" s="1"/>
  <c r="AO207" i="18" s="1"/>
  <c r="AL44" i="18"/>
  <c r="AN44" i="18" s="1"/>
  <c r="AO44" i="18" s="1"/>
  <c r="AM416" i="18"/>
  <c r="AM239" i="18"/>
  <c r="AF21" i="18"/>
  <c r="AH38" i="18"/>
  <c r="AL38" i="18" s="1"/>
  <c r="AN38" i="18" s="1"/>
  <c r="AI16" i="18"/>
  <c r="B38" i="18"/>
  <c r="AP443" i="18"/>
  <c r="AR428" i="18"/>
  <c r="AR218" i="18"/>
  <c r="AP218" i="18" s="1"/>
  <c r="M38" i="18"/>
  <c r="M21" i="18" s="1"/>
  <c r="AK230" i="18"/>
  <c r="AL230" i="18" s="1"/>
  <c r="B428" i="18"/>
  <c r="AN403" i="18"/>
  <c r="AO403" i="18" s="1"/>
  <c r="AM403" i="18"/>
  <c r="AM258" i="18"/>
  <c r="AM304" i="18"/>
  <c r="AL152" i="18"/>
  <c r="AN152" i="18" s="1"/>
  <c r="AO152" i="18" s="1"/>
  <c r="AM44" i="18"/>
  <c r="AL143" i="18"/>
  <c r="AN143" i="18" s="1"/>
  <c r="AO143" i="18" s="1"/>
  <c r="AM375" i="18"/>
  <c r="AL77" i="18"/>
  <c r="AH443" i="18"/>
  <c r="AL443" i="18" s="1"/>
  <c r="AN443" i="18" s="1"/>
  <c r="AO443" i="18" s="1"/>
  <c r="AK59" i="18"/>
  <c r="AL59" i="18" s="1"/>
  <c r="AJ16" i="18"/>
  <c r="AK16" i="18" s="1"/>
  <c r="AR230" i="18"/>
  <c r="AP230" i="18" s="1"/>
  <c r="AP258" i="18"/>
  <c r="AM218" i="18"/>
  <c r="AM189" i="18"/>
  <c r="AM143" i="18"/>
  <c r="AH428" i="18"/>
  <c r="AF16" i="18"/>
  <c r="AF11" i="18" s="1"/>
  <c r="AF7" i="18" s="1"/>
  <c r="M16" i="18"/>
  <c r="AM207" i="18"/>
  <c r="AL174" i="18"/>
  <c r="AN174" i="18" s="1"/>
  <c r="AO174" i="18" s="1"/>
  <c r="AO416" i="18"/>
  <c r="AG21" i="18"/>
  <c r="AG16" i="18" s="1"/>
  <c r="AH16" i="18" s="1"/>
  <c r="AL16" i="18" s="1"/>
  <c r="AN16" i="18" s="1"/>
  <c r="AN369" i="18"/>
  <c r="AO369" i="18" s="1"/>
  <c r="AM369" i="18"/>
  <c r="AN409" i="18"/>
  <c r="AO409" i="18" s="1"/>
  <c r="AM409" i="18"/>
  <c r="AK428" i="18"/>
  <c r="E9" i="19"/>
  <c r="BA16" i="18"/>
  <c r="BA163" i="18"/>
  <c r="BA162" i="18" s="1"/>
  <c r="BA38" i="18"/>
  <c r="A258" i="18"/>
  <c r="A239" i="18"/>
  <c r="A207" i="18"/>
  <c r="A189" i="18"/>
  <c r="A174" i="18"/>
  <c r="C152" i="18"/>
  <c r="C143" i="18"/>
  <c r="A143" i="18"/>
  <c r="A152" i="18"/>
  <c r="A44" i="18"/>
  <c r="C44" i="18"/>
  <c r="A77" i="18"/>
  <c r="C77" i="18"/>
  <c r="C443" i="18"/>
  <c r="A443" i="18"/>
  <c r="AR26" i="18"/>
  <c r="AN230" i="18" l="1"/>
  <c r="AO230" i="18" s="1"/>
  <c r="AM230" i="18"/>
  <c r="AM152" i="18"/>
  <c r="AN59" i="18"/>
  <c r="AO59" i="18" s="1"/>
  <c r="AM59" i="18"/>
  <c r="AM174" i="18"/>
  <c r="B21" i="18"/>
  <c r="AM38" i="18"/>
  <c r="AO38" i="18"/>
  <c r="AH21" i="18"/>
  <c r="AL21" i="18" s="1"/>
  <c r="AN21" i="18" s="1"/>
  <c r="AO21" i="18" s="1"/>
  <c r="AL428" i="18"/>
  <c r="AN428" i="18" s="1"/>
  <c r="AO428" i="18" s="1"/>
  <c r="AM443" i="18"/>
  <c r="AP428" i="18"/>
  <c r="AN77" i="18"/>
  <c r="AO77" i="18" s="1"/>
  <c r="AM77" i="18"/>
  <c r="E10" i="19"/>
  <c r="A38" i="18"/>
  <c r="AM428" i="18" l="1"/>
  <c r="AM21" i="18"/>
  <c r="B16" i="18"/>
  <c r="L10" i="19"/>
  <c r="A59" i="18"/>
  <c r="C59" i="18"/>
  <c r="AJ293" i="18"/>
  <c r="AJ292" i="18" s="1"/>
  <c r="I20" i="31"/>
  <c r="P20" i="31" s="1"/>
  <c r="H20" i="31"/>
  <c r="O20" i="31" s="1"/>
  <c r="F20" i="31"/>
  <c r="G20" i="31" s="1"/>
  <c r="I19" i="31"/>
  <c r="P19" i="31" s="1"/>
  <c r="H19" i="31"/>
  <c r="O19" i="31" s="1"/>
  <c r="F19" i="31"/>
  <c r="G19" i="31" s="1"/>
  <c r="I18" i="31"/>
  <c r="P18" i="31" s="1"/>
  <c r="H18" i="31"/>
  <c r="O18" i="31" s="1"/>
  <c r="F18" i="31"/>
  <c r="G18" i="31" s="1"/>
  <c r="F12" i="31"/>
  <c r="G12" i="31" s="1"/>
  <c r="H12" i="31"/>
  <c r="O12" i="31" s="1"/>
  <c r="I12" i="31"/>
  <c r="P12" i="31" s="1"/>
  <c r="F13" i="31"/>
  <c r="G13" i="31" s="1"/>
  <c r="H13" i="31"/>
  <c r="O13" i="31" s="1"/>
  <c r="I13" i="31"/>
  <c r="P13" i="31" s="1"/>
  <c r="AK292" i="18" l="1"/>
  <c r="AJ270" i="18"/>
  <c r="AK270" i="18" s="1"/>
  <c r="AM16" i="18"/>
  <c r="AO16" i="18"/>
  <c r="E4" i="19"/>
  <c r="BB16" i="18"/>
  <c r="J13" i="31"/>
  <c r="K13" i="31" s="1"/>
  <c r="L13" i="31" s="1"/>
  <c r="AR392" i="18"/>
  <c r="AG394" i="18"/>
  <c r="M394" i="18"/>
  <c r="B394" i="18"/>
  <c r="AR394" i="18" s="1"/>
  <c r="AI394" i="18"/>
  <c r="AG393" i="18"/>
  <c r="M393" i="18"/>
  <c r="B393" i="18"/>
  <c r="AI393" i="18"/>
  <c r="M395" i="18"/>
  <c r="AG395" i="18"/>
  <c r="B395" i="18"/>
  <c r="AI395" i="18"/>
  <c r="AG392" i="18"/>
  <c r="AE392" i="18"/>
  <c r="AE391" i="18" s="1"/>
  <c r="AJ392" i="18"/>
  <c r="AJ391" i="18" s="1"/>
  <c r="AI392" i="18"/>
  <c r="J19" i="31"/>
  <c r="K19" i="31" s="1"/>
  <c r="L19" i="31" s="1"/>
  <c r="N19" i="31"/>
  <c r="N20" i="31"/>
  <c r="J20" i="31"/>
  <c r="K20" i="31" s="1"/>
  <c r="L20" i="31" s="1"/>
  <c r="N18" i="31"/>
  <c r="J18" i="31"/>
  <c r="K18" i="31" s="1"/>
  <c r="L18" i="31" s="1"/>
  <c r="N12" i="31"/>
  <c r="J12" i="31"/>
  <c r="K12" i="31" s="1"/>
  <c r="L12" i="31" s="1"/>
  <c r="N13" i="31"/>
  <c r="I26" i="31"/>
  <c r="P26" i="31" s="1"/>
  <c r="H26" i="31"/>
  <c r="O26" i="31" s="1"/>
  <c r="G26" i="31"/>
  <c r="N26" i="31" s="1"/>
  <c r="F26" i="31"/>
  <c r="I25" i="31"/>
  <c r="P25" i="31" s="1"/>
  <c r="H25" i="31"/>
  <c r="O25" i="31" s="1"/>
  <c r="F25" i="31"/>
  <c r="G25" i="31" s="1"/>
  <c r="F11" i="31"/>
  <c r="G11" i="31" s="1"/>
  <c r="I11" i="31"/>
  <c r="P11" i="31" s="1"/>
  <c r="H11" i="31"/>
  <c r="O11" i="31" s="1"/>
  <c r="C14" i="31"/>
  <c r="C27" i="31"/>
  <c r="C21" i="31"/>
  <c r="G200" i="18"/>
  <c r="AQ204" i="18"/>
  <c r="AP204" i="18"/>
  <c r="AK391" i="18" l="1"/>
  <c r="AJ379" i="18"/>
  <c r="AI391" i="18"/>
  <c r="AI379" i="18" s="1"/>
  <c r="B391" i="18"/>
  <c r="AG391" i="18"/>
  <c r="AG379" i="18" s="1"/>
  <c r="AH391" i="18"/>
  <c r="AL391" i="18" s="1"/>
  <c r="AN391" i="18" s="1"/>
  <c r="AO391" i="18" s="1"/>
  <c r="AE379" i="18"/>
  <c r="M391" i="18"/>
  <c r="M379" i="18" s="1"/>
  <c r="L4" i="19"/>
  <c r="AR395" i="18"/>
  <c r="L21" i="31"/>
  <c r="L22" i="31" s="1"/>
  <c r="AR393" i="18"/>
  <c r="AG293" i="18"/>
  <c r="AE293" i="18"/>
  <c r="AE292" i="18" s="1"/>
  <c r="AI293" i="18"/>
  <c r="AR293" i="18"/>
  <c r="AG295" i="18"/>
  <c r="M295" i="18"/>
  <c r="B295" i="18"/>
  <c r="AI295" i="18"/>
  <c r="M294" i="18"/>
  <c r="AG294" i="18"/>
  <c r="B294" i="18"/>
  <c r="AI294" i="18"/>
  <c r="J25" i="31"/>
  <c r="K25" i="31" s="1"/>
  <c r="L25" i="31" s="1"/>
  <c r="N25" i="31"/>
  <c r="J26" i="31"/>
  <c r="K26" i="31" s="1"/>
  <c r="L26" i="31" s="1"/>
  <c r="N11" i="31"/>
  <c r="J11" i="31"/>
  <c r="K11" i="31" s="1"/>
  <c r="L11" i="31" s="1"/>
  <c r="L14" i="31" s="1"/>
  <c r="L23" i="31" s="1"/>
  <c r="AE270" i="18" l="1"/>
  <c r="AM391" i="18"/>
  <c r="B379" i="18"/>
  <c r="AH379" i="18"/>
  <c r="AI292" i="18"/>
  <c r="AI270" i="18" s="1"/>
  <c r="B292" i="18"/>
  <c r="M292" i="18"/>
  <c r="M270" i="18" s="1"/>
  <c r="AR391" i="18"/>
  <c r="AK379" i="18"/>
  <c r="AG292" i="18"/>
  <c r="AG270" i="18" s="1"/>
  <c r="BB416" i="18"/>
  <c r="A416" i="18"/>
  <c r="AV416" i="18"/>
  <c r="C417" i="18"/>
  <c r="AU416" i="18"/>
  <c r="L27" i="31"/>
  <c r="L16" i="31" s="1"/>
  <c r="A391" i="18"/>
  <c r="AR294" i="18"/>
  <c r="B271" i="18"/>
  <c r="AR295" i="18"/>
  <c r="AL379" i="18" l="1"/>
  <c r="AN379" i="18" s="1"/>
  <c r="AO379" i="18" s="1"/>
  <c r="AM379" i="18"/>
  <c r="AP391" i="18"/>
  <c r="AR379" i="18"/>
  <c r="AH270" i="18"/>
  <c r="AL270" i="18" s="1"/>
  <c r="AN270" i="18" s="1"/>
  <c r="B270" i="18"/>
  <c r="AM270" i="18" s="1"/>
  <c r="AR292" i="18"/>
  <c r="AH292" i="18"/>
  <c r="AL292" i="18" s="1"/>
  <c r="AN292" i="18" s="1"/>
  <c r="AO292" i="18" s="1"/>
  <c r="AU428" i="18"/>
  <c r="AV428" i="18"/>
  <c r="BB428" i="18"/>
  <c r="A428" i="18"/>
  <c r="C429" i="18"/>
  <c r="E8" i="19"/>
  <c r="L8" i="19" s="1"/>
  <c r="BB379" i="18"/>
  <c r="AU379" i="18"/>
  <c r="AV379" i="18"/>
  <c r="A379" i="18"/>
  <c r="A292" i="18"/>
  <c r="AJ203" i="18"/>
  <c r="AJ202" i="18"/>
  <c r="AQ203" i="18"/>
  <c r="AP203" i="18"/>
  <c r="A203" i="18"/>
  <c r="AL203" i="18" s="1"/>
  <c r="AQ202" i="18"/>
  <c r="AP202" i="18"/>
  <c r="A202" i="18"/>
  <c r="AL202" i="18" s="1"/>
  <c r="AQ201" i="18"/>
  <c r="AP201" i="18"/>
  <c r="J200" i="18"/>
  <c r="AX163" i="18"/>
  <c r="AT163" i="18"/>
  <c r="AS163" i="18"/>
  <c r="AQ138" i="18"/>
  <c r="AP138" i="18"/>
  <c r="K138" i="18"/>
  <c r="A138" i="18"/>
  <c r="AL138" i="18" s="1"/>
  <c r="AQ137" i="18"/>
  <c r="AP137" i="18"/>
  <c r="AQ136" i="18"/>
  <c r="AP136" i="18"/>
  <c r="AQ135" i="18"/>
  <c r="AP135" i="18"/>
  <c r="J135" i="18"/>
  <c r="AC135" i="18" s="1"/>
  <c r="AQ134" i="18"/>
  <c r="AP134" i="18"/>
  <c r="AL134" i="18"/>
  <c r="AK134" i="18"/>
  <c r="AJ134" i="18" s="1"/>
  <c r="A134" i="18"/>
  <c r="J133" i="18"/>
  <c r="AP379" i="18" l="1"/>
  <c r="AP292" i="18"/>
  <c r="AR270" i="18"/>
  <c r="AP270" i="18" s="1"/>
  <c r="AM292" i="18"/>
  <c r="AO270" i="18"/>
  <c r="AC138" i="18"/>
  <c r="AC133" i="18" s="1"/>
  <c r="E7" i="19"/>
  <c r="L7" i="19" s="1"/>
  <c r="AW416" i="18"/>
  <c r="AY416" i="18" s="1"/>
  <c r="BB270" i="18"/>
  <c r="C271" i="18"/>
  <c r="AL135" i="18"/>
  <c r="BA135" i="18"/>
  <c r="M135" i="18"/>
  <c r="AG204" i="18"/>
  <c r="AJ204" i="18"/>
  <c r="AJ200" i="18" s="1"/>
  <c r="AI204" i="18"/>
  <c r="A135" i="18"/>
  <c r="A137" i="18"/>
  <c r="AL137" i="18" s="1"/>
  <c r="A136" i="18"/>
  <c r="AL136" i="18" s="1"/>
  <c r="AC129" i="18" l="1"/>
  <c r="AK200" i="18"/>
  <c r="AJ163" i="18"/>
  <c r="AW428" i="18"/>
  <c r="AY428" i="18" s="1"/>
  <c r="AJ138" i="18"/>
  <c r="AJ133" i="18" s="1"/>
  <c r="AZ416" i="18"/>
  <c r="H9" i="19" s="1"/>
  <c r="G9" i="19" s="1"/>
  <c r="BA138" i="18"/>
  <c r="BA133" i="18" s="1"/>
  <c r="AR204" i="18"/>
  <c r="AK163" i="18" l="1"/>
  <c r="AC11" i="18"/>
  <c r="AK133" i="18"/>
  <c r="AJ129" i="18"/>
  <c r="AK129" i="18" s="1"/>
  <c r="AY427" i="18"/>
  <c r="AZ427" i="18" s="1"/>
  <c r="H10" i="19" s="1"/>
  <c r="G10" i="19" s="1"/>
  <c r="AZ428" i="18"/>
  <c r="BA129" i="18"/>
  <c r="BA128" i="18" s="1"/>
  <c r="BA15" i="18" s="1"/>
  <c r="B380" i="18"/>
  <c r="C380" i="18" s="1"/>
  <c r="AW379" i="18"/>
  <c r="AY379" i="18" s="1"/>
  <c r="AY378" i="18" s="1"/>
  <c r="AI137" i="18"/>
  <c r="AI136" i="18"/>
  <c r="AC7" i="18" l="1"/>
  <c r="AJ11" i="18"/>
  <c r="AZ379" i="18"/>
  <c r="AZ378" i="18"/>
  <c r="H8" i="19" s="1"/>
  <c r="C21" i="18"/>
  <c r="A21" i="18"/>
  <c r="AR201" i="18"/>
  <c r="AG203" i="18"/>
  <c r="AI203" i="18"/>
  <c r="M203" i="18"/>
  <c r="M200" i="18" s="1"/>
  <c r="M163" i="18" s="1"/>
  <c r="B203" i="18"/>
  <c r="B200" i="18" s="1"/>
  <c r="AE201" i="18"/>
  <c r="AE200" i="18" s="1"/>
  <c r="AG201" i="18"/>
  <c r="AI201" i="18"/>
  <c r="M202" i="18"/>
  <c r="B202" i="18"/>
  <c r="AR202" i="18" s="1"/>
  <c r="AG202" i="18"/>
  <c r="AI202" i="18"/>
  <c r="B138" i="18"/>
  <c r="AG138" i="18"/>
  <c r="AG133" i="18" s="1"/>
  <c r="M138" i="18"/>
  <c r="M133" i="18" s="1"/>
  <c r="M129" i="18" s="1"/>
  <c r="AI138" i="18"/>
  <c r="AG135" i="18"/>
  <c r="AI135" i="18"/>
  <c r="B135" i="18"/>
  <c r="AR135" i="18" s="1"/>
  <c r="AG137" i="18"/>
  <c r="B137" i="18"/>
  <c r="AR137" i="18" s="1"/>
  <c r="AG134" i="18"/>
  <c r="B134" i="18"/>
  <c r="AI134" i="18"/>
  <c r="AG136" i="18"/>
  <c r="B136" i="18"/>
  <c r="AR136" i="18" s="1"/>
  <c r="AI133" i="18" l="1"/>
  <c r="AI129" i="18" s="1"/>
  <c r="AG129" i="18"/>
  <c r="AH129" i="18" s="1"/>
  <c r="AH133" i="18"/>
  <c r="AL133" i="18" s="1"/>
  <c r="AN133" i="18" s="1"/>
  <c r="B163" i="18"/>
  <c r="M11" i="18"/>
  <c r="M7" i="18" s="1"/>
  <c r="AI200" i="18"/>
  <c r="AI163" i="18" s="1"/>
  <c r="AI11" i="18" s="1"/>
  <c r="AI7" i="18" s="1"/>
  <c r="AJ7" i="18"/>
  <c r="AK7" i="18" s="1"/>
  <c r="AK11" i="18"/>
  <c r="AE163" i="18"/>
  <c r="AG200" i="18"/>
  <c r="AG163" i="18" s="1"/>
  <c r="AG11" i="18" s="1"/>
  <c r="AG7" i="18" s="1"/>
  <c r="B133" i="18"/>
  <c r="G8" i="19"/>
  <c r="AR138" i="18"/>
  <c r="AR203" i="18"/>
  <c r="AR200" i="18" s="1"/>
  <c r="AP200" i="18" s="1"/>
  <c r="AR134" i="18"/>
  <c r="AL129" i="18" l="1"/>
  <c r="AN129" i="18" s="1"/>
  <c r="AH163" i="18"/>
  <c r="AL163" i="18" s="1"/>
  <c r="AN163" i="18" s="1"/>
  <c r="AO163" i="18" s="1"/>
  <c r="AE11" i="18"/>
  <c r="AO133" i="18"/>
  <c r="AM163" i="18"/>
  <c r="B11" i="18"/>
  <c r="AH200" i="18"/>
  <c r="AL200" i="18" s="1"/>
  <c r="AO129" i="18"/>
  <c r="AM133" i="18"/>
  <c r="B129" i="18"/>
  <c r="AM129" i="18" s="1"/>
  <c r="AR133" i="18"/>
  <c r="AP133" i="18" s="1"/>
  <c r="AU270" i="18"/>
  <c r="A270" i="18"/>
  <c r="AV270" i="18"/>
  <c r="A200" i="18"/>
  <c r="C133" i="18"/>
  <c r="A133" i="18"/>
  <c r="B7" i="18" l="1"/>
  <c r="AI10" i="18"/>
  <c r="AJ10" i="18"/>
  <c r="AK10" i="18"/>
  <c r="AN200" i="18"/>
  <c r="AO200" i="18" s="1"/>
  <c r="AM200" i="18"/>
  <c r="AE7" i="18"/>
  <c r="AH7" i="18" s="1"/>
  <c r="AL7" i="18" s="1"/>
  <c r="AN7" i="18" s="1"/>
  <c r="AO7" i="18" s="1"/>
  <c r="AH11" i="18"/>
  <c r="AL11" i="18" s="1"/>
  <c r="AN11" i="18" s="1"/>
  <c r="AO11" i="18" s="1"/>
  <c r="AK8" i="18"/>
  <c r="E5" i="19"/>
  <c r="E6" i="19"/>
  <c r="L6" i="19" s="1"/>
  <c r="BB129" i="18"/>
  <c r="BB163" i="18"/>
  <c r="B17" i="18"/>
  <c r="AW270" i="18"/>
  <c r="AY270" i="18" s="1"/>
  <c r="AM7" i="18" l="1"/>
  <c r="AM11" i="18"/>
  <c r="E3" i="19"/>
  <c r="BB11" i="18"/>
  <c r="AZ270" i="18"/>
  <c r="AY269" i="18"/>
  <c r="AZ269" i="18" s="1"/>
  <c r="H7" i="19" s="1"/>
  <c r="AU16" i="18"/>
  <c r="A16" i="18"/>
  <c r="AV16" i="18"/>
  <c r="C17" i="18"/>
  <c r="AS11" i="18"/>
  <c r="D24" i="19" l="1"/>
  <c r="K16" i="19"/>
  <c r="K15" i="19"/>
  <c r="AH10" i="18"/>
  <c r="A7" i="18"/>
  <c r="L5" i="19"/>
  <c r="G7" i="19"/>
  <c r="A230" i="18"/>
  <c r="A218" i="18"/>
  <c r="AW16" i="18" l="1"/>
  <c r="B56" i="28" l="1"/>
  <c r="B57" i="28"/>
  <c r="B58" i="28"/>
  <c r="B59" i="28"/>
  <c r="BD7" i="18"/>
  <c r="BC7" i="18"/>
  <c r="AP121" i="18" l="1"/>
  <c r="AR121" i="18" s="1"/>
  <c r="AP72" i="18"/>
  <c r="AR72" i="18" s="1"/>
  <c r="AR59" i="18" s="1"/>
  <c r="AP59" i="18" s="1"/>
  <c r="AP113" i="18"/>
  <c r="AR113" i="18" s="1"/>
  <c r="AP28" i="18"/>
  <c r="AR28" i="18" s="1"/>
  <c r="AP22" i="18"/>
  <c r="AR22" i="18" s="1"/>
  <c r="AP23" i="18"/>
  <c r="AR23" i="18" s="1"/>
  <c r="AP25" i="18"/>
  <c r="AR25" i="18" s="1"/>
  <c r="AP40" i="18"/>
  <c r="AR40" i="18" s="1"/>
  <c r="AR38" i="18" s="1"/>
  <c r="AP210" i="18"/>
  <c r="AR210" i="18" s="1"/>
  <c r="AR207" i="18" s="1"/>
  <c r="AP177" i="18"/>
  <c r="AR177" i="18" s="1"/>
  <c r="AP191" i="18"/>
  <c r="AR191" i="18" s="1"/>
  <c r="AR189" i="18" s="1"/>
  <c r="AP189" i="18" s="1"/>
  <c r="AP176" i="18"/>
  <c r="AR176" i="18" s="1"/>
  <c r="AP154" i="18"/>
  <c r="AR154" i="18" s="1"/>
  <c r="AR152" i="18" s="1"/>
  <c r="AX129" i="18"/>
  <c r="AT129" i="18"/>
  <c r="AS129" i="18"/>
  <c r="AP152" i="18" l="1"/>
  <c r="AR129" i="18"/>
  <c r="AP129" i="18" s="1"/>
  <c r="AR21" i="18"/>
  <c r="AP21" i="18" s="1"/>
  <c r="AP38" i="18"/>
  <c r="AR174" i="18"/>
  <c r="AP174" i="18" s="1"/>
  <c r="AP207" i="18"/>
  <c r="AR163" i="18"/>
  <c r="AR106" i="18"/>
  <c r="AU163" i="18"/>
  <c r="A163" i="18"/>
  <c r="AV163" i="18"/>
  <c r="AP163" i="18" l="1"/>
  <c r="AP106" i="18"/>
  <c r="AR16" i="18"/>
  <c r="AP16" i="18" s="1"/>
  <c r="AW163" i="18"/>
  <c r="AR11" i="18" l="1"/>
  <c r="AY163" i="18"/>
  <c r="AY162" i="18" s="1"/>
  <c r="AZ162" i="18" s="1"/>
  <c r="H6" i="19" s="1"/>
  <c r="AY16" i="18"/>
  <c r="AY15" i="18" s="1"/>
  <c r="AZ15" i="18" s="1"/>
  <c r="AU129" i="18"/>
  <c r="A129" i="18"/>
  <c r="AV129" i="18"/>
  <c r="AR7" i="18" l="1"/>
  <c r="AP7" i="18" s="1"/>
  <c r="AP11" i="18"/>
  <c r="AZ163" i="18"/>
  <c r="AZ16" i="18"/>
  <c r="H4" i="19"/>
  <c r="G4" i="19" s="1"/>
  <c r="G6" i="19"/>
  <c r="AW129" i="18"/>
  <c r="AY129" i="18" s="1"/>
  <c r="AZ129" i="18" l="1"/>
  <c r="AY128" i="18"/>
  <c r="AZ128" i="18" s="1"/>
  <c r="H5" i="19" s="1"/>
  <c r="B130" i="18"/>
  <c r="C456" i="18" l="1"/>
  <c r="G5" i="19"/>
  <c r="G3" i="19" s="1"/>
  <c r="G12" i="19" s="1"/>
  <c r="C130" i="18"/>
  <c r="BI3" i="18"/>
  <c r="I3" i="19" l="1"/>
  <c r="B13" i="18"/>
  <c r="BB4" i="18" l="1"/>
  <c r="BE8" i="18" l="1"/>
  <c r="BC4" i="18"/>
  <c r="BD4" i="18"/>
  <c r="BE7" i="18" l="1"/>
  <c r="AX11" i="18" l="1"/>
  <c r="AT11" i="18" l="1"/>
  <c r="BF7" i="18" l="1"/>
  <c r="S152" i="30" l="1"/>
  <c r="P152" i="30"/>
  <c r="R152" i="30"/>
  <c r="R4" i="30"/>
  <c r="R5" i="30"/>
  <c r="R6" i="30"/>
  <c r="R7" i="30"/>
  <c r="R8" i="30"/>
  <c r="R9" i="30"/>
  <c r="R10" i="30"/>
  <c r="R11" i="30"/>
  <c r="R12" i="30"/>
  <c r="R13" i="30"/>
  <c r="R14" i="30"/>
  <c r="R15" i="30"/>
  <c r="R16" i="30"/>
  <c r="R17" i="30"/>
  <c r="R18" i="30"/>
  <c r="R19" i="30"/>
  <c r="R20" i="30"/>
  <c r="R21" i="30"/>
  <c r="R22" i="30"/>
  <c r="R23" i="30"/>
  <c r="R24" i="30"/>
  <c r="R25" i="30"/>
  <c r="R26" i="30"/>
  <c r="R27" i="30"/>
  <c r="R28" i="30"/>
  <c r="R29" i="30"/>
  <c r="R30" i="30"/>
  <c r="R31" i="30"/>
  <c r="R32" i="30"/>
  <c r="R33" i="30"/>
  <c r="R34" i="30"/>
  <c r="R35" i="30"/>
  <c r="R36" i="30"/>
  <c r="R37" i="30"/>
  <c r="R38" i="30"/>
  <c r="R39" i="30"/>
  <c r="R40" i="30"/>
  <c r="R41" i="30"/>
  <c r="R42" i="30"/>
  <c r="R43" i="30"/>
  <c r="R44" i="30"/>
  <c r="R45" i="30"/>
  <c r="R46" i="30"/>
  <c r="R47" i="30"/>
  <c r="R48" i="30"/>
  <c r="R49" i="30"/>
  <c r="R50" i="30"/>
  <c r="R51" i="30"/>
  <c r="R52" i="30"/>
  <c r="R53" i="30"/>
  <c r="R54" i="30"/>
  <c r="R55" i="30"/>
  <c r="R56" i="30"/>
  <c r="R57" i="30"/>
  <c r="R58" i="30"/>
  <c r="R59" i="30"/>
  <c r="R60" i="30"/>
  <c r="R61" i="30"/>
  <c r="R62" i="30"/>
  <c r="R63" i="30"/>
  <c r="R64" i="30"/>
  <c r="R65" i="30"/>
  <c r="R66" i="30"/>
  <c r="R67" i="30"/>
  <c r="R68" i="30"/>
  <c r="R69" i="30"/>
  <c r="R70" i="30"/>
  <c r="R71" i="30"/>
  <c r="R72" i="30"/>
  <c r="R73" i="30"/>
  <c r="R74" i="30"/>
  <c r="R75" i="30"/>
  <c r="R76" i="30"/>
  <c r="R77" i="30"/>
  <c r="R78" i="30"/>
  <c r="R79" i="30"/>
  <c r="R80" i="30"/>
  <c r="R81" i="30"/>
  <c r="R82" i="30"/>
  <c r="R83" i="30"/>
  <c r="R84" i="30"/>
  <c r="R85" i="30"/>
  <c r="R86" i="30"/>
  <c r="R87" i="30"/>
  <c r="R88" i="30"/>
  <c r="R89" i="30"/>
  <c r="R90" i="30"/>
  <c r="R91" i="30"/>
  <c r="R92" i="30"/>
  <c r="R93" i="30"/>
  <c r="R94" i="30"/>
  <c r="R95" i="30"/>
  <c r="R96" i="30"/>
  <c r="R97" i="30"/>
  <c r="R98" i="30"/>
  <c r="R99" i="30"/>
  <c r="R100" i="30"/>
  <c r="R101" i="30"/>
  <c r="R102" i="30"/>
  <c r="R103" i="30"/>
  <c r="R104" i="30"/>
  <c r="R105" i="30"/>
  <c r="R106" i="30"/>
  <c r="R107" i="30"/>
  <c r="R108" i="30"/>
  <c r="R109" i="30"/>
  <c r="R110" i="30"/>
  <c r="R111" i="30"/>
  <c r="R112" i="30"/>
  <c r="R113" i="30"/>
  <c r="R114" i="30"/>
  <c r="R115" i="30"/>
  <c r="R116" i="30"/>
  <c r="R117" i="30"/>
  <c r="R118" i="30"/>
  <c r="R119" i="30"/>
  <c r="R120" i="30"/>
  <c r="R121" i="30"/>
  <c r="R122" i="30"/>
  <c r="R123" i="30"/>
  <c r="R124" i="30"/>
  <c r="R125" i="30"/>
  <c r="R126" i="30"/>
  <c r="R127" i="30"/>
  <c r="R128" i="30"/>
  <c r="R129" i="30"/>
  <c r="R130" i="30"/>
  <c r="R131" i="30"/>
  <c r="R132" i="30"/>
  <c r="R133" i="30"/>
  <c r="R134" i="30"/>
  <c r="R135" i="30"/>
  <c r="R136" i="30"/>
  <c r="R137" i="30"/>
  <c r="R138" i="30"/>
  <c r="R139" i="30"/>
  <c r="R140" i="30"/>
  <c r="R141" i="30"/>
  <c r="R142" i="30"/>
  <c r="R143" i="30"/>
  <c r="R144" i="30"/>
  <c r="R145" i="30"/>
  <c r="R146" i="30"/>
  <c r="R147" i="30"/>
  <c r="R148" i="30"/>
  <c r="R149" i="30"/>
  <c r="R150" i="30"/>
  <c r="R151" i="30"/>
  <c r="R3" i="30"/>
  <c r="P150" i="30"/>
  <c r="P149" i="30"/>
  <c r="P148" i="30"/>
  <c r="P147" i="30"/>
  <c r="P146" i="30"/>
  <c r="P145" i="30"/>
  <c r="P144" i="30"/>
  <c r="P143" i="30"/>
  <c r="P142" i="30"/>
  <c r="P141" i="30"/>
  <c r="P140" i="30"/>
  <c r="P139" i="30"/>
  <c r="P138" i="30"/>
  <c r="P137" i="30"/>
  <c r="P136" i="30"/>
  <c r="P135" i="30"/>
  <c r="P134" i="30"/>
  <c r="P133" i="30"/>
  <c r="P132" i="30"/>
  <c r="P131" i="30"/>
  <c r="P130" i="30"/>
  <c r="P129" i="30"/>
  <c r="P128" i="30"/>
  <c r="P127" i="30"/>
  <c r="P126" i="30"/>
  <c r="P125" i="30"/>
  <c r="P124" i="30"/>
  <c r="P123" i="30"/>
  <c r="P122" i="30"/>
  <c r="P121" i="30"/>
  <c r="P120" i="30"/>
  <c r="P119" i="30"/>
  <c r="P118" i="30"/>
  <c r="P117" i="30"/>
  <c r="P116" i="30"/>
  <c r="P115" i="30"/>
  <c r="P114" i="30"/>
  <c r="P113" i="30"/>
  <c r="P112" i="30"/>
  <c r="P111" i="30"/>
  <c r="P110" i="30"/>
  <c r="P109" i="30"/>
  <c r="P108" i="30"/>
  <c r="P107" i="30"/>
  <c r="P106" i="30"/>
  <c r="P105" i="30"/>
  <c r="P104" i="30"/>
  <c r="P103" i="30"/>
  <c r="P102" i="30"/>
  <c r="P101" i="30"/>
  <c r="P100" i="30"/>
  <c r="P99" i="30"/>
  <c r="P98" i="30"/>
  <c r="P97" i="30"/>
  <c r="P96" i="30"/>
  <c r="P95" i="30"/>
  <c r="P94" i="30"/>
  <c r="P93" i="30"/>
  <c r="P92" i="30"/>
  <c r="P91" i="30"/>
  <c r="P90" i="30"/>
  <c r="P89" i="30"/>
  <c r="P88" i="30"/>
  <c r="P87" i="30"/>
  <c r="P86" i="30"/>
  <c r="P85" i="30"/>
  <c r="P84" i="30"/>
  <c r="P83" i="30"/>
  <c r="P82" i="30"/>
  <c r="P81" i="30"/>
  <c r="P80" i="30"/>
  <c r="P79" i="30"/>
  <c r="P78" i="30"/>
  <c r="P77" i="30"/>
  <c r="P76" i="30"/>
  <c r="P75" i="30"/>
  <c r="P74" i="30"/>
  <c r="P73" i="30"/>
  <c r="P72" i="30"/>
  <c r="P71" i="30"/>
  <c r="P70" i="30"/>
  <c r="P69" i="30"/>
  <c r="P68" i="30"/>
  <c r="P67" i="30"/>
  <c r="P66" i="30"/>
  <c r="P65" i="30"/>
  <c r="P64" i="30"/>
  <c r="P63" i="30"/>
  <c r="P62" i="30"/>
  <c r="P61" i="30"/>
  <c r="P60" i="30"/>
  <c r="P59" i="30"/>
  <c r="P58" i="30"/>
  <c r="P57" i="30"/>
  <c r="P56" i="30"/>
  <c r="P55" i="30"/>
  <c r="P54" i="30"/>
  <c r="P53" i="30"/>
  <c r="P52" i="30"/>
  <c r="P51" i="30"/>
  <c r="P50" i="30"/>
  <c r="P49" i="30"/>
  <c r="P48" i="30"/>
  <c r="P47" i="30"/>
  <c r="P46" i="30"/>
  <c r="P45" i="30"/>
  <c r="P44" i="30"/>
  <c r="P43" i="30"/>
  <c r="P42" i="30"/>
  <c r="P41" i="30"/>
  <c r="P40" i="30"/>
  <c r="P39" i="30"/>
  <c r="P38" i="30"/>
  <c r="P37" i="30"/>
  <c r="P36" i="30"/>
  <c r="P35" i="30"/>
  <c r="P34" i="30"/>
  <c r="P33" i="30"/>
  <c r="P32" i="30"/>
  <c r="P31" i="30"/>
  <c r="P30" i="30"/>
  <c r="P29" i="30"/>
  <c r="P28" i="30"/>
  <c r="P27" i="30"/>
  <c r="P26" i="30"/>
  <c r="P25" i="30"/>
  <c r="P24" i="30"/>
  <c r="P23" i="30"/>
  <c r="P22" i="30"/>
  <c r="P21" i="30"/>
  <c r="P20" i="30"/>
  <c r="P19" i="30"/>
  <c r="P18" i="30"/>
  <c r="P17" i="30"/>
  <c r="P16" i="30"/>
  <c r="P15" i="30"/>
  <c r="P14" i="30"/>
  <c r="P13" i="30"/>
  <c r="P12" i="30"/>
  <c r="P11" i="30"/>
  <c r="P10" i="30"/>
  <c r="P9" i="30"/>
  <c r="P8" i="30"/>
  <c r="P7" i="30"/>
  <c r="P6" i="30"/>
  <c r="P5" i="30"/>
  <c r="P4" i="30"/>
  <c r="P3" i="30"/>
  <c r="G3" i="5" l="1"/>
  <c r="D3" i="5"/>
  <c r="G2" i="5"/>
  <c r="C2" i="5"/>
  <c r="G1" i="5"/>
  <c r="G3" i="4"/>
  <c r="D3" i="4"/>
  <c r="G2" i="4"/>
  <c r="C2" i="4"/>
  <c r="G1" i="4"/>
  <c r="B8" i="18" l="1"/>
  <c r="AU11" i="18" l="1"/>
  <c r="AU7" i="18" l="1"/>
  <c r="AU10" i="18"/>
  <c r="BB7" i="18"/>
  <c r="A11" i="18"/>
  <c r="AV11" i="18"/>
  <c r="AV7" i="18" s="1"/>
  <c r="AL8" i="18" l="1"/>
  <c r="C8" i="18"/>
  <c r="B5" i="18" s="1"/>
  <c r="AW11" i="18" l="1"/>
  <c r="AW7" i="18" s="1"/>
  <c r="AY11" i="18" l="1"/>
  <c r="AZ11" i="18" l="1"/>
  <c r="AY7" i="18"/>
  <c r="AZ7" i="18" s="1"/>
  <c r="BG7" i="18" l="1"/>
  <c r="B12" i="18"/>
  <c r="C12" i="18" s="1"/>
  <c r="G17" i="19"/>
  <c r="G18" i="19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tc={36229238-CA13-4B76-B895-191CE44F252A}</author>
    <author>tc={9A16F476-92A4-4617-9179-A324CD2F5B41}</author>
    <author>tc={A66F8036-8EE0-45C3-992A-3B5FBD164B25}</author>
    <author>tc={36398D14-1C0B-4FEF-86DC-E1AEEA65C65C}</author>
    <author>tc={C26BD28E-03CF-446C-ADED-4DC937817AB4}</author>
    <author>tc={AA12C11F-AAC7-442B-949C-2544555FFFA2}</author>
    <author>tc={95A5653E-7EA2-4177-BF09-B2FA7B529EF4}</author>
    <author>tc={4D80C12D-9AF4-46EC-984A-816CB2FAE032}</author>
    <author>oksana</author>
    <author>tc={89361EFC-0E1F-4BF5-B096-5CBB965F403E}</author>
    <author>tc={9B2605FB-84F6-4CC7-ADCC-2B18C50D8904}</author>
    <author>tc={318434D1-41EB-4498-A28F-C9A67C882F1B}</author>
    <author>tc={C436C45D-8660-406F-B281-49964E067CC8}</author>
    <author>tc={FD876CDF-69B8-422B-8772-59829AA886ED}</author>
    <author>tc={49D7EC1B-CA0D-4221-99A7-29819685947B}</author>
    <author>tc={223456DF-C253-4CB3-9DB9-5F609709C047}</author>
    <author>tc={17A15277-FF63-43E5-9835-1B4F0F49181E}</author>
    <author>tc={16805C95-2868-4991-9099-C1585E3FAEA8}</author>
    <author>tc={D0AB8641-5510-439D-AAFA-31FA5ADE3F39}</author>
    <author>tc={2612A058-3201-4CF9-B98F-CFBB9C1B27C5}</author>
    <author>tc={C7092419-FA61-4F86-927B-735FB5770AB2}</author>
    <author>tc={F3D529B2-7B03-49B8-837B-55E470266A0C}</author>
    <author>tc={7E08ACB4-2297-4088-BBF9-92670884A0F0}</author>
    <author>tc={56A666BF-A85F-48BC-BE96-AD59534BB063}</author>
    <author>tc={22D28F93-B763-43C3-A4B4-0E13D005EB05}</author>
    <author>tc={E33B9454-E1AD-4101-8EF8-CAA7E6B34E8C}</author>
    <author>tc={589AC605-5350-462F-A5F5-D1F9FB08A370}</author>
    <author>tc={C25178ED-9617-437E-9B38-7A995AB4C803}</author>
    <author>tc={03C08745-927A-4D22-9354-FDA49F6FCDD9}</author>
    <author>tc={20918665-C1D1-4529-88BC-A57CC08AF615}</author>
    <author>tc={367153C0-8CA7-4A84-84CC-6A60C5C219E1}</author>
    <author>tc={995E1696-464D-476B-A38A-0A754E011F2C}</author>
    <author>tc={5B7CFB3A-E0AB-4709-8759-F7210B319B83}</author>
    <author>tc={455826A4-9552-4D47-A661-44AC9145AB1F}</author>
    <author>tc={CE8BB80C-0872-422B-8A66-5D92BD841E17}</author>
    <author>tc={1D2E484F-EBC0-4D1C-BC0C-309C46DD80B1}</author>
    <author>tc={71F5C677-351A-4B53-8F41-D73C8D0C267E}</author>
    <author>tc={F179B6B6-4185-4B9B-910C-8A43C8D63256}</author>
    <author>tc={D9A86088-F91D-42C6-9E6E-4339A311B8FF}</author>
    <author>tc={9841940D-9D67-4392-BF4F-CF92039D1C56}</author>
    <author>tc={E127799D-4174-4B89-8727-1BF0804F7083}</author>
    <author>tc={9DB7FA75-5AAC-4A52-BD10-82439F3A25F8}</author>
    <author>tc={3E679C1D-1739-453A-8244-AB2212B3FABD}</author>
    <author>tc={56526F6E-3EA2-4DFE-8685-D13292434E28}</author>
    <author>tc={EF691E8B-B846-486A-B7D9-7E04B0FB82E4}</author>
    <author>tc={01EE551C-7341-4C52-8E35-5424F3ED1910}</author>
    <author>tc={2228AB00-8A78-41D7-ADEC-A91DA0097FBC}</author>
    <author>tc={B8243CE4-A48E-4A54-B46B-3E264B1D609C}</author>
    <author>tc={A810FE58-0EDC-444C-B850-3BCEDC952287}</author>
    <author>tc={E4641F26-AD64-4A9C-8B8B-F094CB36FEA0}</author>
    <author>tc={D2A6A6BB-B757-4EC6-A29F-B769DD638710}</author>
    <author>tc={04B44046-00BA-4311-8236-5E5C3FAA5A7D}</author>
    <author>tc={B6E50EB4-FB08-4E76-A464-7D62DA7C7702}</author>
    <author>tc={BC08EBA2-865C-4967-8E24-992604BE19AD}</author>
    <author>tc={ACA7DFBB-8122-4B41-81A9-9950D3D21EEE}</author>
    <author>tc={F49C0646-DC1D-438D-8112-333D915E38DE}</author>
    <author>tc={2658CE27-6A67-4F05-B8D5-E6D3D892CB7D}</author>
    <author>tc={D86DFB63-144B-417A-B97B-AF650A85F158}</author>
    <author>tc={316C569C-66EE-43D5-954F-C751844E09FA}</author>
    <author>tc={8DDA36F3-0DFE-475D-A36E-D9182A99874B}</author>
    <author>tc={6B40C1FB-4C44-4E4D-8695-CFDAE6D6F2E7}</author>
    <author>tc={E4B235DC-5ED5-4DBA-86B2-C4EE8D1A6AB7}</author>
    <author>tc={D7878019-9BBD-4788-A303-FA052F6BCCA7}</author>
    <author>tc={5425886D-309E-462B-9778-FE8B5489C0EA}</author>
    <author>tc={CFAB857F-4CF8-4109-A7CB-1BF4B3877116}</author>
    <author>tc={23B483F7-45CB-4D1E-9116-7D8548C8D662}</author>
    <author>tc={0C5F9AEA-3A39-403E-A309-44B46EBBE347}</author>
    <author>tc={E0210963-3C13-4E46-B5AC-701B7DC3DD0A}</author>
    <author>tc={4ABD93D7-870C-4E7B-B8ED-DD685E874826}</author>
    <author>tc={2461BC5A-A305-49A5-A3D1-A6FBEEC1326E}</author>
    <author>tc={C2E9BD68-218F-4D3B-8159-683E25E8F60E}</author>
    <author>tc={2702E1B0-E4ED-4185-8C20-8F75B55D9F1A}</author>
    <author>tc={FF2FBD3C-728D-46B2-97FA-B539E8A421D1}</author>
    <author>tc={D7D59EEC-EF27-403B-A78F-7518AD6B84FE}</author>
    <author>tc={74B42CA2-6818-462C-9E95-C176CF0E8077}</author>
    <author>tc={62993E3B-52E0-4911-854B-ECD993AC7BED}</author>
    <author>tc={F297B50B-4A1F-4E6B-8BDE-B04E30678DA7}</author>
    <author>tc={4C8865BE-13EB-4952-9481-B01EB6259F94}</author>
    <author>tc={46CE5998-03CF-4BD3-AA1F-155CD11051A5}</author>
    <author>tc={6C2D7CD8-7166-4ED1-A05D-54DE94D332C9}</author>
    <author>tc={910AC8B7-8EA9-4EB2-AA49-9C6B7C4857CF}</author>
    <author>tc={8E178F00-D5D9-4874-9B93-A962F64A9B17}</author>
    <author>tc={5DF78FB3-8F85-4C34-A209-98AB74385EC2}</author>
    <author>tc={1528A955-6BB4-4F3A-8B03-08F976B25487}</author>
    <author>tc={78B05685-72FC-43BD-BF1E-66716F4CF8C7}</author>
    <author>tc={05BD32C1-AC30-4081-9486-8071440E6431}</author>
    <author>tc={E5E6E210-3256-423C-BC8D-F90647200DF0}</author>
    <author>tc={F2ABF7A0-00DD-4195-B426-B25356CD8D58}</author>
    <author>tc={02943ACA-1325-4BE7-9F96-F272EEA35785}</author>
    <author>tc={570284CC-8496-4AE8-BCA1-0CF896F53D98}</author>
    <author>tc={0D27DD75-7CBD-45AE-A3C8-27BF35904AB5}</author>
    <author>tc={0A180255-3027-4CE2-9C40-78449A338C47}</author>
    <author>tc={1E54A928-ABBB-45E2-B93C-03EC0D03F571}</author>
    <author>tc={E0FE2E3B-1D67-47E3-B8B2-47464011F122}</author>
    <author>tc={3CD40906-656B-4386-B8A3-D9EEF7D76135}</author>
    <author>tc={C2389DDC-FE2C-471B-BA45-57E084C01908}</author>
    <author>tc={0A6A7F4F-E180-4BDD-8B34-1A4934254EAA}</author>
    <author>tc={9E9713F3-007A-4ED2-9B54-30A2FE18EF07}</author>
    <author>tc={C00270FF-E9B2-492F-BA50-14F44D6C5535}</author>
    <author>tc={4C33A03D-2A3D-4AAE-921A-00669BC1962B}</author>
    <author>tc={AA38BEE3-62BD-49E9-A01A-350EB13243CE}</author>
    <author>tc={81836E9C-59EF-4B6E-A722-119FD6B162FC}</author>
    <author>tc={F571C582-EAA8-42E4-9E9A-B11DB966D754}</author>
    <author>tc={0798FF24-988E-4084-A9CE-8228345A8084}</author>
    <author>tc={F9110794-F0B9-4F82-8EF7-355AA192BEA0}</author>
    <author>tc={6DFF6886-5824-4879-9077-3292D9723497}</author>
    <author>tc={65F0A796-868A-4FC4-9ECD-7AD7D5113493}</author>
    <author>tc={CBA01E39-7DE0-4625-B167-278B71B79FC4}</author>
    <author>tc={110845A8-7D63-4B47-8A8D-170A0B100D2E}</author>
    <author>tc={0836FD99-7C5D-449F-897A-88D9F69BEFC2}</author>
    <author>tc={5975E3E6-1F88-4528-936E-A66A5B21637F}</author>
    <author>tc={0D3E6E09-FDD7-4A9B-9C5B-1E8B480C05F8}</author>
    <author>tc={15992175-9752-42C9-993B-2B65E2796B8E}</author>
    <author>tc={6549DCFD-015B-4C68-9A87-B310EBFB1B99}</author>
    <author>tc={C9E0F03F-1EB5-48F1-825D-62820E134AB7}</author>
    <author>tc={868B7147-0984-41B8-9BB3-1B1D66E03337}</author>
    <author>tc={082A8F75-A148-412E-8D98-FA247D19E0EA}</author>
    <author>tc={BEB067F7-743E-4E1F-889A-535778DDEB6B}</author>
    <author>tc={E423AF73-54E9-4EFB-AFB7-AC346B9DEC09}</author>
    <author>tc={17B04460-1FC6-4580-9A44-5F8EE9314FEB}</author>
    <author>tc={AA616AB6-9569-4F4A-B1AC-2B3865C518A3}</author>
    <author>tc={2F7DE7B8-B197-480F-8320-2EC324C1BCE0}</author>
    <author>tc={B8081559-1558-43D9-8963-5165267A098E}</author>
    <author>tc={73879E84-7256-4D71-9158-146AD981E286}</author>
    <author>tc={C1AB5087-B4A9-43B1-B30E-D7DED712B3D0}</author>
    <author>tc={6808D478-979A-4A6D-86D3-A3E0A12E78E6}</author>
    <author>tc={C2C72D0B-2B1F-47DC-8616-C81AC3BFAB06}</author>
    <author>tc={12FFD887-6B98-42BB-B3EA-C1783223569D}</author>
    <author>tc={2B12F4A2-34FD-4DCD-ABE8-8CEBBC6A651D}</author>
    <author>tc={2A170C79-BF2B-41CE-896F-6467E0B3392F}</author>
    <author>tc={E239EDD3-B935-4120-83CF-497232C6B11C}</author>
    <author>tc={3F830CCC-EEC1-441A-A0A6-57637589A493}</author>
    <author>tc={AE9C22AA-ADA5-4153-850D-449156547DE1}</author>
    <author>tc={FF2A35A7-EB55-4B6F-91F3-36775E0B4B43}</author>
    <author>tc={2717DBE5-9FE8-4887-BD58-3B16210ADBE0}</author>
    <author>tc={653DE156-497D-41CB-A18B-AEF597B702BF}</author>
    <author>tc={E15A40DE-347E-4EEA-9DFB-434EE166F96A}</author>
    <author>tc={3D476DD3-98CB-4C69-81C6-D7FB3762845E}</author>
    <author>tc={3D66E184-1758-4055-856A-B3EDEC43C90D}</author>
    <author>tc={45634E2C-6433-4A9F-86FA-46112E700579}</author>
    <author>tc={8D82899E-CC1C-4CBB-9197-AF8049BC2862}</author>
    <author>tc={D722A8D2-9472-44B1-AC73-187BE0809169}</author>
    <author>tc={20E22477-638B-4C55-AEA0-BBCE7ECB9FF0}</author>
    <author>tc={85A0DB1E-1E8C-482C-9F71-505D58D86448}</author>
    <author>tc={7648F147-3394-4EA7-8DA7-CFC8593A1CA4}</author>
    <author>tc={E1686EBA-D8C7-4798-BFD1-A312D594031C}</author>
    <author>tc={C8F25215-5A0D-49D1-99FC-1164883B4746}</author>
    <author>tc={1D8664D4-2E0A-4862-B7BB-EF4C48FACBD4}</author>
    <author>tc={3A7AB2F0-F168-4C2A-8923-B61F06DED436}</author>
    <author>tc={A328F559-D02A-4C8A-A2DE-31FB39CE594A}</author>
    <author>tc={5BE46FDD-70F7-4D92-AC20-2D3054E8CB37}</author>
    <author>tc={5D2F7A46-0D1F-4CD6-9114-C92E3C8ADE81}</author>
    <author>tc={C2538421-F07F-498B-BCCD-629719DFB7BA}</author>
    <author>tc={5087EF1D-9142-4B89-9323-4B4273E29F6E}</author>
    <author>tc={D4D354D4-09C1-49F9-BA57-AD2DA531AD7D}</author>
    <author>tc={EEE74C7C-B2BA-4147-8102-6A73EAEAF0AB}</author>
    <author>tc={13D3DA2C-9BAD-412A-A552-6FFB1C9B1693}</author>
    <author>tc={49F0A20D-B07A-4DB2-97D8-8E6865F181BC}</author>
    <author>tc={8EF3281A-CEEB-4640-879F-5C9D820F3C2C}</author>
    <author>tc={4D6FE16B-7D91-4593-8F9B-29327C3C7795}</author>
    <author>tc={EC32DD9F-723D-4D3D-814F-C67B0AC508FD}</author>
    <author>tc={88735D9A-3075-4153-9D52-F93AD2E22807}</author>
    <author>tc={FDC0670D-AA4C-4309-A791-ACEA7EEDC3DA}</author>
    <author>tc={D52C3180-6A38-4A4F-B6FD-24A64BA07C15}</author>
    <author>tc={46A649D1-1268-4A98-84C8-3DCE00636675}</author>
    <author>tc={A7374539-62AE-4E5A-A52E-1C1365F08574}</author>
    <author>tc={F6EB9EB0-851B-49CC-936E-E96C73D9FB9A}</author>
    <author>tc={FC93E039-6B91-4937-AA57-7F693BEE4D13}</author>
    <author>tc={F864EF8F-592A-4265-BC26-85ADA4A2B857}</author>
    <author>tc={6FBA95F2-43FA-48C6-9A60-3A4628E728A3}</author>
    <author>tc={A0E00B53-0B94-4825-9478-22863E8345AB}</author>
    <author>tc={95FFCA75-F3BD-4477-B5CC-5E1A179A4EF9}</author>
    <author>tc={0EEF2656-ABCA-400C-B537-D723AFEFD37B}</author>
    <author>tc={AD6C318B-BA22-4DE5-997E-662ACD21530B}</author>
    <author>tc={7EAAEF2E-7A12-472A-9876-A20C0BF29205}</author>
    <author>tc={4A71F6D1-5B78-4FEB-A448-037E2C5B289C}</author>
    <author>tc={C8C1B230-D4C0-4DBC-9AAB-C9255B335512}</author>
    <author>tc={46451A6F-12D7-4044-BDEF-37F3C2BF5DD7}</author>
    <author>tc={690EFA14-4996-4496-BF35-3C775EC1852C}</author>
    <author>tc={ED873411-72E3-4B60-B8B5-A65058672B87}</author>
    <author>tc={4F678685-3FB7-4F4C-9FC9-796D6FC5DA93}</author>
    <author>tc={BC71F5D1-2975-4311-A02B-B57B10F1DCF8}</author>
    <author>tc={7CB064A0-AD00-4DAC-BE1C-D0E7C67A691C}</author>
    <author>tc={0DD76A23-FFD0-464F-B71F-D409B662071D}</author>
    <author>tc={AEC6FD41-F4DA-48F8-8812-F98979D84812}</author>
    <author>tc={23FF2ECE-6746-4F2D-81FB-5E918DE7182D}</author>
    <author>tc={93F95069-8626-4AC3-B4EB-D155CFDC0E31}</author>
    <author>tc={C4836D8D-8BA7-45C9-A73E-01308895A3B2}</author>
    <author>tc={C4C08960-0564-4827-A064-231D93A8F0E9}</author>
    <author>tc={36F30E95-8276-475E-BB7D-00F85B67B5FA}</author>
    <author>tc={9E4A623E-5C1F-4157-95DE-AE4FB172EB2E}</author>
    <author>tc={2A5B7202-1F05-436E-9CA4-ACA3316682AB}</author>
    <author>tc={A9711888-9518-455B-90ED-C82DADD348E9}</author>
    <author>tc={8F8C600E-6981-4A00-9758-68B3D1DF2E91}</author>
    <author>tc={CC731A67-B930-4AC5-94B7-3A82A922192C}</author>
    <author>tc={BABF8204-9673-4F6D-A96A-FC0E591F71FD}</author>
    <author>tc={A80ADAED-57F3-46EE-A9C7-5C69E46BE7B7}</author>
    <author>tc={0F0D6CC1-9648-45D7-AC38-9D1BFFFF75E9}</author>
    <author>tc={83490EB6-844C-4B6A-AB89-F68017F38387}</author>
    <author>tc={76823968-3495-44DD-B828-6DA5F596DD6D}</author>
    <author>tc={5FA3AA81-8D34-43C4-A7EA-C8D4CC96D67D}</author>
    <author>tc={BC3793A0-940A-4308-A50B-C5B6600C592D}</author>
    <author>tc={1F0EFB37-EC8D-4A9A-AAC5-AE537C641BDB}</author>
    <author>tc={AD9E3AE5-3A02-4D4C-A397-EAB2B856B069}</author>
    <author>tc={835B284A-D507-447E-9147-A28EB98D86AC}</author>
    <author>tc={28D4FEFD-FDB4-41CF-BA66-150400264C68}</author>
    <author>tc={FA65BDDA-BAE4-4E49-AC7A-E4D30380F30B}</author>
    <author>tc={EFE946ED-6514-43FE-8D06-36B5AC452ECC}</author>
    <author>tc={0C69ADFD-A61A-4F65-9DA7-9566AE02F53C}</author>
    <author>tc={EEB51B51-0C87-4F0F-A4E4-C7E537D2ED34}</author>
    <author>tc={3725F829-D210-4C35-8A06-5F86BEA6F03F}</author>
    <author>tc={D9D21C96-2968-40EE-ACAD-AFF4D433AD91}</author>
    <author>tc={C286044B-70CA-4F7A-82E0-7078D1B2AE26}</author>
    <author>tc={F63CB691-9556-4493-B3B2-937038EC1CFD}</author>
    <author>tc={5A950EC7-F44C-49E5-8176-B99BD1996B36}</author>
    <author>tc={68F714A2-FA5A-4110-BAFC-AD5464EE6E9E}</author>
    <author>tc={1D858924-D15A-4F66-96C0-8CB24B9A21A6}</author>
    <author>tc={168E60D2-2C5B-4EAB-ADB7-22FD949A530E}</author>
    <author>tc={42A16C8E-3C3F-4E90-8A20-E63513ECA3DE}</author>
    <author>tc={98EFD4CC-F2F4-47E6-A7A8-DF7C4CC27268}</author>
    <author>tc={F60C1012-1C37-41FB-85BC-4DC40E930467}</author>
    <author>tc={A3B26A07-5ABE-4206-88A0-2EBB48D4DACC}</author>
    <author>tc={54B5EFE1-E789-4974-ABA2-CE11D77856B4}</author>
    <author>tc={84797C59-78EF-436D-90FB-AD765DB5EE12}</author>
    <author>tc={C28F041B-8DB3-4DC0-8B6D-FFAE8BBBC666}</author>
    <author>tc={CBD47F86-FC23-46CE-A7FE-594CE3804E2C}</author>
    <author>tc={42607B2A-5509-4844-9BF8-ED8B81C59DF1}</author>
    <author>tc={D4448153-2FC2-4EB6-B272-4DFFEDAE0036}</author>
    <author>tc={BA7B5562-1C82-4A2A-88A6-740E530BBE47}</author>
    <author>tc={0B2DD2BF-2B33-4130-AA54-01FFE8016EF8}</author>
    <author>tc={F92A9491-8B3B-4944-B80A-748170408C8D}</author>
    <author>tc={3BD97A1A-9CA8-4FE1-B11F-E611263A82BC}</author>
    <author>tc={ADE08C38-B314-4EBE-9A2F-0EB300EEBF74}</author>
    <author>tc={3524853A-0F46-48AF-BB28-234240A1B37C}</author>
    <author>tc={A624A43E-36B0-4A88-97FE-793448C269ED}</author>
    <author>tc={0F7DA99B-29A6-4676-BE3D-AF9620E8520E}</author>
    <author>tc={C19B044E-61C8-4079-A4C2-7F0976487E0F}</author>
    <author>tc={C1D7B34E-594C-497E-9E12-62F83A10C5A3}</author>
    <author>tc={6BE8BE70-261A-460B-8352-2ABEE1A45505}</author>
    <author>tc={8A02F154-4066-47C2-AB39-832F97733F7B}</author>
    <author>tc={D752DBDA-23E1-4447-972C-FDFA5252BDB9}</author>
    <author>tc={ADCC51C4-5FA4-4D91-90DC-58BA3F31152D}</author>
    <author>tc={0886DE89-504E-4033-A70F-910FB67ED42B}</author>
    <author>tc={AEAC5C02-BEF0-4471-A1AA-0A086F3275D2}</author>
    <author>tc={8CB84007-9EAB-4D70-A9AF-207F273120B6}</author>
    <author>tc={0D181F7A-39E7-408F-B0E8-1D8D0EE428A8}</author>
    <author>tc={55C74932-E35F-431F-A03F-AC3CDEB372B4}</author>
    <author>tc={2F6F8BB1-6A83-4EA4-BA6C-28896B927679}</author>
    <author>tc={263348F5-0378-42AA-AA45-5CA5B1096470}</author>
    <author>tc={ABF2EA3F-8B92-4101-A20B-1DC3E22B33E5}</author>
    <author>tc={43AF7297-BD64-43C3-8B20-9AF121312F5D}</author>
    <author>tc={B7434638-BF63-4186-A9BE-32AB2EF8F83E}</author>
    <author>tc={1B2BE353-1833-403F-B150-741ED493EA96}</author>
    <author>tc={A98771F8-D7E6-4F0B-9B9D-3CBC4A3899D7}</author>
    <author>tc={6241BFD1-687E-4B5D-BCE0-EBB5A448AEFB}</author>
    <author>tc={924FE798-D3FF-4138-9768-5E75CA3153D5}</author>
    <author>tc={D900A130-B0C9-40AA-AF84-D4CFED0A140C}</author>
    <author>tc={DC2C90BD-AB8C-44BA-91E0-857F6591A149}</author>
    <author>tc={579F32EB-719C-4648-9327-B2931781CEFB}</author>
    <author>tc={8788B6E1-6FDC-4EEB-A36D-F24CC4136282}</author>
    <author>tc={5AADC32F-9960-4D5A-8AA5-7E0424E78AD5}</author>
    <author>tc={63B05AFB-3309-4F19-8FBA-ADE56C907BF1}</author>
    <author>tc={7740FCE8-2251-438B-A407-CFD9D0DE94D5}</author>
    <author>tc={77D78BF1-AC4A-476D-8729-118F85D628CE}</author>
    <author>tc={108E26D6-71E8-4677-BF7E-21587FFBCF80}</author>
    <author>tc={53E361E3-2EB0-4D2D-81F2-8698ED6C9217}</author>
    <author>tc={DA320A1C-B88B-4E47-BB38-01EB7B0E83DE}</author>
    <author>tc={61FBBCB9-0769-4FCC-BDBC-8E85FF5CB066}</author>
    <author>tc={B7177EFC-9CF9-4B28-8678-480603B6DB67}</author>
    <author>tc={D3EF4175-3450-4637-BF6F-CE0D0DD41A83}</author>
    <author>tc={FA6C0816-5A41-4B26-8692-AC7A933EBD1F}</author>
    <author>tc={4F3BFDA3-57DC-434C-AB37-DFF9E9B4881B}</author>
    <author>tc={B07DD88C-3C0B-42B7-B442-2BFAF6D432AC}</author>
    <author>tc={A764E58D-3BA9-4995-8EBA-A2ACE5573960}</author>
    <author>tc={5998B13C-BCDF-4F8B-8D89-A13DFC9CFFBF}</author>
    <author>tc={378EF97C-B827-4F1E-890F-0D3E18884567}</author>
    <author>tc={B193831D-F98A-4AE7-A2DF-9419893DF6FE}</author>
    <author>tc={1C767034-8AA9-495B-81BC-80EB20D30075}</author>
    <author>tc={0C37A3C8-BE91-4CEE-90BD-D24B13DDA43D}</author>
    <author>tc={E82FD8F4-3661-4474-9995-DA2546CAE975}</author>
    <author>tc={66C1EB3C-A537-4D0A-9F6F-9F84F9398B07}</author>
    <author>tc={AE1D05FE-D014-4CAD-BFA8-8FA232E23553}</author>
    <author>tc={9B4E3D85-A77C-438A-8789-B9017BC791B3}</author>
    <author>tc={2EECDEDA-8E84-4C4E-A7CB-F29AC838B191}</author>
    <author>tc={CBBDB459-D103-4313-A198-EA0122644576}</author>
    <author>tc={F79A04F1-DBA1-4F78-BB76-3E184EC47418}</author>
    <author>tc={5D6CB8A6-E9B8-475E-935D-1A12BBDF07C7}</author>
    <author>tc={64FAEAD3-0E6D-4A08-8D2F-0DDE563C9C65}</author>
    <author>tc={7D24521F-3511-4A58-B40D-00262D239B12}</author>
    <author>tc={ED593666-212B-4566-AFA8-43011103C46A}</author>
    <author>tc={2190C583-2265-4435-92FC-E8DFF6AED21D}</author>
    <author>tc={12AC8B4E-E3B7-4525-9198-4AA2691AACB8}</author>
    <author>tc={E0918649-48BD-4E4E-B1C4-7F87755DD23B}</author>
    <author>tc={9E327EA7-D0BC-45A5-A1EC-36EC48A12724}</author>
    <author>tc={B5B98F79-ACEE-4601-A385-2866D6F6319F}</author>
    <author>tc={FCCAAF91-F22A-46CA-8EF7-B7FD1A3B9DC1}</author>
    <author>tc={5F8CC0D2-250E-45DF-944D-62ECA9C6CB58}</author>
    <author>tc={D24572A4-F056-41E4-9704-D9A0F0AD15BF}</author>
    <author>tc={5201D35E-5ADC-433D-9F76-001D91B25AB8}</author>
    <author>tc={69EBEC23-2654-4B2A-BAF3-356274EAE3C6}</author>
    <author>tc={C670469E-9E7B-4D8E-BBF7-579FB089FA95}</author>
    <author>tc={CB43AD5A-909B-434F-AAF0-FC257BB7ACEA}</author>
    <author>tc={862ABDE0-7D79-42D1-B953-FD976E55CD68}</author>
    <author>tc={9A454692-7EA3-4836-AD76-02A0213E433C}</author>
    <author>tc={8FE96153-FE4C-4E7E-8CEC-9075F6DB0EA3}</author>
    <author>tc={C25AE59B-C364-410B-ABF4-E066AF02C960}</author>
    <author>tc={17DC39C4-557E-4844-8390-4159B516589B}</author>
    <author>tc={E24A81D2-1054-4439-A10A-AA42E6F33281}</author>
    <author>tc={6EBCD608-9F2F-44C0-93B9-EB7577CAAB02}</author>
    <author>tc={1784F17B-6E29-4368-A9E3-44B882E604EC}</author>
    <author>tc={765C2F71-AE4F-4A22-B0EA-16440475E6AB}</author>
    <author>tc={E3CAF279-E207-4061-9F3F-FFDE0453A893}</author>
    <author>tc={05A8F5A1-4DEC-4DD6-B509-E4DEF2463F6B}</author>
    <author>tc={E31D4A2F-29EA-4547-96C4-3AB95096E010}</author>
    <author>tc={6CE0E1FB-FF80-430F-AAA8-C82BCE95E72E}</author>
    <author>tc={35D5BC99-A9AB-4CE9-89E0-6402CD4992AE}</author>
    <author>tc={B55A3B61-DA4C-496E-8D3C-94F27F7F3827}</author>
  </authors>
  <commentList>
    <comment ref="AU2" authorId="0" shapeId="0" xr:uid="{36229238-CA13-4B76-B895-191CE44F252A}">
      <text>
        <t>[Threaded comment]
Your version of Excel allows you to read this threaded comment; however, any edits to it will get removed if the file is opened in a newer version of Excel. Learn more: https://go.microsoft.com/fwlink/?linkid=870924
Comment:
    Muudata koos. Erandis ainult muuta!!!</t>
      </text>
    </comment>
    <comment ref="AF6" authorId="1" shapeId="0" xr:uid="{9A16F476-92A4-4617-9179-A324CD2F5B41}">
      <text>
        <t>[Threaded comment]
Your version of Excel allows you to read this threaded comment; however, any edits to it will get removed if the file is opened in a newer version of Excel. Learn more: https://go.microsoft.com/fwlink/?linkid=870924
Comment:
    Faasimine-20 min/jm;
välalõike, käsipl-5 min/jm.</t>
      </text>
    </comment>
    <comment ref="AH6" authorId="2" shapeId="0" xr:uid="{A66F8036-8EE0-45C3-992A-3B5FBD164B25}">
      <text>
        <t>[Threaded comment]
Your version of Excel allows you to read this threaded comment; however, any edits to it will get removed if the file is opened in a newer version of Excel. Learn more: https://go.microsoft.com/fwlink/?linkid=870924
Comment:
    Ettevalmistus</t>
      </text>
    </comment>
    <comment ref="AK6" authorId="3" shapeId="0" xr:uid="{36398D14-1C0B-4FEF-86DC-E1AEEA65C65C}">
      <text>
        <t>[Threaded comment]
Your version of Excel allows you to read this threaded comment; however, any edits to it will get removed if the file is opened in a newer version of Excel. Learn more: https://go.microsoft.com/fwlink/?linkid=870924
Comment:
    Keevitus - makroses - 10 min/jm</t>
      </text>
    </comment>
    <comment ref="BA6" authorId="4" shapeId="0" xr:uid="{C26BD28E-03CF-446C-ADED-4DC937817AB4}">
      <text>
        <t>[Threaded comment]
Your version of Excel allows you to read this threaded comment; however, any edits to it will get removed if the file is opened in a newer version of Excel. Learn more: https://go.microsoft.com/fwlink/?linkid=870924
Comment:
    Preparation grade P3</t>
      </text>
    </comment>
    <comment ref="Y7" authorId="5" shapeId="0" xr:uid="{AA12C11F-AAC7-442B-949C-2544555FFFA2}">
      <text>
        <t>[Threaded comment]
Your version of Excel allows you to read this threaded comment; however, any edits to it will get removed if the file is opened in a newer version of Excel. Learn more: https://go.microsoft.com/fwlink/?linkid=870924
Comment:
    Alamkoostu kontroll???</t>
      </text>
    </comment>
    <comment ref="AS11" authorId="6" shapeId="0" xr:uid="{95A5653E-7EA2-4177-BF09-B2FA7B529EF4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Materiali kasum
</t>
      </text>
    </comment>
    <comment ref="AS16" authorId="7" shapeId="0" xr:uid="{4D80C12D-9AF4-46EC-984A-816CB2FAE032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Materiali kasum
</t>
      </text>
    </comment>
    <comment ref="AD22" authorId="8" shapeId="0" xr:uid="{7BDEFA6F-C567-45E6-A534-436499B8C184}">
      <text>
        <r>
          <rPr>
            <b/>
            <sz val="9"/>
            <color indexed="81"/>
            <rFont val="Tahoma"/>
            <family val="2"/>
          </rPr>
          <t xml:space="preserve">oksana:
</t>
        </r>
        <r>
          <rPr>
            <sz val="9"/>
            <color indexed="81"/>
            <rFont val="Tahoma"/>
            <family val="2"/>
          </rPr>
          <t>Puhastame plaati, kui:
- see on WQ 
-  paksus suurem kui 20mm
- sõltumata pakusest gabariit suurem kui 300mm</t>
        </r>
      </text>
    </comment>
    <comment ref="AG22" authorId="9" shapeId="0" xr:uid="{89361EFC-0E1F-4BF5-B096-5CBB965F403E}">
      <text>
        <t>[Threaded comment]
Your version of Excel allows you to read this threaded comment; however, any edits to it will get removed if the file is opened in a newer version of Excel. Learn more: https://go.microsoft.com/fwlink/?linkid=870924
Comment:
    Alates pl35-lisaaeg avade tegemiseks</t>
      </text>
    </comment>
    <comment ref="AK22" authorId="10" shapeId="0" xr:uid="{9B2605FB-84F6-4CC7-ADCC-2B18C50D8904}">
      <text>
        <t>[Threaded comment]
Your version of Excel allows you to read this threaded comment; however, any edits to it will get removed if the file is opened in a newer version of Excel. Learn more: https://go.microsoft.com/fwlink/?linkid=870924
Comment:
    Põkkimiste läbimiteaev plaatidele pl5-pl100</t>
      </text>
    </comment>
    <comment ref="AD23" authorId="8" shapeId="0" xr:uid="{7E206A35-6F79-4C6F-A4D4-28CFE79AEC24}">
      <text>
        <r>
          <rPr>
            <b/>
            <sz val="9"/>
            <color indexed="81"/>
            <rFont val="Tahoma"/>
            <family val="2"/>
          </rPr>
          <t xml:space="preserve">oksana:
</t>
        </r>
        <r>
          <rPr>
            <sz val="9"/>
            <color indexed="81"/>
            <rFont val="Tahoma"/>
            <family val="2"/>
          </rPr>
          <t>Puhastame plaati, kui:
- see on WQ 
-  paksus suurem kui 20mm
- sõltumata pakusest gabariit suurem kui 300mm</t>
        </r>
      </text>
    </comment>
    <comment ref="AG23" authorId="11" shapeId="0" xr:uid="{318434D1-41EB-4498-A28F-C9A67C882F1B}">
      <text>
        <t>[Threaded comment]
Your version of Excel allows you to read this threaded comment; however, any edits to it will get removed if the file is opened in a newer version of Excel. Learn more: https://go.microsoft.com/fwlink/?linkid=870924
Comment:
    Alates pl35-lisaaeg avade tegemiseks</t>
      </text>
    </comment>
    <comment ref="AD24" authorId="8" shapeId="0" xr:uid="{E28A72C4-A346-4180-BB4F-38B882A8B2BA}">
      <text>
        <r>
          <rPr>
            <b/>
            <sz val="9"/>
            <color indexed="81"/>
            <rFont val="Tahoma"/>
            <family val="2"/>
          </rPr>
          <t xml:space="preserve">oksana:
</t>
        </r>
        <r>
          <rPr>
            <sz val="9"/>
            <color indexed="81"/>
            <rFont val="Tahoma"/>
            <family val="2"/>
          </rPr>
          <t>Puhastame plaati, kui:
- see on WQ 
-  paksus suurem kui 20mm
- sõltumata pakusest gabariit suurem kui 300mm</t>
        </r>
      </text>
    </comment>
    <comment ref="AG24" authorId="12" shapeId="0" xr:uid="{C436C45D-8660-406F-B281-49964E067CC8}">
      <text>
        <t>[Threaded comment]
Your version of Excel allows you to read this threaded comment; however, any edits to it will get removed if the file is opened in a newer version of Excel. Learn more: https://go.microsoft.com/fwlink/?linkid=870924
Comment:
    Alates pl35-lisaaeg avade tegemiseks</t>
      </text>
    </comment>
    <comment ref="AD25" authorId="8" shapeId="0" xr:uid="{EB693EA8-FC0F-4D32-8103-5D4C18CAC900}">
      <text>
        <r>
          <rPr>
            <b/>
            <sz val="9"/>
            <color indexed="81"/>
            <rFont val="Tahoma"/>
            <family val="2"/>
          </rPr>
          <t xml:space="preserve">oksana:
</t>
        </r>
        <r>
          <rPr>
            <sz val="9"/>
            <color indexed="81"/>
            <rFont val="Tahoma"/>
            <family val="2"/>
          </rPr>
          <t>Puhastame plaati, kui:
- see on WQ 
-  paksus suurem kui 20mm
- sõltumata pakusest gabariit suurem kui 300mm</t>
        </r>
      </text>
    </comment>
    <comment ref="AG25" authorId="13" shapeId="0" xr:uid="{FD876CDF-69B8-422B-8772-59829AA886ED}">
      <text>
        <t>[Threaded comment]
Your version of Excel allows you to read this threaded comment; however, any edits to it will get removed if the file is opened in a newer version of Excel. Learn more: https://go.microsoft.com/fwlink/?linkid=870924
Comment:
    Alates pl35-lisaaeg avade tegemiseks</t>
      </text>
    </comment>
    <comment ref="AD26" authorId="8" shapeId="0" xr:uid="{C91382C7-D736-413C-9FC1-4C6255BA7757}">
      <text>
        <r>
          <rPr>
            <b/>
            <sz val="9"/>
            <color indexed="81"/>
            <rFont val="Tahoma"/>
            <family val="2"/>
          </rPr>
          <t xml:space="preserve">oksana:
</t>
        </r>
        <r>
          <rPr>
            <sz val="9"/>
            <color indexed="81"/>
            <rFont val="Tahoma"/>
            <family val="2"/>
          </rPr>
          <t>Puhastame plaati, kui:
- see on WQ 
-  paksus suurem kui 20mm
- sõltumata pakusest gabariit suurem kui 300mm</t>
        </r>
      </text>
    </comment>
    <comment ref="AG26" authorId="14" shapeId="0" xr:uid="{49D7EC1B-CA0D-4221-99A7-29819685947B}">
      <text>
        <t>[Threaded comment]
Your version of Excel allows you to read this threaded comment; however, any edits to it will get removed if the file is opened in a newer version of Excel. Learn more: https://go.microsoft.com/fwlink/?linkid=870924
Comment:
    Alates pl35-lisaaeg avade tegemiseks</t>
      </text>
    </comment>
    <comment ref="AG27" authorId="15" shapeId="0" xr:uid="{223456DF-C253-4CB3-9DB9-5F609709C047}">
      <text>
        <t>[Threaded comment]
Your version of Excel allows you to read this threaded comment; however, any edits to it will get removed if the file is opened in a newer version of Excel. Learn more: https://go.microsoft.com/fwlink/?linkid=870924
Comment:
    Alates pl35-lisaaeg avade tegemiseks</t>
      </text>
    </comment>
    <comment ref="AD28" authorId="8" shapeId="0" xr:uid="{8CD36DA6-2534-4E78-BB61-9701816E6D79}">
      <text>
        <r>
          <rPr>
            <b/>
            <sz val="9"/>
            <color indexed="81"/>
            <rFont val="Tahoma"/>
            <family val="2"/>
          </rPr>
          <t xml:space="preserve">oksana:
</t>
        </r>
        <r>
          <rPr>
            <sz val="9"/>
            <color indexed="81"/>
            <rFont val="Tahoma"/>
            <family val="2"/>
          </rPr>
          <t>Puhastame plaati, kui:
- see on WQ 
-  paksus suurem kui 20mm
- sõltumata pakusest gabariit suurem kui 300mm</t>
        </r>
      </text>
    </comment>
    <comment ref="AG28" authorId="16" shapeId="0" xr:uid="{17A15277-FF63-43E5-9835-1B4F0F49181E}">
      <text>
        <t>[Threaded comment]
Your version of Excel allows you to read this threaded comment; however, any edits to it will get removed if the file is opened in a newer version of Excel. Learn more: https://go.microsoft.com/fwlink/?linkid=870924
Comment:
    Alates pl35-lisaaeg avade tegemiseks</t>
      </text>
    </comment>
    <comment ref="AD29" authorId="8" shapeId="0" xr:uid="{78248667-00EF-40DE-8F52-97C79C84067A}">
      <text>
        <r>
          <rPr>
            <b/>
            <sz val="9"/>
            <color indexed="81"/>
            <rFont val="Tahoma"/>
            <family val="2"/>
          </rPr>
          <t xml:space="preserve">oksana:
</t>
        </r>
        <r>
          <rPr>
            <sz val="9"/>
            <color indexed="81"/>
            <rFont val="Tahoma"/>
            <family val="2"/>
          </rPr>
          <t>Puhastame plaati, kui:
- see on WQ 
-  paksus suurem kui 20mm
- sõltumata pakusest gabariit suurem kui 300mm</t>
        </r>
      </text>
    </comment>
    <comment ref="AG29" authorId="17" shapeId="0" xr:uid="{16805C95-2868-4991-9099-C1585E3FAEA8}">
      <text>
        <t>[Threaded comment]
Your version of Excel allows you to read this threaded comment; however, any edits to it will get removed if the file is opened in a newer version of Excel. Learn more: https://go.microsoft.com/fwlink/?linkid=870924
Comment:
    Alates pl35-lisaaeg avade tegemiseks</t>
      </text>
    </comment>
    <comment ref="AD30" authorId="8" shapeId="0" xr:uid="{80376F4A-BAB4-4286-81C7-3453FEB549F7}">
      <text>
        <r>
          <rPr>
            <b/>
            <sz val="9"/>
            <color indexed="81"/>
            <rFont val="Tahoma"/>
            <family val="2"/>
          </rPr>
          <t xml:space="preserve">oksana:
</t>
        </r>
        <r>
          <rPr>
            <sz val="9"/>
            <color indexed="81"/>
            <rFont val="Tahoma"/>
            <family val="2"/>
          </rPr>
          <t>Puhastame plaati, kui:
- see on WQ 
-  paksus suurem kui 20mm
- sõltumata pakusest gabariit suurem kui 300mm</t>
        </r>
      </text>
    </comment>
    <comment ref="AG30" authorId="18" shapeId="0" xr:uid="{D0AB8641-5510-439D-AAFA-31FA5ADE3F39}">
      <text>
        <t>[Threaded comment]
Your version of Excel allows you to read this threaded comment; however, any edits to it will get removed if the file is opened in a newer version of Excel. Learn more: https://go.microsoft.com/fwlink/?linkid=870924
Comment:
    Alates pl35-lisaaeg avade tegemiseks</t>
      </text>
    </comment>
    <comment ref="AD31" authorId="8" shapeId="0" xr:uid="{D60C1F2C-E24D-440F-BEF7-C04B68CB0F32}">
      <text>
        <r>
          <rPr>
            <b/>
            <sz val="9"/>
            <color indexed="81"/>
            <rFont val="Tahoma"/>
            <family val="2"/>
          </rPr>
          <t xml:space="preserve">oksana:
</t>
        </r>
        <r>
          <rPr>
            <sz val="9"/>
            <color indexed="81"/>
            <rFont val="Tahoma"/>
            <family val="2"/>
          </rPr>
          <t>Puhastame plaati, kui:
- see on WQ 
-  paksus suurem kui 20mm
- sõltumata pakusest gabariit suurem kui 300mm</t>
        </r>
      </text>
    </comment>
    <comment ref="AG31" authorId="19" shapeId="0" xr:uid="{2612A058-3201-4CF9-B98F-CFBB9C1B27C5}">
      <text>
        <t>[Threaded comment]
Your version of Excel allows you to read this threaded comment; however, any edits to it will get removed if the file is opened in a newer version of Excel. Learn more: https://go.microsoft.com/fwlink/?linkid=870924
Comment:
    Alates pl35-lisaaeg avade tegemiseks</t>
      </text>
    </comment>
    <comment ref="AK32" authorId="20" shapeId="0" xr:uid="{C7092419-FA61-4F86-927B-735FB5770AB2}">
      <text>
        <t>[Threaded comment]
Your version of Excel allows you to read this threaded comment; however, any edits to it will get removed if the file is opened in a newer version of Excel. Learn more: https://go.microsoft.com/fwlink/?linkid=870924
Comment:
    profiili tüüp 1 või 2 (vaata "abifalis")</t>
      </text>
    </comment>
    <comment ref="AK33" authorId="21" shapeId="0" xr:uid="{F3D529B2-7B03-49B8-837B-55E470266A0C}">
      <text>
        <t>[Threaded comment]
Your version of Excel allows you to read this threaded comment; however, any edits to it will get removed if the file is opened in a newer version of Excel. Learn more: https://go.microsoft.com/fwlink/?linkid=870924
Comment:
    profiili tüüp 1 või 2 (vaata "abifalis")</t>
      </text>
    </comment>
    <comment ref="AD34" authorId="8" shapeId="0" xr:uid="{D66CB7B3-BDAD-4F08-8364-35E3DEF33E4E}">
      <text>
        <r>
          <rPr>
            <b/>
            <sz val="9"/>
            <color indexed="81"/>
            <rFont val="Tahoma"/>
            <family val="2"/>
          </rPr>
          <t xml:space="preserve">oksana:
</t>
        </r>
        <r>
          <rPr>
            <sz val="9"/>
            <color indexed="81"/>
            <rFont val="Tahoma"/>
            <family val="2"/>
          </rPr>
          <t>Puhastame plaati, kui:
- see on WQ 
-  paksus suurem kui 20mm
- sõltumata pakusest gabariit suurem kui 300mm</t>
        </r>
      </text>
    </comment>
    <comment ref="AG34" authorId="22" shapeId="0" xr:uid="{7E08ACB4-2297-4088-BBF9-92670884A0F0}">
      <text>
        <t>[Threaded comment]
Your version of Excel allows you to read this threaded comment; however, any edits to it will get removed if the file is opened in a newer version of Excel. Learn more: https://go.microsoft.com/fwlink/?linkid=870924
Comment:
    Alates pl35-lisaaeg avade tegemiseks</t>
      </text>
    </comment>
    <comment ref="AD39" authorId="8" shapeId="0" xr:uid="{BBB4CC76-B8F4-4AFD-9902-D011B0480D58}">
      <text>
        <r>
          <rPr>
            <b/>
            <sz val="9"/>
            <color indexed="81"/>
            <rFont val="Tahoma"/>
            <family val="2"/>
          </rPr>
          <t xml:space="preserve">oksana:
</t>
        </r>
        <r>
          <rPr>
            <sz val="9"/>
            <color indexed="81"/>
            <rFont val="Tahoma"/>
            <family val="2"/>
          </rPr>
          <t>Puhastame plaati, kui:
- see on WQ 
-  paksus suurem kui 20mm
- sõltumata pakusest gabariit suurem kui 300mm</t>
        </r>
      </text>
    </comment>
    <comment ref="AG39" authorId="23" shapeId="0" xr:uid="{56A666BF-A85F-48BC-BE96-AD59534BB063}">
      <text>
        <t>[Threaded comment]
Your version of Excel allows you to read this threaded comment; however, any edits to it will get removed if the file is opened in a newer version of Excel. Learn more: https://go.microsoft.com/fwlink/?linkid=870924
Comment:
    Alates pl35-lisaaeg avade tegemiseks</t>
      </text>
    </comment>
    <comment ref="AK39" authorId="24" shapeId="0" xr:uid="{22D28F93-B763-43C3-A4B4-0E13D005EB05}">
      <text>
        <t>[Threaded comment]
Your version of Excel allows you to read this threaded comment; however, any edits to it will get removed if the file is opened in a newer version of Excel. Learn more: https://go.microsoft.com/fwlink/?linkid=870924
Comment:
    Põkkimiste läbimiteaev plaatidele pl5-pl100</t>
      </text>
    </comment>
    <comment ref="AD40" authorId="8" shapeId="0" xr:uid="{F1484B9A-1AA6-4278-93FE-73D9CD915AB7}">
      <text>
        <r>
          <rPr>
            <b/>
            <sz val="9"/>
            <color indexed="81"/>
            <rFont val="Tahoma"/>
            <family val="2"/>
          </rPr>
          <t xml:space="preserve">oksana:
</t>
        </r>
        <r>
          <rPr>
            <sz val="9"/>
            <color indexed="81"/>
            <rFont val="Tahoma"/>
            <family val="2"/>
          </rPr>
          <t>Puhastame plaati, kui:
- see on WQ 
-  paksus suurem kui 20mm
- sõltumata pakusest gabariit suurem kui 300mm</t>
        </r>
      </text>
    </comment>
    <comment ref="AG40" authorId="25" shapeId="0" xr:uid="{E33B9454-E1AD-4101-8EF8-CAA7E6B34E8C}">
      <text>
        <t>[Threaded comment]
Your version of Excel allows you to read this threaded comment; however, any edits to it will get removed if the file is opened in a newer version of Excel. Learn more: https://go.microsoft.com/fwlink/?linkid=870924
Comment:
    Alates pl35-lisaaeg avade tegemiseks</t>
      </text>
    </comment>
    <comment ref="AD45" authorId="8" shapeId="0" xr:uid="{B4116B2A-F3E0-4907-9B09-4D15692020E2}">
      <text>
        <r>
          <rPr>
            <b/>
            <sz val="9"/>
            <color indexed="81"/>
            <rFont val="Tahoma"/>
            <family val="2"/>
          </rPr>
          <t xml:space="preserve">oksana:
</t>
        </r>
        <r>
          <rPr>
            <sz val="9"/>
            <color indexed="81"/>
            <rFont val="Tahoma"/>
            <family val="2"/>
          </rPr>
          <t>Puhastame plaati, kui:
- see on WQ 
-  paksus suurem kui 20mm
- sõltumata pakusest gabariit suurem kui 300mm</t>
        </r>
      </text>
    </comment>
    <comment ref="AG45" authorId="26" shapeId="0" xr:uid="{589AC605-5350-462F-A5F5-D1F9FB08A370}">
      <text>
        <t>[Threaded comment]
Your version of Excel allows you to read this threaded comment; however, any edits to it will get removed if the file is opened in a newer version of Excel. Learn more: https://go.microsoft.com/fwlink/?linkid=870924
Comment:
    Alates pl35-lisaaeg avade tegemiseks</t>
      </text>
    </comment>
    <comment ref="AK45" authorId="27" shapeId="0" xr:uid="{C25178ED-9617-437E-9B38-7A995AB4C803}">
      <text>
        <t>[Threaded comment]
Your version of Excel allows you to read this threaded comment; however, any edits to it will get removed if the file is opened in a newer version of Excel. Learn more: https://go.microsoft.com/fwlink/?linkid=870924
Comment:
    Põkkimiste läbimiteaev plaatidele pl5-pl100</t>
      </text>
    </comment>
    <comment ref="AD46" authorId="8" shapeId="0" xr:uid="{8DDA60C1-DAD1-486F-88C5-0626D9673AB8}">
      <text>
        <r>
          <rPr>
            <b/>
            <sz val="9"/>
            <color indexed="81"/>
            <rFont val="Tahoma"/>
            <family val="2"/>
          </rPr>
          <t xml:space="preserve">oksana:
</t>
        </r>
        <r>
          <rPr>
            <sz val="9"/>
            <color indexed="81"/>
            <rFont val="Tahoma"/>
            <family val="2"/>
          </rPr>
          <t>Puhastame plaati, kui:
- see on WQ 
-  paksus suurem kui 20mm
- sõltumata pakusest gabariit suurem kui 300mm</t>
        </r>
      </text>
    </comment>
    <comment ref="AG46" authorId="28" shapeId="0" xr:uid="{03C08745-927A-4D22-9354-FDA49F6FCDD9}">
      <text>
        <t>[Threaded comment]
Your version of Excel allows you to read this threaded comment; however, any edits to it will get removed if the file is opened in a newer version of Excel. Learn more: https://go.microsoft.com/fwlink/?linkid=870924
Comment:
    Alates pl35-lisaaeg avade tegemiseks</t>
      </text>
    </comment>
    <comment ref="AD47" authorId="8" shapeId="0" xr:uid="{FD921980-2146-401E-AC96-A60F244BA2D9}">
      <text>
        <r>
          <rPr>
            <b/>
            <sz val="9"/>
            <color indexed="81"/>
            <rFont val="Tahoma"/>
            <family val="2"/>
          </rPr>
          <t xml:space="preserve">oksana:
</t>
        </r>
        <r>
          <rPr>
            <sz val="9"/>
            <color indexed="81"/>
            <rFont val="Tahoma"/>
            <family val="2"/>
          </rPr>
          <t>Puhastame plaati, kui:
- see on WQ 
-  paksus suurem kui 20mm
- sõltumata pakusest gabariit suurem kui 300mm</t>
        </r>
      </text>
    </comment>
    <comment ref="AG47" authorId="29" shapeId="0" xr:uid="{20918665-C1D1-4529-88BC-A57CC08AF615}">
      <text>
        <t>[Threaded comment]
Your version of Excel allows you to read this threaded comment; however, any edits to it will get removed if the file is opened in a newer version of Excel. Learn more: https://go.microsoft.com/fwlink/?linkid=870924
Comment:
    Alates pl35-lisaaeg avade tegemiseks</t>
      </text>
    </comment>
    <comment ref="AD48" authorId="8" shapeId="0" xr:uid="{DA9D854C-3B90-4286-890E-0BCE2639F7B7}">
      <text>
        <r>
          <rPr>
            <b/>
            <sz val="9"/>
            <color indexed="81"/>
            <rFont val="Tahoma"/>
            <family val="2"/>
          </rPr>
          <t xml:space="preserve">oksana:
</t>
        </r>
        <r>
          <rPr>
            <sz val="9"/>
            <color indexed="81"/>
            <rFont val="Tahoma"/>
            <family val="2"/>
          </rPr>
          <t>Puhastame plaati, kui:
- see on WQ 
-  paksus suurem kui 20mm
- sõltumata pakusest gabariit suurem kui 300mm</t>
        </r>
      </text>
    </comment>
    <comment ref="AG48" authorId="30" shapeId="0" xr:uid="{367153C0-8CA7-4A84-84CC-6A60C5C219E1}">
      <text>
        <t>[Threaded comment]
Your version of Excel allows you to read this threaded comment; however, any edits to it will get removed if the file is opened in a newer version of Excel. Learn more: https://go.microsoft.com/fwlink/?linkid=870924
Comment:
    Alates pl35-lisaaeg avade tegemiseks</t>
      </text>
    </comment>
    <comment ref="AD49" authorId="8" shapeId="0" xr:uid="{BF32EB02-FD15-4B2F-8C81-E91FB233BAE5}">
      <text>
        <r>
          <rPr>
            <b/>
            <sz val="9"/>
            <color indexed="81"/>
            <rFont val="Tahoma"/>
            <family val="2"/>
          </rPr>
          <t xml:space="preserve">oksana:
</t>
        </r>
        <r>
          <rPr>
            <sz val="9"/>
            <color indexed="81"/>
            <rFont val="Tahoma"/>
            <family val="2"/>
          </rPr>
          <t>Puhastame plaati, kui:
- see on WQ 
-  paksus suurem kui 20mm
- sõltumata pakusest gabariit suurem kui 300mm</t>
        </r>
      </text>
    </comment>
    <comment ref="AG49" authorId="31" shapeId="0" xr:uid="{995E1696-464D-476B-A38A-0A754E011F2C}">
      <text>
        <t>[Threaded comment]
Your version of Excel allows you to read this threaded comment; however, any edits to it will get removed if the file is opened in a newer version of Excel. Learn more: https://go.microsoft.com/fwlink/?linkid=870924
Comment:
    Alates pl35-lisaaeg avade tegemiseks</t>
      </text>
    </comment>
    <comment ref="AD50" authorId="8" shapeId="0" xr:uid="{E9BB96A4-6709-43AA-9D4D-39C8740B504A}">
      <text>
        <r>
          <rPr>
            <b/>
            <sz val="9"/>
            <color indexed="81"/>
            <rFont val="Tahoma"/>
            <family val="2"/>
          </rPr>
          <t xml:space="preserve">oksana:
</t>
        </r>
        <r>
          <rPr>
            <sz val="9"/>
            <color indexed="81"/>
            <rFont val="Tahoma"/>
            <family val="2"/>
          </rPr>
          <t>Puhastame plaati, kui:
- see on WQ 
-  paksus suurem kui 20mm
- sõltumata pakusest gabariit suurem kui 300mm</t>
        </r>
      </text>
    </comment>
    <comment ref="AG50" authorId="32" shapeId="0" xr:uid="{5B7CFB3A-E0AB-4709-8759-F7210B319B83}">
      <text>
        <t>[Threaded comment]
Your version of Excel allows you to read this threaded comment; however, any edits to it will get removed if the file is opened in a newer version of Excel. Learn more: https://go.microsoft.com/fwlink/?linkid=870924
Comment:
    Alates pl35-lisaaeg avade tegemiseks</t>
      </text>
    </comment>
    <comment ref="AD51" authorId="8" shapeId="0" xr:uid="{6FC5A5E7-BEC0-4A62-B637-D7FB8A0A24E7}">
      <text>
        <r>
          <rPr>
            <b/>
            <sz val="9"/>
            <color indexed="81"/>
            <rFont val="Tahoma"/>
            <family val="2"/>
          </rPr>
          <t xml:space="preserve">oksana:
</t>
        </r>
        <r>
          <rPr>
            <sz val="9"/>
            <color indexed="81"/>
            <rFont val="Tahoma"/>
            <family val="2"/>
          </rPr>
          <t>Puhastame plaati, kui:
- see on WQ 
-  paksus suurem kui 20mm
- sõltumata pakusest gabariit suurem kui 300mm</t>
        </r>
      </text>
    </comment>
    <comment ref="AG51" authorId="33" shapeId="0" xr:uid="{455826A4-9552-4D47-A661-44AC9145AB1F}">
      <text>
        <t>[Threaded comment]
Your version of Excel allows you to read this threaded comment; however, any edits to it will get removed if the file is opened in a newer version of Excel. Learn more: https://go.microsoft.com/fwlink/?linkid=870924
Comment:
    Alates pl35-lisaaeg avade tegemiseks</t>
      </text>
    </comment>
    <comment ref="AD52" authorId="8" shapeId="0" xr:uid="{5827249A-864B-4F01-8CAE-8D2BAE248A4F}">
      <text>
        <r>
          <rPr>
            <b/>
            <sz val="9"/>
            <color indexed="81"/>
            <rFont val="Tahoma"/>
            <family val="2"/>
          </rPr>
          <t xml:space="preserve">oksana:
</t>
        </r>
        <r>
          <rPr>
            <sz val="9"/>
            <color indexed="81"/>
            <rFont val="Tahoma"/>
            <family val="2"/>
          </rPr>
          <t>Puhastame plaati, kui:
- see on WQ 
-  paksus suurem kui 20mm
- sõltumata pakusest gabariit suurem kui 300mm</t>
        </r>
      </text>
    </comment>
    <comment ref="AG52" authorId="34" shapeId="0" xr:uid="{CE8BB80C-0872-422B-8A66-5D92BD841E17}">
      <text>
        <t>[Threaded comment]
Your version of Excel allows you to read this threaded comment; however, any edits to it will get removed if the file is opened in a newer version of Excel. Learn more: https://go.microsoft.com/fwlink/?linkid=870924
Comment:
    Alates pl35-lisaaeg avade tegemiseks</t>
      </text>
    </comment>
    <comment ref="AK53" authorId="35" shapeId="0" xr:uid="{1D2E484F-EBC0-4D1C-BC0C-309C46DD80B1}">
      <text>
        <t>[Threaded comment]
Your version of Excel allows you to read this threaded comment; however, any edits to it will get removed if the file is opened in a newer version of Excel. Learn more: https://go.microsoft.com/fwlink/?linkid=870924
Comment:
    profiili tüüp 1 või 2 (vaata "abifalis")</t>
      </text>
    </comment>
    <comment ref="AD54" authorId="8" shapeId="0" xr:uid="{360008FA-BC2B-422A-9965-472136C2DA47}">
      <text>
        <r>
          <rPr>
            <b/>
            <sz val="9"/>
            <color indexed="81"/>
            <rFont val="Tahoma"/>
            <family val="2"/>
          </rPr>
          <t xml:space="preserve">oksana:
</t>
        </r>
        <r>
          <rPr>
            <sz val="9"/>
            <color indexed="81"/>
            <rFont val="Tahoma"/>
            <family val="2"/>
          </rPr>
          <t>Puhastame plaati, kui:
- see on WQ 
-  paksus suurem kui 20mm
- sõltumata pakusest gabariit suurem kui 300mm</t>
        </r>
      </text>
    </comment>
    <comment ref="AG54" authorId="36" shapeId="0" xr:uid="{71F5C677-351A-4B53-8F41-D73C8D0C267E}">
      <text>
        <t>[Threaded comment]
Your version of Excel allows you to read this threaded comment; however, any edits to it will get removed if the file is opened in a newer version of Excel. Learn more: https://go.microsoft.com/fwlink/?linkid=870924
Comment:
    Alates pl35-lisaaeg avade tegemiseks</t>
      </text>
    </comment>
    <comment ref="AK55" authorId="37" shapeId="0" xr:uid="{F179B6B6-4185-4B9B-910C-8A43C8D63256}">
      <text>
        <t>[Threaded comment]
Your version of Excel allows you to read this threaded comment; however, any edits to it will get removed if the file is opened in a newer version of Excel. Learn more: https://go.microsoft.com/fwlink/?linkid=870924
Comment:
    profiili tüüp 1 või 2 (vaata "abifalis")</t>
      </text>
    </comment>
    <comment ref="AG60" authorId="38" shapeId="0" xr:uid="{D9A86088-F91D-42C6-9E6E-4339A311B8FF}">
      <text>
        <t>[Threaded comment]
Your version of Excel allows you to read this threaded comment; however, any edits to it will get removed if the file is opened in a newer version of Excel. Learn more: https://go.microsoft.com/fwlink/?linkid=870924
Comment:
    Alates pl35-lisaaeg avade tegemiseks</t>
      </text>
    </comment>
    <comment ref="AK60" authorId="39" shapeId="0" xr:uid="{9841940D-9D67-4392-BF4F-CF92039D1C56}">
      <text>
        <t>[Threaded comment]
Your version of Excel allows you to read this threaded comment; however, any edits to it will get removed if the file is opened in a newer version of Excel. Learn more: https://go.microsoft.com/fwlink/?linkid=870924
Comment:
    Põkkimiste läbimiteaev plaatidele pl5-pl100</t>
      </text>
    </comment>
    <comment ref="AG61" authorId="40" shapeId="0" xr:uid="{E127799D-4174-4B89-8727-1BF0804F7083}">
      <text>
        <t>[Threaded comment]
Your version of Excel allows you to read this threaded comment; however, any edits to it will get removed if the file is opened in a newer version of Excel. Learn more: https://go.microsoft.com/fwlink/?linkid=870924
Comment:
    Alates pl35-lisaaeg avade tegemiseks</t>
      </text>
    </comment>
    <comment ref="AD62" authorId="8" shapeId="0" xr:uid="{21968282-BC14-4C6F-8419-0B1CC37DE707}">
      <text>
        <r>
          <rPr>
            <b/>
            <sz val="9"/>
            <color indexed="81"/>
            <rFont val="Tahoma"/>
            <family val="2"/>
          </rPr>
          <t xml:space="preserve">oksana:
</t>
        </r>
        <r>
          <rPr>
            <sz val="9"/>
            <color indexed="81"/>
            <rFont val="Tahoma"/>
            <family val="2"/>
          </rPr>
          <t>Puhastame plaati, kui:
- see on WQ 
-  paksus suurem kui 20mm
- sõltumata pakusest gabariit suurem kui 300mm</t>
        </r>
      </text>
    </comment>
    <comment ref="AG62" authorId="41" shapeId="0" xr:uid="{9DB7FA75-5AAC-4A52-BD10-82439F3A25F8}">
      <text>
        <t>[Threaded comment]
Your version of Excel allows you to read this threaded comment; however, any edits to it will get removed if the file is opened in a newer version of Excel. Learn more: https://go.microsoft.com/fwlink/?linkid=870924
Comment:
    Alates pl35-lisaaeg avade tegemiseks</t>
      </text>
    </comment>
    <comment ref="AD63" authorId="8" shapeId="0" xr:uid="{30982A70-B80C-4E42-BA75-660AA64CC813}">
      <text>
        <r>
          <rPr>
            <b/>
            <sz val="9"/>
            <color indexed="81"/>
            <rFont val="Tahoma"/>
            <family val="2"/>
          </rPr>
          <t xml:space="preserve">oksana:
</t>
        </r>
        <r>
          <rPr>
            <sz val="9"/>
            <color indexed="81"/>
            <rFont val="Tahoma"/>
            <family val="2"/>
          </rPr>
          <t>Puhastame plaati, kui:
- see on WQ 
-  paksus suurem kui 20mm
- sõltumata pakusest gabariit suurem kui 300mm</t>
        </r>
      </text>
    </comment>
    <comment ref="AG63" authorId="42" shapeId="0" xr:uid="{3E679C1D-1739-453A-8244-AB2212B3FABD}">
      <text>
        <t>[Threaded comment]
Your version of Excel allows you to read this threaded comment; however, any edits to it will get removed if the file is opened in a newer version of Excel. Learn more: https://go.microsoft.com/fwlink/?linkid=870924
Comment:
    Alates pl35-lisaaeg avade tegemiseks</t>
      </text>
    </comment>
    <comment ref="AD64" authorId="8" shapeId="0" xr:uid="{C22BAD92-F34B-4B7C-A08D-21D865FE5FFA}">
      <text>
        <r>
          <rPr>
            <b/>
            <sz val="9"/>
            <color indexed="81"/>
            <rFont val="Tahoma"/>
            <family val="2"/>
          </rPr>
          <t xml:space="preserve">oksana:
</t>
        </r>
        <r>
          <rPr>
            <sz val="9"/>
            <color indexed="81"/>
            <rFont val="Tahoma"/>
            <family val="2"/>
          </rPr>
          <t>Puhastame plaati, kui:
- see on WQ 
-  paksus suurem kui 20mm
- sõltumata pakusest gabariit suurem kui 300mm</t>
        </r>
      </text>
    </comment>
    <comment ref="AG64" authorId="43" shapeId="0" xr:uid="{56526F6E-3EA2-4DFE-8685-D13292434E28}">
      <text>
        <t>[Threaded comment]
Your version of Excel allows you to read this threaded comment; however, any edits to it will get removed if the file is opened in a newer version of Excel. Learn more: https://go.microsoft.com/fwlink/?linkid=870924
Comment:
    Alates pl35-lisaaeg avade tegemiseks</t>
      </text>
    </comment>
    <comment ref="AD65" authorId="8" shapeId="0" xr:uid="{EB5F38B9-0253-49EE-AB5A-8D8308C4DC0F}">
      <text>
        <r>
          <rPr>
            <b/>
            <sz val="9"/>
            <color indexed="81"/>
            <rFont val="Tahoma"/>
            <family val="2"/>
          </rPr>
          <t xml:space="preserve">oksana:
</t>
        </r>
        <r>
          <rPr>
            <sz val="9"/>
            <color indexed="81"/>
            <rFont val="Tahoma"/>
            <family val="2"/>
          </rPr>
          <t>Puhastame plaati, kui:
- see on WQ 
-  paksus suurem kui 20mm
- sõltumata pakusest gabariit suurem kui 300mm</t>
        </r>
      </text>
    </comment>
    <comment ref="AG65" authorId="44" shapeId="0" xr:uid="{EF691E8B-B846-486A-B7D9-7E04B0FB82E4}">
      <text>
        <t>[Threaded comment]
Your version of Excel allows you to read this threaded comment; however, any edits to it will get removed if the file is opened in a newer version of Excel. Learn more: https://go.microsoft.com/fwlink/?linkid=870924
Comment:
    Alates pl35-lisaaeg avade tegemiseks</t>
      </text>
    </comment>
    <comment ref="AK66" authorId="45" shapeId="0" xr:uid="{01EE551C-7341-4C52-8E35-5424F3ED1910}">
      <text>
        <t>[Threaded comment]
Your version of Excel allows you to read this threaded comment; however, any edits to it will get removed if the file is opened in a newer version of Excel. Learn more: https://go.microsoft.com/fwlink/?linkid=870924
Comment:
    profiili tüüp 1 või 2 (vaata "abifalis")</t>
      </text>
    </comment>
    <comment ref="AD67" authorId="8" shapeId="0" xr:uid="{348D1F38-92CC-4038-9411-4423ECCA729A}">
      <text>
        <r>
          <rPr>
            <b/>
            <sz val="9"/>
            <color indexed="81"/>
            <rFont val="Tahoma"/>
            <family val="2"/>
          </rPr>
          <t xml:space="preserve">oksana:
</t>
        </r>
        <r>
          <rPr>
            <sz val="9"/>
            <color indexed="81"/>
            <rFont val="Tahoma"/>
            <family val="2"/>
          </rPr>
          <t>Puhastame plaati, kui:
- see on WQ 
-  paksus suurem kui 20mm
- sõltumata pakusest gabariit suurem kui 300mm</t>
        </r>
      </text>
    </comment>
    <comment ref="AG67" authorId="46" shapeId="0" xr:uid="{2228AB00-8A78-41D7-ADEC-A91DA0097FBC}">
      <text>
        <t>[Threaded comment]
Your version of Excel allows you to read this threaded comment; however, any edits to it will get removed if the file is opened in a newer version of Excel. Learn more: https://go.microsoft.com/fwlink/?linkid=870924
Comment:
    Alates pl35-lisaaeg avade tegemiseks</t>
      </text>
    </comment>
    <comment ref="AD68" authorId="8" shapeId="0" xr:uid="{D503F93B-45E0-4676-BF72-86763E1755B4}">
      <text>
        <r>
          <rPr>
            <b/>
            <sz val="9"/>
            <color indexed="81"/>
            <rFont val="Tahoma"/>
            <family val="2"/>
          </rPr>
          <t xml:space="preserve">oksana:
</t>
        </r>
        <r>
          <rPr>
            <sz val="9"/>
            <color indexed="81"/>
            <rFont val="Tahoma"/>
            <family val="2"/>
          </rPr>
          <t>Puhastame plaati, kui:
- see on WQ 
-  paksus suurem kui 20mm
- sõltumata pakusest gabariit suurem kui 300mm</t>
        </r>
      </text>
    </comment>
    <comment ref="AG68" authorId="47" shapeId="0" xr:uid="{B8243CE4-A48E-4A54-B46B-3E264B1D609C}">
      <text>
        <t>[Threaded comment]
Your version of Excel allows you to read this threaded comment; however, any edits to it will get removed if the file is opened in a newer version of Excel. Learn more: https://go.microsoft.com/fwlink/?linkid=870924
Comment:
    Alates pl35-lisaaeg avade tegemiseks</t>
      </text>
    </comment>
    <comment ref="AD69" authorId="8" shapeId="0" xr:uid="{7900BE31-4497-4FE2-8231-648BFC950BC8}">
      <text>
        <r>
          <rPr>
            <b/>
            <sz val="9"/>
            <color indexed="81"/>
            <rFont val="Tahoma"/>
            <family val="2"/>
          </rPr>
          <t xml:space="preserve">oksana:
</t>
        </r>
        <r>
          <rPr>
            <sz val="9"/>
            <color indexed="81"/>
            <rFont val="Tahoma"/>
            <family val="2"/>
          </rPr>
          <t>Puhastame plaati, kui:
- see on WQ 
-  paksus suurem kui 20mm
- sõltumata pakusest gabariit suurem kui 300mm</t>
        </r>
      </text>
    </comment>
    <comment ref="AG69" authorId="48" shapeId="0" xr:uid="{A810FE58-0EDC-444C-B850-3BCEDC952287}">
      <text>
        <t>[Threaded comment]
Your version of Excel allows you to read this threaded comment; however, any edits to it will get removed if the file is opened in a newer version of Excel. Learn more: https://go.microsoft.com/fwlink/?linkid=870924
Comment:
    Alates pl35-lisaaeg avade tegemiseks</t>
      </text>
    </comment>
    <comment ref="AK70" authorId="49" shapeId="0" xr:uid="{E4641F26-AD64-4A9C-8B8B-F094CB36FEA0}">
      <text>
        <t>[Threaded comment]
Your version of Excel allows you to read this threaded comment; however, any edits to it will get removed if the file is opened in a newer version of Excel. Learn more: https://go.microsoft.com/fwlink/?linkid=870924
Comment:
    profiili tüüp 1 või 2 (vaata "abifalis")</t>
      </text>
    </comment>
    <comment ref="AK71" authorId="50" shapeId="0" xr:uid="{D2A6A6BB-B757-4EC6-A29F-B769DD638710}">
      <text>
        <t>[Threaded comment]
Your version of Excel allows you to read this threaded comment; however, any edits to it will get removed if the file is opened in a newer version of Excel. Learn more: https://go.microsoft.com/fwlink/?linkid=870924
Comment:
    profiili tüüp 1 või 2 (vaata "abifalis")</t>
      </text>
    </comment>
    <comment ref="AD72" authorId="8" shapeId="0" xr:uid="{A41A1B54-DB33-44EC-AE58-7E7DE881DE27}">
      <text>
        <r>
          <rPr>
            <b/>
            <sz val="9"/>
            <color indexed="81"/>
            <rFont val="Tahoma"/>
            <family val="2"/>
          </rPr>
          <t xml:space="preserve">oksana:
</t>
        </r>
        <r>
          <rPr>
            <sz val="9"/>
            <color indexed="81"/>
            <rFont val="Tahoma"/>
            <family val="2"/>
          </rPr>
          <t>Puhastame plaati, kui:
- see on WQ 
-  paksus suurem kui 20mm
- sõltumata pakusest gabariit suurem kui 300mm</t>
        </r>
      </text>
    </comment>
    <comment ref="AG72" authorId="51" shapeId="0" xr:uid="{04B44046-00BA-4311-8236-5E5C3FAA5A7D}">
      <text>
        <t>[Threaded comment]
Your version of Excel allows you to read this threaded comment; however, any edits to it will get removed if the file is opened in a newer version of Excel. Learn more: https://go.microsoft.com/fwlink/?linkid=870924
Comment:
    Alates pl35-lisaaeg avade tegemiseks</t>
      </text>
    </comment>
    <comment ref="AD73" authorId="8" shapeId="0" xr:uid="{6F3E7552-3B7E-461F-B301-DEE162296A82}">
      <text>
        <r>
          <rPr>
            <b/>
            <sz val="9"/>
            <color indexed="81"/>
            <rFont val="Tahoma"/>
            <family val="2"/>
          </rPr>
          <t xml:space="preserve">oksana:
</t>
        </r>
        <r>
          <rPr>
            <sz val="9"/>
            <color indexed="81"/>
            <rFont val="Tahoma"/>
            <family val="2"/>
          </rPr>
          <t>Puhastame plaati, kui:
- see on WQ 
-  paksus suurem kui 20mm
- sõltumata pakusest gabariit suurem kui 300mm</t>
        </r>
      </text>
    </comment>
    <comment ref="AG73" authorId="52" shapeId="0" xr:uid="{B6E50EB4-FB08-4E76-A464-7D62DA7C7702}">
      <text>
        <t>[Threaded comment]
Your version of Excel allows you to read this threaded comment; however, any edits to it will get removed if the file is opened in a newer version of Excel. Learn more: https://go.microsoft.com/fwlink/?linkid=870924
Comment:
    Alates pl35-lisaaeg avade tegemiseks</t>
      </text>
    </comment>
    <comment ref="AD78" authorId="8" shapeId="0" xr:uid="{CAA0DD24-FEAC-449E-ABA5-A6AEE1500E59}">
      <text>
        <r>
          <rPr>
            <b/>
            <sz val="9"/>
            <color indexed="81"/>
            <rFont val="Tahoma"/>
            <family val="2"/>
          </rPr>
          <t xml:space="preserve">oksana:
</t>
        </r>
        <r>
          <rPr>
            <sz val="9"/>
            <color indexed="81"/>
            <rFont val="Tahoma"/>
            <family val="2"/>
          </rPr>
          <t>Puhastame plaati, kui:
- see on WQ 
-  paksus suurem kui 20mm
- sõltumata pakusest gabariit suurem kui 300mm</t>
        </r>
      </text>
    </comment>
    <comment ref="AG78" authorId="53" shapeId="0" xr:uid="{BC08EBA2-865C-4967-8E24-992604BE19AD}">
      <text>
        <t>[Threaded comment]
Your version of Excel allows you to read this threaded comment; however, any edits to it will get removed if the file is opened in a newer version of Excel. Learn more: https://go.microsoft.com/fwlink/?linkid=870924
Comment:
    Alates pl35-lisaaeg avade tegemiseks</t>
      </text>
    </comment>
    <comment ref="AK78" authorId="54" shapeId="0" xr:uid="{ACA7DFBB-8122-4B41-81A9-9950D3D21EEE}">
      <text>
        <t>[Threaded comment]
Your version of Excel allows you to read this threaded comment; however, any edits to it will get removed if the file is opened in a newer version of Excel. Learn more: https://go.microsoft.com/fwlink/?linkid=870924
Comment:
    Põkkimiste läbimiteaev plaatidele pl5-pl100</t>
      </text>
    </comment>
    <comment ref="AD79" authorId="8" shapeId="0" xr:uid="{71DA176F-D2A3-4E2A-820D-BC92688EACFC}">
      <text>
        <r>
          <rPr>
            <b/>
            <sz val="9"/>
            <color indexed="81"/>
            <rFont val="Tahoma"/>
            <family val="2"/>
          </rPr>
          <t xml:space="preserve">oksana:
</t>
        </r>
        <r>
          <rPr>
            <sz val="9"/>
            <color indexed="81"/>
            <rFont val="Tahoma"/>
            <family val="2"/>
          </rPr>
          <t>Puhastame plaati, kui:
- see on WQ 
-  paksus suurem kui 20mm
- sõltumata pakusest gabariit suurem kui 300mm</t>
        </r>
      </text>
    </comment>
    <comment ref="AG79" authorId="55" shapeId="0" xr:uid="{F49C0646-DC1D-438D-8112-333D915E38DE}">
      <text>
        <t>[Threaded comment]
Your version of Excel allows you to read this threaded comment; however, any edits to it will get removed if the file is opened in a newer version of Excel. Learn more: https://go.microsoft.com/fwlink/?linkid=870924
Comment:
    Alates pl35-lisaaeg avade tegemiseks</t>
      </text>
    </comment>
    <comment ref="AD80" authorId="8" shapeId="0" xr:uid="{DEF06927-5E2C-4178-87E1-03553E7F96CA}">
      <text>
        <r>
          <rPr>
            <b/>
            <sz val="9"/>
            <color indexed="81"/>
            <rFont val="Tahoma"/>
            <family val="2"/>
          </rPr>
          <t xml:space="preserve">oksana:
</t>
        </r>
        <r>
          <rPr>
            <sz val="9"/>
            <color indexed="81"/>
            <rFont val="Tahoma"/>
            <family val="2"/>
          </rPr>
          <t>Puhastame plaati, kui:
- see on WQ 
-  paksus suurem kui 20mm
- sõltumata pakusest gabariit suurem kui 300mm</t>
        </r>
      </text>
    </comment>
    <comment ref="AG80" authorId="56" shapeId="0" xr:uid="{2658CE27-6A67-4F05-B8D5-E6D3D892CB7D}">
      <text>
        <t>[Threaded comment]
Your version of Excel allows you to read this threaded comment; however, any edits to it will get removed if the file is opened in a newer version of Excel. Learn more: https://go.microsoft.com/fwlink/?linkid=870924
Comment:
    Alates pl35-lisaaeg avade tegemiseks</t>
      </text>
    </comment>
    <comment ref="AD81" authorId="8" shapeId="0" xr:uid="{758C98E9-A855-48CD-8C5D-56D28B62E1AF}">
      <text>
        <r>
          <rPr>
            <b/>
            <sz val="9"/>
            <color indexed="81"/>
            <rFont val="Tahoma"/>
            <family val="2"/>
          </rPr>
          <t xml:space="preserve">oksana:
</t>
        </r>
        <r>
          <rPr>
            <sz val="9"/>
            <color indexed="81"/>
            <rFont val="Tahoma"/>
            <family val="2"/>
          </rPr>
          <t>Puhastame plaati, kui:
- see on WQ 
-  paksus suurem kui 20mm
- sõltumata pakusest gabariit suurem kui 300mm</t>
        </r>
      </text>
    </comment>
    <comment ref="AG81" authorId="57" shapeId="0" xr:uid="{D86DFB63-144B-417A-B97B-AF650A85F158}">
      <text>
        <t>[Threaded comment]
Your version of Excel allows you to read this threaded comment; however, any edits to it will get removed if the file is opened in a newer version of Excel. Learn more: https://go.microsoft.com/fwlink/?linkid=870924
Comment:
    Alates pl35-lisaaeg avade tegemiseks</t>
      </text>
    </comment>
    <comment ref="AD82" authorId="8" shapeId="0" xr:uid="{3E91CC36-A2D9-4A24-B662-AD3D7BA972B2}">
      <text>
        <r>
          <rPr>
            <b/>
            <sz val="9"/>
            <color indexed="81"/>
            <rFont val="Tahoma"/>
            <family val="2"/>
          </rPr>
          <t xml:space="preserve">oksana:
</t>
        </r>
        <r>
          <rPr>
            <sz val="9"/>
            <color indexed="81"/>
            <rFont val="Tahoma"/>
            <family val="2"/>
          </rPr>
          <t>Puhastame plaati, kui:
- see on WQ 
-  paksus suurem kui 20mm
- sõltumata pakusest gabariit suurem kui 300mm</t>
        </r>
      </text>
    </comment>
    <comment ref="AG82" authorId="58" shapeId="0" xr:uid="{316C569C-66EE-43D5-954F-C751844E09FA}">
      <text>
        <t>[Threaded comment]
Your version of Excel allows you to read this threaded comment; however, any edits to it will get removed if the file is opened in a newer version of Excel. Learn more: https://go.microsoft.com/fwlink/?linkid=870924
Comment:
    Alates pl35-lisaaeg avade tegemiseks</t>
      </text>
    </comment>
    <comment ref="AD83" authorId="8" shapeId="0" xr:uid="{013E4774-4ADF-4163-BB8E-453E25548B06}">
      <text>
        <r>
          <rPr>
            <b/>
            <sz val="9"/>
            <color indexed="81"/>
            <rFont val="Tahoma"/>
            <family val="2"/>
          </rPr>
          <t xml:space="preserve">oksana:
</t>
        </r>
        <r>
          <rPr>
            <sz val="9"/>
            <color indexed="81"/>
            <rFont val="Tahoma"/>
            <family val="2"/>
          </rPr>
          <t>Puhastame plaati, kui:
- see on WQ 
-  paksus suurem kui 20mm
- sõltumata pakusest gabariit suurem kui 300mm</t>
        </r>
      </text>
    </comment>
    <comment ref="AG83" authorId="59" shapeId="0" xr:uid="{8DDA36F3-0DFE-475D-A36E-D9182A99874B}">
      <text>
        <t>[Threaded comment]
Your version of Excel allows you to read this threaded comment; however, any edits to it will get removed if the file is opened in a newer version of Excel. Learn more: https://go.microsoft.com/fwlink/?linkid=870924
Comment:
    Alates pl35-lisaaeg avade tegemiseks</t>
      </text>
    </comment>
    <comment ref="AD84" authorId="8" shapeId="0" xr:uid="{ACDEAA3D-1071-4F5E-978B-3B3621EAAA80}">
      <text>
        <r>
          <rPr>
            <b/>
            <sz val="9"/>
            <color indexed="81"/>
            <rFont val="Tahoma"/>
            <family val="2"/>
          </rPr>
          <t xml:space="preserve">oksana:
</t>
        </r>
        <r>
          <rPr>
            <sz val="9"/>
            <color indexed="81"/>
            <rFont val="Tahoma"/>
            <family val="2"/>
          </rPr>
          <t>Puhastame plaati, kui:
- see on WQ 
-  paksus suurem kui 20mm
- sõltumata pakusest gabariit suurem kui 300mm</t>
        </r>
      </text>
    </comment>
    <comment ref="AG84" authorId="60" shapeId="0" xr:uid="{6B40C1FB-4C44-4E4D-8695-CFDAE6D6F2E7}">
      <text>
        <t>[Threaded comment]
Your version of Excel allows you to read this threaded comment; however, any edits to it will get removed if the file is opened in a newer version of Excel. Learn more: https://go.microsoft.com/fwlink/?linkid=870924
Comment:
    Alates pl35-lisaaeg avade tegemiseks</t>
      </text>
    </comment>
    <comment ref="AD85" authorId="8" shapeId="0" xr:uid="{2CB7DB91-61F4-41DD-B756-CB2B2C5D3448}">
      <text>
        <r>
          <rPr>
            <b/>
            <sz val="9"/>
            <color indexed="81"/>
            <rFont val="Tahoma"/>
            <family val="2"/>
          </rPr>
          <t xml:space="preserve">oksana:
</t>
        </r>
        <r>
          <rPr>
            <sz val="9"/>
            <color indexed="81"/>
            <rFont val="Tahoma"/>
            <family val="2"/>
          </rPr>
          <t>Puhastame plaati, kui:
- see on WQ 
-  paksus suurem kui 20mm
- sõltumata pakusest gabariit suurem kui 300mm</t>
        </r>
      </text>
    </comment>
    <comment ref="AG85" authorId="61" shapeId="0" xr:uid="{E4B235DC-5ED5-4DBA-86B2-C4EE8D1A6AB7}">
      <text>
        <t>[Threaded comment]
Your version of Excel allows you to read this threaded comment; however, any edits to it will get removed if the file is opened in a newer version of Excel. Learn more: https://go.microsoft.com/fwlink/?linkid=870924
Comment:
    Alates pl35-lisaaeg avade tegemiseks</t>
      </text>
    </comment>
    <comment ref="AD86" authorId="8" shapeId="0" xr:uid="{94AF2B95-A7A9-4E97-92C8-E37E0948B1CF}">
      <text>
        <r>
          <rPr>
            <b/>
            <sz val="9"/>
            <color indexed="81"/>
            <rFont val="Tahoma"/>
            <family val="2"/>
          </rPr>
          <t xml:space="preserve">oksana:
</t>
        </r>
        <r>
          <rPr>
            <sz val="9"/>
            <color indexed="81"/>
            <rFont val="Tahoma"/>
            <family val="2"/>
          </rPr>
          <t>Puhastame plaati, kui:
- see on WQ 
-  paksus suurem kui 20mm
- sõltumata pakusest gabariit suurem kui 300mm</t>
        </r>
      </text>
    </comment>
    <comment ref="AG86" authorId="62" shapeId="0" xr:uid="{D7878019-9BBD-4788-A303-FA052F6BCCA7}">
      <text>
        <t>[Threaded comment]
Your version of Excel allows you to read this threaded comment; however, any edits to it will get removed if the file is opened in a newer version of Excel. Learn more: https://go.microsoft.com/fwlink/?linkid=870924
Comment:
    Alates pl35-lisaaeg avade tegemiseks</t>
      </text>
    </comment>
    <comment ref="AD87" authorId="8" shapeId="0" xr:uid="{85507C3E-EF26-48F9-B503-A496A150EC35}">
      <text>
        <r>
          <rPr>
            <b/>
            <sz val="9"/>
            <color indexed="81"/>
            <rFont val="Tahoma"/>
            <family val="2"/>
          </rPr>
          <t xml:space="preserve">oksana:
</t>
        </r>
        <r>
          <rPr>
            <sz val="9"/>
            <color indexed="81"/>
            <rFont val="Tahoma"/>
            <family val="2"/>
          </rPr>
          <t>Puhastame plaati, kui:
- see on WQ 
-  paksus suurem kui 20mm
- sõltumata pakusest gabariit suurem kui 300mm</t>
        </r>
      </text>
    </comment>
    <comment ref="AG87" authorId="63" shapeId="0" xr:uid="{5425886D-309E-462B-9778-FE8B5489C0EA}">
      <text>
        <t>[Threaded comment]
Your version of Excel allows you to read this threaded comment; however, any edits to it will get removed if the file is opened in a newer version of Excel. Learn more: https://go.microsoft.com/fwlink/?linkid=870924
Comment:
    Alates pl35-lisaaeg avade tegemiseks</t>
      </text>
    </comment>
    <comment ref="AD88" authorId="8" shapeId="0" xr:uid="{7292C333-F85F-4744-A333-A8473413D724}">
      <text>
        <r>
          <rPr>
            <b/>
            <sz val="9"/>
            <color indexed="81"/>
            <rFont val="Tahoma"/>
            <family val="2"/>
          </rPr>
          <t xml:space="preserve">oksana:
</t>
        </r>
        <r>
          <rPr>
            <sz val="9"/>
            <color indexed="81"/>
            <rFont val="Tahoma"/>
            <family val="2"/>
          </rPr>
          <t>Puhastame plaati, kui:
- see on WQ 
-  paksus suurem kui 20mm
- sõltumata pakusest gabariit suurem kui 300mm</t>
        </r>
      </text>
    </comment>
    <comment ref="AG88" authorId="64" shapeId="0" xr:uid="{CFAB857F-4CF8-4109-A7CB-1BF4B3877116}">
      <text>
        <t>[Threaded comment]
Your version of Excel allows you to read this threaded comment; however, any edits to it will get removed if the file is opened in a newer version of Excel. Learn more: https://go.microsoft.com/fwlink/?linkid=870924
Comment:
    Alates pl35-lisaaeg avade tegemiseks</t>
      </text>
    </comment>
    <comment ref="AK89" authorId="65" shapeId="0" xr:uid="{23B483F7-45CB-4D1E-9116-7D8548C8D662}">
      <text>
        <t>[Threaded comment]
Your version of Excel allows you to read this threaded comment; however, any edits to it will get removed if the file is opened in a newer version of Excel. Learn more: https://go.microsoft.com/fwlink/?linkid=870924
Comment:
    profiili tüüp 1 või 2 (vaata "abifalis")</t>
      </text>
    </comment>
    <comment ref="AK90" authorId="66" shapeId="0" xr:uid="{0C5F9AEA-3A39-403E-A309-44B46EBBE347}">
      <text>
        <t>[Threaded comment]
Your version of Excel allows you to read this threaded comment; however, any edits to it will get removed if the file is opened in a newer version of Excel. Learn more: https://go.microsoft.com/fwlink/?linkid=870924
Comment:
    profiili tüüp 1 või 2 (vaata "abifalis")</t>
      </text>
    </comment>
    <comment ref="AD91" authorId="8" shapeId="0" xr:uid="{124C9356-BDAE-4C1A-9A3D-327D37012C1A}">
      <text>
        <r>
          <rPr>
            <b/>
            <sz val="9"/>
            <color indexed="81"/>
            <rFont val="Tahoma"/>
            <family val="2"/>
          </rPr>
          <t xml:space="preserve">oksana:
</t>
        </r>
        <r>
          <rPr>
            <sz val="9"/>
            <color indexed="81"/>
            <rFont val="Tahoma"/>
            <family val="2"/>
          </rPr>
          <t>Puhastame plaati, kui:
- see on WQ 
-  paksus suurem kui 20mm
- sõltumata pakusest gabariit suurem kui 300mm</t>
        </r>
      </text>
    </comment>
    <comment ref="AG91" authorId="67" shapeId="0" xr:uid="{E0210963-3C13-4E46-B5AC-701B7DC3DD0A}">
      <text>
        <t>[Threaded comment]
Your version of Excel allows you to read this threaded comment; however, any edits to it will get removed if the file is opened in a newer version of Excel. Learn more: https://go.microsoft.com/fwlink/?linkid=870924
Comment:
    Alates pl35-lisaaeg avade tegemiseks</t>
      </text>
    </comment>
    <comment ref="AD92" authorId="8" shapeId="0" xr:uid="{D4D65160-7A60-4575-BE56-420AAF1F73AF}">
      <text>
        <r>
          <rPr>
            <b/>
            <sz val="9"/>
            <color indexed="81"/>
            <rFont val="Tahoma"/>
            <family val="2"/>
          </rPr>
          <t xml:space="preserve">oksana:
</t>
        </r>
        <r>
          <rPr>
            <sz val="9"/>
            <color indexed="81"/>
            <rFont val="Tahoma"/>
            <family val="2"/>
          </rPr>
          <t>Puhastame plaati, kui:
- see on WQ 
-  paksus suurem kui 20mm
- sõltumata pakusest gabariit suurem kui 300mm</t>
        </r>
      </text>
    </comment>
    <comment ref="AG92" authorId="68" shapeId="0" xr:uid="{4ABD93D7-870C-4E7B-B8ED-DD685E874826}">
      <text>
        <t>[Threaded comment]
Your version of Excel allows you to read this threaded comment; however, any edits to it will get removed if the file is opened in a newer version of Excel. Learn more: https://go.microsoft.com/fwlink/?linkid=870924
Comment:
    Alates pl35-lisaaeg avade tegemiseks</t>
      </text>
    </comment>
    <comment ref="AD93" authorId="8" shapeId="0" xr:uid="{36DEC183-BFE8-4335-979C-C4B34A6C96E7}">
      <text>
        <r>
          <rPr>
            <b/>
            <sz val="9"/>
            <color indexed="81"/>
            <rFont val="Tahoma"/>
            <family val="2"/>
          </rPr>
          <t xml:space="preserve">oksana:
</t>
        </r>
        <r>
          <rPr>
            <sz val="9"/>
            <color indexed="81"/>
            <rFont val="Tahoma"/>
            <family val="2"/>
          </rPr>
          <t>Puhastame plaati, kui:
- see on WQ 
-  paksus suurem kui 20mm
- sõltumata pakusest gabariit suurem kui 300mm</t>
        </r>
      </text>
    </comment>
    <comment ref="AG93" authorId="69" shapeId="0" xr:uid="{2461BC5A-A305-49A5-A3D1-A6FBEEC1326E}">
      <text>
        <t>[Threaded comment]
Your version of Excel allows you to read this threaded comment; however, any edits to it will get removed if the file is opened in a newer version of Excel. Learn more: https://go.microsoft.com/fwlink/?linkid=870924
Comment:
    Alates pl35-lisaaeg avade tegemiseks</t>
      </text>
    </comment>
    <comment ref="AD96" authorId="8" shapeId="0" xr:uid="{A96496AF-5030-445A-A86D-5C6E825F714A}">
      <text>
        <r>
          <rPr>
            <b/>
            <sz val="9"/>
            <color indexed="81"/>
            <rFont val="Tahoma"/>
            <family val="2"/>
          </rPr>
          <t xml:space="preserve">oksana:
</t>
        </r>
        <r>
          <rPr>
            <sz val="9"/>
            <color indexed="81"/>
            <rFont val="Tahoma"/>
            <family val="2"/>
          </rPr>
          <t>Puhastame plaati, kui:
- see on WQ 
-  paksus suurem kui 20mm
- sõltumata pakusest gabariit suurem kui 300mm</t>
        </r>
      </text>
    </comment>
    <comment ref="AG96" authorId="70" shapeId="0" xr:uid="{C2E9BD68-218F-4D3B-8159-683E25E8F60E}">
      <text>
        <t>[Threaded comment]
Your version of Excel allows you to read this threaded comment; however, any edits to it will get removed if the file is opened in a newer version of Excel. Learn more: https://go.microsoft.com/fwlink/?linkid=870924
Comment:
    Alates pl35-lisaaeg avade tegemiseks</t>
      </text>
    </comment>
    <comment ref="AK96" authorId="71" shapeId="0" xr:uid="{2702E1B0-E4ED-4185-8C20-8F75B55D9F1A}">
      <text>
        <t>[Threaded comment]
Your version of Excel allows you to read this threaded comment; however, any edits to it will get removed if the file is opened in a newer version of Excel. Learn more: https://go.microsoft.com/fwlink/?linkid=870924
Comment:
    Põkkimiste läbimiteaev plaatidele pl5-pl100</t>
      </text>
    </comment>
    <comment ref="AD97" authorId="8" shapeId="0" xr:uid="{AD919003-202B-4CDE-BA0C-9B3DA608FDE4}">
      <text>
        <r>
          <rPr>
            <b/>
            <sz val="9"/>
            <color indexed="81"/>
            <rFont val="Tahoma"/>
            <family val="2"/>
          </rPr>
          <t xml:space="preserve">oksana:
</t>
        </r>
        <r>
          <rPr>
            <sz val="9"/>
            <color indexed="81"/>
            <rFont val="Tahoma"/>
            <family val="2"/>
          </rPr>
          <t>Puhastame plaati, kui:
- see on WQ 
-  paksus suurem kui 20mm
- sõltumata pakusest gabariit suurem kui 300mm</t>
        </r>
      </text>
    </comment>
    <comment ref="AG97" authorId="72" shapeId="0" xr:uid="{FF2FBD3C-728D-46B2-97FA-B539E8A421D1}">
      <text>
        <t>[Threaded comment]
Your version of Excel allows you to read this threaded comment; however, any edits to it will get removed if the file is opened in a newer version of Excel. Learn more: https://go.microsoft.com/fwlink/?linkid=870924
Comment:
    Alates pl35-lisaaeg avade tegemiseks</t>
      </text>
    </comment>
    <comment ref="AD98" authorId="8" shapeId="0" xr:uid="{E2D5AFCB-8396-4D07-A629-7D91F03D0A2B}">
      <text>
        <r>
          <rPr>
            <b/>
            <sz val="9"/>
            <color indexed="81"/>
            <rFont val="Tahoma"/>
            <family val="2"/>
          </rPr>
          <t xml:space="preserve">oksana:
</t>
        </r>
        <r>
          <rPr>
            <sz val="9"/>
            <color indexed="81"/>
            <rFont val="Tahoma"/>
            <family val="2"/>
          </rPr>
          <t>Puhastame plaati, kui:
- see on WQ 
-  paksus suurem kui 20mm
- sõltumata pakusest gabariit suurem kui 300mm</t>
        </r>
      </text>
    </comment>
    <comment ref="AG98" authorId="73" shapeId="0" xr:uid="{D7D59EEC-EF27-403B-A78F-7518AD6B84FE}">
      <text>
        <t>[Threaded comment]
Your version of Excel allows you to read this threaded comment; however, any edits to it will get removed if the file is opened in a newer version of Excel. Learn more: https://go.microsoft.com/fwlink/?linkid=870924
Comment:
    Alates pl35-lisaaeg avade tegemiseks</t>
      </text>
    </comment>
    <comment ref="AD99" authorId="8" shapeId="0" xr:uid="{F15061D2-885E-4FD6-BBF9-8AEEA05F8808}">
      <text>
        <r>
          <rPr>
            <b/>
            <sz val="9"/>
            <color indexed="81"/>
            <rFont val="Tahoma"/>
            <family val="2"/>
          </rPr>
          <t xml:space="preserve">oksana:
</t>
        </r>
        <r>
          <rPr>
            <sz val="9"/>
            <color indexed="81"/>
            <rFont val="Tahoma"/>
            <family val="2"/>
          </rPr>
          <t>Puhastame plaati, kui:
- see on WQ 
-  paksus suurem kui 20mm
- sõltumata pakusest gabariit suurem kui 300mm</t>
        </r>
      </text>
    </comment>
    <comment ref="AG99" authorId="74" shapeId="0" xr:uid="{74B42CA2-6818-462C-9E95-C176CF0E8077}">
      <text>
        <t>[Threaded comment]
Your version of Excel allows you to read this threaded comment; however, any edits to it will get removed if the file is opened in a newer version of Excel. Learn more: https://go.microsoft.com/fwlink/?linkid=870924
Comment:
    Alates pl35-lisaaeg avade tegemiseks</t>
      </text>
    </comment>
    <comment ref="AD100" authorId="8" shapeId="0" xr:uid="{C793F77C-8DE6-49F3-9A67-DDCA6742B643}">
      <text>
        <r>
          <rPr>
            <b/>
            <sz val="9"/>
            <color indexed="81"/>
            <rFont val="Tahoma"/>
            <family val="2"/>
          </rPr>
          <t xml:space="preserve">oksana:
</t>
        </r>
        <r>
          <rPr>
            <sz val="9"/>
            <color indexed="81"/>
            <rFont val="Tahoma"/>
            <family val="2"/>
          </rPr>
          <t>Puhastame plaati, kui:
- see on WQ 
-  paksus suurem kui 20mm
- sõltumata pakusest gabariit suurem kui 300mm</t>
        </r>
      </text>
    </comment>
    <comment ref="AG100" authorId="75" shapeId="0" xr:uid="{62993E3B-52E0-4911-854B-ECD993AC7BED}">
      <text>
        <t>[Threaded comment]
Your version of Excel allows you to read this threaded comment; however, any edits to it will get removed if the file is opened in a newer version of Excel. Learn more: https://go.microsoft.com/fwlink/?linkid=870924
Comment:
    Alates pl35-lisaaeg avade tegemiseks</t>
      </text>
    </comment>
    <comment ref="AD101" authorId="8" shapeId="0" xr:uid="{60A2083B-0148-4C98-8180-3C413E3AC5D0}">
      <text>
        <r>
          <rPr>
            <b/>
            <sz val="9"/>
            <color indexed="81"/>
            <rFont val="Tahoma"/>
            <family val="2"/>
          </rPr>
          <t xml:space="preserve">oksana:
</t>
        </r>
        <r>
          <rPr>
            <sz val="9"/>
            <color indexed="81"/>
            <rFont val="Tahoma"/>
            <family val="2"/>
          </rPr>
          <t>Puhastame plaati, kui:
- see on WQ 
-  paksus suurem kui 20mm
- sõltumata pakusest gabariit suurem kui 300mm</t>
        </r>
      </text>
    </comment>
    <comment ref="AG101" authorId="76" shapeId="0" xr:uid="{F297B50B-4A1F-4E6B-8BDE-B04E30678DA7}">
      <text>
        <t>[Threaded comment]
Your version of Excel allows you to read this threaded comment; however, any edits to it will get removed if the file is opened in a newer version of Excel. Learn more: https://go.microsoft.com/fwlink/?linkid=870924
Comment:
    Alates pl35-lisaaeg avade tegemiseks</t>
      </text>
    </comment>
    <comment ref="AK102" authorId="77" shapeId="0" xr:uid="{4C8865BE-13EB-4952-9481-B01EB6259F94}">
      <text>
        <t>[Threaded comment]
Your version of Excel allows you to read this threaded comment; however, any edits to it will get removed if the file is opened in a newer version of Excel. Learn more: https://go.microsoft.com/fwlink/?linkid=870924
Comment:
    profiili tüüp 1 või 2 (vaata "abifalis")</t>
      </text>
    </comment>
    <comment ref="AD103" authorId="8" shapeId="0" xr:uid="{D3C8B3EA-1D60-47CD-AA84-7E7D2DB7503A}">
      <text>
        <r>
          <rPr>
            <b/>
            <sz val="9"/>
            <color indexed="81"/>
            <rFont val="Tahoma"/>
            <family val="2"/>
          </rPr>
          <t xml:space="preserve">oksana:
</t>
        </r>
        <r>
          <rPr>
            <sz val="9"/>
            <color indexed="81"/>
            <rFont val="Tahoma"/>
            <family val="2"/>
          </rPr>
          <t>Puhastame plaati, kui:
- see on WQ 
-  paksus suurem kui 20mm
- sõltumata pakusest gabariit suurem kui 300mm</t>
        </r>
      </text>
    </comment>
    <comment ref="AG103" authorId="78" shapeId="0" xr:uid="{46CE5998-03CF-4BD3-AA1F-155CD11051A5}">
      <text>
        <t>[Threaded comment]
Your version of Excel allows you to read this threaded comment; however, any edits to it will get removed if the file is opened in a newer version of Excel. Learn more: https://go.microsoft.com/fwlink/?linkid=870924
Comment:
    Alates pl35-lisaaeg avade tegemiseks</t>
      </text>
    </comment>
    <comment ref="AD104" authorId="8" shapeId="0" xr:uid="{758DFA1A-4C8D-41A6-B1B7-5AC40B54F974}">
      <text>
        <r>
          <rPr>
            <b/>
            <sz val="9"/>
            <color indexed="81"/>
            <rFont val="Tahoma"/>
            <family val="2"/>
          </rPr>
          <t xml:space="preserve">oksana:
</t>
        </r>
        <r>
          <rPr>
            <sz val="9"/>
            <color indexed="81"/>
            <rFont val="Tahoma"/>
            <family val="2"/>
          </rPr>
          <t>Puhastame plaati, kui:
- see on WQ 
-  paksus suurem kui 20mm
- sõltumata pakusest gabariit suurem kui 300mm</t>
        </r>
      </text>
    </comment>
    <comment ref="AG104" authorId="79" shapeId="0" xr:uid="{6C2D7CD8-7166-4ED1-A05D-54DE94D332C9}">
      <text>
        <t>[Threaded comment]
Your version of Excel allows you to read this threaded comment; however, any edits to it will get removed if the file is opened in a newer version of Excel. Learn more: https://go.microsoft.com/fwlink/?linkid=870924
Comment:
    Alates pl35-lisaaeg avade tegemiseks</t>
      </text>
    </comment>
    <comment ref="AG107" authorId="80" shapeId="0" xr:uid="{910AC8B7-8EA9-4EB2-AA49-9C6B7C4857CF}">
      <text>
        <t>[Threaded comment]
Your version of Excel allows you to read this threaded comment; however, any edits to it will get removed if the file is opened in a newer version of Excel. Learn more: https://go.microsoft.com/fwlink/?linkid=870924
Comment:
    Alates pl35-lisaaeg avade tegemiseks</t>
      </text>
    </comment>
    <comment ref="AK107" authorId="81" shapeId="0" xr:uid="{8E178F00-D5D9-4874-9B93-A962F64A9B17}">
      <text>
        <t>[Threaded comment]
Your version of Excel allows you to read this threaded comment; however, any edits to it will get removed if the file is opened in a newer version of Excel. Learn more: https://go.microsoft.com/fwlink/?linkid=870924
Comment:
    Põkkimiste läbimiteaev plaatidele pl5-pl100</t>
      </text>
    </comment>
    <comment ref="AG108" authorId="82" shapeId="0" xr:uid="{5DF78FB3-8F85-4C34-A209-98AB74385EC2}">
      <text>
        <t>[Threaded comment]
Your version of Excel allows you to read this threaded comment; however, any edits to it will get removed if the file is opened in a newer version of Excel. Learn more: https://go.microsoft.com/fwlink/?linkid=870924
Comment:
    Alates pl35-lisaaeg avade tegemiseks</t>
      </text>
    </comment>
    <comment ref="AD109" authorId="8" shapeId="0" xr:uid="{9E8F50E1-6B63-407C-B72D-F5A46FDAD6E5}">
      <text>
        <r>
          <rPr>
            <b/>
            <sz val="9"/>
            <color indexed="81"/>
            <rFont val="Tahoma"/>
            <family val="2"/>
          </rPr>
          <t xml:space="preserve">oksana:
</t>
        </r>
        <r>
          <rPr>
            <sz val="9"/>
            <color indexed="81"/>
            <rFont val="Tahoma"/>
            <family val="2"/>
          </rPr>
          <t>Puhastame plaati, kui:
- see on WQ 
-  paksus suurem kui 20mm
- sõltumata pakusest gabariit suurem kui 300mm</t>
        </r>
      </text>
    </comment>
    <comment ref="AG109" authorId="83" shapeId="0" xr:uid="{1528A955-6BB4-4F3A-8B03-08F976B25487}">
      <text>
        <t>[Threaded comment]
Your version of Excel allows you to read this threaded comment; however, any edits to it will get removed if the file is opened in a newer version of Excel. Learn more: https://go.microsoft.com/fwlink/?linkid=870924
Comment:
    Alates pl35-lisaaeg avade tegemiseks</t>
      </text>
    </comment>
    <comment ref="AD110" authorId="8" shapeId="0" xr:uid="{7DEC5E8C-E2A9-4003-882B-E65FBE05C707}">
      <text>
        <r>
          <rPr>
            <b/>
            <sz val="9"/>
            <color indexed="81"/>
            <rFont val="Tahoma"/>
            <family val="2"/>
          </rPr>
          <t xml:space="preserve">oksana:
</t>
        </r>
        <r>
          <rPr>
            <sz val="9"/>
            <color indexed="81"/>
            <rFont val="Tahoma"/>
            <family val="2"/>
          </rPr>
          <t>Puhastame plaati, kui:
- see on WQ 
-  paksus suurem kui 20mm
- sõltumata pakusest gabariit suurem kui 300mm</t>
        </r>
      </text>
    </comment>
    <comment ref="AG110" authorId="84" shapeId="0" xr:uid="{78B05685-72FC-43BD-BF1E-66716F4CF8C7}">
      <text>
        <t>[Threaded comment]
Your version of Excel allows you to read this threaded comment; however, any edits to it will get removed if the file is opened in a newer version of Excel. Learn more: https://go.microsoft.com/fwlink/?linkid=870924
Comment:
    Alates pl35-lisaaeg avade tegemiseks</t>
      </text>
    </comment>
    <comment ref="AK111" authorId="85" shapeId="0" xr:uid="{05BD32C1-AC30-4081-9486-8071440E6431}">
      <text>
        <t>[Threaded comment]
Your version of Excel allows you to read this threaded comment; however, any edits to it will get removed if the file is opened in a newer version of Excel. Learn more: https://go.microsoft.com/fwlink/?linkid=870924
Comment:
    profiili tüüp 1 või 2 (vaata "abifalis")</t>
      </text>
    </comment>
    <comment ref="AK112" authorId="86" shapeId="0" xr:uid="{E5E6E210-3256-423C-BC8D-F90647200DF0}">
      <text>
        <t>[Threaded comment]
Your version of Excel allows you to read this threaded comment; however, any edits to it will get removed if the file is opened in a newer version of Excel. Learn more: https://go.microsoft.com/fwlink/?linkid=870924
Comment:
    profiili tüüp 1 või 2 (vaata "abifalis")</t>
      </text>
    </comment>
    <comment ref="AD113" authorId="8" shapeId="0" xr:uid="{39CA53A5-FCB8-41D3-AB39-D8BC5C373F50}">
      <text>
        <r>
          <rPr>
            <b/>
            <sz val="9"/>
            <color indexed="81"/>
            <rFont val="Tahoma"/>
            <family val="2"/>
          </rPr>
          <t xml:space="preserve">oksana:
</t>
        </r>
        <r>
          <rPr>
            <sz val="9"/>
            <color indexed="81"/>
            <rFont val="Tahoma"/>
            <family val="2"/>
          </rPr>
          <t>Puhastame plaati, kui:
- see on WQ 
-  paksus suurem kui 20mm
- sõltumata pakusest gabariit suurem kui 300mm</t>
        </r>
      </text>
    </comment>
    <comment ref="AG113" authorId="87" shapeId="0" xr:uid="{F2ABF7A0-00DD-4195-B426-B25356CD8D58}">
      <text>
        <t>[Threaded comment]
Your version of Excel allows you to read this threaded comment; however, any edits to it will get removed if the file is opened in a newer version of Excel. Learn more: https://go.microsoft.com/fwlink/?linkid=870924
Comment:
    Alates pl35-lisaaeg avade tegemiseks</t>
      </text>
    </comment>
    <comment ref="AD114" authorId="8" shapeId="0" xr:uid="{3C18D01B-B6FB-4614-9058-909A0B5B61B6}">
      <text>
        <r>
          <rPr>
            <b/>
            <sz val="9"/>
            <color indexed="81"/>
            <rFont val="Tahoma"/>
            <family val="2"/>
          </rPr>
          <t xml:space="preserve">oksana:
</t>
        </r>
        <r>
          <rPr>
            <sz val="9"/>
            <color indexed="81"/>
            <rFont val="Tahoma"/>
            <family val="2"/>
          </rPr>
          <t>Puhastame plaati, kui:
- see on WQ 
-  paksus suurem kui 20mm
- sõltumata pakusest gabariit suurem kui 300mm</t>
        </r>
      </text>
    </comment>
    <comment ref="AG114" authorId="88" shapeId="0" xr:uid="{02943ACA-1325-4BE7-9F96-F272EEA35785}">
      <text>
        <t>[Threaded comment]
Your version of Excel allows you to read this threaded comment; however, any edits to it will get removed if the file is opened in a newer version of Excel. Learn more: https://go.microsoft.com/fwlink/?linkid=870924
Comment:
    Alates pl35-lisaaeg avade tegemiseks</t>
      </text>
    </comment>
    <comment ref="AK115" authorId="89" shapeId="0" xr:uid="{570284CC-8496-4AE8-BCA1-0CF896F53D98}">
      <text>
        <t>[Threaded comment]
Your version of Excel allows you to read this threaded comment; however, any edits to it will get removed if the file is opened in a newer version of Excel. Learn more: https://go.microsoft.com/fwlink/?linkid=870924
Comment:
    profiili tüüp 1 või 2 (vaata "abifalis")</t>
      </text>
    </comment>
    <comment ref="AD116" authorId="8" shapeId="0" xr:uid="{740A5A75-B0BB-40CC-8B18-B8210F5E99A3}">
      <text>
        <r>
          <rPr>
            <b/>
            <sz val="9"/>
            <color indexed="81"/>
            <rFont val="Tahoma"/>
            <family val="2"/>
          </rPr>
          <t xml:space="preserve">oksana:
</t>
        </r>
        <r>
          <rPr>
            <sz val="9"/>
            <color indexed="81"/>
            <rFont val="Tahoma"/>
            <family val="2"/>
          </rPr>
          <t>Puhastame plaati, kui:
- see on WQ 
-  paksus suurem kui 20mm
- sõltumata pakusest gabariit suurem kui 300mm</t>
        </r>
      </text>
    </comment>
    <comment ref="AG116" authorId="90" shapeId="0" xr:uid="{0D27DD75-7CBD-45AE-A3C8-27BF35904AB5}">
      <text>
        <t>[Threaded comment]
Your version of Excel allows you to read this threaded comment; however, any edits to it will get removed if the file is opened in a newer version of Excel. Learn more: https://go.microsoft.com/fwlink/?linkid=870924
Comment:
    Alates pl35-lisaaeg avade tegemiseks</t>
      </text>
    </comment>
    <comment ref="AD117" authorId="8" shapeId="0" xr:uid="{CA087357-40EC-49C8-9235-464EC5F33C83}">
      <text>
        <r>
          <rPr>
            <b/>
            <sz val="9"/>
            <color indexed="81"/>
            <rFont val="Tahoma"/>
            <family val="2"/>
          </rPr>
          <t xml:space="preserve">oksana:
</t>
        </r>
        <r>
          <rPr>
            <sz val="9"/>
            <color indexed="81"/>
            <rFont val="Tahoma"/>
            <family val="2"/>
          </rPr>
          <t>Puhastame plaati, kui:
- see on WQ 
-  paksus suurem kui 20mm
- sõltumata pakusest gabariit suurem kui 300mm</t>
        </r>
      </text>
    </comment>
    <comment ref="AG117" authorId="91" shapeId="0" xr:uid="{0A180255-3027-4CE2-9C40-78449A338C47}">
      <text>
        <t>[Threaded comment]
Your version of Excel allows you to read this threaded comment; however, any edits to it will get removed if the file is opened in a newer version of Excel. Learn more: https://go.microsoft.com/fwlink/?linkid=870924
Comment:
    Alates pl35-lisaaeg avade tegemiseks</t>
      </text>
    </comment>
    <comment ref="AD118" authorId="8" shapeId="0" xr:uid="{BC459978-1237-44B3-B6F7-58A42DC851FD}">
      <text>
        <r>
          <rPr>
            <b/>
            <sz val="9"/>
            <color indexed="81"/>
            <rFont val="Tahoma"/>
            <family val="2"/>
          </rPr>
          <t xml:space="preserve">oksana:
</t>
        </r>
        <r>
          <rPr>
            <sz val="9"/>
            <color indexed="81"/>
            <rFont val="Tahoma"/>
            <family val="2"/>
          </rPr>
          <t>Puhastame plaati, kui:
- see on WQ 
-  paksus suurem kui 20mm
- sõltumata pakusest gabariit suurem kui 300mm</t>
        </r>
      </text>
    </comment>
    <comment ref="AG118" authorId="92" shapeId="0" xr:uid="{1E54A928-ABBB-45E2-B93C-03EC0D03F571}">
      <text>
        <t>[Threaded comment]
Your version of Excel allows you to read this threaded comment; however, any edits to it will get removed if the file is opened in a newer version of Excel. Learn more: https://go.microsoft.com/fwlink/?linkid=870924
Comment:
    Alates pl35-lisaaeg avade tegemiseks</t>
      </text>
    </comment>
    <comment ref="AK119" authorId="93" shapeId="0" xr:uid="{E0FE2E3B-1D67-47E3-B8B2-47464011F122}">
      <text>
        <t>[Threaded comment]
Your version of Excel allows you to read this threaded comment; however, any edits to it will get removed if the file is opened in a newer version of Excel. Learn more: https://go.microsoft.com/fwlink/?linkid=870924
Comment:
    profiili tüüp 1 või 2 (vaata "abifalis")</t>
      </text>
    </comment>
    <comment ref="AK120" authorId="94" shapeId="0" xr:uid="{3CD40906-656B-4386-B8A3-D9EEF7D76135}">
      <text>
        <t>[Threaded comment]
Your version of Excel allows you to read this threaded comment; however, any edits to it will get removed if the file is opened in a newer version of Excel. Learn more: https://go.microsoft.com/fwlink/?linkid=870924
Comment:
    profiili tüüp 1 või 2 (vaata "abifalis")</t>
      </text>
    </comment>
    <comment ref="AD121" authorId="8" shapeId="0" xr:uid="{EC268BA7-88EC-46E0-A789-9F8FDFE93255}">
      <text>
        <r>
          <rPr>
            <b/>
            <sz val="9"/>
            <color indexed="81"/>
            <rFont val="Tahoma"/>
            <family val="2"/>
          </rPr>
          <t xml:space="preserve">oksana:
</t>
        </r>
        <r>
          <rPr>
            <sz val="9"/>
            <color indexed="81"/>
            <rFont val="Tahoma"/>
            <family val="2"/>
          </rPr>
          <t>Puhastame plaati, kui:
- see on WQ 
-  paksus suurem kui 20mm
- sõltumata pakusest gabariit suurem kui 300mm</t>
        </r>
      </text>
    </comment>
    <comment ref="AG121" authorId="95" shapeId="0" xr:uid="{C2389DDC-FE2C-471B-BA45-57E084C01908}">
      <text>
        <t>[Threaded comment]
Your version of Excel allows you to read this threaded comment; however, any edits to it will get removed if the file is opened in a newer version of Excel. Learn more: https://go.microsoft.com/fwlink/?linkid=870924
Comment:
    Alates pl35-lisaaeg avade tegemiseks</t>
      </text>
    </comment>
    <comment ref="AD122" authorId="8" shapeId="0" xr:uid="{7859DC89-50E8-46D1-A84C-34800B566B18}">
      <text>
        <r>
          <rPr>
            <b/>
            <sz val="9"/>
            <color indexed="81"/>
            <rFont val="Tahoma"/>
            <family val="2"/>
          </rPr>
          <t xml:space="preserve">oksana:
</t>
        </r>
        <r>
          <rPr>
            <sz val="9"/>
            <color indexed="81"/>
            <rFont val="Tahoma"/>
            <family val="2"/>
          </rPr>
          <t>Puhastame plaati, kui:
- see on WQ 
-  paksus suurem kui 20mm
- sõltumata pakusest gabariit suurem kui 300mm</t>
        </r>
      </text>
    </comment>
    <comment ref="AG122" authorId="96" shapeId="0" xr:uid="{0A6A7F4F-E180-4BDD-8B34-1A4934254EAA}">
      <text>
        <t>[Threaded comment]
Your version of Excel allows you to read this threaded comment; however, any edits to it will get removed if the file is opened in a newer version of Excel. Learn more: https://go.microsoft.com/fwlink/?linkid=870924
Comment:
    Alates pl35-lisaaeg avade tegemiseks</t>
      </text>
    </comment>
    <comment ref="AG125" authorId="97" shapeId="0" xr:uid="{9E9713F3-007A-4ED2-9B54-30A2FE18EF07}">
      <text>
        <t>[Threaded comment]
Your version of Excel allows you to read this threaded comment; however, any edits to it will get removed if the file is opened in a newer version of Excel. Learn more: https://go.microsoft.com/fwlink/?linkid=870924
Comment:
    Alates pl35-lisaaeg avade tegemiseks</t>
      </text>
    </comment>
    <comment ref="AK126" authorId="98" shapeId="0" xr:uid="{C00270FF-E9B2-492F-BA50-14F44D6C5535}">
      <text>
        <t>[Threaded comment]
Your version of Excel allows you to read this threaded comment; however, any edits to it will get removed if the file is opened in a newer version of Excel. Learn more: https://go.microsoft.com/fwlink/?linkid=870924
Comment:
    profiili tüüp 1 või 2 (vaata "abifalis")</t>
      </text>
    </comment>
    <comment ref="AS129" authorId="99" shapeId="0" xr:uid="{4C33A03D-2A3D-4AAE-921A-00669BC1962B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Materiali kasum
</t>
      </text>
    </comment>
    <comment ref="AD134" authorId="8" shapeId="0" xr:uid="{8763DDA3-31D2-4399-8F0A-A38F01AF48DE}">
      <text>
        <r>
          <rPr>
            <b/>
            <sz val="9"/>
            <color indexed="81"/>
            <rFont val="Tahoma"/>
            <family val="2"/>
          </rPr>
          <t xml:space="preserve">oksana:
</t>
        </r>
        <r>
          <rPr>
            <sz val="9"/>
            <color indexed="81"/>
            <rFont val="Tahoma"/>
            <family val="2"/>
          </rPr>
          <t>Puhastame plaati, kui:
- see on WQ 
-  paksus suurem kui 20mm
- sõltumata pakusest gabariit suurem kui 300mm</t>
        </r>
      </text>
    </comment>
    <comment ref="AG134" authorId="100" shapeId="0" xr:uid="{AA38BEE3-62BD-49E9-A01A-350EB13243CE}">
      <text>
        <t>[Threaded comment]
Your version of Excel allows you to read this threaded comment; however, any edits to it will get removed if the file is opened in a newer version of Excel. Learn more: https://go.microsoft.com/fwlink/?linkid=870924
Comment:
    Alates pl35-lisaaeg avade tegemiseks</t>
      </text>
    </comment>
    <comment ref="AK134" authorId="101" shapeId="0" xr:uid="{81836E9C-59EF-4B6E-A722-119FD6B162FC}">
      <text>
        <t>[Threaded comment]
Your version of Excel allows you to read this threaded comment; however, any edits to it will get removed if the file is opened in a newer version of Excel. Learn more: https://go.microsoft.com/fwlink/?linkid=870924
Comment:
    Põkkimiste läbimiteaev plaatidele pl5-pl100</t>
      </text>
    </comment>
    <comment ref="AD135" authorId="8" shapeId="0" xr:uid="{EC849C48-DEF5-4305-A85F-90C18DB764E0}">
      <text>
        <r>
          <rPr>
            <b/>
            <sz val="9"/>
            <color indexed="81"/>
            <rFont val="Tahoma"/>
            <family val="2"/>
          </rPr>
          <t xml:space="preserve">oksana:
</t>
        </r>
        <r>
          <rPr>
            <sz val="9"/>
            <color indexed="81"/>
            <rFont val="Tahoma"/>
            <family val="2"/>
          </rPr>
          <t>Puhastame plaati, kui:
- see on WQ 
-  paksus suurem kui 20mm
- sõltumata pakusest gabariit suurem kui 300mm</t>
        </r>
      </text>
    </comment>
    <comment ref="AG135" authorId="102" shapeId="0" xr:uid="{F571C582-EAA8-42E4-9E9A-B11DB966D754}">
      <text>
        <t>[Threaded comment]
Your version of Excel allows you to read this threaded comment; however, any edits to it will get removed if the file is opened in a newer version of Excel. Learn more: https://go.microsoft.com/fwlink/?linkid=870924
Comment:
    Alates pl35-lisaaeg avade tegemiseks</t>
      </text>
    </comment>
    <comment ref="AD136" authorId="8" shapeId="0" xr:uid="{2CAC3745-50C2-4801-ABF1-3775FF9A2F50}">
      <text>
        <r>
          <rPr>
            <b/>
            <sz val="9"/>
            <color indexed="81"/>
            <rFont val="Tahoma"/>
            <family val="2"/>
          </rPr>
          <t xml:space="preserve">oksana:
</t>
        </r>
        <r>
          <rPr>
            <sz val="9"/>
            <color indexed="81"/>
            <rFont val="Tahoma"/>
            <family val="2"/>
          </rPr>
          <t>Puhastame plaati, kui:
- see on WQ 
-  paksus suurem kui 20mm
- sõltumata pakusest gabariit suurem kui 300mm</t>
        </r>
      </text>
    </comment>
    <comment ref="AG136" authorId="103" shapeId="0" xr:uid="{0798FF24-988E-4084-A9CE-8228345A8084}">
      <text>
        <t>[Threaded comment]
Your version of Excel allows you to read this threaded comment; however, any edits to it will get removed if the file is opened in a newer version of Excel. Learn more: https://go.microsoft.com/fwlink/?linkid=870924
Comment:
    Alates pl35-lisaaeg avade tegemiseks</t>
      </text>
    </comment>
    <comment ref="AD137" authorId="8" shapeId="0" xr:uid="{8B19EE6D-62BD-4D58-80ED-B2F9CBB34F45}">
      <text>
        <r>
          <rPr>
            <b/>
            <sz val="9"/>
            <color indexed="81"/>
            <rFont val="Tahoma"/>
            <family val="2"/>
          </rPr>
          <t xml:space="preserve">oksana:
</t>
        </r>
        <r>
          <rPr>
            <sz val="9"/>
            <color indexed="81"/>
            <rFont val="Tahoma"/>
            <family val="2"/>
          </rPr>
          <t>Puhastame plaati, kui:
- see on WQ 
-  paksus suurem kui 20mm
- sõltumata pakusest gabariit suurem kui 300mm</t>
        </r>
      </text>
    </comment>
    <comment ref="AG137" authorId="104" shapeId="0" xr:uid="{F9110794-F0B9-4F82-8EF7-355AA192BEA0}">
      <text>
        <t>[Threaded comment]
Your version of Excel allows you to read this threaded comment; however, any edits to it will get removed if the file is opened in a newer version of Excel. Learn more: https://go.microsoft.com/fwlink/?linkid=870924
Comment:
    Alates pl35-lisaaeg avade tegemiseks</t>
      </text>
    </comment>
    <comment ref="AD138" authorId="8" shapeId="0" xr:uid="{5EF0BE29-4B4A-47D7-8899-6B63DBCE262A}">
      <text>
        <r>
          <rPr>
            <b/>
            <sz val="9"/>
            <color indexed="81"/>
            <rFont val="Tahoma"/>
            <family val="2"/>
          </rPr>
          <t xml:space="preserve">oksana:
</t>
        </r>
        <r>
          <rPr>
            <sz val="9"/>
            <color indexed="81"/>
            <rFont val="Tahoma"/>
            <family val="2"/>
          </rPr>
          <t>Puhastame plaati, kui:
- see on WQ 
-  paksus suurem kui 20mm
- sõltumata pakusest gabariit suurem kui 300mm</t>
        </r>
      </text>
    </comment>
    <comment ref="AG138" authorId="105" shapeId="0" xr:uid="{6DFF6886-5824-4879-9077-3292D9723497}">
      <text>
        <t>[Threaded comment]
Your version of Excel allows you to read this threaded comment; however, any edits to it will get removed if the file is opened in a newer version of Excel. Learn more: https://go.microsoft.com/fwlink/?linkid=870924
Comment:
    Alates pl35-lisapuurumine</t>
      </text>
    </comment>
    <comment ref="AK139" authorId="106" shapeId="0" xr:uid="{65F0A796-868A-4FC4-9ECD-7AD7D5113493}">
      <text>
        <t>[Threaded comment]
Your version of Excel allows you to read this threaded comment; however, any edits to it will get removed if the file is opened in a newer version of Excel. Learn more: https://go.microsoft.com/fwlink/?linkid=870924
Comment:
    profiili tüüp 1 või 2 (vaata "abifalis")</t>
      </text>
    </comment>
    <comment ref="AD140" authorId="8" shapeId="0" xr:uid="{707973A8-6C23-4DAF-A324-8F090D164F74}">
      <text>
        <r>
          <rPr>
            <b/>
            <sz val="9"/>
            <color indexed="81"/>
            <rFont val="Tahoma"/>
            <family val="2"/>
          </rPr>
          <t xml:space="preserve">oksana:
</t>
        </r>
        <r>
          <rPr>
            <sz val="9"/>
            <color indexed="81"/>
            <rFont val="Tahoma"/>
            <family val="2"/>
          </rPr>
          <t>Puhastame plaati, kui:
- see on WQ 
-  paksus suurem kui 20mm
- sõltumata pakusest gabariit suurem kui 300mm</t>
        </r>
      </text>
    </comment>
    <comment ref="AG140" authorId="107" shapeId="0" xr:uid="{CBA01E39-7DE0-4625-B167-278B71B79FC4}">
      <text>
        <t>[Threaded comment]
Your version of Excel allows you to read this threaded comment; however, any edits to it will get removed if the file is opened in a newer version of Excel. Learn more: https://go.microsoft.com/fwlink/?linkid=870924
Comment:
    Alates pl35-lisaaeg avade tegemiseks</t>
      </text>
    </comment>
    <comment ref="AD144" authorId="8" shapeId="0" xr:uid="{B433B409-C99A-4CC1-B2CB-C32F9F401D37}">
      <text>
        <r>
          <rPr>
            <b/>
            <sz val="9"/>
            <color indexed="81"/>
            <rFont val="Tahoma"/>
            <family val="2"/>
          </rPr>
          <t xml:space="preserve">oksana:
</t>
        </r>
        <r>
          <rPr>
            <sz val="9"/>
            <color indexed="81"/>
            <rFont val="Tahoma"/>
            <family val="2"/>
          </rPr>
          <t>Puhastame plaati, kui:
- see on WQ 
-  paksus suurem kui 20mm
- sõltumata pakusest gabariit suurem kui 300mm</t>
        </r>
      </text>
    </comment>
    <comment ref="AG144" authorId="108" shapeId="0" xr:uid="{110845A8-7D63-4B47-8A8D-170A0B100D2E}">
      <text>
        <t>[Threaded comment]
Your version of Excel allows you to read this threaded comment; however, any edits to it will get removed if the file is opened in a newer version of Excel. Learn more: https://go.microsoft.com/fwlink/?linkid=870924
Comment:
    Alates pl35-lisaaeg avade tegemiseks</t>
      </text>
    </comment>
    <comment ref="AK144" authorId="109" shapeId="0" xr:uid="{0836FD99-7C5D-449F-897A-88D9F69BEFC2}">
      <text>
        <t>[Threaded comment]
Your version of Excel allows you to read this threaded comment; however, any edits to it will get removed if the file is opened in a newer version of Excel. Learn more: https://go.microsoft.com/fwlink/?linkid=870924
Comment:
    Põkkimiste läbimiteaev plaatidele pl5-pl100</t>
      </text>
    </comment>
    <comment ref="AD145" authorId="8" shapeId="0" xr:uid="{F346E61C-DF4B-4553-8B0D-2CB7C78C989F}">
      <text>
        <r>
          <rPr>
            <b/>
            <sz val="9"/>
            <color indexed="81"/>
            <rFont val="Tahoma"/>
            <family val="2"/>
          </rPr>
          <t xml:space="preserve">oksana:
</t>
        </r>
        <r>
          <rPr>
            <sz val="9"/>
            <color indexed="81"/>
            <rFont val="Tahoma"/>
            <family val="2"/>
          </rPr>
          <t>Puhastame plaati, kui:
- see on WQ 
-  paksus suurem kui 20mm
- sõltumata pakusest gabariit suurem kui 300mm</t>
        </r>
      </text>
    </comment>
    <comment ref="AG145" authorId="110" shapeId="0" xr:uid="{5975E3E6-1F88-4528-936E-A66A5B21637F}">
      <text>
        <t>[Threaded comment]
Your version of Excel allows you to read this threaded comment; however, any edits to it will get removed if the file is opened in a newer version of Excel. Learn more: https://go.microsoft.com/fwlink/?linkid=870924
Comment:
    Alates pl35-lisaaeg avade tegemiseks</t>
      </text>
    </comment>
    <comment ref="AD146" authorId="8" shapeId="0" xr:uid="{8D6F7D3B-705C-4758-8A37-7662DB1F295F}">
      <text>
        <r>
          <rPr>
            <b/>
            <sz val="9"/>
            <color indexed="81"/>
            <rFont val="Tahoma"/>
            <family val="2"/>
          </rPr>
          <t xml:space="preserve">oksana:
</t>
        </r>
        <r>
          <rPr>
            <sz val="9"/>
            <color indexed="81"/>
            <rFont val="Tahoma"/>
            <family val="2"/>
          </rPr>
          <t>Puhastame plaati, kui:
- see on WQ 
-  paksus suurem kui 20mm
- sõltumata pakusest gabariit suurem kui 300mm</t>
        </r>
      </text>
    </comment>
    <comment ref="AG146" authorId="111" shapeId="0" xr:uid="{0D3E6E09-FDD7-4A9B-9C5B-1E8B480C05F8}">
      <text>
        <t>[Threaded comment]
Your version of Excel allows you to read this threaded comment; however, any edits to it will get removed if the file is opened in a newer version of Excel. Learn more: https://go.microsoft.com/fwlink/?linkid=870924
Comment:
    Alates pl35-lisaaeg avade tegemiseks</t>
      </text>
    </comment>
    <comment ref="AK147" authorId="112" shapeId="0" xr:uid="{15992175-9752-42C9-993B-2B65E2796B8E}">
      <text>
        <t>[Threaded comment]
Your version of Excel allows you to read this threaded comment; however, any edits to it will get removed if the file is opened in a newer version of Excel. Learn more: https://go.microsoft.com/fwlink/?linkid=870924
Comment:
    profiili tüüp 1 või 2 (vaata "abifalis")</t>
      </text>
    </comment>
    <comment ref="AD148" authorId="8" shapeId="0" xr:uid="{2529834A-BF3E-44B8-9FF6-B956DC07A5A9}">
      <text>
        <r>
          <rPr>
            <b/>
            <sz val="9"/>
            <color indexed="81"/>
            <rFont val="Tahoma"/>
            <family val="2"/>
          </rPr>
          <t xml:space="preserve">oksana:
</t>
        </r>
        <r>
          <rPr>
            <sz val="9"/>
            <color indexed="81"/>
            <rFont val="Tahoma"/>
            <family val="2"/>
          </rPr>
          <t>Puhastame plaati, kui:
- see on WQ 
-  paksus suurem kui 20mm
- sõltumata pakusest gabariit suurem kui 300mm</t>
        </r>
      </text>
    </comment>
    <comment ref="AG148" authorId="113" shapeId="0" xr:uid="{6549DCFD-015B-4C68-9A87-B310EBFB1B99}">
      <text>
        <t>[Threaded comment]
Your version of Excel allows you to read this threaded comment; however, any edits to it will get removed if the file is opened in a newer version of Excel. Learn more: https://go.microsoft.com/fwlink/?linkid=870924
Comment:
    Alates pl35-lisaaeg avade tegemiseks</t>
      </text>
    </comment>
    <comment ref="AK149" authorId="114" shapeId="0" xr:uid="{C9E0F03F-1EB5-48F1-825D-62820E134AB7}">
      <text>
        <t>[Threaded comment]
Your version of Excel allows you to read this threaded comment; however, any edits to it will get removed if the file is opened in a newer version of Excel. Learn more: https://go.microsoft.com/fwlink/?linkid=870924
Comment:
    profiili tüüp 1 või 2 (vaata "abifalis")</t>
      </text>
    </comment>
    <comment ref="AD153" authorId="8" shapeId="0" xr:uid="{DF67BB80-4651-43CD-BDBF-F34E842EAD01}">
      <text>
        <r>
          <rPr>
            <b/>
            <sz val="9"/>
            <color indexed="81"/>
            <rFont val="Tahoma"/>
            <family val="2"/>
          </rPr>
          <t xml:space="preserve">oksana:
</t>
        </r>
        <r>
          <rPr>
            <sz val="9"/>
            <color indexed="81"/>
            <rFont val="Tahoma"/>
            <family val="2"/>
          </rPr>
          <t>Puhastame plaati, kui:
- see on WQ 
-  paksus suurem kui 20mm
- sõltumata pakusest gabariit suurem kui 300mm</t>
        </r>
      </text>
    </comment>
    <comment ref="AG153" authorId="115" shapeId="0" xr:uid="{868B7147-0984-41B8-9BB3-1B1D66E03337}">
      <text>
        <t>[Threaded comment]
Your version of Excel allows you to read this threaded comment; however, any edits to it will get removed if the file is opened in a newer version of Excel. Learn more: https://go.microsoft.com/fwlink/?linkid=870924
Comment:
    Alates pl35-lisaaeg avade tegemiseks</t>
      </text>
    </comment>
    <comment ref="AK153" authorId="116" shapeId="0" xr:uid="{082A8F75-A148-412E-8D98-FA247D19E0EA}">
      <text>
        <t>[Threaded comment]
Your version of Excel allows you to read this threaded comment; however, any edits to it will get removed if the file is opened in a newer version of Excel. Learn more: https://go.microsoft.com/fwlink/?linkid=870924
Comment:
    Põkkimiste läbimiteaev plaatidele pl5-pl100</t>
      </text>
    </comment>
    <comment ref="AD154" authorId="8" shapeId="0" xr:uid="{4CAB7B6C-F3F8-46C1-8E85-FFCA3FA5BE1A}">
      <text>
        <r>
          <rPr>
            <b/>
            <sz val="9"/>
            <color indexed="81"/>
            <rFont val="Tahoma"/>
            <family val="2"/>
          </rPr>
          <t xml:space="preserve">oksana:
</t>
        </r>
        <r>
          <rPr>
            <sz val="9"/>
            <color indexed="81"/>
            <rFont val="Tahoma"/>
            <family val="2"/>
          </rPr>
          <t>Puhastame plaati, kui:
- see on WQ 
-  paksus suurem kui 20mm
- sõltumata pakusest gabariit suurem kui 300mm</t>
        </r>
      </text>
    </comment>
    <comment ref="AG154" authorId="117" shapeId="0" xr:uid="{BEB067F7-743E-4E1F-889A-535778DDEB6B}">
      <text>
        <t>[Threaded comment]
Your version of Excel allows you to read this threaded comment; however, any edits to it will get removed if the file is opened in a newer version of Excel. Learn more: https://go.microsoft.com/fwlink/?linkid=870924
Comment:
    Alates pl35-lisaaeg avade tegemiseks</t>
      </text>
    </comment>
    <comment ref="AD155" authorId="8" shapeId="0" xr:uid="{B778876D-9D5C-43AE-B34C-188374D92861}">
      <text>
        <r>
          <rPr>
            <b/>
            <sz val="9"/>
            <color indexed="81"/>
            <rFont val="Tahoma"/>
            <family val="2"/>
          </rPr>
          <t xml:space="preserve">oksana:
</t>
        </r>
        <r>
          <rPr>
            <sz val="9"/>
            <color indexed="81"/>
            <rFont val="Tahoma"/>
            <family val="2"/>
          </rPr>
          <t>Puhastame plaati, kui:
- see on WQ 
-  paksus suurem kui 20mm
- sõltumata pakusest gabariit suurem kui 300mm</t>
        </r>
      </text>
    </comment>
    <comment ref="AG155" authorId="118" shapeId="0" xr:uid="{E423AF73-54E9-4EFB-AFB7-AC346B9DEC09}">
      <text>
        <t>[Threaded comment]
Your version of Excel allows you to read this threaded comment; however, any edits to it will get removed if the file is opened in a newer version of Excel. Learn more: https://go.microsoft.com/fwlink/?linkid=870924
Comment:
    Alates pl35-lisaaeg avade tegemiseks</t>
      </text>
    </comment>
    <comment ref="AK156" authorId="119" shapeId="0" xr:uid="{17B04460-1FC6-4580-9A44-5F8EE9314FEB}">
      <text>
        <t>[Threaded comment]
Your version of Excel allows you to read this threaded comment; however, any edits to it will get removed if the file is opened in a newer version of Excel. Learn more: https://go.microsoft.com/fwlink/?linkid=870924
Comment:
    profiili tüüp 1 või 2 (vaata "abifalis")</t>
      </text>
    </comment>
    <comment ref="AK157" authorId="120" shapeId="0" xr:uid="{AA616AB6-9569-4F4A-B1AC-2B3865C518A3}">
      <text>
        <t>[Threaded comment]
Your version of Excel allows you to read this threaded comment; however, any edits to it will get removed if the file is opened in a newer version of Excel. Learn more: https://go.microsoft.com/fwlink/?linkid=870924
Comment:
    profiili tüüp 1 või 2 (vaata "abifalis")</t>
      </text>
    </comment>
    <comment ref="AD158" authorId="8" shapeId="0" xr:uid="{E2444AEF-654E-4580-BDBA-7A203D6AAD52}">
      <text>
        <r>
          <rPr>
            <b/>
            <sz val="9"/>
            <color indexed="81"/>
            <rFont val="Tahoma"/>
            <family val="2"/>
          </rPr>
          <t xml:space="preserve">oksana:
</t>
        </r>
        <r>
          <rPr>
            <sz val="9"/>
            <color indexed="81"/>
            <rFont val="Tahoma"/>
            <family val="2"/>
          </rPr>
          <t>Puhastame plaati, kui:
- see on WQ 
-  paksus suurem kui 20mm
- sõltumata pakusest gabariit suurem kui 300mm</t>
        </r>
      </text>
    </comment>
    <comment ref="AG158" authorId="121" shapeId="0" xr:uid="{2F7DE7B8-B197-480F-8320-2EC324C1BCE0}">
      <text>
        <t>[Threaded comment]
Your version of Excel allows you to read this threaded comment; however, any edits to it will get removed if the file is opened in a newer version of Excel. Learn more: https://go.microsoft.com/fwlink/?linkid=870924
Comment:
    Alates pl35-lisaaeg avade tegemiseks</t>
      </text>
    </comment>
    <comment ref="AD159" authorId="8" shapeId="0" xr:uid="{D2ADA584-264C-4418-8A21-A6C19D054EC8}">
      <text>
        <r>
          <rPr>
            <b/>
            <sz val="9"/>
            <color indexed="81"/>
            <rFont val="Tahoma"/>
            <family val="2"/>
          </rPr>
          <t xml:space="preserve">oksana:
</t>
        </r>
        <r>
          <rPr>
            <sz val="9"/>
            <color indexed="81"/>
            <rFont val="Tahoma"/>
            <family val="2"/>
          </rPr>
          <t>Puhastame plaati, kui:
- see on WQ 
-  paksus suurem kui 20mm
- sõltumata pakusest gabariit suurem kui 300mm</t>
        </r>
      </text>
    </comment>
    <comment ref="AG159" authorId="122" shapeId="0" xr:uid="{B8081559-1558-43D9-8963-5165267A098E}">
      <text>
        <t>[Threaded comment]
Your version of Excel allows you to read this threaded comment; however, any edits to it will get removed if the file is opened in a newer version of Excel. Learn more: https://go.microsoft.com/fwlink/?linkid=870924
Comment:
    Alates pl35-lisaaeg avade tegemiseks</t>
      </text>
    </comment>
    <comment ref="AS163" authorId="123" shapeId="0" xr:uid="{73879E84-7256-4D71-9158-146AD981E286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Materiali kasum
</t>
      </text>
    </comment>
    <comment ref="AK168" authorId="124" shapeId="0" xr:uid="{C1AB5087-B4A9-43B1-B30E-D7DED712B3D0}">
      <text>
        <t>[Threaded comment]
Your version of Excel allows you to read this threaded comment; however, any edits to it will get removed if the file is opened in a newer version of Excel. Learn more: https://go.microsoft.com/fwlink/?linkid=870924
Comment:
    profiili tüüp 1 või 2 (vaata "abifalis")</t>
      </text>
    </comment>
    <comment ref="AD169" authorId="8" shapeId="0" xr:uid="{958959C1-4234-45CD-B31F-6BCC1BD2C15D}">
      <text>
        <r>
          <rPr>
            <b/>
            <sz val="9"/>
            <color indexed="81"/>
            <rFont val="Tahoma"/>
            <family val="2"/>
          </rPr>
          <t xml:space="preserve">oksana:
</t>
        </r>
        <r>
          <rPr>
            <sz val="9"/>
            <color indexed="81"/>
            <rFont val="Tahoma"/>
            <family val="2"/>
          </rPr>
          <t>Puhastame plaati, kui:
- see on WQ 
-  paksus suurem kui 20mm
- sõltumata pakusest gabariit suurem kui 300mm</t>
        </r>
      </text>
    </comment>
    <comment ref="AG169" authorId="125" shapeId="0" xr:uid="{6808D478-979A-4A6D-86D3-A3E0A12E78E6}">
      <text>
        <t>[Threaded comment]
Your version of Excel allows you to read this threaded comment; however, any edits to it will get removed if the file is opened in a newer version of Excel. Learn more: https://go.microsoft.com/fwlink/?linkid=870924
Comment:
    Alates pl35-lisaaeg avade tegemiseks</t>
      </text>
    </comment>
    <comment ref="AD170" authorId="8" shapeId="0" xr:uid="{7795FD08-EBC8-4B4B-BF89-3D43DF80D7CC}">
      <text>
        <r>
          <rPr>
            <b/>
            <sz val="9"/>
            <color indexed="81"/>
            <rFont val="Tahoma"/>
            <family val="2"/>
          </rPr>
          <t xml:space="preserve">oksana:
</t>
        </r>
        <r>
          <rPr>
            <sz val="9"/>
            <color indexed="81"/>
            <rFont val="Tahoma"/>
            <family val="2"/>
          </rPr>
          <t>Puhastame plaati, kui:
- see on WQ 
-  paksus suurem kui 20mm
- sõltumata pakusest gabariit suurem kui 300mm</t>
        </r>
      </text>
    </comment>
    <comment ref="AG170" authorId="126" shapeId="0" xr:uid="{C2C72D0B-2B1F-47DC-8616-C81AC3BFAB06}">
      <text>
        <t>[Threaded comment]
Your version of Excel allows you to read this threaded comment; however, any edits to it will get removed if the file is opened in a newer version of Excel. Learn more: https://go.microsoft.com/fwlink/?linkid=870924
Comment:
    Alates pl35-lisaaeg avade tegemiseks</t>
      </text>
    </comment>
    <comment ref="AD171" authorId="8" shapeId="0" xr:uid="{257C8AA6-7FE3-47AB-B23C-A21E256CA6C9}">
      <text>
        <r>
          <rPr>
            <b/>
            <sz val="9"/>
            <color indexed="81"/>
            <rFont val="Tahoma"/>
            <family val="2"/>
          </rPr>
          <t xml:space="preserve">oksana:
</t>
        </r>
        <r>
          <rPr>
            <sz val="9"/>
            <color indexed="81"/>
            <rFont val="Tahoma"/>
            <family val="2"/>
          </rPr>
          <t>Puhastame plaati, kui:
- see on WQ 
-  paksus suurem kui 20mm
- sõltumata pakusest gabariit suurem kui 300mm</t>
        </r>
      </text>
    </comment>
    <comment ref="AG171" authorId="127" shapeId="0" xr:uid="{12FFD887-6B98-42BB-B3EA-C1783223569D}">
      <text>
        <t>[Threaded comment]
Your version of Excel allows you to read this threaded comment; however, any edits to it will get removed if the file is opened in a newer version of Excel. Learn more: https://go.microsoft.com/fwlink/?linkid=870924
Comment:
    Alates pl35-lisaaeg avade tegemiseks</t>
      </text>
    </comment>
    <comment ref="AD172" authorId="8" shapeId="0" xr:uid="{5C427DB8-4B81-468D-AF4D-20DAA863EBC3}">
      <text>
        <r>
          <rPr>
            <b/>
            <sz val="9"/>
            <color indexed="81"/>
            <rFont val="Tahoma"/>
            <family val="2"/>
          </rPr>
          <t xml:space="preserve">oksana:
</t>
        </r>
        <r>
          <rPr>
            <sz val="9"/>
            <color indexed="81"/>
            <rFont val="Tahoma"/>
            <family val="2"/>
          </rPr>
          <t>Puhastame plaati, kui:
- see on WQ 
-  paksus suurem kui 20mm
- sõltumata pakusest gabariit suurem kui 300mm</t>
        </r>
      </text>
    </comment>
    <comment ref="AG172" authorId="128" shapeId="0" xr:uid="{2B12F4A2-34FD-4DCD-ABE8-8CEBBC6A651D}">
      <text>
        <t>[Threaded comment]
Your version of Excel allows you to read this threaded comment; however, any edits to it will get removed if the file is opened in a newer version of Excel. Learn more: https://go.microsoft.com/fwlink/?linkid=870924
Comment:
    Alates pl35-lisaaeg avade tegemiseks</t>
      </text>
    </comment>
    <comment ref="AK175" authorId="129" shapeId="0" xr:uid="{2A170C79-BF2B-41CE-896F-6467E0B3392F}">
      <text>
        <t>[Threaded comment]
Your version of Excel allows you to read this threaded comment; however, any edits to it will get removed if the file is opened in a newer version of Excel. Learn more: https://go.microsoft.com/fwlink/?linkid=870924
Comment:
    profiili tüüp 1 või 2 (vaata "abifalis")</t>
      </text>
    </comment>
    <comment ref="AD176" authorId="8" shapeId="0" xr:uid="{19F06132-C553-4C3F-81F6-49FBDF84A1D1}">
      <text>
        <r>
          <rPr>
            <b/>
            <sz val="9"/>
            <color indexed="81"/>
            <rFont val="Tahoma"/>
            <family val="2"/>
          </rPr>
          <t xml:space="preserve">oksana:
</t>
        </r>
        <r>
          <rPr>
            <sz val="9"/>
            <color indexed="81"/>
            <rFont val="Tahoma"/>
            <family val="2"/>
          </rPr>
          <t>Puhastame plaati, kui:
- see on WQ 
-  paksus suurem kui 20mm
- sõltumata pakusest gabariit suurem kui 300mm</t>
        </r>
      </text>
    </comment>
    <comment ref="AG176" authorId="130" shapeId="0" xr:uid="{E239EDD3-B935-4120-83CF-497232C6B11C}">
      <text>
        <t>[Threaded comment]
Your version of Excel allows you to read this threaded comment; however, any edits to it will get removed if the file is opened in a newer version of Excel. Learn more: https://go.microsoft.com/fwlink/?linkid=870924
Comment:
    Alates pl35-lisaaeg avade tegemiseks</t>
      </text>
    </comment>
    <comment ref="AD177" authorId="8" shapeId="0" xr:uid="{B54D13AE-D82E-46C6-BAB2-7C06459A76FA}">
      <text>
        <r>
          <rPr>
            <b/>
            <sz val="9"/>
            <color indexed="81"/>
            <rFont val="Tahoma"/>
            <family val="2"/>
          </rPr>
          <t xml:space="preserve">oksana:
</t>
        </r>
        <r>
          <rPr>
            <sz val="9"/>
            <color indexed="81"/>
            <rFont val="Tahoma"/>
            <family val="2"/>
          </rPr>
          <t>Puhastame plaati, kui:
- see on WQ 
-  paksus suurem kui 20mm
- sõltumata pakusest gabariit suurem kui 300mm</t>
        </r>
      </text>
    </comment>
    <comment ref="AG177" authorId="131" shapeId="0" xr:uid="{3F830CCC-EEC1-441A-A0A6-57637589A493}">
      <text>
        <t>[Threaded comment]
Your version of Excel allows you to read this threaded comment; however, any edits to it will get removed if the file is opened in a newer version of Excel. Learn more: https://go.microsoft.com/fwlink/?linkid=870924
Comment:
    Alates pl35-lisaaeg avade tegemiseks</t>
      </text>
    </comment>
    <comment ref="AD178" authorId="8" shapeId="0" xr:uid="{5F62869F-B5E8-42CC-AD40-0C6068B90CB8}">
      <text>
        <r>
          <rPr>
            <b/>
            <sz val="9"/>
            <color indexed="81"/>
            <rFont val="Tahoma"/>
            <family val="2"/>
          </rPr>
          <t xml:space="preserve">oksana:
</t>
        </r>
        <r>
          <rPr>
            <sz val="9"/>
            <color indexed="81"/>
            <rFont val="Tahoma"/>
            <family val="2"/>
          </rPr>
          <t>Puhastame plaati, kui:
- see on WQ 
-  paksus suurem kui 20mm
- sõltumata pakusest gabariit suurem kui 300mm</t>
        </r>
      </text>
    </comment>
    <comment ref="AG178" authorId="132" shapeId="0" xr:uid="{AE9C22AA-ADA5-4153-850D-449156547DE1}">
      <text>
        <t>[Threaded comment]
Your version of Excel allows you to read this threaded comment; however, any edits to it will get removed if the file is opened in a newer version of Excel. Learn more: https://go.microsoft.com/fwlink/?linkid=870924
Comment:
    Alates pl35-lisaaeg avade tegemiseks</t>
      </text>
    </comment>
    <comment ref="AD179" authorId="8" shapeId="0" xr:uid="{DC114CCC-F311-4E0A-A11F-B8572B33B26C}">
      <text>
        <r>
          <rPr>
            <b/>
            <sz val="9"/>
            <color indexed="81"/>
            <rFont val="Tahoma"/>
            <family val="2"/>
          </rPr>
          <t xml:space="preserve">oksana:
</t>
        </r>
        <r>
          <rPr>
            <sz val="9"/>
            <color indexed="81"/>
            <rFont val="Tahoma"/>
            <family val="2"/>
          </rPr>
          <t>Puhastame plaati, kui:
- see on WQ 
-  paksus suurem kui 20mm
- sõltumata pakusest gabariit suurem kui 300mm</t>
        </r>
      </text>
    </comment>
    <comment ref="AG179" authorId="133" shapeId="0" xr:uid="{FF2A35A7-EB55-4B6F-91F3-36775E0B4B43}">
      <text>
        <t>[Threaded comment]
Your version of Excel allows you to read this threaded comment; however, any edits to it will get removed if the file is opened in a newer version of Excel. Learn more: https://go.microsoft.com/fwlink/?linkid=870924
Comment:
    Alates pl35-lisaaeg avade tegemiseks</t>
      </text>
    </comment>
    <comment ref="AD180" authorId="8" shapeId="0" xr:uid="{7D9E03E6-5743-4316-99BB-60F92BD9C86A}">
      <text>
        <r>
          <rPr>
            <b/>
            <sz val="9"/>
            <color indexed="81"/>
            <rFont val="Tahoma"/>
            <family val="2"/>
          </rPr>
          <t xml:space="preserve">oksana:
</t>
        </r>
        <r>
          <rPr>
            <sz val="9"/>
            <color indexed="81"/>
            <rFont val="Tahoma"/>
            <family val="2"/>
          </rPr>
          <t>Puhastame plaati, kui:
- see on WQ 
-  paksus suurem kui 20mm
- sõltumata pakusest gabariit suurem kui 300mm</t>
        </r>
      </text>
    </comment>
    <comment ref="AG180" authorId="134" shapeId="0" xr:uid="{2717DBE5-9FE8-4887-BD58-3B16210ADBE0}">
      <text>
        <t>[Threaded comment]
Your version of Excel allows you to read this threaded comment; however, any edits to it will get removed if the file is opened in a newer version of Excel. Learn more: https://go.microsoft.com/fwlink/?linkid=870924
Comment:
    Alates pl35-lisaaeg avade tegemiseks</t>
      </text>
    </comment>
    <comment ref="AD181" authorId="8" shapeId="0" xr:uid="{BC38E4E5-D60A-4568-BA07-159D734B06BA}">
      <text>
        <r>
          <rPr>
            <b/>
            <sz val="9"/>
            <color indexed="81"/>
            <rFont val="Tahoma"/>
            <family val="2"/>
          </rPr>
          <t xml:space="preserve">oksana:
</t>
        </r>
        <r>
          <rPr>
            <sz val="9"/>
            <color indexed="81"/>
            <rFont val="Tahoma"/>
            <family val="2"/>
          </rPr>
          <t>Puhastame plaati, kui:
- see on WQ 
-  paksus suurem kui 20mm
- sõltumata pakusest gabariit suurem kui 300mm</t>
        </r>
      </text>
    </comment>
    <comment ref="AG181" authorId="135" shapeId="0" xr:uid="{653DE156-497D-41CB-A18B-AEF597B702BF}">
      <text>
        <t>[Threaded comment]
Your version of Excel allows you to read this threaded comment; however, any edits to it will get removed if the file is opened in a newer version of Excel. Learn more: https://go.microsoft.com/fwlink/?linkid=870924
Comment:
    Alates pl35-lisaaeg avade tegemiseks</t>
      </text>
    </comment>
    <comment ref="AK182" authorId="136" shapeId="0" xr:uid="{E15A40DE-347E-4EEA-9DFB-434EE166F96A}">
      <text>
        <t>[Threaded comment]
Your version of Excel allows you to read this threaded comment; however, any edits to it will get removed if the file is opened in a newer version of Excel. Learn more: https://go.microsoft.com/fwlink/?linkid=870924
Comment:
    profiili tüüp 1 või 2 (vaata "abifalis")</t>
      </text>
    </comment>
    <comment ref="AD183" authorId="8" shapeId="0" xr:uid="{03965CC1-8073-4884-AD7C-E1762BFD45E8}">
      <text>
        <r>
          <rPr>
            <b/>
            <sz val="9"/>
            <color indexed="81"/>
            <rFont val="Tahoma"/>
            <family val="2"/>
          </rPr>
          <t xml:space="preserve">oksana:
</t>
        </r>
        <r>
          <rPr>
            <sz val="9"/>
            <color indexed="81"/>
            <rFont val="Tahoma"/>
            <family val="2"/>
          </rPr>
          <t>Puhastame plaati, kui:
- see on WQ 
-  paksus suurem kui 20mm
- sõltumata pakusest gabariit suurem kui 300mm</t>
        </r>
      </text>
    </comment>
    <comment ref="AG183" authorId="137" shapeId="0" xr:uid="{3D476DD3-98CB-4C69-81C6-D7FB3762845E}">
      <text>
        <t>[Threaded comment]
Your version of Excel allows you to read this threaded comment; however, any edits to it will get removed if the file is opened in a newer version of Excel. Learn more: https://go.microsoft.com/fwlink/?linkid=870924
Comment:
    Alates pl35-lisaaeg avade tegemiseks</t>
      </text>
    </comment>
    <comment ref="AK184" authorId="138" shapeId="0" xr:uid="{3D66E184-1758-4055-856A-B3EDEC43C90D}">
      <text>
        <t>[Threaded comment]
Your version of Excel allows you to read this threaded comment; however, any edits to it will get removed if the file is opened in a newer version of Excel. Learn more: https://go.microsoft.com/fwlink/?linkid=870924
Comment:
    profiili tüüp 1 või 2 (vaata "abifalis")</t>
      </text>
    </comment>
    <comment ref="AK185" authorId="139" shapeId="0" xr:uid="{45634E2C-6433-4A9F-86FA-46112E700579}">
      <text>
        <t>[Threaded comment]
Your version of Excel allows you to read this threaded comment; however, any edits to it will get removed if the file is opened in a newer version of Excel. Learn more: https://go.microsoft.com/fwlink/?linkid=870924
Comment:
    profiili tüüp 1 või 2 (vaata "abifalis")</t>
      </text>
    </comment>
    <comment ref="AD186" authorId="8" shapeId="0" xr:uid="{545C21A4-DDDC-43EE-8CD6-76C2F912B347}">
      <text>
        <r>
          <rPr>
            <b/>
            <sz val="9"/>
            <color indexed="81"/>
            <rFont val="Tahoma"/>
            <family val="2"/>
          </rPr>
          <t xml:space="preserve">oksana:
</t>
        </r>
        <r>
          <rPr>
            <sz val="9"/>
            <color indexed="81"/>
            <rFont val="Tahoma"/>
            <family val="2"/>
          </rPr>
          <t>Puhastame plaati, kui:
- see on WQ 
-  paksus suurem kui 20mm
- sõltumata pakusest gabariit suurem kui 300mm</t>
        </r>
      </text>
    </comment>
    <comment ref="AG186" authorId="140" shapeId="0" xr:uid="{8D82899E-CC1C-4CBB-9197-AF8049BC2862}">
      <text>
        <t>[Threaded comment]
Your version of Excel allows you to read this threaded comment; however, any edits to it will get removed if the file is opened in a newer version of Excel. Learn more: https://go.microsoft.com/fwlink/?linkid=870924
Comment:
    Alates pl35-lisaaeg avade tegemiseks</t>
      </text>
    </comment>
    <comment ref="AK190" authorId="141" shapeId="0" xr:uid="{D722A8D2-9472-44B1-AC73-187BE0809169}">
      <text>
        <t>[Threaded comment]
Your version of Excel allows you to read this threaded comment; however, any edits to it will get removed if the file is opened in a newer version of Excel. Learn more: https://go.microsoft.com/fwlink/?linkid=870924
Comment:
    vaata "abifalis"</t>
      </text>
    </comment>
    <comment ref="AD191" authorId="8" shapeId="0" xr:uid="{BD9A2F46-1B3D-45D6-A7F9-19425A6A65C1}">
      <text>
        <r>
          <rPr>
            <b/>
            <sz val="9"/>
            <color indexed="81"/>
            <rFont val="Tahoma"/>
            <family val="2"/>
          </rPr>
          <t xml:space="preserve">oksana:
</t>
        </r>
        <r>
          <rPr>
            <sz val="9"/>
            <color indexed="81"/>
            <rFont val="Tahoma"/>
            <family val="2"/>
          </rPr>
          <t>Puhastame plaati, kui:
- see on WQ 
-  paksus suurem kui 20mm
- sõltumata pakusest gabariit suurem kui 300mm</t>
        </r>
      </text>
    </comment>
    <comment ref="AG191" authorId="142" shapeId="0" xr:uid="{20E22477-638B-4C55-AEA0-BBCE7ECB9FF0}">
      <text>
        <t>[Threaded comment]
Your version of Excel allows you to read this threaded comment; however, any edits to it will get removed if the file is opened in a newer version of Excel. Learn more: https://go.microsoft.com/fwlink/?linkid=870924
Comment:
    Alates pl35-lisaaeg avade tegemiseks</t>
      </text>
    </comment>
    <comment ref="AD192" authorId="8" shapeId="0" xr:uid="{046DD895-1139-47A3-AA3B-E930283AE294}">
      <text>
        <r>
          <rPr>
            <b/>
            <sz val="9"/>
            <color indexed="81"/>
            <rFont val="Tahoma"/>
            <family val="2"/>
          </rPr>
          <t xml:space="preserve">oksana:
</t>
        </r>
        <r>
          <rPr>
            <sz val="9"/>
            <color indexed="81"/>
            <rFont val="Tahoma"/>
            <family val="2"/>
          </rPr>
          <t>Puhastame plaati, kui:
- see on WQ 
-  paksus suurem kui 20mm
- sõltumata pakusest gabariit suurem kui 300mm</t>
        </r>
      </text>
    </comment>
    <comment ref="AG192" authorId="143" shapeId="0" xr:uid="{85A0DB1E-1E8C-482C-9F71-505D58D86448}">
      <text>
        <t>[Threaded comment]
Your version of Excel allows you to read this threaded comment; however, any edits to it will get removed if the file is opened in a newer version of Excel. Learn more: https://go.microsoft.com/fwlink/?linkid=870924
Comment:
    Alates pl35-lisaaeg avade tegemiseks</t>
      </text>
    </comment>
    <comment ref="AD193" authorId="8" shapeId="0" xr:uid="{9F78A819-7118-4E85-A4C4-85ADA350F855}">
      <text>
        <r>
          <rPr>
            <b/>
            <sz val="9"/>
            <color indexed="81"/>
            <rFont val="Tahoma"/>
            <family val="2"/>
          </rPr>
          <t xml:space="preserve">oksana:
</t>
        </r>
        <r>
          <rPr>
            <sz val="9"/>
            <color indexed="81"/>
            <rFont val="Tahoma"/>
            <family val="2"/>
          </rPr>
          <t>Puhastame plaati, kui:
- see on WQ 
-  paksus suurem kui 20mm
- sõltumata pakusest gabariit suurem kui 300mm</t>
        </r>
      </text>
    </comment>
    <comment ref="AG193" authorId="144" shapeId="0" xr:uid="{7648F147-3394-4EA7-8DA7-CFC8593A1CA4}">
      <text>
        <t>[Threaded comment]
Your version of Excel allows you to read this threaded comment; however, any edits to it will get removed if the file is opened in a newer version of Excel. Learn more: https://go.microsoft.com/fwlink/?linkid=870924
Comment:
    Alates pl35-lisaaeg avade tegemiseks</t>
      </text>
    </comment>
    <comment ref="AD194" authorId="8" shapeId="0" xr:uid="{30D36F7C-544E-4244-A32D-CF65A0E4C8EA}">
      <text>
        <r>
          <rPr>
            <b/>
            <sz val="9"/>
            <color indexed="81"/>
            <rFont val="Tahoma"/>
            <family val="2"/>
          </rPr>
          <t xml:space="preserve">oksana:
</t>
        </r>
        <r>
          <rPr>
            <sz val="9"/>
            <color indexed="81"/>
            <rFont val="Tahoma"/>
            <family val="2"/>
          </rPr>
          <t>Puhastame plaati, kui:
- see on WQ 
-  paksus suurem kui 20mm
- sõltumata pakusest gabariit suurem kui 300mm</t>
        </r>
      </text>
    </comment>
    <comment ref="AG194" authorId="145" shapeId="0" xr:uid="{E1686EBA-D8C7-4798-BFD1-A312D594031C}">
      <text>
        <t>[Threaded comment]
Your version of Excel allows you to read this threaded comment; however, any edits to it will get removed if the file is opened in a newer version of Excel. Learn more: https://go.microsoft.com/fwlink/?linkid=870924
Comment:
    Alates pl35-lisaaeg avade tegemiseks</t>
      </text>
    </comment>
    <comment ref="AD195" authorId="8" shapeId="0" xr:uid="{1222EB07-F507-4310-8BC1-8AB42509B0CD}">
      <text>
        <r>
          <rPr>
            <b/>
            <sz val="9"/>
            <color indexed="81"/>
            <rFont val="Tahoma"/>
            <family val="2"/>
          </rPr>
          <t xml:space="preserve">oksana:
</t>
        </r>
        <r>
          <rPr>
            <sz val="9"/>
            <color indexed="81"/>
            <rFont val="Tahoma"/>
            <family val="2"/>
          </rPr>
          <t>Puhastame plaati, kui:
- see on WQ 
-  paksus suurem kui 20mm
- sõltumata pakusest gabariit suurem kui 300mm</t>
        </r>
      </text>
    </comment>
    <comment ref="AG195" authorId="146" shapeId="0" xr:uid="{C8F25215-5A0D-49D1-99FC-1164883B4746}">
      <text>
        <t>[Threaded comment]
Your version of Excel allows you to read this threaded comment; however, any edits to it will get removed if the file is opened in a newer version of Excel. Learn more: https://go.microsoft.com/fwlink/?linkid=870924
Comment:
    Alates pl35-lisaaeg avade tegemiseks</t>
      </text>
    </comment>
    <comment ref="AK196" authorId="147" shapeId="0" xr:uid="{1D8664D4-2E0A-4862-B7BB-EF4C48FACBD4}">
      <text>
        <t>[Threaded comment]
Your version of Excel allows you to read this threaded comment; however, any edits to it will get removed if the file is opened in a newer version of Excel. Learn more: https://go.microsoft.com/fwlink/?linkid=870924
Comment:
    profiili tüüp 1 või 2 (vaata "abifalis")</t>
      </text>
    </comment>
    <comment ref="AK197" authorId="148" shapeId="0" xr:uid="{3A7AB2F0-F168-4C2A-8923-B61F06DED436}">
      <text>
        <t>[Threaded comment]
Your version of Excel allows you to read this threaded comment; however, any edits to it will get removed if the file is opened in a newer version of Excel. Learn more: https://go.microsoft.com/fwlink/?linkid=870924
Comment:
    profiili tüüp 1 või 2 (vaata "abifalis")</t>
      </text>
    </comment>
    <comment ref="AD198" authorId="8" shapeId="0" xr:uid="{22990C8E-AFB3-4117-BB11-3B2F10049DF8}">
      <text>
        <r>
          <rPr>
            <b/>
            <sz val="9"/>
            <color indexed="81"/>
            <rFont val="Tahoma"/>
            <family val="2"/>
          </rPr>
          <t xml:space="preserve">oksana:
</t>
        </r>
        <r>
          <rPr>
            <sz val="9"/>
            <color indexed="81"/>
            <rFont val="Tahoma"/>
            <family val="2"/>
          </rPr>
          <t>Puhastame plaati, kui:
- see on WQ 
-  paksus suurem kui 20mm
- sõltumata pakusest gabariit suurem kui 300mm</t>
        </r>
      </text>
    </comment>
    <comment ref="AG198" authorId="149" shapeId="0" xr:uid="{A328F559-D02A-4C8A-A2DE-31FB39CE594A}">
      <text>
        <t>[Threaded comment]
Your version of Excel allows you to read this threaded comment; however, any edits to it will get removed if the file is opened in a newer version of Excel. Learn more: https://go.microsoft.com/fwlink/?linkid=870924
Comment:
    Alates pl35-lisaaeg avade tegemiseks</t>
      </text>
    </comment>
    <comment ref="AK201" authorId="150" shapeId="0" xr:uid="{5BE46FDD-70F7-4D92-AC20-2D3054E8CB37}">
      <text>
        <t>[Threaded comment]
Your version of Excel allows you to read this threaded comment; however, any edits to it will get removed if the file is opened in a newer version of Excel. Learn more: https://go.microsoft.com/fwlink/?linkid=870924
Comment:
    profiili tüüp 1 või 2 (vaata "abifalis")</t>
      </text>
    </comment>
    <comment ref="AD202" authorId="8" shapeId="0" xr:uid="{D5DED39C-F360-4903-AD26-4E8B12A0578A}">
      <text>
        <r>
          <rPr>
            <b/>
            <sz val="9"/>
            <color indexed="81"/>
            <rFont val="Tahoma"/>
            <family val="2"/>
          </rPr>
          <t xml:space="preserve">oksana:
</t>
        </r>
        <r>
          <rPr>
            <sz val="9"/>
            <color indexed="81"/>
            <rFont val="Tahoma"/>
            <family val="2"/>
          </rPr>
          <t>Puhastame plaati, kui:
- see on WQ 
-  paksus suurem kui 20mm
- sõltumata pakusest gabariit suurem kui 300mm</t>
        </r>
      </text>
    </comment>
    <comment ref="AG202" authorId="151" shapeId="0" xr:uid="{5D2F7A46-0D1F-4CD6-9114-C92E3C8ADE81}">
      <text>
        <t>[Threaded comment]
Your version of Excel allows you to read this threaded comment; however, any edits to it will get removed if the file is opened in a newer version of Excel. Learn more: https://go.microsoft.com/fwlink/?linkid=870924
Comment:
    Alates pl35-lisaaeg avade tegemiseks</t>
      </text>
    </comment>
    <comment ref="AD203" authorId="8" shapeId="0" xr:uid="{D3E1C245-4BF4-40F0-B73C-F91EF70BB384}">
      <text>
        <r>
          <rPr>
            <b/>
            <sz val="9"/>
            <color indexed="81"/>
            <rFont val="Tahoma"/>
            <family val="2"/>
          </rPr>
          <t xml:space="preserve">oksana:
</t>
        </r>
        <r>
          <rPr>
            <sz val="9"/>
            <color indexed="81"/>
            <rFont val="Tahoma"/>
            <family val="2"/>
          </rPr>
          <t>Puhastame plaati, kui:
- see on WQ 
-  paksus suurem kui 20mm
- sõltumata pakusest gabariit suurem kui 300mm</t>
        </r>
      </text>
    </comment>
    <comment ref="AG203" authorId="152" shapeId="0" xr:uid="{C2538421-F07F-498B-BCCD-629719DFB7BA}">
      <text>
        <t>[Threaded comment]
Your version of Excel allows you to read this threaded comment; however, any edits to it will get removed if the file is opened in a newer version of Excel. Learn more: https://go.microsoft.com/fwlink/?linkid=870924
Comment:
    Alates pl35-lisaaeg avade tegemiseks</t>
      </text>
    </comment>
    <comment ref="AK204" authorId="153" shapeId="0" xr:uid="{5087EF1D-9142-4B89-9323-4B4273E29F6E}">
      <text>
        <t>[Threaded comment]
Your version of Excel allows you to read this threaded comment; however, any edits to it will get removed if the file is opened in a newer version of Excel. Learn more: https://go.microsoft.com/fwlink/?linkid=870924
Comment:
    profiili tüüp 1 või 2 (vaata "abifalis")</t>
      </text>
    </comment>
    <comment ref="AK205" authorId="154" shapeId="0" xr:uid="{D4D354D4-09C1-49F9-BA57-AD2DA531AD7D}">
      <text>
        <t>[Threaded comment]
Your version of Excel allows you to read this threaded comment; however, any edits to it will get removed if the file is opened in a newer version of Excel. Learn more: https://go.microsoft.com/fwlink/?linkid=870924
Comment:
    profiili tüüp 1 või 2 (vaata "abifalis")</t>
      </text>
    </comment>
    <comment ref="AK208" authorId="155" shapeId="0" xr:uid="{EEE74C7C-B2BA-4147-8102-6A73EAEAF0AB}">
      <text>
        <t>[Threaded comment]
Your version of Excel allows you to read this threaded comment; however, any edits to it will get removed if the file is opened in a newer version of Excel. Learn more: https://go.microsoft.com/fwlink/?linkid=870924
Comment:
    profiili tüüp 1 või 2 (vaata "abifalis")</t>
      </text>
    </comment>
    <comment ref="AD209" authorId="8" shapeId="0" xr:uid="{50EFC071-BF7B-4933-A374-D5BEFFA11BBC}">
      <text>
        <r>
          <rPr>
            <b/>
            <sz val="9"/>
            <color indexed="81"/>
            <rFont val="Tahoma"/>
            <family val="2"/>
          </rPr>
          <t xml:space="preserve">oksana:
</t>
        </r>
        <r>
          <rPr>
            <sz val="9"/>
            <color indexed="81"/>
            <rFont val="Tahoma"/>
            <family val="2"/>
          </rPr>
          <t>Puhastame plaati, kui:
- see on WQ 
-  paksus suurem kui 20mm
- sõltumata pakusest gabariit suurem kui 300mm</t>
        </r>
      </text>
    </comment>
    <comment ref="AG209" authorId="156" shapeId="0" xr:uid="{13D3DA2C-9BAD-412A-A552-6FFB1C9B1693}">
      <text>
        <t>[Threaded comment]
Your version of Excel allows you to read this threaded comment; however, any edits to it will get removed if the file is opened in a newer version of Excel. Learn more: https://go.microsoft.com/fwlink/?linkid=870924
Comment:
    Alates pl35-lisaaeg avade tegemiseks</t>
      </text>
    </comment>
    <comment ref="AD210" authorId="8" shapeId="0" xr:uid="{3C2411F9-43EA-4AB7-B976-D27FE572C210}">
      <text>
        <r>
          <rPr>
            <b/>
            <sz val="9"/>
            <color indexed="81"/>
            <rFont val="Tahoma"/>
            <family val="2"/>
          </rPr>
          <t xml:space="preserve">oksana:
</t>
        </r>
        <r>
          <rPr>
            <sz val="9"/>
            <color indexed="81"/>
            <rFont val="Tahoma"/>
            <family val="2"/>
          </rPr>
          <t>Puhastame plaati, kui:
- see on WQ 
-  paksus suurem kui 20mm
- sõltumata pakusest gabariit suurem kui 300mm</t>
        </r>
      </text>
    </comment>
    <comment ref="AG210" authorId="157" shapeId="0" xr:uid="{49F0A20D-B07A-4DB2-97D8-8E6865F181BC}">
      <text>
        <t>[Threaded comment]
Your version of Excel allows you to read this threaded comment; however, any edits to it will get removed if the file is opened in a newer version of Excel. Learn more: https://go.microsoft.com/fwlink/?linkid=870924
Comment:
    Alates pl35-lisaaeg avade tegemiseks</t>
      </text>
    </comment>
    <comment ref="AD211" authorId="8" shapeId="0" xr:uid="{053204BC-AC24-41C7-8B7A-B4C9B6AF2D8A}">
      <text>
        <r>
          <rPr>
            <b/>
            <sz val="9"/>
            <color indexed="81"/>
            <rFont val="Tahoma"/>
            <family val="2"/>
          </rPr>
          <t xml:space="preserve">oksana:
</t>
        </r>
        <r>
          <rPr>
            <sz val="9"/>
            <color indexed="81"/>
            <rFont val="Tahoma"/>
            <family val="2"/>
          </rPr>
          <t>Puhastame plaati, kui:
- see on WQ 
-  paksus suurem kui 20mm
- sõltumata pakusest gabariit suurem kui 300mm</t>
        </r>
      </text>
    </comment>
    <comment ref="AG211" authorId="158" shapeId="0" xr:uid="{8EF3281A-CEEB-4640-879F-5C9D820F3C2C}">
      <text>
        <t>[Threaded comment]
Your version of Excel allows you to read this threaded comment; however, any edits to it will get removed if the file is opened in a newer version of Excel. Learn more: https://go.microsoft.com/fwlink/?linkid=870924
Comment:
    Alates pl35-lisaaeg avade tegemiseks</t>
      </text>
    </comment>
    <comment ref="AD212" authorId="8" shapeId="0" xr:uid="{6BAE2A39-1237-4BFB-B819-9B6DF4DBB7A7}">
      <text>
        <r>
          <rPr>
            <b/>
            <sz val="9"/>
            <color indexed="81"/>
            <rFont val="Tahoma"/>
            <family val="2"/>
          </rPr>
          <t xml:space="preserve">oksana:
</t>
        </r>
        <r>
          <rPr>
            <sz val="9"/>
            <color indexed="81"/>
            <rFont val="Tahoma"/>
            <family val="2"/>
          </rPr>
          <t>Puhastame plaati, kui:
- see on WQ 
-  paksus suurem kui 20mm
- sõltumata pakusest gabariit suurem kui 300mm</t>
        </r>
      </text>
    </comment>
    <comment ref="AG212" authorId="159" shapeId="0" xr:uid="{4D6FE16B-7D91-4593-8F9B-29327C3C7795}">
      <text>
        <t>[Threaded comment]
Your version of Excel allows you to read this threaded comment; however, any edits to it will get removed if the file is opened in a newer version of Excel. Learn more: https://go.microsoft.com/fwlink/?linkid=870924
Comment:
    Alates pl35-lisaaeg avade tegemiseks</t>
      </text>
    </comment>
    <comment ref="AD213" authorId="8" shapeId="0" xr:uid="{AD2B2325-9AB7-4AEA-8488-C33110F68ACC}">
      <text>
        <r>
          <rPr>
            <b/>
            <sz val="9"/>
            <color indexed="81"/>
            <rFont val="Tahoma"/>
            <family val="2"/>
          </rPr>
          <t xml:space="preserve">oksana:
</t>
        </r>
        <r>
          <rPr>
            <sz val="9"/>
            <color indexed="81"/>
            <rFont val="Tahoma"/>
            <family val="2"/>
          </rPr>
          <t>Puhastame plaati, kui:
- see on WQ 
-  paksus suurem kui 20mm
- sõltumata pakusest gabariit suurem kui 300mm</t>
        </r>
      </text>
    </comment>
    <comment ref="AG213" authorId="160" shapeId="0" xr:uid="{EC32DD9F-723D-4D3D-814F-C67B0AC508FD}">
      <text>
        <t>[Threaded comment]
Your version of Excel allows you to read this threaded comment; however, any edits to it will get removed if the file is opened in a newer version of Excel. Learn more: https://go.microsoft.com/fwlink/?linkid=870924
Comment:
    Alates pl35-lisaaeg avade tegemiseks</t>
      </text>
    </comment>
    <comment ref="AD214" authorId="8" shapeId="0" xr:uid="{90CD1FDE-F748-4D5A-A000-DA2F6E0D041C}">
      <text>
        <r>
          <rPr>
            <b/>
            <sz val="9"/>
            <color indexed="81"/>
            <rFont val="Tahoma"/>
            <family val="2"/>
          </rPr>
          <t xml:space="preserve">oksana:
</t>
        </r>
        <r>
          <rPr>
            <sz val="9"/>
            <color indexed="81"/>
            <rFont val="Tahoma"/>
            <family val="2"/>
          </rPr>
          <t>Puhastame plaati, kui:
- see on WQ 
-  paksus suurem kui 20mm
- sõltumata pakusest gabariit suurem kui 300mm</t>
        </r>
      </text>
    </comment>
    <comment ref="AG214" authorId="161" shapeId="0" xr:uid="{88735D9A-3075-4153-9D52-F93AD2E22807}">
      <text>
        <t>[Threaded comment]
Your version of Excel allows you to read this threaded comment; however, any edits to it will get removed if the file is opened in a newer version of Excel. Learn more: https://go.microsoft.com/fwlink/?linkid=870924
Comment:
    Alates pl35-lisaaeg avade tegemiseks</t>
      </text>
    </comment>
    <comment ref="AK215" authorId="162" shapeId="0" xr:uid="{FDC0670D-AA4C-4309-A791-ACEA7EEDC3DA}">
      <text>
        <t>[Threaded comment]
Your version of Excel allows you to read this threaded comment; however, any edits to it will get removed if the file is opened in a newer version of Excel. Learn more: https://go.microsoft.com/fwlink/?linkid=870924
Comment:
    profiili tüüp 1 või 2 (vaata "abifalis")</t>
      </text>
    </comment>
    <comment ref="AD216" authorId="8" shapeId="0" xr:uid="{CEE25266-6678-4880-B105-16A7DD285D8C}">
      <text>
        <r>
          <rPr>
            <b/>
            <sz val="9"/>
            <color indexed="81"/>
            <rFont val="Tahoma"/>
            <family val="2"/>
          </rPr>
          <t xml:space="preserve">oksana:
</t>
        </r>
        <r>
          <rPr>
            <sz val="9"/>
            <color indexed="81"/>
            <rFont val="Tahoma"/>
            <family val="2"/>
          </rPr>
          <t>Puhastame plaati, kui:
- see on WQ 
-  paksus suurem kui 20mm
- sõltumata pakusest gabariit suurem kui 300mm</t>
        </r>
      </text>
    </comment>
    <comment ref="AG216" authorId="163" shapeId="0" xr:uid="{D52C3180-6A38-4A4F-B6FD-24A64BA07C15}">
      <text>
        <t>[Threaded comment]
Your version of Excel allows you to read this threaded comment; however, any edits to it will get removed if the file is opened in a newer version of Excel. Learn more: https://go.microsoft.com/fwlink/?linkid=870924
Comment:
    Alates pl35-lisaaeg avade tegemiseks</t>
      </text>
    </comment>
    <comment ref="AK219" authorId="164" shapeId="0" xr:uid="{46A649D1-1268-4A98-84C8-3DCE00636675}">
      <text>
        <t>[Threaded comment]
Your version of Excel allows you to read this threaded comment; however, any edits to it will get removed if the file is opened in a newer version of Excel. Learn more: https://go.microsoft.com/fwlink/?linkid=870924
Comment:
    profiili tüüp 1 või 2 (vaata "abifalis")</t>
      </text>
    </comment>
    <comment ref="AD220" authorId="8" shapeId="0" xr:uid="{FAEA24B7-82FD-4C7E-97D4-419AD60E1B45}">
      <text>
        <r>
          <rPr>
            <b/>
            <sz val="9"/>
            <color indexed="81"/>
            <rFont val="Tahoma"/>
            <family val="2"/>
          </rPr>
          <t xml:space="preserve">oksana:
</t>
        </r>
        <r>
          <rPr>
            <sz val="9"/>
            <color indexed="81"/>
            <rFont val="Tahoma"/>
            <family val="2"/>
          </rPr>
          <t>Puhastame plaati, kui:
- see on WQ 
-  paksus suurem kui 20mm
- sõltumata pakusest gabariit suurem kui 300mm</t>
        </r>
      </text>
    </comment>
    <comment ref="AG220" authorId="165" shapeId="0" xr:uid="{A7374539-62AE-4E5A-A52E-1C1365F08574}">
      <text>
        <t>[Threaded comment]
Your version of Excel allows you to read this threaded comment; however, any edits to it will get removed if the file is opened in a newer version of Excel. Learn more: https://go.microsoft.com/fwlink/?linkid=870924
Comment:
    Alates pl35-lisaaeg avade tegemiseks</t>
      </text>
    </comment>
    <comment ref="AD221" authorId="8" shapeId="0" xr:uid="{29B5DE35-839D-482A-A2C1-536D1BA161C9}">
      <text>
        <r>
          <rPr>
            <b/>
            <sz val="9"/>
            <color indexed="81"/>
            <rFont val="Tahoma"/>
            <family val="2"/>
          </rPr>
          <t xml:space="preserve">oksana:
</t>
        </r>
        <r>
          <rPr>
            <sz val="9"/>
            <color indexed="81"/>
            <rFont val="Tahoma"/>
            <family val="2"/>
          </rPr>
          <t>Puhastame plaati, kui:
- see on WQ 
-  paksus suurem kui 20mm
- sõltumata pakusest gabariit suurem kui 300mm</t>
        </r>
      </text>
    </comment>
    <comment ref="AG221" authorId="166" shapeId="0" xr:uid="{F6EB9EB0-851B-49CC-936E-E96C73D9FB9A}">
      <text>
        <t>[Threaded comment]
Your version of Excel allows you to read this threaded comment; however, any edits to it will get removed if the file is opened in a newer version of Excel. Learn more: https://go.microsoft.com/fwlink/?linkid=870924
Comment:
    Alates pl35-lisaaeg avade tegemiseks</t>
      </text>
    </comment>
    <comment ref="AK224" authorId="167" shapeId="0" xr:uid="{FC93E039-6B91-4937-AA57-7F693BEE4D13}">
      <text>
        <t>[Threaded comment]
Your version of Excel allows you to read this threaded comment; however, any edits to it will get removed if the file is opened in a newer version of Excel. Learn more: https://go.microsoft.com/fwlink/?linkid=870924
Comment:
    profiili tüüp 1 või 2 (vaata "abifalis")</t>
      </text>
    </comment>
    <comment ref="AD225" authorId="8" shapeId="0" xr:uid="{4308E36E-8829-481F-9431-BBEF2A77E54B}">
      <text>
        <r>
          <rPr>
            <b/>
            <sz val="9"/>
            <color indexed="81"/>
            <rFont val="Tahoma"/>
            <family val="2"/>
          </rPr>
          <t xml:space="preserve">oksana:
</t>
        </r>
        <r>
          <rPr>
            <sz val="9"/>
            <color indexed="81"/>
            <rFont val="Tahoma"/>
            <family val="2"/>
          </rPr>
          <t>Puhastame plaati, kui:
- see on WQ 
-  paksus suurem kui 20mm
- sõltumata pakusest gabariit suurem kui 300mm</t>
        </r>
      </text>
    </comment>
    <comment ref="AG225" authorId="168" shapeId="0" xr:uid="{F864EF8F-592A-4265-BC26-85ADA4A2B857}">
      <text>
        <t>[Threaded comment]
Your version of Excel allows you to read this threaded comment; however, any edits to it will get removed if the file is opened in a newer version of Excel. Learn more: https://go.microsoft.com/fwlink/?linkid=870924
Comment:
    Alates pl35-lisaaeg avade tegemiseks</t>
      </text>
    </comment>
    <comment ref="AD226" authorId="8" shapeId="0" xr:uid="{A757EC47-3EE6-43DA-9C0B-DCB939ED7382}">
      <text>
        <r>
          <rPr>
            <b/>
            <sz val="9"/>
            <color indexed="81"/>
            <rFont val="Tahoma"/>
            <family val="2"/>
          </rPr>
          <t xml:space="preserve">oksana:
</t>
        </r>
        <r>
          <rPr>
            <sz val="9"/>
            <color indexed="81"/>
            <rFont val="Tahoma"/>
            <family val="2"/>
          </rPr>
          <t>Puhastame plaati, kui:
- see on WQ 
-  paksus suurem kui 20mm
- sõltumata pakusest gabariit suurem kui 300mm</t>
        </r>
      </text>
    </comment>
    <comment ref="AG226" authorId="169" shapeId="0" xr:uid="{6FBA95F2-43FA-48C6-9A60-3A4628E728A3}">
      <text>
        <t>[Threaded comment]
Your version of Excel allows you to read this threaded comment; however, any edits to it will get removed if the file is opened in a newer version of Excel. Learn more: https://go.microsoft.com/fwlink/?linkid=870924
Comment:
    Alates pl35-lisaaeg avade tegemiseks</t>
      </text>
    </comment>
    <comment ref="AD227" authorId="8" shapeId="0" xr:uid="{9D136D18-5725-4783-ADEF-DCAF14BC59D7}">
      <text>
        <r>
          <rPr>
            <b/>
            <sz val="9"/>
            <color indexed="81"/>
            <rFont val="Tahoma"/>
            <family val="2"/>
          </rPr>
          <t xml:space="preserve">oksana:
</t>
        </r>
        <r>
          <rPr>
            <sz val="9"/>
            <color indexed="81"/>
            <rFont val="Tahoma"/>
            <family val="2"/>
          </rPr>
          <t>Puhastame plaati, kui:
- see on WQ 
-  paksus suurem kui 20mm
- sõltumata pakusest gabariit suurem kui 300mm</t>
        </r>
      </text>
    </comment>
    <comment ref="AG227" authorId="170" shapeId="0" xr:uid="{A0E00B53-0B94-4825-9478-22863E8345AB}">
      <text>
        <t>[Threaded comment]
Your version of Excel allows you to read this threaded comment; however, any edits to it will get removed if the file is opened in a newer version of Excel. Learn more: https://go.microsoft.com/fwlink/?linkid=870924
Comment:
    Alates pl35-lisaaeg avade tegemiseks</t>
      </text>
    </comment>
    <comment ref="AD228" authorId="8" shapeId="0" xr:uid="{AA1EEE5F-2BCB-48DD-98A4-5F2971BEC198}">
      <text>
        <r>
          <rPr>
            <b/>
            <sz val="9"/>
            <color indexed="81"/>
            <rFont val="Tahoma"/>
            <family val="2"/>
          </rPr>
          <t xml:space="preserve">oksana:
</t>
        </r>
        <r>
          <rPr>
            <sz val="9"/>
            <color indexed="81"/>
            <rFont val="Tahoma"/>
            <family val="2"/>
          </rPr>
          <t>Puhastame plaati, kui:
- see on WQ 
-  paksus suurem kui 20mm
- sõltumata pakusest gabariit suurem kui 300mm</t>
        </r>
      </text>
    </comment>
    <comment ref="AG228" authorId="171" shapeId="0" xr:uid="{95FFCA75-F3BD-4477-B5CC-5E1A179A4EF9}">
      <text>
        <t>[Threaded comment]
Your version of Excel allows you to read this threaded comment; however, any edits to it will get removed if the file is opened in a newer version of Excel. Learn more: https://go.microsoft.com/fwlink/?linkid=870924
Comment:
    Alates pl35-lisaaeg avade tegemiseks</t>
      </text>
    </comment>
    <comment ref="AK231" authorId="172" shapeId="0" xr:uid="{0EEF2656-ABCA-400C-B537-D723AFEFD37B}">
      <text>
        <t>[Threaded comment]
Your version of Excel allows you to read this threaded comment; however, any edits to it will get removed if the file is opened in a newer version of Excel. Learn more: https://go.microsoft.com/fwlink/?linkid=870924
Comment:
    profiili tüüp 1 või 2 (vaata "abifalis")</t>
      </text>
    </comment>
    <comment ref="AD232" authorId="8" shapeId="0" xr:uid="{AC9F2AA0-E864-4367-B226-4E12515E60A0}">
      <text>
        <r>
          <rPr>
            <b/>
            <sz val="9"/>
            <color indexed="81"/>
            <rFont val="Tahoma"/>
            <family val="2"/>
          </rPr>
          <t xml:space="preserve">oksana:
</t>
        </r>
        <r>
          <rPr>
            <sz val="9"/>
            <color indexed="81"/>
            <rFont val="Tahoma"/>
            <family val="2"/>
          </rPr>
          <t>Puhastame plaati, kui:
- see on WQ 
-  paksus suurem kui 20mm
- sõltumata pakusest gabariit suurem kui 300mm</t>
        </r>
      </text>
    </comment>
    <comment ref="AG232" authorId="173" shapeId="0" xr:uid="{AD6C318B-BA22-4DE5-997E-662ACD21530B}">
      <text>
        <t>[Threaded comment]
Your version of Excel allows you to read this threaded comment; however, any edits to it will get removed if the file is opened in a newer version of Excel. Learn more: https://go.microsoft.com/fwlink/?linkid=870924
Comment:
    Alates pl35-lisaaeg avade tegemiseks</t>
      </text>
    </comment>
    <comment ref="AD233" authorId="8" shapeId="0" xr:uid="{8BE099BD-9307-423A-B448-FCEC123B79F0}">
      <text>
        <r>
          <rPr>
            <b/>
            <sz val="9"/>
            <color indexed="81"/>
            <rFont val="Tahoma"/>
            <family val="2"/>
          </rPr>
          <t xml:space="preserve">oksana:
</t>
        </r>
        <r>
          <rPr>
            <sz val="9"/>
            <color indexed="81"/>
            <rFont val="Tahoma"/>
            <family val="2"/>
          </rPr>
          <t>Puhastame plaati, kui:
- see on WQ 
-  paksus suurem kui 20mm
- sõltumata pakusest gabariit suurem kui 300mm</t>
        </r>
      </text>
    </comment>
    <comment ref="AG233" authorId="174" shapeId="0" xr:uid="{7EAAEF2E-7A12-472A-9876-A20C0BF29205}">
      <text>
        <t>[Threaded comment]
Your version of Excel allows you to read this threaded comment; however, any edits to it will get removed if the file is opened in a newer version of Excel. Learn more: https://go.microsoft.com/fwlink/?linkid=870924
Comment:
    Alates pl35-lisaaeg avade tegemiseks</t>
      </text>
    </comment>
    <comment ref="AD234" authorId="8" shapeId="0" xr:uid="{15773788-78F4-4FE4-B3FE-B9F8F2F230C3}">
      <text>
        <r>
          <rPr>
            <b/>
            <sz val="9"/>
            <color indexed="81"/>
            <rFont val="Tahoma"/>
            <family val="2"/>
          </rPr>
          <t xml:space="preserve">oksana:
</t>
        </r>
        <r>
          <rPr>
            <sz val="9"/>
            <color indexed="81"/>
            <rFont val="Tahoma"/>
            <family val="2"/>
          </rPr>
          <t>Puhastame plaati, kui:
- see on WQ 
-  paksus suurem kui 20mm
- sõltumata pakusest gabariit suurem kui 300mm</t>
        </r>
      </text>
    </comment>
    <comment ref="AG234" authorId="175" shapeId="0" xr:uid="{4A71F6D1-5B78-4FEB-A448-037E2C5B289C}">
      <text>
        <t>[Threaded comment]
Your version of Excel allows you to read this threaded comment; however, any edits to it will get removed if the file is opened in a newer version of Excel. Learn more: https://go.microsoft.com/fwlink/?linkid=870924
Comment:
    Alates pl35-lisaaeg avade tegemiseks</t>
      </text>
    </comment>
    <comment ref="AK235" authorId="176" shapeId="0" xr:uid="{C8C1B230-D4C0-4DBC-9AAB-C9255B335512}">
      <text>
        <t>[Threaded comment]
Your version of Excel allows you to read this threaded comment; however, any edits to it will get removed if the file is opened in a newer version of Excel. Learn more: https://go.microsoft.com/fwlink/?linkid=870924
Comment:
    profiili tüüp 1 või 2 (vaata "abifalis")</t>
      </text>
    </comment>
    <comment ref="AK236" authorId="177" shapeId="0" xr:uid="{46451A6F-12D7-4044-BDEF-37F3C2BF5DD7}">
      <text>
        <t>[Threaded comment]
Your version of Excel allows you to read this threaded comment; however, any edits to it will get removed if the file is opened in a newer version of Excel. Learn more: https://go.microsoft.com/fwlink/?linkid=870924
Comment:
    profiili tüüp 1 või 2 (vaata "abifalis")</t>
      </text>
    </comment>
    <comment ref="AD237" authorId="8" shapeId="0" xr:uid="{92BC0E3E-9EBA-4877-ACFD-8FA0B02C0BC8}">
      <text>
        <r>
          <rPr>
            <b/>
            <sz val="9"/>
            <color indexed="81"/>
            <rFont val="Tahoma"/>
            <family val="2"/>
          </rPr>
          <t xml:space="preserve">oksana:
</t>
        </r>
        <r>
          <rPr>
            <sz val="9"/>
            <color indexed="81"/>
            <rFont val="Tahoma"/>
            <family val="2"/>
          </rPr>
          <t>Puhastame plaati, kui:
- see on WQ 
-  paksus suurem kui 20mm
- sõltumata pakusest gabariit suurem kui 300mm</t>
        </r>
      </text>
    </comment>
    <comment ref="AG237" authorId="178" shapeId="0" xr:uid="{690EFA14-4996-4496-BF35-3C775EC1852C}">
      <text>
        <t>[Threaded comment]
Your version of Excel allows you to read this threaded comment; however, any edits to it will get removed if the file is opened in a newer version of Excel. Learn more: https://go.microsoft.com/fwlink/?linkid=870924
Comment:
    Alates pl35-lisaaeg avade tegemiseks</t>
      </text>
    </comment>
    <comment ref="AK240" authorId="179" shapeId="0" xr:uid="{ED873411-72E3-4B60-B8B5-A65058672B87}">
      <text>
        <t>[Threaded comment]
Your version of Excel allows you to read this threaded comment; however, any edits to it will get removed if the file is opened in a newer version of Excel. Learn more: https://go.microsoft.com/fwlink/?linkid=870924
Comment:
    profiili tüüp 1 või 2 (vaata "abifalis")</t>
      </text>
    </comment>
    <comment ref="AK241" authorId="180" shapeId="0" xr:uid="{4F678685-3FB7-4F4C-9FC9-796D6FC5DA93}">
      <text>
        <t>[Threaded comment]
Your version of Excel allows you to read this threaded comment; however, any edits to it will get removed if the file is opened in a newer version of Excel. Learn more: https://go.microsoft.com/fwlink/?linkid=870924
Comment:
    profiili tüüp 1 või 2 (vaata "abifalis")</t>
      </text>
    </comment>
    <comment ref="AK242" authorId="181" shapeId="0" xr:uid="{BC71F5D1-2975-4311-A02B-B57B10F1DCF8}">
      <text>
        <t>[Threaded comment]
Your version of Excel allows you to read this threaded comment; however, any edits to it will get removed if the file is opened in a newer version of Excel. Learn more: https://go.microsoft.com/fwlink/?linkid=870924
Comment:
    profiili tüüp 1 või 2 (vaata "abifalis")</t>
      </text>
    </comment>
    <comment ref="AD243" authorId="8" shapeId="0" xr:uid="{FD985E2F-6D6E-4499-A067-FE0D60231CFE}">
      <text>
        <r>
          <rPr>
            <b/>
            <sz val="9"/>
            <color indexed="81"/>
            <rFont val="Tahoma"/>
            <family val="2"/>
          </rPr>
          <t xml:space="preserve">oksana:
</t>
        </r>
        <r>
          <rPr>
            <sz val="9"/>
            <color indexed="81"/>
            <rFont val="Tahoma"/>
            <family val="2"/>
          </rPr>
          <t>Puhastame plaati, kui:
- see on WQ 
-  paksus suurem kui 20mm
- sõltumata pakusest gabariit suurem kui 300mm</t>
        </r>
      </text>
    </comment>
    <comment ref="AG243" authorId="182" shapeId="0" xr:uid="{7CB064A0-AD00-4DAC-BE1C-D0E7C67A691C}">
      <text>
        <t>[Threaded comment]
Your version of Excel allows you to read this threaded comment; however, any edits to it will get removed if the file is opened in a newer version of Excel. Learn more: https://go.microsoft.com/fwlink/?linkid=870924
Comment:
    Alates pl35-lisaaeg avade tegemiseks</t>
      </text>
    </comment>
    <comment ref="AD244" authorId="8" shapeId="0" xr:uid="{E18C71F2-009C-415E-BB4E-EA2B07EB6610}">
      <text>
        <r>
          <rPr>
            <b/>
            <sz val="9"/>
            <color indexed="81"/>
            <rFont val="Tahoma"/>
            <family val="2"/>
          </rPr>
          <t xml:space="preserve">oksana:
</t>
        </r>
        <r>
          <rPr>
            <sz val="9"/>
            <color indexed="81"/>
            <rFont val="Tahoma"/>
            <family val="2"/>
          </rPr>
          <t>Puhastame plaati, kui:
- see on WQ 
-  paksus suurem kui 20mm
- sõltumata pakusest gabariit suurem kui 300mm</t>
        </r>
      </text>
    </comment>
    <comment ref="AG244" authorId="183" shapeId="0" xr:uid="{0DD76A23-FFD0-464F-B71F-D409B662071D}">
      <text>
        <t>[Threaded comment]
Your version of Excel allows you to read this threaded comment; however, any edits to it will get removed if the file is opened in a newer version of Excel. Learn more: https://go.microsoft.com/fwlink/?linkid=870924
Comment:
    Alates pl35-lisaaeg avade tegemiseks</t>
      </text>
    </comment>
    <comment ref="AK245" authorId="184" shapeId="0" xr:uid="{AEC6FD41-F4DA-48F8-8812-F98979D84812}">
      <text>
        <t>[Threaded comment]
Your version of Excel allows you to read this threaded comment; however, any edits to it will get removed if the file is opened in a newer version of Excel. Learn more: https://go.microsoft.com/fwlink/?linkid=870924
Comment:
    profiili tüüp 1 või 2 (vaata "abifalis")</t>
      </text>
    </comment>
    <comment ref="AD246" authorId="8" shapeId="0" xr:uid="{717F4BEA-1377-4CD5-B1A0-8428113B4CB2}">
      <text>
        <r>
          <rPr>
            <b/>
            <sz val="9"/>
            <color indexed="81"/>
            <rFont val="Tahoma"/>
            <family val="2"/>
          </rPr>
          <t xml:space="preserve">oksana:
</t>
        </r>
        <r>
          <rPr>
            <sz val="9"/>
            <color indexed="81"/>
            <rFont val="Tahoma"/>
            <family val="2"/>
          </rPr>
          <t>Puhastame plaati, kui:
- see on WQ 
-  paksus suurem kui 20mm
- sõltumata pakusest gabariit suurem kui 300mm</t>
        </r>
      </text>
    </comment>
    <comment ref="AG246" authorId="185" shapeId="0" xr:uid="{23FF2ECE-6746-4F2D-81FB-5E918DE7182D}">
      <text>
        <t>[Threaded comment]
Your version of Excel allows you to read this threaded comment; however, any edits to it will get removed if the file is opened in a newer version of Excel. Learn more: https://go.microsoft.com/fwlink/?linkid=870924
Comment:
    Alates pl35-lisaaeg avade tegemiseks</t>
      </text>
    </comment>
    <comment ref="AD247" authorId="8" shapeId="0" xr:uid="{12ECB764-1ED6-446D-9A61-E6AAC1BF3840}">
      <text>
        <r>
          <rPr>
            <b/>
            <sz val="9"/>
            <color indexed="81"/>
            <rFont val="Tahoma"/>
            <family val="2"/>
          </rPr>
          <t xml:space="preserve">oksana:
</t>
        </r>
        <r>
          <rPr>
            <sz val="9"/>
            <color indexed="81"/>
            <rFont val="Tahoma"/>
            <family val="2"/>
          </rPr>
          <t>Puhastame plaati, kui:
- see on WQ 
-  paksus suurem kui 20mm
- sõltumata pakusest gabariit suurem kui 300mm</t>
        </r>
      </text>
    </comment>
    <comment ref="AG247" authorId="186" shapeId="0" xr:uid="{93F95069-8626-4AC3-B4EB-D155CFDC0E31}">
      <text>
        <t>[Threaded comment]
Your version of Excel allows you to read this threaded comment; however, any edits to it will get removed if the file is opened in a newer version of Excel. Learn more: https://go.microsoft.com/fwlink/?linkid=870924
Comment:
    Alates pl35-lisaaeg avade tegemiseks</t>
      </text>
    </comment>
    <comment ref="AK250" authorId="187" shapeId="0" xr:uid="{C4836D8D-8BA7-45C9-A73E-01308895A3B2}">
      <text>
        <t>[Threaded comment]
Your version of Excel allows you to read this threaded comment; however, any edits to it will get removed if the file is opened in a newer version of Excel. Learn more: https://go.microsoft.com/fwlink/?linkid=870924
Comment:
    profiili tüüp 1 või 2 (vaata "abifalis")</t>
      </text>
    </comment>
    <comment ref="AD251" authorId="8" shapeId="0" xr:uid="{4373757A-E7CA-4455-A967-C0B4F2EEA444}">
      <text>
        <r>
          <rPr>
            <b/>
            <sz val="9"/>
            <color indexed="81"/>
            <rFont val="Tahoma"/>
            <family val="2"/>
          </rPr>
          <t xml:space="preserve">oksana:
</t>
        </r>
        <r>
          <rPr>
            <sz val="9"/>
            <color indexed="81"/>
            <rFont val="Tahoma"/>
            <family val="2"/>
          </rPr>
          <t>Puhastame plaati, kui:
- see on WQ 
-  paksus suurem kui 20mm
- sõltumata pakusest gabariit suurem kui 300mm</t>
        </r>
      </text>
    </comment>
    <comment ref="AG251" authorId="188" shapeId="0" xr:uid="{C4C08960-0564-4827-A064-231D93A8F0E9}">
      <text>
        <t>[Threaded comment]
Your version of Excel allows you to read this threaded comment; however, any edits to it will get removed if the file is opened in a newer version of Excel. Learn more: https://go.microsoft.com/fwlink/?linkid=870924
Comment:
    Alates pl35-lisaaeg avade tegemiseks</t>
      </text>
    </comment>
    <comment ref="AK252" authorId="189" shapeId="0" xr:uid="{36F30E95-8276-475E-BB7D-00F85B67B5FA}">
      <text>
        <t>[Threaded comment]
Your version of Excel allows you to read this threaded comment; however, any edits to it will get removed if the file is opened in a newer version of Excel. Learn more: https://go.microsoft.com/fwlink/?linkid=870924
Comment:
    profiili tüüp 1 või 2 (vaata "abifalis")</t>
      </text>
    </comment>
    <comment ref="AD253" authorId="8" shapeId="0" xr:uid="{341911CB-625E-42F8-AD59-B9DF41820533}">
      <text>
        <r>
          <rPr>
            <b/>
            <sz val="9"/>
            <color indexed="81"/>
            <rFont val="Tahoma"/>
            <family val="2"/>
          </rPr>
          <t xml:space="preserve">oksana:
</t>
        </r>
        <r>
          <rPr>
            <sz val="9"/>
            <color indexed="81"/>
            <rFont val="Tahoma"/>
            <family val="2"/>
          </rPr>
          <t>Puhastame plaati, kui:
- see on WQ 
-  paksus suurem kui 20mm
- sõltumata pakusest gabariit suurem kui 300mm</t>
        </r>
      </text>
    </comment>
    <comment ref="AG253" authorId="190" shapeId="0" xr:uid="{9E4A623E-5C1F-4157-95DE-AE4FB172EB2E}">
      <text>
        <t>[Threaded comment]
Your version of Excel allows you to read this threaded comment; however, any edits to it will get removed if the file is opened in a newer version of Excel. Learn more: https://go.microsoft.com/fwlink/?linkid=870924
Comment:
    Alates pl35-lisaaeg avade tegemiseks</t>
      </text>
    </comment>
    <comment ref="AK254" authorId="191" shapeId="0" xr:uid="{2A5B7202-1F05-436E-9CA4-ACA3316682AB}">
      <text>
        <t>[Threaded comment]
Your version of Excel allows you to read this threaded comment; however, any edits to it will get removed if the file is opened in a newer version of Excel. Learn more: https://go.microsoft.com/fwlink/?linkid=870924
Comment:
    profiili tüüp 1 või 2 (vaata "abifalis")</t>
      </text>
    </comment>
    <comment ref="AD255" authorId="8" shapeId="0" xr:uid="{3B97B9A9-5A58-4A22-9601-B752518AD2F3}">
      <text>
        <r>
          <rPr>
            <b/>
            <sz val="9"/>
            <color indexed="81"/>
            <rFont val="Tahoma"/>
            <family val="2"/>
          </rPr>
          <t xml:space="preserve">oksana:
</t>
        </r>
        <r>
          <rPr>
            <sz val="9"/>
            <color indexed="81"/>
            <rFont val="Tahoma"/>
            <family val="2"/>
          </rPr>
          <t>Puhastame plaati, kui:
- see on WQ 
-  paksus suurem kui 20mm
- sõltumata pakusest gabariit suurem kui 300mm</t>
        </r>
      </text>
    </comment>
    <comment ref="AG255" authorId="192" shapeId="0" xr:uid="{A9711888-9518-455B-90ED-C82DADD348E9}">
      <text>
        <t>[Threaded comment]
Your version of Excel allows you to read this threaded comment; however, any edits to it will get removed if the file is opened in a newer version of Excel. Learn more: https://go.microsoft.com/fwlink/?linkid=870924
Comment:
    Alates pl35-lisaaeg avade tegemiseks</t>
      </text>
    </comment>
    <comment ref="AD256" authorId="8" shapeId="0" xr:uid="{B5E9EE7A-699E-417C-BBE0-32950ADA3E8F}">
      <text>
        <r>
          <rPr>
            <b/>
            <sz val="9"/>
            <color indexed="81"/>
            <rFont val="Tahoma"/>
            <family val="2"/>
          </rPr>
          <t xml:space="preserve">oksana:
</t>
        </r>
        <r>
          <rPr>
            <sz val="9"/>
            <color indexed="81"/>
            <rFont val="Tahoma"/>
            <family val="2"/>
          </rPr>
          <t>Puhastame plaati, kui:
- see on WQ 
-  paksus suurem kui 20mm
- sõltumata pakusest gabariit suurem kui 300mm</t>
        </r>
      </text>
    </comment>
    <comment ref="AG256" authorId="193" shapeId="0" xr:uid="{8F8C600E-6981-4A00-9758-68B3D1DF2E91}">
      <text>
        <t>[Threaded comment]
Your version of Excel allows you to read this threaded comment; however, any edits to it will get removed if the file is opened in a newer version of Excel. Learn more: https://go.microsoft.com/fwlink/?linkid=870924
Comment:
    Alates pl35-lisaaeg avade tegemiseks</t>
      </text>
    </comment>
    <comment ref="AK259" authorId="194" shapeId="0" xr:uid="{CC731A67-B930-4AC5-94B7-3A82A922192C}">
      <text>
        <t>[Threaded comment]
Your version of Excel allows you to read this threaded comment; however, any edits to it will get removed if the file is opened in a newer version of Excel. Learn more: https://go.microsoft.com/fwlink/?linkid=870924
Comment:
    profiili tüüp 1 või 2 (vaata "abifalis")</t>
      </text>
    </comment>
    <comment ref="AK260" authorId="195" shapeId="0" xr:uid="{BABF8204-9673-4F6D-A96A-FC0E591F71FD}">
      <text>
        <t>[Threaded comment]
Your version of Excel allows you to read this threaded comment; however, any edits to it will get removed if the file is opened in a newer version of Excel. Learn more: https://go.microsoft.com/fwlink/?linkid=870924
Comment:
    profiili tüüp 1 või 2 (vaata "abifalis")</t>
      </text>
    </comment>
    <comment ref="AK261" authorId="196" shapeId="0" xr:uid="{A80ADAED-57F3-46EE-A9C7-5C69E46BE7B7}">
      <text>
        <t>[Threaded comment]
Your version of Excel allows you to read this threaded comment; however, any edits to it will get removed if the file is opened in a newer version of Excel. Learn more: https://go.microsoft.com/fwlink/?linkid=870924
Comment:
    profiili tüüp 1 või 2 (vaata "abifalis")</t>
      </text>
    </comment>
    <comment ref="AD262" authorId="8" shapeId="0" xr:uid="{A68C60EE-6C80-447B-B73E-2F752058A8AC}">
      <text>
        <r>
          <rPr>
            <b/>
            <sz val="9"/>
            <color indexed="81"/>
            <rFont val="Tahoma"/>
            <family val="2"/>
          </rPr>
          <t xml:space="preserve">oksana:
</t>
        </r>
        <r>
          <rPr>
            <sz val="9"/>
            <color indexed="81"/>
            <rFont val="Tahoma"/>
            <family val="2"/>
          </rPr>
          <t>Puhastame plaati, kui:
- see on WQ 
-  paksus suurem kui 20mm
- sõltumata pakusest gabariit suurem kui 300mm</t>
        </r>
      </text>
    </comment>
    <comment ref="AG262" authorId="197" shapeId="0" xr:uid="{0F0D6CC1-9648-45D7-AC38-9D1BFFFF75E9}">
      <text>
        <t>[Threaded comment]
Your version of Excel allows you to read this threaded comment; however, any edits to it will get removed if the file is opened in a newer version of Excel. Learn more: https://go.microsoft.com/fwlink/?linkid=870924
Comment:
    Alates pl35-lisaaeg avade tegemiseks</t>
      </text>
    </comment>
    <comment ref="AD263" authorId="8" shapeId="0" xr:uid="{8D651315-DC23-46A2-9587-912AE5933699}">
      <text>
        <r>
          <rPr>
            <b/>
            <sz val="9"/>
            <color indexed="81"/>
            <rFont val="Tahoma"/>
            <family val="2"/>
          </rPr>
          <t xml:space="preserve">oksana:
</t>
        </r>
        <r>
          <rPr>
            <sz val="9"/>
            <color indexed="81"/>
            <rFont val="Tahoma"/>
            <family val="2"/>
          </rPr>
          <t>Puhastame plaati, kui:
- see on WQ 
-  paksus suurem kui 20mm
- sõltumata pakusest gabariit suurem kui 300mm</t>
        </r>
      </text>
    </comment>
    <comment ref="AG263" authorId="198" shapeId="0" xr:uid="{83490EB6-844C-4B6A-AB89-F68017F38387}">
      <text>
        <t>[Threaded comment]
Your version of Excel allows you to read this threaded comment; however, any edits to it will get removed if the file is opened in a newer version of Excel. Learn more: https://go.microsoft.com/fwlink/?linkid=870924
Comment:
    Alates pl35-lisaaeg avade tegemiseks</t>
      </text>
    </comment>
    <comment ref="AD264" authorId="8" shapeId="0" xr:uid="{06AE777B-CEDB-46DE-ACB2-F074493F3F1D}">
      <text>
        <r>
          <rPr>
            <b/>
            <sz val="9"/>
            <color indexed="81"/>
            <rFont val="Tahoma"/>
            <family val="2"/>
          </rPr>
          <t xml:space="preserve">oksana:
</t>
        </r>
        <r>
          <rPr>
            <sz val="9"/>
            <color indexed="81"/>
            <rFont val="Tahoma"/>
            <family val="2"/>
          </rPr>
          <t>Puhastame plaati, kui:
- see on WQ 
-  paksus suurem kui 20mm
- sõltumata pakusest gabariit suurem kui 300mm</t>
        </r>
      </text>
    </comment>
    <comment ref="AG264" authorId="199" shapeId="0" xr:uid="{76823968-3495-44DD-B828-6DA5F596DD6D}">
      <text>
        <t>[Threaded comment]
Your version of Excel allows you to read this threaded comment; however, any edits to it will get removed if the file is opened in a newer version of Excel. Learn more: https://go.microsoft.com/fwlink/?linkid=870924
Comment:
    Alates pl35-lisaaeg avade tegemiseks</t>
      </text>
    </comment>
    <comment ref="AK267" authorId="200" shapeId="0" xr:uid="{5FA3AA81-8D34-43C4-A7EA-C8D4CC96D67D}">
      <text>
        <t>[Threaded comment]
Your version of Excel allows you to read this threaded comment; however, any edits to it will get removed if the file is opened in a newer version of Excel. Learn more: https://go.microsoft.com/fwlink/?linkid=870924
Comment:
    profiili tüüp 1 või 2 (vaata "abifalis")</t>
      </text>
    </comment>
    <comment ref="AS270" authorId="201" shapeId="0" xr:uid="{BC3793A0-940A-4308-A50B-C5B6600C592D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Materiali kasum
</t>
      </text>
    </comment>
    <comment ref="AK275" authorId="202" shapeId="0" xr:uid="{1F0EFB37-EC8D-4A9A-AAC5-AE537C641BDB}">
      <text>
        <t>[Threaded comment]
Your version of Excel allows you to read this threaded comment; however, any edits to it will get removed if the file is opened in a newer version of Excel. Learn more: https://go.microsoft.com/fwlink/?linkid=870924
Comment:
    profiili tüüp 1 või 2 (vaata "abifalis")</t>
      </text>
    </comment>
    <comment ref="AD276" authorId="8" shapeId="0" xr:uid="{E560DDAB-14D0-41A2-B9C7-F60501394B52}">
      <text>
        <r>
          <rPr>
            <b/>
            <sz val="9"/>
            <color indexed="81"/>
            <rFont val="Tahoma"/>
            <family val="2"/>
          </rPr>
          <t xml:space="preserve">oksana:
</t>
        </r>
        <r>
          <rPr>
            <sz val="9"/>
            <color indexed="81"/>
            <rFont val="Tahoma"/>
            <family val="2"/>
          </rPr>
          <t>Puhastame plaati, kui:
- see on WQ 
-  paksus suurem kui 20mm
- sõltumata pakusest gabariit suurem kui 300mm</t>
        </r>
      </text>
    </comment>
    <comment ref="AG276" authorId="203" shapeId="0" xr:uid="{AD9E3AE5-3A02-4D4C-A397-EAB2B856B069}">
      <text>
        <t>[Threaded comment]
Your version of Excel allows you to read this threaded comment; however, any edits to it will get removed if the file is opened in a newer version of Excel. Learn more: https://go.microsoft.com/fwlink/?linkid=870924
Comment:
    Alates pl35-lisaaeg avade tegemiseks</t>
      </text>
    </comment>
    <comment ref="AD277" authorId="8" shapeId="0" xr:uid="{35BC32F4-8EC8-48CA-BB1A-AB3FFD4F1D3B}">
      <text>
        <r>
          <rPr>
            <b/>
            <sz val="9"/>
            <color indexed="81"/>
            <rFont val="Tahoma"/>
            <family val="2"/>
          </rPr>
          <t xml:space="preserve">oksana:
</t>
        </r>
        <r>
          <rPr>
            <sz val="9"/>
            <color indexed="81"/>
            <rFont val="Tahoma"/>
            <family val="2"/>
          </rPr>
          <t>Puhastame plaati, kui:
- see on WQ 
-  paksus suurem kui 20mm
- sõltumata pakusest gabariit suurem kui 300mm</t>
        </r>
      </text>
    </comment>
    <comment ref="AG277" authorId="204" shapeId="0" xr:uid="{835B284A-D507-447E-9147-A28EB98D86AC}">
      <text>
        <t>[Threaded comment]
Your version of Excel allows you to read this threaded comment; however, any edits to it will get removed if the file is opened in a newer version of Excel. Learn more: https://go.microsoft.com/fwlink/?linkid=870924
Comment:
    Alates pl35-lisaaeg avade tegemiseks</t>
      </text>
    </comment>
    <comment ref="AD278" authorId="8" shapeId="0" xr:uid="{94599051-F13F-46E7-8E7C-F8490A3E11D7}">
      <text>
        <r>
          <rPr>
            <b/>
            <sz val="9"/>
            <color indexed="81"/>
            <rFont val="Tahoma"/>
            <family val="2"/>
          </rPr>
          <t xml:space="preserve">oksana:
</t>
        </r>
        <r>
          <rPr>
            <sz val="9"/>
            <color indexed="81"/>
            <rFont val="Tahoma"/>
            <family val="2"/>
          </rPr>
          <t>Puhastame plaati, kui:
- see on WQ 
-  paksus suurem kui 20mm
- sõltumata pakusest gabariit suurem kui 300mm</t>
        </r>
      </text>
    </comment>
    <comment ref="AG278" authorId="205" shapeId="0" xr:uid="{28D4FEFD-FDB4-41CF-BA66-150400264C68}">
      <text>
        <t>[Threaded comment]
Your version of Excel allows you to read this threaded comment; however, any edits to it will get removed if the file is opened in a newer version of Excel. Learn more: https://go.microsoft.com/fwlink/?linkid=870924
Comment:
    Alates pl35-lisaaeg avade tegemiseks</t>
      </text>
    </comment>
    <comment ref="AK281" authorId="206" shapeId="0" xr:uid="{FA65BDDA-BAE4-4E49-AC7A-E4D30380F30B}">
      <text>
        <t>[Threaded comment]
Your version of Excel allows you to read this threaded comment; however, any edits to it will get removed if the file is opened in a newer version of Excel. Learn more: https://go.microsoft.com/fwlink/?linkid=870924
Comment:
    profiili tüüp 1 või 2 (vaata "abifalis")</t>
      </text>
    </comment>
    <comment ref="AD282" authorId="8" shapeId="0" xr:uid="{8AA6DFD1-24DD-47A5-951F-10E9997CEBCD}">
      <text>
        <r>
          <rPr>
            <b/>
            <sz val="9"/>
            <color indexed="81"/>
            <rFont val="Tahoma"/>
            <family val="2"/>
          </rPr>
          <t xml:space="preserve">oksana:
</t>
        </r>
        <r>
          <rPr>
            <sz val="9"/>
            <color indexed="81"/>
            <rFont val="Tahoma"/>
            <family val="2"/>
          </rPr>
          <t>Puhastame plaati, kui:
- see on WQ 
-  paksus suurem kui 20mm
- sõltumata pakusest gabariit suurem kui 300mm</t>
        </r>
      </text>
    </comment>
    <comment ref="AG282" authorId="207" shapeId="0" xr:uid="{EFE946ED-6514-43FE-8D06-36B5AC452ECC}">
      <text>
        <t>[Threaded comment]
Your version of Excel allows you to read this threaded comment; however, any edits to it will get removed if the file is opened in a newer version of Excel. Learn more: https://go.microsoft.com/fwlink/?linkid=870924
Comment:
    Alates pl35-lisaaeg avade tegemiseks</t>
      </text>
    </comment>
    <comment ref="AD283" authorId="8" shapeId="0" xr:uid="{04DA4635-29A6-44DD-8AB9-3A7774006376}">
      <text>
        <r>
          <rPr>
            <b/>
            <sz val="9"/>
            <color indexed="81"/>
            <rFont val="Tahoma"/>
            <family val="2"/>
          </rPr>
          <t xml:space="preserve">oksana:
</t>
        </r>
        <r>
          <rPr>
            <sz val="9"/>
            <color indexed="81"/>
            <rFont val="Tahoma"/>
            <family val="2"/>
          </rPr>
          <t>Puhastame plaati, kui:
- see on WQ 
-  paksus suurem kui 20mm
- sõltumata pakusest gabariit suurem kui 300mm</t>
        </r>
      </text>
    </comment>
    <comment ref="AG283" authorId="208" shapeId="0" xr:uid="{0C69ADFD-A61A-4F65-9DA7-9566AE02F53C}">
      <text>
        <t>[Threaded comment]
Your version of Excel allows you to read this threaded comment; however, any edits to it will get removed if the file is opened in a newer version of Excel. Learn more: https://go.microsoft.com/fwlink/?linkid=870924
Comment:
    Alates pl35-lisaaeg avade tegemiseks</t>
      </text>
    </comment>
    <comment ref="AD284" authorId="8" shapeId="0" xr:uid="{D20BFC38-F431-4306-A9EE-735C19589A5E}">
      <text>
        <r>
          <rPr>
            <b/>
            <sz val="9"/>
            <color indexed="81"/>
            <rFont val="Tahoma"/>
            <family val="2"/>
          </rPr>
          <t xml:space="preserve">oksana:
</t>
        </r>
        <r>
          <rPr>
            <sz val="9"/>
            <color indexed="81"/>
            <rFont val="Tahoma"/>
            <family val="2"/>
          </rPr>
          <t>Puhastame plaati, kui:
- see on WQ 
-  paksus suurem kui 20mm
- sõltumata pakusest gabariit suurem kui 300mm</t>
        </r>
      </text>
    </comment>
    <comment ref="AG284" authorId="209" shapeId="0" xr:uid="{EEB51B51-0C87-4F0F-A4E4-C7E537D2ED34}">
      <text>
        <t>[Threaded comment]
Your version of Excel allows you to read this threaded comment; however, any edits to it will get removed if the file is opened in a newer version of Excel. Learn more: https://go.microsoft.com/fwlink/?linkid=870924
Comment:
    Alates pl35-lisaaeg avade tegemiseks</t>
      </text>
    </comment>
    <comment ref="AK287" authorId="210" shapeId="0" xr:uid="{3725F829-D210-4C35-8A06-5F86BEA6F03F}">
      <text>
        <t>[Threaded comment]
Your version of Excel allows you to read this threaded comment; however, any edits to it will get removed if the file is opened in a newer version of Excel. Learn more: https://go.microsoft.com/fwlink/?linkid=870924
Comment:
    profiili tüüp 1 või 2 (vaata "abifalis")</t>
      </text>
    </comment>
    <comment ref="AD288" authorId="8" shapeId="0" xr:uid="{DF0BB620-8558-41A9-A101-11136AAE2BBF}">
      <text>
        <r>
          <rPr>
            <b/>
            <sz val="9"/>
            <color indexed="81"/>
            <rFont val="Tahoma"/>
            <family val="2"/>
          </rPr>
          <t xml:space="preserve">oksana:
</t>
        </r>
        <r>
          <rPr>
            <sz val="9"/>
            <color indexed="81"/>
            <rFont val="Tahoma"/>
            <family val="2"/>
          </rPr>
          <t>Puhastame plaati, kui:
- see on WQ 
-  paksus suurem kui 20mm
- sõltumata pakusest gabariit suurem kui 300mm</t>
        </r>
      </text>
    </comment>
    <comment ref="AG288" authorId="211" shapeId="0" xr:uid="{D9D21C96-2968-40EE-ACAD-AFF4D433AD91}">
      <text>
        <t>[Threaded comment]
Your version of Excel allows you to read this threaded comment; however, any edits to it will get removed if the file is opened in a newer version of Excel. Learn more: https://go.microsoft.com/fwlink/?linkid=870924
Comment:
    Alates pl35-lisaaeg avade tegemiseks</t>
      </text>
    </comment>
    <comment ref="AD289" authorId="8" shapeId="0" xr:uid="{A5D7C972-67CE-4FA1-9C19-305126FC99C9}">
      <text>
        <r>
          <rPr>
            <b/>
            <sz val="9"/>
            <color indexed="81"/>
            <rFont val="Tahoma"/>
            <family val="2"/>
          </rPr>
          <t xml:space="preserve">oksana:
</t>
        </r>
        <r>
          <rPr>
            <sz val="9"/>
            <color indexed="81"/>
            <rFont val="Tahoma"/>
            <family val="2"/>
          </rPr>
          <t>Puhastame plaati, kui:
- see on WQ 
-  paksus suurem kui 20mm
- sõltumata pakusest gabariit suurem kui 300mm</t>
        </r>
      </text>
    </comment>
    <comment ref="AG289" authorId="212" shapeId="0" xr:uid="{C286044B-70CA-4F7A-82E0-7078D1B2AE26}">
      <text>
        <t>[Threaded comment]
Your version of Excel allows you to read this threaded comment; however, any edits to it will get removed if the file is opened in a newer version of Excel. Learn more: https://go.microsoft.com/fwlink/?linkid=870924
Comment:
    Alates pl35-lisaaeg avade tegemiseks</t>
      </text>
    </comment>
    <comment ref="AD290" authorId="8" shapeId="0" xr:uid="{4381169A-1393-4B66-9519-FE271D3A1AE6}">
      <text>
        <r>
          <rPr>
            <b/>
            <sz val="9"/>
            <color indexed="81"/>
            <rFont val="Tahoma"/>
            <family val="2"/>
          </rPr>
          <t xml:space="preserve">oksana:
</t>
        </r>
        <r>
          <rPr>
            <sz val="9"/>
            <color indexed="81"/>
            <rFont val="Tahoma"/>
            <family val="2"/>
          </rPr>
          <t>Puhastame plaati, kui:
- see on WQ 
-  paksus suurem kui 20mm
- sõltumata pakusest gabariit suurem kui 300mm</t>
        </r>
      </text>
    </comment>
    <comment ref="AG290" authorId="213" shapeId="0" xr:uid="{F63CB691-9556-4493-B3B2-937038EC1CFD}">
      <text>
        <t>[Threaded comment]
Your version of Excel allows you to read this threaded comment; however, any edits to it will get removed if the file is opened in a newer version of Excel. Learn more: https://go.microsoft.com/fwlink/?linkid=870924
Comment:
    Alates pl35-lisaaeg avade tegemiseks</t>
      </text>
    </comment>
    <comment ref="AK293" authorId="214" shapeId="0" xr:uid="{5A950EC7-F44C-49E5-8176-B99BD1996B36}">
      <text>
        <t>[Threaded comment]
Your version of Excel allows you to read this threaded comment; however, any edits to it will get removed if the file is opened in a newer version of Excel. Learn more: https://go.microsoft.com/fwlink/?linkid=870924
Comment:
    profiili tüüp 1 või 2 (vaata "abifalis")</t>
      </text>
    </comment>
    <comment ref="AD294" authorId="8" shapeId="0" xr:uid="{E606930B-3BF5-4724-A07C-B412B4F211BF}">
      <text>
        <r>
          <rPr>
            <b/>
            <sz val="9"/>
            <color indexed="81"/>
            <rFont val="Tahoma"/>
            <family val="2"/>
          </rPr>
          <t xml:space="preserve">oksana:
</t>
        </r>
        <r>
          <rPr>
            <sz val="9"/>
            <color indexed="81"/>
            <rFont val="Tahoma"/>
            <family val="2"/>
          </rPr>
          <t>Puhastame plaati, kui:
- see on WQ 
-  paksus suurem kui 20mm
- sõltumata pakusest gabariit suurem kui 300mm</t>
        </r>
      </text>
    </comment>
    <comment ref="AG294" authorId="215" shapeId="0" xr:uid="{68F714A2-FA5A-4110-BAFC-AD5464EE6E9E}">
      <text>
        <t>[Threaded comment]
Your version of Excel allows you to read this threaded comment; however, any edits to it will get removed if the file is opened in a newer version of Excel. Learn more: https://go.microsoft.com/fwlink/?linkid=870924
Comment:
    Alates pl35-lisaaeg avade tegemiseks</t>
      </text>
    </comment>
    <comment ref="AD295" authorId="8" shapeId="0" xr:uid="{2EF30526-98C7-43C3-907E-1BA5A813F01D}">
      <text>
        <r>
          <rPr>
            <b/>
            <sz val="9"/>
            <color indexed="81"/>
            <rFont val="Tahoma"/>
            <family val="2"/>
          </rPr>
          <t xml:space="preserve">oksana:
</t>
        </r>
        <r>
          <rPr>
            <sz val="9"/>
            <color indexed="81"/>
            <rFont val="Tahoma"/>
            <family val="2"/>
          </rPr>
          <t>Puhastame plaati, kui:
- see on WQ 
-  paksus suurem kui 20mm
- sõltumata pakusest gabariit suurem kui 300mm</t>
        </r>
      </text>
    </comment>
    <comment ref="AG295" authorId="216" shapeId="0" xr:uid="{1D858924-D15A-4F66-96C0-8CB24B9A21A6}">
      <text>
        <t>[Threaded comment]
Your version of Excel allows you to read this threaded comment; however, any edits to it will get removed if the file is opened in a newer version of Excel. Learn more: https://go.microsoft.com/fwlink/?linkid=870924
Comment:
    Alates pl35-lisaaeg avade tegemiseks</t>
      </text>
    </comment>
    <comment ref="AD296" authorId="8" shapeId="0" xr:uid="{61206599-6A7A-404F-B749-6A0CF42F99F9}">
      <text>
        <r>
          <rPr>
            <b/>
            <sz val="9"/>
            <color indexed="81"/>
            <rFont val="Tahoma"/>
            <family val="2"/>
          </rPr>
          <t xml:space="preserve">oksana:
</t>
        </r>
        <r>
          <rPr>
            <sz val="9"/>
            <color indexed="81"/>
            <rFont val="Tahoma"/>
            <family val="2"/>
          </rPr>
          <t>Puhastame plaati, kui:
- see on WQ 
-  paksus suurem kui 20mm
- sõltumata pakusest gabariit suurem kui 300mm</t>
        </r>
      </text>
    </comment>
    <comment ref="AG296" authorId="217" shapeId="0" xr:uid="{168E60D2-2C5B-4EAB-ADB7-22FD949A530E}">
      <text>
        <t>[Threaded comment]
Your version of Excel allows you to read this threaded comment; however, any edits to it will get removed if the file is opened in a newer version of Excel. Learn more: https://go.microsoft.com/fwlink/?linkid=870924
Comment:
    Alates pl35-lisaaeg avade tegemiseks</t>
      </text>
    </comment>
    <comment ref="AK299" authorId="218" shapeId="0" xr:uid="{42A16C8E-3C3F-4E90-8A20-E63513ECA3DE}">
      <text>
        <t>[Threaded comment]
Your version of Excel allows you to read this threaded comment; however, any edits to it will get removed if the file is opened in a newer version of Excel. Learn more: https://go.microsoft.com/fwlink/?linkid=870924
Comment:
    profiili tüüp 1 või 2 (vaata "abifalis")</t>
      </text>
    </comment>
    <comment ref="AD300" authorId="8" shapeId="0" xr:uid="{D51983EA-B712-48A6-A637-09492EB00563}">
      <text>
        <r>
          <rPr>
            <b/>
            <sz val="9"/>
            <color indexed="81"/>
            <rFont val="Tahoma"/>
            <family val="2"/>
          </rPr>
          <t xml:space="preserve">oksana:
</t>
        </r>
        <r>
          <rPr>
            <sz val="9"/>
            <color indexed="81"/>
            <rFont val="Tahoma"/>
            <family val="2"/>
          </rPr>
          <t>Puhastame plaati, kui:
- see on WQ 
-  paksus suurem kui 20mm
- sõltumata pakusest gabariit suurem kui 300mm</t>
        </r>
      </text>
    </comment>
    <comment ref="AG300" authorId="219" shapeId="0" xr:uid="{98EFD4CC-F2F4-47E6-A7A8-DF7C4CC27268}">
      <text>
        <t>[Threaded comment]
Your version of Excel allows you to read this threaded comment; however, any edits to it will get removed if the file is opened in a newer version of Excel. Learn more: https://go.microsoft.com/fwlink/?linkid=870924
Comment:
    Alates pl35-lisaaeg avade tegemiseks</t>
      </text>
    </comment>
    <comment ref="AD301" authorId="8" shapeId="0" xr:uid="{6118BF7C-6277-40BA-B814-FE349C688149}">
      <text>
        <r>
          <rPr>
            <b/>
            <sz val="9"/>
            <color indexed="81"/>
            <rFont val="Tahoma"/>
            <family val="2"/>
          </rPr>
          <t xml:space="preserve">oksana:
</t>
        </r>
        <r>
          <rPr>
            <sz val="9"/>
            <color indexed="81"/>
            <rFont val="Tahoma"/>
            <family val="2"/>
          </rPr>
          <t>Puhastame plaati, kui:
- see on WQ 
-  paksus suurem kui 20mm
- sõltumata pakusest gabariit suurem kui 300mm</t>
        </r>
      </text>
    </comment>
    <comment ref="AG301" authorId="220" shapeId="0" xr:uid="{F60C1012-1C37-41FB-85BC-4DC40E930467}">
      <text>
        <t>[Threaded comment]
Your version of Excel allows you to read this threaded comment; however, any edits to it will get removed if the file is opened in a newer version of Excel. Learn more: https://go.microsoft.com/fwlink/?linkid=870924
Comment:
    Alates pl35-lisaaeg avade tegemiseks</t>
      </text>
    </comment>
    <comment ref="AD302" authorId="8" shapeId="0" xr:uid="{50859595-54A2-429E-9EF5-CA457A878311}">
      <text>
        <r>
          <rPr>
            <b/>
            <sz val="9"/>
            <color indexed="81"/>
            <rFont val="Tahoma"/>
            <family val="2"/>
          </rPr>
          <t xml:space="preserve">oksana:
</t>
        </r>
        <r>
          <rPr>
            <sz val="9"/>
            <color indexed="81"/>
            <rFont val="Tahoma"/>
            <family val="2"/>
          </rPr>
          <t>Puhastame plaati, kui:
- see on WQ 
-  paksus suurem kui 20mm
- sõltumata pakusest gabariit suurem kui 300mm</t>
        </r>
      </text>
    </comment>
    <comment ref="AG302" authorId="221" shapeId="0" xr:uid="{A3B26A07-5ABE-4206-88A0-2EBB48D4DACC}">
      <text>
        <t>[Threaded comment]
Your version of Excel allows you to read this threaded comment; however, any edits to it will get removed if the file is opened in a newer version of Excel. Learn more: https://go.microsoft.com/fwlink/?linkid=870924
Comment:
    Alates pl35-lisaaeg avade tegemiseks</t>
      </text>
    </comment>
    <comment ref="AK305" authorId="222" shapeId="0" xr:uid="{54B5EFE1-E789-4974-ABA2-CE11D77856B4}">
      <text>
        <t>[Threaded comment]
Your version of Excel allows you to read this threaded comment; however, any edits to it will get removed if the file is opened in a newer version of Excel. Learn more: https://go.microsoft.com/fwlink/?linkid=870924
Comment:
    vaata "abifalis"</t>
      </text>
    </comment>
    <comment ref="AD306" authorId="8" shapeId="0" xr:uid="{70DF0EB7-4BFC-4986-93A5-6C4B57885AA3}">
      <text>
        <r>
          <rPr>
            <b/>
            <sz val="9"/>
            <color indexed="81"/>
            <rFont val="Tahoma"/>
            <family val="2"/>
          </rPr>
          <t xml:space="preserve">oksana:
</t>
        </r>
        <r>
          <rPr>
            <sz val="9"/>
            <color indexed="81"/>
            <rFont val="Tahoma"/>
            <family val="2"/>
          </rPr>
          <t>Puhastame plaati, kui:
- see on WQ 
-  paksus suurem kui 20mm
- sõltumata pakusest gabariit suurem kui 300mm</t>
        </r>
      </text>
    </comment>
    <comment ref="AG306" authorId="223" shapeId="0" xr:uid="{84797C59-78EF-436D-90FB-AD765DB5EE12}">
      <text>
        <t>[Threaded comment]
Your version of Excel allows you to read this threaded comment; however, any edits to it will get removed if the file is opened in a newer version of Excel. Learn more: https://go.microsoft.com/fwlink/?linkid=870924
Comment:
    Alates pl35-lisaaeg avade tegemiseks</t>
      </text>
    </comment>
    <comment ref="AD307" authorId="8" shapeId="0" xr:uid="{AFBDD6CE-A796-4B5C-8D19-9CFEDFE86AC0}">
      <text>
        <r>
          <rPr>
            <b/>
            <sz val="9"/>
            <color indexed="81"/>
            <rFont val="Tahoma"/>
            <family val="2"/>
          </rPr>
          <t xml:space="preserve">oksana:
</t>
        </r>
        <r>
          <rPr>
            <sz val="9"/>
            <color indexed="81"/>
            <rFont val="Tahoma"/>
            <family val="2"/>
          </rPr>
          <t>Puhastame plaati, kui:
- see on WQ 
-  paksus suurem kui 20mm
- sõltumata pakusest gabariit suurem kui 300mm</t>
        </r>
      </text>
    </comment>
    <comment ref="AG307" authorId="224" shapeId="0" xr:uid="{C28F041B-8DB3-4DC0-8B6D-FFAE8BBBC666}">
      <text>
        <t>[Threaded comment]
Your version of Excel allows you to read this threaded comment; however, any edits to it will get removed if the file is opened in a newer version of Excel. Learn more: https://go.microsoft.com/fwlink/?linkid=870924
Comment:
    Alates pl35-lisaaeg avade tegemiseks</t>
      </text>
    </comment>
    <comment ref="AD308" authorId="8" shapeId="0" xr:uid="{9A9FFE55-65DD-4087-9B42-86C56C9AC309}">
      <text>
        <r>
          <rPr>
            <b/>
            <sz val="9"/>
            <color indexed="81"/>
            <rFont val="Tahoma"/>
            <family val="2"/>
          </rPr>
          <t xml:space="preserve">oksana:
</t>
        </r>
        <r>
          <rPr>
            <sz val="9"/>
            <color indexed="81"/>
            <rFont val="Tahoma"/>
            <family val="2"/>
          </rPr>
          <t>Puhastame plaati, kui:
- see on WQ 
-  paksus suurem kui 20mm
- sõltumata pakusest gabariit suurem kui 300mm</t>
        </r>
      </text>
    </comment>
    <comment ref="AG308" authorId="225" shapeId="0" xr:uid="{CBD47F86-FC23-46CE-A7FE-594CE3804E2C}">
      <text>
        <t>[Threaded comment]
Your version of Excel allows you to read this threaded comment; however, any edits to it will get removed if the file is opened in a newer version of Excel. Learn more: https://go.microsoft.com/fwlink/?linkid=870924
Comment:
    Alates pl35-lisaaeg avade tegemiseks</t>
      </text>
    </comment>
    <comment ref="AD309" authorId="8" shapeId="0" xr:uid="{B289A34A-FEF3-4AF5-95C5-3AECE8CF6D39}">
      <text>
        <r>
          <rPr>
            <b/>
            <sz val="9"/>
            <color indexed="81"/>
            <rFont val="Tahoma"/>
            <family val="2"/>
          </rPr>
          <t xml:space="preserve">oksana:
</t>
        </r>
        <r>
          <rPr>
            <sz val="9"/>
            <color indexed="81"/>
            <rFont val="Tahoma"/>
            <family val="2"/>
          </rPr>
          <t>Puhastame plaati, kui:
- see on WQ 
-  paksus suurem kui 20mm
- sõltumata pakusest gabariit suurem kui 300mm</t>
        </r>
      </text>
    </comment>
    <comment ref="AG309" authorId="226" shapeId="0" xr:uid="{42607B2A-5509-4844-9BF8-ED8B81C59DF1}">
      <text>
        <t>[Threaded comment]
Your version of Excel allows you to read this threaded comment; however, any edits to it will get removed if the file is opened in a newer version of Excel. Learn more: https://go.microsoft.com/fwlink/?linkid=870924
Comment:
    Alates pl35-lisaaeg avade tegemiseks</t>
      </text>
    </comment>
    <comment ref="AD310" authorId="8" shapeId="0" xr:uid="{C395A3CA-2E1F-474C-9E83-DEE25B6C40BD}">
      <text>
        <r>
          <rPr>
            <b/>
            <sz val="9"/>
            <color indexed="81"/>
            <rFont val="Tahoma"/>
            <family val="2"/>
          </rPr>
          <t xml:space="preserve">oksana:
</t>
        </r>
        <r>
          <rPr>
            <sz val="9"/>
            <color indexed="81"/>
            <rFont val="Tahoma"/>
            <family val="2"/>
          </rPr>
          <t>Puhastame plaati, kui:
- see on WQ 
-  paksus suurem kui 20mm
- sõltumata pakusest gabariit suurem kui 300mm</t>
        </r>
      </text>
    </comment>
    <comment ref="AG310" authorId="227" shapeId="0" xr:uid="{D4448153-2FC2-4EB6-B272-4DFFEDAE0036}">
      <text>
        <t>[Threaded comment]
Your version of Excel allows you to read this threaded comment; however, any edits to it will get removed if the file is opened in a newer version of Excel. Learn more: https://go.microsoft.com/fwlink/?linkid=870924
Comment:
    Alates pl35-lisaaeg avade tegemiseks</t>
      </text>
    </comment>
    <comment ref="AK313" authorId="228" shapeId="0" xr:uid="{BA7B5562-1C82-4A2A-88A6-740E530BBE47}">
      <text>
        <t>[Threaded comment]
Your version of Excel allows you to read this threaded comment; however, any edits to it will get removed if the file is opened in a newer version of Excel. Learn more: https://go.microsoft.com/fwlink/?linkid=870924
Comment:
    vaata "abifalis"</t>
      </text>
    </comment>
    <comment ref="AD314" authorId="8" shapeId="0" xr:uid="{84879FA9-6908-4E84-916F-6A9F02EE8D62}">
      <text>
        <r>
          <rPr>
            <b/>
            <sz val="9"/>
            <color indexed="81"/>
            <rFont val="Tahoma"/>
            <family val="2"/>
          </rPr>
          <t xml:space="preserve">oksana:
</t>
        </r>
        <r>
          <rPr>
            <sz val="9"/>
            <color indexed="81"/>
            <rFont val="Tahoma"/>
            <family val="2"/>
          </rPr>
          <t>Puhastame plaati, kui:
- see on WQ 
-  paksus suurem kui 20mm
- sõltumata pakusest gabariit suurem kui 300mm</t>
        </r>
      </text>
    </comment>
    <comment ref="AG314" authorId="229" shapeId="0" xr:uid="{0B2DD2BF-2B33-4130-AA54-01FFE8016EF8}">
      <text>
        <t>[Threaded comment]
Your version of Excel allows you to read this threaded comment; however, any edits to it will get removed if the file is opened in a newer version of Excel. Learn more: https://go.microsoft.com/fwlink/?linkid=870924
Comment:
    Alates pl35-lisaaeg avade tegemiseks</t>
      </text>
    </comment>
    <comment ref="AD315" authorId="8" shapeId="0" xr:uid="{58F2A0C6-4FFB-4AED-A210-50A5B9A7D0FC}">
      <text>
        <r>
          <rPr>
            <b/>
            <sz val="9"/>
            <color indexed="81"/>
            <rFont val="Tahoma"/>
            <family val="2"/>
          </rPr>
          <t xml:space="preserve">oksana:
</t>
        </r>
        <r>
          <rPr>
            <sz val="9"/>
            <color indexed="81"/>
            <rFont val="Tahoma"/>
            <family val="2"/>
          </rPr>
          <t>Puhastame plaati, kui:
- see on WQ 
-  paksus suurem kui 20mm
- sõltumata pakusest gabariit suurem kui 300mm</t>
        </r>
      </text>
    </comment>
    <comment ref="AG315" authorId="230" shapeId="0" xr:uid="{F92A9491-8B3B-4944-B80A-748170408C8D}">
      <text>
        <t>[Threaded comment]
Your version of Excel allows you to read this threaded comment; however, any edits to it will get removed if the file is opened in a newer version of Excel. Learn more: https://go.microsoft.com/fwlink/?linkid=870924
Comment:
    Alates pl35-lisaaeg avade tegemiseks</t>
      </text>
    </comment>
    <comment ref="AD316" authorId="8" shapeId="0" xr:uid="{370F33D3-CA30-422E-9D7A-4239C7DB9B6C}">
      <text>
        <r>
          <rPr>
            <b/>
            <sz val="9"/>
            <color indexed="81"/>
            <rFont val="Tahoma"/>
            <family val="2"/>
          </rPr>
          <t xml:space="preserve">oksana:
</t>
        </r>
        <r>
          <rPr>
            <sz val="9"/>
            <color indexed="81"/>
            <rFont val="Tahoma"/>
            <family val="2"/>
          </rPr>
          <t>Puhastame plaati, kui:
- see on WQ 
-  paksus suurem kui 20mm
- sõltumata pakusest gabariit suurem kui 300mm</t>
        </r>
      </text>
    </comment>
    <comment ref="AG316" authorId="231" shapeId="0" xr:uid="{3BD97A1A-9CA8-4FE1-B11F-E611263A82BC}">
      <text>
        <t>[Threaded comment]
Your version of Excel allows you to read this threaded comment; however, any edits to it will get removed if the file is opened in a newer version of Excel. Learn more: https://go.microsoft.com/fwlink/?linkid=870924
Comment:
    Alates pl35-lisaaeg avade tegemiseks</t>
      </text>
    </comment>
    <comment ref="AK319" authorId="232" shapeId="0" xr:uid="{ADE08C38-B314-4EBE-9A2F-0EB300EEBF74}">
      <text>
        <t>[Threaded comment]
Your version of Excel allows you to read this threaded comment; however, any edits to it will get removed if the file is opened in a newer version of Excel. Learn more: https://go.microsoft.com/fwlink/?linkid=870924
Comment:
    vaata "abifalis"</t>
      </text>
    </comment>
    <comment ref="AD320" authorId="8" shapeId="0" xr:uid="{99A5EDA7-D603-439A-A564-290C3BC0F4D6}">
      <text>
        <r>
          <rPr>
            <b/>
            <sz val="9"/>
            <color indexed="81"/>
            <rFont val="Tahoma"/>
            <family val="2"/>
          </rPr>
          <t xml:space="preserve">oksana:
</t>
        </r>
        <r>
          <rPr>
            <sz val="9"/>
            <color indexed="81"/>
            <rFont val="Tahoma"/>
            <family val="2"/>
          </rPr>
          <t>Puhastame plaati, kui:
- see on WQ 
-  paksus suurem kui 20mm
- sõltumata pakusest gabariit suurem kui 300mm</t>
        </r>
      </text>
    </comment>
    <comment ref="AG320" authorId="233" shapeId="0" xr:uid="{3524853A-0F46-48AF-BB28-234240A1B37C}">
      <text>
        <t>[Threaded comment]
Your version of Excel allows you to read this threaded comment; however, any edits to it will get removed if the file is opened in a newer version of Excel. Learn more: https://go.microsoft.com/fwlink/?linkid=870924
Comment:
    Alates pl35-lisaaeg avade tegemiseks</t>
      </text>
    </comment>
    <comment ref="AD321" authorId="8" shapeId="0" xr:uid="{6B01A9C1-341A-4636-A0FC-0011946D987D}">
      <text>
        <r>
          <rPr>
            <b/>
            <sz val="9"/>
            <color indexed="81"/>
            <rFont val="Tahoma"/>
            <family val="2"/>
          </rPr>
          <t xml:space="preserve">oksana:
</t>
        </r>
        <r>
          <rPr>
            <sz val="9"/>
            <color indexed="81"/>
            <rFont val="Tahoma"/>
            <family val="2"/>
          </rPr>
          <t>Puhastame plaati, kui:
- see on WQ 
-  paksus suurem kui 20mm
- sõltumata pakusest gabariit suurem kui 300mm</t>
        </r>
      </text>
    </comment>
    <comment ref="AG321" authorId="234" shapeId="0" xr:uid="{A624A43E-36B0-4A88-97FE-793448C269ED}">
      <text>
        <t>[Threaded comment]
Your version of Excel allows you to read this threaded comment; however, any edits to it will get removed if the file is opened in a newer version of Excel. Learn more: https://go.microsoft.com/fwlink/?linkid=870924
Comment:
    Alates pl35-lisaaeg avade tegemiseks</t>
      </text>
    </comment>
    <comment ref="AD322" authorId="8" shapeId="0" xr:uid="{6F812129-A801-4071-92C2-0F4D1900F2A5}">
      <text>
        <r>
          <rPr>
            <b/>
            <sz val="9"/>
            <color indexed="81"/>
            <rFont val="Tahoma"/>
            <family val="2"/>
          </rPr>
          <t xml:space="preserve">oksana:
</t>
        </r>
        <r>
          <rPr>
            <sz val="9"/>
            <color indexed="81"/>
            <rFont val="Tahoma"/>
            <family val="2"/>
          </rPr>
          <t>Puhastame plaati, kui:
- see on WQ 
-  paksus suurem kui 20mm
- sõltumata pakusest gabariit suurem kui 300mm</t>
        </r>
      </text>
    </comment>
    <comment ref="AG322" authorId="235" shapeId="0" xr:uid="{0F7DA99B-29A6-4676-BE3D-AF9620E8520E}">
      <text>
        <t>[Threaded comment]
Your version of Excel allows you to read this threaded comment; however, any edits to it will get removed if the file is opened in a newer version of Excel. Learn more: https://go.microsoft.com/fwlink/?linkid=870924
Comment:
    Alates pl35-lisaaeg avade tegemiseks</t>
      </text>
    </comment>
    <comment ref="AK325" authorId="236" shapeId="0" xr:uid="{C19B044E-61C8-4079-A4C2-7F0976487E0F}">
      <text>
        <t>[Threaded comment]
Your version of Excel allows you to read this threaded comment; however, any edits to it will get removed if the file is opened in a newer version of Excel. Learn more: https://go.microsoft.com/fwlink/?linkid=870924
Comment:
    vaata "abifalis"</t>
      </text>
    </comment>
    <comment ref="AD326" authorId="8" shapeId="0" xr:uid="{D43A10DD-6290-4E10-A1DE-B43332D7AF08}">
      <text>
        <r>
          <rPr>
            <b/>
            <sz val="9"/>
            <color indexed="81"/>
            <rFont val="Tahoma"/>
            <family val="2"/>
          </rPr>
          <t xml:space="preserve">oksana:
</t>
        </r>
        <r>
          <rPr>
            <sz val="9"/>
            <color indexed="81"/>
            <rFont val="Tahoma"/>
            <family val="2"/>
          </rPr>
          <t>Puhastame plaati, kui:
- see on WQ 
-  paksus suurem kui 20mm
- sõltumata pakusest gabariit suurem kui 300mm</t>
        </r>
      </text>
    </comment>
    <comment ref="AG326" authorId="237" shapeId="0" xr:uid="{C1D7B34E-594C-497E-9E12-62F83A10C5A3}">
      <text>
        <t>[Threaded comment]
Your version of Excel allows you to read this threaded comment; however, any edits to it will get removed if the file is opened in a newer version of Excel. Learn more: https://go.microsoft.com/fwlink/?linkid=870924
Comment:
    Alates pl35-lisaaeg avade tegemiseks</t>
      </text>
    </comment>
    <comment ref="AD327" authorId="8" shapeId="0" xr:uid="{1FB695EA-9E1A-4FD2-9645-7C7289CC0FE6}">
      <text>
        <r>
          <rPr>
            <b/>
            <sz val="9"/>
            <color indexed="81"/>
            <rFont val="Tahoma"/>
            <family val="2"/>
          </rPr>
          <t xml:space="preserve">oksana:
</t>
        </r>
        <r>
          <rPr>
            <sz val="9"/>
            <color indexed="81"/>
            <rFont val="Tahoma"/>
            <family val="2"/>
          </rPr>
          <t>Puhastame plaati, kui:
- see on WQ 
-  paksus suurem kui 20mm
- sõltumata pakusest gabariit suurem kui 300mm</t>
        </r>
      </text>
    </comment>
    <comment ref="AG327" authorId="238" shapeId="0" xr:uid="{6BE8BE70-261A-460B-8352-2ABEE1A45505}">
      <text>
        <t>[Threaded comment]
Your version of Excel allows you to read this threaded comment; however, any edits to it will get removed if the file is opened in a newer version of Excel. Learn more: https://go.microsoft.com/fwlink/?linkid=870924
Comment:
    Alates pl35-lisaaeg avade tegemiseks</t>
      </text>
    </comment>
    <comment ref="AD328" authorId="8" shapeId="0" xr:uid="{D525C9D8-7684-4827-8A5D-555A573CC21C}">
      <text>
        <r>
          <rPr>
            <b/>
            <sz val="9"/>
            <color indexed="81"/>
            <rFont val="Tahoma"/>
            <family val="2"/>
          </rPr>
          <t xml:space="preserve">oksana:
</t>
        </r>
        <r>
          <rPr>
            <sz val="9"/>
            <color indexed="81"/>
            <rFont val="Tahoma"/>
            <family val="2"/>
          </rPr>
          <t>Puhastame plaati, kui:
- see on WQ 
-  paksus suurem kui 20mm
- sõltumata pakusest gabariit suurem kui 300mm</t>
        </r>
      </text>
    </comment>
    <comment ref="AG328" authorId="239" shapeId="0" xr:uid="{8A02F154-4066-47C2-AB39-832F97733F7B}">
      <text>
        <t>[Threaded comment]
Your version of Excel allows you to read this threaded comment; however, any edits to it will get removed if the file is opened in a newer version of Excel. Learn more: https://go.microsoft.com/fwlink/?linkid=870924
Comment:
    Alates pl35-lisaaeg avade tegemiseks</t>
      </text>
    </comment>
    <comment ref="AK332" authorId="240" shapeId="0" xr:uid="{D752DBDA-23E1-4447-972C-FDFA5252BDB9}">
      <text>
        <t>[Threaded comment]
Your version of Excel allows you to read this threaded comment; however, any edits to it will get removed if the file is opened in a newer version of Excel. Learn more: https://go.microsoft.com/fwlink/?linkid=870924
Comment:
    profiili tüüp 1 või 2 (vaata "abifalis")</t>
      </text>
    </comment>
    <comment ref="AD333" authorId="8" shapeId="0" xr:uid="{4CD7803A-5BEC-43E4-ABFD-AB32AE8604AC}">
      <text>
        <r>
          <rPr>
            <b/>
            <sz val="9"/>
            <color indexed="81"/>
            <rFont val="Tahoma"/>
            <family val="2"/>
          </rPr>
          <t xml:space="preserve">oksana:
</t>
        </r>
        <r>
          <rPr>
            <sz val="9"/>
            <color indexed="81"/>
            <rFont val="Tahoma"/>
            <family val="2"/>
          </rPr>
          <t>Puhastame plaati, kui:
- see on WQ 
-  paksus suurem kui 20mm
- sõltumata pakusest gabariit suurem kui 300mm</t>
        </r>
      </text>
    </comment>
    <comment ref="AG333" authorId="241" shapeId="0" xr:uid="{ADCC51C4-5FA4-4D91-90DC-58BA3F31152D}">
      <text>
        <t>[Threaded comment]
Your version of Excel allows you to read this threaded comment; however, any edits to it will get removed if the file is opened in a newer version of Excel. Learn more: https://go.microsoft.com/fwlink/?linkid=870924
Comment:
    Alates pl35-lisaaeg avade tegemiseks</t>
      </text>
    </comment>
    <comment ref="AD334" authorId="8" shapeId="0" xr:uid="{DE586543-3D3E-497D-B556-28E8F2E0CED6}">
      <text>
        <r>
          <rPr>
            <b/>
            <sz val="9"/>
            <color indexed="81"/>
            <rFont val="Tahoma"/>
            <family val="2"/>
          </rPr>
          <t xml:space="preserve">oksana:
</t>
        </r>
        <r>
          <rPr>
            <sz val="9"/>
            <color indexed="81"/>
            <rFont val="Tahoma"/>
            <family val="2"/>
          </rPr>
          <t>Puhastame plaati, kui:
- see on WQ 
-  paksus suurem kui 20mm
- sõltumata pakusest gabariit suurem kui 300mm</t>
        </r>
      </text>
    </comment>
    <comment ref="AG334" authorId="242" shapeId="0" xr:uid="{0886DE89-504E-4033-A70F-910FB67ED42B}">
      <text>
        <t>[Threaded comment]
Your version of Excel allows you to read this threaded comment; however, any edits to it will get removed if the file is opened in a newer version of Excel. Learn more: https://go.microsoft.com/fwlink/?linkid=870924
Comment:
    Alates pl35-lisaaeg avade tegemiseks</t>
      </text>
    </comment>
    <comment ref="AD335" authorId="8" shapeId="0" xr:uid="{0F6AC1BD-1A3C-42BF-B5A7-5508E4250530}">
      <text>
        <r>
          <rPr>
            <b/>
            <sz val="9"/>
            <color indexed="81"/>
            <rFont val="Tahoma"/>
            <family val="2"/>
          </rPr>
          <t xml:space="preserve">oksana:
</t>
        </r>
        <r>
          <rPr>
            <sz val="9"/>
            <color indexed="81"/>
            <rFont val="Tahoma"/>
            <family val="2"/>
          </rPr>
          <t>Puhastame plaati, kui:
- see on WQ 
-  paksus suurem kui 20mm
- sõltumata pakusest gabariit suurem kui 300mm</t>
        </r>
      </text>
    </comment>
    <comment ref="AG335" authorId="243" shapeId="0" xr:uid="{AEAC5C02-BEF0-4471-A1AA-0A086F3275D2}">
      <text>
        <t>[Threaded comment]
Your version of Excel allows you to read this threaded comment; however, any edits to it will get removed if the file is opened in a newer version of Excel. Learn more: https://go.microsoft.com/fwlink/?linkid=870924
Comment:
    Alates pl35-lisaaeg avade tegemiseks</t>
      </text>
    </comment>
    <comment ref="AK339" authorId="244" shapeId="0" xr:uid="{8CB84007-9EAB-4D70-A9AF-207F273120B6}">
      <text>
        <t>[Threaded comment]
Your version of Excel allows you to read this threaded comment; however, any edits to it will get removed if the file is opened in a newer version of Excel. Learn more: https://go.microsoft.com/fwlink/?linkid=870924
Comment:
    profiili tüüp 1 või 2 (vaata "abifalis")</t>
      </text>
    </comment>
    <comment ref="AD340" authorId="8" shapeId="0" xr:uid="{55822F83-5C68-4B4A-A7A4-2129A06DDAA9}">
      <text>
        <r>
          <rPr>
            <b/>
            <sz val="9"/>
            <color indexed="81"/>
            <rFont val="Tahoma"/>
            <family val="2"/>
          </rPr>
          <t xml:space="preserve">oksana:
</t>
        </r>
        <r>
          <rPr>
            <sz val="9"/>
            <color indexed="81"/>
            <rFont val="Tahoma"/>
            <family val="2"/>
          </rPr>
          <t>Puhastame plaati, kui:
- see on WQ 
-  paksus suurem kui 20mm
- sõltumata pakusest gabariit suurem kui 300mm</t>
        </r>
      </text>
    </comment>
    <comment ref="AG340" authorId="245" shapeId="0" xr:uid="{0D181F7A-39E7-408F-B0E8-1D8D0EE428A8}">
      <text>
        <t>[Threaded comment]
Your version of Excel allows you to read this threaded comment; however, any edits to it will get removed if the file is opened in a newer version of Excel. Learn more: https://go.microsoft.com/fwlink/?linkid=870924
Comment:
    Alates pl35-lisaaeg avade tegemiseks</t>
      </text>
    </comment>
    <comment ref="AD341" authorId="8" shapeId="0" xr:uid="{332C12D3-9ADA-4755-8E67-29112F0D4CCB}">
      <text>
        <r>
          <rPr>
            <b/>
            <sz val="9"/>
            <color indexed="81"/>
            <rFont val="Tahoma"/>
            <family val="2"/>
          </rPr>
          <t xml:space="preserve">oksana:
</t>
        </r>
        <r>
          <rPr>
            <sz val="9"/>
            <color indexed="81"/>
            <rFont val="Tahoma"/>
            <family val="2"/>
          </rPr>
          <t>Puhastame plaati, kui:
- see on WQ 
-  paksus suurem kui 20mm
- sõltumata pakusest gabariit suurem kui 300mm</t>
        </r>
      </text>
    </comment>
    <comment ref="AG341" authorId="246" shapeId="0" xr:uid="{55C74932-E35F-431F-A03F-AC3CDEB372B4}">
      <text>
        <t>[Threaded comment]
Your version of Excel allows you to read this threaded comment; however, any edits to it will get removed if the file is opened in a newer version of Excel. Learn more: https://go.microsoft.com/fwlink/?linkid=870924
Comment:
    Alates pl35-lisaaeg avade tegemiseks</t>
      </text>
    </comment>
    <comment ref="AD342" authorId="8" shapeId="0" xr:uid="{79A76033-8855-4B42-A9EA-A52FCA8942DE}">
      <text>
        <r>
          <rPr>
            <b/>
            <sz val="9"/>
            <color indexed="81"/>
            <rFont val="Tahoma"/>
            <family val="2"/>
          </rPr>
          <t xml:space="preserve">oksana:
</t>
        </r>
        <r>
          <rPr>
            <sz val="9"/>
            <color indexed="81"/>
            <rFont val="Tahoma"/>
            <family val="2"/>
          </rPr>
          <t>Puhastame plaati, kui:
- see on WQ 
-  paksus suurem kui 20mm
- sõltumata pakusest gabariit suurem kui 300mm</t>
        </r>
      </text>
    </comment>
    <comment ref="AG342" authorId="247" shapeId="0" xr:uid="{2F6F8BB1-6A83-4EA4-BA6C-28896B927679}">
      <text>
        <t>[Threaded comment]
Your version of Excel allows you to read this threaded comment; however, any edits to it will get removed if the file is opened in a newer version of Excel. Learn more: https://go.microsoft.com/fwlink/?linkid=870924
Comment:
    Alates pl35-lisaaeg avade tegemiseks</t>
      </text>
    </comment>
    <comment ref="AK345" authorId="248" shapeId="0" xr:uid="{263348F5-0378-42AA-AA45-5CA5B1096470}">
      <text>
        <t>[Threaded comment]
Your version of Excel allows you to read this threaded comment; however, any edits to it will get removed if the file is opened in a newer version of Excel. Learn more: https://go.microsoft.com/fwlink/?linkid=870924
Comment:
    profiili tüüp 1 või 2 (vaata "abifalis")</t>
      </text>
    </comment>
    <comment ref="AD346" authorId="8" shapeId="0" xr:uid="{42B4DA2B-3003-4635-BD4F-D0D6E627F77D}">
      <text>
        <r>
          <rPr>
            <b/>
            <sz val="9"/>
            <color indexed="81"/>
            <rFont val="Tahoma"/>
            <family val="2"/>
          </rPr>
          <t xml:space="preserve">oksana:
</t>
        </r>
        <r>
          <rPr>
            <sz val="9"/>
            <color indexed="81"/>
            <rFont val="Tahoma"/>
            <family val="2"/>
          </rPr>
          <t>Puhastame plaati, kui:
- see on WQ 
-  paksus suurem kui 20mm
- sõltumata pakusest gabariit suurem kui 300mm</t>
        </r>
      </text>
    </comment>
    <comment ref="AG346" authorId="249" shapeId="0" xr:uid="{ABF2EA3F-8B92-4101-A20B-1DC3E22B33E5}">
      <text>
        <t>[Threaded comment]
Your version of Excel allows you to read this threaded comment; however, any edits to it will get removed if the file is opened in a newer version of Excel. Learn more: https://go.microsoft.com/fwlink/?linkid=870924
Comment:
    Alates pl35-lisaaeg avade tegemiseks</t>
      </text>
    </comment>
    <comment ref="AD347" authorId="8" shapeId="0" xr:uid="{E87AAC87-CF92-4C72-9A75-B040B8255072}">
      <text>
        <r>
          <rPr>
            <b/>
            <sz val="9"/>
            <color indexed="81"/>
            <rFont val="Tahoma"/>
            <family val="2"/>
          </rPr>
          <t xml:space="preserve">oksana:
</t>
        </r>
        <r>
          <rPr>
            <sz val="9"/>
            <color indexed="81"/>
            <rFont val="Tahoma"/>
            <family val="2"/>
          </rPr>
          <t>Puhastame plaati, kui:
- see on WQ 
-  paksus suurem kui 20mm
- sõltumata pakusest gabariit suurem kui 300mm</t>
        </r>
      </text>
    </comment>
    <comment ref="AG347" authorId="250" shapeId="0" xr:uid="{43AF7297-BD64-43C3-8B20-9AF121312F5D}">
      <text>
        <t>[Threaded comment]
Your version of Excel allows you to read this threaded comment; however, any edits to it will get removed if the file is opened in a newer version of Excel. Learn more: https://go.microsoft.com/fwlink/?linkid=870924
Comment:
    Alates pl35-lisaaeg avade tegemiseks</t>
      </text>
    </comment>
    <comment ref="AD348" authorId="8" shapeId="0" xr:uid="{FF403BBE-7360-4F91-A1E2-1E0E78A25DB9}">
      <text>
        <r>
          <rPr>
            <b/>
            <sz val="9"/>
            <color indexed="81"/>
            <rFont val="Tahoma"/>
            <family val="2"/>
          </rPr>
          <t xml:space="preserve">oksana:
</t>
        </r>
        <r>
          <rPr>
            <sz val="9"/>
            <color indexed="81"/>
            <rFont val="Tahoma"/>
            <family val="2"/>
          </rPr>
          <t>Puhastame plaati, kui:
- see on WQ 
-  paksus suurem kui 20mm
- sõltumata pakusest gabariit suurem kui 300mm</t>
        </r>
      </text>
    </comment>
    <comment ref="AG348" authorId="251" shapeId="0" xr:uid="{B7434638-BF63-4186-A9BE-32AB2EF8F83E}">
      <text>
        <t>[Threaded comment]
Your version of Excel allows you to read this threaded comment; however, any edits to it will get removed if the file is opened in a newer version of Excel. Learn more: https://go.microsoft.com/fwlink/?linkid=870924
Comment:
    Alates pl35-lisaaeg avade tegemiseks</t>
      </text>
    </comment>
    <comment ref="AK351" authorId="252" shapeId="0" xr:uid="{1B2BE353-1833-403F-B150-741ED493EA96}">
      <text>
        <t>[Threaded comment]
Your version of Excel allows you to read this threaded comment; however, any edits to it will get removed if the file is opened in a newer version of Excel. Learn more: https://go.microsoft.com/fwlink/?linkid=870924
Comment:
    vaata "abifalis"</t>
      </text>
    </comment>
    <comment ref="AD352" authorId="8" shapeId="0" xr:uid="{3C1B4F01-A3F5-4695-9B02-DCA6A974AC58}">
      <text>
        <r>
          <rPr>
            <b/>
            <sz val="9"/>
            <color indexed="81"/>
            <rFont val="Tahoma"/>
            <family val="2"/>
          </rPr>
          <t xml:space="preserve">oksana:
</t>
        </r>
        <r>
          <rPr>
            <sz val="9"/>
            <color indexed="81"/>
            <rFont val="Tahoma"/>
            <family val="2"/>
          </rPr>
          <t>Puhastame plaati, kui:
- see on WQ 
-  paksus suurem kui 20mm
- sõltumata pakusest gabariit suurem kui 300mm</t>
        </r>
      </text>
    </comment>
    <comment ref="AG352" authorId="253" shapeId="0" xr:uid="{A98771F8-D7E6-4F0B-9B9D-3CBC4A3899D7}">
      <text>
        <t>[Threaded comment]
Your version of Excel allows you to read this threaded comment; however, any edits to it will get removed if the file is opened in a newer version of Excel. Learn more: https://go.microsoft.com/fwlink/?linkid=870924
Comment:
    Alates pl35-lisaaeg avade tegemiseks</t>
      </text>
    </comment>
    <comment ref="AD353" authorId="8" shapeId="0" xr:uid="{9DDA0F4C-E52D-4714-995C-856F568E5F72}">
      <text>
        <r>
          <rPr>
            <b/>
            <sz val="9"/>
            <color indexed="81"/>
            <rFont val="Tahoma"/>
            <family val="2"/>
          </rPr>
          <t xml:space="preserve">oksana:
</t>
        </r>
        <r>
          <rPr>
            <sz val="9"/>
            <color indexed="81"/>
            <rFont val="Tahoma"/>
            <family val="2"/>
          </rPr>
          <t>Puhastame plaati, kui:
- see on WQ 
-  paksus suurem kui 20mm
- sõltumata pakusest gabariit suurem kui 300mm</t>
        </r>
      </text>
    </comment>
    <comment ref="AG353" authorId="254" shapeId="0" xr:uid="{6241BFD1-687E-4B5D-BCE0-EBB5A448AEFB}">
      <text>
        <t>[Threaded comment]
Your version of Excel allows you to read this threaded comment; however, any edits to it will get removed if the file is opened in a newer version of Excel. Learn more: https://go.microsoft.com/fwlink/?linkid=870924
Comment:
    Alates pl35-lisaaeg avade tegemiseks</t>
      </text>
    </comment>
    <comment ref="AD354" authorId="8" shapeId="0" xr:uid="{04A45493-6606-404F-84E9-2B3A049CA948}">
      <text>
        <r>
          <rPr>
            <b/>
            <sz val="9"/>
            <color indexed="81"/>
            <rFont val="Tahoma"/>
            <family val="2"/>
          </rPr>
          <t xml:space="preserve">oksana:
</t>
        </r>
        <r>
          <rPr>
            <sz val="9"/>
            <color indexed="81"/>
            <rFont val="Tahoma"/>
            <family val="2"/>
          </rPr>
          <t>Puhastame plaati, kui:
- see on WQ 
-  paksus suurem kui 20mm
- sõltumata pakusest gabariit suurem kui 300mm</t>
        </r>
      </text>
    </comment>
    <comment ref="AG354" authorId="255" shapeId="0" xr:uid="{924FE798-D3FF-4138-9768-5E75CA3153D5}">
      <text>
        <t>[Threaded comment]
Your version of Excel allows you to read this threaded comment; however, any edits to it will get removed if the file is opened in a newer version of Excel. Learn more: https://go.microsoft.com/fwlink/?linkid=870924
Comment:
    Alates pl35-lisaaeg avade tegemiseks</t>
      </text>
    </comment>
    <comment ref="AD355" authorId="8" shapeId="0" xr:uid="{D260A498-2CE1-4394-95F5-22239ECDCC2D}">
      <text>
        <r>
          <rPr>
            <b/>
            <sz val="9"/>
            <color indexed="81"/>
            <rFont val="Tahoma"/>
            <family val="2"/>
          </rPr>
          <t xml:space="preserve">oksana:
</t>
        </r>
        <r>
          <rPr>
            <sz val="9"/>
            <color indexed="81"/>
            <rFont val="Tahoma"/>
            <family val="2"/>
          </rPr>
          <t>Puhastame plaati, kui:
- see on WQ 
-  paksus suurem kui 20mm
- sõltumata pakusest gabariit suurem kui 300mm</t>
        </r>
      </text>
    </comment>
    <comment ref="AG355" authorId="256" shapeId="0" xr:uid="{D900A130-B0C9-40AA-AF84-D4CFED0A140C}">
      <text>
        <t>[Threaded comment]
Your version of Excel allows you to read this threaded comment; however, any edits to it will get removed if the file is opened in a newer version of Excel. Learn more: https://go.microsoft.com/fwlink/?linkid=870924
Comment:
    Alates pl35-lisaaeg avade tegemiseks</t>
      </text>
    </comment>
    <comment ref="AK358" authorId="257" shapeId="0" xr:uid="{DC2C90BD-AB8C-44BA-91E0-857F6591A149}">
      <text>
        <t>[Threaded comment]
Your version of Excel allows you to read this threaded comment; however, any edits to it will get removed if the file is opened in a newer version of Excel. Learn more: https://go.microsoft.com/fwlink/?linkid=870924
Comment:
    vaata "abifalis"</t>
      </text>
    </comment>
    <comment ref="AD359" authorId="8" shapeId="0" xr:uid="{8FDFB011-6BE4-4D50-A946-6479683D197A}">
      <text>
        <r>
          <rPr>
            <b/>
            <sz val="9"/>
            <color indexed="81"/>
            <rFont val="Tahoma"/>
            <family val="2"/>
          </rPr>
          <t xml:space="preserve">oksana:
</t>
        </r>
        <r>
          <rPr>
            <sz val="9"/>
            <color indexed="81"/>
            <rFont val="Tahoma"/>
            <family val="2"/>
          </rPr>
          <t>Puhastame plaati, kui:
- see on WQ 
-  paksus suurem kui 20mm
- sõltumata pakusest gabariit suurem kui 300mm</t>
        </r>
      </text>
    </comment>
    <comment ref="AG359" authorId="258" shapeId="0" xr:uid="{579F32EB-719C-4648-9327-B2931781CEFB}">
      <text>
        <t>[Threaded comment]
Your version of Excel allows you to read this threaded comment; however, any edits to it will get removed if the file is opened in a newer version of Excel. Learn more: https://go.microsoft.com/fwlink/?linkid=870924
Comment:
    Alates pl35-lisaaeg avade tegemiseks</t>
      </text>
    </comment>
    <comment ref="AD360" authorId="8" shapeId="0" xr:uid="{699D558B-4B72-412E-A819-268F65198070}">
      <text>
        <r>
          <rPr>
            <b/>
            <sz val="9"/>
            <color indexed="81"/>
            <rFont val="Tahoma"/>
            <family val="2"/>
          </rPr>
          <t xml:space="preserve">oksana:
</t>
        </r>
        <r>
          <rPr>
            <sz val="9"/>
            <color indexed="81"/>
            <rFont val="Tahoma"/>
            <family val="2"/>
          </rPr>
          <t>Puhastame plaati, kui:
- see on WQ 
-  paksus suurem kui 20mm
- sõltumata pakusest gabariit suurem kui 300mm</t>
        </r>
      </text>
    </comment>
    <comment ref="AG360" authorId="259" shapeId="0" xr:uid="{8788B6E1-6FDC-4EEB-A36D-F24CC4136282}">
      <text>
        <t>[Threaded comment]
Your version of Excel allows you to read this threaded comment; however, any edits to it will get removed if the file is opened in a newer version of Excel. Learn more: https://go.microsoft.com/fwlink/?linkid=870924
Comment:
    Alates pl35-lisaaeg avade tegemiseks</t>
      </text>
    </comment>
    <comment ref="AD361" authorId="8" shapeId="0" xr:uid="{398FEC0F-3404-45EE-BCF6-BCE843BE5380}">
      <text>
        <r>
          <rPr>
            <b/>
            <sz val="9"/>
            <color indexed="81"/>
            <rFont val="Tahoma"/>
            <family val="2"/>
          </rPr>
          <t xml:space="preserve">oksana:
</t>
        </r>
        <r>
          <rPr>
            <sz val="9"/>
            <color indexed="81"/>
            <rFont val="Tahoma"/>
            <family val="2"/>
          </rPr>
          <t>Puhastame plaati, kui:
- see on WQ 
-  paksus suurem kui 20mm
- sõltumata pakusest gabariit suurem kui 300mm</t>
        </r>
      </text>
    </comment>
    <comment ref="AG361" authorId="260" shapeId="0" xr:uid="{5AADC32F-9960-4D5A-8AA5-7E0424E78AD5}">
      <text>
        <t>[Threaded comment]
Your version of Excel allows you to read this threaded comment; however, any edits to it will get removed if the file is opened in a newer version of Excel. Learn more: https://go.microsoft.com/fwlink/?linkid=870924
Comment:
    Alates pl35-lisaaeg avade tegemiseks</t>
      </text>
    </comment>
    <comment ref="AK364" authorId="261" shapeId="0" xr:uid="{63B05AFB-3309-4F19-8FBA-ADE56C907BF1}">
      <text>
        <t>[Threaded comment]
Your version of Excel allows you to read this threaded comment; however, any edits to it will get removed if the file is opened in a newer version of Excel. Learn more: https://go.microsoft.com/fwlink/?linkid=870924
Comment:
    vaata "abifalis"</t>
      </text>
    </comment>
    <comment ref="AD365" authorId="8" shapeId="0" xr:uid="{E801899B-F407-40FB-BBCC-9440A29B2149}">
      <text>
        <r>
          <rPr>
            <b/>
            <sz val="9"/>
            <color indexed="81"/>
            <rFont val="Tahoma"/>
            <family val="2"/>
          </rPr>
          <t xml:space="preserve">oksana:
</t>
        </r>
        <r>
          <rPr>
            <sz val="9"/>
            <color indexed="81"/>
            <rFont val="Tahoma"/>
            <family val="2"/>
          </rPr>
          <t>Puhastame plaati, kui:
- see on WQ 
-  paksus suurem kui 20mm
- sõltumata pakusest gabariit suurem kui 300mm</t>
        </r>
      </text>
    </comment>
    <comment ref="AG365" authorId="262" shapeId="0" xr:uid="{7740FCE8-2251-438B-A407-CFD9D0DE94D5}">
      <text>
        <t>[Threaded comment]
Your version of Excel allows you to read this threaded comment; however, any edits to it will get removed if the file is opened in a newer version of Excel. Learn more: https://go.microsoft.com/fwlink/?linkid=870924
Comment:
    Alates pl35-lisaaeg avade tegemiseks</t>
      </text>
    </comment>
    <comment ref="AD366" authorId="8" shapeId="0" xr:uid="{DAA29210-227B-4E4F-AFC7-E72FE37A5DC2}">
      <text>
        <r>
          <rPr>
            <b/>
            <sz val="9"/>
            <color indexed="81"/>
            <rFont val="Tahoma"/>
            <family val="2"/>
          </rPr>
          <t xml:space="preserve">oksana:
</t>
        </r>
        <r>
          <rPr>
            <sz val="9"/>
            <color indexed="81"/>
            <rFont val="Tahoma"/>
            <family val="2"/>
          </rPr>
          <t>Puhastame plaati, kui:
- see on WQ 
-  paksus suurem kui 20mm
- sõltumata pakusest gabariit suurem kui 300mm</t>
        </r>
      </text>
    </comment>
    <comment ref="AG366" authorId="263" shapeId="0" xr:uid="{77D78BF1-AC4A-476D-8729-118F85D628CE}">
      <text>
        <t>[Threaded comment]
Your version of Excel allows you to read this threaded comment; however, any edits to it will get removed if the file is opened in a newer version of Excel. Learn more: https://go.microsoft.com/fwlink/?linkid=870924
Comment:
    Alates pl35-lisaaeg avade tegemiseks</t>
      </text>
    </comment>
    <comment ref="AD367" authorId="8" shapeId="0" xr:uid="{368B72E5-982A-4811-821F-711B6B90D84D}">
      <text>
        <r>
          <rPr>
            <b/>
            <sz val="9"/>
            <color indexed="81"/>
            <rFont val="Tahoma"/>
            <family val="2"/>
          </rPr>
          <t xml:space="preserve">oksana:
</t>
        </r>
        <r>
          <rPr>
            <sz val="9"/>
            <color indexed="81"/>
            <rFont val="Tahoma"/>
            <family val="2"/>
          </rPr>
          <t>Puhastame plaati, kui:
- see on WQ 
-  paksus suurem kui 20mm
- sõltumata pakusest gabariit suurem kui 300mm</t>
        </r>
      </text>
    </comment>
    <comment ref="AG367" authorId="264" shapeId="0" xr:uid="{108E26D6-71E8-4677-BF7E-21587FFBCF80}">
      <text>
        <t>[Threaded comment]
Your version of Excel allows you to read this threaded comment; however, any edits to it will get removed if the file is opened in a newer version of Excel. Learn more: https://go.microsoft.com/fwlink/?linkid=870924
Comment:
    Alates pl35-lisaaeg avade tegemiseks</t>
      </text>
    </comment>
    <comment ref="AK370" authorId="265" shapeId="0" xr:uid="{53E361E3-2EB0-4D2D-81F2-8698ED6C9217}">
      <text>
        <t>[Threaded comment]
Your version of Excel allows you to read this threaded comment; however, any edits to it will get removed if the file is opened in a newer version of Excel. Learn more: https://go.microsoft.com/fwlink/?linkid=870924
Comment:
    vaata "abifalis"</t>
      </text>
    </comment>
    <comment ref="AD371" authorId="8" shapeId="0" xr:uid="{9771D2A3-964E-4DCB-A35A-112CB88FCAF2}">
      <text>
        <r>
          <rPr>
            <b/>
            <sz val="9"/>
            <color indexed="81"/>
            <rFont val="Tahoma"/>
            <family val="2"/>
          </rPr>
          <t xml:space="preserve">oksana:
</t>
        </r>
        <r>
          <rPr>
            <sz val="9"/>
            <color indexed="81"/>
            <rFont val="Tahoma"/>
            <family val="2"/>
          </rPr>
          <t>Puhastame plaati, kui:
- see on WQ 
-  paksus suurem kui 20mm
- sõltumata pakusest gabariit suurem kui 300mm</t>
        </r>
      </text>
    </comment>
    <comment ref="AG371" authorId="266" shapeId="0" xr:uid="{DA320A1C-B88B-4E47-BB38-01EB7B0E83DE}">
      <text>
        <t>[Threaded comment]
Your version of Excel allows you to read this threaded comment; however, any edits to it will get removed if the file is opened in a newer version of Excel. Learn more: https://go.microsoft.com/fwlink/?linkid=870924
Comment:
    Alates pl35-lisaaeg avade tegemiseks</t>
      </text>
    </comment>
    <comment ref="AD372" authorId="8" shapeId="0" xr:uid="{44171944-D857-40DC-B0A9-790996A409E4}">
      <text>
        <r>
          <rPr>
            <b/>
            <sz val="9"/>
            <color indexed="81"/>
            <rFont val="Tahoma"/>
            <family val="2"/>
          </rPr>
          <t xml:space="preserve">oksana:
</t>
        </r>
        <r>
          <rPr>
            <sz val="9"/>
            <color indexed="81"/>
            <rFont val="Tahoma"/>
            <family val="2"/>
          </rPr>
          <t>Puhastame plaati, kui:
- see on WQ 
-  paksus suurem kui 20mm
- sõltumata pakusest gabariit suurem kui 300mm</t>
        </r>
      </text>
    </comment>
    <comment ref="AG372" authorId="267" shapeId="0" xr:uid="{61FBBCB9-0769-4FCC-BDBC-8E85FF5CB066}">
      <text>
        <t>[Threaded comment]
Your version of Excel allows you to read this threaded comment; however, any edits to it will get removed if the file is opened in a newer version of Excel. Learn more: https://go.microsoft.com/fwlink/?linkid=870924
Comment:
    Alates pl35-lisaaeg avade tegemiseks</t>
      </text>
    </comment>
    <comment ref="AD373" authorId="8" shapeId="0" xr:uid="{3EC8D3B6-C57E-4675-9F6D-49CD23F78508}">
      <text>
        <r>
          <rPr>
            <b/>
            <sz val="9"/>
            <color indexed="81"/>
            <rFont val="Tahoma"/>
            <family val="2"/>
          </rPr>
          <t xml:space="preserve">oksana:
</t>
        </r>
        <r>
          <rPr>
            <sz val="9"/>
            <color indexed="81"/>
            <rFont val="Tahoma"/>
            <family val="2"/>
          </rPr>
          <t>Puhastame plaati, kui:
- see on WQ 
-  paksus suurem kui 20mm
- sõltumata pakusest gabariit suurem kui 300mm</t>
        </r>
      </text>
    </comment>
    <comment ref="AG373" authorId="268" shapeId="0" xr:uid="{B7177EFC-9CF9-4B28-8678-480603B6DB67}">
      <text>
        <t>[Threaded comment]
Your version of Excel allows you to read this threaded comment; however, any edits to it will get removed if the file is opened in a newer version of Excel. Learn more: https://go.microsoft.com/fwlink/?linkid=870924
Comment:
    Alates pl35-lisaaeg avade tegemiseks</t>
      </text>
    </comment>
    <comment ref="AD376" authorId="8" shapeId="0" xr:uid="{80537F27-91DC-4193-9E75-ACA43EA50C94}">
      <text>
        <r>
          <rPr>
            <b/>
            <sz val="9"/>
            <color indexed="81"/>
            <rFont val="Tahoma"/>
            <family val="2"/>
          </rPr>
          <t xml:space="preserve">oksana:
</t>
        </r>
        <r>
          <rPr>
            <sz val="9"/>
            <color indexed="81"/>
            <rFont val="Tahoma"/>
            <family val="2"/>
          </rPr>
          <t>Puhastame plaati, kui:
- see on WQ 
-  paksus suurem kui 20mm
- sõltumata pakusest gabariit suurem kui 300mm</t>
        </r>
      </text>
    </comment>
    <comment ref="AG376" authorId="269" shapeId="0" xr:uid="{D3EF4175-3450-4637-BF6F-CE0D0DD41A83}">
      <text>
        <t>[Threaded comment]
Your version of Excel allows you to read this threaded comment; however, any edits to it will get removed if the file is opened in a newer version of Excel. Learn more: https://go.microsoft.com/fwlink/?linkid=870924
Comment:
    Alates pl35-lisaaeg avade tegemiseks</t>
      </text>
    </comment>
    <comment ref="AD377" authorId="8" shapeId="0" xr:uid="{42E8CD3C-D174-4A72-AFCE-8FDEEB6BDC4F}">
      <text>
        <r>
          <rPr>
            <b/>
            <sz val="9"/>
            <color indexed="81"/>
            <rFont val="Tahoma"/>
            <family val="2"/>
          </rPr>
          <t xml:space="preserve">oksana:
</t>
        </r>
        <r>
          <rPr>
            <sz val="9"/>
            <color indexed="81"/>
            <rFont val="Tahoma"/>
            <family val="2"/>
          </rPr>
          <t>Puhastame plaati, kui:
- see on WQ 
-  paksus suurem kui 20mm
- sõltumata pakusest gabariit suurem kui 300mm</t>
        </r>
      </text>
    </comment>
    <comment ref="AG377" authorId="270" shapeId="0" xr:uid="{FA6C0816-5A41-4B26-8692-AC7A933EBD1F}">
      <text>
        <t>[Threaded comment]
Your version of Excel allows you to read this threaded comment; however, any edits to it will get removed if the file is opened in a newer version of Excel. Learn more: https://go.microsoft.com/fwlink/?linkid=870924
Comment:
    Alates pl35-lisaaeg avade tegemiseks</t>
      </text>
    </comment>
    <comment ref="AS379" authorId="271" shapeId="0" xr:uid="{4F3BFDA3-57DC-434C-AB37-DFF9E9B4881B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Materiali kasum
</t>
      </text>
    </comment>
    <comment ref="AK384" authorId="272" shapeId="0" xr:uid="{B07DD88C-3C0B-42B7-B442-2BFAF6D432AC}">
      <text>
        <t>[Threaded comment]
Your version of Excel allows you to read this threaded comment; however, any edits to it will get removed if the file is opened in a newer version of Excel. Learn more: https://go.microsoft.com/fwlink/?linkid=870924
Comment:
    profiili tüüp 1 või 2 (vaata "abifalis")</t>
      </text>
    </comment>
    <comment ref="AK387" authorId="273" shapeId="0" xr:uid="{A764E58D-3BA9-4995-8EBA-A2ACE5573960}">
      <text>
        <t>[Threaded comment]
Your version of Excel allows you to read this threaded comment; however, any edits to it will get removed if the file is opened in a newer version of Excel. Learn more: https://go.microsoft.com/fwlink/?linkid=870924
Comment:
    profiili tüüp 1 või 2 (vaata "abifalis")</t>
      </text>
    </comment>
    <comment ref="AD388" authorId="8" shapeId="0" xr:uid="{5125BB5F-F30A-4C37-B6B1-5A035DE7E45B}">
      <text>
        <r>
          <rPr>
            <b/>
            <sz val="9"/>
            <color indexed="81"/>
            <rFont val="Tahoma"/>
            <family val="2"/>
          </rPr>
          <t xml:space="preserve">oksana:
</t>
        </r>
        <r>
          <rPr>
            <sz val="9"/>
            <color indexed="81"/>
            <rFont val="Tahoma"/>
            <family val="2"/>
          </rPr>
          <t>Puhastame plaati, kui:
- see on WQ 
-  paksus suurem kui 20mm
- sõltumata pakusest gabariit suurem kui 300mm</t>
        </r>
      </text>
    </comment>
    <comment ref="AG388" authorId="274" shapeId="0" xr:uid="{5998B13C-BCDF-4F8B-8D89-A13DFC9CFFBF}">
      <text>
        <t>[Threaded comment]
Your version of Excel allows you to read this threaded comment; however, any edits to it will get removed if the file is opened in a newer version of Excel. Learn more: https://go.microsoft.com/fwlink/?linkid=870924
Comment:
    Alates pl35-lisaaeg avade tegemiseks</t>
      </text>
    </comment>
    <comment ref="AD389" authorId="8" shapeId="0" xr:uid="{DAFC33EF-77B6-424A-A8CA-81E1C035E796}">
      <text>
        <r>
          <rPr>
            <b/>
            <sz val="9"/>
            <color indexed="81"/>
            <rFont val="Tahoma"/>
            <family val="2"/>
          </rPr>
          <t xml:space="preserve">oksana:
</t>
        </r>
        <r>
          <rPr>
            <sz val="9"/>
            <color indexed="81"/>
            <rFont val="Tahoma"/>
            <family val="2"/>
          </rPr>
          <t>Puhastame plaati, kui:
- see on WQ 
-  paksus suurem kui 20mm
- sõltumata pakusest gabariit suurem kui 300mm</t>
        </r>
      </text>
    </comment>
    <comment ref="AG389" authorId="275" shapeId="0" xr:uid="{378EF97C-B827-4F1E-890F-0D3E18884567}">
      <text>
        <t>[Threaded comment]
Your version of Excel allows you to read this threaded comment; however, any edits to it will get removed if the file is opened in a newer version of Excel. Learn more: https://go.microsoft.com/fwlink/?linkid=870924
Comment:
    Alates pl35-lisaaeg avade tegemiseks</t>
      </text>
    </comment>
    <comment ref="AK392" authorId="276" shapeId="0" xr:uid="{B193831D-F98A-4AE7-A2DF-9419893DF6FE}">
      <text>
        <t>[Threaded comment]
Your version of Excel allows you to read this threaded comment; however, any edits to it will get removed if the file is opened in a newer version of Excel. Learn more: https://go.microsoft.com/fwlink/?linkid=870924
Comment:
    profiili tüüp 1 või 2 (vaata "abifalis")</t>
      </text>
    </comment>
    <comment ref="AD393" authorId="8" shapeId="0" xr:uid="{B688C8CC-CFAE-42C6-A0C0-A31190A2E8E9}">
      <text>
        <r>
          <rPr>
            <b/>
            <sz val="9"/>
            <color indexed="81"/>
            <rFont val="Tahoma"/>
            <family val="2"/>
          </rPr>
          <t xml:space="preserve">oksana:
</t>
        </r>
        <r>
          <rPr>
            <sz val="9"/>
            <color indexed="81"/>
            <rFont val="Tahoma"/>
            <family val="2"/>
          </rPr>
          <t>Puhastame plaati, kui:
- see on WQ 
-  paksus suurem kui 20mm
- sõltumata pakusest gabariit suurem kui 300mm</t>
        </r>
      </text>
    </comment>
    <comment ref="AG393" authorId="277" shapeId="0" xr:uid="{1C767034-8AA9-495B-81BC-80EB20D30075}">
      <text>
        <t>[Threaded comment]
Your version of Excel allows you to read this threaded comment; however, any edits to it will get removed if the file is opened in a newer version of Excel. Learn more: https://go.microsoft.com/fwlink/?linkid=870924
Comment:
    Alates pl35-lisaaeg avade tegemiseks</t>
      </text>
    </comment>
    <comment ref="AD394" authorId="8" shapeId="0" xr:uid="{A255CCFC-7A56-427D-B166-93D64789AC4D}">
      <text>
        <r>
          <rPr>
            <b/>
            <sz val="9"/>
            <color indexed="81"/>
            <rFont val="Tahoma"/>
            <family val="2"/>
          </rPr>
          <t xml:space="preserve">oksana:
</t>
        </r>
        <r>
          <rPr>
            <sz val="9"/>
            <color indexed="81"/>
            <rFont val="Tahoma"/>
            <family val="2"/>
          </rPr>
          <t>Puhastame plaati, kui:
- see on WQ 
-  paksus suurem kui 20mm
- sõltumata pakusest gabariit suurem kui 300mm</t>
        </r>
      </text>
    </comment>
    <comment ref="AG394" authorId="278" shapeId="0" xr:uid="{0C37A3C8-BE91-4CEE-90BD-D24B13DDA43D}">
      <text>
        <t>[Threaded comment]
Your version of Excel allows you to read this threaded comment; however, any edits to it will get removed if the file is opened in a newer version of Excel. Learn more: https://go.microsoft.com/fwlink/?linkid=870924
Comment:
    Alates pl35-lisaaeg avade tegemiseks</t>
      </text>
    </comment>
    <comment ref="AD395" authorId="8" shapeId="0" xr:uid="{1EB24AB2-AE40-4F52-9708-42AD406F2762}">
      <text>
        <r>
          <rPr>
            <b/>
            <sz val="9"/>
            <color indexed="81"/>
            <rFont val="Tahoma"/>
            <family val="2"/>
          </rPr>
          <t xml:space="preserve">oksana:
</t>
        </r>
        <r>
          <rPr>
            <sz val="9"/>
            <color indexed="81"/>
            <rFont val="Tahoma"/>
            <family val="2"/>
          </rPr>
          <t>Puhastame plaati, kui:
- see on WQ 
-  paksus suurem kui 20mm
- sõltumata pakusest gabariit suurem kui 300mm</t>
        </r>
      </text>
    </comment>
    <comment ref="AG395" authorId="279" shapeId="0" xr:uid="{E82FD8F4-3661-4474-9995-DA2546CAE975}">
      <text>
        <t>[Threaded comment]
Your version of Excel allows you to read this threaded comment; however, any edits to it will get removed if the file is opened in a newer version of Excel. Learn more: https://go.microsoft.com/fwlink/?linkid=870924
Comment:
    Alates pl35-lisaaeg avade tegemiseks</t>
      </text>
    </comment>
    <comment ref="AK398" authorId="280" shapeId="0" xr:uid="{66C1EB3C-A537-4D0A-9F6F-9F84F9398B07}">
      <text>
        <t>[Threaded comment]
Your version of Excel allows you to read this threaded comment; however, any edits to it will get removed if the file is opened in a newer version of Excel. Learn more: https://go.microsoft.com/fwlink/?linkid=870924
Comment:
    profiili tüüp 1 või 2 (vaata "abifalis")</t>
      </text>
    </comment>
    <comment ref="AD399" authorId="8" shapeId="0" xr:uid="{F2A6FF57-2315-48E5-A30D-5B3F2DCC94F5}">
      <text>
        <r>
          <rPr>
            <b/>
            <sz val="9"/>
            <color indexed="81"/>
            <rFont val="Tahoma"/>
            <family val="2"/>
          </rPr>
          <t xml:space="preserve">oksana:
</t>
        </r>
        <r>
          <rPr>
            <sz val="9"/>
            <color indexed="81"/>
            <rFont val="Tahoma"/>
            <family val="2"/>
          </rPr>
          <t>Puhastame plaati, kui:
- see on WQ 
-  paksus suurem kui 20mm
- sõltumata pakusest gabariit suurem kui 300mm</t>
        </r>
      </text>
    </comment>
    <comment ref="AG399" authorId="281" shapeId="0" xr:uid="{AE1D05FE-D014-4CAD-BFA8-8FA232E23553}">
      <text>
        <t>[Threaded comment]
Your version of Excel allows you to read this threaded comment; however, any edits to it will get removed if the file is opened in a newer version of Excel. Learn more: https://go.microsoft.com/fwlink/?linkid=870924
Comment:
    Alates pl35-lisaaeg avade tegemiseks</t>
      </text>
    </comment>
    <comment ref="AD400" authorId="8" shapeId="0" xr:uid="{248A7268-52EA-470A-9104-B9938FD3C64D}">
      <text>
        <r>
          <rPr>
            <b/>
            <sz val="9"/>
            <color indexed="81"/>
            <rFont val="Tahoma"/>
            <family val="2"/>
          </rPr>
          <t xml:space="preserve">oksana:
</t>
        </r>
        <r>
          <rPr>
            <sz val="9"/>
            <color indexed="81"/>
            <rFont val="Tahoma"/>
            <family val="2"/>
          </rPr>
          <t>Puhastame plaati, kui:
- see on WQ 
-  paksus suurem kui 20mm
- sõltumata pakusest gabariit suurem kui 300mm</t>
        </r>
      </text>
    </comment>
    <comment ref="AG400" authorId="282" shapeId="0" xr:uid="{9B4E3D85-A77C-438A-8789-B9017BC791B3}">
      <text>
        <t>[Threaded comment]
Your version of Excel allows you to read this threaded comment; however, any edits to it will get removed if the file is opened in a newer version of Excel. Learn more: https://go.microsoft.com/fwlink/?linkid=870924
Comment:
    Alates pl35-lisaaeg avade tegemiseks</t>
      </text>
    </comment>
    <comment ref="AD401" authorId="8" shapeId="0" xr:uid="{F6D22861-DD4F-4469-B1F2-E8D9554D0B61}">
      <text>
        <r>
          <rPr>
            <b/>
            <sz val="9"/>
            <color indexed="81"/>
            <rFont val="Tahoma"/>
            <family val="2"/>
          </rPr>
          <t xml:space="preserve">oksana:
</t>
        </r>
        <r>
          <rPr>
            <sz val="9"/>
            <color indexed="81"/>
            <rFont val="Tahoma"/>
            <family val="2"/>
          </rPr>
          <t>Puhastame plaati, kui:
- see on WQ 
-  paksus suurem kui 20mm
- sõltumata pakusest gabariit suurem kui 300mm</t>
        </r>
      </text>
    </comment>
    <comment ref="AG401" authorId="283" shapeId="0" xr:uid="{2EECDEDA-8E84-4C4E-A7CB-F29AC838B191}">
      <text>
        <t>[Threaded comment]
Your version of Excel allows you to read this threaded comment; however, any edits to it will get removed if the file is opened in a newer version of Excel. Learn more: https://go.microsoft.com/fwlink/?linkid=870924
Comment:
    Alates pl35-lisaaeg avade tegemiseks</t>
      </text>
    </comment>
    <comment ref="AK404" authorId="284" shapeId="0" xr:uid="{CBBDB459-D103-4313-A198-EA0122644576}">
      <text>
        <t>[Threaded comment]
Your version of Excel allows you to read this threaded comment; however, any edits to it will get removed if the file is opened in a newer version of Excel. Learn more: https://go.microsoft.com/fwlink/?linkid=870924
Comment:
    profiili tüüp 1 või 2 (vaata "abifalis")</t>
      </text>
    </comment>
    <comment ref="AD405" authorId="8" shapeId="0" xr:uid="{D270BA77-E4A3-48AE-860B-342EA5CA026C}">
      <text>
        <r>
          <rPr>
            <b/>
            <sz val="9"/>
            <color indexed="81"/>
            <rFont val="Tahoma"/>
            <family val="2"/>
          </rPr>
          <t xml:space="preserve">oksana:
</t>
        </r>
        <r>
          <rPr>
            <sz val="9"/>
            <color indexed="81"/>
            <rFont val="Tahoma"/>
            <family val="2"/>
          </rPr>
          <t>Puhastame plaati, kui:
- see on WQ 
-  paksus suurem kui 20mm
- sõltumata pakusest gabariit suurem kui 300mm</t>
        </r>
      </text>
    </comment>
    <comment ref="AG405" authorId="285" shapeId="0" xr:uid="{F79A04F1-DBA1-4F78-BB76-3E184EC47418}">
      <text>
        <t>[Threaded comment]
Your version of Excel allows you to read this threaded comment; however, any edits to it will get removed if the file is opened in a newer version of Excel. Learn more: https://go.microsoft.com/fwlink/?linkid=870924
Comment:
    Alates pl35-lisaaeg avade tegemiseks</t>
      </text>
    </comment>
    <comment ref="AD406" authorId="8" shapeId="0" xr:uid="{9C3CB9B1-94ED-47C0-A735-3FAA095D5A2A}">
      <text>
        <r>
          <rPr>
            <b/>
            <sz val="9"/>
            <color indexed="81"/>
            <rFont val="Tahoma"/>
            <family val="2"/>
          </rPr>
          <t xml:space="preserve">oksana:
</t>
        </r>
        <r>
          <rPr>
            <sz val="9"/>
            <color indexed="81"/>
            <rFont val="Tahoma"/>
            <family val="2"/>
          </rPr>
          <t>Puhastame plaati, kui:
- see on WQ 
-  paksus suurem kui 20mm
- sõltumata pakusest gabariit suurem kui 300mm</t>
        </r>
      </text>
    </comment>
    <comment ref="AG406" authorId="286" shapeId="0" xr:uid="{5D6CB8A6-E9B8-475E-935D-1A12BBDF07C7}">
      <text>
        <t>[Threaded comment]
Your version of Excel allows you to read this threaded comment; however, any edits to it will get removed if the file is opened in a newer version of Excel. Learn more: https://go.microsoft.com/fwlink/?linkid=870924
Comment:
    Alates pl35-lisaaeg avade tegemiseks</t>
      </text>
    </comment>
    <comment ref="AD407" authorId="8" shapeId="0" xr:uid="{70536CC5-0307-47FD-BB07-0BDBE7BD1044}">
      <text>
        <r>
          <rPr>
            <b/>
            <sz val="9"/>
            <color indexed="81"/>
            <rFont val="Tahoma"/>
            <family val="2"/>
          </rPr>
          <t xml:space="preserve">oksana:
</t>
        </r>
        <r>
          <rPr>
            <sz val="9"/>
            <color indexed="81"/>
            <rFont val="Tahoma"/>
            <family val="2"/>
          </rPr>
          <t>Puhastame plaati, kui:
- see on WQ 
-  paksus suurem kui 20mm
- sõltumata pakusest gabariit suurem kui 300mm</t>
        </r>
      </text>
    </comment>
    <comment ref="AG407" authorId="287" shapeId="0" xr:uid="{64FAEAD3-0E6D-4A08-8D2F-0DDE563C9C65}">
      <text>
        <t>[Threaded comment]
Your version of Excel allows you to read this threaded comment; however, any edits to it will get removed if the file is opened in a newer version of Excel. Learn more: https://go.microsoft.com/fwlink/?linkid=870924
Comment:
    Alates pl35-lisaaeg avade tegemiseks</t>
      </text>
    </comment>
    <comment ref="AK410" authorId="288" shapeId="0" xr:uid="{7D24521F-3511-4A58-B40D-00262D239B12}">
      <text>
        <t>[Threaded comment]
Your version of Excel allows you to read this threaded comment; however, any edits to it will get removed if the file is opened in a newer version of Excel. Learn more: https://go.microsoft.com/fwlink/?linkid=870924
Comment:
    profiili tüüp 1 või 2 (vaata "abifalis")</t>
      </text>
    </comment>
    <comment ref="AD411" authorId="8" shapeId="0" xr:uid="{4ED45FA3-133A-4BB8-B7EF-B3E588661FA5}">
      <text>
        <r>
          <rPr>
            <b/>
            <sz val="9"/>
            <color indexed="81"/>
            <rFont val="Tahoma"/>
            <family val="2"/>
          </rPr>
          <t xml:space="preserve">oksana:
</t>
        </r>
        <r>
          <rPr>
            <sz val="9"/>
            <color indexed="81"/>
            <rFont val="Tahoma"/>
            <family val="2"/>
          </rPr>
          <t>Puhastame plaati, kui:
- see on WQ 
-  paksus suurem kui 20mm
- sõltumata pakusest gabariit suurem kui 300mm</t>
        </r>
      </text>
    </comment>
    <comment ref="AG411" authorId="289" shapeId="0" xr:uid="{ED593666-212B-4566-AFA8-43011103C46A}">
      <text>
        <t>[Threaded comment]
Your version of Excel allows you to read this threaded comment; however, any edits to it will get removed if the file is opened in a newer version of Excel. Learn more: https://go.microsoft.com/fwlink/?linkid=870924
Comment:
    Alates pl35-lisaaeg avade tegemiseks</t>
      </text>
    </comment>
    <comment ref="AD412" authorId="8" shapeId="0" xr:uid="{A456322D-10D6-483A-B941-51C4D6E848B5}">
      <text>
        <r>
          <rPr>
            <b/>
            <sz val="9"/>
            <color indexed="81"/>
            <rFont val="Tahoma"/>
            <family val="2"/>
          </rPr>
          <t xml:space="preserve">oksana:
</t>
        </r>
        <r>
          <rPr>
            <sz val="9"/>
            <color indexed="81"/>
            <rFont val="Tahoma"/>
            <family val="2"/>
          </rPr>
          <t>Puhastame plaati, kui:
- see on WQ 
-  paksus suurem kui 20mm
- sõltumata pakusest gabariit suurem kui 300mm</t>
        </r>
      </text>
    </comment>
    <comment ref="AG412" authorId="290" shapeId="0" xr:uid="{2190C583-2265-4435-92FC-E8DFF6AED21D}">
      <text>
        <t>[Threaded comment]
Your version of Excel allows you to read this threaded comment; however, any edits to it will get removed if the file is opened in a newer version of Excel. Learn more: https://go.microsoft.com/fwlink/?linkid=870924
Comment:
    Alates pl35-lisaaeg avade tegemiseks</t>
      </text>
    </comment>
    <comment ref="AD413" authorId="8" shapeId="0" xr:uid="{9C244F41-067B-4214-89BC-BD4D70643B90}">
      <text>
        <r>
          <rPr>
            <b/>
            <sz val="9"/>
            <color indexed="81"/>
            <rFont val="Tahoma"/>
            <family val="2"/>
          </rPr>
          <t xml:space="preserve">oksana:
</t>
        </r>
        <r>
          <rPr>
            <sz val="9"/>
            <color indexed="81"/>
            <rFont val="Tahoma"/>
            <family val="2"/>
          </rPr>
          <t>Puhastame plaati, kui:
- see on WQ 
-  paksus suurem kui 20mm
- sõltumata pakusest gabariit suurem kui 300mm</t>
        </r>
      </text>
    </comment>
    <comment ref="AG413" authorId="291" shapeId="0" xr:uid="{12AC8B4E-E3B7-4525-9198-4AA2691AACB8}">
      <text>
        <t>[Threaded comment]
Your version of Excel allows you to read this threaded comment; however, any edits to it will get removed if the file is opened in a newer version of Excel. Learn more: https://go.microsoft.com/fwlink/?linkid=870924
Comment:
    Alates pl35-lisaaeg avade tegemiseks</t>
      </text>
    </comment>
    <comment ref="AS416" authorId="292" shapeId="0" xr:uid="{E0918649-48BD-4E4E-B1C4-7F87755DD23B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Materiali kasum
</t>
      </text>
    </comment>
    <comment ref="AS428" authorId="293" shapeId="0" xr:uid="{9E327EA7-D0BC-45A5-A1EC-36EC48A12724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Materiali kasum
</t>
      </text>
    </comment>
    <comment ref="AG433" authorId="294" shapeId="0" xr:uid="{B5B98F79-ACEE-4601-A385-2866D6F6319F}">
      <text>
        <t>[Threaded comment]
Your version of Excel allows you to read this threaded comment; however, any edits to it will get removed if the file is opened in a newer version of Excel. Learn more: https://go.microsoft.com/fwlink/?linkid=870924
Comment:
    Alates pl35-lisaaeg avade tegemiseks</t>
      </text>
    </comment>
    <comment ref="AG434" authorId="295" shapeId="0" xr:uid="{FCCAAF91-F22A-46CA-8EF7-B7FD1A3B9DC1}">
      <text>
        <t>[Threaded comment]
Your version of Excel allows you to read this threaded comment; however, any edits to it will get removed if the file is opened in a newer version of Excel. Learn more: https://go.microsoft.com/fwlink/?linkid=870924
Comment:
    Alates pl35-lisaaeg avade tegemiseks</t>
      </text>
    </comment>
    <comment ref="AG435" authorId="296" shapeId="0" xr:uid="{5F8CC0D2-250E-45DF-944D-62ECA9C6CB58}">
      <text>
        <t>[Threaded comment]
Your version of Excel allows you to read this threaded comment; however, any edits to it will get removed if the file is opened in a newer version of Excel. Learn more: https://go.microsoft.com/fwlink/?linkid=870924
Comment:
    Alates pl35-lisaaeg avade tegemiseks</t>
      </text>
    </comment>
    <comment ref="AG436" authorId="297" shapeId="0" xr:uid="{D24572A4-F056-41E4-9704-D9A0F0AD15BF}">
      <text>
        <t>[Threaded comment]
Your version of Excel allows you to read this threaded comment; however, any edits to it will get removed if the file is opened in a newer version of Excel. Learn more: https://go.microsoft.com/fwlink/?linkid=870924
Comment:
    Alates pl35-lisaaeg avade tegemiseks</t>
      </text>
    </comment>
    <comment ref="AG437" authorId="298" shapeId="0" xr:uid="{5201D35E-5ADC-433D-9F76-001D91B25AB8}">
      <text>
        <t>[Threaded comment]
Your version of Excel allows you to read this threaded comment; however, any edits to it will get removed if the file is opened in a newer version of Excel. Learn more: https://go.microsoft.com/fwlink/?linkid=870924
Comment:
    Alates pl35-lisaaeg avade tegemiseks</t>
      </text>
    </comment>
    <comment ref="AG438" authorId="299" shapeId="0" xr:uid="{69EBEC23-2654-4B2A-BAF3-356274EAE3C6}">
      <text>
        <t>[Threaded comment]
Your version of Excel allows you to read this threaded comment; however, any edits to it will get removed if the file is opened in a newer version of Excel. Learn more: https://go.microsoft.com/fwlink/?linkid=870924
Comment:
    Alates pl35-lisaaeg avade tegemiseks</t>
      </text>
    </comment>
    <comment ref="AG439" authorId="300" shapeId="0" xr:uid="{C670469E-9E7B-4D8E-BBF7-579FB089FA95}">
      <text>
        <t>[Threaded comment]
Your version of Excel allows you to read this threaded comment; however, any edits to it will get removed if the file is opened in a newer version of Excel. Learn more: https://go.microsoft.com/fwlink/?linkid=870924
Comment:
    Alates pl35-lisaaeg avade tegemiseks</t>
      </text>
    </comment>
    <comment ref="AG440" authorId="301" shapeId="0" xr:uid="{CB43AD5A-909B-434F-AAF0-FC257BB7ACEA}">
      <text>
        <t>[Threaded comment]
Your version of Excel allows you to read this threaded comment; however, any edits to it will get removed if the file is opened in a newer version of Excel. Learn more: https://go.microsoft.com/fwlink/?linkid=870924
Comment:
    Alates pl35-lisaaeg avade tegemiseks</t>
      </text>
    </comment>
    <comment ref="AG441" authorId="302" shapeId="0" xr:uid="{862ABDE0-7D79-42D1-B953-FD976E55CD68}">
      <text>
        <t>[Threaded comment]
Your version of Excel allows you to read this threaded comment; however, any edits to it will get removed if the file is opened in a newer version of Excel. Learn more: https://go.microsoft.com/fwlink/?linkid=870924
Comment:
    Alates pl35-lisaaeg avade tegemiseks</t>
      </text>
    </comment>
    <comment ref="AG444" authorId="303" shapeId="0" xr:uid="{9A454692-7EA3-4836-AD76-02A0213E433C}">
      <text>
        <t>[Threaded comment]
Your version of Excel allows you to read this threaded comment; however, any edits to it will get removed if the file is opened in a newer version of Excel. Learn more: https://go.microsoft.com/fwlink/?linkid=870924
Comment:
    Alates pl35-lisaaeg avade tegemiseks</t>
      </text>
    </comment>
    <comment ref="AK445" authorId="304" shapeId="0" xr:uid="{8FE96153-FE4C-4E7E-8CEC-9075F6DB0EA3}">
      <text>
        <t>[Threaded comment]
Your version of Excel allows you to read this threaded comment; however, any edits to it will get removed if the file is opened in a newer version of Excel. Learn more: https://go.microsoft.com/fwlink/?linkid=870924
Comment:
    profiili tüüp 1 või 2 (vaata "abifalis")</t>
      </text>
    </comment>
    <comment ref="AG448" authorId="305" shapeId="0" xr:uid="{C25AE59B-C364-410B-ABF4-E066AF02C960}">
      <text>
        <t>[Threaded comment]
Your version of Excel allows you to read this threaded comment; however, any edits to it will get removed if the file is opened in a newer version of Excel. Learn more: https://go.microsoft.com/fwlink/?linkid=870924
Comment:
    Alates pl35-lisaaeg avade tegemiseks</t>
      </text>
    </comment>
    <comment ref="AK449" authorId="306" shapeId="0" xr:uid="{17DC39C4-557E-4844-8390-4159B516589B}">
      <text>
        <t>[Threaded comment]
Your version of Excel allows you to read this threaded comment; however, any edits to it will get removed if the file is opened in a newer version of Excel. Learn more: https://go.microsoft.com/fwlink/?linkid=870924
Comment:
    profiili tüüp 1 või 2 (vaata "abifalis")</t>
      </text>
    </comment>
    <comment ref="AG452" authorId="307" shapeId="0" xr:uid="{E24A81D2-1054-4439-A10A-AA42E6F33281}">
      <text>
        <t>[Threaded comment]
Your version of Excel allows you to read this threaded comment; however, any edits to it will get removed if the file is opened in a newer version of Excel. Learn more: https://go.microsoft.com/fwlink/?linkid=870924
Comment:
    Alates pl35-lisaaeg avade tegemiseks</t>
      </text>
    </comment>
    <comment ref="AK453" authorId="308" shapeId="0" xr:uid="{6EBCD608-9F2F-44C0-93B9-EB7577CAAB02}">
      <text>
        <t>[Threaded comment]
Your version of Excel allows you to read this threaded comment; however, any edits to it will get removed if the file is opened in a newer version of Excel. Learn more: https://go.microsoft.com/fwlink/?linkid=870924
Comment:
    profiili tüüp 1 või 2 (vaata "abifalis")</t>
      </text>
    </comment>
    <comment ref="AG457" authorId="309" shapeId="0" xr:uid="{1784F17B-6E29-4368-A9E3-44B882E604EC}">
      <text>
        <t>[Threaded comment]
Your version of Excel allows you to read this threaded comment; however, any edits to it will get removed if the file is opened in a newer version of Excel. Learn more: https://go.microsoft.com/fwlink/?linkid=870924
Comment:
    Alates pl35-lisaaeg avade tegemiseks</t>
      </text>
    </comment>
    <comment ref="AG458" authorId="310" shapeId="0" xr:uid="{765C2F71-AE4F-4A22-B0EA-16440475E6AB}">
      <text>
        <t>[Threaded comment]
Your version of Excel allows you to read this threaded comment; however, any edits to it will get removed if the file is opened in a newer version of Excel. Learn more: https://go.microsoft.com/fwlink/?linkid=870924
Comment:
    Alates pl35-lisaaeg avade tegemiseks</t>
      </text>
    </comment>
    <comment ref="AD461" authorId="8" shapeId="0" xr:uid="{D221D124-4081-480B-9746-12BBD53BBABE}">
      <text>
        <r>
          <rPr>
            <b/>
            <sz val="9"/>
            <color indexed="81"/>
            <rFont val="Tahoma"/>
            <family val="2"/>
          </rPr>
          <t xml:space="preserve">oksana:
</t>
        </r>
        <r>
          <rPr>
            <sz val="9"/>
            <color indexed="81"/>
            <rFont val="Tahoma"/>
            <family val="2"/>
          </rPr>
          <t>Puhastame plaati, kui:
- see on WQ 
-  paksus suurem kui 20mm
- sõltumata pakusest gabariit suurem kui 300mm</t>
        </r>
      </text>
    </comment>
    <comment ref="AG461" authorId="311" shapeId="0" xr:uid="{E3CAF279-E207-4061-9F3F-FFDE0453A893}">
      <text>
        <t>[Threaded comment]
Your version of Excel allows you to read this threaded comment; however, any edits to it will get removed if the file is opened in a newer version of Excel. Learn more: https://go.microsoft.com/fwlink/?linkid=870924
Comment:
    Alates pl35-lisaaeg avade tegemiseks</t>
      </text>
    </comment>
    <comment ref="AG464" authorId="312" shapeId="0" xr:uid="{05A8F5A1-4DEC-4DD6-B509-E4DEF2463F6B}">
      <text>
        <t>[Threaded comment]
Your version of Excel allows you to read this threaded comment; however, any edits to it will get removed if the file is opened in a newer version of Excel. Learn more: https://go.microsoft.com/fwlink/?linkid=870924
Comment:
    Alates pl35-lisaaeg avade tegemiseks</t>
      </text>
    </comment>
    <comment ref="AG465" authorId="313" shapeId="0" xr:uid="{E31D4A2F-29EA-4547-96C4-3AB95096E010}">
      <text>
        <t>[Threaded comment]
Your version of Excel allows you to read this threaded comment; however, any edits to it will get removed if the file is opened in a newer version of Excel. Learn more: https://go.microsoft.com/fwlink/?linkid=870924
Comment:
    Alates pl35-lisaaeg avade tegemiseks</t>
      </text>
    </comment>
    <comment ref="AG466" authorId="314" shapeId="0" xr:uid="{6CE0E1FB-FF80-430F-AAA8-C82BCE95E72E}">
      <text>
        <t>[Threaded comment]
Your version of Excel allows you to read this threaded comment; however, any edits to it will get removed if the file is opened in a newer version of Excel. Learn more: https://go.microsoft.com/fwlink/?linkid=870924
Comment:
    Alates pl35-lisaaeg avade tegemiseks</t>
      </text>
    </comment>
    <comment ref="AG467" authorId="315" shapeId="0" xr:uid="{35D5BC99-A9AB-4CE9-89E0-6402CD4992AE}">
      <text>
        <t>[Threaded comment]
Your version of Excel allows you to read this threaded comment; however, any edits to it will get removed if the file is opened in a newer version of Excel. Learn more: https://go.microsoft.com/fwlink/?linkid=870924
Comment:
    Alates pl35-lisaaeg avade tegemiseks</t>
      </text>
    </comment>
    <comment ref="AG468" authorId="316" shapeId="0" xr:uid="{B55A3B61-DA4C-496E-8D3C-94F27F7F3827}">
      <text>
        <t>[Threaded comment]
Your version of Excel allows you to read this threaded comment; however, any edits to it will get removed if the file is opened in a newer version of Excel. Learn more: https://go.microsoft.com/fwlink/?linkid=870924
Comment:
    Alates pl35-lisaaeg avade tegemiseks</t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Connection" type="1" refreshedVersion="0" background="1">
    <dbPr connection="DRIVER={MySQL ODBC 3.51 Driver};User=terasro;Pwd=raud;SERVER=server.maru.ee;charset=cp1257;DATABASE=teras;PORT=3306;Option=3"/>
  </connection>
  <connection id="2" xr16:uid="{00000000-0015-0000-FFFF-FFFF01000000}" name="Connection1" type="1" refreshedVersion="0" background="1">
    <dbPr connection="DRIVER={MySQL ODBC 3.51 Driver};User=terasro;Pwd=raud;SERVER=server.maru.ee;charset=cp1257;DATABASE=teras;PORT=3306;Option=3"/>
  </connection>
  <connection id="3" xr16:uid="{9FA3F2AB-4AF3-458B-9A88-CA04426FD897}" name="Connection2" type="1" refreshedVersion="0" background="1">
    <dbPr connection="DRIVER={MySQL ODBC 3.51 Driver};User=terasro;Pwd=raud;SERVER=server.maru.ee;charset=cp1257;DATABASE=teras;PORT=3306;Option=3"/>
  </connection>
  <connection id="4" xr16:uid="{269E43B2-D535-4D00-AA5A-158CC1C5DEDF}" keepAlive="1" name="Query - Default_01_26_2026" description="Connection to the 'Default_01_26_2026' query in the workbook." type="5" refreshedVersion="8" background="1" saveData="1">
    <dbPr connection="Provider=Microsoft.Mashup.OleDb.1;Data Source=$Workbook$;Location=Default_01_26_2026;Extended Properties=&quot;&quot;" command="SELECT * FROM [Default_01_26_2026]"/>
  </connection>
  <connection id="5" xr16:uid="{5B130FA1-1790-4687-84B2-CAA99924F3C5}" keepAlive="1" name="Query - Default_01_28_2026" description="Connection to the 'Default_01_28_2026' query in the workbook." type="5" refreshedVersion="8" background="1" saveData="1">
    <dbPr connection="Provider=Microsoft.Mashup.OleDb.1;Data Source=$Workbook$;Location=Default_01_28_2026;Extended Properties=&quot;&quot;" command="SELECT * FROM [Default_01_28_2026]"/>
  </connection>
  <connection id="6" xr16:uid="{74D05BE6-8962-4F49-B13B-7AAED91A46DC}" keepAlive="1" name="Query - Default_02_18_2026" description="Connection to the 'Default_02_18_2026' query in the workbook." type="5" refreshedVersion="8" background="1" saveData="1">
    <dbPr connection="Provider=Microsoft.Mashup.OleDb.1;Data Source=$Workbook$;Location=Default_02_18_2026;Extended Properties=&quot;&quot;" command="SELECT * FROM [Default_02_18_2026]"/>
  </connection>
  <connection id="7" xr16:uid="{1906AE54-3F9E-48D4-918A-9691F1D7C2A4}" keepAlive="1" name="Query - Default_09_23_2025" description="Connection to the 'Default_09_23_2025' query in the workbook." type="5" refreshedVersion="0" background="1" saveData="1">
    <dbPr connection="Provider=Microsoft.Mashup.OleDb.1;Data Source=$Workbook$;Location=Default_09_23_2025;Extended Properties=&quot;&quot;" command="SELECT * FROM [Default_09_23_2025]"/>
  </connection>
  <connection id="8" xr16:uid="{109E759B-4ED4-4E55-ACF4-8958B67988FB}" keepAlive="1" name="Query - Default_09_23_2025(1)" description="Connection to the 'Default_09_23_2025(1)' query in the workbook." type="5" refreshedVersion="8" background="1" saveData="1">
    <dbPr connection="Provider=Microsoft.Mashup.OleDb.1;Data Source=$Workbook$;Location=Default_09_23_2025(1);Extended Properties=&quot;&quot;" command="SELECT * FROM [Default_09_23_2025(1)]"/>
  </connection>
  <connection id="9" xr16:uid="{B2EED0DA-5EA5-43B8-9A22-2D6F406D4C95}" keepAlive="1" name="Query - Default_09_24_2025" description="Connection to the 'Default_09_24_2025' query in the workbook." type="5" refreshedVersion="0" background="1" saveData="1">
    <dbPr connection="Provider=Microsoft.Mashup.OleDb.1;Data Source=$Workbook$;Location=Default_09_24_2025;Extended Properties=&quot;&quot;" command="SELECT * FROM [Default_09_24_2025]"/>
  </connection>
  <connection id="10" xr16:uid="{30810529-D4CF-44B0-9F56-F630240E473F}" keepAlive="1" name="Query - Default_09_24_2025(1)" description="Connection to the 'Default_09_24_2025(1)' query in the workbook." type="5" refreshedVersion="8" background="1" saveData="1">
    <dbPr connection="Provider=Microsoft.Mashup.OleDb.1;Data Source=$Workbook$;Location=Default_09_24_2025(1);Extended Properties=&quot;&quot;" command="SELECT * FROM [Default_09_24_2025(1)]"/>
  </connection>
  <connection id="11" xr16:uid="{AED569E2-787E-4BA5-870E-5C29FA7BD31B}" keepAlive="1" name="Query - Default_10_23_2025" description="Connection to the 'Default_10_23_2025' query in the workbook." type="5" refreshedVersion="0" background="1">
    <dbPr connection="Provider=Microsoft.Mashup.OleDb.1;Data Source=$Workbook$;Location=Default_10_23_2025;Extended Properties=&quot;&quot;" command="SELECT * FROM [Default_10_23_2025]"/>
  </connection>
  <connection id="12" xr16:uid="{F26B470B-CAC8-433B-886C-16DFCCA81619}" keepAlive="1" name="Query - Default_10_23_2025(1)" description="Connection to the 'Default_10_23_2025(1)' query in the workbook." type="5" refreshedVersion="8" background="1" saveData="1">
    <dbPr connection="Provider=Microsoft.Mashup.OleDb.1;Data Source=$Workbook$;Location=Default_10_23_2025(1);Extended Properties=&quot;&quot;" command="SELECT * FROM [Default_10_23_2025(1)]"/>
  </connection>
  <connection id="13" xr16:uid="{B7EC96AE-AD32-443F-BE45-06B661D61CDF}" keepAlive="1" name="Query - Default_12_01_2025" description="Connection to the 'Default_12_01_2025' query in the workbook." type="5" refreshedVersion="0" background="1" saveData="1">
    <dbPr connection="Provider=Microsoft.Mashup.OleDb.1;Data Source=$Workbook$;Location=Default_12_01_2025;Extended Properties=&quot;&quot;" command="SELECT * FROM [Default_12_01_2025]"/>
  </connection>
  <connection id="14" xr16:uid="{92879352-D6B1-4E6E-8704-350AA393A1C1}" keepAlive="1" name="Query - Default_12_01_2025 (1)" description="Connection to the 'Default_12_01_2025 (1)' query in the workbook." type="5" refreshedVersion="8" background="1" saveData="1">
    <dbPr connection="Provider=Microsoft.Mashup.OleDb.1;Data Source=$Workbook$;Location=&quot;Default_12_01_2025 (1)&quot;;Extended Properties=&quot;&quot;" command="SELECT * FROM [Default_12_01_2025 (1)]"/>
  </connection>
  <connection id="15" xr16:uid="{AC00D24D-114E-40C5-AF76-F5599FA5190E}" keepAlive="1" name="Query - Default_12_01_2025 (2)" description="Connection to the 'Default_12_01_2025 (2)' query in the workbook." type="5" refreshedVersion="0" background="1" saveData="1">
    <dbPr connection="Provider=Microsoft.Mashup.OleDb.1;Data Source=$Workbook$;Location=&quot;Default_12_01_2025 (2)&quot;;Extended Properties=&quot;&quot;" command="SELECT * FROM [Default_12_01_2025 (2)]"/>
  </connection>
</connections>
</file>

<file path=xl/sharedStrings.xml><?xml version="1.0" encoding="utf-8"?>
<sst xmlns="http://schemas.openxmlformats.org/spreadsheetml/2006/main" count="5158" uniqueCount="543">
  <si>
    <t>Hinnaküsimine:</t>
  </si>
  <si>
    <t>MUUTA käsitsi</t>
  </si>
  <si>
    <t>muudetud 02.08.2023</t>
  </si>
  <si>
    <t>Pinnakate</t>
  </si>
  <si>
    <t>non</t>
  </si>
  <si>
    <t>C1</t>
  </si>
  <si>
    <t>C2M</t>
  </si>
  <si>
    <t>C2H</t>
  </si>
  <si>
    <t>C3M</t>
  </si>
  <si>
    <t>C3H</t>
  </si>
  <si>
    <t>C4M</t>
  </si>
  <si>
    <t>HDG</t>
  </si>
  <si>
    <t>P3 alates C4H !!!</t>
  </si>
  <si>
    <t>Lisanduv kasumkoeffid</t>
  </si>
  <si>
    <t>Materjali kasum</t>
  </si>
  <si>
    <t>Tootmise kasum</t>
  </si>
  <si>
    <t>ERI kasum</t>
  </si>
  <si>
    <t>Transpordikoeff</t>
  </si>
  <si>
    <t>Klient:</t>
  </si>
  <si>
    <t>Vajalikult täida</t>
  </si>
  <si>
    <t>Aadress:</t>
  </si>
  <si>
    <t>Valem</t>
  </si>
  <si>
    <t>hind EI sisalda ZN(R) primerit !!!</t>
  </si>
  <si>
    <t xml:space="preserve">Connection design, connection strength calculations, workshop and installation drawings </t>
  </si>
  <si>
    <t>Tähtaeg:</t>
  </si>
  <si>
    <t>Põkkimine</t>
  </si>
  <si>
    <t>min/jm</t>
  </si>
  <si>
    <t>€/kg</t>
  </si>
  <si>
    <t>töötasu 46 eur/tund</t>
  </si>
  <si>
    <t>10/20.</t>
  </si>
  <si>
    <t>tk</t>
  </si>
  <si>
    <t>EUR</t>
  </si>
  <si>
    <t>1. Tüki kaal [kg]</t>
  </si>
  <si>
    <t>2. Kaal kokku [kg]</t>
  </si>
  <si>
    <t>3. Plaatide %</t>
  </si>
  <si>
    <t>4. Detaili järjekorra nr.</t>
  </si>
  <si>
    <t>5.</t>
  </si>
  <si>
    <t>6. Profiil</t>
  </si>
  <si>
    <t>7. Terase mark</t>
  </si>
  <si>
    <t>8. Laius [mm]</t>
  </si>
  <si>
    <t>9.</t>
  </si>
  <si>
    <t>10. Pikkus [mm]</t>
  </si>
  <si>
    <t>11. Kogus 1-le koostule [tk]</t>
  </si>
  <si>
    <t>12. Kogus kokku  [tk]</t>
  </si>
  <si>
    <t>13. Värvitav pind [m²]</t>
  </si>
  <si>
    <t>16. Saagimise "leht"</t>
  </si>
  <si>
    <t>17.  Avad [tk]</t>
  </si>
  <si>
    <t>25.  Koostu nr.</t>
  </si>
  <si>
    <t>31. Saagimine [h]</t>
  </si>
  <si>
    <t>32. Faasimine / väljalõiked [h]</t>
  </si>
  <si>
    <t>33. Puurimine / painutamine / valtsimine [h]</t>
  </si>
  <si>
    <t>34. EV KOKKU [h]</t>
  </si>
  <si>
    <t>35. Koostamine KOKKU [h]</t>
  </si>
  <si>
    <t>36. Keevitamine [jm]</t>
  </si>
  <si>
    <t>37. KV KOKKU [h]</t>
  </si>
  <si>
    <t>38. Metallitöö kokku [h]</t>
  </si>
  <si>
    <t>39. Tootlikkus [kg/h]</t>
  </si>
  <si>
    <t>40. Tootmine kokku [€]</t>
  </si>
  <si>
    <t>41. Tootmise omahind [€/kg]</t>
  </si>
  <si>
    <t xml:space="preserve">42. Materjali omahind [€/kg]  </t>
  </si>
  <si>
    <t>43. Materilai kulunormi koeff</t>
  </si>
  <si>
    <t>44. Material kulunormiga, ilma kasumita [€]</t>
  </si>
  <si>
    <t>45. Materiali kasumi koefitsient</t>
  </si>
  <si>
    <t>46. Pinnakate [€/m2 või €/kg]</t>
  </si>
  <si>
    <t>47. Pinnaviimistlus KOKKU (ZN või/ja värv)[€]</t>
  </si>
  <si>
    <t>48. Pakendus [€/kg]</t>
  </si>
  <si>
    <t>49. Tootmine + pinnavärv omahind KOKKU [€]</t>
  </si>
  <si>
    <t>50. Tootmise kasumi koefitsient</t>
  </si>
  <si>
    <t>Müügihind KOKKU [€]</t>
  </si>
  <si>
    <t>MÜÜGIHIND [€/kg]</t>
  </si>
  <si>
    <t>Tavavedu</t>
  </si>
  <si>
    <t>Transpordi müügihind</t>
  </si>
  <si>
    <t xml:space="preserve">Workshop and installation drawings </t>
  </si>
  <si>
    <t>HPKOKKU</t>
  </si>
  <si>
    <t>Plaatide maht KOKKU</t>
  </si>
  <si>
    <t>Eur/kg</t>
  </si>
  <si>
    <t>1</t>
  </si>
  <si>
    <t>*</t>
  </si>
  <si>
    <t>x</t>
  </si>
  <si>
    <t>S355J2H</t>
  </si>
  <si>
    <t>ots</t>
  </si>
  <si>
    <t>2</t>
  </si>
  <si>
    <t>Leht 10</t>
  </si>
  <si>
    <t>S355J2</t>
  </si>
  <si>
    <t>Fi</t>
  </si>
  <si>
    <t>3</t>
  </si>
  <si>
    <t>Leht 20</t>
  </si>
  <si>
    <t>Leht 15</t>
  </si>
  <si>
    <t>4</t>
  </si>
  <si>
    <t>Leht 30</t>
  </si>
  <si>
    <t>Leht 25</t>
  </si>
  <si>
    <t>Leht 35</t>
  </si>
  <si>
    <t>Leht 40</t>
  </si>
  <si>
    <t>ribi</t>
  </si>
  <si>
    <t xml:space="preserve">                                         XXX</t>
  </si>
  <si>
    <t>Materjalide lõikeleht - marsruutkaart  NR.</t>
  </si>
  <si>
    <t>Gaasilõikus</t>
  </si>
  <si>
    <t/>
  </si>
  <si>
    <t>Tellija:</t>
  </si>
  <si>
    <t>TA</t>
  </si>
  <si>
    <t>Tehnoloog:</t>
  </si>
  <si>
    <t>Objekt/toode:</t>
  </si>
  <si>
    <t>Kaal</t>
  </si>
  <si>
    <t>Joonis</t>
  </si>
  <si>
    <t>Pos. nr.</t>
  </si>
  <si>
    <t>Det.joonis</t>
  </si>
  <si>
    <t>Nimetus/Materjal</t>
  </si>
  <si>
    <t>Mark</t>
  </si>
  <si>
    <t>Mõõt</t>
  </si>
  <si>
    <t>Kogus</t>
  </si>
  <si>
    <t>GA</t>
  </si>
  <si>
    <t>GI</t>
  </si>
  <si>
    <t>SA</t>
  </si>
  <si>
    <t>PU</t>
  </si>
  <si>
    <t>PA</t>
  </si>
  <si>
    <t>TR</t>
  </si>
  <si>
    <t>FR</t>
  </si>
  <si>
    <t>VA</t>
  </si>
  <si>
    <t>KO</t>
  </si>
  <si>
    <t>VM</t>
  </si>
  <si>
    <t>Ühe</t>
  </si>
  <si>
    <t>Kokku</t>
  </si>
  <si>
    <t>Laius</t>
  </si>
  <si>
    <t>Pikkus</t>
  </si>
  <si>
    <t>Nimetus</t>
  </si>
  <si>
    <t>Kaal, kg</t>
  </si>
  <si>
    <t>Kogus, tk</t>
  </si>
  <si>
    <t>Pindala, m2</t>
  </si>
  <si>
    <t xml:space="preserve">                                         xxx</t>
  </si>
  <si>
    <t>Saagimine</t>
  </si>
  <si>
    <t xml:space="preserve">                                       x</t>
  </si>
  <si>
    <t>HK7080-1</t>
  </si>
  <si>
    <t>Materjalide kokkuvõte</t>
  </si>
  <si>
    <t>Kulunornm</t>
  </si>
  <si>
    <t>Kood</t>
  </si>
  <si>
    <t>Kogus kg</t>
  </si>
  <si>
    <t>Kogus jm</t>
  </si>
  <si>
    <t>Kogus kulunormiga</t>
  </si>
  <si>
    <t>Kogus tk./12m</t>
  </si>
  <si>
    <t>Hind,€/kg</t>
  </si>
  <si>
    <t>kg</t>
  </si>
  <si>
    <t>jm</t>
  </si>
  <si>
    <t>Hk7330</t>
  </si>
  <si>
    <t>Pakkeleht</t>
  </si>
  <si>
    <t>Veera Andronenko</t>
  </si>
  <si>
    <t>Norra</t>
  </si>
  <si>
    <t>Nr</t>
  </si>
  <si>
    <t>Pos</t>
  </si>
  <si>
    <t>Tükikaal</t>
  </si>
  <si>
    <t>Kaal kokku</t>
  </si>
  <si>
    <t>Gabariit</t>
  </si>
  <si>
    <t>Põhiprofiil</t>
  </si>
  <si>
    <t>Viimistlus</t>
  </si>
  <si>
    <t>Märkused</t>
  </si>
  <si>
    <t>KOKKU:</t>
  </si>
  <si>
    <t>1.</t>
  </si>
  <si>
    <t>Keskmine pakkumise hind:</t>
  </si>
  <si>
    <t>EUR/kg</t>
  </si>
  <si>
    <t>Hind €/kg</t>
  </si>
  <si>
    <t>Kulunormid</t>
  </si>
  <si>
    <t>leht 4</t>
  </si>
  <si>
    <t>leht 5</t>
  </si>
  <si>
    <t>leht 6</t>
  </si>
  <si>
    <t>leht 8</t>
  </si>
  <si>
    <t>leht 10</t>
  </si>
  <si>
    <t>leht 12</t>
  </si>
  <si>
    <t>leht 15</t>
  </si>
  <si>
    <t>Leht 16</t>
  </si>
  <si>
    <t>Leht 22</t>
  </si>
  <si>
    <t>leht 45</t>
  </si>
  <si>
    <t>Leht 50</t>
  </si>
  <si>
    <t>PL10*120</t>
  </si>
  <si>
    <t>PL10*140</t>
  </si>
  <si>
    <t>PL10*100</t>
  </si>
  <si>
    <t>STEEL PART LIST CRIT_R90</t>
  </si>
  <si>
    <t>Positsioon</t>
  </si>
  <si>
    <t>Nimi</t>
  </si>
  <si>
    <t>Ristlõige</t>
  </si>
  <si>
    <t>Materjal</t>
  </si>
  <si>
    <t>L [mm]</t>
  </si>
  <si>
    <t>B [mm]</t>
  </si>
  <si>
    <t>H [mm]</t>
  </si>
  <si>
    <t>m (n) [kg]</t>
  </si>
  <si>
    <t>m-sum (n) [kg]</t>
  </si>
  <si>
    <t>m (b) [kg]</t>
  </si>
  <si>
    <t>m-sum (b) [kg]</t>
  </si>
  <si>
    <t>Värvitav ala [m2]</t>
  </si>
  <si>
    <t>Kriitiline temp</t>
  </si>
  <si>
    <t>M2</t>
  </si>
  <si>
    <t>R €/m2</t>
  </si>
  <si>
    <t>Kokku R, €</t>
  </si>
  <si>
    <t>koeff</t>
  </si>
  <si>
    <t>S355J2G3</t>
  </si>
  <si>
    <t>PL10*145.51</t>
  </si>
  <si>
    <t>PL10*145.53</t>
  </si>
  <si>
    <t>PL10*145.54</t>
  </si>
  <si>
    <t>PL10*145.67</t>
  </si>
  <si>
    <t>sBR-PL/1</t>
  </si>
  <si>
    <t>PL15*160</t>
  </si>
  <si>
    <t>sBR-PL/2</t>
  </si>
  <si>
    <t>PL10*160</t>
  </si>
  <si>
    <t>sBR-PL/3</t>
  </si>
  <si>
    <t>sBR-PL/4</t>
  </si>
  <si>
    <t>sBR-PL/5</t>
  </si>
  <si>
    <t>sBR-PL/6</t>
  </si>
  <si>
    <t>sBR-PL/7</t>
  </si>
  <si>
    <t>sBR-PL/19</t>
  </si>
  <si>
    <t>sBR-PL/20</t>
  </si>
  <si>
    <t>sBR-PL/21</t>
  </si>
  <si>
    <t>sBR-PL/22</t>
  </si>
  <si>
    <t>sBR-PL/25</t>
  </si>
  <si>
    <t>sBR-PL/1001</t>
  </si>
  <si>
    <t>sBR-PL/1002</t>
  </si>
  <si>
    <t>sBR-PL/1003</t>
  </si>
  <si>
    <t>PL5*194</t>
  </si>
  <si>
    <t>sBR-PL/1010</t>
  </si>
  <si>
    <t>sBR-PL/1026</t>
  </si>
  <si>
    <t>PL10*136.8</t>
  </si>
  <si>
    <t>PL10*136.81</t>
  </si>
  <si>
    <t>PL10*137.38</t>
  </si>
  <si>
    <t>PL10*137.48</t>
  </si>
  <si>
    <t>PL10*137.58</t>
  </si>
  <si>
    <t>PL10*137.94</t>
  </si>
  <si>
    <t>PL10*138.01</t>
  </si>
  <si>
    <t>PL10*138.32</t>
  </si>
  <si>
    <t>sBR-PL/1027</t>
  </si>
  <si>
    <t>PL10*138.59</t>
  </si>
  <si>
    <t>sBR-PR/1</t>
  </si>
  <si>
    <t>CFRHS200X100X8</t>
  </si>
  <si>
    <t>sBR-PR/2</t>
  </si>
  <si>
    <t>CFRHS100X100X5</t>
  </si>
  <si>
    <t>sBR-PR/3</t>
  </si>
  <si>
    <t>sBR-PR/4</t>
  </si>
  <si>
    <t>sBR-PR/8</t>
  </si>
  <si>
    <t>CFRHS100X100X4</t>
  </si>
  <si>
    <t>S355JR</t>
  </si>
  <si>
    <t>sBR-PR/16</t>
  </si>
  <si>
    <t>sBR-PR/18</t>
  </si>
  <si>
    <t>sBR-PR/19</t>
  </si>
  <si>
    <t>sBR-PR/28</t>
  </si>
  <si>
    <t>sBR-PR/33</t>
  </si>
  <si>
    <t>sBR-PR/42</t>
  </si>
  <si>
    <t>sBR-PR/43</t>
  </si>
  <si>
    <t>sBR-PR/48</t>
  </si>
  <si>
    <t>sF-PL/1001</t>
  </si>
  <si>
    <t>L120*8</t>
  </si>
  <si>
    <t>sF-PR/7</t>
  </si>
  <si>
    <t>sF-PR/9</t>
  </si>
  <si>
    <t>sF-PR/10</t>
  </si>
  <si>
    <t>sT-P/1001</t>
  </si>
  <si>
    <t>PL15*270</t>
  </si>
  <si>
    <t>sT-PL/1</t>
  </si>
  <si>
    <t>PL10*70</t>
  </si>
  <si>
    <t>sT-PL/2</t>
  </si>
  <si>
    <t>sT-PL/3</t>
  </si>
  <si>
    <t>sT-PL/4</t>
  </si>
  <si>
    <t>PL20*300</t>
  </si>
  <si>
    <t>sT-PL/5</t>
  </si>
  <si>
    <t>PL20*135</t>
  </si>
  <si>
    <t>sT-PL/17</t>
  </si>
  <si>
    <t>PL5*50</t>
  </si>
  <si>
    <t>sT-PL/1001</t>
  </si>
  <si>
    <t>PL5*144</t>
  </si>
  <si>
    <t>sT-PL/1002</t>
  </si>
  <si>
    <t>sT-PL/1003</t>
  </si>
  <si>
    <t>PL5*114</t>
  </si>
  <si>
    <t>sT-PL/1004</t>
  </si>
  <si>
    <t>PL5*45</t>
  </si>
  <si>
    <t>sT-PL/1005</t>
  </si>
  <si>
    <t>PL20*160</t>
  </si>
  <si>
    <t>sT-PL/1007</t>
  </si>
  <si>
    <t>sT-PL/1010</t>
  </si>
  <si>
    <t>sT-PL/1011</t>
  </si>
  <si>
    <t>PL5*150</t>
  </si>
  <si>
    <t>sT-PL/1014</t>
  </si>
  <si>
    <t>sT-PL/1017</t>
  </si>
  <si>
    <t>sT-PL/1028</t>
  </si>
  <si>
    <t>sT-PL/1030</t>
  </si>
  <si>
    <t>sT-PL/1031</t>
  </si>
  <si>
    <t>sT-PR/1</t>
  </si>
  <si>
    <t>CFRHS200X200X8</t>
  </si>
  <si>
    <t>sT-PR/3</t>
  </si>
  <si>
    <t>CFRHS80X80X4</t>
  </si>
  <si>
    <t>sT-PR/4</t>
  </si>
  <si>
    <t>sT-PR/5</t>
  </si>
  <si>
    <t>CFRHS150X150X5</t>
  </si>
  <si>
    <t>sT-PR/8</t>
  </si>
  <si>
    <t>CFRHS50X50X4</t>
  </si>
  <si>
    <t>sT-PR/9</t>
  </si>
  <si>
    <t>CFRHS120X120X5</t>
  </si>
  <si>
    <t>sT-PR/10</t>
  </si>
  <si>
    <t>CFRHS100X100X8</t>
  </si>
  <si>
    <t>sT-PR/11</t>
  </si>
  <si>
    <t>sT-PR/12</t>
  </si>
  <si>
    <t>CFRHS150X100X6</t>
  </si>
  <si>
    <t>sT-PR/13</t>
  </si>
  <si>
    <t>sT-PR/14</t>
  </si>
  <si>
    <t>sT-PR/16</t>
  </si>
  <si>
    <t>CFRHS70X70X4</t>
  </si>
  <si>
    <t>sT-PR/17</t>
  </si>
  <si>
    <t>sT-PR/18</t>
  </si>
  <si>
    <t>sT-PR/20</t>
  </si>
  <si>
    <t>sT-PR/26</t>
  </si>
  <si>
    <t>sT-PR/27</t>
  </si>
  <si>
    <t>sT-PR/36</t>
  </si>
  <si>
    <t>D12</t>
  </si>
  <si>
    <t>sT-PR/112</t>
  </si>
  <si>
    <t>sT-PR/113</t>
  </si>
  <si>
    <t>sT-PR/114</t>
  </si>
  <si>
    <t>sT-PR/115</t>
  </si>
  <si>
    <t>sT-PR/164</t>
  </si>
  <si>
    <t>sT-PR/211</t>
  </si>
  <si>
    <t>CFRHS120X120X8</t>
  </si>
  <si>
    <t>sT-PR/212</t>
  </si>
  <si>
    <t>sT-PR/214</t>
  </si>
  <si>
    <t>sT-PR/216</t>
  </si>
  <si>
    <t>sT-PR/219</t>
  </si>
  <si>
    <t>€/m2</t>
  </si>
  <si>
    <t>TOTAL:</t>
  </si>
  <si>
    <t>%</t>
  </si>
  <si>
    <t>C4H</t>
  </si>
  <si>
    <t>Transpordi kkoeff</t>
  </si>
  <si>
    <t>1.1</t>
  </si>
  <si>
    <t>1.2</t>
  </si>
  <si>
    <t>Leht 5</t>
  </si>
  <si>
    <t>1.3</t>
  </si>
  <si>
    <t>Deltataladele</t>
  </si>
  <si>
    <t>Nokia, Soome</t>
  </si>
  <si>
    <t>Postid - 22x2,4x2,6 m</t>
  </si>
  <si>
    <t>190 km Helsinkist</t>
  </si>
  <si>
    <t>Tuletõke</t>
  </si>
  <si>
    <t>profiil</t>
  </si>
  <si>
    <t>kgm</t>
  </si>
  <si>
    <t>m2m</t>
  </si>
  <si>
    <t>h</t>
  </si>
  <si>
    <t>id</t>
  </si>
  <si>
    <t>std</t>
  </si>
  <si>
    <t>Leht 8</t>
  </si>
  <si>
    <t>Erivedu - Fermid -
20x2,4x2,6</t>
  </si>
  <si>
    <t>Leht 12</t>
  </si>
  <si>
    <t>5</t>
  </si>
  <si>
    <t>6</t>
  </si>
  <si>
    <t>7</t>
  </si>
  <si>
    <t>8</t>
  </si>
  <si>
    <t>9</t>
  </si>
  <si>
    <t>wq</t>
  </si>
  <si>
    <t>otsaplaat</t>
  </si>
  <si>
    <t>CFRHS200x200x12.5</t>
  </si>
  <si>
    <t>HEA100</t>
  </si>
  <si>
    <t>CFRHS200x200x10</t>
  </si>
  <si>
    <t>CFRHS120x80x6</t>
  </si>
  <si>
    <t>CFRHS400x200x10</t>
  </si>
  <si>
    <t>Postid (ei sisalda Weldat)</t>
  </si>
  <si>
    <t>WQ talad</t>
  </si>
  <si>
    <t>Talad</t>
  </si>
  <si>
    <t>Talad (ei sisalda Weldat)</t>
  </si>
  <si>
    <t>Süsteem</t>
  </si>
  <si>
    <t>muuda vajadusel</t>
  </si>
  <si>
    <t>1 kihi R-materiali maksumus, €/m2</t>
  </si>
  <si>
    <t>töö maksumus, €/m2</t>
  </si>
  <si>
    <t>1 kiht, mkm</t>
  </si>
  <si>
    <t>Pinnavärv (X mkm), eur/m2</t>
  </si>
  <si>
    <t>Kasum</t>
  </si>
  <si>
    <t>Profiili</t>
  </si>
  <si>
    <t>A.surf tot, m2</t>
  </si>
  <si>
    <t>mkm</t>
  </si>
  <si>
    <t>kihide arv, tk</t>
  </si>
  <si>
    <t>meteriali maksumus, €/m2</t>
  </si>
  <si>
    <t>pinnavärvi maksumus, €/m2</t>
  </si>
  <si>
    <t>R (töö+material) + pinnavärv + kasum, €/m2</t>
  </si>
  <si>
    <t>Hind kokku, €</t>
  </si>
  <si>
    <t>Hind kokku kasumiga, €</t>
  </si>
  <si>
    <t>töö maksumus, €</t>
  </si>
  <si>
    <t>meteriali maksumus, €</t>
  </si>
  <si>
    <t>pinnavärvi maksumus, €</t>
  </si>
  <si>
    <t>FX2007</t>
  </si>
  <si>
    <t>R60</t>
  </si>
  <si>
    <t>eur/kg</t>
  </si>
  <si>
    <t>F-1</t>
  </si>
  <si>
    <t>üv</t>
  </si>
  <si>
    <t>1.4</t>
  </si>
  <si>
    <t>1.5</t>
  </si>
  <si>
    <t>kinnitus</t>
  </si>
  <si>
    <t>tugi</t>
  </si>
  <si>
    <t>HEA260</t>
  </si>
  <si>
    <t>CFRHS180x180x8</t>
  </si>
  <si>
    <t>WI columns</t>
  </si>
  <si>
    <t>Leht 70</t>
  </si>
  <si>
    <t>29. Plasmalõikus [h]</t>
  </si>
  <si>
    <t>Leht 60</t>
  </si>
  <si>
    <t>T70</t>
  </si>
  <si>
    <t>L150x15</t>
  </si>
  <si>
    <t>P3 ümardamine</t>
  </si>
  <si>
    <t>-&gt;P3</t>
  </si>
  <si>
    <t>Name</t>
  </si>
  <si>
    <t>Surface</t>
  </si>
  <si>
    <t>Amount</t>
  </si>
  <si>
    <t>Unit</t>
  </si>
  <si>
    <t>Price, €</t>
  </si>
  <si>
    <t>Unit price</t>
  </si>
  <si>
    <t>Steel constructions manufacturing</t>
  </si>
  <si>
    <t>IPE550</t>
  </si>
  <si>
    <t>HEA320</t>
  </si>
  <si>
    <t>HEA340</t>
  </si>
  <si>
    <t>T120</t>
  </si>
  <si>
    <t>T140</t>
  </si>
  <si>
    <t>CFRHS100x100x3</t>
  </si>
  <si>
    <t>CFRHS100x80x3</t>
  </si>
  <si>
    <t>L100x10</t>
  </si>
  <si>
    <t>L200x100x10</t>
  </si>
  <si>
    <t>WI600-10x10-200</t>
  </si>
  <si>
    <t>ribid</t>
  </si>
  <si>
    <t>side-tala</t>
  </si>
  <si>
    <t>WI600-10x15-250</t>
  </si>
  <si>
    <t>WI beams</t>
  </si>
  <si>
    <t>WI800-8x20-300</t>
  </si>
  <si>
    <t>WI1000-15x30-400</t>
  </si>
  <si>
    <t>WI1300-15x40-400</t>
  </si>
  <si>
    <t>Beams</t>
  </si>
  <si>
    <t>P3 -&gt;</t>
  </si>
  <si>
    <t>Montaazplaadid</t>
  </si>
  <si>
    <t>WI350-25x35-250</t>
  </si>
  <si>
    <t>Bracinggs horis.</t>
  </si>
  <si>
    <t>CFRHS100x100x4</t>
  </si>
  <si>
    <t>CFRHS120x120x4</t>
  </si>
  <si>
    <t>CFRHS150x150x5</t>
  </si>
  <si>
    <t>CFRHS160x160x8</t>
  </si>
  <si>
    <t>CFRHS200x200x6</t>
  </si>
  <si>
    <t>CFRHS200x200x8</t>
  </si>
  <si>
    <t>CFRHS250x250x8</t>
  </si>
  <si>
    <t>CFRHS300x300x10</t>
  </si>
  <si>
    <t>Bracinggs (horis.+vert.)</t>
  </si>
  <si>
    <t>Bracinggs vert.</t>
  </si>
  <si>
    <t>T-profiili asemel</t>
  </si>
  <si>
    <t xml:space="preserve">Frame </t>
  </si>
  <si>
    <t>0</t>
  </si>
  <si>
    <t>160 x 8200</t>
  </si>
  <si>
    <t>160 x 7850</t>
  </si>
  <si>
    <t>0,156303954892616</t>
  </si>
  <si>
    <t>160 x 7830</t>
  </si>
  <si>
    <t>0 x 4900</t>
  </si>
  <si>
    <t>0 x 2545</t>
  </si>
  <si>
    <t>0 x 4250</t>
  </si>
  <si>
    <t>0 x 5640</t>
  </si>
  <si>
    <t>0 x 3740</t>
  </si>
  <si>
    <t>0 x 0</t>
  </si>
  <si>
    <t>1.6</t>
  </si>
  <si>
    <t>CFJ 100</t>
  </si>
  <si>
    <t>Leht 3</t>
  </si>
  <si>
    <t>C3VH</t>
  </si>
  <si>
    <t>WI800-35x35-600</t>
  </si>
  <si>
    <t>"ankur"</t>
  </si>
  <si>
    <t>POSTID  - JALAD</t>
  </si>
  <si>
    <t>NURGAPOSTID</t>
  </si>
  <si>
    <t>shim</t>
  </si>
  <si>
    <t>IPE240</t>
  </si>
  <si>
    <t>HEA200</t>
  </si>
  <si>
    <t>HEA240</t>
  </si>
  <si>
    <t>CFRHS200x200x5</t>
  </si>
  <si>
    <t>CFRHS100x40x3</t>
  </si>
  <si>
    <t>CFRHS150x50x3</t>
  </si>
  <si>
    <t>CFRHS150x100x3</t>
  </si>
  <si>
    <t>CFRHS200x100x5</t>
  </si>
  <si>
    <t>10</t>
  </si>
  <si>
    <t>11</t>
  </si>
  <si>
    <t>12</t>
  </si>
  <si>
    <t>13</t>
  </si>
  <si>
    <t>seib</t>
  </si>
  <si>
    <t>WI600-10x10-210</t>
  </si>
  <si>
    <t>POSTID</t>
  </si>
  <si>
    <t>tala</t>
  </si>
  <si>
    <t>side</t>
  </si>
  <si>
    <t>30. Puhastamine-Nüristamine [h]</t>
  </si>
  <si>
    <t>WI800-30x20-300</t>
  </si>
  <si>
    <t>14</t>
  </si>
  <si>
    <t>15</t>
  </si>
  <si>
    <t>16</t>
  </si>
  <si>
    <t>Parapett</t>
  </si>
  <si>
    <t>joonis 25019443-ICC250-0600-0660-001333</t>
  </si>
  <si>
    <t>montaaz</t>
  </si>
  <si>
    <t>UNP260</t>
  </si>
  <si>
    <t>UPE200</t>
  </si>
  <si>
    <t>CFRHS120x120x5</t>
  </si>
  <si>
    <t>CFRHS140x140x5</t>
  </si>
  <si>
    <t>CFRHS160x160x6</t>
  </si>
  <si>
    <t>CFRHS100x50x5</t>
  </si>
  <si>
    <t>CFRHS250x150x5</t>
  </si>
  <si>
    <t>Leht 4</t>
  </si>
  <si>
    <t>Leht 6</t>
  </si>
  <si>
    <t>tõus</t>
  </si>
  <si>
    <t>CFJ parts (delivered separatly)</t>
  </si>
  <si>
    <t>Kinnitussõlm</t>
  </si>
  <si>
    <t>EN 10055</t>
  </si>
  <si>
    <t>021-014</t>
  </si>
  <si>
    <t>T185</t>
  </si>
  <si>
    <t>montaazplaadid (WI postide ja sidemete hulga sees)</t>
  </si>
  <si>
    <t>Erection plates and support plate SIDEMETELE</t>
  </si>
  <si>
    <t>1.7</t>
  </si>
  <si>
    <t>Erection plates and support plates</t>
  </si>
  <si>
    <t>HK11257-</t>
  </si>
  <si>
    <t>Seib postidele</t>
  </si>
  <si>
    <t>-</t>
  </si>
  <si>
    <t>Mudelist maht, kg</t>
  </si>
  <si>
    <t>2.</t>
  </si>
  <si>
    <t>set</t>
  </si>
  <si>
    <t>kg total</t>
  </si>
  <si>
    <t>transpordi kontroll</t>
  </si>
  <si>
    <t>koorem 1 vedu, kg</t>
  </si>
  <si>
    <t>ühikhind, eur/kg</t>
  </si>
  <si>
    <t>160 x 11420</t>
  </si>
  <si>
    <t>0,134870271522558</t>
  </si>
  <si>
    <t>160 x 12742</t>
  </si>
  <si>
    <t>3,82928124821539E-02</t>
  </si>
  <si>
    <t>160 x 7120</t>
  </si>
  <si>
    <t>3,17410119341861E-02</t>
  </si>
  <si>
    <t>160 x 13300</t>
  </si>
  <si>
    <t>0,198890353943171</t>
  </si>
  <si>
    <t>160 x 5200</t>
  </si>
  <si>
    <t>0,449697923709355</t>
  </si>
  <si>
    <t>3,84303414626144E-02</t>
  </si>
  <si>
    <t>160 x 200</t>
  </si>
  <si>
    <t>0,155734969342565</t>
  </si>
  <si>
    <t>0,168140347641809</t>
  </si>
  <si>
    <t>0 x 3650</t>
  </si>
  <si>
    <t>0 x 3890</t>
  </si>
  <si>
    <t>0 x 2500</t>
  </si>
  <si>
    <t>0 x 3830</t>
  </si>
  <si>
    <t>0 x 2600</t>
  </si>
  <si>
    <t>0 x 9500</t>
  </si>
  <si>
    <t>160 x 0</t>
  </si>
  <si>
    <t>1,78001323228678</t>
  </si>
  <si>
    <t>0,838846371882086</t>
  </si>
  <si>
    <t>160 x 530</t>
  </si>
  <si>
    <t>1008,1923949115</t>
  </si>
  <si>
    <t>160 x 535</t>
  </si>
  <si>
    <t>Var. 1</t>
  </si>
  <si>
    <t>total teras, eur</t>
  </si>
  <si>
    <t>kg juurde</t>
  </si>
  <si>
    <t>C3.07</t>
  </si>
  <si>
    <t>UUS</t>
  </si>
  <si>
    <t>No.</t>
  </si>
  <si>
    <r>
      <t xml:space="preserve">Transport:
</t>
    </r>
    <r>
      <rPr>
        <sz val="12"/>
        <color rgb="FF3F3F3F"/>
        <rFont val="Times New Roman"/>
        <family val="1"/>
      </rPr>
      <t>- 10 pcs standard truck 2,4x2,6x13,5 m;
- 1 pcs special truck 2,4x2,6x20 m.</t>
    </r>
  </si>
  <si>
    <t>Bracings (horis.+vert.)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</si>
</sst>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4" formatCode="_-* #,##0.00\ &quot;€&quot;_-;\-* #,##0.00\ &quot;€&quot;_-;_-* &quot;-&quot;??\ &quot;€&quot;_-;_-@_-"/>
    <numFmt numFmtId="164" formatCode="d\-mmm"/>
    <numFmt numFmtId="165" formatCode="d\-mmm\-yy"/>
    <numFmt numFmtId="166" formatCode="0.0"/>
    <numFmt numFmtId="167" formatCode="0.000"/>
    <numFmt numFmtId="168" formatCode="0.0000"/>
    <numFmt numFmtId="169" formatCode="#,##0\ &quot;€&quot;"/>
    <numFmt numFmtId="170" formatCode="#,##0.00\ &quot;€&quot;"/>
    <numFmt numFmtId="171" formatCode="0.0%"/>
  </numFmts>
  <fonts count="51" x14ac:knownFonts="1">
    <font>
      <sz val="11"/>
      <color theme="1"/>
      <name val="Calibri"/>
      <family val="2"/>
      <charset val="186"/>
      <scheme val="minor"/>
    </font>
    <font>
      <sz val="12"/>
      <name val="Times New Roman"/>
      <family val="1"/>
      <charset val="186"/>
    </font>
    <font>
      <sz val="12"/>
      <name val="Calibri"/>
      <family val="2"/>
      <charset val="186"/>
    </font>
    <font>
      <b/>
      <sz val="12"/>
      <name val="Calibri"/>
      <family val="2"/>
      <charset val="186"/>
    </font>
    <font>
      <sz val="12"/>
      <name val="Calibri"/>
      <family val="2"/>
      <charset val="186"/>
    </font>
    <font>
      <b/>
      <sz val="14"/>
      <name val="Calibri"/>
      <family val="2"/>
      <charset val="186"/>
    </font>
    <font>
      <sz val="10"/>
      <name val="Calibri"/>
      <family val="2"/>
      <charset val="186"/>
    </font>
    <font>
      <b/>
      <sz val="12"/>
      <color indexed="9"/>
      <name val="Calibri"/>
      <family val="2"/>
      <charset val="186"/>
    </font>
    <font>
      <sz val="12"/>
      <color indexed="9"/>
      <name val="Calibri"/>
      <family val="2"/>
      <charset val="186"/>
    </font>
    <font>
      <sz val="14"/>
      <name val="Calibri"/>
      <family val="2"/>
      <charset val="186"/>
    </font>
    <font>
      <sz val="8"/>
      <name val="Calibri"/>
      <family val="2"/>
      <charset val="186"/>
    </font>
    <font>
      <b/>
      <sz val="11"/>
      <color theme="1"/>
      <name val="Calibri"/>
      <family val="2"/>
      <charset val="186"/>
      <scheme val="minor"/>
    </font>
    <font>
      <b/>
      <sz val="12"/>
      <name val="Times New Roman"/>
      <family val="1"/>
      <charset val="186"/>
    </font>
    <font>
      <b/>
      <sz val="10"/>
      <name val="Times New Roman"/>
      <family val="1"/>
    </font>
    <font>
      <sz val="10"/>
      <name val="Arial"/>
      <family val="2"/>
      <charset val="186"/>
    </font>
    <font>
      <sz val="11"/>
      <color theme="1"/>
      <name val="Calibri"/>
      <family val="2"/>
      <charset val="186"/>
      <scheme val="minor"/>
    </font>
    <font>
      <sz val="11"/>
      <color rgb="FFFF0000"/>
      <name val="Calibri"/>
      <family val="2"/>
      <charset val="186"/>
      <scheme val="minor"/>
    </font>
    <font>
      <sz val="8"/>
      <name val="Calibri"/>
      <family val="2"/>
      <charset val="186"/>
      <scheme val="minor"/>
    </font>
    <font>
      <b/>
      <sz val="12"/>
      <color theme="1"/>
      <name val="Times New Roman"/>
      <family val="1"/>
      <charset val="186"/>
    </font>
    <font>
      <b/>
      <sz val="11"/>
      <color theme="0"/>
      <name val="Calibri"/>
      <family val="2"/>
      <charset val="186"/>
      <scheme val="minor"/>
    </font>
    <font>
      <b/>
      <sz val="11"/>
      <color rgb="FF3F3F3F"/>
      <name val="Calibri"/>
      <family val="2"/>
      <charset val="186"/>
      <scheme val="minor"/>
    </font>
    <font>
      <b/>
      <sz val="12"/>
      <color rgb="FF3F3F3F"/>
      <name val="Times New Roman"/>
      <family val="1"/>
      <charset val="186"/>
    </font>
    <font>
      <b/>
      <sz val="20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1"/>
      <name val="Times New Roman"/>
      <family val="1"/>
    </font>
    <font>
      <sz val="12"/>
      <color rgb="FF3F3F3F"/>
      <name val="Times New Roman"/>
      <family val="1"/>
    </font>
    <font>
      <b/>
      <sz val="11"/>
      <name val="Times New Roman"/>
      <family val="1"/>
    </font>
    <font>
      <sz val="11"/>
      <color theme="1"/>
      <name val="Times New Roman"/>
      <family val="1"/>
    </font>
    <font>
      <sz val="11"/>
      <name val="Times New Roman"/>
      <family val="1"/>
    </font>
    <font>
      <b/>
      <sz val="11"/>
      <color rgb="FFFF0000"/>
      <name val="Times New Roman"/>
      <family val="1"/>
    </font>
    <font>
      <sz val="11"/>
      <color rgb="FFFF0000"/>
      <name val="Times New Roman"/>
      <family val="1"/>
    </font>
    <font>
      <sz val="10"/>
      <name val="Arial"/>
      <family val="2"/>
    </font>
    <font>
      <b/>
      <sz val="12"/>
      <color rgb="FFFF0000"/>
      <name val="Calibri"/>
      <family val="2"/>
      <scheme val="minor"/>
    </font>
    <font>
      <b/>
      <sz val="12"/>
      <color rgb="FFFF0000"/>
      <name val="Calibri"/>
      <family val="2"/>
      <charset val="186"/>
      <scheme val="minor"/>
    </font>
    <font>
      <b/>
      <sz val="12"/>
      <name val="Calibri"/>
      <family val="2"/>
      <charset val="186"/>
      <scheme val="minor"/>
    </font>
    <font>
      <sz val="12"/>
      <name val="Calibri"/>
      <family val="2"/>
      <charset val="186"/>
      <scheme val="minor"/>
    </font>
    <font>
      <sz val="12"/>
      <color theme="1"/>
      <name val="Calibri"/>
      <family val="2"/>
      <charset val="186"/>
      <scheme val="minor"/>
    </font>
    <font>
      <b/>
      <sz val="12"/>
      <color theme="1"/>
      <name val="Calibri"/>
      <family val="2"/>
      <charset val="186"/>
      <scheme val="minor"/>
    </font>
    <font>
      <sz val="10"/>
      <color rgb="FF000000"/>
      <name val="Arial"/>
      <family val="2"/>
    </font>
    <font>
      <sz val="12"/>
      <color rgb="FF3F3F3F"/>
      <name val="Times New Roman"/>
      <family val="1"/>
      <charset val="204"/>
    </font>
    <font>
      <sz val="12"/>
      <name val="Times New Roman"/>
      <family val="1"/>
    </font>
    <font>
      <b/>
      <sz val="12"/>
      <name val="Times New Roman"/>
      <family val="1"/>
    </font>
    <font>
      <sz val="11"/>
      <color theme="5" tint="0.79998168889431442"/>
      <name val="Calibri"/>
      <family val="2"/>
      <charset val="186"/>
      <scheme val="minor"/>
    </font>
    <font>
      <sz val="11"/>
      <color rgb="FF000000"/>
      <name val="Arial"/>
      <family val="2"/>
    </font>
    <font>
      <b/>
      <sz val="11"/>
      <color rgb="FFFF0000"/>
      <name val="Calibri"/>
      <family val="2"/>
      <scheme val="minor"/>
    </font>
    <font>
      <b/>
      <sz val="10"/>
      <name val="Arial"/>
      <family val="2"/>
    </font>
    <font>
      <sz val="11"/>
      <name val="Arial Narrow"/>
      <family val="2"/>
      <charset val="204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name val="Calibri"/>
      <family val="2"/>
      <charset val="186"/>
      <scheme val="minor"/>
    </font>
  </fonts>
  <fills count="3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A5A5A5"/>
      </patternFill>
    </fill>
    <fill>
      <patternFill patternType="solid">
        <fgColor rgb="FFF2F2F2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BFBFB"/>
        <bgColor indexed="64"/>
      </patternFill>
    </fill>
    <fill>
      <patternFill patternType="solid">
        <fgColor rgb="FF05BEFF"/>
        <bgColor indexed="64"/>
      </patternFill>
    </fill>
    <fill>
      <patternFill patternType="solid">
        <fgColor rgb="FFFFCD2F"/>
        <bgColor indexed="64"/>
      </patternFill>
    </fill>
    <fill>
      <patternFill patternType="solid">
        <fgColor rgb="FFFFD757"/>
        <bgColor indexed="64"/>
      </patternFill>
    </fill>
    <fill>
      <patternFill patternType="solid">
        <fgColor rgb="FFFFE79B"/>
        <bgColor indexed="64"/>
      </patternFill>
    </fill>
    <fill>
      <patternFill patternType="solid">
        <fgColor rgb="FFEEB5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2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/>
      <top style="double">
        <color rgb="FF3F3F3F"/>
      </top>
      <bottom style="double">
        <color rgb="FF3F3F3F"/>
      </bottom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/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8">
    <xf numFmtId="0" fontId="0" fillId="0" borderId="0"/>
    <xf numFmtId="0" fontId="1" fillId="0" borderId="0"/>
    <xf numFmtId="0" fontId="14" fillId="0" borderId="0"/>
    <xf numFmtId="44" fontId="14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9" fillId="9" borderId="21" applyNumberFormat="0" applyAlignment="0" applyProtection="0"/>
    <xf numFmtId="0" fontId="20" fillId="10" borderId="22" applyNumberFormat="0" applyAlignment="0" applyProtection="0"/>
    <xf numFmtId="0" fontId="32" fillId="0" borderId="0"/>
  </cellStyleXfs>
  <cellXfs count="475">
    <xf numFmtId="0" fontId="0" fillId="0" borderId="0" xfId="0"/>
    <xf numFmtId="1" fontId="6" fillId="0" borderId="1" xfId="1" applyNumberFormat="1" applyFont="1" applyBorder="1" applyAlignment="1">
      <alignment horizontal="center" vertical="center" wrapText="1"/>
    </xf>
    <xf numFmtId="0" fontId="6" fillId="0" borderId="1" xfId="1" applyFont="1" applyBorder="1" applyAlignment="1">
      <alignment horizontal="center" vertical="center" wrapText="1"/>
    </xf>
    <xf numFmtId="1" fontId="4" fillId="0" borderId="0" xfId="1" applyNumberFormat="1" applyFont="1" applyAlignment="1" applyProtection="1">
      <alignment horizontal="center"/>
      <protection locked="0"/>
    </xf>
    <xf numFmtId="49" fontId="4" fillId="0" borderId="0" xfId="1" applyNumberFormat="1" applyFont="1" applyAlignment="1" applyProtection="1">
      <alignment horizontal="right"/>
      <protection locked="0"/>
    </xf>
    <xf numFmtId="0" fontId="4" fillId="0" borderId="0" xfId="1" applyFont="1" applyProtection="1">
      <protection locked="0"/>
    </xf>
    <xf numFmtId="1" fontId="4" fillId="0" borderId="0" xfId="1" applyNumberFormat="1" applyFont="1" applyAlignment="1" applyProtection="1">
      <alignment horizontal="right"/>
      <protection locked="0"/>
    </xf>
    <xf numFmtId="0" fontId="4" fillId="0" borderId="0" xfId="1" applyFont="1"/>
    <xf numFmtId="0" fontId="4" fillId="0" borderId="0" xfId="1" applyFont="1" applyAlignment="1" applyProtection="1">
      <alignment horizontal="right"/>
      <protection locked="0"/>
    </xf>
    <xf numFmtId="0" fontId="5" fillId="0" borderId="0" xfId="1" applyFont="1" applyAlignment="1">
      <alignment horizontal="left" vertical="center"/>
    </xf>
    <xf numFmtId="0" fontId="5" fillId="0" borderId="0" xfId="1" applyFont="1" applyAlignment="1">
      <alignment horizontal="right" vertical="center"/>
    </xf>
    <xf numFmtId="0" fontId="5" fillId="0" borderId="0" xfId="1" applyFont="1" applyAlignment="1">
      <alignment horizontal="center" vertical="center"/>
    </xf>
    <xf numFmtId="0" fontId="4" fillId="0" borderId="0" xfId="1" applyFont="1" applyAlignment="1" applyProtection="1">
      <alignment horizontal="center"/>
      <protection locked="0"/>
    </xf>
    <xf numFmtId="0" fontId="4" fillId="0" borderId="0" xfId="1" applyFont="1" applyAlignment="1" applyProtection="1">
      <alignment horizontal="left"/>
      <protection locked="0"/>
    </xf>
    <xf numFmtId="2" fontId="4" fillId="0" borderId="0" xfId="1" applyNumberFormat="1" applyFont="1" applyAlignment="1" applyProtection="1">
      <alignment horizontal="center"/>
      <protection locked="0"/>
    </xf>
    <xf numFmtId="0" fontId="4" fillId="0" borderId="0" xfId="1" applyFont="1" applyAlignment="1">
      <alignment horizontal="center"/>
    </xf>
    <xf numFmtId="0" fontId="4" fillId="0" borderId="0" xfId="1" applyFont="1" applyAlignment="1">
      <alignment horizontal="left"/>
    </xf>
    <xf numFmtId="0" fontId="6" fillId="0" borderId="1" xfId="1" applyFont="1" applyBorder="1" applyAlignment="1">
      <alignment horizontal="right" vertical="top"/>
    </xf>
    <xf numFmtId="0" fontId="11" fillId="0" borderId="0" xfId="0" applyFont="1"/>
    <xf numFmtId="2" fontId="0" fillId="0" borderId="0" xfId="0" applyNumberFormat="1"/>
    <xf numFmtId="1" fontId="0" fillId="0" borderId="0" xfId="0" applyNumberFormat="1"/>
    <xf numFmtId="49" fontId="0" fillId="0" borderId="0" xfId="0" applyNumberFormat="1"/>
    <xf numFmtId="166" fontId="0" fillId="0" borderId="0" xfId="0" applyNumberFormat="1"/>
    <xf numFmtId="167" fontId="0" fillId="0" borderId="0" xfId="0" applyNumberFormat="1"/>
    <xf numFmtId="1" fontId="7" fillId="0" borderId="0" xfId="1" applyNumberFormat="1" applyFont="1" applyAlignment="1" applyProtection="1">
      <alignment horizontal="center" wrapText="1"/>
      <protection locked="0"/>
    </xf>
    <xf numFmtId="0" fontId="2" fillId="0" borderId="0" xfId="1" applyFont="1"/>
    <xf numFmtId="0" fontId="0" fillId="0" borderId="1" xfId="0" applyBorder="1"/>
    <xf numFmtId="2" fontId="6" fillId="0" borderId="9" xfId="1" applyNumberFormat="1" applyFont="1" applyBorder="1" applyAlignment="1">
      <alignment horizontal="center" vertical="center"/>
    </xf>
    <xf numFmtId="0" fontId="2" fillId="4" borderId="0" xfId="1" applyFont="1" applyFill="1"/>
    <xf numFmtId="0" fontId="0" fillId="0" borderId="12" xfId="0" applyBorder="1"/>
    <xf numFmtId="0" fontId="16" fillId="0" borderId="0" xfId="0" applyFont="1"/>
    <xf numFmtId="0" fontId="19" fillId="9" borderId="23" xfId="5" applyBorder="1"/>
    <xf numFmtId="0" fontId="0" fillId="0" borderId="27" xfId="0" applyBorder="1" applyAlignment="1">
      <alignment horizontal="left" vertical="center" wrapText="1"/>
    </xf>
    <xf numFmtId="0" fontId="0" fillId="0" borderId="28" xfId="0" applyBorder="1" applyAlignment="1">
      <alignment horizontal="left" vertical="center" wrapText="1"/>
    </xf>
    <xf numFmtId="0" fontId="0" fillId="0" borderId="28" xfId="0" applyBorder="1" applyAlignment="1">
      <alignment horizontal="center" vertical="center" wrapText="1"/>
    </xf>
    <xf numFmtId="0" fontId="0" fillId="0" borderId="29" xfId="0" applyBorder="1" applyAlignment="1">
      <alignment horizontal="center" vertical="center" wrapText="1"/>
    </xf>
    <xf numFmtId="0" fontId="23" fillId="0" borderId="29" xfId="0" applyFont="1" applyBorder="1" applyAlignment="1">
      <alignment horizontal="center" vertical="center" wrapText="1"/>
    </xf>
    <xf numFmtId="0" fontId="0" fillId="0" borderId="30" xfId="0" applyBorder="1" applyAlignment="1">
      <alignment horizontal="left" vertical="center" wrapText="1"/>
    </xf>
    <xf numFmtId="0" fontId="0" fillId="0" borderId="31" xfId="0" applyBorder="1" applyAlignment="1">
      <alignment horizontal="left" vertical="center" wrapText="1"/>
    </xf>
    <xf numFmtId="0" fontId="0" fillId="0" borderId="31" xfId="0" applyBorder="1" applyAlignment="1">
      <alignment horizontal="center" vertical="center" wrapText="1"/>
    </xf>
    <xf numFmtId="0" fontId="24" fillId="0" borderId="31" xfId="0" applyFont="1" applyBorder="1" applyAlignment="1">
      <alignment horizontal="center" vertical="center" wrapText="1"/>
    </xf>
    <xf numFmtId="0" fontId="0" fillId="0" borderId="32" xfId="0" applyBorder="1" applyAlignment="1">
      <alignment horizontal="center" vertical="center" wrapText="1"/>
    </xf>
    <xf numFmtId="0" fontId="0" fillId="0" borderId="27" xfId="0" applyBorder="1" applyAlignment="1">
      <alignment vertical="center" wrapText="1"/>
    </xf>
    <xf numFmtId="0" fontId="0" fillId="0" borderId="28" xfId="0" applyBorder="1" applyAlignment="1">
      <alignment vertical="center" wrapText="1"/>
    </xf>
    <xf numFmtId="0" fontId="0" fillId="0" borderId="31" xfId="0" applyBorder="1" applyAlignment="1">
      <alignment vertical="center" wrapText="1"/>
    </xf>
    <xf numFmtId="0" fontId="0" fillId="0" borderId="0" xfId="0" applyAlignment="1">
      <alignment horizontal="center" vertical="center" wrapText="1"/>
    </xf>
    <xf numFmtId="0" fontId="11" fillId="0" borderId="0" xfId="0" applyFont="1" applyAlignment="1">
      <alignment horizontal="right" vertical="center" wrapText="1"/>
    </xf>
    <xf numFmtId="0" fontId="11" fillId="0" borderId="0" xfId="0" applyFont="1" applyAlignment="1">
      <alignment horizontal="right" vertical="center"/>
    </xf>
    <xf numFmtId="2" fontId="11" fillId="0" borderId="0" xfId="0" applyNumberFormat="1" applyFont="1" applyAlignment="1">
      <alignment horizontal="right"/>
    </xf>
    <xf numFmtId="0" fontId="24" fillId="0" borderId="0" xfId="0" applyFont="1"/>
    <xf numFmtId="0" fontId="28" fillId="0" borderId="0" xfId="0" applyFont="1" applyAlignment="1">
      <alignment horizontal="center"/>
    </xf>
    <xf numFmtId="0" fontId="28" fillId="3" borderId="0" xfId="0" applyFont="1" applyFill="1" applyAlignment="1">
      <alignment horizontal="center" vertical="center" textRotation="90" wrapText="1"/>
    </xf>
    <xf numFmtId="1" fontId="28" fillId="0" borderId="0" xfId="0" applyNumberFormat="1" applyFont="1"/>
    <xf numFmtId="167" fontId="28" fillId="0" borderId="0" xfId="0" applyNumberFormat="1" applyFont="1" applyAlignment="1">
      <alignment horizontal="center"/>
    </xf>
    <xf numFmtId="0" fontId="28" fillId="0" borderId="0" xfId="0" applyFont="1"/>
    <xf numFmtId="0" fontId="28" fillId="7" borderId="0" xfId="0" applyFont="1" applyFill="1" applyAlignment="1">
      <alignment horizontal="center"/>
    </xf>
    <xf numFmtId="0" fontId="28" fillId="3" borderId="0" xfId="0" applyFont="1" applyFill="1" applyAlignment="1">
      <alignment horizontal="center"/>
    </xf>
    <xf numFmtId="167" fontId="28" fillId="0" borderId="0" xfId="0" applyNumberFormat="1" applyFont="1"/>
    <xf numFmtId="3" fontId="28" fillId="3" borderId="0" xfId="0" applyNumberFormat="1" applyFont="1" applyFill="1" applyAlignment="1">
      <alignment horizontal="center"/>
    </xf>
    <xf numFmtId="0" fontId="28" fillId="21" borderId="0" xfId="0" applyFont="1" applyFill="1" applyAlignment="1">
      <alignment horizontal="center"/>
    </xf>
    <xf numFmtId="166" fontId="28" fillId="0" borderId="0" xfId="0" applyNumberFormat="1" applyFont="1" applyAlignment="1">
      <alignment horizontal="center"/>
    </xf>
    <xf numFmtId="2" fontId="28" fillId="0" borderId="0" xfId="0" applyNumberFormat="1" applyFont="1" applyAlignment="1">
      <alignment horizontal="center"/>
    </xf>
    <xf numFmtId="166" fontId="28" fillId="0" borderId="0" xfId="0" applyNumberFormat="1" applyFont="1"/>
    <xf numFmtId="2" fontId="28" fillId="4" borderId="0" xfId="0" applyNumberFormat="1" applyFont="1" applyFill="1" applyAlignment="1">
      <alignment horizontal="center"/>
    </xf>
    <xf numFmtId="0" fontId="28" fillId="2" borderId="0" xfId="0" applyFont="1" applyFill="1" applyAlignment="1">
      <alignment horizontal="center"/>
    </xf>
    <xf numFmtId="2" fontId="28" fillId="0" borderId="0" xfId="0" applyNumberFormat="1" applyFont="1"/>
    <xf numFmtId="1" fontId="28" fillId="0" borderId="0" xfId="0" applyNumberFormat="1" applyFont="1" applyAlignment="1">
      <alignment horizontal="center"/>
    </xf>
    <xf numFmtId="166" fontId="28" fillId="2" borderId="14" xfId="0" applyNumberFormat="1" applyFont="1" applyFill="1" applyBorder="1"/>
    <xf numFmtId="3" fontId="28" fillId="2" borderId="14" xfId="0" applyNumberFormat="1" applyFont="1" applyFill="1" applyBorder="1"/>
    <xf numFmtId="0" fontId="28" fillId="8" borderId="0" xfId="0" applyFont="1" applyFill="1" applyAlignment="1">
      <alignment horizontal="center"/>
    </xf>
    <xf numFmtId="166" fontId="28" fillId="23" borderId="0" xfId="0" applyNumberFormat="1" applyFont="1" applyFill="1" applyAlignment="1">
      <alignment horizontal="center"/>
    </xf>
    <xf numFmtId="1" fontId="27" fillId="0" borderId="0" xfId="1" applyNumberFormat="1" applyFont="1" applyAlignment="1" applyProtection="1">
      <alignment horizontal="center" wrapText="1"/>
      <protection locked="0"/>
    </xf>
    <xf numFmtId="0" fontId="29" fillId="0" borderId="0" xfId="1" applyFont="1" applyAlignment="1">
      <alignment horizontal="center"/>
    </xf>
    <xf numFmtId="49" fontId="29" fillId="0" borderId="0" xfId="1" applyNumberFormat="1" applyFont="1" applyProtection="1">
      <protection locked="0"/>
    </xf>
    <xf numFmtId="0" fontId="27" fillId="0" borderId="0" xfId="1" applyFont="1" applyAlignment="1">
      <alignment horizontal="right" vertical="center"/>
    </xf>
    <xf numFmtId="0" fontId="27" fillId="0" borderId="0" xfId="1" applyFont="1" applyAlignment="1">
      <alignment horizontal="center" vertical="center"/>
    </xf>
    <xf numFmtId="0" fontId="27" fillId="0" borderId="0" xfId="1" applyFont="1" applyAlignment="1" applyProtection="1">
      <alignment horizontal="left" vertical="center"/>
      <protection locked="0"/>
    </xf>
    <xf numFmtId="0" fontId="29" fillId="0" borderId="0" xfId="1" applyFont="1"/>
    <xf numFmtId="0" fontId="28" fillId="13" borderId="1" xfId="0" applyFont="1" applyFill="1" applyBorder="1" applyAlignment="1">
      <alignment horizontal="center"/>
    </xf>
    <xf numFmtId="0" fontId="29" fillId="3" borderId="15" xfId="1" applyFont="1" applyFill="1" applyBorder="1" applyAlignment="1">
      <alignment wrapText="1"/>
    </xf>
    <xf numFmtId="0" fontId="29" fillId="15" borderId="17" xfId="1" applyFont="1" applyFill="1" applyBorder="1" applyAlignment="1">
      <alignment wrapText="1"/>
    </xf>
    <xf numFmtId="0" fontId="29" fillId="16" borderId="2" xfId="1" applyFont="1" applyFill="1" applyBorder="1" applyAlignment="1">
      <alignment wrapText="1"/>
    </xf>
    <xf numFmtId="0" fontId="29" fillId="17" borderId="2" xfId="1" applyFont="1" applyFill="1" applyBorder="1" applyAlignment="1">
      <alignment horizontal="center" wrapText="1"/>
    </xf>
    <xf numFmtId="0" fontId="27" fillId="0" borderId="0" xfId="0" applyFont="1" applyAlignment="1">
      <alignment horizontal="center"/>
    </xf>
    <xf numFmtId="165" fontId="29" fillId="0" borderId="0" xfId="1" applyNumberFormat="1" applyFont="1" applyAlignment="1">
      <alignment horizontal="center" vertical="top"/>
    </xf>
    <xf numFmtId="0" fontId="29" fillId="0" borderId="0" xfId="1" applyFont="1" applyProtection="1">
      <protection locked="0"/>
    </xf>
    <xf numFmtId="0" fontId="25" fillId="13" borderId="1" xfId="0" applyFont="1" applyFill="1" applyBorder="1" applyAlignment="1">
      <alignment horizontal="center"/>
    </xf>
    <xf numFmtId="2" fontId="27" fillId="15" borderId="34" xfId="0" applyNumberFormat="1" applyFont="1" applyFill="1" applyBorder="1"/>
    <xf numFmtId="167" fontId="30" fillId="16" borderId="0" xfId="0" applyNumberFormat="1" applyFont="1" applyFill="1"/>
    <xf numFmtId="167" fontId="27" fillId="17" borderId="0" xfId="0" applyNumberFormat="1" applyFont="1" applyFill="1"/>
    <xf numFmtId="49" fontId="29" fillId="0" borderId="0" xfId="1" applyNumberFormat="1" applyFont="1" applyAlignment="1">
      <alignment horizontal="right" vertical="top"/>
    </xf>
    <xf numFmtId="0" fontId="29" fillId="0" borderId="0" xfId="1" applyFont="1" applyAlignment="1">
      <alignment horizontal="right"/>
    </xf>
    <xf numFmtId="169" fontId="29" fillId="0" borderId="0" xfId="1" applyNumberFormat="1" applyFont="1"/>
    <xf numFmtId="1" fontId="29" fillId="0" borderId="0" xfId="1" applyNumberFormat="1" applyFont="1" applyAlignment="1">
      <alignment horizontal="center" vertical="center" wrapText="1"/>
    </xf>
    <xf numFmtId="49" fontId="29" fillId="0" borderId="0" xfId="1" applyNumberFormat="1" applyFont="1" applyAlignment="1">
      <alignment horizontal="center" vertical="center" wrapText="1"/>
    </xf>
    <xf numFmtId="0" fontId="25" fillId="0" borderId="0" xfId="0" applyFont="1" applyAlignment="1">
      <alignment horizontal="center"/>
    </xf>
    <xf numFmtId="0" fontId="29" fillId="0" borderId="1" xfId="1" applyFont="1" applyBorder="1" applyAlignment="1">
      <alignment horizontal="center" textRotation="90"/>
    </xf>
    <xf numFmtId="0" fontId="29" fillId="0" borderId="1" xfId="1" applyFont="1" applyBorder="1" applyAlignment="1">
      <alignment horizontal="center" textRotation="90" wrapText="1"/>
    </xf>
    <xf numFmtId="170" fontId="29" fillId="0" borderId="1" xfId="1" applyNumberFormat="1" applyFont="1" applyBorder="1" applyAlignment="1">
      <alignment horizontal="center" textRotation="90"/>
    </xf>
    <xf numFmtId="0" fontId="29" fillId="20" borderId="1" xfId="1" applyFont="1" applyFill="1" applyBorder="1" applyAlignment="1">
      <alignment horizontal="center" textRotation="90" wrapText="1"/>
    </xf>
    <xf numFmtId="0" fontId="29" fillId="20" borderId="1" xfId="1" applyFont="1" applyFill="1" applyBorder="1" applyAlignment="1">
      <alignment horizontal="center" textRotation="90"/>
    </xf>
    <xf numFmtId="0" fontId="29" fillId="4" borderId="1" xfId="1" applyFont="1" applyFill="1" applyBorder="1" applyAlignment="1">
      <alignment horizontal="center" textRotation="90" wrapText="1"/>
    </xf>
    <xf numFmtId="0" fontId="31" fillId="0" borderId="1" xfId="1" applyFont="1" applyBorder="1" applyAlignment="1">
      <alignment horizontal="center" textRotation="90" wrapText="1"/>
    </xf>
    <xf numFmtId="0" fontId="29" fillId="5" borderId="0" xfId="1" applyFont="1" applyFill="1" applyAlignment="1">
      <alignment vertical="center" textRotation="90"/>
    </xf>
    <xf numFmtId="0" fontId="29" fillId="5" borderId="0" xfId="1" applyFont="1" applyFill="1" applyAlignment="1">
      <alignment textRotation="90"/>
    </xf>
    <xf numFmtId="0" fontId="29" fillId="0" borderId="0" xfId="1" applyFont="1" applyAlignment="1">
      <alignment vertical="top"/>
    </xf>
    <xf numFmtId="0" fontId="27" fillId="0" borderId="0" xfId="0" applyFont="1" applyAlignment="1">
      <alignment horizontal="center" vertical="center" wrapText="1"/>
    </xf>
    <xf numFmtId="166" fontId="25" fillId="20" borderId="0" xfId="0" applyNumberFormat="1" applyFont="1" applyFill="1" applyAlignment="1">
      <alignment horizontal="center" vertical="center"/>
    </xf>
    <xf numFmtId="3" fontId="27" fillId="15" borderId="0" xfId="0" applyNumberFormat="1" applyFont="1" applyFill="1" applyAlignment="1" applyProtection="1">
      <alignment horizontal="center"/>
      <protection locked="0"/>
    </xf>
    <xf numFmtId="0" fontId="29" fillId="0" borderId="0" xfId="0" applyFont="1"/>
    <xf numFmtId="1" fontId="29" fillId="0" borderId="0" xfId="0" applyNumberFormat="1" applyFont="1" applyAlignment="1">
      <alignment horizontal="center" vertical="center" wrapText="1"/>
    </xf>
    <xf numFmtId="0" fontId="29" fillId="0" borderId="0" xfId="0" applyFont="1" applyAlignment="1">
      <alignment horizontal="center" vertical="center" wrapText="1"/>
    </xf>
    <xf numFmtId="1" fontId="27" fillId="0" borderId="0" xfId="0" applyNumberFormat="1" applyFont="1" applyAlignment="1">
      <alignment horizontal="center" vertical="center" wrapText="1"/>
    </xf>
    <xf numFmtId="0" fontId="27" fillId="21" borderId="0" xfId="0" applyFont="1" applyFill="1" applyAlignment="1">
      <alignment horizontal="center" vertical="center" wrapText="1"/>
    </xf>
    <xf numFmtId="166" fontId="29" fillId="0" borderId="0" xfId="0" applyNumberFormat="1" applyFont="1" applyAlignment="1">
      <alignment horizontal="center" vertical="center" wrapText="1"/>
    </xf>
    <xf numFmtId="168" fontId="29" fillId="0" borderId="0" xfId="0" applyNumberFormat="1" applyFont="1" applyAlignment="1">
      <alignment horizontal="center" vertical="center" wrapText="1"/>
    </xf>
    <xf numFmtId="166" fontId="27" fillId="0" borderId="0" xfId="0" applyNumberFormat="1" applyFont="1" applyAlignment="1" applyProtection="1">
      <alignment horizontal="center"/>
      <protection locked="0"/>
    </xf>
    <xf numFmtId="49" fontId="27" fillId="0" borderId="0" xfId="0" applyNumberFormat="1" applyFont="1" applyAlignment="1" applyProtection="1">
      <alignment horizontal="center"/>
      <protection locked="0"/>
    </xf>
    <xf numFmtId="0" fontId="27" fillId="0" borderId="0" xfId="0" applyFont="1" applyAlignment="1" applyProtection="1">
      <alignment horizontal="center"/>
      <protection locked="0"/>
    </xf>
    <xf numFmtId="1" fontId="27" fillId="0" borderId="0" xfId="0" applyNumberFormat="1" applyFont="1" applyAlignment="1" applyProtection="1">
      <alignment horizontal="center"/>
      <protection locked="0"/>
    </xf>
    <xf numFmtId="0" fontId="27" fillId="21" borderId="0" xfId="0" applyFont="1" applyFill="1" applyAlignment="1" applyProtection="1">
      <alignment horizontal="center"/>
      <protection locked="0"/>
    </xf>
    <xf numFmtId="2" fontId="29" fillId="0" borderId="0" xfId="1" applyNumberFormat="1" applyFont="1"/>
    <xf numFmtId="166" fontId="27" fillId="3" borderId="0" xfId="0" applyNumberFormat="1" applyFont="1" applyFill="1" applyAlignment="1" applyProtection="1">
      <alignment horizontal="center"/>
      <protection locked="0"/>
    </xf>
    <xf numFmtId="49" fontId="27" fillId="3" borderId="0" xfId="0" applyNumberFormat="1" applyFont="1" applyFill="1" applyAlignment="1" applyProtection="1">
      <alignment horizontal="center"/>
      <protection locked="0"/>
    </xf>
    <xf numFmtId="0" fontId="27" fillId="3" borderId="0" xfId="0" applyFont="1" applyFill="1" applyAlignment="1" applyProtection="1">
      <alignment horizontal="center" wrapText="1"/>
      <protection locked="0"/>
    </xf>
    <xf numFmtId="1" fontId="27" fillId="3" borderId="0" xfId="0" applyNumberFormat="1" applyFont="1" applyFill="1" applyAlignment="1" applyProtection="1">
      <alignment horizontal="center"/>
      <protection locked="0"/>
    </xf>
    <xf numFmtId="0" fontId="27" fillId="3" borderId="0" xfId="0" applyFont="1" applyFill="1" applyAlignment="1" applyProtection="1">
      <alignment horizontal="center"/>
      <protection locked="0"/>
    </xf>
    <xf numFmtId="166" fontId="28" fillId="3" borderId="0" xfId="0" applyNumberFormat="1" applyFont="1" applyFill="1" applyAlignment="1">
      <alignment horizontal="center"/>
    </xf>
    <xf numFmtId="4" fontId="28" fillId="22" borderId="14" xfId="0" applyNumberFormat="1" applyFont="1" applyFill="1" applyBorder="1"/>
    <xf numFmtId="2" fontId="29" fillId="15" borderId="35" xfId="0" applyNumberFormat="1" applyFont="1" applyFill="1" applyBorder="1"/>
    <xf numFmtId="4" fontId="27" fillId="15" borderId="0" xfId="0" applyNumberFormat="1" applyFont="1" applyFill="1" applyAlignment="1" applyProtection="1">
      <alignment horizontal="center"/>
      <protection locked="0"/>
    </xf>
    <xf numFmtId="2" fontId="27" fillId="0" borderId="0" xfId="0" applyNumberFormat="1" applyFont="1" applyAlignment="1" applyProtection="1">
      <alignment horizontal="center"/>
      <protection locked="0"/>
    </xf>
    <xf numFmtId="2" fontId="27" fillId="0" borderId="0" xfId="0" applyNumberFormat="1" applyFont="1" applyAlignment="1">
      <alignment horizontal="center"/>
    </xf>
    <xf numFmtId="166" fontId="27" fillId="4" borderId="0" xfId="0" applyNumberFormat="1" applyFont="1" applyFill="1" applyAlignment="1" applyProtection="1">
      <alignment horizontal="center"/>
      <protection locked="0"/>
    </xf>
    <xf numFmtId="1" fontId="27" fillId="23" borderId="0" xfId="0" applyNumberFormat="1" applyFont="1" applyFill="1" applyAlignment="1" applyProtection="1">
      <alignment horizontal="center"/>
      <protection locked="0"/>
    </xf>
    <xf numFmtId="0" fontId="29" fillId="23" borderId="0" xfId="0" applyFont="1" applyFill="1" applyAlignment="1" applyProtection="1">
      <alignment horizontal="center"/>
      <protection locked="0"/>
    </xf>
    <xf numFmtId="166" fontId="27" fillId="0" borderId="0" xfId="0" applyNumberFormat="1" applyFont="1" applyAlignment="1">
      <alignment horizontal="center"/>
    </xf>
    <xf numFmtId="166" fontId="27" fillId="19" borderId="0" xfId="0" applyNumberFormat="1" applyFont="1" applyFill="1" applyAlignment="1">
      <alignment horizontal="center"/>
    </xf>
    <xf numFmtId="166" fontId="29" fillId="0" borderId="0" xfId="0" applyNumberFormat="1" applyFont="1" applyAlignment="1">
      <alignment horizontal="center"/>
    </xf>
    <xf numFmtId="49" fontId="29" fillId="0" borderId="0" xfId="0" applyNumberFormat="1" applyFont="1" applyAlignment="1" applyProtection="1">
      <alignment horizontal="center"/>
      <protection locked="0"/>
    </xf>
    <xf numFmtId="0" fontId="25" fillId="0" borderId="0" xfId="0" applyFont="1" applyAlignment="1">
      <alignment horizontal="center" wrapText="1"/>
    </xf>
    <xf numFmtId="0" fontId="27" fillId="23" borderId="0" xfId="0" applyFont="1" applyFill="1" applyAlignment="1" applyProtection="1">
      <alignment horizontal="center"/>
      <protection locked="0"/>
    </xf>
    <xf numFmtId="1" fontId="29" fillId="0" borderId="0" xfId="1" applyNumberFormat="1" applyFont="1" applyAlignment="1" applyProtection="1">
      <alignment horizontal="center"/>
      <protection locked="0"/>
    </xf>
    <xf numFmtId="49" fontId="29" fillId="0" borderId="0" xfId="1" applyNumberFormat="1" applyFont="1" applyAlignment="1" applyProtection="1">
      <alignment horizontal="right"/>
      <protection locked="0"/>
    </xf>
    <xf numFmtId="1" fontId="29" fillId="0" borderId="0" xfId="1" applyNumberFormat="1" applyFont="1" applyAlignment="1" applyProtection="1">
      <alignment horizontal="right"/>
      <protection locked="0"/>
    </xf>
    <xf numFmtId="0" fontId="29" fillId="21" borderId="0" xfId="1" applyFont="1" applyFill="1" applyProtection="1">
      <protection locked="0"/>
    </xf>
    <xf numFmtId="2" fontId="30" fillId="0" borderId="0" xfId="0" applyNumberFormat="1" applyFont="1"/>
    <xf numFmtId="0" fontId="30" fillId="0" borderId="1" xfId="1" applyFont="1" applyBorder="1" applyAlignment="1">
      <alignment horizontal="center" textRotation="90" wrapText="1"/>
    </xf>
    <xf numFmtId="166" fontId="27" fillId="11" borderId="0" xfId="0" applyNumberFormat="1" applyFont="1" applyFill="1" applyAlignment="1" applyProtection="1">
      <alignment horizontal="center"/>
      <protection locked="0"/>
    </xf>
    <xf numFmtId="49" fontId="27" fillId="11" borderId="0" xfId="0" applyNumberFormat="1" applyFont="1" applyFill="1" applyAlignment="1" applyProtection="1">
      <alignment horizontal="center"/>
      <protection locked="0"/>
    </xf>
    <xf numFmtId="1" fontId="27" fillId="11" borderId="0" xfId="0" applyNumberFormat="1" applyFont="1" applyFill="1" applyAlignment="1" applyProtection="1">
      <alignment horizontal="center"/>
      <protection locked="0"/>
    </xf>
    <xf numFmtId="0" fontId="27" fillId="11" borderId="0" xfId="0" applyFont="1" applyFill="1" applyAlignment="1" applyProtection="1">
      <alignment horizontal="center"/>
      <protection locked="0"/>
    </xf>
    <xf numFmtId="9" fontId="28" fillId="11" borderId="0" xfId="4" applyFont="1" applyFill="1" applyAlignment="1">
      <alignment horizontal="center"/>
    </xf>
    <xf numFmtId="166" fontId="27" fillId="7" borderId="0" xfId="0" applyNumberFormat="1" applyFont="1" applyFill="1" applyAlignment="1" applyProtection="1">
      <alignment horizontal="center"/>
      <protection locked="0"/>
    </xf>
    <xf numFmtId="49" fontId="27" fillId="7" borderId="0" xfId="0" applyNumberFormat="1" applyFont="1" applyFill="1" applyAlignment="1" applyProtection="1">
      <alignment horizontal="center"/>
      <protection locked="0"/>
    </xf>
    <xf numFmtId="0" fontId="27" fillId="7" borderId="0" xfId="0" applyFont="1" applyFill="1" applyAlignment="1" applyProtection="1">
      <alignment horizontal="center" wrapText="1"/>
      <protection locked="0"/>
    </xf>
    <xf numFmtId="1" fontId="27" fillId="7" borderId="0" xfId="0" applyNumberFormat="1" applyFont="1" applyFill="1" applyAlignment="1" applyProtection="1">
      <alignment horizontal="center"/>
      <protection locked="0"/>
    </xf>
    <xf numFmtId="0" fontId="27" fillId="7" borderId="0" xfId="0" applyFont="1" applyFill="1" applyAlignment="1" applyProtection="1">
      <alignment horizontal="center"/>
      <protection locked="0"/>
    </xf>
    <xf numFmtId="166" fontId="28" fillId="7" borderId="0" xfId="0" applyNumberFormat="1" applyFont="1" applyFill="1" applyAlignment="1">
      <alignment horizontal="center"/>
    </xf>
    <xf numFmtId="2" fontId="25" fillId="7" borderId="0" xfId="0" applyNumberFormat="1" applyFont="1" applyFill="1" applyAlignment="1">
      <alignment horizontal="center"/>
    </xf>
    <xf numFmtId="166" fontId="29" fillId="0" borderId="0" xfId="1" applyNumberFormat="1" applyFont="1" applyProtection="1">
      <protection locked="0"/>
    </xf>
    <xf numFmtId="49" fontId="29" fillId="0" borderId="0" xfId="1" applyNumberFormat="1" applyFont="1" applyAlignment="1" applyProtection="1">
      <alignment horizontal="left"/>
      <protection locked="0"/>
    </xf>
    <xf numFmtId="9" fontId="29" fillId="0" borderId="0" xfId="4" applyFont="1" applyAlignment="1" applyProtection="1">
      <alignment horizontal="center"/>
      <protection locked="0"/>
    </xf>
    <xf numFmtId="0" fontId="27" fillId="0" borderId="1" xfId="1" applyFont="1" applyBorder="1" applyAlignment="1">
      <alignment horizontal="center" textRotation="90"/>
    </xf>
    <xf numFmtId="0" fontId="27" fillId="0" borderId="1" xfId="1" applyFont="1" applyBorder="1" applyAlignment="1">
      <alignment horizontal="center" textRotation="90" wrapText="1"/>
    </xf>
    <xf numFmtId="0" fontId="28" fillId="8" borderId="1" xfId="0" applyFont="1" applyFill="1" applyBorder="1" applyAlignment="1">
      <alignment horizontal="center"/>
    </xf>
    <xf numFmtId="166" fontId="28" fillId="25" borderId="14" xfId="0" applyNumberFormat="1" applyFont="1" applyFill="1" applyBorder="1" applyAlignment="1">
      <alignment horizontal="center"/>
    </xf>
    <xf numFmtId="2" fontId="25" fillId="6" borderId="35" xfId="0" applyNumberFormat="1" applyFont="1" applyFill="1" applyBorder="1" applyAlignment="1">
      <alignment horizontal="center"/>
    </xf>
    <xf numFmtId="2" fontId="25" fillId="7" borderId="35" xfId="0" applyNumberFormat="1" applyFont="1" applyFill="1" applyBorder="1" applyAlignment="1">
      <alignment horizontal="center"/>
    </xf>
    <xf numFmtId="166" fontId="25" fillId="4" borderId="0" xfId="0" applyNumberFormat="1" applyFont="1" applyFill="1" applyAlignment="1">
      <alignment horizontal="center"/>
    </xf>
    <xf numFmtId="0" fontId="28" fillId="0" borderId="1" xfId="0" applyFont="1" applyBorder="1" applyAlignment="1">
      <alignment horizontal="center"/>
    </xf>
    <xf numFmtId="166" fontId="25" fillId="0" borderId="1" xfId="0" applyNumberFormat="1" applyFont="1" applyBorder="1" applyAlignment="1">
      <alignment horizontal="center"/>
    </xf>
    <xf numFmtId="9" fontId="25" fillId="0" borderId="0" xfId="4" applyFont="1" applyFill="1" applyAlignment="1">
      <alignment horizontal="center"/>
    </xf>
    <xf numFmtId="166" fontId="28" fillId="26" borderId="0" xfId="0" applyNumberFormat="1" applyFont="1" applyFill="1" applyAlignment="1">
      <alignment horizontal="center"/>
    </xf>
    <xf numFmtId="0" fontId="28" fillId="27" borderId="1" xfId="0" applyFont="1" applyFill="1" applyBorder="1" applyAlignment="1">
      <alignment horizontal="center"/>
    </xf>
    <xf numFmtId="0" fontId="28" fillId="23" borderId="1" xfId="0" applyFont="1" applyFill="1" applyBorder="1" applyAlignment="1">
      <alignment horizontal="center"/>
    </xf>
    <xf numFmtId="0" fontId="28" fillId="28" borderId="1" xfId="0" applyFont="1" applyFill="1" applyBorder="1" applyAlignment="1">
      <alignment horizontal="center"/>
    </xf>
    <xf numFmtId="0" fontId="28" fillId="29" borderId="1" xfId="0" applyFont="1" applyFill="1" applyBorder="1" applyAlignment="1">
      <alignment horizontal="center"/>
    </xf>
    <xf numFmtId="166" fontId="25" fillId="27" borderId="1" xfId="0" applyNumberFormat="1" applyFont="1" applyFill="1" applyBorder="1" applyAlignment="1">
      <alignment horizontal="center"/>
    </xf>
    <xf numFmtId="166" fontId="25" fillId="23" borderId="1" xfId="0" applyNumberFormat="1" applyFont="1" applyFill="1" applyBorder="1" applyAlignment="1">
      <alignment horizontal="center"/>
    </xf>
    <xf numFmtId="166" fontId="25" fillId="28" borderId="1" xfId="0" applyNumberFormat="1" applyFont="1" applyFill="1" applyBorder="1" applyAlignment="1">
      <alignment horizontal="center"/>
    </xf>
    <xf numFmtId="2" fontId="25" fillId="29" borderId="1" xfId="0" applyNumberFormat="1" applyFont="1" applyFill="1" applyBorder="1" applyAlignment="1">
      <alignment horizontal="center"/>
    </xf>
    <xf numFmtId="0" fontId="29" fillId="0" borderId="5" xfId="1" applyFont="1" applyBorder="1"/>
    <xf numFmtId="169" fontId="29" fillId="0" borderId="5" xfId="1" applyNumberFormat="1" applyFont="1" applyBorder="1"/>
    <xf numFmtId="1" fontId="28" fillId="0" borderId="5" xfId="0" applyNumberFormat="1" applyFont="1" applyBorder="1"/>
    <xf numFmtId="0" fontId="28" fillId="7" borderId="5" xfId="0" applyFont="1" applyFill="1" applyBorder="1" applyAlignment="1">
      <alignment horizontal="center"/>
    </xf>
    <xf numFmtId="0" fontId="29" fillId="7" borderId="10" xfId="0" applyFont="1" applyFill="1" applyBorder="1" applyAlignment="1">
      <alignment horizontal="center" vertical="center" textRotation="90"/>
    </xf>
    <xf numFmtId="2" fontId="28" fillId="4" borderId="5" xfId="0" applyNumberFormat="1" applyFont="1" applyFill="1" applyBorder="1" applyAlignment="1">
      <alignment horizontal="center"/>
    </xf>
    <xf numFmtId="167" fontId="28" fillId="0" borderId="5" xfId="0" applyNumberFormat="1" applyFont="1" applyBorder="1"/>
    <xf numFmtId="0" fontId="29" fillId="0" borderId="5" xfId="0" applyFont="1" applyBorder="1"/>
    <xf numFmtId="0" fontId="29" fillId="14" borderId="7" xfId="1" applyFont="1" applyFill="1" applyBorder="1" applyAlignment="1">
      <alignment wrapText="1"/>
    </xf>
    <xf numFmtId="167" fontId="27" fillId="14" borderId="5" xfId="0" applyNumberFormat="1" applyFont="1" applyFill="1" applyBorder="1"/>
    <xf numFmtId="0" fontId="28" fillId="0" borderId="5" xfId="0" applyFont="1" applyBorder="1"/>
    <xf numFmtId="0" fontId="29" fillId="8" borderId="10" xfId="0" applyFont="1" applyFill="1" applyBorder="1" applyAlignment="1">
      <alignment horizontal="center" vertical="center" textRotation="90"/>
    </xf>
    <xf numFmtId="3" fontId="29" fillId="6" borderId="0" xfId="0" applyNumberFormat="1" applyFont="1" applyFill="1" applyAlignment="1">
      <alignment horizontal="center" vertical="center" wrapText="1"/>
    </xf>
    <xf numFmtId="3" fontId="27" fillId="6" borderId="0" xfId="0" applyNumberFormat="1" applyFont="1" applyFill="1" applyAlignment="1">
      <alignment horizontal="center" vertical="center" wrapText="1"/>
    </xf>
    <xf numFmtId="3" fontId="29" fillId="6" borderId="0" xfId="0" applyNumberFormat="1" applyFont="1" applyFill="1" applyAlignment="1">
      <alignment horizontal="center" vertical="center"/>
    </xf>
    <xf numFmtId="3" fontId="27" fillId="0" borderId="0" xfId="0" applyNumberFormat="1" applyFont="1" applyAlignment="1">
      <alignment horizontal="center" vertical="center" wrapText="1"/>
    </xf>
    <xf numFmtId="3" fontId="27" fillId="6" borderId="0" xfId="0" applyNumberFormat="1" applyFont="1" applyFill="1" applyAlignment="1">
      <alignment horizontal="center"/>
    </xf>
    <xf numFmtId="3" fontId="28" fillId="6" borderId="0" xfId="0" applyNumberFormat="1" applyFont="1" applyFill="1" applyAlignment="1">
      <alignment horizontal="center"/>
    </xf>
    <xf numFmtId="3" fontId="28" fillId="0" borderId="0" xfId="0" applyNumberFormat="1" applyFont="1" applyAlignment="1">
      <alignment horizontal="center"/>
    </xf>
    <xf numFmtId="3" fontId="25" fillId="20" borderId="0" xfId="0" applyNumberFormat="1" applyFont="1" applyFill="1" applyAlignment="1">
      <alignment horizontal="center" vertical="center"/>
    </xf>
    <xf numFmtId="3" fontId="27" fillId="4" borderId="0" xfId="0" applyNumberFormat="1" applyFont="1" applyFill="1" applyAlignment="1">
      <alignment horizontal="center" vertical="center" wrapText="1"/>
    </xf>
    <xf numFmtId="4" fontId="27" fillId="6" borderId="0" xfId="0" applyNumberFormat="1" applyFont="1" applyFill="1" applyAlignment="1">
      <alignment horizontal="center" vertical="center" wrapText="1"/>
    </xf>
    <xf numFmtId="171" fontId="29" fillId="0" borderId="0" xfId="4" applyNumberFormat="1" applyFont="1" applyAlignment="1" applyProtection="1">
      <alignment horizontal="center"/>
      <protection locked="0"/>
    </xf>
    <xf numFmtId="49" fontId="27" fillId="4" borderId="0" xfId="1" applyNumberFormat="1" applyFont="1" applyFill="1" applyProtection="1">
      <protection locked="0"/>
    </xf>
    <xf numFmtId="49" fontId="27" fillId="0" borderId="0" xfId="1" applyNumberFormat="1" applyFont="1" applyProtection="1">
      <protection locked="0"/>
    </xf>
    <xf numFmtId="0" fontId="28" fillId="0" borderId="0" xfId="0" applyFont="1" applyAlignment="1">
      <alignment horizontal="left"/>
    </xf>
    <xf numFmtId="0" fontId="34" fillId="0" borderId="0" xfId="1" applyFont="1" applyAlignment="1" applyProtection="1">
      <alignment horizontal="center" vertical="center"/>
      <protection locked="0"/>
    </xf>
    <xf numFmtId="0" fontId="34" fillId="0" borderId="0" xfId="0" applyFont="1"/>
    <xf numFmtId="167" fontId="34" fillId="0" borderId="0" xfId="1" applyNumberFormat="1" applyFont="1" applyAlignment="1" applyProtection="1">
      <alignment horizontal="center" vertical="center"/>
      <protection locked="0"/>
    </xf>
    <xf numFmtId="0" fontId="35" fillId="0" borderId="0" xfId="2" applyFont="1" applyAlignment="1">
      <alignment horizontal="center" wrapText="1"/>
    </xf>
    <xf numFmtId="0" fontId="36" fillId="0" borderId="0" xfId="2" applyFont="1"/>
    <xf numFmtId="0" fontId="34" fillId="0" borderId="0" xfId="2" applyFont="1"/>
    <xf numFmtId="0" fontId="34" fillId="0" borderId="0" xfId="0" applyFont="1" applyAlignment="1">
      <alignment horizontal="right"/>
    </xf>
    <xf numFmtId="0" fontId="37" fillId="0" borderId="0" xfId="0" applyFont="1"/>
    <xf numFmtId="0" fontId="38" fillId="0" borderId="0" xfId="0" applyFont="1" applyAlignment="1">
      <alignment horizontal="center" vertical="top"/>
    </xf>
    <xf numFmtId="0" fontId="34" fillId="4" borderId="15" xfId="0" applyFont="1" applyFill="1" applyBorder="1" applyAlignment="1">
      <alignment horizontal="left" vertical="top"/>
    </xf>
    <xf numFmtId="0" fontId="34" fillId="4" borderId="16" xfId="0" applyFont="1" applyFill="1" applyBorder="1"/>
    <xf numFmtId="0" fontId="34" fillId="4" borderId="16" xfId="0" applyFont="1" applyFill="1" applyBorder="1" applyAlignment="1">
      <alignment vertical="center"/>
    </xf>
    <xf numFmtId="167" fontId="34" fillId="4" borderId="16" xfId="2" applyNumberFormat="1" applyFont="1" applyFill="1" applyBorder="1"/>
    <xf numFmtId="0" fontId="34" fillId="4" borderId="17" xfId="2" applyFont="1" applyFill="1" applyBorder="1"/>
    <xf numFmtId="0" fontId="34" fillId="4" borderId="18" xfId="0" applyFont="1" applyFill="1" applyBorder="1" applyAlignment="1">
      <alignment horizontal="center" vertical="top"/>
    </xf>
    <xf numFmtId="0" fontId="34" fillId="4" borderId="19" xfId="0" applyFont="1" applyFill="1" applyBorder="1"/>
    <xf numFmtId="0" fontId="34" fillId="4" borderId="19" xfId="0" applyFont="1" applyFill="1" applyBorder="1" applyAlignment="1">
      <alignment vertical="center"/>
    </xf>
    <xf numFmtId="3" fontId="34" fillId="4" borderId="19" xfId="0" applyNumberFormat="1" applyFont="1" applyFill="1" applyBorder="1"/>
    <xf numFmtId="0" fontId="34" fillId="4" borderId="20" xfId="2" applyFont="1" applyFill="1" applyBorder="1"/>
    <xf numFmtId="0" fontId="34" fillId="0" borderId="0" xfId="0" applyFont="1" applyAlignment="1">
      <alignment horizontal="center" vertical="top"/>
    </xf>
    <xf numFmtId="0" fontId="34" fillId="0" borderId="0" xfId="0" applyFont="1" applyAlignment="1">
      <alignment vertical="center"/>
    </xf>
    <xf numFmtId="3" fontId="34" fillId="0" borderId="0" xfId="0" applyNumberFormat="1" applyFont="1"/>
    <xf numFmtId="2" fontId="27" fillId="3" borderId="33" xfId="1" applyNumberFormat="1" applyFont="1" applyFill="1" applyBorder="1"/>
    <xf numFmtId="0" fontId="2" fillId="0" borderId="1" xfId="1" applyFont="1" applyBorder="1" applyAlignment="1">
      <alignment horizontal="center" vertical="center"/>
    </xf>
    <xf numFmtId="0" fontId="2" fillId="0" borderId="1" xfId="1" applyFont="1" applyBorder="1" applyAlignment="1">
      <alignment horizontal="center" vertical="center" wrapText="1"/>
    </xf>
    <xf numFmtId="0" fontId="2" fillId="0" borderId="0" xfId="1" applyFont="1" applyProtection="1">
      <protection locked="0"/>
    </xf>
    <xf numFmtId="0" fontId="2" fillId="0" borderId="1" xfId="1" applyFont="1" applyBorder="1" applyAlignment="1">
      <alignment horizontal="right" vertical="top"/>
    </xf>
    <xf numFmtId="1" fontId="2" fillId="0" borderId="0" xfId="1" applyNumberFormat="1" applyFont="1" applyAlignment="1" applyProtection="1">
      <alignment horizontal="center"/>
      <protection locked="0"/>
    </xf>
    <xf numFmtId="49" fontId="2" fillId="0" borderId="0" xfId="1" applyNumberFormat="1" applyFont="1" applyAlignment="1" applyProtection="1">
      <alignment horizontal="right"/>
      <protection locked="0"/>
    </xf>
    <xf numFmtId="0" fontId="2" fillId="0" borderId="0" xfId="1" applyFont="1" applyAlignment="1" applyProtection="1">
      <alignment horizontal="right"/>
      <protection locked="0"/>
    </xf>
    <xf numFmtId="1" fontId="2" fillId="0" borderId="0" xfId="1" applyNumberFormat="1" applyFont="1" applyAlignment="1" applyProtection="1">
      <alignment horizontal="right"/>
      <protection locked="0"/>
    </xf>
    <xf numFmtId="0" fontId="2" fillId="0" borderId="0" xfId="1" applyFont="1" applyAlignment="1">
      <alignment horizontal="right" vertical="center"/>
    </xf>
    <xf numFmtId="0" fontId="2" fillId="0" borderId="0" xfId="1" applyFont="1" applyAlignment="1" applyProtection="1">
      <alignment horizontal="center"/>
      <protection locked="0"/>
    </xf>
    <xf numFmtId="0" fontId="2" fillId="0" borderId="0" xfId="1" applyFont="1" applyAlignment="1">
      <alignment horizontal="center"/>
    </xf>
    <xf numFmtId="0" fontId="2" fillId="0" borderId="0" xfId="1" applyFont="1" applyAlignment="1" applyProtection="1">
      <alignment horizontal="left"/>
      <protection locked="0"/>
    </xf>
    <xf numFmtId="0" fontId="2" fillId="0" borderId="0" xfId="1" applyFont="1" applyAlignment="1">
      <alignment horizontal="left"/>
    </xf>
    <xf numFmtId="49" fontId="2" fillId="0" borderId="1" xfId="1" applyNumberFormat="1" applyFont="1" applyBorder="1" applyAlignment="1">
      <alignment horizontal="center" vertical="center"/>
    </xf>
    <xf numFmtId="0" fontId="2" fillId="0" borderId="1" xfId="1" applyFont="1" applyBorder="1" applyAlignment="1">
      <alignment horizontal="right" vertical="center"/>
    </xf>
    <xf numFmtId="49" fontId="29" fillId="0" borderId="0" xfId="1" quotePrefix="1" applyNumberFormat="1" applyFont="1" applyAlignment="1">
      <alignment horizontal="left" vertical="center" wrapText="1"/>
    </xf>
    <xf numFmtId="167" fontId="29" fillId="0" borderId="0" xfId="1" applyNumberFormat="1" applyFont="1" applyAlignment="1">
      <alignment horizontal="right" vertical="center" wrapText="1"/>
    </xf>
    <xf numFmtId="2" fontId="25" fillId="3" borderId="0" xfId="0" applyNumberFormat="1" applyFont="1" applyFill="1" applyAlignment="1">
      <alignment horizontal="center"/>
    </xf>
    <xf numFmtId="166" fontId="29" fillId="0" borderId="0" xfId="1" applyNumberFormat="1" applyFont="1"/>
    <xf numFmtId="0" fontId="29" fillId="7" borderId="6" xfId="0" applyFont="1" applyFill="1" applyBorder="1" applyAlignment="1">
      <alignment horizontal="center" vertical="center" textRotation="90" wrapText="1"/>
    </xf>
    <xf numFmtId="0" fontId="29" fillId="0" borderId="1" xfId="1" applyFont="1" applyBorder="1"/>
    <xf numFmtId="166" fontId="29" fillId="0" borderId="1" xfId="1" applyNumberFormat="1" applyFont="1" applyBorder="1"/>
    <xf numFmtId="2" fontId="25" fillId="4" borderId="11" xfId="0" applyNumberFormat="1" applyFont="1" applyFill="1" applyBorder="1" applyAlignment="1">
      <alignment horizontal="center" textRotation="90" wrapText="1"/>
    </xf>
    <xf numFmtId="2" fontId="25" fillId="4" borderId="7" xfId="0" applyNumberFormat="1" applyFont="1" applyFill="1" applyBorder="1" applyAlignment="1">
      <alignment horizontal="center" textRotation="90" wrapText="1"/>
    </xf>
    <xf numFmtId="10" fontId="29" fillId="0" borderId="0" xfId="4" applyNumberFormat="1" applyFont="1" applyAlignment="1" applyProtection="1">
      <alignment horizontal="center"/>
      <protection locked="0"/>
    </xf>
    <xf numFmtId="0" fontId="37" fillId="0" borderId="0" xfId="0" applyFont="1" applyAlignment="1">
      <alignment horizontal="left"/>
    </xf>
    <xf numFmtId="49" fontId="33" fillId="0" borderId="0" xfId="0" applyNumberFormat="1" applyFont="1" applyAlignment="1">
      <alignment horizontal="left"/>
    </xf>
    <xf numFmtId="0" fontId="34" fillId="4" borderId="16" xfId="0" applyFont="1" applyFill="1" applyBorder="1" applyAlignment="1">
      <alignment horizontal="left"/>
    </xf>
    <xf numFmtId="0" fontId="34" fillId="4" borderId="19" xfId="0" applyFont="1" applyFill="1" applyBorder="1" applyAlignment="1">
      <alignment horizontal="left"/>
    </xf>
    <xf numFmtId="0" fontId="34" fillId="0" borderId="0" xfId="0" applyFont="1" applyAlignment="1">
      <alignment horizontal="left"/>
    </xf>
    <xf numFmtId="0" fontId="0" fillId="0" borderId="0" xfId="0" applyAlignment="1">
      <alignment horizontal="left"/>
    </xf>
    <xf numFmtId="0" fontId="19" fillId="9" borderId="21" xfId="5" applyAlignment="1"/>
    <xf numFmtId="0" fontId="40" fillId="0" borderId="0" xfId="6" quotePrefix="1" applyFont="1" applyFill="1" applyBorder="1" applyAlignment="1">
      <alignment horizontal="center" vertical="center" wrapText="1"/>
    </xf>
    <xf numFmtId="0" fontId="40" fillId="0" borderId="0" xfId="6" applyFont="1" applyFill="1" applyBorder="1" applyAlignment="1">
      <alignment horizontal="left" vertical="center" wrapText="1"/>
    </xf>
    <xf numFmtId="0" fontId="40" fillId="0" borderId="0" xfId="6" applyFont="1" applyFill="1" applyBorder="1" applyAlignment="1">
      <alignment horizontal="center" vertical="center" wrapText="1"/>
    </xf>
    <xf numFmtId="3" fontId="40" fillId="0" borderId="0" xfId="6" applyNumberFormat="1" applyFont="1" applyFill="1" applyBorder="1" applyAlignment="1">
      <alignment horizontal="right" vertical="center"/>
    </xf>
    <xf numFmtId="0" fontId="40" fillId="0" borderId="0" xfId="6" applyFont="1" applyFill="1" applyBorder="1" applyAlignment="1">
      <alignment horizontal="center" vertical="center"/>
    </xf>
    <xf numFmtId="2" fontId="40" fillId="0" borderId="0" xfId="6" applyNumberFormat="1" applyFont="1" applyFill="1" applyBorder="1" applyAlignment="1">
      <alignment horizontal="right" vertical="center" wrapText="1"/>
    </xf>
    <xf numFmtId="49" fontId="30" fillId="0" borderId="0" xfId="0" applyNumberFormat="1" applyFont="1" applyAlignment="1" applyProtection="1">
      <alignment horizontal="center"/>
      <protection locked="0"/>
    </xf>
    <xf numFmtId="2" fontId="36" fillId="0" borderId="0" xfId="2" applyNumberFormat="1" applyFont="1"/>
    <xf numFmtId="0" fontId="41" fillId="0" borderId="1" xfId="6" applyFont="1" applyFill="1" applyBorder="1" applyAlignment="1">
      <alignment horizontal="left" vertical="center" wrapText="1"/>
    </xf>
    <xf numFmtId="0" fontId="41" fillId="0" borderId="1" xfId="6" applyFont="1" applyFill="1" applyBorder="1" applyAlignment="1">
      <alignment horizontal="center" vertical="center" wrapText="1"/>
    </xf>
    <xf numFmtId="3" fontId="41" fillId="0" borderId="1" xfId="6" applyNumberFormat="1" applyFont="1" applyFill="1" applyBorder="1" applyAlignment="1">
      <alignment horizontal="right" vertical="center"/>
    </xf>
    <xf numFmtId="0" fontId="41" fillId="0" borderId="1" xfId="6" applyFont="1" applyFill="1" applyBorder="1" applyAlignment="1">
      <alignment horizontal="center" vertical="center"/>
    </xf>
    <xf numFmtId="0" fontId="27" fillId="11" borderId="0" xfId="0" quotePrefix="1" applyFont="1" applyFill="1" applyAlignment="1" applyProtection="1">
      <alignment horizontal="center" wrapText="1"/>
      <protection locked="0"/>
    </xf>
    <xf numFmtId="49" fontId="29" fillId="0" borderId="0" xfId="0" applyNumberFormat="1" applyFont="1" applyAlignment="1">
      <alignment horizontal="center" vertical="center" wrapText="1"/>
    </xf>
    <xf numFmtId="49" fontId="29" fillId="0" borderId="0" xfId="0" applyNumberFormat="1" applyFont="1" applyAlignment="1">
      <alignment horizontal="center" vertical="center"/>
    </xf>
    <xf numFmtId="0" fontId="21" fillId="30" borderId="11" xfId="6" applyFont="1" applyFill="1" applyBorder="1" applyAlignment="1">
      <alignment horizontal="left" vertical="center" wrapText="1"/>
    </xf>
    <xf numFmtId="0" fontId="21" fillId="30" borderId="11" xfId="6" applyFont="1" applyFill="1" applyBorder="1" applyAlignment="1">
      <alignment horizontal="center" vertical="center" wrapText="1"/>
    </xf>
    <xf numFmtId="3" fontId="21" fillId="30" borderId="11" xfId="6" applyNumberFormat="1" applyFont="1" applyFill="1" applyBorder="1" applyAlignment="1">
      <alignment horizontal="right" vertical="center"/>
    </xf>
    <xf numFmtId="0" fontId="21" fillId="30" borderId="11" xfId="6" applyFont="1" applyFill="1" applyBorder="1" applyAlignment="1">
      <alignment horizontal="center" vertical="center"/>
    </xf>
    <xf numFmtId="2" fontId="42" fillId="0" borderId="0" xfId="0" applyNumberFormat="1" applyFont="1" applyAlignment="1" applyProtection="1">
      <alignment horizontal="center"/>
      <protection locked="0"/>
    </xf>
    <xf numFmtId="166" fontId="28" fillId="0" borderId="6" xfId="0" applyNumberFormat="1" applyFont="1" applyBorder="1"/>
    <xf numFmtId="2" fontId="27" fillId="0" borderId="5" xfId="0" applyNumberFormat="1" applyFont="1" applyBorder="1" applyAlignment="1" applyProtection="1">
      <alignment horizontal="center"/>
      <protection locked="0"/>
    </xf>
    <xf numFmtId="166" fontId="30" fillId="11" borderId="0" xfId="0" applyNumberFormat="1" applyFont="1" applyFill="1" applyAlignment="1" applyProtection="1">
      <alignment horizontal="center"/>
      <protection locked="0"/>
    </xf>
    <xf numFmtId="171" fontId="28" fillId="11" borderId="0" xfId="4" applyNumberFormat="1" applyFont="1" applyFill="1" applyAlignment="1">
      <alignment horizontal="center"/>
    </xf>
    <xf numFmtId="0" fontId="25" fillId="23" borderId="0" xfId="0" applyFont="1" applyFill="1" applyAlignment="1">
      <alignment horizontal="center" wrapText="1"/>
    </xf>
    <xf numFmtId="166" fontId="27" fillId="26" borderId="0" xfId="0" applyNumberFormat="1" applyFont="1" applyFill="1" applyAlignment="1" applyProtection="1">
      <alignment horizontal="center"/>
      <protection locked="0"/>
    </xf>
    <xf numFmtId="2" fontId="0" fillId="0" borderId="5" xfId="0" applyNumberFormat="1" applyBorder="1"/>
    <xf numFmtId="0" fontId="43" fillId="0" borderId="0" xfId="0" applyFont="1"/>
    <xf numFmtId="0" fontId="27" fillId="31" borderId="0" xfId="0" applyFont="1" applyFill="1" applyAlignment="1" applyProtection="1">
      <alignment horizontal="center"/>
      <protection locked="0"/>
    </xf>
    <xf numFmtId="49" fontId="27" fillId="30" borderId="0" xfId="0" applyNumberFormat="1" applyFont="1" applyFill="1" applyAlignment="1" applyProtection="1">
      <alignment horizontal="center"/>
      <protection locked="0"/>
    </xf>
    <xf numFmtId="1" fontId="27" fillId="31" borderId="0" xfId="0" applyNumberFormat="1" applyFont="1" applyFill="1" applyAlignment="1" applyProtection="1">
      <alignment horizontal="center"/>
      <protection locked="0"/>
    </xf>
    <xf numFmtId="1" fontId="29" fillId="23" borderId="0" xfId="0" applyNumberFormat="1" applyFont="1" applyFill="1" applyAlignment="1" applyProtection="1">
      <alignment horizontal="center"/>
      <protection locked="0"/>
    </xf>
    <xf numFmtId="0" fontId="44" fillId="0" borderId="0" xfId="0" applyFont="1" applyAlignment="1">
      <alignment horizontal="center"/>
    </xf>
    <xf numFmtId="0" fontId="45" fillId="0" borderId="0" xfId="0" applyFont="1" applyAlignment="1">
      <alignment horizontal="center" vertical="center"/>
    </xf>
    <xf numFmtId="0" fontId="26" fillId="0" borderId="1" xfId="6" applyFont="1" applyFill="1" applyBorder="1" applyAlignment="1">
      <alignment horizontal="left" vertical="center" wrapText="1"/>
    </xf>
    <xf numFmtId="0" fontId="26" fillId="0" borderId="1" xfId="6" applyFont="1" applyFill="1" applyBorder="1" applyAlignment="1">
      <alignment horizontal="center" vertical="center"/>
    </xf>
    <xf numFmtId="49" fontId="27" fillId="0" borderId="0" xfId="0" quotePrefix="1" applyNumberFormat="1" applyFont="1" applyAlignment="1" applyProtection="1">
      <alignment horizontal="center"/>
      <protection locked="0"/>
    </xf>
    <xf numFmtId="0" fontId="32" fillId="0" borderId="0" xfId="0" applyFont="1" applyAlignment="1">
      <alignment horizontal="right"/>
    </xf>
    <xf numFmtId="0" fontId="32" fillId="4" borderId="0" xfId="0" applyFont="1" applyFill="1" applyAlignment="1">
      <alignment horizontal="right"/>
    </xf>
    <xf numFmtId="0" fontId="32" fillId="0" borderId="0" xfId="7" applyAlignment="1">
      <alignment horizontal="right"/>
    </xf>
    <xf numFmtId="0" fontId="0" fillId="4" borderId="0" xfId="0" applyFill="1" applyAlignment="1">
      <alignment horizontal="right"/>
    </xf>
    <xf numFmtId="49" fontId="47" fillId="24" borderId="1" xfId="0" applyNumberFormat="1" applyFont="1" applyFill="1" applyBorder="1" applyAlignment="1">
      <alignment horizontal="center" vertical="center" wrapText="1"/>
    </xf>
    <xf numFmtId="0" fontId="47" fillId="24" borderId="12" xfId="0" applyFont="1" applyFill="1" applyBorder="1" applyAlignment="1">
      <alignment horizontal="center" vertical="center" wrapText="1"/>
    </xf>
    <xf numFmtId="0" fontId="0" fillId="0" borderId="10" xfId="0" applyBorder="1"/>
    <xf numFmtId="0" fontId="32" fillId="24" borderId="13" xfId="0" applyFont="1" applyFill="1" applyBorder="1" applyAlignment="1">
      <alignment horizontal="center" vertical="center"/>
    </xf>
    <xf numFmtId="0" fontId="32" fillId="24" borderId="1" xfId="0" applyFont="1" applyFill="1" applyBorder="1" applyAlignment="1">
      <alignment horizontal="center" vertical="center" wrapText="1"/>
    </xf>
    <xf numFmtId="0" fontId="46" fillId="24" borderId="1" xfId="0" applyFont="1" applyFill="1" applyBorder="1" applyAlignment="1">
      <alignment horizontal="center" vertical="center" wrapText="1"/>
    </xf>
    <xf numFmtId="0" fontId="0" fillId="0" borderId="6" xfId="0" applyBorder="1"/>
    <xf numFmtId="0" fontId="32" fillId="24" borderId="13" xfId="0" applyFont="1" applyFill="1" applyBorder="1" applyAlignment="1">
      <alignment horizontal="center" vertical="center" wrapText="1"/>
    </xf>
    <xf numFmtId="0" fontId="32" fillId="0" borderId="0" xfId="0" applyFont="1"/>
    <xf numFmtId="4" fontId="46" fillId="0" borderId="0" xfId="0" applyNumberFormat="1" applyFont="1"/>
    <xf numFmtId="2" fontId="24" fillId="0" borderId="0" xfId="0" applyNumberFormat="1" applyFont="1"/>
    <xf numFmtId="0" fontId="41" fillId="0" borderId="11" xfId="6" applyFont="1" applyFill="1" applyBorder="1" applyAlignment="1">
      <alignment horizontal="left" vertical="center" wrapText="1"/>
    </xf>
    <xf numFmtId="3" fontId="41" fillId="0" borderId="11" xfId="6" applyNumberFormat="1" applyFont="1" applyFill="1" applyBorder="1" applyAlignment="1">
      <alignment horizontal="right" vertical="center"/>
    </xf>
    <xf numFmtId="0" fontId="41" fillId="0" borderId="11" xfId="6" applyFont="1" applyFill="1" applyBorder="1" applyAlignment="1">
      <alignment horizontal="center" vertical="center"/>
    </xf>
    <xf numFmtId="0" fontId="28" fillId="32" borderId="0" xfId="0" applyFont="1" applyFill="1" applyAlignment="1">
      <alignment horizontal="center"/>
    </xf>
    <xf numFmtId="166" fontId="27" fillId="12" borderId="0" xfId="0" applyNumberFormat="1" applyFont="1" applyFill="1" applyAlignment="1" applyProtection="1">
      <alignment horizontal="center"/>
      <protection locked="0"/>
    </xf>
    <xf numFmtId="49" fontId="27" fillId="12" borderId="0" xfId="0" quotePrefix="1" applyNumberFormat="1" applyFont="1" applyFill="1" applyAlignment="1" applyProtection="1">
      <alignment horizontal="center"/>
      <protection locked="0"/>
    </xf>
    <xf numFmtId="49" fontId="27" fillId="12" borderId="0" xfId="0" applyNumberFormat="1" applyFont="1" applyFill="1" applyAlignment="1" applyProtection="1">
      <alignment horizontal="center"/>
      <protection locked="0"/>
    </xf>
    <xf numFmtId="0" fontId="27" fillId="12" borderId="0" xfId="0" applyFont="1" applyFill="1" applyAlignment="1" applyProtection="1">
      <alignment horizontal="center"/>
      <protection locked="0"/>
    </xf>
    <xf numFmtId="0" fontId="25" fillId="12" borderId="0" xfId="0" applyFont="1" applyFill="1" applyAlignment="1">
      <alignment horizontal="center" wrapText="1"/>
    </xf>
    <xf numFmtId="1" fontId="27" fillId="12" borderId="0" xfId="0" applyNumberFormat="1" applyFont="1" applyFill="1" applyAlignment="1" applyProtection="1">
      <alignment horizontal="center"/>
      <protection locked="0"/>
    </xf>
    <xf numFmtId="0" fontId="28" fillId="12" borderId="0" xfId="0" applyFont="1" applyFill="1" applyAlignment="1">
      <alignment horizontal="center"/>
    </xf>
    <xf numFmtId="2" fontId="27" fillId="12" borderId="0" xfId="0" applyNumberFormat="1" applyFont="1" applyFill="1" applyAlignment="1" applyProtection="1">
      <alignment horizontal="center"/>
      <protection locked="0"/>
    </xf>
    <xf numFmtId="166" fontId="27" fillId="24" borderId="0" xfId="0" applyNumberFormat="1" applyFont="1" applyFill="1" applyAlignment="1">
      <alignment horizontal="center"/>
    </xf>
    <xf numFmtId="0" fontId="0" fillId="4" borderId="0" xfId="0" quotePrefix="1" applyFill="1"/>
    <xf numFmtId="0" fontId="27" fillId="4" borderId="0" xfId="0" applyFont="1" applyFill="1" applyAlignment="1" applyProtection="1">
      <alignment horizontal="center"/>
      <protection locked="0"/>
    </xf>
    <xf numFmtId="166" fontId="27" fillId="31" borderId="0" xfId="0" applyNumberFormat="1" applyFont="1" applyFill="1" applyAlignment="1">
      <alignment horizontal="center"/>
    </xf>
    <xf numFmtId="0" fontId="43" fillId="12" borderId="0" xfId="0" applyFont="1" applyFill="1"/>
    <xf numFmtId="166" fontId="27" fillId="33" borderId="0" xfId="0" applyNumberFormat="1" applyFont="1" applyFill="1" applyAlignment="1" applyProtection="1">
      <alignment horizontal="center"/>
      <protection locked="0"/>
    </xf>
    <xf numFmtId="0" fontId="27" fillId="33" borderId="0" xfId="0" applyFont="1" applyFill="1" applyAlignment="1" applyProtection="1">
      <alignment horizontal="center"/>
      <protection locked="0"/>
    </xf>
    <xf numFmtId="49" fontId="27" fillId="33" borderId="0" xfId="0" applyNumberFormat="1" applyFont="1" applyFill="1" applyAlignment="1" applyProtection="1">
      <alignment horizontal="center"/>
      <protection locked="0"/>
    </xf>
    <xf numFmtId="1" fontId="27" fillId="33" borderId="0" xfId="0" applyNumberFormat="1" applyFont="1" applyFill="1" applyAlignment="1" applyProtection="1">
      <alignment horizontal="center"/>
      <protection locked="0"/>
    </xf>
    <xf numFmtId="166" fontId="27" fillId="31" borderId="0" xfId="0" applyNumberFormat="1" applyFont="1" applyFill="1" applyAlignment="1" applyProtection="1">
      <alignment horizontal="center"/>
      <protection locked="0"/>
    </xf>
    <xf numFmtId="166" fontId="30" fillId="31" borderId="0" xfId="0" applyNumberFormat="1" applyFont="1" applyFill="1" applyAlignment="1" applyProtection="1">
      <alignment horizontal="center"/>
      <protection locked="0"/>
    </xf>
    <xf numFmtId="171" fontId="28" fillId="31" borderId="0" xfId="4" applyNumberFormat="1" applyFont="1" applyFill="1" applyAlignment="1">
      <alignment horizontal="center"/>
    </xf>
    <xf numFmtId="49" fontId="27" fillId="31" borderId="0" xfId="0" applyNumberFormat="1" applyFont="1" applyFill="1" applyAlignment="1" applyProtection="1">
      <alignment horizontal="center"/>
      <protection locked="0"/>
    </xf>
    <xf numFmtId="166" fontId="27" fillId="23" borderId="0" xfId="0" applyNumberFormat="1" applyFont="1" applyFill="1" applyAlignment="1" applyProtection="1">
      <alignment horizontal="center"/>
      <protection locked="0"/>
    </xf>
    <xf numFmtId="49" fontId="27" fillId="23" borderId="0" xfId="0" applyNumberFormat="1" applyFont="1" applyFill="1" applyAlignment="1" applyProtection="1">
      <alignment horizontal="center"/>
      <protection locked="0"/>
    </xf>
    <xf numFmtId="0" fontId="43" fillId="23" borderId="0" xfId="0" applyFont="1" applyFill="1"/>
    <xf numFmtId="166" fontId="28" fillId="24" borderId="5" xfId="0" applyNumberFormat="1" applyFont="1" applyFill="1" applyBorder="1" applyAlignment="1">
      <alignment horizontal="center"/>
    </xf>
    <xf numFmtId="166" fontId="28" fillId="0" borderId="5" xfId="0" applyNumberFormat="1" applyFont="1" applyBorder="1"/>
    <xf numFmtId="2" fontId="25" fillId="31" borderId="0" xfId="0" applyNumberFormat="1" applyFont="1" applyFill="1" applyAlignment="1">
      <alignment horizontal="center"/>
    </xf>
    <xf numFmtId="3" fontId="25" fillId="31" borderId="0" xfId="0" applyNumberFormat="1" applyFont="1" applyFill="1" applyAlignment="1">
      <alignment horizontal="center"/>
    </xf>
    <xf numFmtId="166" fontId="27" fillId="23" borderId="0" xfId="0" applyNumberFormat="1" applyFont="1" applyFill="1" applyAlignment="1">
      <alignment horizontal="center"/>
    </xf>
    <xf numFmtId="0" fontId="36" fillId="0" borderId="0" xfId="2" applyFont="1" applyAlignment="1">
      <alignment wrapText="1"/>
    </xf>
    <xf numFmtId="49" fontId="30" fillId="25" borderId="0" xfId="0" applyNumberFormat="1" applyFont="1" applyFill="1" applyAlignment="1" applyProtection="1">
      <alignment horizontal="center"/>
      <protection locked="0"/>
    </xf>
    <xf numFmtId="167" fontId="33" fillId="4" borderId="0" xfId="2" applyNumberFormat="1" applyFont="1" applyFill="1"/>
    <xf numFmtId="0" fontId="31" fillId="29" borderId="1" xfId="0" applyFont="1" applyFill="1" applyBorder="1" applyAlignment="1">
      <alignment horizontal="center"/>
    </xf>
    <xf numFmtId="2" fontId="30" fillId="29" borderId="1" xfId="0" applyNumberFormat="1" applyFont="1" applyFill="1" applyBorder="1" applyAlignment="1">
      <alignment horizontal="center"/>
    </xf>
    <xf numFmtId="2" fontId="27" fillId="34" borderId="0" xfId="0" applyNumberFormat="1" applyFont="1" applyFill="1" applyAlignment="1">
      <alignment horizontal="center"/>
    </xf>
    <xf numFmtId="0" fontId="28" fillId="11" borderId="0" xfId="0" applyFont="1" applyFill="1" applyAlignment="1">
      <alignment horizontal="center"/>
    </xf>
    <xf numFmtId="0" fontId="30" fillId="0" borderId="0" xfId="0" applyFont="1" applyAlignment="1" applyProtection="1">
      <alignment horizontal="center"/>
      <protection locked="0"/>
    </xf>
    <xf numFmtId="0" fontId="30" fillId="4" borderId="0" xfId="0" applyFont="1" applyFill="1" applyAlignment="1" applyProtection="1">
      <alignment horizontal="center"/>
      <protection locked="0"/>
    </xf>
    <xf numFmtId="0" fontId="30" fillId="11" borderId="0" xfId="0" applyFont="1" applyFill="1" applyAlignment="1" applyProtection="1">
      <alignment horizontal="center" wrapText="1"/>
      <protection locked="0"/>
    </xf>
    <xf numFmtId="0" fontId="30" fillId="23" borderId="0" xfId="0" quotePrefix="1" applyFont="1" applyFill="1" applyAlignment="1" applyProtection="1">
      <alignment horizontal="center"/>
      <protection locked="0"/>
    </xf>
    <xf numFmtId="0" fontId="30" fillId="31" borderId="0" xfId="0" applyFont="1" applyFill="1" applyAlignment="1" applyProtection="1">
      <alignment horizontal="center" wrapText="1"/>
      <protection locked="0"/>
    </xf>
    <xf numFmtId="0" fontId="30" fillId="12" borderId="0" xfId="0" applyFont="1" applyFill="1" applyAlignment="1" applyProtection="1">
      <alignment horizontal="center"/>
      <protection locked="0"/>
    </xf>
    <xf numFmtId="0" fontId="30" fillId="33" borderId="0" xfId="0" applyFont="1" applyFill="1" applyAlignment="1" applyProtection="1">
      <alignment horizontal="center"/>
      <protection locked="0"/>
    </xf>
    <xf numFmtId="0" fontId="30" fillId="11" borderId="0" xfId="0" applyFont="1" applyFill="1" applyAlignment="1" applyProtection="1">
      <alignment horizontal="center"/>
      <protection locked="0"/>
    </xf>
    <xf numFmtId="0" fontId="50" fillId="0" borderId="0" xfId="0" applyFont="1"/>
    <xf numFmtId="0" fontId="29" fillId="0" borderId="0" xfId="0" applyFont="1" applyAlignment="1">
      <alignment horizontal="center"/>
    </xf>
    <xf numFmtId="0" fontId="30" fillId="11" borderId="0" xfId="0" quotePrefix="1" applyFont="1" applyFill="1" applyAlignment="1" applyProtection="1">
      <alignment horizontal="center" wrapText="1"/>
      <protection locked="0"/>
    </xf>
    <xf numFmtId="166" fontId="30" fillId="0" borderId="0" xfId="0" applyNumberFormat="1" applyFont="1" applyAlignment="1" applyProtection="1">
      <alignment horizontal="center"/>
      <protection locked="0"/>
    </xf>
    <xf numFmtId="49" fontId="30" fillId="0" borderId="0" xfId="0" quotePrefix="1" applyNumberFormat="1" applyFont="1" applyAlignment="1" applyProtection="1">
      <alignment horizontal="center"/>
      <protection locked="0"/>
    </xf>
    <xf numFmtId="0" fontId="30" fillId="0" borderId="0" xfId="0" applyFont="1" applyAlignment="1">
      <alignment horizontal="center" wrapText="1"/>
    </xf>
    <xf numFmtId="1" fontId="30" fillId="0" borderId="0" xfId="0" applyNumberFormat="1" applyFont="1" applyAlignment="1" applyProtection="1">
      <alignment horizontal="center"/>
      <protection locked="0"/>
    </xf>
    <xf numFmtId="0" fontId="31" fillId="0" borderId="0" xfId="0" applyFont="1" applyAlignment="1">
      <alignment horizontal="center"/>
    </xf>
    <xf numFmtId="2" fontId="30" fillId="0" borderId="0" xfId="0" applyNumberFormat="1" applyFont="1" applyAlignment="1" applyProtection="1">
      <alignment horizontal="center"/>
      <protection locked="0"/>
    </xf>
    <xf numFmtId="0" fontId="30" fillId="31" borderId="0" xfId="0" applyFont="1" applyFill="1" applyAlignment="1" applyProtection="1">
      <alignment horizontal="center"/>
      <protection locked="0"/>
    </xf>
    <xf numFmtId="3" fontId="28" fillId="0" borderId="5" xfId="0" applyNumberFormat="1" applyFont="1" applyBorder="1"/>
    <xf numFmtId="0" fontId="30" fillId="4" borderId="0" xfId="0" applyFont="1" applyFill="1" applyAlignment="1" applyProtection="1">
      <alignment horizontal="center" wrapText="1"/>
      <protection locked="0"/>
    </xf>
    <xf numFmtId="0" fontId="30" fillId="35" borderId="0" xfId="0" applyFont="1" applyFill="1" applyAlignment="1" applyProtection="1">
      <alignment horizontal="center"/>
      <protection locked="0"/>
    </xf>
    <xf numFmtId="2" fontId="28" fillId="11" borderId="0" xfId="4" applyNumberFormat="1" applyFont="1" applyFill="1" applyAlignment="1">
      <alignment horizontal="center"/>
    </xf>
    <xf numFmtId="167" fontId="36" fillId="0" borderId="0" xfId="2" applyNumberFormat="1" applyFont="1"/>
    <xf numFmtId="1" fontId="36" fillId="0" borderId="0" xfId="2" applyNumberFormat="1" applyFont="1"/>
    <xf numFmtId="3" fontId="0" fillId="0" borderId="0" xfId="0" applyNumberFormat="1"/>
    <xf numFmtId="49" fontId="16" fillId="0" borderId="0" xfId="0" applyNumberFormat="1" applyFont="1"/>
    <xf numFmtId="1" fontId="16" fillId="0" borderId="0" xfId="0" applyNumberFormat="1" applyFont="1"/>
    <xf numFmtId="2" fontId="16" fillId="0" borderId="0" xfId="0" applyNumberFormat="1" applyFont="1"/>
    <xf numFmtId="0" fontId="16" fillId="0" borderId="1" xfId="0" applyFont="1" applyBorder="1"/>
    <xf numFmtId="3" fontId="37" fillId="0" borderId="0" xfId="0" applyNumberFormat="1" applyFont="1"/>
    <xf numFmtId="0" fontId="30" fillId="4" borderId="0" xfId="0" applyFont="1" applyFill="1" applyAlignment="1">
      <alignment horizontal="center"/>
    </xf>
    <xf numFmtId="0" fontId="27" fillId="18" borderId="36" xfId="0" applyFont="1" applyFill="1" applyBorder="1" applyAlignment="1">
      <alignment horizontal="center" textRotation="90" wrapText="1"/>
    </xf>
    <xf numFmtId="0" fontId="30" fillId="24" borderId="14" xfId="1" applyFont="1" applyFill="1" applyBorder="1" applyAlignment="1">
      <alignment horizontal="center"/>
    </xf>
    <xf numFmtId="0" fontId="13" fillId="24" borderId="0" xfId="0" applyFont="1" applyFill="1" applyAlignment="1">
      <alignment horizontal="center" vertical="center" textRotation="90" wrapText="1"/>
    </xf>
    <xf numFmtId="0" fontId="13" fillId="24" borderId="6" xfId="0" applyFont="1" applyFill="1" applyBorder="1" applyAlignment="1">
      <alignment horizontal="center" vertical="center" textRotation="90" wrapText="1"/>
    </xf>
    <xf numFmtId="0" fontId="25" fillId="3" borderId="5" xfId="0" applyFont="1" applyFill="1" applyBorder="1" applyAlignment="1">
      <alignment horizontal="center" wrapText="1"/>
    </xf>
    <xf numFmtId="49" fontId="27" fillId="12" borderId="33" xfId="1" applyNumberFormat="1" applyFont="1" applyFill="1" applyBorder="1" applyAlignment="1" applyProtection="1">
      <alignment horizontal="center"/>
      <protection locked="0"/>
    </xf>
    <xf numFmtId="49" fontId="27" fillId="12" borderId="34" xfId="1" applyNumberFormat="1" applyFont="1" applyFill="1" applyBorder="1" applyAlignment="1" applyProtection="1">
      <alignment horizontal="center"/>
      <protection locked="0"/>
    </xf>
    <xf numFmtId="49" fontId="27" fillId="23" borderId="33" xfId="1" applyNumberFormat="1" applyFont="1" applyFill="1" applyBorder="1" applyAlignment="1" applyProtection="1">
      <alignment horizontal="center"/>
      <protection locked="0"/>
    </xf>
    <xf numFmtId="49" fontId="27" fillId="23" borderId="34" xfId="1" applyNumberFormat="1" applyFont="1" applyFill="1" applyBorder="1" applyAlignment="1" applyProtection="1">
      <alignment horizontal="center"/>
      <protection locked="0"/>
    </xf>
    <xf numFmtId="49" fontId="27" fillId="19" borderId="33" xfId="1" applyNumberFormat="1" applyFont="1" applyFill="1" applyBorder="1" applyAlignment="1" applyProtection="1">
      <alignment horizontal="center"/>
      <protection locked="0"/>
    </xf>
    <xf numFmtId="49" fontId="27" fillId="19" borderId="34" xfId="1" applyNumberFormat="1" applyFont="1" applyFill="1" applyBorder="1" applyAlignment="1" applyProtection="1">
      <alignment horizontal="center"/>
      <protection locked="0"/>
    </xf>
    <xf numFmtId="0" fontId="25" fillId="8" borderId="33" xfId="0" applyFont="1" applyFill="1" applyBorder="1" applyAlignment="1">
      <alignment horizontal="center"/>
    </xf>
    <xf numFmtId="0" fontId="25" fillId="8" borderId="34" xfId="0" applyFont="1" applyFill="1" applyBorder="1" applyAlignment="1">
      <alignment horizontal="center"/>
    </xf>
    <xf numFmtId="0" fontId="13" fillId="27" borderId="6" xfId="0" applyFont="1" applyFill="1" applyBorder="1" applyAlignment="1">
      <alignment horizontal="center" vertical="center" textRotation="90" wrapText="1"/>
    </xf>
    <xf numFmtId="164" fontId="2" fillId="0" borderId="9" xfId="1" applyNumberFormat="1" applyFont="1" applyBorder="1" applyAlignment="1" applyProtection="1">
      <alignment horizontal="center" vertical="center" textRotation="90"/>
      <protection locked="0"/>
    </xf>
    <xf numFmtId="164" fontId="2" fillId="0" borderId="10" xfId="1" applyNumberFormat="1" applyFont="1" applyBorder="1" applyAlignment="1" applyProtection="1">
      <alignment horizontal="center" vertical="center" textRotation="90"/>
      <protection locked="0"/>
    </xf>
    <xf numFmtId="164" fontId="2" fillId="0" borderId="11" xfId="1" applyNumberFormat="1" applyFont="1" applyBorder="1" applyAlignment="1" applyProtection="1">
      <alignment horizontal="center" vertical="center" textRotation="90"/>
      <protection locked="0"/>
    </xf>
    <xf numFmtId="0" fontId="6" fillId="0" borderId="1" xfId="1" applyFont="1" applyBorder="1" applyAlignment="1">
      <alignment horizontal="center" vertical="center" wrapText="1"/>
    </xf>
    <xf numFmtId="1" fontId="6" fillId="0" borderId="1" xfId="1" applyNumberFormat="1" applyFont="1" applyBorder="1" applyAlignment="1">
      <alignment horizontal="center" vertical="center" wrapText="1"/>
    </xf>
    <xf numFmtId="49" fontId="6" fillId="0" borderId="9" xfId="1" applyNumberFormat="1" applyFont="1" applyBorder="1" applyAlignment="1">
      <alignment horizontal="center" vertical="center" wrapText="1"/>
    </xf>
    <xf numFmtId="49" fontId="6" fillId="0" borderId="11" xfId="1" applyNumberFormat="1" applyFont="1" applyBorder="1" applyAlignment="1">
      <alignment horizontal="center" vertical="center" wrapText="1"/>
    </xf>
    <xf numFmtId="0" fontId="6" fillId="0" borderId="9" xfId="1" applyFont="1" applyBorder="1" applyAlignment="1">
      <alignment horizontal="center" vertical="center" wrapText="1"/>
    </xf>
    <xf numFmtId="0" fontId="6" fillId="0" borderId="11" xfId="1" applyFont="1" applyBorder="1" applyAlignment="1">
      <alignment horizontal="center" vertical="center" wrapText="1"/>
    </xf>
    <xf numFmtId="1" fontId="7" fillId="0" borderId="3" xfId="1" applyNumberFormat="1" applyFont="1" applyBorder="1" applyAlignment="1" applyProtection="1">
      <alignment horizontal="center" wrapText="1"/>
      <protection locked="0"/>
    </xf>
    <xf numFmtId="0" fontId="8" fillId="0" borderId="4" xfId="1" applyFont="1" applyBorder="1" applyAlignment="1">
      <alignment horizontal="center"/>
    </xf>
    <xf numFmtId="0" fontId="8" fillId="0" borderId="5" xfId="1" applyFont="1" applyBorder="1" applyAlignment="1">
      <alignment horizontal="center"/>
    </xf>
    <xf numFmtId="0" fontId="8" fillId="0" borderId="6" xfId="1" applyFont="1" applyBorder="1" applyAlignment="1">
      <alignment horizontal="center"/>
    </xf>
    <xf numFmtId="0" fontId="8" fillId="0" borderId="7" xfId="1" applyFont="1" applyBorder="1" applyAlignment="1">
      <alignment horizontal="center"/>
    </xf>
    <xf numFmtId="0" fontId="8" fillId="0" borderId="8" xfId="1" applyFont="1" applyBorder="1" applyAlignment="1">
      <alignment horizontal="center"/>
    </xf>
    <xf numFmtId="0" fontId="5" fillId="0" borderId="1" xfId="1" applyFont="1" applyBorder="1" applyAlignment="1">
      <alignment horizontal="center" vertical="center"/>
    </xf>
    <xf numFmtId="0" fontId="2" fillId="0" borderId="1" xfId="1" applyFont="1" applyBorder="1" applyAlignment="1">
      <alignment horizontal="center" vertical="center" wrapText="1"/>
    </xf>
    <xf numFmtId="165" fontId="2" fillId="0" borderId="1" xfId="1" applyNumberFormat="1" applyFont="1" applyBorder="1" applyAlignment="1">
      <alignment horizontal="center" vertical="top"/>
    </xf>
    <xf numFmtId="0" fontId="2" fillId="0" borderId="1" xfId="1" applyFont="1" applyBorder="1" applyAlignment="1" applyProtection="1">
      <alignment horizontal="left" vertical="center"/>
      <protection locked="0"/>
    </xf>
    <xf numFmtId="0" fontId="2" fillId="0" borderId="1" xfId="1" applyFont="1" applyBorder="1" applyAlignment="1">
      <alignment horizontal="center" vertical="center"/>
    </xf>
    <xf numFmtId="0" fontId="2" fillId="0" borderId="1" xfId="1" applyFont="1" applyBorder="1" applyAlignment="1" applyProtection="1">
      <alignment horizontal="center" vertical="top"/>
      <protection locked="0"/>
    </xf>
    <xf numFmtId="49" fontId="6" fillId="0" borderId="3" xfId="1" applyNumberFormat="1" applyFont="1" applyBorder="1" applyAlignment="1">
      <alignment horizontal="center" vertical="center" wrapText="1"/>
    </xf>
    <xf numFmtId="49" fontId="6" fillId="0" borderId="4" xfId="1" applyNumberFormat="1" applyFont="1" applyBorder="1" applyAlignment="1">
      <alignment horizontal="center" vertical="center" wrapText="1"/>
    </xf>
    <xf numFmtId="0" fontId="2" fillId="0" borderId="7" xfId="1" applyFont="1" applyBorder="1" applyAlignment="1">
      <alignment horizontal="center" vertical="center" wrapText="1"/>
    </xf>
    <xf numFmtId="0" fontId="2" fillId="0" borderId="8" xfId="1" applyFont="1" applyBorder="1" applyAlignment="1">
      <alignment horizontal="center" vertical="center" wrapText="1"/>
    </xf>
    <xf numFmtId="0" fontId="3" fillId="0" borderId="1" xfId="1" applyFont="1" applyBorder="1" applyAlignment="1" applyProtection="1">
      <alignment horizontal="left" vertical="top"/>
      <protection locked="0"/>
    </xf>
    <xf numFmtId="0" fontId="2" fillId="0" borderId="1" xfId="1" applyFont="1" applyBorder="1" applyAlignment="1" applyProtection="1">
      <alignment horizontal="left"/>
      <protection locked="0"/>
    </xf>
    <xf numFmtId="0" fontId="5" fillId="0" borderId="1" xfId="1" applyFont="1" applyBorder="1" applyAlignment="1" applyProtection="1">
      <alignment horizontal="center" vertical="center"/>
      <protection locked="0"/>
    </xf>
    <xf numFmtId="164" fontId="2" fillId="0" borderId="3" xfId="1" applyNumberFormat="1" applyFont="1" applyBorder="1" applyAlignment="1" applyProtection="1">
      <alignment horizontal="center" vertical="center" textRotation="90"/>
      <protection locked="0"/>
    </xf>
    <xf numFmtId="164" fontId="2" fillId="0" borderId="5" xfId="1" applyNumberFormat="1" applyFont="1" applyBorder="1" applyAlignment="1" applyProtection="1">
      <alignment horizontal="center" vertical="center" textRotation="90"/>
      <protection locked="0"/>
    </xf>
    <xf numFmtId="164" fontId="2" fillId="0" borderId="7" xfId="1" applyNumberFormat="1" applyFont="1" applyBorder="1" applyAlignment="1" applyProtection="1">
      <alignment horizontal="center" vertical="center" textRotation="90"/>
      <protection locked="0"/>
    </xf>
    <xf numFmtId="164" fontId="2" fillId="0" borderId="0" xfId="1" applyNumberFormat="1" applyFont="1" applyAlignment="1" applyProtection="1">
      <alignment horizontal="center" vertical="center" textRotation="90"/>
      <protection locked="0"/>
    </xf>
    <xf numFmtId="0" fontId="6" fillId="0" borderId="12" xfId="1" applyFont="1" applyBorder="1" applyAlignment="1">
      <alignment horizontal="center" vertical="center" wrapText="1"/>
    </xf>
    <xf numFmtId="0" fontId="6" fillId="0" borderId="0" xfId="1" applyFont="1" applyAlignment="1">
      <alignment horizontal="center" vertical="center" wrapText="1"/>
    </xf>
    <xf numFmtId="0" fontId="2" fillId="0" borderId="0" xfId="1" applyFont="1" applyAlignment="1" applyProtection="1">
      <alignment horizontal="center" textRotation="90"/>
      <protection locked="0"/>
    </xf>
    <xf numFmtId="1" fontId="5" fillId="0" borderId="0" xfId="1" applyNumberFormat="1" applyFont="1" applyAlignment="1">
      <alignment horizontal="center" vertical="center"/>
    </xf>
    <xf numFmtId="1" fontId="6" fillId="0" borderId="1" xfId="1" applyNumberFormat="1" applyFont="1" applyBorder="1" applyAlignment="1">
      <alignment horizontal="center" vertical="center"/>
    </xf>
    <xf numFmtId="1" fontId="6" fillId="0" borderId="9" xfId="1" applyNumberFormat="1" applyFont="1" applyBorder="1" applyAlignment="1">
      <alignment horizontal="center" vertical="center"/>
    </xf>
    <xf numFmtId="0" fontId="6" fillId="0" borderId="1" xfId="1" applyFont="1" applyBorder="1" applyAlignment="1">
      <alignment horizontal="center" vertical="center"/>
    </xf>
    <xf numFmtId="0" fontId="2" fillId="0" borderId="9" xfId="1" applyFont="1" applyBorder="1" applyAlignment="1">
      <alignment horizontal="center" vertical="center"/>
    </xf>
    <xf numFmtId="2" fontId="6" fillId="0" borderId="1" xfId="1" applyNumberFormat="1" applyFont="1" applyBorder="1" applyAlignment="1">
      <alignment horizontal="center" vertical="center"/>
    </xf>
    <xf numFmtId="2" fontId="2" fillId="0" borderId="9" xfId="1" applyNumberFormat="1" applyFont="1" applyBorder="1" applyAlignment="1">
      <alignment horizontal="center" vertical="center"/>
    </xf>
    <xf numFmtId="2" fontId="6" fillId="4" borderId="12" xfId="1" applyNumberFormat="1" applyFont="1" applyFill="1" applyBorder="1" applyAlignment="1">
      <alignment horizontal="center" vertical="center"/>
    </xf>
    <xf numFmtId="2" fontId="6" fillId="4" borderId="13" xfId="1" applyNumberFormat="1" applyFont="1" applyFill="1" applyBorder="1" applyAlignment="1">
      <alignment horizontal="center" vertical="center"/>
    </xf>
    <xf numFmtId="0" fontId="2" fillId="0" borderId="0" xfId="1" applyFont="1" applyAlignment="1" applyProtection="1">
      <alignment horizontal="right" vertical="center"/>
      <protection locked="0"/>
    </xf>
    <xf numFmtId="0" fontId="2" fillId="0" borderId="0" xfId="1" applyFont="1" applyAlignment="1" applyProtection="1">
      <alignment horizontal="left" vertical="center"/>
      <protection locked="0"/>
    </xf>
    <xf numFmtId="0" fontId="2" fillId="0" borderId="0" xfId="1" applyFont="1" applyAlignment="1">
      <alignment horizontal="left" vertical="center"/>
    </xf>
    <xf numFmtId="0" fontId="5" fillId="0" borderId="0" xfId="1" applyFont="1" applyAlignment="1">
      <alignment horizontal="right" vertical="center"/>
    </xf>
    <xf numFmtId="0" fontId="2" fillId="0" borderId="0" xfId="1" applyFont="1" applyAlignment="1">
      <alignment vertical="center"/>
    </xf>
    <xf numFmtId="0" fontId="5" fillId="0" borderId="0" xfId="1" applyFont="1" applyAlignment="1" applyProtection="1">
      <alignment horizontal="center" vertical="center"/>
      <protection locked="0"/>
    </xf>
    <xf numFmtId="0" fontId="9" fillId="0" borderId="0" xfId="1" applyFont="1" applyAlignment="1">
      <alignment horizontal="center" vertical="center"/>
    </xf>
    <xf numFmtId="0" fontId="5" fillId="0" borderId="0" xfId="1" applyFont="1" applyAlignment="1">
      <alignment horizontal="center" vertical="center"/>
    </xf>
    <xf numFmtId="0" fontId="2" fillId="0" borderId="0" xfId="1" applyFont="1" applyAlignment="1">
      <alignment horizontal="center" vertical="top"/>
    </xf>
    <xf numFmtId="0" fontId="2" fillId="0" borderId="0" xfId="1" applyFont="1" applyAlignment="1">
      <alignment horizontal="right" vertical="top"/>
    </xf>
    <xf numFmtId="0" fontId="46" fillId="0" borderId="0" xfId="0" applyFont="1" applyAlignment="1">
      <alignment horizontal="center" vertical="center" textRotation="90"/>
    </xf>
    <xf numFmtId="0" fontId="22" fillId="0" borderId="24" xfId="0" applyFont="1" applyBorder="1" applyAlignment="1">
      <alignment vertical="center" wrapText="1"/>
    </xf>
    <xf numFmtId="0" fontId="22" fillId="0" borderId="25" xfId="0" applyFont="1" applyBorder="1" applyAlignment="1">
      <alignment horizontal="center" vertical="center" wrapText="1"/>
    </xf>
    <xf numFmtId="0" fontId="22" fillId="0" borderId="26" xfId="0" applyFont="1" applyBorder="1" applyAlignment="1">
      <alignment horizontal="center" vertical="center" wrapText="1"/>
    </xf>
    <xf numFmtId="0" fontId="18" fillId="0" borderId="37" xfId="0" applyFont="1" applyBorder="1" applyAlignment="1">
      <alignment horizontal="center" vertical="top"/>
    </xf>
    <xf numFmtId="0" fontId="18" fillId="0" borderId="38" xfId="0" applyFont="1" applyBorder="1" applyAlignment="1">
      <alignment horizontal="center" vertical="top"/>
    </xf>
    <xf numFmtId="0" fontId="18" fillId="0" borderId="38" xfId="0" applyFont="1" applyBorder="1" applyAlignment="1">
      <alignment horizontal="center" vertical="top" wrapText="1"/>
    </xf>
    <xf numFmtId="0" fontId="12" fillId="0" borderId="38" xfId="0" applyFont="1" applyBorder="1" applyAlignment="1">
      <alignment horizontal="center" vertical="top" wrapText="1"/>
    </xf>
    <xf numFmtId="0" fontId="18" fillId="0" borderId="39" xfId="0" applyFont="1" applyBorder="1" applyAlignment="1">
      <alignment horizontal="center" vertical="top" wrapText="1"/>
    </xf>
    <xf numFmtId="0" fontId="21" fillId="30" borderId="40" xfId="6" applyFont="1" applyFill="1" applyBorder="1" applyAlignment="1">
      <alignment horizontal="left" vertical="center" wrapText="1"/>
    </xf>
    <xf numFmtId="2" fontId="21" fillId="30" borderId="41" xfId="6" applyNumberFormat="1" applyFont="1" applyFill="1" applyBorder="1" applyAlignment="1">
      <alignment horizontal="right" vertical="center" wrapText="1"/>
    </xf>
    <xf numFmtId="0" fontId="26" fillId="0" borderId="42" xfId="6" quotePrefix="1" applyFont="1" applyFill="1" applyBorder="1" applyAlignment="1">
      <alignment horizontal="right" vertical="center" wrapText="1"/>
    </xf>
    <xf numFmtId="2" fontId="26" fillId="0" borderId="43" xfId="6" applyNumberFormat="1" applyFont="1" applyFill="1" applyBorder="1" applyAlignment="1">
      <alignment horizontal="right" vertical="center" wrapText="1"/>
    </xf>
    <xf numFmtId="2" fontId="26" fillId="0" borderId="41" xfId="6" applyNumberFormat="1" applyFont="1" applyFill="1" applyBorder="1" applyAlignment="1">
      <alignment horizontal="right" vertical="center" wrapText="1"/>
    </xf>
    <xf numFmtId="0" fontId="41" fillId="0" borderId="42" xfId="6" quotePrefix="1" applyFont="1" applyFill="1" applyBorder="1" applyAlignment="1">
      <alignment horizontal="right" vertical="center" wrapText="1"/>
    </xf>
    <xf numFmtId="2" fontId="41" fillId="0" borderId="43" xfId="6" applyNumberFormat="1" applyFont="1" applyFill="1" applyBorder="1" applyAlignment="1">
      <alignment horizontal="right" vertical="center" wrapText="1"/>
    </xf>
    <xf numFmtId="0" fontId="18" fillId="0" borderId="44" xfId="0" applyFont="1" applyFill="1" applyBorder="1" applyAlignment="1">
      <alignment horizontal="center" vertical="center" wrapText="1"/>
    </xf>
    <xf numFmtId="0" fontId="18" fillId="0" borderId="45" xfId="0" applyFont="1" applyFill="1" applyBorder="1" applyAlignment="1">
      <alignment horizontal="left"/>
    </xf>
    <xf numFmtId="0" fontId="18" fillId="0" borderId="45" xfId="0" applyFont="1" applyFill="1" applyBorder="1"/>
    <xf numFmtId="3" fontId="12" fillId="0" borderId="45" xfId="0" applyNumberFormat="1" applyFont="1" applyFill="1" applyBorder="1" applyAlignment="1">
      <alignment horizontal="right" vertical="center"/>
    </xf>
    <xf numFmtId="0" fontId="1" fillId="0" borderId="46" xfId="2" applyFont="1" applyFill="1" applyBorder="1"/>
  </cellXfs>
  <cellStyles count="8">
    <cellStyle name="Check Cell" xfId="5" builtinId="23"/>
    <cellStyle name="Euro" xfId="3" xr:uid="{00000000-0005-0000-0000-000000000000}"/>
    <cellStyle name="Normal" xfId="0" builtinId="0"/>
    <cellStyle name="Normal 2" xfId="1" xr:uid="{00000000-0005-0000-0000-000002000000}"/>
    <cellStyle name="Normal 3" xfId="2" xr:uid="{00000000-0005-0000-0000-000003000000}"/>
    <cellStyle name="Normal 8" xfId="7" xr:uid="{A71FFAF7-743D-4555-BA7C-BED6495F2406}"/>
    <cellStyle name="Output" xfId="6" builtinId="21"/>
    <cellStyle name="Percent" xfId="4" builtinId="5"/>
  </cellStyles>
  <dxfs count="0"/>
  <tableStyles count="0" defaultTableStyle="TableStyleMedium9" defaultPivotStyle="PivotStyleLight16"/>
  <colors>
    <mruColors>
      <color rgb="FFFFFFCC"/>
      <color rgb="FFFFE389"/>
      <color rgb="FFEEB500"/>
      <color rgb="FFFFC819"/>
      <color rgb="FFFFCD2F"/>
      <color rgb="FFE698B9"/>
      <color rgb="FFEEB8CF"/>
      <color rgb="FFFFD757"/>
      <color rgb="FFE9C2C1"/>
      <color rgb="FFFFE79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2.xml"/><Relationship Id="rId17" Type="http://schemas.microsoft.com/office/2017/10/relationships/person" Target="persons/perso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20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onnections" Target="connections.xml"/><Relationship Id="rId22" Type="http://schemas.openxmlformats.org/officeDocument/2006/relationships/customXml" Target="../customXml/item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34506</xdr:rowOff>
        </xdr:from>
        <xdr:to>
          <xdr:col>1</xdr:col>
          <xdr:colOff>17253</xdr:colOff>
          <xdr:row>0</xdr:row>
          <xdr:rowOff>267419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1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t-E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Tehnoloogia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422694</xdr:rowOff>
        </xdr:from>
        <xdr:to>
          <xdr:col>1</xdr:col>
          <xdr:colOff>17253</xdr:colOff>
          <xdr:row>1</xdr:row>
          <xdr:rowOff>155275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1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t-E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Andmed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2</xdr:row>
          <xdr:rowOff>0</xdr:rowOff>
        </xdr:from>
        <xdr:to>
          <xdr:col>1</xdr:col>
          <xdr:colOff>17253</xdr:colOff>
          <xdr:row>2</xdr:row>
          <xdr:rowOff>232913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1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t-E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Summa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247650</xdr:colOff>
      <xdr:row>3</xdr:row>
      <xdr:rowOff>66675</xdr:rowOff>
    </xdr:from>
    <xdr:to>
      <xdr:col>16</xdr:col>
      <xdr:colOff>153323</xdr:colOff>
      <xdr:row>53</xdr:row>
      <xdr:rowOff>10846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76C2E775-8E1E-4F9B-2B25-C882AD6169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286375" y="666750"/>
          <a:ext cx="6611273" cy="9469171"/>
        </a:xfrm>
        <a:prstGeom prst="rect">
          <a:avLst/>
        </a:prstGeom>
      </xdr:spPr>
    </xdr:pic>
    <xdr:clientData/>
  </xdr:twoCellAnchor>
  <xdr:twoCellAnchor editAs="oneCell">
    <xdr:from>
      <xdr:col>19</xdr:col>
      <xdr:colOff>0</xdr:colOff>
      <xdr:row>7</xdr:row>
      <xdr:rowOff>0</xdr:rowOff>
    </xdr:from>
    <xdr:to>
      <xdr:col>29</xdr:col>
      <xdr:colOff>277114</xdr:colOff>
      <xdr:row>30</xdr:row>
      <xdr:rowOff>114927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ED8F4E8B-8B2C-4052-5F53-F32D285073B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3573125" y="1362075"/>
          <a:ext cx="6373114" cy="4496427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maruas.sharepoint.com/sites/MM-Sales/PQDocs/HK11257%20-%20Kotka%20CAM%20(2E500)%20-%20Easpring/03.%20Eelarve/HP11257-1/HK11257%20-%20Kotka%20CAM%20(2E500)%20-%20Easpring-Oksana.xlsm" TargetMode="External"/><Relationship Id="rId1" Type="http://schemas.openxmlformats.org/officeDocument/2006/relationships/externalLinkPath" Target="HP11257-1/HK11257%20-%20Kotka%20CAM%20(2E500)%20-%20Easpring-Oksana.xlsm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\\server-tallinn\MM_yld\Turundus\-%20ABIMATERJALID%20EELARVESTAMISEL\Normeerimise%20alused\8.%20Abifailid\Abifailid\abifail%20-%2003.2026.xlsx" TargetMode="External"/><Relationship Id="rId1" Type="http://schemas.openxmlformats.org/officeDocument/2006/relationships/externalLinkPath" Target="file:///\\server-tallinn\MM_yld\Turundus\-%20ABIMATERJALID%20EELARVESTAMISEL\Normeerimise%20alused\8.%20Abifailid\Abifailid\abifail%20-%2003.2026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Data"/>
      <sheetName val="Koostamine"/>
      <sheetName val="Gaasilõikus"/>
      <sheetName val="Saagimine"/>
      <sheetName val="Materjalid"/>
      <sheetName val="Pakkeleht"/>
      <sheetName val="Pakkumistabel"/>
      <sheetName val="Terasehind"/>
      <sheetName val="Tuletõke"/>
      <sheetName val="Tuletõkke R90"/>
    </sheetNames>
    <sheetDataSet>
      <sheetData sheetId="0"/>
      <sheetData sheetId="1"/>
      <sheetData sheetId="2"/>
      <sheetData sheetId="3"/>
      <sheetData sheetId="4"/>
      <sheetData sheetId="5"/>
      <sheetData sheetId="6">
        <row r="6">
          <cell r="E6">
            <v>190093</v>
          </cell>
          <cell r="G6">
            <v>473707.02362459805</v>
          </cell>
        </row>
      </sheetData>
      <sheetData sheetId="7"/>
      <sheetData sheetId="8"/>
      <sheetData sheetId="9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lasmalõikus"/>
      <sheetName val="Koostamine"/>
      <sheetName val="Transport"/>
      <sheetName val="Värvisüsteem"/>
      <sheetName val="Avade tegemiseks lisaaeg"/>
    </sheetNames>
    <sheetDataSet>
      <sheetData sheetId="0">
        <row r="7">
          <cell r="A7" t="str">
            <v>Leht 1</v>
          </cell>
          <cell r="B7">
            <v>4500</v>
          </cell>
          <cell r="C7">
            <v>6</v>
          </cell>
          <cell r="D7">
            <v>0.85</v>
          </cell>
          <cell r="E7">
            <v>0.38</v>
          </cell>
        </row>
        <row r="8">
          <cell r="A8" t="str">
            <v>Leht 1,25</v>
          </cell>
          <cell r="B8">
            <v>4350</v>
          </cell>
          <cell r="C8">
            <v>6</v>
          </cell>
          <cell r="D8">
            <v>0.88</v>
          </cell>
          <cell r="E8">
            <v>0.38</v>
          </cell>
        </row>
        <row r="9">
          <cell r="A9" t="str">
            <v>Leht 2</v>
          </cell>
          <cell r="B9">
            <v>4200</v>
          </cell>
          <cell r="C9">
            <v>6</v>
          </cell>
          <cell r="D9">
            <v>0.91</v>
          </cell>
          <cell r="E9">
            <v>0.38</v>
          </cell>
        </row>
        <row r="10">
          <cell r="A10" t="str">
            <v>Leht 3</v>
          </cell>
          <cell r="B10">
            <v>4000</v>
          </cell>
          <cell r="C10">
            <v>7</v>
          </cell>
          <cell r="D10">
            <v>0.96</v>
          </cell>
          <cell r="E10">
            <v>0.45</v>
          </cell>
        </row>
        <row r="11">
          <cell r="A11" t="str">
            <v>Leht 4</v>
          </cell>
          <cell r="B11">
            <v>3800</v>
          </cell>
          <cell r="C11">
            <v>8</v>
          </cell>
          <cell r="D11">
            <v>1.01</v>
          </cell>
          <cell r="E11">
            <v>0.51</v>
          </cell>
        </row>
        <row r="12">
          <cell r="A12" t="str">
            <v>Leht 5</v>
          </cell>
          <cell r="B12">
            <v>3600</v>
          </cell>
          <cell r="C12">
            <v>8</v>
          </cell>
          <cell r="D12">
            <v>1.06</v>
          </cell>
          <cell r="E12">
            <v>0.51</v>
          </cell>
        </row>
        <row r="13">
          <cell r="A13" t="str">
            <v>Leht 6</v>
          </cell>
          <cell r="B13">
            <v>3500</v>
          </cell>
          <cell r="C13">
            <v>8</v>
          </cell>
          <cell r="D13">
            <v>1.1000000000000001</v>
          </cell>
          <cell r="E13">
            <v>0.51</v>
          </cell>
        </row>
        <row r="14">
          <cell r="A14" t="str">
            <v>Leht 8</v>
          </cell>
          <cell r="B14">
            <v>3000</v>
          </cell>
          <cell r="C14">
            <v>8</v>
          </cell>
          <cell r="D14">
            <v>1.28</v>
          </cell>
          <cell r="E14">
            <v>0.51</v>
          </cell>
        </row>
        <row r="15">
          <cell r="A15" t="str">
            <v>Leht 10</v>
          </cell>
          <cell r="B15">
            <v>2500</v>
          </cell>
          <cell r="C15">
            <v>8</v>
          </cell>
          <cell r="D15">
            <v>1.53</v>
          </cell>
          <cell r="E15">
            <v>0.51</v>
          </cell>
        </row>
        <row r="16">
          <cell r="A16" t="str">
            <v>Leht 12</v>
          </cell>
          <cell r="B16">
            <v>2000</v>
          </cell>
          <cell r="C16">
            <v>8.5</v>
          </cell>
          <cell r="D16">
            <v>1.92</v>
          </cell>
          <cell r="E16">
            <v>0.54</v>
          </cell>
        </row>
        <row r="17">
          <cell r="A17" t="str">
            <v>Leht 15</v>
          </cell>
          <cell r="B17">
            <v>1800</v>
          </cell>
          <cell r="C17">
            <v>9</v>
          </cell>
          <cell r="D17">
            <v>2.13</v>
          </cell>
          <cell r="E17">
            <v>0.57999999999999996</v>
          </cell>
        </row>
        <row r="18">
          <cell r="A18" t="str">
            <v>Leht 16</v>
          </cell>
          <cell r="B18">
            <v>1750</v>
          </cell>
          <cell r="C18">
            <v>10</v>
          </cell>
          <cell r="D18">
            <v>2.19</v>
          </cell>
          <cell r="E18">
            <v>0.64</v>
          </cell>
        </row>
        <row r="19">
          <cell r="A19" t="str">
            <v>Leht 18</v>
          </cell>
          <cell r="B19">
            <v>1700</v>
          </cell>
          <cell r="C19">
            <v>11</v>
          </cell>
          <cell r="D19">
            <v>2.25</v>
          </cell>
          <cell r="E19">
            <v>0.7</v>
          </cell>
        </row>
        <row r="20">
          <cell r="A20" t="str">
            <v>Leht 20</v>
          </cell>
          <cell r="B20">
            <v>1600</v>
          </cell>
          <cell r="C20">
            <v>12</v>
          </cell>
          <cell r="D20">
            <v>2.4</v>
          </cell>
          <cell r="E20">
            <v>0.77</v>
          </cell>
        </row>
        <row r="21">
          <cell r="A21" t="str">
            <v>Leht 22</v>
          </cell>
          <cell r="B21">
            <v>1550</v>
          </cell>
          <cell r="C21">
            <v>15</v>
          </cell>
          <cell r="D21">
            <v>2.4700000000000002</v>
          </cell>
          <cell r="E21">
            <v>0.96</v>
          </cell>
        </row>
        <row r="22">
          <cell r="A22" t="str">
            <v>Leht 24</v>
          </cell>
          <cell r="B22">
            <v>1470</v>
          </cell>
          <cell r="C22">
            <v>16</v>
          </cell>
          <cell r="D22">
            <v>2.61</v>
          </cell>
          <cell r="E22">
            <v>1.02</v>
          </cell>
        </row>
        <row r="23">
          <cell r="A23" t="str">
            <v>Leht 25</v>
          </cell>
          <cell r="B23">
            <v>1400</v>
          </cell>
          <cell r="C23">
            <v>18</v>
          </cell>
          <cell r="D23">
            <v>2.74</v>
          </cell>
          <cell r="E23">
            <v>1.1499999999999999</v>
          </cell>
        </row>
        <row r="24">
          <cell r="A24" t="str">
            <v>Leht 30</v>
          </cell>
          <cell r="B24">
            <v>1200</v>
          </cell>
          <cell r="C24">
            <v>20</v>
          </cell>
          <cell r="D24">
            <v>3.19</v>
          </cell>
          <cell r="E24">
            <v>1.28</v>
          </cell>
        </row>
        <row r="25">
          <cell r="A25" t="str">
            <v>Leht 32</v>
          </cell>
          <cell r="B25">
            <v>1050</v>
          </cell>
          <cell r="C25">
            <v>20</v>
          </cell>
          <cell r="D25">
            <v>3.65</v>
          </cell>
          <cell r="E25">
            <v>1.28</v>
          </cell>
        </row>
        <row r="26">
          <cell r="A26" t="str">
            <v>Leht 35</v>
          </cell>
          <cell r="B26">
            <v>900</v>
          </cell>
          <cell r="C26">
            <v>20</v>
          </cell>
          <cell r="D26">
            <v>4.26</v>
          </cell>
          <cell r="E26">
            <v>1.28</v>
          </cell>
        </row>
        <row r="27">
          <cell r="A27" t="str">
            <v>Leht 40</v>
          </cell>
          <cell r="B27">
            <v>800</v>
          </cell>
          <cell r="C27">
            <v>20</v>
          </cell>
          <cell r="D27">
            <v>4.79</v>
          </cell>
          <cell r="E27">
            <v>1.28</v>
          </cell>
        </row>
        <row r="28">
          <cell r="A28" t="str">
            <v>Leht 45</v>
          </cell>
          <cell r="B28">
            <v>700</v>
          </cell>
          <cell r="C28">
            <v>20</v>
          </cell>
          <cell r="D28">
            <v>5.48</v>
          </cell>
          <cell r="E28">
            <v>1.28</v>
          </cell>
        </row>
        <row r="29">
          <cell r="A29" t="str">
            <v>Leht 50</v>
          </cell>
          <cell r="B29">
            <v>600</v>
          </cell>
          <cell r="C29">
            <v>10</v>
          </cell>
          <cell r="D29">
            <v>6.39</v>
          </cell>
          <cell r="E29">
            <v>0.64</v>
          </cell>
        </row>
        <row r="30">
          <cell r="A30" t="str">
            <v>Leht 55</v>
          </cell>
          <cell r="B30">
            <v>500</v>
          </cell>
          <cell r="C30">
            <v>10</v>
          </cell>
          <cell r="D30">
            <v>7.67</v>
          </cell>
          <cell r="E30">
            <v>0.64</v>
          </cell>
        </row>
        <row r="31">
          <cell r="A31" t="str">
            <v>Leht 60</v>
          </cell>
          <cell r="B31">
            <v>400</v>
          </cell>
          <cell r="C31">
            <v>10</v>
          </cell>
          <cell r="D31">
            <v>9.58</v>
          </cell>
          <cell r="E31">
            <v>0.64</v>
          </cell>
        </row>
      </sheetData>
      <sheetData sheetId="1">
        <row r="12">
          <cell r="A12"/>
          <cell r="B12"/>
          <cell r="C12"/>
          <cell r="D12"/>
          <cell r="E12"/>
          <cell r="G12"/>
          <cell r="H12"/>
          <cell r="I12"/>
          <cell r="J12"/>
        </row>
        <row r="13">
          <cell r="A13"/>
          <cell r="B13"/>
          <cell r="C13"/>
          <cell r="D13"/>
          <cell r="E13"/>
          <cell r="G13"/>
          <cell r="H13"/>
          <cell r="I13"/>
          <cell r="J13"/>
        </row>
        <row r="14">
          <cell r="A14"/>
          <cell r="B14"/>
          <cell r="C14"/>
          <cell r="D14" t="str">
            <v>I tala puhul</v>
          </cell>
          <cell r="E14" t="str">
            <v>alates 12 mm - jah</v>
          </cell>
          <cell r="F14"/>
          <cell r="G14"/>
          <cell r="H14"/>
          <cell r="I14"/>
          <cell r="J14"/>
        </row>
        <row r="15">
          <cell r="H15" t="str">
            <v>a=1.0 x t</v>
          </cell>
          <cell r="I15"/>
          <cell r="J15"/>
          <cell r="K15" t="str">
            <v>Koostamisaeg</v>
          </cell>
          <cell r="L15"/>
          <cell r="M15"/>
          <cell r="N15"/>
          <cell r="O15"/>
          <cell r="P15"/>
        </row>
        <row r="16">
          <cell r="A16" t="str">
            <v>Section Reference</v>
          </cell>
          <cell r="B16" t="str">
            <v>a=</v>
          </cell>
          <cell r="C16" t="str">
            <v>seina paksus, mm</v>
          </cell>
          <cell r="D16" t="str">
            <v>Flantsi paksus, mm</v>
          </cell>
          <cell r="E16" t="str">
            <v>Äärde faasimine</v>
          </cell>
          <cell r="F16" t="str">
            <v>Tüüp</v>
          </cell>
          <cell r="G16" t="str">
            <v>Keevituse läbimite arv</v>
          </cell>
          <cell r="H16" t="str">
            <v>pindala, m2/jm</v>
          </cell>
          <cell r="I16" t="str">
            <v>pindala, m2/kg</v>
          </cell>
          <cell r="J16" t="str">
            <v>kaal, kg/jm</v>
          </cell>
          <cell r="K16" t="str">
            <v>kuni 1,5 m</v>
          </cell>
          <cell r="L16" t="str">
            <v>1,5-3 m</v>
          </cell>
          <cell r="M16" t="str">
            <v>3-6 m</v>
          </cell>
          <cell r="N16" t="str">
            <v>6-10 m</v>
          </cell>
          <cell r="O16" t="str">
            <v>10-13 m</v>
          </cell>
          <cell r="P16" t="str">
            <v>13-….m</v>
          </cell>
        </row>
        <row r="17">
          <cell r="A17" t="str">
            <v>CFCHS26.9x2.6</v>
          </cell>
          <cell r="B17" t="str">
            <v>a=1.0 x t</v>
          </cell>
          <cell r="C17">
            <v>2.6</v>
          </cell>
          <cell r="D17"/>
          <cell r="E17" t="str">
            <v>ei</v>
          </cell>
          <cell r="F17">
            <v>1</v>
          </cell>
          <cell r="G17">
            <v>1</v>
          </cell>
          <cell r="H17">
            <v>8.5000000000000006E-2</v>
          </cell>
          <cell r="I17">
            <v>5.3124999999999999E-2</v>
          </cell>
          <cell r="J17">
            <v>1.6</v>
          </cell>
          <cell r="K17">
            <v>2</v>
          </cell>
          <cell r="L17">
            <v>5</v>
          </cell>
          <cell r="M17">
            <v>10</v>
          </cell>
          <cell r="N17">
            <v>20</v>
          </cell>
          <cell r="O17">
            <v>30</v>
          </cell>
          <cell r="P17">
            <v>60</v>
          </cell>
        </row>
        <row r="18">
          <cell r="A18" t="str">
            <v>CFCHS26.9x3.2</v>
          </cell>
          <cell r="B18" t="str">
            <v>a=1.0 x t</v>
          </cell>
          <cell r="C18">
            <v>3.2</v>
          </cell>
          <cell r="D18" t="str">
            <v>-</v>
          </cell>
          <cell r="E18" t="str">
            <v>ei</v>
          </cell>
          <cell r="F18">
            <v>1</v>
          </cell>
          <cell r="G18">
            <v>1</v>
          </cell>
          <cell r="H18">
            <v>8.5000000000000006E-2</v>
          </cell>
          <cell r="I18">
            <v>4.4736842105263165E-2</v>
          </cell>
          <cell r="J18">
            <v>1.9</v>
          </cell>
          <cell r="K18">
            <v>2</v>
          </cell>
          <cell r="L18">
            <v>5</v>
          </cell>
          <cell r="M18">
            <v>10</v>
          </cell>
          <cell r="N18">
            <v>20</v>
          </cell>
          <cell r="O18">
            <v>30</v>
          </cell>
          <cell r="P18">
            <v>60</v>
          </cell>
        </row>
        <row r="19">
          <cell r="A19" t="str">
            <v>CFCHS30x2.5</v>
          </cell>
          <cell r="B19" t="str">
            <v>a=1.0 x t</v>
          </cell>
          <cell r="C19">
            <v>2.5</v>
          </cell>
          <cell r="D19"/>
          <cell r="E19" t="str">
            <v>ei</v>
          </cell>
          <cell r="F19">
            <v>1</v>
          </cell>
          <cell r="G19">
            <v>1</v>
          </cell>
          <cell r="H19">
            <v>9.4E-2</v>
          </cell>
          <cell r="I19">
            <v>5.5294117647058827E-2</v>
          </cell>
          <cell r="J19">
            <v>1.7</v>
          </cell>
          <cell r="K19">
            <v>2</v>
          </cell>
          <cell r="L19">
            <v>5</v>
          </cell>
          <cell r="M19">
            <v>10</v>
          </cell>
          <cell r="N19">
            <v>20</v>
          </cell>
          <cell r="O19">
            <v>30</v>
          </cell>
          <cell r="P19">
            <v>60</v>
          </cell>
        </row>
        <row r="20">
          <cell r="A20" t="str">
            <v>CFCHS33.7x2.6</v>
          </cell>
          <cell r="B20" t="str">
            <v>a=1.0 x t</v>
          </cell>
          <cell r="C20">
            <v>2.6</v>
          </cell>
          <cell r="D20"/>
          <cell r="E20" t="str">
            <v>ei</v>
          </cell>
          <cell r="F20">
            <v>1</v>
          </cell>
          <cell r="G20">
            <v>1</v>
          </cell>
          <cell r="H20">
            <v>0.106</v>
          </cell>
          <cell r="I20">
            <v>5.2999999999999999E-2</v>
          </cell>
          <cell r="J20">
            <v>2</v>
          </cell>
          <cell r="K20">
            <v>2</v>
          </cell>
          <cell r="L20">
            <v>5</v>
          </cell>
          <cell r="M20">
            <v>10</v>
          </cell>
          <cell r="N20">
            <v>20</v>
          </cell>
          <cell r="O20">
            <v>30</v>
          </cell>
          <cell r="P20">
            <v>60</v>
          </cell>
        </row>
        <row r="21">
          <cell r="A21" t="str">
            <v>CFCHS33.7x3</v>
          </cell>
          <cell r="B21" t="str">
            <v>a=1.0 x t</v>
          </cell>
          <cell r="C21">
            <v>3</v>
          </cell>
          <cell r="D21" t="str">
            <v>-</v>
          </cell>
          <cell r="E21" t="str">
            <v>ei</v>
          </cell>
          <cell r="F21">
            <v>1</v>
          </cell>
          <cell r="G21">
            <v>1</v>
          </cell>
          <cell r="H21">
            <v>0.106</v>
          </cell>
          <cell r="I21">
            <v>4.6086956521739129E-2</v>
          </cell>
          <cell r="J21">
            <v>2.2999999999999998</v>
          </cell>
          <cell r="K21">
            <v>2</v>
          </cell>
          <cell r="L21">
            <v>5</v>
          </cell>
          <cell r="M21">
            <v>10</v>
          </cell>
          <cell r="N21">
            <v>20</v>
          </cell>
          <cell r="O21">
            <v>30</v>
          </cell>
          <cell r="P21">
            <v>60</v>
          </cell>
        </row>
        <row r="22">
          <cell r="A22" t="str">
            <v>CFCHS33.7x3.2</v>
          </cell>
          <cell r="B22" t="str">
            <v>a=1.0 x t</v>
          </cell>
          <cell r="C22">
            <v>3.2</v>
          </cell>
          <cell r="D22" t="str">
            <v>-</v>
          </cell>
          <cell r="E22" t="str">
            <v>ei</v>
          </cell>
          <cell r="F22">
            <v>1</v>
          </cell>
          <cell r="G22">
            <v>1</v>
          </cell>
          <cell r="H22">
            <v>0.106</v>
          </cell>
          <cell r="I22">
            <v>4.4166666666666667E-2</v>
          </cell>
          <cell r="J22">
            <v>2.4</v>
          </cell>
          <cell r="K22">
            <v>2</v>
          </cell>
          <cell r="L22">
            <v>5</v>
          </cell>
          <cell r="M22">
            <v>10</v>
          </cell>
          <cell r="N22">
            <v>20</v>
          </cell>
          <cell r="O22">
            <v>30</v>
          </cell>
          <cell r="P22">
            <v>60</v>
          </cell>
        </row>
        <row r="23">
          <cell r="A23" t="str">
            <v>CFCHS42.4x2.6</v>
          </cell>
          <cell r="B23" t="str">
            <v>a=1.0 x t</v>
          </cell>
          <cell r="C23">
            <v>2.6</v>
          </cell>
          <cell r="D23"/>
          <cell r="E23" t="str">
            <v>ei</v>
          </cell>
          <cell r="F23">
            <v>1</v>
          </cell>
          <cell r="G23">
            <v>1</v>
          </cell>
          <cell r="H23">
            <v>0.13300000000000001</v>
          </cell>
          <cell r="I23">
            <v>5.1153846153846154E-2</v>
          </cell>
          <cell r="J23">
            <v>2.6</v>
          </cell>
          <cell r="K23">
            <v>2</v>
          </cell>
          <cell r="L23">
            <v>5</v>
          </cell>
          <cell r="M23">
            <v>10</v>
          </cell>
          <cell r="N23">
            <v>20</v>
          </cell>
          <cell r="O23">
            <v>30</v>
          </cell>
          <cell r="P23">
            <v>60</v>
          </cell>
        </row>
        <row r="24">
          <cell r="A24" t="str">
            <v>CFCHS42.4x3</v>
          </cell>
          <cell r="B24" t="str">
            <v>a=1.0 x t</v>
          </cell>
          <cell r="C24">
            <v>3</v>
          </cell>
          <cell r="D24" t="str">
            <v>-</v>
          </cell>
          <cell r="E24" t="str">
            <v>ei</v>
          </cell>
          <cell r="F24">
            <v>1</v>
          </cell>
          <cell r="G24">
            <v>1</v>
          </cell>
          <cell r="H24">
            <v>0.13300000000000001</v>
          </cell>
          <cell r="I24">
            <v>4.5862068965517248E-2</v>
          </cell>
          <cell r="J24">
            <v>2.9</v>
          </cell>
          <cell r="K24">
            <v>2</v>
          </cell>
          <cell r="L24">
            <v>5</v>
          </cell>
          <cell r="M24">
            <v>10</v>
          </cell>
          <cell r="N24">
            <v>20</v>
          </cell>
          <cell r="O24">
            <v>30</v>
          </cell>
          <cell r="P24">
            <v>60</v>
          </cell>
        </row>
        <row r="25">
          <cell r="A25" t="str">
            <v>CFCHS42.4x3.2</v>
          </cell>
          <cell r="B25" t="str">
            <v>a=1.0 x t</v>
          </cell>
          <cell r="C25">
            <v>3.2</v>
          </cell>
          <cell r="D25" t="str">
            <v>-</v>
          </cell>
          <cell r="E25" t="str">
            <v>ei</v>
          </cell>
          <cell r="F25">
            <v>1</v>
          </cell>
          <cell r="G25">
            <v>1</v>
          </cell>
          <cell r="H25">
            <v>0.13300000000000001</v>
          </cell>
          <cell r="I25">
            <v>4.2903225806451617E-2</v>
          </cell>
          <cell r="J25">
            <v>3.1</v>
          </cell>
          <cell r="K25">
            <v>2</v>
          </cell>
          <cell r="L25">
            <v>5</v>
          </cell>
          <cell r="M25">
            <v>10</v>
          </cell>
          <cell r="N25">
            <v>20</v>
          </cell>
          <cell r="O25">
            <v>30</v>
          </cell>
          <cell r="P25">
            <v>60</v>
          </cell>
        </row>
        <row r="26">
          <cell r="A26" t="str">
            <v>CFCHS48.3x2.6</v>
          </cell>
          <cell r="B26" t="str">
            <v>a=1.0 x t</v>
          </cell>
          <cell r="C26">
            <v>2.6</v>
          </cell>
          <cell r="D26"/>
          <cell r="E26" t="str">
            <v>ei</v>
          </cell>
          <cell r="F26">
            <v>1</v>
          </cell>
          <cell r="G26">
            <v>1</v>
          </cell>
          <cell r="H26">
            <v>0.152</v>
          </cell>
          <cell r="I26">
            <v>5.2413793103448278E-2</v>
          </cell>
          <cell r="J26">
            <v>2.9</v>
          </cell>
          <cell r="K26">
            <v>2</v>
          </cell>
          <cell r="L26">
            <v>5</v>
          </cell>
          <cell r="M26">
            <v>10</v>
          </cell>
          <cell r="N26">
            <v>20</v>
          </cell>
          <cell r="O26">
            <v>30</v>
          </cell>
          <cell r="P26">
            <v>60</v>
          </cell>
        </row>
        <row r="27">
          <cell r="A27" t="str">
            <v>CFCHS48.3x3</v>
          </cell>
          <cell r="B27" t="str">
            <v>a=1.0 x t</v>
          </cell>
          <cell r="C27">
            <v>3</v>
          </cell>
          <cell r="D27" t="str">
            <v>-</v>
          </cell>
          <cell r="E27" t="str">
            <v>ei</v>
          </cell>
          <cell r="F27">
            <v>1</v>
          </cell>
          <cell r="G27">
            <v>1</v>
          </cell>
          <cell r="H27">
            <v>0.152</v>
          </cell>
          <cell r="I27">
            <v>4.5373134328358204E-2</v>
          </cell>
          <cell r="J27">
            <v>3.35</v>
          </cell>
          <cell r="K27">
            <v>2</v>
          </cell>
          <cell r="L27">
            <v>5</v>
          </cell>
          <cell r="M27">
            <v>10</v>
          </cell>
          <cell r="N27">
            <v>20</v>
          </cell>
          <cell r="O27">
            <v>30</v>
          </cell>
          <cell r="P27">
            <v>60</v>
          </cell>
        </row>
        <row r="28">
          <cell r="A28" t="str">
            <v>CFCHS48.3x3.2</v>
          </cell>
          <cell r="B28" t="str">
            <v>a=1.0 x t</v>
          </cell>
          <cell r="C28">
            <v>3.2</v>
          </cell>
          <cell r="D28" t="str">
            <v>-</v>
          </cell>
          <cell r="E28" t="str">
            <v>ei</v>
          </cell>
          <cell r="F28">
            <v>1</v>
          </cell>
          <cell r="G28">
            <v>1</v>
          </cell>
          <cell r="H28">
            <v>0.152</v>
          </cell>
          <cell r="I28">
            <v>4.2696629213483148E-2</v>
          </cell>
          <cell r="J28">
            <v>3.56</v>
          </cell>
          <cell r="K28">
            <v>2</v>
          </cell>
          <cell r="L28">
            <v>5</v>
          </cell>
          <cell r="M28">
            <v>10</v>
          </cell>
          <cell r="N28">
            <v>20</v>
          </cell>
          <cell r="O28">
            <v>30</v>
          </cell>
          <cell r="P28">
            <v>60</v>
          </cell>
        </row>
        <row r="29">
          <cell r="A29" t="str">
            <v>CFCHS48.3x4</v>
          </cell>
          <cell r="B29" t="str">
            <v>a=1.0 x t</v>
          </cell>
          <cell r="C29">
            <v>4</v>
          </cell>
          <cell r="D29"/>
          <cell r="E29" t="str">
            <v>ei</v>
          </cell>
          <cell r="F29">
            <v>1</v>
          </cell>
          <cell r="G29">
            <v>1</v>
          </cell>
          <cell r="H29">
            <v>0.152</v>
          </cell>
          <cell r="I29">
            <v>3.4782608695652174E-2</v>
          </cell>
          <cell r="J29">
            <v>4.37</v>
          </cell>
          <cell r="K29">
            <v>2</v>
          </cell>
          <cell r="L29">
            <v>5</v>
          </cell>
          <cell r="M29">
            <v>10</v>
          </cell>
          <cell r="N29">
            <v>20</v>
          </cell>
          <cell r="O29">
            <v>30</v>
          </cell>
          <cell r="P29">
            <v>60</v>
          </cell>
        </row>
        <row r="30">
          <cell r="A30" t="str">
            <v>CFCHS60.3x2.9</v>
          </cell>
          <cell r="B30" t="str">
            <v>a=1.0 x t</v>
          </cell>
          <cell r="C30">
            <v>2.9</v>
          </cell>
          <cell r="D30"/>
          <cell r="E30" t="str">
            <v>ei</v>
          </cell>
          <cell r="F30">
            <v>1</v>
          </cell>
          <cell r="G30">
            <v>1</v>
          </cell>
          <cell r="H30">
            <v>0.189</v>
          </cell>
          <cell r="I30">
            <v>4.6097560975609762E-2</v>
          </cell>
          <cell r="J30">
            <v>4.0999999999999996</v>
          </cell>
          <cell r="K30">
            <v>2</v>
          </cell>
          <cell r="L30">
            <v>5</v>
          </cell>
          <cell r="M30">
            <v>10</v>
          </cell>
          <cell r="N30">
            <v>20</v>
          </cell>
          <cell r="O30">
            <v>30</v>
          </cell>
          <cell r="P30">
            <v>60</v>
          </cell>
        </row>
        <row r="31">
          <cell r="A31" t="str">
            <v>CFCHS60.3x3</v>
          </cell>
          <cell r="B31" t="str">
            <v>a=1.0 x t</v>
          </cell>
          <cell r="C31">
            <v>3</v>
          </cell>
          <cell r="D31" t="str">
            <v>-</v>
          </cell>
          <cell r="E31" t="str">
            <v>ei</v>
          </cell>
          <cell r="F31">
            <v>1</v>
          </cell>
          <cell r="G31">
            <v>1</v>
          </cell>
          <cell r="H31">
            <v>0.189</v>
          </cell>
          <cell r="I31">
            <v>4.4999999999999998E-2</v>
          </cell>
          <cell r="J31">
            <v>4.2</v>
          </cell>
          <cell r="K31">
            <v>2</v>
          </cell>
          <cell r="L31">
            <v>5</v>
          </cell>
          <cell r="M31">
            <v>10</v>
          </cell>
          <cell r="N31">
            <v>20</v>
          </cell>
          <cell r="O31">
            <v>30</v>
          </cell>
          <cell r="P31">
            <v>60</v>
          </cell>
        </row>
        <row r="32">
          <cell r="A32" t="str">
            <v>CFCHS60.3x3.2</v>
          </cell>
          <cell r="B32" t="str">
            <v>a=1.0 x t</v>
          </cell>
          <cell r="C32">
            <v>3.2</v>
          </cell>
          <cell r="D32" t="str">
            <v>-</v>
          </cell>
          <cell r="E32" t="str">
            <v>ei</v>
          </cell>
          <cell r="F32">
            <v>1</v>
          </cell>
          <cell r="G32">
            <v>1</v>
          </cell>
          <cell r="H32">
            <v>0.189</v>
          </cell>
          <cell r="I32">
            <v>4.2000000000000003E-2</v>
          </cell>
          <cell r="J32">
            <v>4.5</v>
          </cell>
          <cell r="K32">
            <v>2</v>
          </cell>
          <cell r="L32">
            <v>5</v>
          </cell>
          <cell r="M32">
            <v>10</v>
          </cell>
          <cell r="N32">
            <v>20</v>
          </cell>
          <cell r="O32">
            <v>30</v>
          </cell>
          <cell r="P32">
            <v>60</v>
          </cell>
        </row>
        <row r="33">
          <cell r="A33" t="str">
            <v>CFCHS60.3x4</v>
          </cell>
          <cell r="B33" t="str">
            <v>a=1.0 x t</v>
          </cell>
          <cell r="C33">
            <v>4</v>
          </cell>
          <cell r="D33"/>
          <cell r="E33" t="str">
            <v>ei</v>
          </cell>
          <cell r="F33">
            <v>1</v>
          </cell>
          <cell r="G33">
            <v>1</v>
          </cell>
          <cell r="H33">
            <v>0.189</v>
          </cell>
          <cell r="I33">
            <v>3.3750000000000002E-2</v>
          </cell>
          <cell r="J33">
            <v>5.6</v>
          </cell>
          <cell r="K33">
            <v>2</v>
          </cell>
          <cell r="L33">
            <v>5</v>
          </cell>
          <cell r="M33">
            <v>10</v>
          </cell>
          <cell r="N33">
            <v>20</v>
          </cell>
          <cell r="O33">
            <v>30</v>
          </cell>
          <cell r="P33">
            <v>60</v>
          </cell>
        </row>
        <row r="34">
          <cell r="A34" t="str">
            <v>CFCHS76.1x3</v>
          </cell>
          <cell r="B34" t="str">
            <v>a=1.0 x t</v>
          </cell>
          <cell r="C34">
            <v>3</v>
          </cell>
          <cell r="D34" t="str">
            <v>-</v>
          </cell>
          <cell r="E34" t="str">
            <v>ei</v>
          </cell>
          <cell r="F34">
            <v>1</v>
          </cell>
          <cell r="G34">
            <v>1</v>
          </cell>
          <cell r="H34">
            <v>0.23899999999999999</v>
          </cell>
          <cell r="I34">
            <v>4.4259259259259255E-2</v>
          </cell>
          <cell r="J34">
            <v>5.4</v>
          </cell>
          <cell r="K34">
            <v>2</v>
          </cell>
          <cell r="L34">
            <v>5</v>
          </cell>
          <cell r="M34">
            <v>10</v>
          </cell>
          <cell r="N34">
            <v>20</v>
          </cell>
          <cell r="O34">
            <v>30</v>
          </cell>
          <cell r="P34">
            <v>60</v>
          </cell>
        </row>
        <row r="35">
          <cell r="A35" t="str">
            <v>CFCHS76.1x3.2</v>
          </cell>
          <cell r="B35" t="str">
            <v>a=1.0 x t</v>
          </cell>
          <cell r="C35">
            <v>3.2</v>
          </cell>
          <cell r="D35" t="str">
            <v>-</v>
          </cell>
          <cell r="E35" t="str">
            <v>ei</v>
          </cell>
          <cell r="F35">
            <v>1</v>
          </cell>
          <cell r="G35">
            <v>1</v>
          </cell>
          <cell r="H35">
            <v>0.23899999999999999</v>
          </cell>
          <cell r="I35">
            <v>4.1206896551724138E-2</v>
          </cell>
          <cell r="J35">
            <v>5.8</v>
          </cell>
          <cell r="K35">
            <v>2</v>
          </cell>
          <cell r="L35">
            <v>5</v>
          </cell>
          <cell r="M35">
            <v>10</v>
          </cell>
          <cell r="N35">
            <v>20</v>
          </cell>
          <cell r="O35">
            <v>30</v>
          </cell>
          <cell r="P35">
            <v>60</v>
          </cell>
        </row>
        <row r="36">
          <cell r="A36" t="str">
            <v>CFCHS76.1x4</v>
          </cell>
          <cell r="B36" t="str">
            <v>a=1.0 x t</v>
          </cell>
          <cell r="C36">
            <v>4</v>
          </cell>
          <cell r="D36"/>
          <cell r="E36" t="str">
            <v>ei</v>
          </cell>
          <cell r="F36">
            <v>1</v>
          </cell>
          <cell r="G36">
            <v>1</v>
          </cell>
          <cell r="H36">
            <v>0.23899999999999999</v>
          </cell>
          <cell r="I36">
            <v>3.3661971830985918E-2</v>
          </cell>
          <cell r="J36">
            <v>7.1</v>
          </cell>
          <cell r="K36">
            <v>2</v>
          </cell>
          <cell r="L36">
            <v>5</v>
          </cell>
          <cell r="M36">
            <v>10</v>
          </cell>
          <cell r="N36">
            <v>20</v>
          </cell>
          <cell r="O36">
            <v>30</v>
          </cell>
          <cell r="P36">
            <v>60</v>
          </cell>
        </row>
        <row r="37">
          <cell r="A37" t="str">
            <v>CFCHS76.1x5</v>
          </cell>
          <cell r="B37" t="str">
            <v>a=1.0 x t</v>
          </cell>
          <cell r="C37">
            <v>5</v>
          </cell>
          <cell r="D37"/>
          <cell r="E37" t="str">
            <v>ei</v>
          </cell>
          <cell r="F37">
            <v>1</v>
          </cell>
          <cell r="G37">
            <v>1</v>
          </cell>
          <cell r="H37">
            <v>0.23899999999999999</v>
          </cell>
          <cell r="I37">
            <v>2.7159090909090907E-2</v>
          </cell>
          <cell r="J37">
            <v>8.8000000000000007</v>
          </cell>
          <cell r="K37">
            <v>2</v>
          </cell>
          <cell r="L37">
            <v>5</v>
          </cell>
          <cell r="M37">
            <v>10</v>
          </cell>
          <cell r="N37">
            <v>20</v>
          </cell>
          <cell r="O37">
            <v>30</v>
          </cell>
          <cell r="P37">
            <v>60</v>
          </cell>
        </row>
        <row r="38">
          <cell r="A38" t="str">
            <v>CFCHS88.9x3</v>
          </cell>
          <cell r="B38" t="str">
            <v>a=1.0 x t</v>
          </cell>
          <cell r="C38">
            <v>3</v>
          </cell>
          <cell r="D38" t="str">
            <v>-</v>
          </cell>
          <cell r="E38" t="str">
            <v>ei</v>
          </cell>
          <cell r="F38">
            <v>1</v>
          </cell>
          <cell r="G38">
            <v>1</v>
          </cell>
          <cell r="H38">
            <v>0.27900000000000003</v>
          </cell>
          <cell r="I38">
            <v>4.3593750000000001E-2</v>
          </cell>
          <cell r="J38">
            <v>6.4</v>
          </cell>
          <cell r="K38">
            <v>2</v>
          </cell>
          <cell r="L38">
            <v>5</v>
          </cell>
          <cell r="M38">
            <v>10</v>
          </cell>
          <cell r="N38">
            <v>20</v>
          </cell>
          <cell r="O38">
            <v>30</v>
          </cell>
          <cell r="P38">
            <v>60</v>
          </cell>
        </row>
        <row r="39">
          <cell r="A39" t="str">
            <v>CFCHS88.9x3.2</v>
          </cell>
          <cell r="B39" t="str">
            <v>a=1.0 x t</v>
          </cell>
          <cell r="C39">
            <v>3.2</v>
          </cell>
          <cell r="D39" t="str">
            <v>-</v>
          </cell>
          <cell r="E39" t="str">
            <v>ei</v>
          </cell>
          <cell r="F39">
            <v>1</v>
          </cell>
          <cell r="G39">
            <v>1</v>
          </cell>
          <cell r="H39">
            <v>0.27900000000000003</v>
          </cell>
          <cell r="I39">
            <v>4.1029411764705891E-2</v>
          </cell>
          <cell r="J39">
            <v>6.8</v>
          </cell>
          <cell r="K39">
            <v>2</v>
          </cell>
          <cell r="L39">
            <v>5</v>
          </cell>
          <cell r="M39">
            <v>10</v>
          </cell>
          <cell r="N39">
            <v>20</v>
          </cell>
          <cell r="O39">
            <v>30</v>
          </cell>
          <cell r="P39">
            <v>60</v>
          </cell>
        </row>
        <row r="40">
          <cell r="A40" t="str">
            <v>CFCHS88.9x3.6</v>
          </cell>
          <cell r="B40" t="str">
            <v>a=1.0 x t</v>
          </cell>
          <cell r="C40">
            <v>3.6</v>
          </cell>
          <cell r="D40" t="str">
            <v>-</v>
          </cell>
          <cell r="E40" t="str">
            <v>ei</v>
          </cell>
          <cell r="F40">
            <v>1</v>
          </cell>
          <cell r="G40">
            <v>1</v>
          </cell>
          <cell r="H40">
            <v>0.27900000000000003</v>
          </cell>
          <cell r="I40">
            <v>3.6710526315789478E-2</v>
          </cell>
          <cell r="J40">
            <v>7.6</v>
          </cell>
          <cell r="K40">
            <v>2</v>
          </cell>
          <cell r="L40">
            <v>5</v>
          </cell>
          <cell r="M40">
            <v>10</v>
          </cell>
          <cell r="N40">
            <v>20</v>
          </cell>
          <cell r="O40">
            <v>30</v>
          </cell>
          <cell r="P40">
            <v>60</v>
          </cell>
        </row>
        <row r="41">
          <cell r="A41" t="str">
            <v>CFCHS88.9x4</v>
          </cell>
          <cell r="B41" t="str">
            <v>a=1.0 x t</v>
          </cell>
          <cell r="C41">
            <v>4</v>
          </cell>
          <cell r="D41"/>
          <cell r="E41" t="str">
            <v>ei</v>
          </cell>
          <cell r="F41">
            <v>1</v>
          </cell>
          <cell r="G41">
            <v>1</v>
          </cell>
          <cell r="H41">
            <v>0.27900000000000003</v>
          </cell>
          <cell r="I41">
            <v>3.3214285714285717E-2</v>
          </cell>
          <cell r="J41">
            <v>8.4</v>
          </cell>
          <cell r="K41">
            <v>2</v>
          </cell>
          <cell r="L41">
            <v>5</v>
          </cell>
          <cell r="M41">
            <v>10</v>
          </cell>
          <cell r="N41">
            <v>20</v>
          </cell>
          <cell r="O41">
            <v>30</v>
          </cell>
          <cell r="P41">
            <v>60</v>
          </cell>
        </row>
        <row r="42">
          <cell r="A42" t="str">
            <v>CFCHS88.9x5</v>
          </cell>
          <cell r="B42" t="str">
            <v>a=1.0 x t</v>
          </cell>
          <cell r="C42">
            <v>5</v>
          </cell>
          <cell r="D42"/>
          <cell r="E42" t="str">
            <v>ei</v>
          </cell>
          <cell r="F42">
            <v>1</v>
          </cell>
          <cell r="G42">
            <v>1</v>
          </cell>
          <cell r="H42">
            <v>0.27900000000000003</v>
          </cell>
          <cell r="I42">
            <v>2.6826923076923078E-2</v>
          </cell>
          <cell r="J42">
            <v>10.4</v>
          </cell>
          <cell r="K42">
            <v>2</v>
          </cell>
          <cell r="L42">
            <v>5</v>
          </cell>
          <cell r="M42">
            <v>10</v>
          </cell>
          <cell r="N42">
            <v>20</v>
          </cell>
          <cell r="O42">
            <v>30</v>
          </cell>
          <cell r="P42">
            <v>60</v>
          </cell>
        </row>
        <row r="43">
          <cell r="A43" t="str">
            <v>CFCHS88.9x6.3</v>
          </cell>
          <cell r="B43" t="str">
            <v>a=1.0 x t</v>
          </cell>
          <cell r="C43">
            <v>6.3</v>
          </cell>
          <cell r="D43"/>
          <cell r="E43" t="str">
            <v>ei</v>
          </cell>
          <cell r="F43">
            <v>1</v>
          </cell>
          <cell r="G43">
            <v>1</v>
          </cell>
          <cell r="H43">
            <v>0.27900000000000003</v>
          </cell>
          <cell r="I43">
            <v>2.1796875E-2</v>
          </cell>
          <cell r="J43">
            <v>12.8</v>
          </cell>
          <cell r="K43">
            <v>2</v>
          </cell>
          <cell r="L43">
            <v>5</v>
          </cell>
          <cell r="M43">
            <v>10</v>
          </cell>
          <cell r="N43">
            <v>20</v>
          </cell>
          <cell r="O43">
            <v>30</v>
          </cell>
          <cell r="P43">
            <v>60</v>
          </cell>
        </row>
        <row r="44">
          <cell r="A44" t="str">
            <v>CFCHS101.6x3.6</v>
          </cell>
          <cell r="B44" t="str">
            <v>a=1.0 x t</v>
          </cell>
          <cell r="C44">
            <v>3.6</v>
          </cell>
          <cell r="D44" t="str">
            <v>-</v>
          </cell>
          <cell r="E44" t="str">
            <v>ei</v>
          </cell>
          <cell r="F44">
            <v>1</v>
          </cell>
          <cell r="G44">
            <v>1</v>
          </cell>
          <cell r="H44">
            <v>0.31900000000000001</v>
          </cell>
          <cell r="I44">
            <v>3.6666666666666674E-2</v>
          </cell>
          <cell r="J44">
            <v>8.6999999999999993</v>
          </cell>
          <cell r="K44">
            <v>2</v>
          </cell>
          <cell r="L44">
            <v>5</v>
          </cell>
          <cell r="M44">
            <v>10</v>
          </cell>
          <cell r="N44">
            <v>20</v>
          </cell>
          <cell r="O44">
            <v>30</v>
          </cell>
          <cell r="P44">
            <v>60</v>
          </cell>
        </row>
        <row r="45">
          <cell r="A45" t="str">
            <v>CFCHS101.6x4</v>
          </cell>
          <cell r="B45" t="str">
            <v>a=1.0 x t</v>
          </cell>
          <cell r="C45">
            <v>4</v>
          </cell>
          <cell r="D45"/>
          <cell r="E45" t="str">
            <v>ei</v>
          </cell>
          <cell r="F45">
            <v>1</v>
          </cell>
          <cell r="G45">
            <v>1</v>
          </cell>
          <cell r="H45">
            <v>0.31900000000000001</v>
          </cell>
          <cell r="I45">
            <v>3.288659793814433E-2</v>
          </cell>
          <cell r="J45">
            <v>9.6999999999999993</v>
          </cell>
          <cell r="K45">
            <v>2</v>
          </cell>
          <cell r="L45">
            <v>5</v>
          </cell>
          <cell r="M45">
            <v>10</v>
          </cell>
          <cell r="N45">
            <v>20</v>
          </cell>
          <cell r="O45">
            <v>30</v>
          </cell>
          <cell r="P45">
            <v>60</v>
          </cell>
        </row>
        <row r="46">
          <cell r="A46" t="str">
            <v>CFCHS101.6x5</v>
          </cell>
          <cell r="B46" t="str">
            <v>a=1.0 x t</v>
          </cell>
          <cell r="C46">
            <v>5</v>
          </cell>
          <cell r="D46"/>
          <cell r="E46" t="str">
            <v>ei</v>
          </cell>
          <cell r="F46">
            <v>1</v>
          </cell>
          <cell r="G46">
            <v>1</v>
          </cell>
          <cell r="H46">
            <v>0.31900000000000001</v>
          </cell>
          <cell r="I46">
            <v>2.6806722689075631E-2</v>
          </cell>
          <cell r="J46">
            <v>11.9</v>
          </cell>
          <cell r="K46">
            <v>2</v>
          </cell>
          <cell r="L46">
            <v>5</v>
          </cell>
          <cell r="M46">
            <v>10</v>
          </cell>
          <cell r="N46">
            <v>20</v>
          </cell>
          <cell r="O46">
            <v>30</v>
          </cell>
          <cell r="P46">
            <v>60</v>
          </cell>
        </row>
        <row r="47">
          <cell r="A47" t="str">
            <v>CFCHS108x6.3</v>
          </cell>
          <cell r="B47" t="str">
            <v>a=1.0 x t</v>
          </cell>
          <cell r="C47">
            <v>6.3</v>
          </cell>
          <cell r="D47"/>
          <cell r="E47" t="str">
            <v>ei</v>
          </cell>
          <cell r="F47">
            <v>1</v>
          </cell>
          <cell r="G47">
            <v>1</v>
          </cell>
          <cell r="H47">
            <v>0.33900000000000002</v>
          </cell>
          <cell r="I47">
            <v>2.1455696202531647E-2</v>
          </cell>
          <cell r="J47">
            <v>15.8</v>
          </cell>
          <cell r="K47">
            <v>2</v>
          </cell>
          <cell r="L47">
            <v>5</v>
          </cell>
          <cell r="M47">
            <v>10</v>
          </cell>
          <cell r="N47">
            <v>20</v>
          </cell>
          <cell r="O47">
            <v>30</v>
          </cell>
          <cell r="P47">
            <v>60</v>
          </cell>
        </row>
        <row r="48">
          <cell r="A48" t="str">
            <v>CFCHS114.3x3</v>
          </cell>
          <cell r="B48" t="str">
            <v>a=1.0 x t</v>
          </cell>
          <cell r="C48">
            <v>3</v>
          </cell>
          <cell r="D48" t="str">
            <v>-</v>
          </cell>
          <cell r="E48" t="str">
            <v>ei</v>
          </cell>
          <cell r="F48">
            <v>1</v>
          </cell>
          <cell r="G48">
            <v>1</v>
          </cell>
          <cell r="H48">
            <v>0.35899999999999999</v>
          </cell>
          <cell r="I48">
            <v>4.3780487804878053E-2</v>
          </cell>
          <cell r="J48">
            <v>8.1999999999999993</v>
          </cell>
          <cell r="K48">
            <v>2</v>
          </cell>
          <cell r="L48">
            <v>5</v>
          </cell>
          <cell r="M48">
            <v>10</v>
          </cell>
          <cell r="N48">
            <v>20</v>
          </cell>
          <cell r="O48">
            <v>30</v>
          </cell>
          <cell r="P48">
            <v>60</v>
          </cell>
        </row>
        <row r="49">
          <cell r="A49" t="str">
            <v>CFCHS114.3x3.5</v>
          </cell>
          <cell r="B49" t="str">
            <v>a=1.0 x t</v>
          </cell>
          <cell r="C49">
            <v>3.5</v>
          </cell>
          <cell r="D49" t="str">
            <v>-</v>
          </cell>
          <cell r="E49" t="str">
            <v>ei</v>
          </cell>
          <cell r="F49">
            <v>1</v>
          </cell>
          <cell r="G49">
            <v>1</v>
          </cell>
          <cell r="H49">
            <v>0.35899999999999999</v>
          </cell>
          <cell r="I49">
            <v>3.7552301255230125E-2</v>
          </cell>
          <cell r="J49">
            <v>9.56</v>
          </cell>
          <cell r="K49">
            <v>2</v>
          </cell>
          <cell r="L49">
            <v>5</v>
          </cell>
          <cell r="M49">
            <v>10</v>
          </cell>
          <cell r="N49">
            <v>20</v>
          </cell>
          <cell r="O49">
            <v>30</v>
          </cell>
          <cell r="P49">
            <v>60</v>
          </cell>
        </row>
        <row r="50">
          <cell r="A50" t="str">
            <v>CFCHS114.3x3.6</v>
          </cell>
          <cell r="B50" t="str">
            <v>a=1.0 x t</v>
          </cell>
          <cell r="C50">
            <v>3.6</v>
          </cell>
          <cell r="D50" t="str">
            <v>-</v>
          </cell>
          <cell r="E50" t="str">
            <v>ei</v>
          </cell>
          <cell r="F50">
            <v>1</v>
          </cell>
          <cell r="G50">
            <v>1</v>
          </cell>
          <cell r="H50">
            <v>0.35899999999999999</v>
          </cell>
          <cell r="I50">
            <v>3.6632653061224485E-2</v>
          </cell>
          <cell r="J50">
            <v>9.8000000000000007</v>
          </cell>
          <cell r="K50">
            <v>2</v>
          </cell>
          <cell r="L50">
            <v>5</v>
          </cell>
          <cell r="M50">
            <v>10</v>
          </cell>
          <cell r="N50">
            <v>20</v>
          </cell>
          <cell r="O50">
            <v>30</v>
          </cell>
          <cell r="P50">
            <v>60</v>
          </cell>
        </row>
        <row r="51">
          <cell r="A51" t="str">
            <v>CFCHS114.3x4</v>
          </cell>
          <cell r="B51" t="str">
            <v>a=1.0 x t</v>
          </cell>
          <cell r="C51">
            <v>4</v>
          </cell>
          <cell r="D51"/>
          <cell r="E51"/>
          <cell r="F51">
            <v>1</v>
          </cell>
          <cell r="G51">
            <v>1</v>
          </cell>
          <cell r="H51">
            <v>0.35899999999999999</v>
          </cell>
          <cell r="I51">
            <v>3.2935779816513758E-2</v>
          </cell>
          <cell r="J51">
            <v>10.9</v>
          </cell>
          <cell r="K51">
            <v>2</v>
          </cell>
          <cell r="L51">
            <v>5</v>
          </cell>
          <cell r="M51">
            <v>10</v>
          </cell>
          <cell r="N51">
            <v>20</v>
          </cell>
          <cell r="O51">
            <v>30</v>
          </cell>
          <cell r="P51">
            <v>60</v>
          </cell>
        </row>
        <row r="52">
          <cell r="A52" t="str">
            <v>CFCHS114.3x5</v>
          </cell>
          <cell r="B52" t="str">
            <v>a=1.0 x t</v>
          </cell>
          <cell r="C52">
            <v>5</v>
          </cell>
          <cell r="D52"/>
          <cell r="E52"/>
          <cell r="F52">
            <v>1</v>
          </cell>
          <cell r="G52">
            <v>1</v>
          </cell>
          <cell r="H52">
            <v>0.35899999999999999</v>
          </cell>
          <cell r="I52">
            <v>2.6592592592592591E-2</v>
          </cell>
          <cell r="J52">
            <v>13.5</v>
          </cell>
          <cell r="K52">
            <v>2</v>
          </cell>
          <cell r="L52">
            <v>5</v>
          </cell>
          <cell r="M52">
            <v>10</v>
          </cell>
          <cell r="N52">
            <v>20</v>
          </cell>
          <cell r="O52">
            <v>30</v>
          </cell>
          <cell r="P52">
            <v>60</v>
          </cell>
        </row>
        <row r="53">
          <cell r="A53" t="str">
            <v>CFCHS114.3x6</v>
          </cell>
          <cell r="B53" t="str">
            <v>a=1.0 x t</v>
          </cell>
          <cell r="C53">
            <v>6</v>
          </cell>
          <cell r="D53"/>
          <cell r="E53"/>
          <cell r="F53">
            <v>1</v>
          </cell>
          <cell r="G53">
            <v>1</v>
          </cell>
          <cell r="H53">
            <v>0.35899999999999999</v>
          </cell>
          <cell r="I53">
            <v>2.2437499999999999E-2</v>
          </cell>
          <cell r="J53">
            <v>16</v>
          </cell>
          <cell r="K53">
            <v>2</v>
          </cell>
          <cell r="L53">
            <v>5</v>
          </cell>
          <cell r="M53">
            <v>10</v>
          </cell>
          <cell r="N53">
            <v>20</v>
          </cell>
          <cell r="O53">
            <v>30</v>
          </cell>
          <cell r="P53">
            <v>60</v>
          </cell>
        </row>
        <row r="54">
          <cell r="A54" t="str">
            <v>CFCHS114.3x6.3</v>
          </cell>
          <cell r="B54" t="str">
            <v>a=1.0 x t</v>
          </cell>
          <cell r="C54">
            <v>6.3</v>
          </cell>
          <cell r="D54"/>
          <cell r="E54"/>
          <cell r="F54">
            <v>1</v>
          </cell>
          <cell r="G54">
            <v>1</v>
          </cell>
          <cell r="H54">
            <v>0.35899999999999999</v>
          </cell>
          <cell r="I54">
            <v>2.1369047619047617E-2</v>
          </cell>
          <cell r="J54">
            <v>16.8</v>
          </cell>
          <cell r="K54">
            <v>2</v>
          </cell>
          <cell r="L54">
            <v>5</v>
          </cell>
          <cell r="M54">
            <v>10</v>
          </cell>
          <cell r="N54">
            <v>20</v>
          </cell>
          <cell r="O54">
            <v>30</v>
          </cell>
          <cell r="P54">
            <v>60</v>
          </cell>
        </row>
        <row r="55">
          <cell r="A55" t="str">
            <v>CFCHS127x5</v>
          </cell>
          <cell r="B55" t="str">
            <v>a=1.0 x t</v>
          </cell>
          <cell r="C55">
            <v>5</v>
          </cell>
          <cell r="D55"/>
          <cell r="E55"/>
          <cell r="F55">
            <v>1</v>
          </cell>
          <cell r="G55">
            <v>1</v>
          </cell>
          <cell r="H55">
            <v>0.39900000000000002</v>
          </cell>
          <cell r="I55">
            <v>2.6600000000000002E-2</v>
          </cell>
          <cell r="J55">
            <v>15</v>
          </cell>
          <cell r="K55">
            <v>2</v>
          </cell>
          <cell r="L55">
            <v>5</v>
          </cell>
          <cell r="M55">
            <v>10</v>
          </cell>
          <cell r="N55">
            <v>20</v>
          </cell>
          <cell r="O55">
            <v>30</v>
          </cell>
          <cell r="P55">
            <v>60</v>
          </cell>
        </row>
        <row r="56">
          <cell r="A56" t="str">
            <v>CFCHS133x5</v>
          </cell>
          <cell r="B56" t="str">
            <v>a=1.0 x t</v>
          </cell>
          <cell r="C56">
            <v>5</v>
          </cell>
          <cell r="D56"/>
          <cell r="E56"/>
          <cell r="F56">
            <v>1</v>
          </cell>
          <cell r="G56">
            <v>1</v>
          </cell>
          <cell r="H56">
            <v>0.41799999999999998</v>
          </cell>
          <cell r="I56">
            <v>2.6455696202531645E-2</v>
          </cell>
          <cell r="J56">
            <v>15.8</v>
          </cell>
          <cell r="K56">
            <v>2</v>
          </cell>
          <cell r="L56">
            <v>5</v>
          </cell>
          <cell r="M56">
            <v>10</v>
          </cell>
          <cell r="N56">
            <v>20</v>
          </cell>
          <cell r="O56">
            <v>30</v>
          </cell>
          <cell r="P56">
            <v>60</v>
          </cell>
        </row>
        <row r="57">
          <cell r="A57" t="str">
            <v>CFCHS139.7x3</v>
          </cell>
          <cell r="B57" t="str">
            <v>a=1.0 x t</v>
          </cell>
          <cell r="C57">
            <v>3</v>
          </cell>
          <cell r="D57" t="str">
            <v>-</v>
          </cell>
          <cell r="E57"/>
          <cell r="F57">
            <v>1</v>
          </cell>
          <cell r="G57">
            <v>1</v>
          </cell>
          <cell r="H57">
            <v>0.439</v>
          </cell>
          <cell r="I57">
            <v>4.3465346534653469E-2</v>
          </cell>
          <cell r="J57">
            <v>10.1</v>
          </cell>
          <cell r="K57">
            <v>2</v>
          </cell>
          <cell r="L57">
            <v>5</v>
          </cell>
          <cell r="M57">
            <v>10</v>
          </cell>
          <cell r="N57">
            <v>20</v>
          </cell>
          <cell r="O57">
            <v>30</v>
          </cell>
          <cell r="P57">
            <v>60</v>
          </cell>
        </row>
        <row r="58">
          <cell r="A58" t="str">
            <v>CFCHS139.7x4</v>
          </cell>
          <cell r="B58" t="str">
            <v>a=1.0 x t</v>
          </cell>
          <cell r="C58">
            <v>4</v>
          </cell>
          <cell r="D58"/>
          <cell r="E58"/>
          <cell r="F58">
            <v>1</v>
          </cell>
          <cell r="G58">
            <v>1</v>
          </cell>
          <cell r="H58">
            <v>0.439</v>
          </cell>
          <cell r="I58">
            <v>3.2761194029850747E-2</v>
          </cell>
          <cell r="J58">
            <v>13.4</v>
          </cell>
          <cell r="K58">
            <v>2</v>
          </cell>
          <cell r="L58">
            <v>5</v>
          </cell>
          <cell r="M58">
            <v>10</v>
          </cell>
          <cell r="N58">
            <v>20</v>
          </cell>
          <cell r="O58">
            <v>30</v>
          </cell>
          <cell r="P58">
            <v>60</v>
          </cell>
        </row>
        <row r="59">
          <cell r="A59" t="str">
            <v>CFCHS139.7x5</v>
          </cell>
          <cell r="B59" t="str">
            <v>a=1.0 x t</v>
          </cell>
          <cell r="C59">
            <v>5</v>
          </cell>
          <cell r="D59"/>
          <cell r="E59"/>
          <cell r="F59">
            <v>1</v>
          </cell>
          <cell r="G59">
            <v>1</v>
          </cell>
          <cell r="H59">
            <v>0.439</v>
          </cell>
          <cell r="I59">
            <v>2.6445783132530119E-2</v>
          </cell>
          <cell r="J59">
            <v>16.600000000000001</v>
          </cell>
          <cell r="K59">
            <v>2</v>
          </cell>
          <cell r="L59">
            <v>5</v>
          </cell>
          <cell r="M59">
            <v>10</v>
          </cell>
          <cell r="N59">
            <v>20</v>
          </cell>
          <cell r="O59">
            <v>30</v>
          </cell>
          <cell r="P59">
            <v>60</v>
          </cell>
        </row>
        <row r="60">
          <cell r="A60" t="str">
            <v>CFCHS139.7x6</v>
          </cell>
          <cell r="B60" t="str">
            <v>a=1.0 x t</v>
          </cell>
          <cell r="C60">
            <v>6</v>
          </cell>
          <cell r="D60"/>
          <cell r="E60"/>
          <cell r="F60">
            <v>1</v>
          </cell>
          <cell r="G60">
            <v>1</v>
          </cell>
          <cell r="H60">
            <v>0.439</v>
          </cell>
          <cell r="I60">
            <v>2.2171717171717172E-2</v>
          </cell>
          <cell r="J60">
            <v>19.8</v>
          </cell>
          <cell r="K60">
            <v>2</v>
          </cell>
          <cell r="L60">
            <v>5</v>
          </cell>
          <cell r="M60">
            <v>10</v>
          </cell>
          <cell r="N60">
            <v>20</v>
          </cell>
          <cell r="O60">
            <v>30</v>
          </cell>
          <cell r="P60">
            <v>60</v>
          </cell>
        </row>
        <row r="61">
          <cell r="A61" t="str">
            <v>CFCHS139.7x6.3</v>
          </cell>
          <cell r="B61" t="str">
            <v>a=1.0 x t</v>
          </cell>
          <cell r="C61">
            <v>6.3</v>
          </cell>
          <cell r="D61"/>
          <cell r="E61"/>
          <cell r="F61">
            <v>2</v>
          </cell>
          <cell r="G61">
            <v>1</v>
          </cell>
          <cell r="H61">
            <v>0.439</v>
          </cell>
          <cell r="I61">
            <v>2.1207729468599036E-2</v>
          </cell>
          <cell r="J61">
            <v>20.7</v>
          </cell>
          <cell r="K61">
            <v>5</v>
          </cell>
          <cell r="L61">
            <v>10</v>
          </cell>
          <cell r="M61">
            <v>20</v>
          </cell>
          <cell r="N61">
            <v>30</v>
          </cell>
          <cell r="O61">
            <v>60</v>
          </cell>
          <cell r="P61">
            <v>90</v>
          </cell>
        </row>
        <row r="62">
          <cell r="A62" t="str">
            <v>CFCHS139.7x8</v>
          </cell>
          <cell r="B62" t="str">
            <v>a=1.0 x t</v>
          </cell>
          <cell r="C62">
            <v>8</v>
          </cell>
          <cell r="D62"/>
          <cell r="E62"/>
          <cell r="F62">
            <v>2</v>
          </cell>
          <cell r="G62">
            <v>3</v>
          </cell>
          <cell r="H62">
            <v>0.439</v>
          </cell>
          <cell r="I62">
            <v>1.6884615384615383E-2</v>
          </cell>
          <cell r="J62">
            <v>26</v>
          </cell>
          <cell r="K62">
            <v>5</v>
          </cell>
          <cell r="L62">
            <v>10</v>
          </cell>
          <cell r="M62">
            <v>20</v>
          </cell>
          <cell r="N62">
            <v>30</v>
          </cell>
          <cell r="O62">
            <v>60</v>
          </cell>
          <cell r="P62">
            <v>90</v>
          </cell>
        </row>
        <row r="63">
          <cell r="A63" t="str">
            <v>CFCHS139.7x10</v>
          </cell>
          <cell r="B63" t="str">
            <v>a=1.0 x t</v>
          </cell>
          <cell r="C63">
            <v>10</v>
          </cell>
          <cell r="D63"/>
          <cell r="E63"/>
          <cell r="F63">
            <v>2</v>
          </cell>
          <cell r="G63">
            <v>6</v>
          </cell>
          <cell r="H63">
            <v>0.439</v>
          </cell>
          <cell r="I63">
            <v>1.371875E-2</v>
          </cell>
          <cell r="J63">
            <v>32</v>
          </cell>
          <cell r="K63">
            <v>5</v>
          </cell>
          <cell r="L63">
            <v>10</v>
          </cell>
          <cell r="M63">
            <v>20</v>
          </cell>
          <cell r="N63">
            <v>30</v>
          </cell>
          <cell r="O63">
            <v>60</v>
          </cell>
          <cell r="P63">
            <v>90</v>
          </cell>
        </row>
        <row r="64">
          <cell r="A64" t="str">
            <v>CFCHS168.3x4</v>
          </cell>
          <cell r="B64" t="str">
            <v>a=1.0 x t</v>
          </cell>
          <cell r="C64">
            <v>4</v>
          </cell>
          <cell r="D64"/>
          <cell r="E64"/>
          <cell r="F64">
            <v>1</v>
          </cell>
          <cell r="G64">
            <v>1</v>
          </cell>
          <cell r="H64">
            <v>0.52900000000000003</v>
          </cell>
          <cell r="I64">
            <v>3.2654320987654327E-2</v>
          </cell>
          <cell r="J64">
            <v>16.2</v>
          </cell>
          <cell r="K64">
            <v>2</v>
          </cell>
          <cell r="L64">
            <v>5</v>
          </cell>
          <cell r="M64">
            <v>10</v>
          </cell>
          <cell r="N64">
            <v>20</v>
          </cell>
          <cell r="O64">
            <v>30</v>
          </cell>
          <cell r="P64">
            <v>60</v>
          </cell>
        </row>
        <row r="65">
          <cell r="A65" t="str">
            <v>CFCHS168.3x4.5</v>
          </cell>
          <cell r="B65" t="str">
            <v>a=1.0 x t</v>
          </cell>
          <cell r="C65">
            <v>4.5</v>
          </cell>
          <cell r="D65"/>
          <cell r="E65"/>
          <cell r="F65">
            <v>1</v>
          </cell>
          <cell r="G65">
            <v>1</v>
          </cell>
          <cell r="H65">
            <v>0.52900000000000003</v>
          </cell>
          <cell r="I65">
            <v>2.9065934065934069E-2</v>
          </cell>
          <cell r="J65">
            <v>18.2</v>
          </cell>
          <cell r="K65">
            <v>2</v>
          </cell>
          <cell r="L65">
            <v>5</v>
          </cell>
          <cell r="M65">
            <v>10</v>
          </cell>
          <cell r="N65">
            <v>20</v>
          </cell>
          <cell r="O65">
            <v>30</v>
          </cell>
          <cell r="P65">
            <v>60</v>
          </cell>
        </row>
        <row r="66">
          <cell r="A66" t="str">
            <v>CFCHS168.3x5</v>
          </cell>
          <cell r="B66" t="str">
            <v>a=1.0 x t</v>
          </cell>
          <cell r="C66">
            <v>5</v>
          </cell>
          <cell r="D66"/>
          <cell r="E66"/>
          <cell r="F66">
            <v>2</v>
          </cell>
          <cell r="G66">
            <v>2</v>
          </cell>
          <cell r="H66">
            <v>0.52900000000000003</v>
          </cell>
          <cell r="I66">
            <v>2.6318407960199006E-2</v>
          </cell>
          <cell r="J66">
            <v>20.100000000000001</v>
          </cell>
          <cell r="K66">
            <v>5</v>
          </cell>
          <cell r="L66">
            <v>10</v>
          </cell>
          <cell r="M66">
            <v>20</v>
          </cell>
          <cell r="N66">
            <v>30</v>
          </cell>
          <cell r="O66">
            <v>60</v>
          </cell>
          <cell r="P66">
            <v>90</v>
          </cell>
        </row>
        <row r="67">
          <cell r="A67" t="str">
            <v>CFCHS168.3x6</v>
          </cell>
          <cell r="B67" t="str">
            <v>a=1.0 x t</v>
          </cell>
          <cell r="C67">
            <v>6</v>
          </cell>
          <cell r="D67"/>
          <cell r="E67"/>
          <cell r="F67">
            <v>2</v>
          </cell>
          <cell r="G67">
            <v>2</v>
          </cell>
          <cell r="H67">
            <v>0.52900000000000003</v>
          </cell>
          <cell r="I67">
            <v>2.2041666666666668E-2</v>
          </cell>
          <cell r="J67">
            <v>24</v>
          </cell>
          <cell r="K67">
            <v>5</v>
          </cell>
          <cell r="L67">
            <v>10</v>
          </cell>
          <cell r="M67">
            <v>20</v>
          </cell>
          <cell r="N67">
            <v>30</v>
          </cell>
          <cell r="O67">
            <v>60</v>
          </cell>
          <cell r="P67">
            <v>90</v>
          </cell>
        </row>
        <row r="68">
          <cell r="A68" t="str">
            <v>CFCHS168.3x6.3</v>
          </cell>
          <cell r="B68" t="str">
            <v>a=1.0 x t</v>
          </cell>
          <cell r="C68">
            <v>6.3</v>
          </cell>
          <cell r="D68"/>
          <cell r="E68"/>
          <cell r="F68">
            <v>2</v>
          </cell>
          <cell r="G68">
            <v>2</v>
          </cell>
          <cell r="H68">
            <v>0.52900000000000003</v>
          </cell>
          <cell r="I68">
            <v>2.0992063492063492E-2</v>
          </cell>
          <cell r="J68">
            <v>25.2</v>
          </cell>
          <cell r="K68">
            <v>5</v>
          </cell>
          <cell r="L68">
            <v>10</v>
          </cell>
          <cell r="M68">
            <v>20</v>
          </cell>
          <cell r="N68">
            <v>30</v>
          </cell>
          <cell r="O68">
            <v>60</v>
          </cell>
          <cell r="P68">
            <v>90</v>
          </cell>
        </row>
        <row r="69">
          <cell r="A69" t="str">
            <v>CFCHS168.3x8</v>
          </cell>
          <cell r="B69" t="str">
            <v>a=1.0 x t</v>
          </cell>
          <cell r="C69">
            <v>8</v>
          </cell>
          <cell r="D69"/>
          <cell r="E69"/>
          <cell r="F69">
            <v>2</v>
          </cell>
          <cell r="G69">
            <v>3</v>
          </cell>
          <cell r="H69">
            <v>0.52900000000000003</v>
          </cell>
          <cell r="I69">
            <v>1.6740506329113926E-2</v>
          </cell>
          <cell r="J69">
            <v>31.6</v>
          </cell>
          <cell r="K69">
            <v>5</v>
          </cell>
          <cell r="L69">
            <v>10</v>
          </cell>
          <cell r="M69">
            <v>20</v>
          </cell>
          <cell r="N69">
            <v>30</v>
          </cell>
          <cell r="O69">
            <v>60</v>
          </cell>
          <cell r="P69">
            <v>90</v>
          </cell>
        </row>
        <row r="70">
          <cell r="A70" t="str">
            <v>CFCHS168.3x10</v>
          </cell>
          <cell r="B70" t="str">
            <v>a=1.0 x t</v>
          </cell>
          <cell r="C70">
            <v>10</v>
          </cell>
          <cell r="D70"/>
          <cell r="E70"/>
          <cell r="F70">
            <v>2</v>
          </cell>
          <cell r="G70">
            <v>6</v>
          </cell>
          <cell r="H70">
            <v>0.52900000000000003</v>
          </cell>
          <cell r="I70">
            <v>1.3564102564102565E-2</v>
          </cell>
          <cell r="J70">
            <v>39</v>
          </cell>
          <cell r="K70">
            <v>5</v>
          </cell>
          <cell r="L70">
            <v>10</v>
          </cell>
          <cell r="M70">
            <v>20</v>
          </cell>
          <cell r="N70">
            <v>30</v>
          </cell>
          <cell r="O70">
            <v>60</v>
          </cell>
          <cell r="P70">
            <v>90</v>
          </cell>
        </row>
        <row r="71">
          <cell r="A71" t="str">
            <v>CFCHS168.3x12.5</v>
          </cell>
          <cell r="B71" t="str">
            <v>a=1.0 x t</v>
          </cell>
          <cell r="C71">
            <v>12.5</v>
          </cell>
          <cell r="D71"/>
          <cell r="E71" t="str">
            <v>Jah</v>
          </cell>
          <cell r="F71">
            <v>2</v>
          </cell>
          <cell r="G71">
            <v>6</v>
          </cell>
          <cell r="H71">
            <v>0.52900000000000003</v>
          </cell>
          <cell r="I71">
            <v>1.1020833333333334E-2</v>
          </cell>
          <cell r="J71">
            <v>48</v>
          </cell>
          <cell r="K71">
            <v>5</v>
          </cell>
          <cell r="L71">
            <v>10</v>
          </cell>
          <cell r="M71">
            <v>20</v>
          </cell>
          <cell r="N71">
            <v>30</v>
          </cell>
          <cell r="O71">
            <v>60</v>
          </cell>
          <cell r="P71">
            <v>90</v>
          </cell>
        </row>
        <row r="72">
          <cell r="A72" t="str">
            <v>CFCHS193.7x4</v>
          </cell>
          <cell r="B72" t="str">
            <v>a=1.0 x t</v>
          </cell>
          <cell r="C72">
            <v>4</v>
          </cell>
          <cell r="D72"/>
          <cell r="E72"/>
          <cell r="F72">
            <v>1</v>
          </cell>
          <cell r="G72">
            <v>1</v>
          </cell>
          <cell r="H72">
            <v>0.60899999999999999</v>
          </cell>
          <cell r="I72">
            <v>3.2566844919786099E-2</v>
          </cell>
          <cell r="J72">
            <v>18.7</v>
          </cell>
          <cell r="K72">
            <v>2</v>
          </cell>
          <cell r="L72">
            <v>5</v>
          </cell>
          <cell r="M72">
            <v>10</v>
          </cell>
          <cell r="N72">
            <v>20</v>
          </cell>
          <cell r="O72">
            <v>30</v>
          </cell>
          <cell r="P72">
            <v>60</v>
          </cell>
        </row>
        <row r="73">
          <cell r="A73" t="str">
            <v>CFCHS193.7x4.5</v>
          </cell>
          <cell r="B73" t="str">
            <v>a=1.0 x t</v>
          </cell>
          <cell r="C73">
            <v>4.5</v>
          </cell>
          <cell r="D73"/>
          <cell r="E73"/>
          <cell r="F73">
            <v>2</v>
          </cell>
          <cell r="G73">
            <v>1</v>
          </cell>
          <cell r="H73">
            <v>0.60899999999999999</v>
          </cell>
          <cell r="I73">
            <v>2.8999999999999998E-2</v>
          </cell>
          <cell r="J73">
            <v>21</v>
          </cell>
          <cell r="K73">
            <v>5</v>
          </cell>
          <cell r="L73">
            <v>10</v>
          </cell>
          <cell r="M73">
            <v>20</v>
          </cell>
          <cell r="N73">
            <v>30</v>
          </cell>
          <cell r="O73">
            <v>60</v>
          </cell>
          <cell r="P73">
            <v>90</v>
          </cell>
        </row>
        <row r="74">
          <cell r="A74" t="str">
            <v>CFCHS193.7x5</v>
          </cell>
          <cell r="B74" t="str">
            <v>a=1.0 x t</v>
          </cell>
          <cell r="C74">
            <v>5</v>
          </cell>
          <cell r="D74"/>
          <cell r="E74"/>
          <cell r="F74">
            <v>2</v>
          </cell>
          <cell r="G74">
            <v>2</v>
          </cell>
          <cell r="H74">
            <v>0.60899999999999999</v>
          </cell>
          <cell r="I74">
            <v>2.613733905579399E-2</v>
          </cell>
          <cell r="J74">
            <v>23.3</v>
          </cell>
          <cell r="K74">
            <v>5</v>
          </cell>
          <cell r="L74">
            <v>10</v>
          </cell>
          <cell r="M74">
            <v>20</v>
          </cell>
          <cell r="N74">
            <v>30</v>
          </cell>
          <cell r="O74">
            <v>60</v>
          </cell>
          <cell r="P74">
            <v>90</v>
          </cell>
        </row>
        <row r="75">
          <cell r="A75" t="str">
            <v>CFCHS193.7x6</v>
          </cell>
          <cell r="B75" t="str">
            <v>a=1.0 x t</v>
          </cell>
          <cell r="C75">
            <v>6</v>
          </cell>
          <cell r="D75"/>
          <cell r="E75"/>
          <cell r="F75">
            <v>2</v>
          </cell>
          <cell r="G75">
            <v>2</v>
          </cell>
          <cell r="H75">
            <v>0.60899999999999999</v>
          </cell>
          <cell r="I75">
            <v>2.1906474820143886E-2</v>
          </cell>
          <cell r="J75">
            <v>27.8</v>
          </cell>
          <cell r="K75">
            <v>5</v>
          </cell>
          <cell r="L75">
            <v>10</v>
          </cell>
          <cell r="M75">
            <v>20</v>
          </cell>
          <cell r="N75">
            <v>30</v>
          </cell>
          <cell r="O75">
            <v>60</v>
          </cell>
          <cell r="P75">
            <v>90</v>
          </cell>
        </row>
        <row r="76">
          <cell r="A76" t="str">
            <v>CFCHS193.7x6.3</v>
          </cell>
          <cell r="B76" t="str">
            <v>a=1.0 x t</v>
          </cell>
          <cell r="C76">
            <v>6.3</v>
          </cell>
          <cell r="D76"/>
          <cell r="E76"/>
          <cell r="F76">
            <v>2</v>
          </cell>
          <cell r="G76">
            <v>2</v>
          </cell>
          <cell r="H76">
            <v>0.60899999999999999</v>
          </cell>
          <cell r="I76">
            <v>2.0927835051546391E-2</v>
          </cell>
          <cell r="J76">
            <v>29.1</v>
          </cell>
          <cell r="K76">
            <v>5</v>
          </cell>
          <cell r="L76">
            <v>10</v>
          </cell>
          <cell r="M76">
            <v>20</v>
          </cell>
          <cell r="N76">
            <v>30</v>
          </cell>
          <cell r="O76">
            <v>60</v>
          </cell>
          <cell r="P76">
            <v>90</v>
          </cell>
        </row>
        <row r="77">
          <cell r="A77" t="str">
            <v>CFCHS193.7x8</v>
          </cell>
          <cell r="B77" t="str">
            <v>a=1.0 x t</v>
          </cell>
          <cell r="C77">
            <v>8</v>
          </cell>
          <cell r="D77"/>
          <cell r="E77"/>
          <cell r="F77">
            <v>2</v>
          </cell>
          <cell r="G77">
            <v>3</v>
          </cell>
          <cell r="H77">
            <v>0.60899999999999999</v>
          </cell>
          <cell r="I77">
            <v>1.6639344262295082E-2</v>
          </cell>
          <cell r="J77">
            <v>36.6</v>
          </cell>
          <cell r="K77">
            <v>5</v>
          </cell>
          <cell r="L77">
            <v>10</v>
          </cell>
          <cell r="M77">
            <v>20</v>
          </cell>
          <cell r="N77">
            <v>30</v>
          </cell>
          <cell r="O77">
            <v>60</v>
          </cell>
          <cell r="P77">
            <v>90</v>
          </cell>
        </row>
        <row r="78">
          <cell r="A78" t="str">
            <v>CFCHS193.7x10</v>
          </cell>
          <cell r="B78" t="str">
            <v>a=1.0 x t</v>
          </cell>
          <cell r="C78">
            <v>10</v>
          </cell>
          <cell r="D78"/>
          <cell r="E78"/>
          <cell r="F78">
            <v>2</v>
          </cell>
          <cell r="G78">
            <v>6</v>
          </cell>
          <cell r="H78">
            <v>0.60899999999999999</v>
          </cell>
          <cell r="I78">
            <v>1.3443708609271524E-2</v>
          </cell>
          <cell r="J78">
            <v>45.3</v>
          </cell>
          <cell r="K78">
            <v>5</v>
          </cell>
          <cell r="L78">
            <v>10</v>
          </cell>
          <cell r="M78">
            <v>20</v>
          </cell>
          <cell r="N78">
            <v>30</v>
          </cell>
          <cell r="O78">
            <v>60</v>
          </cell>
          <cell r="P78">
            <v>90</v>
          </cell>
        </row>
        <row r="79">
          <cell r="A79" t="str">
            <v>CFCHS193.7x12.5</v>
          </cell>
          <cell r="B79" t="str">
            <v>a=1.0 x t</v>
          </cell>
          <cell r="C79">
            <v>12.5</v>
          </cell>
          <cell r="D79"/>
          <cell r="E79" t="str">
            <v>Jah</v>
          </cell>
          <cell r="F79">
            <v>2</v>
          </cell>
          <cell r="G79">
            <v>6</v>
          </cell>
          <cell r="H79">
            <v>0.60899999999999999</v>
          </cell>
          <cell r="I79">
            <v>1.0894454382826477E-2</v>
          </cell>
          <cell r="J79">
            <v>55.9</v>
          </cell>
          <cell r="K79">
            <v>5</v>
          </cell>
          <cell r="L79">
            <v>10</v>
          </cell>
          <cell r="M79">
            <v>20</v>
          </cell>
          <cell r="N79">
            <v>30</v>
          </cell>
          <cell r="O79">
            <v>60</v>
          </cell>
          <cell r="P79">
            <v>90</v>
          </cell>
        </row>
        <row r="80">
          <cell r="A80" t="str">
            <v>CFCHS219.1x4.5</v>
          </cell>
          <cell r="B80" t="str">
            <v>a=1.0 x t</v>
          </cell>
          <cell r="C80">
            <v>4.5</v>
          </cell>
          <cell r="D80"/>
          <cell r="E80"/>
          <cell r="F80">
            <v>2</v>
          </cell>
          <cell r="G80">
            <v>1</v>
          </cell>
          <cell r="H80">
            <v>0.68799999999999994</v>
          </cell>
          <cell r="I80">
            <v>2.8907563025210081E-2</v>
          </cell>
          <cell r="J80">
            <v>23.8</v>
          </cell>
          <cell r="K80">
            <v>5</v>
          </cell>
          <cell r="L80">
            <v>10</v>
          </cell>
          <cell r="M80">
            <v>20</v>
          </cell>
          <cell r="N80">
            <v>30</v>
          </cell>
          <cell r="O80">
            <v>60</v>
          </cell>
          <cell r="P80">
            <v>90</v>
          </cell>
        </row>
        <row r="81">
          <cell r="A81" t="str">
            <v>CFCHS219.1x5</v>
          </cell>
          <cell r="B81" t="str">
            <v>a=1.0 x t</v>
          </cell>
          <cell r="C81">
            <v>5</v>
          </cell>
          <cell r="D81"/>
          <cell r="E81"/>
          <cell r="F81">
            <v>2</v>
          </cell>
          <cell r="G81">
            <v>2</v>
          </cell>
          <cell r="H81">
            <v>0.68799999999999994</v>
          </cell>
          <cell r="I81">
            <v>2.6060606060606058E-2</v>
          </cell>
          <cell r="J81">
            <v>26.4</v>
          </cell>
          <cell r="K81">
            <v>5</v>
          </cell>
          <cell r="L81">
            <v>10</v>
          </cell>
          <cell r="M81">
            <v>20</v>
          </cell>
          <cell r="N81">
            <v>30</v>
          </cell>
          <cell r="O81">
            <v>60</v>
          </cell>
          <cell r="P81">
            <v>90</v>
          </cell>
        </row>
        <row r="82">
          <cell r="A82" t="str">
            <v>CFCHS219.1x6</v>
          </cell>
          <cell r="B82" t="str">
            <v>a=1.0 x t</v>
          </cell>
          <cell r="C82">
            <v>6</v>
          </cell>
          <cell r="D82"/>
          <cell r="E82"/>
          <cell r="F82">
            <v>2</v>
          </cell>
          <cell r="G82">
            <v>2</v>
          </cell>
          <cell r="H82">
            <v>0.68799999999999994</v>
          </cell>
          <cell r="I82">
            <v>2.1841269841269838E-2</v>
          </cell>
          <cell r="J82">
            <v>31.5</v>
          </cell>
          <cell r="K82">
            <v>5</v>
          </cell>
          <cell r="L82">
            <v>10</v>
          </cell>
          <cell r="M82">
            <v>20</v>
          </cell>
          <cell r="N82">
            <v>30</v>
          </cell>
          <cell r="O82">
            <v>60</v>
          </cell>
          <cell r="P82">
            <v>90</v>
          </cell>
        </row>
        <row r="83">
          <cell r="A83" t="str">
            <v>CFCHS219.1x6.3</v>
          </cell>
          <cell r="B83" t="str">
            <v>a=1.0 x t</v>
          </cell>
          <cell r="C83">
            <v>6.3</v>
          </cell>
          <cell r="D83"/>
          <cell r="E83"/>
          <cell r="F83">
            <v>2</v>
          </cell>
          <cell r="G83">
            <v>2</v>
          </cell>
          <cell r="H83">
            <v>0.68799999999999994</v>
          </cell>
          <cell r="I83">
            <v>2.0785498489425978E-2</v>
          </cell>
          <cell r="J83">
            <v>33.1</v>
          </cell>
          <cell r="K83">
            <v>5</v>
          </cell>
          <cell r="L83">
            <v>10</v>
          </cell>
          <cell r="M83">
            <v>20</v>
          </cell>
          <cell r="N83">
            <v>30</v>
          </cell>
          <cell r="O83">
            <v>60</v>
          </cell>
          <cell r="P83">
            <v>90</v>
          </cell>
        </row>
        <row r="84">
          <cell r="A84" t="str">
            <v>CFCHS219.1x8</v>
          </cell>
          <cell r="B84" t="str">
            <v>a=1.0 x t</v>
          </cell>
          <cell r="C84">
            <v>8</v>
          </cell>
          <cell r="D84"/>
          <cell r="E84"/>
          <cell r="F84">
            <v>2</v>
          </cell>
          <cell r="G84">
            <v>3</v>
          </cell>
          <cell r="H84">
            <v>0.68799999999999994</v>
          </cell>
          <cell r="I84">
            <v>1.6498800959232611E-2</v>
          </cell>
          <cell r="J84">
            <v>41.7</v>
          </cell>
          <cell r="K84">
            <v>5</v>
          </cell>
          <cell r="L84">
            <v>10</v>
          </cell>
          <cell r="M84">
            <v>20</v>
          </cell>
          <cell r="N84">
            <v>30</v>
          </cell>
          <cell r="O84">
            <v>60</v>
          </cell>
          <cell r="P84">
            <v>90</v>
          </cell>
        </row>
        <row r="85">
          <cell r="A85" t="str">
            <v>CFCHS219.1x10</v>
          </cell>
          <cell r="B85" t="str">
            <v>a=1.0 x t</v>
          </cell>
          <cell r="C85">
            <v>10</v>
          </cell>
          <cell r="D85"/>
          <cell r="E85"/>
          <cell r="F85">
            <v>2</v>
          </cell>
          <cell r="G85">
            <v>6</v>
          </cell>
          <cell r="H85">
            <v>0.68799999999999994</v>
          </cell>
          <cell r="I85">
            <v>1.3333333333333332E-2</v>
          </cell>
          <cell r="J85">
            <v>51.6</v>
          </cell>
          <cell r="K85">
            <v>5</v>
          </cell>
          <cell r="L85">
            <v>10</v>
          </cell>
          <cell r="M85">
            <v>20</v>
          </cell>
          <cell r="N85">
            <v>30</v>
          </cell>
          <cell r="O85">
            <v>60</v>
          </cell>
          <cell r="P85">
            <v>90</v>
          </cell>
        </row>
        <row r="86">
          <cell r="A86" t="str">
            <v>CFCHS219.1x12</v>
          </cell>
          <cell r="B86" t="str">
            <v>a=1.0 x t</v>
          </cell>
          <cell r="C86">
            <v>12</v>
          </cell>
          <cell r="D86"/>
          <cell r="E86" t="str">
            <v>Jah</v>
          </cell>
          <cell r="F86">
            <v>2</v>
          </cell>
          <cell r="G86">
            <v>6</v>
          </cell>
          <cell r="H86">
            <v>0.68799999999999994</v>
          </cell>
          <cell r="I86">
            <v>1.1223491027732463E-2</v>
          </cell>
          <cell r="J86">
            <v>61.3</v>
          </cell>
          <cell r="K86">
            <v>5</v>
          </cell>
          <cell r="L86">
            <v>10</v>
          </cell>
          <cell r="M86">
            <v>20</v>
          </cell>
          <cell r="N86">
            <v>30</v>
          </cell>
          <cell r="O86">
            <v>60</v>
          </cell>
          <cell r="P86">
            <v>90</v>
          </cell>
        </row>
        <row r="87">
          <cell r="A87" t="str">
            <v>CFCHS219.1x12.5</v>
          </cell>
          <cell r="B87" t="str">
            <v>a=1.0 x t</v>
          </cell>
          <cell r="C87">
            <v>12.5</v>
          </cell>
          <cell r="D87"/>
          <cell r="E87" t="str">
            <v>Jah</v>
          </cell>
          <cell r="F87">
            <v>2</v>
          </cell>
          <cell r="G87">
            <v>6</v>
          </cell>
          <cell r="H87">
            <v>0.68799999999999994</v>
          </cell>
          <cell r="I87">
            <v>1.0800627943485085E-2</v>
          </cell>
          <cell r="J87">
            <v>63.7</v>
          </cell>
          <cell r="K87">
            <v>5</v>
          </cell>
          <cell r="L87">
            <v>10</v>
          </cell>
          <cell r="M87">
            <v>20</v>
          </cell>
          <cell r="N87">
            <v>30</v>
          </cell>
          <cell r="O87">
            <v>60</v>
          </cell>
          <cell r="P87">
            <v>90</v>
          </cell>
        </row>
        <row r="88">
          <cell r="A88" t="str">
            <v>CFCHS219.1x16</v>
          </cell>
          <cell r="B88" t="str">
            <v>a=1.0 x t</v>
          </cell>
          <cell r="C88">
            <v>16</v>
          </cell>
          <cell r="D88"/>
          <cell r="E88" t="str">
            <v>Jah</v>
          </cell>
          <cell r="F88">
            <v>2</v>
          </cell>
          <cell r="G88">
            <v>10</v>
          </cell>
          <cell r="H88">
            <v>0.68799999999999994</v>
          </cell>
          <cell r="I88">
            <v>8.5892634207240942E-3</v>
          </cell>
          <cell r="J88">
            <v>80.099999999999994</v>
          </cell>
          <cell r="K88">
            <v>5</v>
          </cell>
          <cell r="L88">
            <v>10</v>
          </cell>
          <cell r="M88">
            <v>20</v>
          </cell>
          <cell r="N88">
            <v>30</v>
          </cell>
          <cell r="O88">
            <v>60</v>
          </cell>
          <cell r="P88">
            <v>90</v>
          </cell>
        </row>
        <row r="89">
          <cell r="A89" t="str">
            <v>CFCHS244.5x5</v>
          </cell>
          <cell r="B89" t="str">
            <v>a=1.0 x t</v>
          </cell>
          <cell r="C89">
            <v>5</v>
          </cell>
          <cell r="D89"/>
          <cell r="E89"/>
          <cell r="F89">
            <v>2</v>
          </cell>
          <cell r="G89">
            <v>2</v>
          </cell>
          <cell r="H89">
            <v>0.76800000000000002</v>
          </cell>
          <cell r="I89">
            <v>2.6033898305084745E-2</v>
          </cell>
          <cell r="J89">
            <v>29.5</v>
          </cell>
          <cell r="K89">
            <v>5</v>
          </cell>
          <cell r="L89">
            <v>10</v>
          </cell>
          <cell r="M89">
            <v>20</v>
          </cell>
          <cell r="N89">
            <v>30</v>
          </cell>
          <cell r="O89">
            <v>60</v>
          </cell>
          <cell r="P89">
            <v>90</v>
          </cell>
        </row>
        <row r="90">
          <cell r="A90" t="str">
            <v>CFCHS244.5x6</v>
          </cell>
          <cell r="B90" t="str">
            <v>a=1.0 x t</v>
          </cell>
          <cell r="C90">
            <v>6</v>
          </cell>
          <cell r="D90"/>
          <cell r="E90"/>
          <cell r="F90">
            <v>2</v>
          </cell>
          <cell r="G90">
            <v>2</v>
          </cell>
          <cell r="H90">
            <v>0.76800000000000002</v>
          </cell>
          <cell r="I90">
            <v>2.1756373937677057E-2</v>
          </cell>
          <cell r="J90">
            <v>35.299999999999997</v>
          </cell>
          <cell r="K90">
            <v>5</v>
          </cell>
          <cell r="L90">
            <v>10</v>
          </cell>
          <cell r="M90">
            <v>20</v>
          </cell>
          <cell r="N90">
            <v>30</v>
          </cell>
          <cell r="O90">
            <v>60</v>
          </cell>
          <cell r="P90">
            <v>90</v>
          </cell>
        </row>
        <row r="91">
          <cell r="A91" t="str">
            <v>CFCHS244.5x6.3</v>
          </cell>
          <cell r="B91" t="str">
            <v>a=1.0 x t</v>
          </cell>
          <cell r="C91">
            <v>6.3</v>
          </cell>
          <cell r="D91"/>
          <cell r="E91"/>
          <cell r="F91">
            <v>2</v>
          </cell>
          <cell r="G91">
            <v>2</v>
          </cell>
          <cell r="H91">
            <v>0.76800000000000002</v>
          </cell>
          <cell r="I91">
            <v>2.0756756756756756E-2</v>
          </cell>
          <cell r="J91">
            <v>37</v>
          </cell>
          <cell r="K91">
            <v>5</v>
          </cell>
          <cell r="L91">
            <v>10</v>
          </cell>
          <cell r="M91">
            <v>20</v>
          </cell>
          <cell r="N91">
            <v>30</v>
          </cell>
          <cell r="O91">
            <v>60</v>
          </cell>
          <cell r="P91">
            <v>90</v>
          </cell>
        </row>
        <row r="92">
          <cell r="A92" t="str">
            <v>CFCHS244.5x8</v>
          </cell>
          <cell r="B92" t="str">
            <v>a=1.0 x t</v>
          </cell>
          <cell r="C92">
            <v>8</v>
          </cell>
          <cell r="D92"/>
          <cell r="E92"/>
          <cell r="F92">
            <v>2</v>
          </cell>
          <cell r="G92">
            <v>3</v>
          </cell>
          <cell r="H92">
            <v>0.76800000000000002</v>
          </cell>
          <cell r="I92">
            <v>1.6480686695278971E-2</v>
          </cell>
          <cell r="J92">
            <v>46.6</v>
          </cell>
          <cell r="K92">
            <v>5</v>
          </cell>
          <cell r="L92">
            <v>10</v>
          </cell>
          <cell r="M92">
            <v>20</v>
          </cell>
          <cell r="N92">
            <v>30</v>
          </cell>
          <cell r="O92">
            <v>60</v>
          </cell>
          <cell r="P92">
            <v>90</v>
          </cell>
        </row>
        <row r="93">
          <cell r="A93" t="str">
            <v>CFCHS244.5x10</v>
          </cell>
          <cell r="B93" t="str">
            <v>a=1.0 x t</v>
          </cell>
          <cell r="C93">
            <v>10</v>
          </cell>
          <cell r="D93"/>
          <cell r="E93"/>
          <cell r="F93">
            <v>2</v>
          </cell>
          <cell r="G93">
            <v>6</v>
          </cell>
          <cell r="H93">
            <v>0.76800000000000002</v>
          </cell>
          <cell r="I93">
            <v>1.3264248704663213E-2</v>
          </cell>
          <cell r="J93">
            <v>57.9</v>
          </cell>
          <cell r="K93">
            <v>5</v>
          </cell>
          <cell r="L93">
            <v>10</v>
          </cell>
          <cell r="M93">
            <v>20</v>
          </cell>
          <cell r="N93">
            <v>30</v>
          </cell>
          <cell r="O93">
            <v>60</v>
          </cell>
          <cell r="P93">
            <v>90</v>
          </cell>
        </row>
        <row r="94">
          <cell r="A94" t="str">
            <v>CFCHS244.5x12</v>
          </cell>
          <cell r="B94" t="str">
            <v>a=1.0 x t</v>
          </cell>
          <cell r="C94">
            <v>12</v>
          </cell>
          <cell r="D94"/>
          <cell r="E94" t="str">
            <v>Jah</v>
          </cell>
          <cell r="F94">
            <v>2</v>
          </cell>
          <cell r="G94">
            <v>6</v>
          </cell>
          <cell r="H94">
            <v>0.76800000000000002</v>
          </cell>
          <cell r="I94">
            <v>1.1162790697674419E-2</v>
          </cell>
          <cell r="J94">
            <v>68.8</v>
          </cell>
          <cell r="K94">
            <v>5</v>
          </cell>
          <cell r="L94">
            <v>10</v>
          </cell>
          <cell r="M94">
            <v>20</v>
          </cell>
          <cell r="N94">
            <v>30</v>
          </cell>
          <cell r="O94">
            <v>60</v>
          </cell>
          <cell r="P94">
            <v>90</v>
          </cell>
        </row>
        <row r="95">
          <cell r="A95" t="str">
            <v>CFCHS244.5x12.5</v>
          </cell>
          <cell r="B95" t="str">
            <v>a=1.0 x t</v>
          </cell>
          <cell r="C95">
            <v>12.5</v>
          </cell>
          <cell r="D95"/>
          <cell r="E95" t="str">
            <v>Jah</v>
          </cell>
          <cell r="F95">
            <v>2</v>
          </cell>
          <cell r="G95">
            <v>6</v>
          </cell>
          <cell r="H95">
            <v>0.76800000000000002</v>
          </cell>
          <cell r="I95">
            <v>1.0741258741258742E-2</v>
          </cell>
          <cell r="J95">
            <v>71.5</v>
          </cell>
          <cell r="K95">
            <v>5</v>
          </cell>
          <cell r="L95">
            <v>10</v>
          </cell>
          <cell r="M95">
            <v>20</v>
          </cell>
          <cell r="N95">
            <v>30</v>
          </cell>
          <cell r="O95">
            <v>60</v>
          </cell>
          <cell r="P95">
            <v>90</v>
          </cell>
        </row>
        <row r="96">
          <cell r="A96" t="str">
            <v>CFCHS244.5x16</v>
          </cell>
          <cell r="B96" t="str">
            <v>a=1.0 x t</v>
          </cell>
          <cell r="C96">
            <v>16</v>
          </cell>
          <cell r="D96"/>
          <cell r="E96" t="str">
            <v>Jah</v>
          </cell>
          <cell r="F96">
            <v>2</v>
          </cell>
          <cell r="G96">
            <v>10</v>
          </cell>
          <cell r="H96">
            <v>0.76800000000000002</v>
          </cell>
          <cell r="I96">
            <v>8.5049833887043194E-3</v>
          </cell>
          <cell r="J96">
            <v>90.3</v>
          </cell>
          <cell r="K96">
            <v>5</v>
          </cell>
          <cell r="L96">
            <v>10</v>
          </cell>
          <cell r="M96">
            <v>20</v>
          </cell>
          <cell r="N96">
            <v>30</v>
          </cell>
          <cell r="O96">
            <v>60</v>
          </cell>
          <cell r="P96">
            <v>90</v>
          </cell>
        </row>
        <row r="97">
          <cell r="A97" t="str">
            <v>CFCHS273x4</v>
          </cell>
          <cell r="B97" t="str">
            <v>a=1.0 x t</v>
          </cell>
          <cell r="C97">
            <v>4</v>
          </cell>
          <cell r="D97"/>
          <cell r="E97"/>
          <cell r="F97">
            <v>3</v>
          </cell>
          <cell r="G97">
            <v>1</v>
          </cell>
          <cell r="H97">
            <v>0.85799999999999998</v>
          </cell>
          <cell r="I97">
            <v>3.2377358490566034E-2</v>
          </cell>
          <cell r="J97">
            <v>26.5</v>
          </cell>
          <cell r="K97">
            <v>10</v>
          </cell>
          <cell r="L97">
            <v>20</v>
          </cell>
          <cell r="M97">
            <v>30</v>
          </cell>
          <cell r="N97">
            <v>40</v>
          </cell>
          <cell r="O97">
            <v>90</v>
          </cell>
          <cell r="P97">
            <v>120</v>
          </cell>
        </row>
        <row r="98">
          <cell r="A98" t="str">
            <v>CFCHS273x4.5</v>
          </cell>
          <cell r="B98" t="str">
            <v>a=1.0 x t</v>
          </cell>
          <cell r="C98">
            <v>4.5</v>
          </cell>
          <cell r="D98"/>
          <cell r="E98"/>
          <cell r="F98">
            <v>3</v>
          </cell>
          <cell r="G98">
            <v>1</v>
          </cell>
          <cell r="H98">
            <v>0.85799999999999998</v>
          </cell>
          <cell r="I98">
            <v>2.8791946308724833E-2</v>
          </cell>
          <cell r="J98">
            <v>29.8</v>
          </cell>
          <cell r="K98">
            <v>10</v>
          </cell>
          <cell r="L98">
            <v>20</v>
          </cell>
          <cell r="M98">
            <v>30</v>
          </cell>
          <cell r="N98">
            <v>40</v>
          </cell>
          <cell r="O98">
            <v>90</v>
          </cell>
          <cell r="P98">
            <v>120</v>
          </cell>
        </row>
        <row r="99">
          <cell r="A99" t="str">
            <v>CFCHS273x5</v>
          </cell>
          <cell r="B99" t="str">
            <v>a=1.0 x t</v>
          </cell>
          <cell r="C99">
            <v>5</v>
          </cell>
          <cell r="D99"/>
          <cell r="E99"/>
          <cell r="F99">
            <v>3</v>
          </cell>
          <cell r="G99">
            <v>2</v>
          </cell>
          <cell r="H99">
            <v>0.85799999999999998</v>
          </cell>
          <cell r="I99">
            <v>2.5999999999999999E-2</v>
          </cell>
          <cell r="J99">
            <v>33</v>
          </cell>
          <cell r="K99">
            <v>10</v>
          </cell>
          <cell r="L99">
            <v>20</v>
          </cell>
          <cell r="M99">
            <v>30</v>
          </cell>
          <cell r="N99">
            <v>40</v>
          </cell>
          <cell r="O99">
            <v>90</v>
          </cell>
          <cell r="P99">
            <v>120</v>
          </cell>
        </row>
        <row r="100">
          <cell r="A100" t="str">
            <v>CFCHS273x6</v>
          </cell>
          <cell r="B100" t="str">
            <v>a=1.0 x t</v>
          </cell>
          <cell r="C100">
            <v>6</v>
          </cell>
          <cell r="D100"/>
          <cell r="E100"/>
          <cell r="F100">
            <v>3</v>
          </cell>
          <cell r="G100">
            <v>2</v>
          </cell>
          <cell r="H100">
            <v>0.85799999999999998</v>
          </cell>
          <cell r="I100">
            <v>2.1721518987341773E-2</v>
          </cell>
          <cell r="J100">
            <v>39.5</v>
          </cell>
          <cell r="K100">
            <v>10</v>
          </cell>
          <cell r="L100">
            <v>20</v>
          </cell>
          <cell r="M100">
            <v>30</v>
          </cell>
          <cell r="N100">
            <v>40</v>
          </cell>
          <cell r="O100">
            <v>90</v>
          </cell>
          <cell r="P100">
            <v>120</v>
          </cell>
        </row>
        <row r="101">
          <cell r="A101" t="str">
            <v>CFCHS273x6.3</v>
          </cell>
          <cell r="B101" t="str">
            <v>a=1.0 x t</v>
          </cell>
          <cell r="C101">
            <v>6.3</v>
          </cell>
          <cell r="D101"/>
          <cell r="E101"/>
          <cell r="F101">
            <v>3</v>
          </cell>
          <cell r="G101">
            <v>2</v>
          </cell>
          <cell r="H101">
            <v>0.85799999999999998</v>
          </cell>
          <cell r="I101">
            <v>2.0724637681159421E-2</v>
          </cell>
          <cell r="J101">
            <v>41.4</v>
          </cell>
          <cell r="K101">
            <v>10</v>
          </cell>
          <cell r="L101">
            <v>20</v>
          </cell>
          <cell r="M101">
            <v>30</v>
          </cell>
          <cell r="N101">
            <v>40</v>
          </cell>
          <cell r="O101">
            <v>90</v>
          </cell>
          <cell r="P101">
            <v>120</v>
          </cell>
        </row>
        <row r="102">
          <cell r="A102" t="str">
            <v>CFCHS273x8</v>
          </cell>
          <cell r="B102" t="str">
            <v>a=1.0 x t</v>
          </cell>
          <cell r="C102">
            <v>8</v>
          </cell>
          <cell r="D102"/>
          <cell r="E102"/>
          <cell r="F102">
            <v>3</v>
          </cell>
          <cell r="G102">
            <v>3</v>
          </cell>
          <cell r="H102">
            <v>0.85799999999999998</v>
          </cell>
          <cell r="I102">
            <v>1.6405353728489485E-2</v>
          </cell>
          <cell r="J102">
            <v>52.3</v>
          </cell>
          <cell r="K102">
            <v>10</v>
          </cell>
          <cell r="L102">
            <v>20</v>
          </cell>
          <cell r="M102">
            <v>30</v>
          </cell>
          <cell r="N102">
            <v>40</v>
          </cell>
          <cell r="O102">
            <v>90</v>
          </cell>
          <cell r="P102">
            <v>120</v>
          </cell>
        </row>
        <row r="103">
          <cell r="A103" t="str">
            <v>CFCHS273x10</v>
          </cell>
          <cell r="B103" t="str">
            <v>a=1.0 x t</v>
          </cell>
          <cell r="C103">
            <v>10</v>
          </cell>
          <cell r="D103"/>
          <cell r="E103"/>
          <cell r="F103">
            <v>3</v>
          </cell>
          <cell r="G103">
            <v>6</v>
          </cell>
          <cell r="H103">
            <v>0.85799999999999998</v>
          </cell>
          <cell r="I103">
            <v>1.3220338983050845E-2</v>
          </cell>
          <cell r="J103">
            <v>64.900000000000006</v>
          </cell>
          <cell r="K103">
            <v>10</v>
          </cell>
          <cell r="L103">
            <v>20</v>
          </cell>
          <cell r="M103">
            <v>30</v>
          </cell>
          <cell r="N103">
            <v>40</v>
          </cell>
          <cell r="O103">
            <v>90</v>
          </cell>
          <cell r="P103">
            <v>120</v>
          </cell>
        </row>
        <row r="104">
          <cell r="A104" t="str">
            <v>CFCHS273x12</v>
          </cell>
          <cell r="B104" t="str">
            <v>a=1.0 x t</v>
          </cell>
          <cell r="C104">
            <v>12</v>
          </cell>
          <cell r="D104"/>
          <cell r="E104" t="str">
            <v>Jah</v>
          </cell>
          <cell r="F104">
            <v>3</v>
          </cell>
          <cell r="G104">
            <v>6</v>
          </cell>
          <cell r="H104">
            <v>0.85799999999999998</v>
          </cell>
          <cell r="I104">
            <v>1.1113989637305699E-2</v>
          </cell>
          <cell r="J104">
            <v>77.2</v>
          </cell>
          <cell r="K104">
            <v>10</v>
          </cell>
          <cell r="L104">
            <v>20</v>
          </cell>
          <cell r="M104">
            <v>30</v>
          </cell>
          <cell r="N104">
            <v>40</v>
          </cell>
          <cell r="O104">
            <v>90</v>
          </cell>
          <cell r="P104">
            <v>120</v>
          </cell>
        </row>
        <row r="105">
          <cell r="A105" t="str">
            <v>CFCHS273x12.5</v>
          </cell>
          <cell r="B105" t="str">
            <v>a=1.0 x t</v>
          </cell>
          <cell r="C105">
            <v>12.5</v>
          </cell>
          <cell r="D105"/>
          <cell r="E105" t="str">
            <v>Jah</v>
          </cell>
          <cell r="F105">
            <v>3</v>
          </cell>
          <cell r="G105">
            <v>6</v>
          </cell>
          <cell r="H105">
            <v>0.85799999999999998</v>
          </cell>
          <cell r="I105">
            <v>1.0684931506849316E-2</v>
          </cell>
          <cell r="J105">
            <v>80.3</v>
          </cell>
          <cell r="K105">
            <v>10</v>
          </cell>
          <cell r="L105">
            <v>20</v>
          </cell>
          <cell r="M105">
            <v>30</v>
          </cell>
          <cell r="N105">
            <v>40</v>
          </cell>
          <cell r="O105">
            <v>90</v>
          </cell>
          <cell r="P105">
            <v>120</v>
          </cell>
        </row>
        <row r="106">
          <cell r="A106" t="str">
            <v>CFCHS273x16</v>
          </cell>
          <cell r="B106" t="str">
            <v>a=1.0 x t</v>
          </cell>
          <cell r="C106">
            <v>16</v>
          </cell>
          <cell r="D106"/>
          <cell r="E106" t="str">
            <v>Jah</v>
          </cell>
          <cell r="F106">
            <v>3</v>
          </cell>
          <cell r="G106">
            <v>10</v>
          </cell>
          <cell r="H106">
            <v>0.85799999999999998</v>
          </cell>
          <cell r="I106">
            <v>8.4615384615384613E-3</v>
          </cell>
          <cell r="J106">
            <v>101.4</v>
          </cell>
          <cell r="K106">
            <v>10</v>
          </cell>
          <cell r="L106">
            <v>20</v>
          </cell>
          <cell r="M106">
            <v>30</v>
          </cell>
          <cell r="N106">
            <v>40</v>
          </cell>
          <cell r="O106">
            <v>90</v>
          </cell>
          <cell r="P106">
            <v>120</v>
          </cell>
        </row>
        <row r="107">
          <cell r="A107" t="str">
            <v>CFCHS323.9x5</v>
          </cell>
          <cell r="B107" t="str">
            <v>a=1.0 x t</v>
          </cell>
          <cell r="C107">
            <v>5</v>
          </cell>
          <cell r="D107"/>
          <cell r="E107"/>
          <cell r="F107">
            <v>3</v>
          </cell>
          <cell r="G107">
            <v>2</v>
          </cell>
          <cell r="H107">
            <v>1.018</v>
          </cell>
          <cell r="I107">
            <v>2.5903307888040714E-2</v>
          </cell>
          <cell r="J107">
            <v>39.299999999999997</v>
          </cell>
          <cell r="K107">
            <v>10</v>
          </cell>
          <cell r="L107">
            <v>20</v>
          </cell>
          <cell r="M107">
            <v>30</v>
          </cell>
          <cell r="N107">
            <v>40</v>
          </cell>
          <cell r="O107">
            <v>90</v>
          </cell>
          <cell r="P107">
            <v>120</v>
          </cell>
        </row>
        <row r="108">
          <cell r="A108" t="str">
            <v>CFCHS323.9x6</v>
          </cell>
          <cell r="B108" t="str">
            <v>a=1.0 x t</v>
          </cell>
          <cell r="C108">
            <v>6</v>
          </cell>
          <cell r="D108"/>
          <cell r="E108"/>
          <cell r="F108">
            <v>3</v>
          </cell>
          <cell r="G108">
            <v>2</v>
          </cell>
          <cell r="H108">
            <v>1.018</v>
          </cell>
          <cell r="I108">
            <v>2.1659574468085106E-2</v>
          </cell>
          <cell r="J108">
            <v>47</v>
          </cell>
          <cell r="K108">
            <v>10</v>
          </cell>
          <cell r="L108">
            <v>20</v>
          </cell>
          <cell r="M108">
            <v>30</v>
          </cell>
          <cell r="N108">
            <v>40</v>
          </cell>
          <cell r="O108">
            <v>90</v>
          </cell>
          <cell r="P108">
            <v>120</v>
          </cell>
        </row>
        <row r="109">
          <cell r="A109" t="str">
            <v>CFCHS323.9x6.3</v>
          </cell>
          <cell r="B109" t="str">
            <v>a=1.0 x t</v>
          </cell>
          <cell r="C109">
            <v>6.3</v>
          </cell>
          <cell r="D109"/>
          <cell r="E109"/>
          <cell r="F109">
            <v>3</v>
          </cell>
          <cell r="G109">
            <v>2</v>
          </cell>
          <cell r="H109">
            <v>1.018</v>
          </cell>
          <cell r="I109">
            <v>2.0649087221095336E-2</v>
          </cell>
          <cell r="J109">
            <v>49.3</v>
          </cell>
          <cell r="K109">
            <v>10</v>
          </cell>
          <cell r="L109">
            <v>20</v>
          </cell>
          <cell r="M109">
            <v>30</v>
          </cell>
          <cell r="N109">
            <v>40</v>
          </cell>
          <cell r="O109">
            <v>90</v>
          </cell>
          <cell r="P109">
            <v>120</v>
          </cell>
        </row>
        <row r="110">
          <cell r="A110" t="str">
            <v>CFCHS323.9x8</v>
          </cell>
          <cell r="B110" t="str">
            <v>a=1.0 x t</v>
          </cell>
          <cell r="C110">
            <v>8</v>
          </cell>
          <cell r="D110"/>
          <cell r="E110"/>
          <cell r="F110">
            <v>3</v>
          </cell>
          <cell r="G110">
            <v>3</v>
          </cell>
          <cell r="H110">
            <v>1.018</v>
          </cell>
          <cell r="I110">
            <v>1.6340288924558587E-2</v>
          </cell>
          <cell r="J110">
            <v>62.3</v>
          </cell>
          <cell r="K110">
            <v>10</v>
          </cell>
          <cell r="L110">
            <v>20</v>
          </cell>
          <cell r="M110">
            <v>30</v>
          </cell>
          <cell r="N110">
            <v>40</v>
          </cell>
          <cell r="O110">
            <v>90</v>
          </cell>
          <cell r="P110">
            <v>120</v>
          </cell>
        </row>
        <row r="111">
          <cell r="A111" t="str">
            <v>CFCHS323.9x10</v>
          </cell>
          <cell r="B111" t="str">
            <v>a=1.0 x t</v>
          </cell>
          <cell r="C111">
            <v>10</v>
          </cell>
          <cell r="D111"/>
          <cell r="E111"/>
          <cell r="F111">
            <v>3</v>
          </cell>
          <cell r="G111">
            <v>6</v>
          </cell>
          <cell r="H111">
            <v>1.018</v>
          </cell>
          <cell r="I111">
            <v>1.3152454780361757E-2</v>
          </cell>
          <cell r="J111">
            <v>77.400000000000006</v>
          </cell>
          <cell r="K111">
            <v>10</v>
          </cell>
          <cell r="L111">
            <v>20</v>
          </cell>
          <cell r="M111">
            <v>30</v>
          </cell>
          <cell r="N111">
            <v>40</v>
          </cell>
          <cell r="O111">
            <v>90</v>
          </cell>
          <cell r="P111">
            <v>120</v>
          </cell>
        </row>
        <row r="112">
          <cell r="A112" t="str">
            <v>CFCHS323.9x12</v>
          </cell>
          <cell r="B112" t="str">
            <v>a=1.0 x t</v>
          </cell>
          <cell r="C112">
            <v>12</v>
          </cell>
          <cell r="D112"/>
          <cell r="E112" t="str">
            <v>Jah</v>
          </cell>
          <cell r="F112">
            <v>3</v>
          </cell>
          <cell r="G112">
            <v>6</v>
          </cell>
          <cell r="H112">
            <v>1.018</v>
          </cell>
          <cell r="I112">
            <v>1.0993520518358533E-2</v>
          </cell>
          <cell r="J112">
            <v>92.6</v>
          </cell>
          <cell r="K112">
            <v>10</v>
          </cell>
          <cell r="L112">
            <v>20</v>
          </cell>
          <cell r="M112">
            <v>30</v>
          </cell>
          <cell r="N112">
            <v>40</v>
          </cell>
          <cell r="O112">
            <v>90</v>
          </cell>
          <cell r="P112">
            <v>120</v>
          </cell>
        </row>
        <row r="113">
          <cell r="A113" t="str">
            <v>CFCHS323.9x12.5</v>
          </cell>
          <cell r="B113" t="str">
            <v>a=1.0 x t</v>
          </cell>
          <cell r="C113">
            <v>12.5</v>
          </cell>
          <cell r="D113"/>
          <cell r="E113" t="str">
            <v>Jah</v>
          </cell>
          <cell r="F113">
            <v>3</v>
          </cell>
          <cell r="G113">
            <v>6</v>
          </cell>
          <cell r="H113">
            <v>1.018</v>
          </cell>
          <cell r="I113">
            <v>1.0604166666666666E-2</v>
          </cell>
          <cell r="J113">
            <v>96</v>
          </cell>
          <cell r="K113">
            <v>10</v>
          </cell>
          <cell r="L113">
            <v>20</v>
          </cell>
          <cell r="M113">
            <v>30</v>
          </cell>
          <cell r="N113">
            <v>40</v>
          </cell>
          <cell r="O113">
            <v>90</v>
          </cell>
          <cell r="P113">
            <v>120</v>
          </cell>
        </row>
        <row r="114">
          <cell r="A114" t="str">
            <v>CFCHS323.9x16</v>
          </cell>
          <cell r="B114" t="str">
            <v>a=1.0 x t</v>
          </cell>
          <cell r="C114">
            <v>16</v>
          </cell>
          <cell r="D114"/>
          <cell r="E114" t="str">
            <v>Jah</v>
          </cell>
          <cell r="F114">
            <v>3</v>
          </cell>
          <cell r="G114">
            <v>10</v>
          </cell>
          <cell r="H114">
            <v>1.018</v>
          </cell>
          <cell r="I114">
            <v>8.3786008230452673E-3</v>
          </cell>
          <cell r="J114">
            <v>121.5</v>
          </cell>
          <cell r="K114">
            <v>10</v>
          </cell>
          <cell r="L114">
            <v>20</v>
          </cell>
          <cell r="M114">
            <v>30</v>
          </cell>
          <cell r="N114">
            <v>40</v>
          </cell>
          <cell r="O114">
            <v>90</v>
          </cell>
          <cell r="P114">
            <v>120</v>
          </cell>
        </row>
        <row r="115">
          <cell r="A115" t="str">
            <v>CFCHS355.6x5</v>
          </cell>
          <cell r="B115" t="str">
            <v>a=1.0 x t</v>
          </cell>
          <cell r="C115">
            <v>5</v>
          </cell>
          <cell r="D115"/>
          <cell r="E115"/>
          <cell r="F115">
            <v>3</v>
          </cell>
          <cell r="G115">
            <v>2</v>
          </cell>
          <cell r="H115">
            <v>1.117</v>
          </cell>
          <cell r="I115">
            <v>2.585648148148148E-2</v>
          </cell>
          <cell r="J115">
            <v>43.2</v>
          </cell>
          <cell r="K115">
            <v>10</v>
          </cell>
          <cell r="L115">
            <v>20</v>
          </cell>
          <cell r="M115">
            <v>30</v>
          </cell>
          <cell r="N115">
            <v>40</v>
          </cell>
          <cell r="O115">
            <v>90</v>
          </cell>
          <cell r="P115">
            <v>120</v>
          </cell>
        </row>
        <row r="116">
          <cell r="A116" t="str">
            <v>CFCHS355.6x6</v>
          </cell>
          <cell r="B116" t="str">
            <v>a=1.0 x t</v>
          </cell>
          <cell r="C116">
            <v>6</v>
          </cell>
          <cell r="D116"/>
          <cell r="E116"/>
          <cell r="F116">
            <v>3</v>
          </cell>
          <cell r="G116">
            <v>2</v>
          </cell>
          <cell r="H116">
            <v>1.117</v>
          </cell>
          <cell r="I116">
            <v>2.1605415860735007E-2</v>
          </cell>
          <cell r="J116">
            <v>51.7</v>
          </cell>
          <cell r="K116">
            <v>10</v>
          </cell>
          <cell r="L116">
            <v>20</v>
          </cell>
          <cell r="M116">
            <v>30</v>
          </cell>
          <cell r="N116">
            <v>40</v>
          </cell>
          <cell r="O116">
            <v>90</v>
          </cell>
          <cell r="P116">
            <v>120</v>
          </cell>
        </row>
        <row r="117">
          <cell r="A117" t="str">
            <v>CFCHS355.6x6.3</v>
          </cell>
          <cell r="B117" t="str">
            <v>a=1.0 x t</v>
          </cell>
          <cell r="C117">
            <v>6.3</v>
          </cell>
          <cell r="D117"/>
          <cell r="E117"/>
          <cell r="F117">
            <v>3</v>
          </cell>
          <cell r="G117">
            <v>2</v>
          </cell>
          <cell r="H117">
            <v>1.117</v>
          </cell>
          <cell r="I117">
            <v>2.0570902394106815E-2</v>
          </cell>
          <cell r="J117">
            <v>54.3</v>
          </cell>
          <cell r="K117">
            <v>10</v>
          </cell>
          <cell r="L117">
            <v>20</v>
          </cell>
          <cell r="M117">
            <v>30</v>
          </cell>
          <cell r="N117">
            <v>40</v>
          </cell>
          <cell r="O117">
            <v>90</v>
          </cell>
          <cell r="P117">
            <v>120</v>
          </cell>
        </row>
        <row r="118">
          <cell r="A118" t="str">
            <v>CFCHS355.6x8</v>
          </cell>
          <cell r="B118" t="str">
            <v>a=1.0 x t</v>
          </cell>
          <cell r="C118">
            <v>8</v>
          </cell>
          <cell r="D118"/>
          <cell r="E118"/>
          <cell r="F118">
            <v>3</v>
          </cell>
          <cell r="G118">
            <v>3</v>
          </cell>
          <cell r="H118">
            <v>1.117</v>
          </cell>
          <cell r="I118">
            <v>1.6282798833819244E-2</v>
          </cell>
          <cell r="J118">
            <v>68.599999999999994</v>
          </cell>
          <cell r="K118">
            <v>10</v>
          </cell>
          <cell r="L118">
            <v>20</v>
          </cell>
          <cell r="M118">
            <v>30</v>
          </cell>
          <cell r="N118">
            <v>40</v>
          </cell>
          <cell r="O118">
            <v>90</v>
          </cell>
          <cell r="P118">
            <v>120</v>
          </cell>
        </row>
        <row r="119">
          <cell r="A119" t="str">
            <v>CFCHS355.6x10</v>
          </cell>
          <cell r="B119" t="str">
            <v>a=1.0 x t</v>
          </cell>
          <cell r="C119">
            <v>10</v>
          </cell>
          <cell r="D119"/>
          <cell r="E119"/>
          <cell r="F119">
            <v>3</v>
          </cell>
          <cell r="G119">
            <v>6</v>
          </cell>
          <cell r="H119">
            <v>1.117</v>
          </cell>
          <cell r="I119">
            <v>1.3110328638497652E-2</v>
          </cell>
          <cell r="J119">
            <v>85.2</v>
          </cell>
          <cell r="K119">
            <v>10</v>
          </cell>
          <cell r="L119">
            <v>20</v>
          </cell>
          <cell r="M119">
            <v>30</v>
          </cell>
          <cell r="N119">
            <v>40</v>
          </cell>
          <cell r="O119">
            <v>90</v>
          </cell>
          <cell r="P119">
            <v>120</v>
          </cell>
        </row>
        <row r="120">
          <cell r="A120" t="str">
            <v>CFCHS355.6x12</v>
          </cell>
          <cell r="B120" t="str">
            <v>a=1.0 x t</v>
          </cell>
          <cell r="C120">
            <v>12</v>
          </cell>
          <cell r="D120"/>
          <cell r="E120" t="str">
            <v>Jah</v>
          </cell>
          <cell r="F120">
            <v>3</v>
          </cell>
          <cell r="G120">
            <v>6</v>
          </cell>
          <cell r="H120">
            <v>1.117</v>
          </cell>
          <cell r="I120">
            <v>1.0940254652301666E-2</v>
          </cell>
          <cell r="J120">
            <v>102.1</v>
          </cell>
          <cell r="K120">
            <v>10</v>
          </cell>
          <cell r="L120">
            <v>20</v>
          </cell>
          <cell r="M120">
            <v>30</v>
          </cell>
          <cell r="N120">
            <v>40</v>
          </cell>
          <cell r="O120">
            <v>90</v>
          </cell>
          <cell r="P120">
            <v>120</v>
          </cell>
        </row>
        <row r="121">
          <cell r="A121" t="str">
            <v>CFCHS355.6x12.5</v>
          </cell>
          <cell r="B121" t="str">
            <v>a=1.0 x t</v>
          </cell>
          <cell r="C121">
            <v>12.5</v>
          </cell>
          <cell r="D121"/>
          <cell r="E121" t="str">
            <v>Jah</v>
          </cell>
          <cell r="F121">
            <v>3</v>
          </cell>
          <cell r="G121">
            <v>6</v>
          </cell>
          <cell r="H121">
            <v>1.117</v>
          </cell>
          <cell r="I121">
            <v>1.055765595463138E-2</v>
          </cell>
          <cell r="J121">
            <v>105.8</v>
          </cell>
          <cell r="K121">
            <v>10</v>
          </cell>
          <cell r="L121">
            <v>20</v>
          </cell>
          <cell r="M121">
            <v>30</v>
          </cell>
          <cell r="N121">
            <v>40</v>
          </cell>
          <cell r="O121">
            <v>90</v>
          </cell>
          <cell r="P121">
            <v>120</v>
          </cell>
        </row>
        <row r="122">
          <cell r="A122" t="str">
            <v>CFCHS355.6x16</v>
          </cell>
          <cell r="B122" t="str">
            <v>a=1.0 x t</v>
          </cell>
          <cell r="C122">
            <v>16</v>
          </cell>
          <cell r="D122"/>
          <cell r="E122" t="str">
            <v>Jah</v>
          </cell>
          <cell r="F122">
            <v>3</v>
          </cell>
          <cell r="G122">
            <v>10</v>
          </cell>
          <cell r="H122">
            <v>1.117</v>
          </cell>
          <cell r="I122">
            <v>8.3358208955223879E-3</v>
          </cell>
          <cell r="J122">
            <v>134</v>
          </cell>
          <cell r="K122">
            <v>10</v>
          </cell>
          <cell r="L122">
            <v>20</v>
          </cell>
          <cell r="M122">
            <v>30</v>
          </cell>
          <cell r="N122">
            <v>40</v>
          </cell>
          <cell r="O122">
            <v>90</v>
          </cell>
          <cell r="P122">
            <v>120</v>
          </cell>
        </row>
        <row r="123">
          <cell r="A123" t="str">
            <v>CFCHS406.4x6</v>
          </cell>
          <cell r="B123" t="str">
            <v>a=1.0 x t</v>
          </cell>
          <cell r="C123">
            <v>6</v>
          </cell>
          <cell r="D123"/>
          <cell r="E123"/>
          <cell r="F123">
            <v>3</v>
          </cell>
          <cell r="G123">
            <v>2</v>
          </cell>
          <cell r="H123">
            <v>1.2769999999999999</v>
          </cell>
          <cell r="I123">
            <v>2.1534569983136593E-2</v>
          </cell>
          <cell r="J123">
            <v>59.3</v>
          </cell>
          <cell r="K123">
            <v>10</v>
          </cell>
          <cell r="L123">
            <v>20</v>
          </cell>
          <cell r="M123">
            <v>30</v>
          </cell>
          <cell r="N123">
            <v>40</v>
          </cell>
          <cell r="O123">
            <v>90</v>
          </cell>
          <cell r="P123">
            <v>120</v>
          </cell>
        </row>
        <row r="124">
          <cell r="A124" t="str">
            <v>CFCHS406.4x6.3</v>
          </cell>
          <cell r="B124" t="str">
            <v>a=1.0 x t</v>
          </cell>
          <cell r="C124">
            <v>6.3</v>
          </cell>
          <cell r="D124"/>
          <cell r="E124"/>
          <cell r="F124">
            <v>3</v>
          </cell>
          <cell r="G124">
            <v>2</v>
          </cell>
          <cell r="H124">
            <v>1.2769999999999999</v>
          </cell>
          <cell r="I124">
            <v>2.0530546623794211E-2</v>
          </cell>
          <cell r="J124">
            <v>62.2</v>
          </cell>
          <cell r="K124">
            <v>10</v>
          </cell>
          <cell r="L124">
            <v>20</v>
          </cell>
          <cell r="M124">
            <v>30</v>
          </cell>
          <cell r="N124">
            <v>40</v>
          </cell>
          <cell r="O124">
            <v>90</v>
          </cell>
          <cell r="P124">
            <v>120</v>
          </cell>
        </row>
        <row r="125">
          <cell r="A125" t="str">
            <v>CFCHS406.4x8</v>
          </cell>
          <cell r="B125" t="str">
            <v>a=1.0 x t</v>
          </cell>
          <cell r="C125">
            <v>8</v>
          </cell>
          <cell r="D125"/>
          <cell r="E125"/>
          <cell r="F125">
            <v>3</v>
          </cell>
          <cell r="G125">
            <v>3</v>
          </cell>
          <cell r="H125">
            <v>1.2769999999999999</v>
          </cell>
          <cell r="I125">
            <v>1.6246819338422393E-2</v>
          </cell>
          <cell r="J125">
            <v>78.599999999999994</v>
          </cell>
          <cell r="K125">
            <v>10</v>
          </cell>
          <cell r="L125">
            <v>20</v>
          </cell>
          <cell r="M125">
            <v>30</v>
          </cell>
          <cell r="N125">
            <v>40</v>
          </cell>
          <cell r="O125">
            <v>90</v>
          </cell>
          <cell r="P125">
            <v>120</v>
          </cell>
        </row>
        <row r="126">
          <cell r="A126" t="str">
            <v>CFCHS406.4x10</v>
          </cell>
          <cell r="B126" t="str">
            <v>a=1.0 x t</v>
          </cell>
          <cell r="C126">
            <v>10</v>
          </cell>
          <cell r="D126"/>
          <cell r="E126"/>
          <cell r="F126">
            <v>3</v>
          </cell>
          <cell r="G126">
            <v>6</v>
          </cell>
          <cell r="H126">
            <v>1.2769999999999999</v>
          </cell>
          <cell r="I126">
            <v>1.3057259713701431E-2</v>
          </cell>
          <cell r="J126">
            <v>97.8</v>
          </cell>
          <cell r="K126">
            <v>10</v>
          </cell>
          <cell r="L126">
            <v>20</v>
          </cell>
          <cell r="M126">
            <v>30</v>
          </cell>
          <cell r="N126">
            <v>40</v>
          </cell>
          <cell r="O126">
            <v>90</v>
          </cell>
          <cell r="P126">
            <v>120</v>
          </cell>
        </row>
        <row r="127">
          <cell r="A127" t="str">
            <v>CFCHS406.4x12</v>
          </cell>
          <cell r="B127" t="str">
            <v>a=1.0 x t</v>
          </cell>
          <cell r="C127">
            <v>12</v>
          </cell>
          <cell r="D127"/>
          <cell r="E127" t="str">
            <v>Jah</v>
          </cell>
          <cell r="F127">
            <v>3</v>
          </cell>
          <cell r="G127">
            <v>6</v>
          </cell>
          <cell r="H127">
            <v>1.2769999999999999</v>
          </cell>
          <cell r="I127">
            <v>1.0914529914529915E-2</v>
          </cell>
          <cell r="J127">
            <v>117</v>
          </cell>
          <cell r="K127">
            <v>10</v>
          </cell>
          <cell r="L127">
            <v>20</v>
          </cell>
          <cell r="M127">
            <v>30</v>
          </cell>
          <cell r="N127">
            <v>40</v>
          </cell>
          <cell r="O127">
            <v>90</v>
          </cell>
          <cell r="P127">
            <v>120</v>
          </cell>
        </row>
        <row r="128">
          <cell r="A128" t="str">
            <v>CFCHS406.4x12.5</v>
          </cell>
          <cell r="B128" t="str">
            <v>a=1.0 x t</v>
          </cell>
          <cell r="C128">
            <v>12.5</v>
          </cell>
          <cell r="D128"/>
          <cell r="E128" t="str">
            <v>Jah</v>
          </cell>
          <cell r="F128">
            <v>3</v>
          </cell>
          <cell r="G128">
            <v>6</v>
          </cell>
          <cell r="H128">
            <v>1.2769999999999999</v>
          </cell>
          <cell r="I128">
            <v>1.0518945634266886E-2</v>
          </cell>
          <cell r="J128">
            <v>121.4</v>
          </cell>
          <cell r="K128">
            <v>10</v>
          </cell>
          <cell r="L128">
            <v>20</v>
          </cell>
          <cell r="M128">
            <v>30</v>
          </cell>
          <cell r="N128">
            <v>40</v>
          </cell>
          <cell r="O128">
            <v>90</v>
          </cell>
          <cell r="P128">
            <v>120</v>
          </cell>
        </row>
        <row r="129">
          <cell r="A129" t="str">
            <v>CFCHS406.4x16</v>
          </cell>
          <cell r="B129" t="str">
            <v>a=1.0 x t</v>
          </cell>
          <cell r="C129">
            <v>16</v>
          </cell>
          <cell r="D129"/>
          <cell r="E129" t="str">
            <v>Jah</v>
          </cell>
          <cell r="F129">
            <v>3</v>
          </cell>
          <cell r="G129">
            <v>10</v>
          </cell>
          <cell r="H129">
            <v>1.2769999999999999</v>
          </cell>
          <cell r="I129">
            <v>8.2922077922077918E-3</v>
          </cell>
          <cell r="J129">
            <v>154</v>
          </cell>
          <cell r="K129">
            <v>10</v>
          </cell>
          <cell r="L129">
            <v>20</v>
          </cell>
          <cell r="M129">
            <v>30</v>
          </cell>
          <cell r="N129">
            <v>40</v>
          </cell>
          <cell r="O129">
            <v>90</v>
          </cell>
          <cell r="P129">
            <v>120</v>
          </cell>
        </row>
        <row r="130">
          <cell r="A130" t="str">
            <v>CFCHS457x6</v>
          </cell>
          <cell r="B130" t="str">
            <v>a=1.0 x t</v>
          </cell>
          <cell r="C130">
            <v>6</v>
          </cell>
          <cell r="D130"/>
          <cell r="E130"/>
          <cell r="F130">
            <v>3</v>
          </cell>
          <cell r="G130">
            <v>2</v>
          </cell>
          <cell r="H130">
            <v>1.4359999999999999</v>
          </cell>
          <cell r="I130">
            <v>2.1529235382308845E-2</v>
          </cell>
          <cell r="J130">
            <v>66.7</v>
          </cell>
          <cell r="K130">
            <v>10</v>
          </cell>
          <cell r="L130">
            <v>20</v>
          </cell>
          <cell r="M130">
            <v>30</v>
          </cell>
          <cell r="N130">
            <v>40</v>
          </cell>
          <cell r="O130">
            <v>90</v>
          </cell>
          <cell r="P130">
            <v>120</v>
          </cell>
        </row>
        <row r="131">
          <cell r="A131" t="str">
            <v>CFCHS457x6.3</v>
          </cell>
          <cell r="B131" t="str">
            <v>a=1.0 x t</v>
          </cell>
          <cell r="C131">
            <v>6.3</v>
          </cell>
          <cell r="D131"/>
          <cell r="E131"/>
          <cell r="F131">
            <v>3</v>
          </cell>
          <cell r="G131">
            <v>2</v>
          </cell>
          <cell r="H131">
            <v>1.4359999999999999</v>
          </cell>
          <cell r="I131">
            <v>2.0514285714285714E-2</v>
          </cell>
          <cell r="J131">
            <v>70</v>
          </cell>
          <cell r="K131">
            <v>10</v>
          </cell>
          <cell r="L131">
            <v>20</v>
          </cell>
          <cell r="M131">
            <v>30</v>
          </cell>
          <cell r="N131">
            <v>40</v>
          </cell>
          <cell r="O131">
            <v>90</v>
          </cell>
          <cell r="P131">
            <v>120</v>
          </cell>
        </row>
        <row r="132">
          <cell r="A132" t="str">
            <v>CFCHS457x8</v>
          </cell>
          <cell r="B132" t="str">
            <v>a=1.0 x t</v>
          </cell>
          <cell r="C132">
            <v>8</v>
          </cell>
          <cell r="D132"/>
          <cell r="E132"/>
          <cell r="F132">
            <v>3</v>
          </cell>
          <cell r="G132">
            <v>3</v>
          </cell>
          <cell r="H132">
            <v>1.4359999999999999</v>
          </cell>
          <cell r="I132">
            <v>1.6207674943566591E-2</v>
          </cell>
          <cell r="J132">
            <v>88.6</v>
          </cell>
          <cell r="K132">
            <v>10</v>
          </cell>
          <cell r="L132">
            <v>20</v>
          </cell>
          <cell r="M132">
            <v>30</v>
          </cell>
          <cell r="N132">
            <v>40</v>
          </cell>
          <cell r="O132">
            <v>90</v>
          </cell>
          <cell r="P132">
            <v>120</v>
          </cell>
        </row>
        <row r="133">
          <cell r="A133" t="str">
            <v>CFCHS457x10</v>
          </cell>
          <cell r="B133" t="str">
            <v>a=1.0 x t</v>
          </cell>
          <cell r="C133">
            <v>10</v>
          </cell>
          <cell r="D133"/>
          <cell r="E133"/>
          <cell r="F133">
            <v>3</v>
          </cell>
          <cell r="G133">
            <v>6</v>
          </cell>
          <cell r="H133">
            <v>1.4359999999999999</v>
          </cell>
          <cell r="I133">
            <v>1.3030852994555354E-2</v>
          </cell>
          <cell r="J133">
            <v>110.2</v>
          </cell>
          <cell r="K133">
            <v>10</v>
          </cell>
          <cell r="L133">
            <v>20</v>
          </cell>
          <cell r="M133">
            <v>30</v>
          </cell>
          <cell r="N133">
            <v>40</v>
          </cell>
          <cell r="O133">
            <v>90</v>
          </cell>
          <cell r="P133">
            <v>120</v>
          </cell>
        </row>
        <row r="134">
          <cell r="A134" t="str">
            <v>CFCHS457x12</v>
          </cell>
          <cell r="B134" t="str">
            <v>a=1.0 x t</v>
          </cell>
          <cell r="C134">
            <v>12</v>
          </cell>
          <cell r="D134"/>
          <cell r="E134" t="str">
            <v>Jah</v>
          </cell>
          <cell r="F134">
            <v>3</v>
          </cell>
          <cell r="G134">
            <v>6</v>
          </cell>
          <cell r="H134">
            <v>1.4359999999999999</v>
          </cell>
          <cell r="I134">
            <v>1.0887035633055344E-2</v>
          </cell>
          <cell r="J134">
            <v>131.9</v>
          </cell>
          <cell r="K134">
            <v>10</v>
          </cell>
          <cell r="L134">
            <v>20</v>
          </cell>
          <cell r="M134">
            <v>30</v>
          </cell>
          <cell r="N134">
            <v>40</v>
          </cell>
          <cell r="O134">
            <v>90</v>
          </cell>
          <cell r="P134">
            <v>120</v>
          </cell>
        </row>
        <row r="135">
          <cell r="A135" t="str">
            <v>CFCHS457x12.5</v>
          </cell>
          <cell r="B135" t="str">
            <v>a=1.0 x t</v>
          </cell>
          <cell r="C135">
            <v>12.5</v>
          </cell>
          <cell r="D135"/>
          <cell r="E135" t="str">
            <v>Jah</v>
          </cell>
          <cell r="F135">
            <v>3</v>
          </cell>
          <cell r="G135">
            <v>6</v>
          </cell>
          <cell r="H135">
            <v>1.4359999999999999</v>
          </cell>
          <cell r="I135">
            <v>1.0481751824817517E-2</v>
          </cell>
          <cell r="J135">
            <v>137</v>
          </cell>
          <cell r="K135">
            <v>10</v>
          </cell>
          <cell r="L135">
            <v>20</v>
          </cell>
          <cell r="M135">
            <v>30</v>
          </cell>
          <cell r="N135">
            <v>40</v>
          </cell>
          <cell r="O135">
            <v>90</v>
          </cell>
          <cell r="P135">
            <v>120</v>
          </cell>
        </row>
        <row r="136">
          <cell r="A136" t="str">
            <v>CFCHS457x16</v>
          </cell>
          <cell r="B136" t="str">
            <v>a=1.0 x t</v>
          </cell>
          <cell r="C136">
            <v>16</v>
          </cell>
          <cell r="D136"/>
          <cell r="E136" t="str">
            <v>Jah</v>
          </cell>
          <cell r="F136">
            <v>3</v>
          </cell>
          <cell r="G136">
            <v>10</v>
          </cell>
          <cell r="H136">
            <v>1.4359999999999999</v>
          </cell>
          <cell r="I136">
            <v>8.2528735632183912E-3</v>
          </cell>
          <cell r="J136">
            <v>174</v>
          </cell>
          <cell r="K136">
            <v>10</v>
          </cell>
          <cell r="L136">
            <v>20</v>
          </cell>
          <cell r="M136">
            <v>30</v>
          </cell>
          <cell r="N136">
            <v>40</v>
          </cell>
          <cell r="O136">
            <v>90</v>
          </cell>
          <cell r="P136">
            <v>120</v>
          </cell>
        </row>
        <row r="137">
          <cell r="A137" t="str">
            <v>CFCHS457x25</v>
          </cell>
          <cell r="B137" t="str">
            <v>a=1.0 x t</v>
          </cell>
          <cell r="C137">
            <v>25</v>
          </cell>
          <cell r="D137"/>
          <cell r="E137"/>
          <cell r="F137">
            <v>3</v>
          </cell>
          <cell r="G137">
            <v>15</v>
          </cell>
          <cell r="H137">
            <v>1.4359999999999999</v>
          </cell>
          <cell r="I137">
            <v>5.3924145700337961E-3</v>
          </cell>
          <cell r="J137">
            <v>266.3</v>
          </cell>
          <cell r="K137">
            <v>10</v>
          </cell>
          <cell r="L137">
            <v>20</v>
          </cell>
          <cell r="M137">
            <v>30</v>
          </cell>
          <cell r="N137">
            <v>40</v>
          </cell>
          <cell r="O137">
            <v>90</v>
          </cell>
          <cell r="P137">
            <v>120</v>
          </cell>
        </row>
        <row r="138">
          <cell r="A138" t="str">
            <v>CFCHS508x6</v>
          </cell>
          <cell r="B138" t="str">
            <v>a=1.0 x t</v>
          </cell>
          <cell r="C138">
            <v>6</v>
          </cell>
          <cell r="D138"/>
          <cell r="E138"/>
          <cell r="F138">
            <v>3</v>
          </cell>
          <cell r="G138">
            <v>2</v>
          </cell>
          <cell r="H138">
            <v>1.5960000000000001</v>
          </cell>
          <cell r="I138">
            <v>2.1480484522207268E-2</v>
          </cell>
          <cell r="J138">
            <v>74.3</v>
          </cell>
          <cell r="K138">
            <v>10</v>
          </cell>
          <cell r="L138">
            <v>20</v>
          </cell>
          <cell r="M138">
            <v>30</v>
          </cell>
          <cell r="N138">
            <v>40</v>
          </cell>
          <cell r="O138">
            <v>90</v>
          </cell>
          <cell r="P138">
            <v>120</v>
          </cell>
        </row>
        <row r="139">
          <cell r="A139" t="str">
            <v>CFCHS508x6.3</v>
          </cell>
          <cell r="B139" t="str">
            <v>a=1.0 x t</v>
          </cell>
          <cell r="C139">
            <v>6.3</v>
          </cell>
          <cell r="D139"/>
          <cell r="E139"/>
          <cell r="F139">
            <v>3</v>
          </cell>
          <cell r="G139">
            <v>2</v>
          </cell>
          <cell r="H139">
            <v>1.5960000000000001</v>
          </cell>
          <cell r="I139">
            <v>2.0487804878048781E-2</v>
          </cell>
          <cell r="J139">
            <v>77.900000000000006</v>
          </cell>
          <cell r="K139">
            <v>10</v>
          </cell>
          <cell r="L139">
            <v>20</v>
          </cell>
          <cell r="M139">
            <v>30</v>
          </cell>
          <cell r="N139">
            <v>40</v>
          </cell>
          <cell r="O139">
            <v>90</v>
          </cell>
          <cell r="P139">
            <v>120</v>
          </cell>
        </row>
        <row r="140">
          <cell r="A140" t="str">
            <v>CFCHS508x8</v>
          </cell>
          <cell r="B140" t="str">
            <v>a=1.0 x t</v>
          </cell>
          <cell r="C140">
            <v>8</v>
          </cell>
          <cell r="D140"/>
          <cell r="E140"/>
          <cell r="F140">
            <v>3</v>
          </cell>
          <cell r="G140">
            <v>3</v>
          </cell>
          <cell r="H140">
            <v>1.5960000000000001</v>
          </cell>
          <cell r="I140">
            <v>1.6186612576064911E-2</v>
          </cell>
          <cell r="J140">
            <v>98.6</v>
          </cell>
          <cell r="K140">
            <v>10</v>
          </cell>
          <cell r="L140">
            <v>20</v>
          </cell>
          <cell r="M140">
            <v>30</v>
          </cell>
          <cell r="N140">
            <v>40</v>
          </cell>
          <cell r="O140">
            <v>90</v>
          </cell>
          <cell r="P140">
            <v>120</v>
          </cell>
        </row>
        <row r="141">
          <cell r="A141" t="str">
            <v>CFCHS508x10</v>
          </cell>
          <cell r="B141" t="str">
            <v>a=1.0 x t</v>
          </cell>
          <cell r="C141">
            <v>10</v>
          </cell>
          <cell r="D141"/>
          <cell r="E141"/>
          <cell r="F141">
            <v>3</v>
          </cell>
          <cell r="G141">
            <v>6</v>
          </cell>
          <cell r="H141">
            <v>1.5960000000000001</v>
          </cell>
          <cell r="I141">
            <v>1.2996742671009772E-2</v>
          </cell>
          <cell r="J141">
            <v>122.8</v>
          </cell>
          <cell r="K141">
            <v>10</v>
          </cell>
          <cell r="L141">
            <v>20</v>
          </cell>
          <cell r="M141">
            <v>30</v>
          </cell>
          <cell r="N141">
            <v>40</v>
          </cell>
          <cell r="O141">
            <v>90</v>
          </cell>
          <cell r="P141">
            <v>120</v>
          </cell>
        </row>
        <row r="142">
          <cell r="A142" t="str">
            <v>CFCHS508x12</v>
          </cell>
          <cell r="B142" t="str">
            <v>a=1.0 x t</v>
          </cell>
          <cell r="C142">
            <v>12</v>
          </cell>
          <cell r="D142"/>
          <cell r="E142" t="str">
            <v>Jah</v>
          </cell>
          <cell r="F142">
            <v>3</v>
          </cell>
          <cell r="G142">
            <v>6</v>
          </cell>
          <cell r="H142">
            <v>1.5960000000000001</v>
          </cell>
          <cell r="I142">
            <v>1.0871934604904631E-2</v>
          </cell>
          <cell r="J142">
            <v>146.80000000000001</v>
          </cell>
          <cell r="K142">
            <v>10</v>
          </cell>
          <cell r="L142">
            <v>20</v>
          </cell>
          <cell r="M142">
            <v>30</v>
          </cell>
          <cell r="N142">
            <v>40</v>
          </cell>
          <cell r="O142">
            <v>90</v>
          </cell>
          <cell r="P142">
            <v>120</v>
          </cell>
        </row>
        <row r="143">
          <cell r="A143" t="str">
            <v>CFCHS508x12.5</v>
          </cell>
          <cell r="B143" t="str">
            <v>a=1.0 x t</v>
          </cell>
          <cell r="C143">
            <v>12.5</v>
          </cell>
          <cell r="D143"/>
          <cell r="E143" t="str">
            <v>Jah</v>
          </cell>
          <cell r="F143">
            <v>3</v>
          </cell>
          <cell r="G143">
            <v>6</v>
          </cell>
          <cell r="H143">
            <v>1.5960000000000001</v>
          </cell>
          <cell r="I143">
            <v>1.0451866404715128E-2</v>
          </cell>
          <cell r="J143">
            <v>152.69999999999999</v>
          </cell>
          <cell r="K143">
            <v>10</v>
          </cell>
          <cell r="L143">
            <v>20</v>
          </cell>
          <cell r="M143">
            <v>30</v>
          </cell>
          <cell r="N143">
            <v>40</v>
          </cell>
          <cell r="O143">
            <v>90</v>
          </cell>
          <cell r="P143">
            <v>120</v>
          </cell>
        </row>
        <row r="144">
          <cell r="A144" t="str">
            <v>CFCHS508x16</v>
          </cell>
          <cell r="B144" t="str">
            <v>a=1.0 x t</v>
          </cell>
          <cell r="C144">
            <v>16</v>
          </cell>
          <cell r="D144"/>
          <cell r="E144" t="str">
            <v>Jah</v>
          </cell>
          <cell r="F144">
            <v>3</v>
          </cell>
          <cell r="G144">
            <v>10</v>
          </cell>
          <cell r="H144">
            <v>1.5960000000000001</v>
          </cell>
          <cell r="I144">
            <v>8.2225656877898002E-3</v>
          </cell>
          <cell r="J144">
            <v>194.1</v>
          </cell>
          <cell r="K144">
            <v>10</v>
          </cell>
          <cell r="L144">
            <v>20</v>
          </cell>
          <cell r="M144">
            <v>30</v>
          </cell>
          <cell r="N144">
            <v>40</v>
          </cell>
          <cell r="O144">
            <v>90</v>
          </cell>
          <cell r="P144">
            <v>120</v>
          </cell>
        </row>
        <row r="145">
          <cell r="A145" t="str">
            <v>CFCHS559x8</v>
          </cell>
          <cell r="B145" t="str">
            <v>a=1.0 x t</v>
          </cell>
          <cell r="C145">
            <v>8</v>
          </cell>
          <cell r="D145"/>
          <cell r="E145"/>
          <cell r="F145">
            <v>3</v>
          </cell>
          <cell r="G145">
            <v>3</v>
          </cell>
          <cell r="H145">
            <v>1.756</v>
          </cell>
          <cell r="I145">
            <v>1.6154553817847285E-2</v>
          </cell>
          <cell r="J145">
            <v>108.7</v>
          </cell>
          <cell r="K145">
            <v>10</v>
          </cell>
          <cell r="L145">
            <v>20</v>
          </cell>
          <cell r="M145">
            <v>30</v>
          </cell>
          <cell r="N145">
            <v>40</v>
          </cell>
          <cell r="O145">
            <v>90</v>
          </cell>
          <cell r="P145">
            <v>120</v>
          </cell>
        </row>
        <row r="146">
          <cell r="A146" t="str">
            <v>CFCHS610x12.5</v>
          </cell>
          <cell r="B146" t="str">
            <v>a=1.0 x t</v>
          </cell>
          <cell r="C146">
            <v>12.5</v>
          </cell>
          <cell r="D146"/>
          <cell r="E146" t="str">
            <v>Jah</v>
          </cell>
          <cell r="F146">
            <v>3</v>
          </cell>
          <cell r="G146">
            <v>6</v>
          </cell>
          <cell r="H146">
            <v>1.9159999999999999</v>
          </cell>
          <cell r="I146">
            <v>1.0401737242128123E-2</v>
          </cell>
          <cell r="J146">
            <v>184.2</v>
          </cell>
          <cell r="K146">
            <v>10</v>
          </cell>
          <cell r="L146">
            <v>20</v>
          </cell>
          <cell r="M146">
            <v>30</v>
          </cell>
          <cell r="N146">
            <v>40</v>
          </cell>
          <cell r="O146">
            <v>90</v>
          </cell>
          <cell r="P146">
            <v>120</v>
          </cell>
        </row>
        <row r="147">
          <cell r="A147" t="str">
            <v>CFCHS610x16</v>
          </cell>
          <cell r="B147" t="str">
            <v>a=1.0 x t</v>
          </cell>
          <cell r="C147">
            <v>16</v>
          </cell>
          <cell r="D147"/>
          <cell r="E147" t="str">
            <v>Jah</v>
          </cell>
          <cell r="F147">
            <v>3</v>
          </cell>
          <cell r="G147">
            <v>10</v>
          </cell>
          <cell r="H147">
            <v>1.9159999999999999</v>
          </cell>
          <cell r="I147">
            <v>8.1740614334470992E-3</v>
          </cell>
          <cell r="J147">
            <v>234.4</v>
          </cell>
          <cell r="K147">
            <v>10</v>
          </cell>
          <cell r="L147">
            <v>20</v>
          </cell>
          <cell r="M147">
            <v>30</v>
          </cell>
          <cell r="N147">
            <v>40</v>
          </cell>
          <cell r="O147">
            <v>90</v>
          </cell>
          <cell r="P147">
            <v>120</v>
          </cell>
        </row>
        <row r="148">
          <cell r="A148" t="str">
            <v>CFRHS50x30x2.5</v>
          </cell>
          <cell r="B148" t="str">
            <v>a=1.0 x t</v>
          </cell>
          <cell r="C148">
            <v>2.5</v>
          </cell>
          <cell r="D148" t="str">
            <v>-</v>
          </cell>
          <cell r="E148"/>
          <cell r="F148">
            <v>1</v>
          </cell>
          <cell r="G148">
            <v>1</v>
          </cell>
          <cell r="H148">
            <v>0.151</v>
          </cell>
          <cell r="I148">
            <v>5.392857142857143E-2</v>
          </cell>
          <cell r="J148">
            <v>2.8</v>
          </cell>
          <cell r="K148">
            <v>2</v>
          </cell>
          <cell r="L148">
            <v>5</v>
          </cell>
          <cell r="M148">
            <v>10</v>
          </cell>
          <cell r="N148">
            <v>20</v>
          </cell>
          <cell r="O148">
            <v>30</v>
          </cell>
          <cell r="P148">
            <v>60</v>
          </cell>
        </row>
        <row r="149">
          <cell r="A149" t="str">
            <v>CFRHS50x30x3</v>
          </cell>
          <cell r="B149" t="str">
            <v>a=1.0 x t</v>
          </cell>
          <cell r="C149">
            <v>3</v>
          </cell>
          <cell r="D149" t="str">
            <v>-</v>
          </cell>
          <cell r="E149"/>
          <cell r="F149">
            <v>1</v>
          </cell>
          <cell r="G149">
            <v>1</v>
          </cell>
          <cell r="H149">
            <v>0.15</v>
          </cell>
          <cell r="I149">
            <v>4.5454545454545456E-2</v>
          </cell>
          <cell r="J149">
            <v>3.3</v>
          </cell>
          <cell r="K149">
            <v>2</v>
          </cell>
          <cell r="L149">
            <v>5</v>
          </cell>
          <cell r="M149">
            <v>10</v>
          </cell>
          <cell r="N149">
            <v>20</v>
          </cell>
          <cell r="O149">
            <v>30</v>
          </cell>
          <cell r="P149">
            <v>60</v>
          </cell>
        </row>
        <row r="150">
          <cell r="A150" t="str">
            <v>CFRHS50x30x4</v>
          </cell>
          <cell r="B150" t="str">
            <v>a=1.0 x t</v>
          </cell>
          <cell r="C150">
            <v>4</v>
          </cell>
          <cell r="D150" t="str">
            <v>-</v>
          </cell>
          <cell r="E150"/>
          <cell r="F150">
            <v>1</v>
          </cell>
          <cell r="G150">
            <v>1</v>
          </cell>
          <cell r="H150">
            <v>0.14599999999999999</v>
          </cell>
          <cell r="I150">
            <v>3.4761904761904758E-2</v>
          </cell>
          <cell r="J150">
            <v>4.2</v>
          </cell>
          <cell r="K150">
            <v>2</v>
          </cell>
          <cell r="L150">
            <v>5</v>
          </cell>
          <cell r="M150">
            <v>10</v>
          </cell>
          <cell r="N150">
            <v>20</v>
          </cell>
          <cell r="O150">
            <v>30</v>
          </cell>
          <cell r="P150">
            <v>60</v>
          </cell>
        </row>
        <row r="151">
          <cell r="A151" t="str">
            <v>CFRHS60x40x2.5</v>
          </cell>
          <cell r="B151" t="str">
            <v>a=1.0 x t</v>
          </cell>
          <cell r="C151">
            <v>2.5</v>
          </cell>
          <cell r="D151"/>
          <cell r="E151"/>
          <cell r="F151">
            <v>1</v>
          </cell>
          <cell r="G151">
            <v>1</v>
          </cell>
          <cell r="H151">
            <v>0.191</v>
          </cell>
          <cell r="I151">
            <v>5.3055555555555557E-2</v>
          </cell>
          <cell r="J151">
            <v>3.6</v>
          </cell>
          <cell r="K151">
            <v>2</v>
          </cell>
          <cell r="L151">
            <v>5</v>
          </cell>
          <cell r="M151">
            <v>10</v>
          </cell>
          <cell r="N151">
            <v>20</v>
          </cell>
          <cell r="O151">
            <v>30</v>
          </cell>
          <cell r="P151">
            <v>60</v>
          </cell>
        </row>
        <row r="152">
          <cell r="A152" t="str">
            <v>CFRHS60x40x3</v>
          </cell>
          <cell r="B152" t="str">
            <v>a=1.0 x t</v>
          </cell>
          <cell r="C152">
            <v>3</v>
          </cell>
          <cell r="D152" t="str">
            <v>-</v>
          </cell>
          <cell r="E152"/>
          <cell r="F152">
            <v>1</v>
          </cell>
          <cell r="G152">
            <v>1</v>
          </cell>
          <cell r="H152">
            <v>0.19</v>
          </cell>
          <cell r="I152">
            <v>4.5238095238095237E-2</v>
          </cell>
          <cell r="J152">
            <v>4.2</v>
          </cell>
          <cell r="K152">
            <v>2</v>
          </cell>
          <cell r="L152">
            <v>5</v>
          </cell>
          <cell r="M152">
            <v>10</v>
          </cell>
          <cell r="N152">
            <v>20</v>
          </cell>
          <cell r="O152">
            <v>30</v>
          </cell>
          <cell r="P152">
            <v>60</v>
          </cell>
        </row>
        <row r="153">
          <cell r="A153" t="str">
            <v>CFRHS60x40x4</v>
          </cell>
          <cell r="B153" t="str">
            <v>a=1.0 x t</v>
          </cell>
          <cell r="C153">
            <v>4</v>
          </cell>
          <cell r="D153"/>
          <cell r="E153"/>
          <cell r="F153">
            <v>1</v>
          </cell>
          <cell r="G153">
            <v>1</v>
          </cell>
          <cell r="H153">
            <v>0.186</v>
          </cell>
          <cell r="I153">
            <v>3.3818181818181817E-2</v>
          </cell>
          <cell r="J153">
            <v>5.5</v>
          </cell>
          <cell r="K153">
            <v>2</v>
          </cell>
          <cell r="L153">
            <v>5</v>
          </cell>
          <cell r="M153">
            <v>10</v>
          </cell>
          <cell r="N153">
            <v>20</v>
          </cell>
          <cell r="O153">
            <v>30</v>
          </cell>
          <cell r="P153">
            <v>60</v>
          </cell>
        </row>
        <row r="154">
          <cell r="A154" t="str">
            <v>CFRHS60x40x5</v>
          </cell>
          <cell r="B154" t="str">
            <v>a=1.0 x t</v>
          </cell>
          <cell r="C154">
            <v>5</v>
          </cell>
          <cell r="D154"/>
          <cell r="E154"/>
          <cell r="F154">
            <v>1</v>
          </cell>
          <cell r="G154">
            <v>1</v>
          </cell>
          <cell r="H154">
            <v>0.187</v>
          </cell>
          <cell r="I154">
            <v>2.7101449275362316E-2</v>
          </cell>
          <cell r="J154">
            <v>6.9</v>
          </cell>
          <cell r="K154">
            <v>2</v>
          </cell>
          <cell r="L154">
            <v>5</v>
          </cell>
          <cell r="M154">
            <v>10</v>
          </cell>
          <cell r="N154">
            <v>20</v>
          </cell>
          <cell r="O154">
            <v>30</v>
          </cell>
          <cell r="P154">
            <v>60</v>
          </cell>
        </row>
        <row r="155">
          <cell r="A155" t="str">
            <v>CFRHS70x40x3</v>
          </cell>
          <cell r="B155" t="str">
            <v>a=1.0 x t</v>
          </cell>
          <cell r="C155">
            <v>3</v>
          </cell>
          <cell r="D155" t="str">
            <v>-</v>
          </cell>
          <cell r="E155"/>
          <cell r="F155">
            <v>1</v>
          </cell>
          <cell r="G155">
            <v>1</v>
          </cell>
          <cell r="H155">
            <v>0.20899999999999999</v>
          </cell>
          <cell r="I155">
            <v>4.4468085106382976E-2</v>
          </cell>
          <cell r="J155">
            <v>4.7</v>
          </cell>
          <cell r="K155">
            <v>2</v>
          </cell>
          <cell r="L155">
            <v>5</v>
          </cell>
          <cell r="M155">
            <v>10</v>
          </cell>
          <cell r="N155">
            <v>20</v>
          </cell>
          <cell r="O155">
            <v>30</v>
          </cell>
          <cell r="P155">
            <v>60</v>
          </cell>
        </row>
        <row r="156">
          <cell r="A156" t="str">
            <v>CFRHS70x40x4</v>
          </cell>
          <cell r="B156" t="str">
            <v>a=1.0 x t</v>
          </cell>
          <cell r="C156">
            <v>4</v>
          </cell>
          <cell r="D156"/>
          <cell r="E156"/>
          <cell r="F156">
            <v>1</v>
          </cell>
          <cell r="G156">
            <v>1</v>
          </cell>
          <cell r="H156">
            <v>0.20499999999999999</v>
          </cell>
          <cell r="I156">
            <v>3.3606557377049179E-2</v>
          </cell>
          <cell r="J156">
            <v>6.1</v>
          </cell>
          <cell r="K156">
            <v>2</v>
          </cell>
          <cell r="L156">
            <v>5</v>
          </cell>
          <cell r="M156">
            <v>10</v>
          </cell>
          <cell r="N156">
            <v>20</v>
          </cell>
          <cell r="O156">
            <v>30</v>
          </cell>
          <cell r="P156">
            <v>60</v>
          </cell>
        </row>
        <row r="157">
          <cell r="A157" t="str">
            <v>CFRHS70x40x5</v>
          </cell>
          <cell r="B157" t="str">
            <v>a=1.0 x t</v>
          </cell>
          <cell r="C157">
            <v>5</v>
          </cell>
          <cell r="D157"/>
          <cell r="E157"/>
          <cell r="F157">
            <v>1</v>
          </cell>
          <cell r="G157">
            <v>1</v>
          </cell>
          <cell r="H157">
            <v>0.21099999999999999</v>
          </cell>
          <cell r="I157">
            <v>2.8904109589041094E-2</v>
          </cell>
          <cell r="J157">
            <v>7.3</v>
          </cell>
          <cell r="K157">
            <v>2</v>
          </cell>
          <cell r="L157">
            <v>5</v>
          </cell>
          <cell r="M157">
            <v>10</v>
          </cell>
          <cell r="N157">
            <v>20</v>
          </cell>
          <cell r="O157">
            <v>30</v>
          </cell>
          <cell r="P157">
            <v>60</v>
          </cell>
        </row>
        <row r="158">
          <cell r="A158" t="str">
            <v>CFRHS70x50x3</v>
          </cell>
          <cell r="B158" t="str">
            <v>a=1.0 x t</v>
          </cell>
          <cell r="C158">
            <v>3</v>
          </cell>
          <cell r="D158" t="str">
            <v>-</v>
          </cell>
          <cell r="E158"/>
          <cell r="F158">
            <v>1</v>
          </cell>
          <cell r="G158">
            <v>1</v>
          </cell>
          <cell r="H158">
            <v>0.23</v>
          </cell>
          <cell r="I158">
            <v>4.4230769230769233E-2</v>
          </cell>
          <cell r="J158">
            <v>5.2</v>
          </cell>
          <cell r="K158">
            <v>2</v>
          </cell>
          <cell r="L158">
            <v>5</v>
          </cell>
          <cell r="M158">
            <v>10</v>
          </cell>
          <cell r="N158">
            <v>20</v>
          </cell>
          <cell r="O158">
            <v>30</v>
          </cell>
          <cell r="P158">
            <v>60</v>
          </cell>
        </row>
        <row r="159">
          <cell r="A159" t="str">
            <v>CFRHS70x50x4</v>
          </cell>
          <cell r="B159" t="str">
            <v>a=1.0 x t</v>
          </cell>
          <cell r="C159">
            <v>4</v>
          </cell>
          <cell r="D159"/>
          <cell r="E159"/>
          <cell r="F159">
            <v>1</v>
          </cell>
          <cell r="G159">
            <v>1</v>
          </cell>
          <cell r="H159">
            <v>0.22600000000000001</v>
          </cell>
          <cell r="I159">
            <v>3.3731343283582092E-2</v>
          </cell>
          <cell r="J159">
            <v>6.7</v>
          </cell>
          <cell r="K159">
            <v>2</v>
          </cell>
          <cell r="L159">
            <v>5</v>
          </cell>
          <cell r="M159">
            <v>10</v>
          </cell>
          <cell r="N159">
            <v>20</v>
          </cell>
          <cell r="O159">
            <v>30</v>
          </cell>
          <cell r="P159">
            <v>60</v>
          </cell>
        </row>
        <row r="160">
          <cell r="A160" t="str">
            <v>CFRHS70x50x5</v>
          </cell>
          <cell r="B160" t="str">
            <v>a=1.0 x t</v>
          </cell>
          <cell r="C160">
            <v>5</v>
          </cell>
          <cell r="D160"/>
          <cell r="E160"/>
          <cell r="F160">
            <v>1</v>
          </cell>
          <cell r="G160">
            <v>1</v>
          </cell>
          <cell r="H160">
            <v>0.223</v>
          </cell>
          <cell r="I160">
            <v>2.7530864197530865E-2</v>
          </cell>
          <cell r="J160">
            <v>8.1</v>
          </cell>
          <cell r="K160">
            <v>2</v>
          </cell>
          <cell r="L160">
            <v>5</v>
          </cell>
          <cell r="M160">
            <v>10</v>
          </cell>
          <cell r="N160">
            <v>20</v>
          </cell>
          <cell r="O160">
            <v>30</v>
          </cell>
          <cell r="P160">
            <v>60</v>
          </cell>
        </row>
        <row r="161">
          <cell r="A161" t="str">
            <v>CFRHS80x40x3</v>
          </cell>
          <cell r="B161" t="str">
            <v>a=1.0 x t</v>
          </cell>
          <cell r="C161">
            <v>3</v>
          </cell>
          <cell r="D161" t="str">
            <v>-</v>
          </cell>
          <cell r="E161"/>
          <cell r="F161">
            <v>1</v>
          </cell>
          <cell r="G161">
            <v>1</v>
          </cell>
          <cell r="H161">
            <v>0.23</v>
          </cell>
          <cell r="I161">
            <v>4.4230769230769233E-2</v>
          </cell>
          <cell r="J161">
            <v>5.2</v>
          </cell>
          <cell r="K161">
            <v>2</v>
          </cell>
          <cell r="L161">
            <v>5</v>
          </cell>
          <cell r="M161">
            <v>10</v>
          </cell>
          <cell r="N161">
            <v>20</v>
          </cell>
          <cell r="O161">
            <v>30</v>
          </cell>
          <cell r="P161">
            <v>60</v>
          </cell>
        </row>
        <row r="162">
          <cell r="A162" t="str">
            <v>CFRHS80x40x4</v>
          </cell>
          <cell r="B162" t="str">
            <v>a=1.0 x t</v>
          </cell>
          <cell r="C162">
            <v>4</v>
          </cell>
          <cell r="D162"/>
          <cell r="E162"/>
          <cell r="F162">
            <v>1</v>
          </cell>
          <cell r="G162">
            <v>1</v>
          </cell>
          <cell r="H162">
            <v>0.22600000000000001</v>
          </cell>
          <cell r="I162">
            <v>3.3731343283582092E-2</v>
          </cell>
          <cell r="J162">
            <v>6.7</v>
          </cell>
          <cell r="K162">
            <v>2</v>
          </cell>
          <cell r="L162">
            <v>5</v>
          </cell>
          <cell r="M162">
            <v>10</v>
          </cell>
          <cell r="N162">
            <v>20</v>
          </cell>
          <cell r="O162">
            <v>30</v>
          </cell>
          <cell r="P162">
            <v>60</v>
          </cell>
        </row>
        <row r="163">
          <cell r="A163" t="str">
            <v>CFRHS80x40x5</v>
          </cell>
          <cell r="B163" t="str">
            <v>a=1.0 x t</v>
          </cell>
          <cell r="C163">
            <v>5</v>
          </cell>
          <cell r="D163"/>
          <cell r="E163"/>
          <cell r="F163">
            <v>1</v>
          </cell>
          <cell r="G163">
            <v>1</v>
          </cell>
          <cell r="H163">
            <v>0.223</v>
          </cell>
          <cell r="I163">
            <v>2.7530864197530865E-2</v>
          </cell>
          <cell r="J163">
            <v>8.1</v>
          </cell>
          <cell r="K163">
            <v>2</v>
          </cell>
          <cell r="L163">
            <v>5</v>
          </cell>
          <cell r="M163">
            <v>10</v>
          </cell>
          <cell r="N163">
            <v>20</v>
          </cell>
          <cell r="O163">
            <v>30</v>
          </cell>
          <cell r="P163">
            <v>60</v>
          </cell>
        </row>
        <row r="164">
          <cell r="A164" t="str">
            <v>CFRHS80x50x3</v>
          </cell>
          <cell r="B164" t="str">
            <v>a=1.0 x t</v>
          </cell>
          <cell r="C164">
            <v>3</v>
          </cell>
          <cell r="D164" t="str">
            <v>-</v>
          </cell>
          <cell r="E164"/>
          <cell r="F164">
            <v>1</v>
          </cell>
          <cell r="G164">
            <v>1</v>
          </cell>
          <cell r="H164">
            <v>0.25</v>
          </cell>
          <cell r="I164">
            <v>4.3859649122807015E-2</v>
          </cell>
          <cell r="J164">
            <v>5.7</v>
          </cell>
          <cell r="K164">
            <v>2</v>
          </cell>
          <cell r="L164">
            <v>5</v>
          </cell>
          <cell r="M164">
            <v>10</v>
          </cell>
          <cell r="N164">
            <v>20</v>
          </cell>
          <cell r="O164">
            <v>30</v>
          </cell>
          <cell r="P164">
            <v>60</v>
          </cell>
        </row>
        <row r="165">
          <cell r="A165" t="str">
            <v>CFRHS80x50x4</v>
          </cell>
          <cell r="B165" t="str">
            <v>a=1.0 x t</v>
          </cell>
          <cell r="C165">
            <v>4</v>
          </cell>
          <cell r="D165"/>
          <cell r="E165"/>
          <cell r="F165">
            <v>1</v>
          </cell>
          <cell r="G165">
            <v>1</v>
          </cell>
          <cell r="H165">
            <v>0.246</v>
          </cell>
          <cell r="I165">
            <v>3.3698630136986304E-2</v>
          </cell>
          <cell r="J165">
            <v>7.3</v>
          </cell>
          <cell r="K165">
            <v>2</v>
          </cell>
          <cell r="L165">
            <v>5</v>
          </cell>
          <cell r="M165">
            <v>10</v>
          </cell>
          <cell r="N165">
            <v>20</v>
          </cell>
          <cell r="O165">
            <v>30</v>
          </cell>
          <cell r="P165">
            <v>60</v>
          </cell>
        </row>
        <row r="166">
          <cell r="A166" t="str">
            <v>CFRHS80x50x5</v>
          </cell>
          <cell r="B166" t="str">
            <v>a=1.0 x t</v>
          </cell>
          <cell r="C166">
            <v>5</v>
          </cell>
          <cell r="D166"/>
          <cell r="E166"/>
          <cell r="F166">
            <v>1</v>
          </cell>
          <cell r="G166">
            <v>1</v>
          </cell>
          <cell r="H166">
            <v>0.24299999999999999</v>
          </cell>
          <cell r="I166">
            <v>2.7303370786516852E-2</v>
          </cell>
          <cell r="J166">
            <v>8.9</v>
          </cell>
          <cell r="K166">
            <v>2</v>
          </cell>
          <cell r="L166">
            <v>5</v>
          </cell>
          <cell r="M166">
            <v>10</v>
          </cell>
          <cell r="N166">
            <v>20</v>
          </cell>
          <cell r="O166">
            <v>30</v>
          </cell>
          <cell r="P166">
            <v>60</v>
          </cell>
        </row>
        <row r="167">
          <cell r="A167" t="str">
            <v>CFRHS80x60x3</v>
          </cell>
          <cell r="B167" t="str">
            <v>a=1.0 x t</v>
          </cell>
          <cell r="C167">
            <v>3</v>
          </cell>
          <cell r="D167" t="str">
            <v>-</v>
          </cell>
          <cell r="E167"/>
          <cell r="F167">
            <v>1</v>
          </cell>
          <cell r="G167">
            <v>1</v>
          </cell>
          <cell r="H167">
            <v>0.27</v>
          </cell>
          <cell r="I167">
            <v>4.4262295081967218E-2</v>
          </cell>
          <cell r="J167">
            <v>6.1</v>
          </cell>
          <cell r="K167">
            <v>2</v>
          </cell>
          <cell r="L167">
            <v>5</v>
          </cell>
          <cell r="M167">
            <v>10</v>
          </cell>
          <cell r="N167">
            <v>20</v>
          </cell>
          <cell r="O167">
            <v>30</v>
          </cell>
          <cell r="P167">
            <v>60</v>
          </cell>
        </row>
        <row r="168">
          <cell r="A168" t="str">
            <v>CFRHS80x60x3.5</v>
          </cell>
          <cell r="B168" t="str">
            <v>a=1.0 x t</v>
          </cell>
          <cell r="C168">
            <v>3.5</v>
          </cell>
          <cell r="D168" t="str">
            <v>-</v>
          </cell>
          <cell r="E168"/>
          <cell r="F168">
            <v>1</v>
          </cell>
          <cell r="G168">
            <v>1</v>
          </cell>
          <cell r="H168">
            <v>0.26800000000000002</v>
          </cell>
          <cell r="I168">
            <v>3.7746478873239439E-2</v>
          </cell>
          <cell r="J168">
            <v>7.1</v>
          </cell>
          <cell r="K168">
            <v>2</v>
          </cell>
          <cell r="L168">
            <v>5</v>
          </cell>
          <cell r="M168">
            <v>10</v>
          </cell>
          <cell r="N168">
            <v>20</v>
          </cell>
          <cell r="O168">
            <v>30</v>
          </cell>
          <cell r="P168">
            <v>60</v>
          </cell>
        </row>
        <row r="169">
          <cell r="A169" t="str">
            <v>CFRHS80x60x4</v>
          </cell>
          <cell r="B169" t="str">
            <v>a=1.0 x t</v>
          </cell>
          <cell r="C169">
            <v>4</v>
          </cell>
          <cell r="D169"/>
          <cell r="E169"/>
          <cell r="F169">
            <v>1</v>
          </cell>
          <cell r="G169">
            <v>1</v>
          </cell>
          <cell r="H169">
            <v>0.26600000000000001</v>
          </cell>
          <cell r="I169">
            <v>3.3250000000000002E-2</v>
          </cell>
          <cell r="J169">
            <v>8</v>
          </cell>
          <cell r="K169">
            <v>2</v>
          </cell>
          <cell r="L169">
            <v>5</v>
          </cell>
          <cell r="M169">
            <v>10</v>
          </cell>
          <cell r="N169">
            <v>20</v>
          </cell>
          <cell r="O169">
            <v>30</v>
          </cell>
          <cell r="P169">
            <v>60</v>
          </cell>
        </row>
        <row r="170">
          <cell r="A170" t="str">
            <v>CFRHS80x60x5</v>
          </cell>
          <cell r="B170" t="str">
            <v>a=1.0 x t</v>
          </cell>
          <cell r="C170">
            <v>5</v>
          </cell>
          <cell r="D170"/>
          <cell r="E170"/>
          <cell r="F170">
            <v>1</v>
          </cell>
          <cell r="G170">
            <v>1</v>
          </cell>
          <cell r="H170">
            <v>0.28000000000000003</v>
          </cell>
          <cell r="I170">
            <v>2.8865979381443304E-2</v>
          </cell>
          <cell r="J170">
            <v>9.6999999999999993</v>
          </cell>
          <cell r="K170">
            <v>2</v>
          </cell>
          <cell r="L170">
            <v>5</v>
          </cell>
          <cell r="M170">
            <v>10</v>
          </cell>
          <cell r="N170">
            <v>20</v>
          </cell>
          <cell r="O170">
            <v>30</v>
          </cell>
          <cell r="P170">
            <v>60</v>
          </cell>
        </row>
        <row r="171">
          <cell r="A171" t="str">
            <v>CFRHS90x50x3</v>
          </cell>
          <cell r="B171" t="str">
            <v>a=1.0 x t</v>
          </cell>
          <cell r="C171">
            <v>3</v>
          </cell>
          <cell r="D171" t="str">
            <v>-</v>
          </cell>
          <cell r="E171"/>
          <cell r="F171">
            <v>1</v>
          </cell>
          <cell r="G171">
            <v>1</v>
          </cell>
          <cell r="H171">
            <v>0.27</v>
          </cell>
          <cell r="I171">
            <v>4.4262295081967218E-2</v>
          </cell>
          <cell r="J171">
            <v>6.1</v>
          </cell>
          <cell r="K171">
            <v>2</v>
          </cell>
          <cell r="L171">
            <v>5</v>
          </cell>
          <cell r="M171">
            <v>10</v>
          </cell>
          <cell r="N171">
            <v>20</v>
          </cell>
          <cell r="O171">
            <v>30</v>
          </cell>
          <cell r="P171">
            <v>60</v>
          </cell>
        </row>
        <row r="172">
          <cell r="A172" t="str">
            <v>CFRHS90x50x4</v>
          </cell>
          <cell r="B172" t="str">
            <v>a=1.0 x t</v>
          </cell>
          <cell r="C172">
            <v>4</v>
          </cell>
          <cell r="D172"/>
          <cell r="E172"/>
          <cell r="F172">
            <v>1</v>
          </cell>
          <cell r="G172">
            <v>1</v>
          </cell>
          <cell r="H172">
            <v>0.26600000000000001</v>
          </cell>
          <cell r="I172">
            <v>3.3250000000000002E-2</v>
          </cell>
          <cell r="J172">
            <v>8</v>
          </cell>
          <cell r="K172">
            <v>2</v>
          </cell>
          <cell r="L172">
            <v>5</v>
          </cell>
          <cell r="M172">
            <v>10</v>
          </cell>
          <cell r="N172">
            <v>20</v>
          </cell>
          <cell r="O172">
            <v>30</v>
          </cell>
          <cell r="P172">
            <v>60</v>
          </cell>
        </row>
        <row r="173">
          <cell r="A173" t="str">
            <v>CFRHS90x50x5</v>
          </cell>
          <cell r="B173" t="str">
            <v>a=1.0 x t</v>
          </cell>
          <cell r="C173">
            <v>5</v>
          </cell>
          <cell r="D173"/>
          <cell r="E173"/>
          <cell r="F173">
            <v>1</v>
          </cell>
          <cell r="G173">
            <v>1</v>
          </cell>
          <cell r="H173">
            <v>0.26300000000000001</v>
          </cell>
          <cell r="I173">
            <v>2.7113402061855672E-2</v>
          </cell>
          <cell r="J173">
            <v>9.6999999999999993</v>
          </cell>
          <cell r="K173">
            <v>2</v>
          </cell>
          <cell r="L173">
            <v>5</v>
          </cell>
          <cell r="M173">
            <v>10</v>
          </cell>
          <cell r="N173">
            <v>20</v>
          </cell>
          <cell r="O173">
            <v>30</v>
          </cell>
          <cell r="P173">
            <v>60</v>
          </cell>
        </row>
        <row r="174">
          <cell r="A174" t="str">
            <v>CFRHS100x40x3</v>
          </cell>
          <cell r="B174" t="str">
            <v>a=1.0 x t</v>
          </cell>
          <cell r="C174">
            <v>3</v>
          </cell>
          <cell r="D174" t="str">
            <v>-</v>
          </cell>
          <cell r="E174"/>
          <cell r="F174">
            <v>1</v>
          </cell>
          <cell r="G174">
            <v>1</v>
          </cell>
          <cell r="H174">
            <v>0.27</v>
          </cell>
          <cell r="I174">
            <v>4.4262295081967218E-2</v>
          </cell>
          <cell r="J174">
            <v>6.1</v>
          </cell>
          <cell r="K174">
            <v>2</v>
          </cell>
          <cell r="L174">
            <v>5</v>
          </cell>
          <cell r="M174">
            <v>10</v>
          </cell>
          <cell r="N174">
            <v>20</v>
          </cell>
          <cell r="O174">
            <v>30</v>
          </cell>
          <cell r="P174">
            <v>60</v>
          </cell>
        </row>
        <row r="175">
          <cell r="A175" t="str">
            <v>CFRHS100x40x4</v>
          </cell>
          <cell r="B175" t="str">
            <v>a=1.0 x t</v>
          </cell>
          <cell r="C175">
            <v>4</v>
          </cell>
          <cell r="D175"/>
          <cell r="E175"/>
          <cell r="F175">
            <v>1</v>
          </cell>
          <cell r="G175">
            <v>1</v>
          </cell>
          <cell r="H175">
            <v>0.26600000000000001</v>
          </cell>
          <cell r="I175">
            <v>3.3250000000000002E-2</v>
          </cell>
          <cell r="J175">
            <v>8</v>
          </cell>
          <cell r="K175">
            <v>2</v>
          </cell>
          <cell r="L175">
            <v>5</v>
          </cell>
          <cell r="M175">
            <v>10</v>
          </cell>
          <cell r="N175">
            <v>20</v>
          </cell>
          <cell r="O175">
            <v>30</v>
          </cell>
          <cell r="P175">
            <v>60</v>
          </cell>
        </row>
        <row r="176">
          <cell r="A176" t="str">
            <v>CFRHS100x40x5</v>
          </cell>
          <cell r="B176" t="str">
            <v>a=1.0 x t</v>
          </cell>
          <cell r="C176">
            <v>5</v>
          </cell>
          <cell r="D176"/>
          <cell r="E176"/>
          <cell r="F176">
            <v>1</v>
          </cell>
          <cell r="G176">
            <v>1</v>
          </cell>
          <cell r="H176">
            <v>0.26300000000000001</v>
          </cell>
          <cell r="I176">
            <v>2.7113402061855672E-2</v>
          </cell>
          <cell r="J176">
            <v>9.6999999999999993</v>
          </cell>
          <cell r="K176">
            <v>2</v>
          </cell>
          <cell r="L176">
            <v>5</v>
          </cell>
          <cell r="M176">
            <v>10</v>
          </cell>
          <cell r="N176">
            <v>20</v>
          </cell>
          <cell r="O176">
            <v>30</v>
          </cell>
          <cell r="P176">
            <v>60</v>
          </cell>
        </row>
        <row r="177">
          <cell r="A177" t="str">
            <v>CFRHS100x50x3</v>
          </cell>
          <cell r="B177" t="str">
            <v>a=1.0 x t</v>
          </cell>
          <cell r="C177">
            <v>3</v>
          </cell>
          <cell r="D177" t="str">
            <v>-</v>
          </cell>
          <cell r="E177"/>
          <cell r="F177">
            <v>1</v>
          </cell>
          <cell r="G177">
            <v>1</v>
          </cell>
          <cell r="H177">
            <v>0.28999999999999998</v>
          </cell>
          <cell r="I177">
            <v>4.3939393939393938E-2</v>
          </cell>
          <cell r="J177">
            <v>6.6</v>
          </cell>
          <cell r="K177">
            <v>2</v>
          </cell>
          <cell r="L177">
            <v>5</v>
          </cell>
          <cell r="M177">
            <v>10</v>
          </cell>
          <cell r="N177">
            <v>20</v>
          </cell>
          <cell r="O177">
            <v>30</v>
          </cell>
          <cell r="P177">
            <v>60</v>
          </cell>
        </row>
        <row r="178">
          <cell r="A178" t="str">
            <v>CFRHS100x50x4</v>
          </cell>
          <cell r="B178" t="str">
            <v>a=1.0 x t</v>
          </cell>
          <cell r="C178">
            <v>4</v>
          </cell>
          <cell r="D178"/>
          <cell r="E178"/>
          <cell r="F178">
            <v>1</v>
          </cell>
          <cell r="G178">
            <v>1</v>
          </cell>
          <cell r="H178">
            <v>0.28599999999999998</v>
          </cell>
          <cell r="I178">
            <v>3.3255813953488374E-2</v>
          </cell>
          <cell r="J178">
            <v>8.6</v>
          </cell>
          <cell r="K178">
            <v>2</v>
          </cell>
          <cell r="L178">
            <v>5</v>
          </cell>
          <cell r="M178">
            <v>10</v>
          </cell>
          <cell r="N178">
            <v>20</v>
          </cell>
          <cell r="O178">
            <v>30</v>
          </cell>
          <cell r="P178">
            <v>60</v>
          </cell>
        </row>
        <row r="179">
          <cell r="A179" t="str">
            <v>CFRHS100x50x5</v>
          </cell>
          <cell r="B179" t="str">
            <v>a=1.0 x t</v>
          </cell>
          <cell r="C179">
            <v>5</v>
          </cell>
          <cell r="D179"/>
          <cell r="E179"/>
          <cell r="F179">
            <v>1</v>
          </cell>
          <cell r="G179">
            <v>1</v>
          </cell>
          <cell r="H179">
            <v>0.28299999999999997</v>
          </cell>
          <cell r="I179">
            <v>2.695238095238095E-2</v>
          </cell>
          <cell r="J179">
            <v>10.5</v>
          </cell>
          <cell r="K179">
            <v>2</v>
          </cell>
          <cell r="L179">
            <v>5</v>
          </cell>
          <cell r="M179">
            <v>10</v>
          </cell>
          <cell r="N179">
            <v>20</v>
          </cell>
          <cell r="O179">
            <v>30</v>
          </cell>
          <cell r="P179">
            <v>60</v>
          </cell>
        </row>
        <row r="180">
          <cell r="A180" t="str">
            <v>CFRHS100x50x6</v>
          </cell>
          <cell r="B180" t="str">
            <v>a=1.0 x t</v>
          </cell>
          <cell r="C180">
            <v>6</v>
          </cell>
          <cell r="D180"/>
          <cell r="E180"/>
          <cell r="F180">
            <v>1</v>
          </cell>
          <cell r="G180">
            <v>1</v>
          </cell>
          <cell r="H180">
            <v>0.27900000000000003</v>
          </cell>
          <cell r="I180">
            <v>2.2682926829268292E-2</v>
          </cell>
          <cell r="J180">
            <v>12.3</v>
          </cell>
          <cell r="K180">
            <v>2</v>
          </cell>
          <cell r="L180">
            <v>5</v>
          </cell>
          <cell r="M180">
            <v>10</v>
          </cell>
          <cell r="N180">
            <v>20</v>
          </cell>
          <cell r="O180">
            <v>30</v>
          </cell>
          <cell r="P180">
            <v>60</v>
          </cell>
        </row>
        <row r="181">
          <cell r="A181" t="str">
            <v>CFRHS100x60x3</v>
          </cell>
          <cell r="B181" t="str">
            <v>a=1.0 x t</v>
          </cell>
          <cell r="C181">
            <v>3</v>
          </cell>
          <cell r="D181" t="str">
            <v>-</v>
          </cell>
          <cell r="E181"/>
          <cell r="F181">
            <v>1</v>
          </cell>
          <cell r="G181">
            <v>1</v>
          </cell>
          <cell r="H181">
            <v>0.31</v>
          </cell>
          <cell r="I181">
            <v>4.366197183098592E-2</v>
          </cell>
          <cell r="J181">
            <v>7.1</v>
          </cell>
          <cell r="K181">
            <v>2</v>
          </cell>
          <cell r="L181">
            <v>5</v>
          </cell>
          <cell r="M181">
            <v>10</v>
          </cell>
          <cell r="N181">
            <v>20</v>
          </cell>
          <cell r="O181">
            <v>30</v>
          </cell>
          <cell r="P181">
            <v>60</v>
          </cell>
        </row>
        <row r="182">
          <cell r="A182" t="str">
            <v>CFRHS100x60x3.5</v>
          </cell>
          <cell r="B182" t="str">
            <v>a=1.0 x t</v>
          </cell>
          <cell r="C182">
            <v>3.5</v>
          </cell>
          <cell r="D182" t="str">
            <v>-</v>
          </cell>
          <cell r="E182"/>
          <cell r="F182">
            <v>1</v>
          </cell>
          <cell r="G182">
            <v>1</v>
          </cell>
          <cell r="H182">
            <v>0.308</v>
          </cell>
          <cell r="I182">
            <v>3.7560975609756103E-2</v>
          </cell>
          <cell r="J182">
            <v>8.1999999999999993</v>
          </cell>
          <cell r="K182">
            <v>2</v>
          </cell>
          <cell r="L182">
            <v>5</v>
          </cell>
          <cell r="M182">
            <v>10</v>
          </cell>
          <cell r="N182">
            <v>20</v>
          </cell>
          <cell r="O182">
            <v>30</v>
          </cell>
          <cell r="P182">
            <v>60</v>
          </cell>
        </row>
        <row r="183">
          <cell r="A183" t="str">
            <v>CFRHS100x60x4</v>
          </cell>
          <cell r="B183" t="str">
            <v>a=1.0 x t</v>
          </cell>
          <cell r="C183">
            <v>4</v>
          </cell>
          <cell r="D183"/>
          <cell r="E183"/>
          <cell r="F183">
            <v>1</v>
          </cell>
          <cell r="G183">
            <v>1</v>
          </cell>
          <cell r="H183">
            <v>0.30599999999999999</v>
          </cell>
          <cell r="I183">
            <v>3.3260869565217392E-2</v>
          </cell>
          <cell r="J183">
            <v>9.1999999999999993</v>
          </cell>
          <cell r="K183">
            <v>2</v>
          </cell>
          <cell r="L183">
            <v>5</v>
          </cell>
          <cell r="M183">
            <v>10</v>
          </cell>
          <cell r="N183">
            <v>20</v>
          </cell>
          <cell r="O183">
            <v>30</v>
          </cell>
          <cell r="P183">
            <v>60</v>
          </cell>
        </row>
        <row r="184">
          <cell r="A184" t="str">
            <v>CFRHS100x60x5</v>
          </cell>
          <cell r="B184" t="str">
            <v>a=1.0 x t</v>
          </cell>
          <cell r="C184">
            <v>5</v>
          </cell>
          <cell r="D184"/>
          <cell r="E184"/>
          <cell r="F184">
            <v>1</v>
          </cell>
          <cell r="G184">
            <v>1</v>
          </cell>
          <cell r="H184">
            <v>0.30299999999999999</v>
          </cell>
          <cell r="I184">
            <v>2.6814159292035396E-2</v>
          </cell>
          <cell r="J184">
            <v>11.3</v>
          </cell>
          <cell r="K184">
            <v>2</v>
          </cell>
          <cell r="L184">
            <v>5</v>
          </cell>
          <cell r="M184">
            <v>10</v>
          </cell>
          <cell r="N184">
            <v>20</v>
          </cell>
          <cell r="O184">
            <v>30</v>
          </cell>
          <cell r="P184">
            <v>60</v>
          </cell>
        </row>
        <row r="185">
          <cell r="A185" t="str">
            <v>CFRHS100x60x6</v>
          </cell>
          <cell r="B185" t="str">
            <v>a=1.0 x t</v>
          </cell>
          <cell r="C185">
            <v>6</v>
          </cell>
          <cell r="D185"/>
          <cell r="E185"/>
          <cell r="F185">
            <v>1</v>
          </cell>
          <cell r="G185">
            <v>1</v>
          </cell>
          <cell r="H185">
            <v>0.29899999999999999</v>
          </cell>
          <cell r="I185">
            <v>2.2651515151515152E-2</v>
          </cell>
          <cell r="J185">
            <v>13.2</v>
          </cell>
          <cell r="K185">
            <v>2</v>
          </cell>
          <cell r="L185">
            <v>5</v>
          </cell>
          <cell r="M185">
            <v>10</v>
          </cell>
          <cell r="N185">
            <v>20</v>
          </cell>
          <cell r="O185">
            <v>30</v>
          </cell>
          <cell r="P185">
            <v>60</v>
          </cell>
        </row>
        <row r="186">
          <cell r="A186" t="str">
            <v>CFRHS100x80x3</v>
          </cell>
          <cell r="B186" t="str">
            <v>a=1.0 x t</v>
          </cell>
          <cell r="C186">
            <v>3</v>
          </cell>
          <cell r="D186" t="str">
            <v>-</v>
          </cell>
          <cell r="E186"/>
          <cell r="F186">
            <v>1</v>
          </cell>
          <cell r="G186">
            <v>1</v>
          </cell>
          <cell r="H186">
            <v>0.35</v>
          </cell>
          <cell r="I186">
            <v>4.3749999999999997E-2</v>
          </cell>
          <cell r="J186">
            <v>8</v>
          </cell>
          <cell r="K186">
            <v>2</v>
          </cell>
          <cell r="L186">
            <v>5</v>
          </cell>
          <cell r="M186">
            <v>10</v>
          </cell>
          <cell r="N186">
            <v>20</v>
          </cell>
          <cell r="O186">
            <v>30</v>
          </cell>
          <cell r="P186">
            <v>60</v>
          </cell>
        </row>
        <row r="187">
          <cell r="A187" t="str">
            <v>CFRHS100x80x4</v>
          </cell>
          <cell r="B187" t="str">
            <v>a=1.0 x t</v>
          </cell>
          <cell r="C187">
            <v>4</v>
          </cell>
          <cell r="D187"/>
          <cell r="E187"/>
          <cell r="F187">
            <v>1</v>
          </cell>
          <cell r="G187">
            <v>1</v>
          </cell>
          <cell r="H187">
            <v>0.34599999999999997</v>
          </cell>
          <cell r="I187">
            <v>3.2952380952380948E-2</v>
          </cell>
          <cell r="J187">
            <v>10.5</v>
          </cell>
          <cell r="K187">
            <v>2</v>
          </cell>
          <cell r="L187">
            <v>5</v>
          </cell>
          <cell r="M187">
            <v>10</v>
          </cell>
          <cell r="N187">
            <v>20</v>
          </cell>
          <cell r="O187">
            <v>30</v>
          </cell>
          <cell r="P187">
            <v>60</v>
          </cell>
        </row>
        <row r="188">
          <cell r="A188" t="str">
            <v>CFRHS100x80x5</v>
          </cell>
          <cell r="B188" t="str">
            <v>a=1.0 x t</v>
          </cell>
          <cell r="C188">
            <v>5</v>
          </cell>
          <cell r="D188"/>
          <cell r="E188"/>
          <cell r="F188">
            <v>1</v>
          </cell>
          <cell r="G188">
            <v>1</v>
          </cell>
          <cell r="H188">
            <v>0.34300000000000003</v>
          </cell>
          <cell r="I188">
            <v>2.6796875000000001E-2</v>
          </cell>
          <cell r="J188">
            <v>12.8</v>
          </cell>
          <cell r="K188">
            <v>2</v>
          </cell>
          <cell r="L188">
            <v>5</v>
          </cell>
          <cell r="M188">
            <v>10</v>
          </cell>
          <cell r="N188">
            <v>20</v>
          </cell>
          <cell r="O188">
            <v>30</v>
          </cell>
          <cell r="P188">
            <v>60</v>
          </cell>
        </row>
        <row r="189">
          <cell r="A189" t="str">
            <v>CFRHS100x80x6</v>
          </cell>
          <cell r="B189" t="str">
            <v>a=1.0 x t</v>
          </cell>
          <cell r="C189">
            <v>6</v>
          </cell>
          <cell r="D189"/>
          <cell r="E189"/>
          <cell r="F189">
            <v>1</v>
          </cell>
          <cell r="G189">
            <v>1</v>
          </cell>
          <cell r="H189">
            <v>0.33900000000000002</v>
          </cell>
          <cell r="I189">
            <v>2.2450331125827817E-2</v>
          </cell>
          <cell r="J189">
            <v>15.1</v>
          </cell>
          <cell r="K189">
            <v>2</v>
          </cell>
          <cell r="L189">
            <v>5</v>
          </cell>
          <cell r="M189">
            <v>10</v>
          </cell>
          <cell r="N189">
            <v>20</v>
          </cell>
          <cell r="O189">
            <v>30</v>
          </cell>
          <cell r="P189">
            <v>60</v>
          </cell>
        </row>
        <row r="190">
          <cell r="A190" t="str">
            <v>CFRHS120x50x3</v>
          </cell>
          <cell r="B190" t="str">
            <v>a=1.0 x t</v>
          </cell>
          <cell r="C190">
            <v>3</v>
          </cell>
          <cell r="D190" t="str">
            <v>-</v>
          </cell>
          <cell r="E190"/>
          <cell r="F190">
            <v>1</v>
          </cell>
          <cell r="G190">
            <v>1</v>
          </cell>
          <cell r="H190">
            <v>0.33</v>
          </cell>
          <cell r="I190">
            <v>4.4000000000000004E-2</v>
          </cell>
          <cell r="J190">
            <v>7.5</v>
          </cell>
          <cell r="K190">
            <v>2</v>
          </cell>
          <cell r="L190">
            <v>5</v>
          </cell>
          <cell r="M190">
            <v>10</v>
          </cell>
          <cell r="N190">
            <v>20</v>
          </cell>
          <cell r="O190">
            <v>30</v>
          </cell>
          <cell r="P190">
            <v>60</v>
          </cell>
        </row>
        <row r="191">
          <cell r="A191" t="str">
            <v>CFRHS120x50x4</v>
          </cell>
          <cell r="B191" t="str">
            <v>a=1.0 x t</v>
          </cell>
          <cell r="C191">
            <v>4</v>
          </cell>
          <cell r="D191"/>
          <cell r="E191"/>
          <cell r="F191">
            <v>1</v>
          </cell>
          <cell r="G191">
            <v>1</v>
          </cell>
          <cell r="H191">
            <v>0.32600000000000001</v>
          </cell>
          <cell r="I191">
            <v>3.2929292929292926E-2</v>
          </cell>
          <cell r="J191">
            <v>9.9</v>
          </cell>
          <cell r="K191">
            <v>2</v>
          </cell>
          <cell r="L191">
            <v>5</v>
          </cell>
          <cell r="M191">
            <v>10</v>
          </cell>
          <cell r="N191">
            <v>20</v>
          </cell>
          <cell r="O191">
            <v>30</v>
          </cell>
          <cell r="P191">
            <v>60</v>
          </cell>
        </row>
        <row r="192">
          <cell r="A192" t="str">
            <v>CFRHS120x50x5</v>
          </cell>
          <cell r="B192" t="str">
            <v>a=1.0 x t</v>
          </cell>
          <cell r="C192">
            <v>5</v>
          </cell>
          <cell r="D192"/>
          <cell r="E192"/>
          <cell r="F192">
            <v>1</v>
          </cell>
          <cell r="G192">
            <v>1</v>
          </cell>
          <cell r="H192">
            <v>0.32300000000000001</v>
          </cell>
          <cell r="I192">
            <v>2.6694214876033059E-2</v>
          </cell>
          <cell r="J192">
            <v>12.1</v>
          </cell>
          <cell r="K192">
            <v>2</v>
          </cell>
          <cell r="L192">
            <v>5</v>
          </cell>
          <cell r="M192">
            <v>10</v>
          </cell>
          <cell r="N192">
            <v>20</v>
          </cell>
          <cell r="O192">
            <v>30</v>
          </cell>
          <cell r="P192">
            <v>60</v>
          </cell>
        </row>
        <row r="193">
          <cell r="A193" t="str">
            <v>CFRHS120x60x3</v>
          </cell>
          <cell r="B193" t="str">
            <v>a=1.0 x t</v>
          </cell>
          <cell r="C193">
            <v>3</v>
          </cell>
          <cell r="D193" t="str">
            <v>-</v>
          </cell>
          <cell r="E193"/>
          <cell r="F193">
            <v>1</v>
          </cell>
          <cell r="G193">
            <v>2</v>
          </cell>
          <cell r="H193">
            <v>0.35</v>
          </cell>
          <cell r="I193">
            <v>4.3749999999999997E-2</v>
          </cell>
          <cell r="J193">
            <v>8</v>
          </cell>
          <cell r="K193">
            <v>2</v>
          </cell>
          <cell r="L193">
            <v>5</v>
          </cell>
          <cell r="M193">
            <v>10</v>
          </cell>
          <cell r="N193">
            <v>20</v>
          </cell>
          <cell r="O193">
            <v>30</v>
          </cell>
          <cell r="P193">
            <v>60</v>
          </cell>
        </row>
        <row r="194">
          <cell r="A194" t="str">
            <v>CFRHS120x60x3.5</v>
          </cell>
          <cell r="B194" t="str">
            <v>a=1.0 x t</v>
          </cell>
          <cell r="C194">
            <v>3.5</v>
          </cell>
          <cell r="D194" t="str">
            <v>-</v>
          </cell>
          <cell r="E194"/>
          <cell r="F194">
            <v>1</v>
          </cell>
          <cell r="G194">
            <v>2</v>
          </cell>
          <cell r="H194">
            <v>0.34799999999999998</v>
          </cell>
          <cell r="I194">
            <v>3.7419354838709673E-2</v>
          </cell>
          <cell r="J194">
            <v>9.3000000000000007</v>
          </cell>
          <cell r="K194">
            <v>2</v>
          </cell>
          <cell r="L194">
            <v>5</v>
          </cell>
          <cell r="M194">
            <v>10</v>
          </cell>
          <cell r="N194">
            <v>20</v>
          </cell>
          <cell r="O194">
            <v>30</v>
          </cell>
          <cell r="P194">
            <v>60</v>
          </cell>
        </row>
        <row r="195">
          <cell r="A195" t="str">
            <v>CFRHS120x60x4</v>
          </cell>
          <cell r="B195" t="str">
            <v>a=1.0 x t</v>
          </cell>
          <cell r="C195">
            <v>4</v>
          </cell>
          <cell r="D195"/>
          <cell r="E195"/>
          <cell r="F195">
            <v>1</v>
          </cell>
          <cell r="G195">
            <v>2</v>
          </cell>
          <cell r="H195">
            <v>0.34599999999999997</v>
          </cell>
          <cell r="I195">
            <v>3.2952380952380948E-2</v>
          </cell>
          <cell r="J195">
            <v>10.5</v>
          </cell>
          <cell r="K195">
            <v>2</v>
          </cell>
          <cell r="L195">
            <v>5</v>
          </cell>
          <cell r="M195">
            <v>10</v>
          </cell>
          <cell r="N195">
            <v>20</v>
          </cell>
          <cell r="O195">
            <v>30</v>
          </cell>
          <cell r="P195">
            <v>60</v>
          </cell>
        </row>
        <row r="196">
          <cell r="A196" t="str">
            <v>CFRHS120x60x5</v>
          </cell>
          <cell r="B196" t="str">
            <v>a=1.0 x t</v>
          </cell>
          <cell r="C196">
            <v>5</v>
          </cell>
          <cell r="D196"/>
          <cell r="E196"/>
          <cell r="F196">
            <v>1</v>
          </cell>
          <cell r="G196">
            <v>2</v>
          </cell>
          <cell r="H196">
            <v>0.34300000000000003</v>
          </cell>
          <cell r="I196">
            <v>2.6796875000000001E-2</v>
          </cell>
          <cell r="J196">
            <v>12.8</v>
          </cell>
          <cell r="K196">
            <v>2</v>
          </cell>
          <cell r="L196">
            <v>5</v>
          </cell>
          <cell r="M196">
            <v>10</v>
          </cell>
          <cell r="N196">
            <v>20</v>
          </cell>
          <cell r="O196">
            <v>30</v>
          </cell>
          <cell r="P196">
            <v>60</v>
          </cell>
        </row>
        <row r="197">
          <cell r="A197" t="str">
            <v>CFRHS120x60x6</v>
          </cell>
          <cell r="B197" t="str">
            <v>a=1.0 x t</v>
          </cell>
          <cell r="C197">
            <v>6</v>
          </cell>
          <cell r="D197"/>
          <cell r="E197"/>
          <cell r="F197">
            <v>1</v>
          </cell>
          <cell r="G197">
            <v>2</v>
          </cell>
          <cell r="H197">
            <v>0.33900000000000002</v>
          </cell>
          <cell r="I197">
            <v>2.2450331125827817E-2</v>
          </cell>
          <cell r="J197">
            <v>15.1</v>
          </cell>
          <cell r="K197">
            <v>2</v>
          </cell>
          <cell r="L197">
            <v>5</v>
          </cell>
          <cell r="M197">
            <v>10</v>
          </cell>
          <cell r="N197">
            <v>20</v>
          </cell>
          <cell r="O197">
            <v>30</v>
          </cell>
          <cell r="P197">
            <v>60</v>
          </cell>
        </row>
        <row r="198">
          <cell r="A198" t="str">
            <v>CFRHS120x80x3</v>
          </cell>
          <cell r="B198" t="str">
            <v>a=1.0 x t</v>
          </cell>
          <cell r="C198">
            <v>3</v>
          </cell>
          <cell r="D198" t="str">
            <v>-</v>
          </cell>
          <cell r="E198"/>
          <cell r="F198">
            <v>1</v>
          </cell>
          <cell r="G198">
            <v>1</v>
          </cell>
          <cell r="H198">
            <v>0.39</v>
          </cell>
          <cell r="I198">
            <v>4.3333333333333335E-2</v>
          </cell>
          <cell r="J198">
            <v>9</v>
          </cell>
          <cell r="K198">
            <v>2</v>
          </cell>
          <cell r="L198">
            <v>5</v>
          </cell>
          <cell r="M198">
            <v>10</v>
          </cell>
          <cell r="N198">
            <v>20</v>
          </cell>
          <cell r="O198">
            <v>30</v>
          </cell>
          <cell r="P198">
            <v>60</v>
          </cell>
        </row>
        <row r="199">
          <cell r="A199" t="str">
            <v>CFRHS120x80x4</v>
          </cell>
          <cell r="B199" t="str">
            <v>a=1.0 x t</v>
          </cell>
          <cell r="C199">
            <v>4</v>
          </cell>
          <cell r="D199"/>
          <cell r="E199"/>
          <cell r="F199">
            <v>1</v>
          </cell>
          <cell r="G199">
            <v>1</v>
          </cell>
          <cell r="H199">
            <v>0.38600000000000001</v>
          </cell>
          <cell r="I199">
            <v>3.2991452991452994E-2</v>
          </cell>
          <cell r="J199">
            <v>11.7</v>
          </cell>
          <cell r="K199">
            <v>2</v>
          </cell>
          <cell r="L199">
            <v>5</v>
          </cell>
          <cell r="M199">
            <v>10</v>
          </cell>
          <cell r="N199">
            <v>20</v>
          </cell>
          <cell r="O199">
            <v>30</v>
          </cell>
          <cell r="P199">
            <v>60</v>
          </cell>
        </row>
        <row r="200">
          <cell r="A200" t="str">
            <v>CFRHS120x80x5</v>
          </cell>
          <cell r="B200" t="str">
            <v>a=1.0 x t</v>
          </cell>
          <cell r="C200">
            <v>5</v>
          </cell>
          <cell r="D200"/>
          <cell r="E200"/>
          <cell r="F200">
            <v>1</v>
          </cell>
          <cell r="G200">
            <v>1</v>
          </cell>
          <cell r="H200">
            <v>0.38300000000000001</v>
          </cell>
          <cell r="I200">
            <v>2.6597222222222223E-2</v>
          </cell>
          <cell r="J200">
            <v>14.4</v>
          </cell>
          <cell r="K200">
            <v>2</v>
          </cell>
          <cell r="L200">
            <v>5</v>
          </cell>
          <cell r="M200">
            <v>10</v>
          </cell>
          <cell r="N200">
            <v>20</v>
          </cell>
          <cell r="O200">
            <v>30</v>
          </cell>
          <cell r="P200">
            <v>60</v>
          </cell>
        </row>
        <row r="201">
          <cell r="A201" t="str">
            <v>CFRHS120x80x6</v>
          </cell>
          <cell r="B201" t="str">
            <v>a=1.0 x t</v>
          </cell>
          <cell r="C201">
            <v>6</v>
          </cell>
          <cell r="D201"/>
          <cell r="E201"/>
          <cell r="F201">
            <v>1</v>
          </cell>
          <cell r="G201">
            <v>2</v>
          </cell>
          <cell r="H201">
            <v>0.379</v>
          </cell>
          <cell r="I201">
            <v>2.2294117647058825E-2</v>
          </cell>
          <cell r="J201">
            <v>17</v>
          </cell>
          <cell r="K201">
            <v>2</v>
          </cell>
          <cell r="L201">
            <v>5</v>
          </cell>
          <cell r="M201">
            <v>10</v>
          </cell>
          <cell r="N201">
            <v>20</v>
          </cell>
          <cell r="O201">
            <v>30</v>
          </cell>
          <cell r="P201">
            <v>60</v>
          </cell>
        </row>
        <row r="202">
          <cell r="A202" t="str">
            <v>CFRHS120x80x8</v>
          </cell>
          <cell r="B202" t="str">
            <v>a=1.0 x t</v>
          </cell>
          <cell r="C202">
            <v>8</v>
          </cell>
          <cell r="D202"/>
          <cell r="E202"/>
          <cell r="F202">
            <v>2</v>
          </cell>
          <cell r="G202">
            <v>3</v>
          </cell>
          <cell r="H202">
            <v>0.36599999999999999</v>
          </cell>
          <cell r="I202">
            <v>1.7102803738317757E-2</v>
          </cell>
          <cell r="J202">
            <v>21.4</v>
          </cell>
          <cell r="K202">
            <v>5</v>
          </cell>
          <cell r="L202">
            <v>10</v>
          </cell>
          <cell r="M202">
            <v>20</v>
          </cell>
          <cell r="N202">
            <v>30</v>
          </cell>
          <cell r="O202">
            <v>60</v>
          </cell>
          <cell r="P202">
            <v>90</v>
          </cell>
        </row>
        <row r="203">
          <cell r="A203" t="str">
            <v>CFRHS120x100x4</v>
          </cell>
          <cell r="B203" t="str">
            <v>a=1.0 x t</v>
          </cell>
          <cell r="C203">
            <v>4</v>
          </cell>
          <cell r="D203"/>
          <cell r="E203"/>
          <cell r="F203">
            <v>1</v>
          </cell>
          <cell r="G203">
            <v>1</v>
          </cell>
          <cell r="H203">
            <v>0.42599999999999999</v>
          </cell>
          <cell r="I203">
            <v>3.2769230769230766E-2</v>
          </cell>
          <cell r="J203">
            <v>13</v>
          </cell>
          <cell r="K203">
            <v>2</v>
          </cell>
          <cell r="L203">
            <v>5</v>
          </cell>
          <cell r="M203">
            <v>10</v>
          </cell>
          <cell r="N203">
            <v>20</v>
          </cell>
          <cell r="O203">
            <v>30</v>
          </cell>
          <cell r="P203">
            <v>60</v>
          </cell>
        </row>
        <row r="204">
          <cell r="A204" t="str">
            <v>CFRHS120x100x5</v>
          </cell>
          <cell r="B204" t="str">
            <v>a=1.0 x t</v>
          </cell>
          <cell r="C204">
            <v>5</v>
          </cell>
          <cell r="D204"/>
          <cell r="E204"/>
          <cell r="F204">
            <v>1</v>
          </cell>
          <cell r="G204">
            <v>1</v>
          </cell>
          <cell r="H204">
            <v>0.42299999999999999</v>
          </cell>
          <cell r="I204">
            <v>2.6437499999999999E-2</v>
          </cell>
          <cell r="J204">
            <v>16</v>
          </cell>
          <cell r="K204">
            <v>2</v>
          </cell>
          <cell r="L204">
            <v>5</v>
          </cell>
          <cell r="M204">
            <v>10</v>
          </cell>
          <cell r="N204">
            <v>20</v>
          </cell>
          <cell r="O204">
            <v>30</v>
          </cell>
          <cell r="P204">
            <v>60</v>
          </cell>
        </row>
        <row r="205">
          <cell r="A205" t="str">
            <v>CFRHS120x100x6</v>
          </cell>
          <cell r="B205" t="str">
            <v>a=1.0 x t</v>
          </cell>
          <cell r="C205">
            <v>6</v>
          </cell>
          <cell r="D205"/>
          <cell r="E205"/>
          <cell r="F205">
            <v>1</v>
          </cell>
          <cell r="G205">
            <v>2</v>
          </cell>
          <cell r="H205">
            <v>0.41899999999999998</v>
          </cell>
          <cell r="I205">
            <v>2.2169312169312168E-2</v>
          </cell>
          <cell r="J205">
            <v>18.899999999999999</v>
          </cell>
          <cell r="K205">
            <v>2</v>
          </cell>
          <cell r="L205">
            <v>5</v>
          </cell>
          <cell r="M205">
            <v>10</v>
          </cell>
          <cell r="N205">
            <v>20</v>
          </cell>
          <cell r="O205">
            <v>30</v>
          </cell>
          <cell r="P205">
            <v>60</v>
          </cell>
        </row>
        <row r="206">
          <cell r="A206" t="str">
            <v>CFRHS140x80x3</v>
          </cell>
          <cell r="B206" t="str">
            <v>a=1.0 x t</v>
          </cell>
          <cell r="C206">
            <v>3</v>
          </cell>
          <cell r="D206" t="str">
            <v>-</v>
          </cell>
          <cell r="E206"/>
          <cell r="F206">
            <v>1</v>
          </cell>
          <cell r="G206">
            <v>1</v>
          </cell>
          <cell r="H206">
            <v>0.43</v>
          </cell>
          <cell r="I206">
            <v>4.343434343434343E-2</v>
          </cell>
          <cell r="J206">
            <v>9.9</v>
          </cell>
          <cell r="K206">
            <v>2</v>
          </cell>
          <cell r="L206">
            <v>5</v>
          </cell>
          <cell r="M206">
            <v>10</v>
          </cell>
          <cell r="N206">
            <v>20</v>
          </cell>
          <cell r="O206">
            <v>30</v>
          </cell>
          <cell r="P206">
            <v>60</v>
          </cell>
        </row>
        <row r="207">
          <cell r="A207" t="str">
            <v>CFRHS140x80x4</v>
          </cell>
          <cell r="B207" t="str">
            <v>a=1.0 x t</v>
          </cell>
          <cell r="C207">
            <v>4</v>
          </cell>
          <cell r="D207"/>
          <cell r="E207"/>
          <cell r="F207">
            <v>1</v>
          </cell>
          <cell r="G207">
            <v>1</v>
          </cell>
          <cell r="H207">
            <v>0.42599999999999999</v>
          </cell>
          <cell r="I207">
            <v>3.2769230769230766E-2</v>
          </cell>
          <cell r="J207">
            <v>13</v>
          </cell>
          <cell r="K207">
            <v>2</v>
          </cell>
          <cell r="L207">
            <v>5</v>
          </cell>
          <cell r="M207">
            <v>10</v>
          </cell>
          <cell r="N207">
            <v>20</v>
          </cell>
          <cell r="O207">
            <v>30</v>
          </cell>
          <cell r="P207">
            <v>60</v>
          </cell>
        </row>
        <row r="208">
          <cell r="A208" t="str">
            <v>CFRHS140x80x5</v>
          </cell>
          <cell r="B208" t="str">
            <v>a=1.0 x t</v>
          </cell>
          <cell r="C208">
            <v>5</v>
          </cell>
          <cell r="D208"/>
          <cell r="E208"/>
          <cell r="F208">
            <v>1</v>
          </cell>
          <cell r="G208">
            <v>1</v>
          </cell>
          <cell r="H208">
            <v>0.42299999999999999</v>
          </cell>
          <cell r="I208">
            <v>2.6437499999999999E-2</v>
          </cell>
          <cell r="J208">
            <v>16</v>
          </cell>
          <cell r="K208">
            <v>2</v>
          </cell>
          <cell r="L208">
            <v>5</v>
          </cell>
          <cell r="M208">
            <v>10</v>
          </cell>
          <cell r="N208">
            <v>20</v>
          </cell>
          <cell r="O208">
            <v>30</v>
          </cell>
          <cell r="P208">
            <v>60</v>
          </cell>
        </row>
        <row r="209">
          <cell r="A209" t="str">
            <v>CFRHS140x80x6</v>
          </cell>
          <cell r="B209" t="str">
            <v>a=1.0 x t</v>
          </cell>
          <cell r="C209">
            <v>6</v>
          </cell>
          <cell r="D209"/>
          <cell r="E209"/>
          <cell r="F209">
            <v>1</v>
          </cell>
          <cell r="G209">
            <v>2</v>
          </cell>
          <cell r="H209">
            <v>0.41899999999999998</v>
          </cell>
          <cell r="I209">
            <v>2.2169312169312168E-2</v>
          </cell>
          <cell r="J209">
            <v>18.899999999999999</v>
          </cell>
          <cell r="K209">
            <v>2</v>
          </cell>
          <cell r="L209">
            <v>5</v>
          </cell>
          <cell r="M209">
            <v>10</v>
          </cell>
          <cell r="N209">
            <v>20</v>
          </cell>
          <cell r="O209">
            <v>30</v>
          </cell>
          <cell r="P209">
            <v>60</v>
          </cell>
        </row>
        <row r="210">
          <cell r="A210" t="str">
            <v>CFRHS140x80x8</v>
          </cell>
          <cell r="B210" t="str">
            <v>a=1.0 x t</v>
          </cell>
          <cell r="C210">
            <v>8</v>
          </cell>
          <cell r="D210"/>
          <cell r="E210"/>
          <cell r="F210">
            <v>2</v>
          </cell>
          <cell r="G210">
            <v>3</v>
          </cell>
          <cell r="H210">
            <v>0.40600000000000003</v>
          </cell>
          <cell r="I210">
            <v>1.6987447698744773E-2</v>
          </cell>
          <cell r="J210">
            <v>23.9</v>
          </cell>
          <cell r="K210">
            <v>5</v>
          </cell>
          <cell r="L210">
            <v>10</v>
          </cell>
          <cell r="M210">
            <v>20</v>
          </cell>
          <cell r="N210">
            <v>30</v>
          </cell>
          <cell r="O210">
            <v>60</v>
          </cell>
          <cell r="P210">
            <v>90</v>
          </cell>
        </row>
        <row r="211">
          <cell r="A211" t="str">
            <v>CFRHS140x80x10</v>
          </cell>
          <cell r="B211" t="str">
            <v>a=1.0 x t</v>
          </cell>
          <cell r="C211">
            <v>10</v>
          </cell>
          <cell r="D211"/>
          <cell r="E211"/>
          <cell r="F211">
            <v>2</v>
          </cell>
          <cell r="G211">
            <v>6</v>
          </cell>
          <cell r="H211">
            <v>0.39700000000000002</v>
          </cell>
          <cell r="I211">
            <v>1.3832752613240419E-2</v>
          </cell>
          <cell r="J211">
            <v>28.7</v>
          </cell>
          <cell r="K211">
            <v>5</v>
          </cell>
          <cell r="L211">
            <v>10</v>
          </cell>
          <cell r="M211">
            <v>20</v>
          </cell>
          <cell r="N211">
            <v>30</v>
          </cell>
          <cell r="O211">
            <v>60</v>
          </cell>
          <cell r="P211">
            <v>90</v>
          </cell>
        </row>
        <row r="212">
          <cell r="A212" t="str">
            <v>CFRHS150x50x5</v>
          </cell>
          <cell r="B212" t="str">
            <v>a=1.0 x t</v>
          </cell>
          <cell r="C212">
            <v>5</v>
          </cell>
          <cell r="D212"/>
          <cell r="E212"/>
          <cell r="F212">
            <v>1</v>
          </cell>
          <cell r="G212">
            <v>1</v>
          </cell>
          <cell r="H212">
            <v>0.38300000000000001</v>
          </cell>
          <cell r="I212">
            <v>2.6597222222222223E-2</v>
          </cell>
          <cell r="J212">
            <v>14.4</v>
          </cell>
          <cell r="K212">
            <v>2</v>
          </cell>
          <cell r="L212">
            <v>5</v>
          </cell>
          <cell r="M212">
            <v>10</v>
          </cell>
          <cell r="N212">
            <v>20</v>
          </cell>
          <cell r="O212">
            <v>30</v>
          </cell>
          <cell r="P212">
            <v>60</v>
          </cell>
        </row>
        <row r="213">
          <cell r="A213" t="str">
            <v>CFRHS150x100x3</v>
          </cell>
          <cell r="B213" t="str">
            <v>a=1.0 x t</v>
          </cell>
          <cell r="C213">
            <v>3</v>
          </cell>
          <cell r="D213" t="str">
            <v>-</v>
          </cell>
          <cell r="E213"/>
          <cell r="F213">
            <v>1</v>
          </cell>
          <cell r="G213">
            <v>1</v>
          </cell>
          <cell r="H213">
            <v>0.49</v>
          </cell>
          <cell r="I213">
            <v>4.3362831858407079E-2</v>
          </cell>
          <cell r="J213">
            <v>11.3</v>
          </cell>
          <cell r="K213">
            <v>2</v>
          </cell>
          <cell r="L213">
            <v>5</v>
          </cell>
          <cell r="M213">
            <v>10</v>
          </cell>
          <cell r="N213">
            <v>20</v>
          </cell>
          <cell r="O213">
            <v>30</v>
          </cell>
          <cell r="P213">
            <v>60</v>
          </cell>
        </row>
        <row r="214">
          <cell r="A214" t="str">
            <v>CFRHS150x100x4</v>
          </cell>
          <cell r="B214" t="str">
            <v>a=1.0 x t</v>
          </cell>
          <cell r="C214">
            <v>4</v>
          </cell>
          <cell r="D214"/>
          <cell r="E214"/>
          <cell r="F214">
            <v>1</v>
          </cell>
          <cell r="G214">
            <v>1</v>
          </cell>
          <cell r="H214">
            <v>0.48599999999999999</v>
          </cell>
          <cell r="I214">
            <v>3.2617449664429532E-2</v>
          </cell>
          <cell r="J214">
            <v>14.9</v>
          </cell>
          <cell r="K214">
            <v>2</v>
          </cell>
          <cell r="L214">
            <v>5</v>
          </cell>
          <cell r="M214">
            <v>10</v>
          </cell>
          <cell r="N214">
            <v>20</v>
          </cell>
          <cell r="O214">
            <v>30</v>
          </cell>
          <cell r="P214">
            <v>60</v>
          </cell>
        </row>
        <row r="215">
          <cell r="A215" t="str">
            <v>CFRHS150x100x5</v>
          </cell>
          <cell r="B215" t="str">
            <v>a=1.0 x t</v>
          </cell>
          <cell r="C215">
            <v>5</v>
          </cell>
          <cell r="D215"/>
          <cell r="E215"/>
          <cell r="F215">
            <v>1</v>
          </cell>
          <cell r="G215">
            <v>1</v>
          </cell>
          <cell r="H215">
            <v>0.48299999999999998</v>
          </cell>
          <cell r="I215">
            <v>2.6393442622950819E-2</v>
          </cell>
          <cell r="J215">
            <v>18.3</v>
          </cell>
          <cell r="K215">
            <v>2</v>
          </cell>
          <cell r="L215">
            <v>5</v>
          </cell>
          <cell r="M215">
            <v>10</v>
          </cell>
          <cell r="N215">
            <v>20</v>
          </cell>
          <cell r="O215">
            <v>30</v>
          </cell>
          <cell r="P215">
            <v>60</v>
          </cell>
        </row>
        <row r="216">
          <cell r="A216" t="str">
            <v>CFRHS150x100x6</v>
          </cell>
          <cell r="B216" t="str">
            <v>a=1.0 x t</v>
          </cell>
          <cell r="C216">
            <v>6</v>
          </cell>
          <cell r="D216"/>
          <cell r="E216"/>
          <cell r="F216">
            <v>2</v>
          </cell>
          <cell r="G216">
            <v>2</v>
          </cell>
          <cell r="H216">
            <v>0.47899999999999998</v>
          </cell>
          <cell r="I216">
            <v>2.2073732718894009E-2</v>
          </cell>
          <cell r="J216">
            <v>21.7</v>
          </cell>
          <cell r="K216">
            <v>5</v>
          </cell>
          <cell r="L216">
            <v>10</v>
          </cell>
          <cell r="M216">
            <v>20</v>
          </cell>
          <cell r="N216">
            <v>30</v>
          </cell>
          <cell r="O216">
            <v>60</v>
          </cell>
          <cell r="P216">
            <v>90</v>
          </cell>
        </row>
        <row r="217">
          <cell r="A217" t="str">
            <v>CFRHS150x100x8</v>
          </cell>
          <cell r="B217" t="str">
            <v>a=1.0 x t</v>
          </cell>
          <cell r="C217">
            <v>8</v>
          </cell>
          <cell r="D217"/>
          <cell r="E217"/>
          <cell r="F217">
            <v>2</v>
          </cell>
          <cell r="G217">
            <v>3</v>
          </cell>
          <cell r="H217">
            <v>0.46600000000000003</v>
          </cell>
          <cell r="I217">
            <v>1.6823104693140797E-2</v>
          </cell>
          <cell r="J217">
            <v>27.7</v>
          </cell>
          <cell r="K217">
            <v>5</v>
          </cell>
          <cell r="L217">
            <v>10</v>
          </cell>
          <cell r="M217">
            <v>20</v>
          </cell>
          <cell r="N217">
            <v>30</v>
          </cell>
          <cell r="O217">
            <v>60</v>
          </cell>
          <cell r="P217">
            <v>90</v>
          </cell>
        </row>
        <row r="218">
          <cell r="A218" t="str">
            <v>CFRHS150x100x10</v>
          </cell>
          <cell r="B218" t="str">
            <v>a=1.0 x t</v>
          </cell>
          <cell r="C218">
            <v>10</v>
          </cell>
          <cell r="D218"/>
          <cell r="E218"/>
          <cell r="F218">
            <v>2</v>
          </cell>
          <cell r="G218">
            <v>6</v>
          </cell>
          <cell r="H218">
            <v>0.45700000000000002</v>
          </cell>
          <cell r="I218">
            <v>1.3682634730538924E-2</v>
          </cell>
          <cell r="J218">
            <v>33.4</v>
          </cell>
          <cell r="K218">
            <v>5</v>
          </cell>
          <cell r="L218">
            <v>10</v>
          </cell>
          <cell r="M218">
            <v>20</v>
          </cell>
          <cell r="N218">
            <v>30</v>
          </cell>
          <cell r="O218">
            <v>60</v>
          </cell>
          <cell r="P218">
            <v>90</v>
          </cell>
        </row>
        <row r="219">
          <cell r="A219" t="str">
            <v>CFRHS160x80x3</v>
          </cell>
          <cell r="B219" t="str">
            <v>a=1.0 x t</v>
          </cell>
          <cell r="C219">
            <v>3</v>
          </cell>
          <cell r="D219" t="str">
            <v>-</v>
          </cell>
          <cell r="E219"/>
          <cell r="F219">
            <v>1</v>
          </cell>
          <cell r="G219">
            <v>1</v>
          </cell>
          <cell r="H219">
            <v>0.47</v>
          </cell>
          <cell r="I219">
            <v>4.3518518518518512E-2</v>
          </cell>
          <cell r="J219">
            <v>10.8</v>
          </cell>
          <cell r="K219">
            <v>2</v>
          </cell>
          <cell r="L219">
            <v>5</v>
          </cell>
          <cell r="M219">
            <v>10</v>
          </cell>
          <cell r="N219">
            <v>20</v>
          </cell>
          <cell r="O219">
            <v>30</v>
          </cell>
          <cell r="P219">
            <v>60</v>
          </cell>
        </row>
        <row r="220">
          <cell r="A220" t="str">
            <v>CFRHS160x80x4</v>
          </cell>
          <cell r="B220" t="str">
            <v>a=1.0 x t</v>
          </cell>
          <cell r="C220">
            <v>4</v>
          </cell>
          <cell r="D220"/>
          <cell r="E220"/>
          <cell r="F220">
            <v>1</v>
          </cell>
          <cell r="G220">
            <v>1</v>
          </cell>
          <cell r="H220">
            <v>0.46600000000000003</v>
          </cell>
          <cell r="I220">
            <v>3.2816901408450706E-2</v>
          </cell>
          <cell r="J220">
            <v>14.2</v>
          </cell>
          <cell r="K220">
            <v>2</v>
          </cell>
          <cell r="L220">
            <v>5</v>
          </cell>
          <cell r="M220">
            <v>10</v>
          </cell>
          <cell r="N220">
            <v>20</v>
          </cell>
          <cell r="O220">
            <v>30</v>
          </cell>
          <cell r="P220">
            <v>60</v>
          </cell>
        </row>
        <row r="221">
          <cell r="A221" t="str">
            <v>CFRHS160x80x5</v>
          </cell>
          <cell r="B221" t="str">
            <v>a=1.0 x t</v>
          </cell>
          <cell r="C221">
            <v>5</v>
          </cell>
          <cell r="D221"/>
          <cell r="E221"/>
          <cell r="F221">
            <v>1</v>
          </cell>
          <cell r="G221">
            <v>2</v>
          </cell>
          <cell r="H221">
            <v>0.46300000000000002</v>
          </cell>
          <cell r="I221">
            <v>2.6306818181818181E-2</v>
          </cell>
          <cell r="J221">
            <v>17.600000000000001</v>
          </cell>
          <cell r="K221">
            <v>2</v>
          </cell>
          <cell r="L221">
            <v>5</v>
          </cell>
          <cell r="M221">
            <v>10</v>
          </cell>
          <cell r="N221">
            <v>20</v>
          </cell>
          <cell r="O221">
            <v>30</v>
          </cell>
          <cell r="P221">
            <v>60</v>
          </cell>
        </row>
        <row r="222">
          <cell r="A222" t="str">
            <v>CFRHS160x80x6</v>
          </cell>
          <cell r="B222" t="str">
            <v>a=1.0 x t</v>
          </cell>
          <cell r="C222">
            <v>6</v>
          </cell>
          <cell r="D222"/>
          <cell r="E222"/>
          <cell r="F222">
            <v>2</v>
          </cell>
          <cell r="G222">
            <v>2</v>
          </cell>
          <cell r="H222">
            <v>0.45900000000000002</v>
          </cell>
          <cell r="I222">
            <v>2.2173913043478263E-2</v>
          </cell>
          <cell r="J222">
            <v>20.7</v>
          </cell>
          <cell r="K222">
            <v>5</v>
          </cell>
          <cell r="L222">
            <v>10</v>
          </cell>
          <cell r="M222">
            <v>20</v>
          </cell>
          <cell r="N222">
            <v>30</v>
          </cell>
          <cell r="O222">
            <v>60</v>
          </cell>
          <cell r="P222">
            <v>90</v>
          </cell>
        </row>
        <row r="223">
          <cell r="A223" t="str">
            <v>CFRHS160x80x8</v>
          </cell>
          <cell r="B223" t="str">
            <v>a=1.0 x t</v>
          </cell>
          <cell r="C223">
            <v>8</v>
          </cell>
          <cell r="D223"/>
          <cell r="E223"/>
          <cell r="F223">
            <v>2</v>
          </cell>
          <cell r="G223">
            <v>3</v>
          </cell>
          <cell r="H223">
            <v>0.44600000000000001</v>
          </cell>
          <cell r="I223">
            <v>1.6893939393939395E-2</v>
          </cell>
          <cell r="J223">
            <v>26.4</v>
          </cell>
          <cell r="K223">
            <v>5</v>
          </cell>
          <cell r="L223">
            <v>10</v>
          </cell>
          <cell r="M223">
            <v>20</v>
          </cell>
          <cell r="N223">
            <v>30</v>
          </cell>
          <cell r="O223">
            <v>60</v>
          </cell>
          <cell r="P223">
            <v>90</v>
          </cell>
        </row>
        <row r="224">
          <cell r="A224" t="str">
            <v>CFRHS160x80x10</v>
          </cell>
          <cell r="B224" t="str">
            <v>a=1.0 x t</v>
          </cell>
          <cell r="C224">
            <v>10</v>
          </cell>
          <cell r="D224"/>
          <cell r="E224"/>
          <cell r="F224">
            <v>2</v>
          </cell>
          <cell r="G224">
            <v>6</v>
          </cell>
          <cell r="H224">
            <v>0.437</v>
          </cell>
          <cell r="I224">
            <v>1.3742138364779874E-2</v>
          </cell>
          <cell r="J224">
            <v>31.8</v>
          </cell>
          <cell r="K224">
            <v>5</v>
          </cell>
          <cell r="L224">
            <v>10</v>
          </cell>
          <cell r="M224">
            <v>20</v>
          </cell>
          <cell r="N224">
            <v>30</v>
          </cell>
          <cell r="O224">
            <v>60</v>
          </cell>
          <cell r="P224">
            <v>90</v>
          </cell>
        </row>
        <row r="225">
          <cell r="A225" t="str">
            <v>CFRHS180x80x3</v>
          </cell>
          <cell r="B225" t="str">
            <v>a=1.0 x t</v>
          </cell>
          <cell r="C225">
            <v>3</v>
          </cell>
          <cell r="D225" t="str">
            <v>-</v>
          </cell>
          <cell r="E225"/>
          <cell r="F225">
            <v>1</v>
          </cell>
          <cell r="G225">
            <v>1</v>
          </cell>
          <cell r="H225">
            <v>0.52</v>
          </cell>
          <cell r="I225">
            <v>4.4067796610169491E-2</v>
          </cell>
          <cell r="J225">
            <v>11.8</v>
          </cell>
          <cell r="K225">
            <v>2</v>
          </cell>
          <cell r="L225">
            <v>5</v>
          </cell>
          <cell r="M225">
            <v>10</v>
          </cell>
          <cell r="N225">
            <v>20</v>
          </cell>
          <cell r="O225">
            <v>30</v>
          </cell>
          <cell r="P225">
            <v>60</v>
          </cell>
        </row>
        <row r="226">
          <cell r="A226" t="str">
            <v>CFRHS180x80x4</v>
          </cell>
          <cell r="B226" t="str">
            <v>a=1.0 x t</v>
          </cell>
          <cell r="C226">
            <v>4</v>
          </cell>
          <cell r="D226"/>
          <cell r="E226"/>
          <cell r="F226">
            <v>1</v>
          </cell>
          <cell r="G226">
            <v>1</v>
          </cell>
          <cell r="H226">
            <v>0.50600000000000001</v>
          </cell>
          <cell r="I226">
            <v>3.2645161290322584E-2</v>
          </cell>
          <cell r="J226">
            <v>15.5</v>
          </cell>
          <cell r="K226">
            <v>2</v>
          </cell>
          <cell r="L226">
            <v>5</v>
          </cell>
          <cell r="M226">
            <v>10</v>
          </cell>
          <cell r="N226">
            <v>20</v>
          </cell>
          <cell r="O226">
            <v>30</v>
          </cell>
          <cell r="P226">
            <v>60</v>
          </cell>
        </row>
        <row r="227">
          <cell r="A227" t="str">
            <v>CFRHS180x80x5</v>
          </cell>
          <cell r="B227" t="str">
            <v>a=1.0 x t</v>
          </cell>
          <cell r="C227">
            <v>5</v>
          </cell>
          <cell r="D227"/>
          <cell r="E227"/>
          <cell r="F227">
            <v>1</v>
          </cell>
          <cell r="G227">
            <v>2</v>
          </cell>
          <cell r="H227">
            <v>0.503</v>
          </cell>
          <cell r="I227">
            <v>2.6335078534031411E-2</v>
          </cell>
          <cell r="J227">
            <v>19.100000000000001</v>
          </cell>
          <cell r="K227">
            <v>2</v>
          </cell>
          <cell r="L227">
            <v>5</v>
          </cell>
          <cell r="M227">
            <v>10</v>
          </cell>
          <cell r="N227">
            <v>20</v>
          </cell>
          <cell r="O227">
            <v>30</v>
          </cell>
          <cell r="P227">
            <v>60</v>
          </cell>
        </row>
        <row r="228">
          <cell r="A228" t="str">
            <v>CFRHS180x80x6</v>
          </cell>
          <cell r="B228" t="str">
            <v>a=1.0 x t</v>
          </cell>
          <cell r="C228">
            <v>6</v>
          </cell>
          <cell r="D228"/>
          <cell r="E228"/>
          <cell r="F228">
            <v>2</v>
          </cell>
          <cell r="G228">
            <v>2</v>
          </cell>
          <cell r="H228">
            <v>0.499</v>
          </cell>
          <cell r="I228">
            <v>2.2079646017699114E-2</v>
          </cell>
          <cell r="J228">
            <v>22.6</v>
          </cell>
          <cell r="K228">
            <v>5</v>
          </cell>
          <cell r="L228">
            <v>10</v>
          </cell>
          <cell r="M228">
            <v>20</v>
          </cell>
          <cell r="N228">
            <v>30</v>
          </cell>
          <cell r="O228">
            <v>60</v>
          </cell>
          <cell r="P228">
            <v>90</v>
          </cell>
        </row>
        <row r="229">
          <cell r="A229" t="str">
            <v>CFRHS180x80x8</v>
          </cell>
          <cell r="B229" t="str">
            <v>a=1.0 x t</v>
          </cell>
          <cell r="C229">
            <v>8</v>
          </cell>
          <cell r="D229"/>
          <cell r="E229"/>
          <cell r="F229">
            <v>2</v>
          </cell>
          <cell r="G229">
            <v>3</v>
          </cell>
          <cell r="H229">
            <v>0.48599999999999999</v>
          </cell>
          <cell r="I229">
            <v>1.6816608996539792E-2</v>
          </cell>
          <cell r="J229">
            <v>28.9</v>
          </cell>
          <cell r="K229">
            <v>5</v>
          </cell>
          <cell r="L229">
            <v>10</v>
          </cell>
          <cell r="M229">
            <v>20</v>
          </cell>
          <cell r="N229">
            <v>30</v>
          </cell>
          <cell r="O229">
            <v>60</v>
          </cell>
          <cell r="P229">
            <v>90</v>
          </cell>
        </row>
        <row r="230">
          <cell r="A230" t="str">
            <v>CFRHS180x80x10</v>
          </cell>
          <cell r="B230" t="str">
            <v>a=1.0 x t</v>
          </cell>
          <cell r="C230">
            <v>10</v>
          </cell>
          <cell r="D230"/>
          <cell r="E230"/>
          <cell r="F230">
            <v>2</v>
          </cell>
          <cell r="G230">
            <v>6</v>
          </cell>
          <cell r="H230">
            <v>0.47699999999999998</v>
          </cell>
          <cell r="I230">
            <v>1.3628571428571427E-2</v>
          </cell>
          <cell r="J230">
            <v>35</v>
          </cell>
          <cell r="K230">
            <v>5</v>
          </cell>
          <cell r="L230">
            <v>10</v>
          </cell>
          <cell r="M230">
            <v>20</v>
          </cell>
          <cell r="N230">
            <v>30</v>
          </cell>
          <cell r="O230">
            <v>60</v>
          </cell>
          <cell r="P230">
            <v>90</v>
          </cell>
        </row>
        <row r="231">
          <cell r="A231" t="str">
            <v>CFRHS180x100x4</v>
          </cell>
          <cell r="B231" t="str">
            <v>a=1.0 x t</v>
          </cell>
          <cell r="C231">
            <v>4</v>
          </cell>
          <cell r="D231"/>
          <cell r="E231"/>
          <cell r="F231">
            <v>1</v>
          </cell>
          <cell r="G231">
            <v>1</v>
          </cell>
          <cell r="H231">
            <v>0.54600000000000004</v>
          </cell>
          <cell r="I231">
            <v>3.2500000000000001E-2</v>
          </cell>
          <cell r="J231">
            <v>16.8</v>
          </cell>
          <cell r="K231">
            <v>2</v>
          </cell>
          <cell r="L231">
            <v>5</v>
          </cell>
          <cell r="M231">
            <v>10</v>
          </cell>
          <cell r="N231">
            <v>20</v>
          </cell>
          <cell r="O231">
            <v>30</v>
          </cell>
          <cell r="P231">
            <v>60</v>
          </cell>
        </row>
        <row r="232">
          <cell r="A232" t="str">
            <v>CFRHS180x100x5</v>
          </cell>
          <cell r="B232" t="str">
            <v>a=1.0 x t</v>
          </cell>
          <cell r="C232">
            <v>5</v>
          </cell>
          <cell r="D232"/>
          <cell r="E232"/>
          <cell r="F232">
            <v>2</v>
          </cell>
          <cell r="G232">
            <v>2</v>
          </cell>
          <cell r="H232">
            <v>0.54300000000000004</v>
          </cell>
          <cell r="I232">
            <v>2.6231884057971017E-2</v>
          </cell>
          <cell r="J232">
            <v>20.7</v>
          </cell>
          <cell r="K232">
            <v>5</v>
          </cell>
          <cell r="L232">
            <v>10</v>
          </cell>
          <cell r="M232">
            <v>20</v>
          </cell>
          <cell r="N232">
            <v>30</v>
          </cell>
          <cell r="O232">
            <v>60</v>
          </cell>
          <cell r="P232">
            <v>90</v>
          </cell>
        </row>
        <row r="233">
          <cell r="A233" t="str">
            <v>CFRHS180x100x6</v>
          </cell>
          <cell r="B233" t="str">
            <v>a=1.0 x t</v>
          </cell>
          <cell r="C233">
            <v>6</v>
          </cell>
          <cell r="D233"/>
          <cell r="E233"/>
          <cell r="F233">
            <v>2</v>
          </cell>
          <cell r="G233">
            <v>2</v>
          </cell>
          <cell r="H233">
            <v>0.53900000000000003</v>
          </cell>
          <cell r="I233">
            <v>2.2000000000000002E-2</v>
          </cell>
          <cell r="J233">
            <v>24.5</v>
          </cell>
          <cell r="K233">
            <v>5</v>
          </cell>
          <cell r="L233">
            <v>10</v>
          </cell>
          <cell r="M233">
            <v>20</v>
          </cell>
          <cell r="N233">
            <v>30</v>
          </cell>
          <cell r="O233">
            <v>60</v>
          </cell>
          <cell r="P233">
            <v>90</v>
          </cell>
        </row>
        <row r="234">
          <cell r="A234" t="str">
            <v>CFRHS180x100x8</v>
          </cell>
          <cell r="B234" t="str">
            <v>a=1.0 x t</v>
          </cell>
          <cell r="C234">
            <v>8</v>
          </cell>
          <cell r="D234"/>
          <cell r="E234"/>
          <cell r="F234">
            <v>2</v>
          </cell>
          <cell r="G234">
            <v>3</v>
          </cell>
          <cell r="H234">
            <v>0.52600000000000002</v>
          </cell>
          <cell r="I234">
            <v>1.6751592356687901E-2</v>
          </cell>
          <cell r="J234">
            <v>31.4</v>
          </cell>
          <cell r="K234">
            <v>5</v>
          </cell>
          <cell r="L234">
            <v>10</v>
          </cell>
          <cell r="M234">
            <v>20</v>
          </cell>
          <cell r="N234">
            <v>30</v>
          </cell>
          <cell r="O234">
            <v>60</v>
          </cell>
          <cell r="P234">
            <v>90</v>
          </cell>
        </row>
        <row r="235">
          <cell r="A235" t="str">
            <v>CFRHS180x100x10</v>
          </cell>
          <cell r="B235" t="str">
            <v>a=1.0 x t</v>
          </cell>
          <cell r="C235">
            <v>10</v>
          </cell>
          <cell r="D235"/>
          <cell r="E235"/>
          <cell r="F235">
            <v>2</v>
          </cell>
          <cell r="G235">
            <v>6</v>
          </cell>
          <cell r="H235">
            <v>0.51700000000000002</v>
          </cell>
          <cell r="I235">
            <v>1.3569553805774279E-2</v>
          </cell>
          <cell r="J235">
            <v>38.1</v>
          </cell>
          <cell r="K235">
            <v>5</v>
          </cell>
          <cell r="L235">
            <v>10</v>
          </cell>
          <cell r="M235">
            <v>20</v>
          </cell>
          <cell r="N235">
            <v>30</v>
          </cell>
          <cell r="O235">
            <v>60</v>
          </cell>
          <cell r="P235">
            <v>90</v>
          </cell>
        </row>
        <row r="236">
          <cell r="A236" t="str">
            <v>CFRHS180x120x5</v>
          </cell>
          <cell r="B236" t="str">
            <v>a=1.0 x t</v>
          </cell>
          <cell r="C236">
            <v>5</v>
          </cell>
          <cell r="D236"/>
          <cell r="E236" t="str">
            <v>Jah</v>
          </cell>
          <cell r="F236">
            <v>2</v>
          </cell>
          <cell r="G236">
            <v>2</v>
          </cell>
          <cell r="H236">
            <v>0.58299999999999996</v>
          </cell>
          <cell r="I236">
            <v>2.6143497757847529E-2</v>
          </cell>
          <cell r="J236">
            <v>22.3</v>
          </cell>
          <cell r="K236">
            <v>5</v>
          </cell>
          <cell r="L236">
            <v>10</v>
          </cell>
          <cell r="M236">
            <v>20</v>
          </cell>
          <cell r="N236">
            <v>30</v>
          </cell>
          <cell r="O236">
            <v>60</v>
          </cell>
          <cell r="P236">
            <v>90</v>
          </cell>
        </row>
        <row r="237">
          <cell r="A237" t="str">
            <v>CFRHS180x120x6</v>
          </cell>
          <cell r="B237" t="str">
            <v>a=1.0 x t</v>
          </cell>
          <cell r="C237">
            <v>6</v>
          </cell>
          <cell r="D237"/>
          <cell r="E237" t="str">
            <v>Jah</v>
          </cell>
          <cell r="F237">
            <v>2</v>
          </cell>
          <cell r="G237">
            <v>2</v>
          </cell>
          <cell r="H237">
            <v>0.57899999999999996</v>
          </cell>
          <cell r="I237">
            <v>2.1931818181818181E-2</v>
          </cell>
          <cell r="J237">
            <v>26.4</v>
          </cell>
          <cell r="K237">
            <v>5</v>
          </cell>
          <cell r="L237">
            <v>10</v>
          </cell>
          <cell r="M237">
            <v>20</v>
          </cell>
          <cell r="N237">
            <v>30</v>
          </cell>
          <cell r="O237">
            <v>60</v>
          </cell>
          <cell r="P237">
            <v>90</v>
          </cell>
        </row>
        <row r="238">
          <cell r="A238" t="str">
            <v>CFRHS200x80x6</v>
          </cell>
          <cell r="B238" t="str">
            <v>a=1.0 x t</v>
          </cell>
          <cell r="C238">
            <v>6</v>
          </cell>
          <cell r="D238"/>
          <cell r="E238"/>
          <cell r="F238">
            <v>2</v>
          </cell>
          <cell r="G238">
            <v>1</v>
          </cell>
          <cell r="H238">
            <v>0.53900000000000003</v>
          </cell>
          <cell r="I238">
            <v>2.2000000000000002E-2</v>
          </cell>
          <cell r="J238">
            <v>24.5</v>
          </cell>
          <cell r="K238">
            <v>5</v>
          </cell>
          <cell r="L238">
            <v>10</v>
          </cell>
          <cell r="M238">
            <v>20</v>
          </cell>
          <cell r="N238">
            <v>30</v>
          </cell>
          <cell r="O238">
            <v>60</v>
          </cell>
          <cell r="P238">
            <v>90</v>
          </cell>
        </row>
        <row r="239">
          <cell r="A239" t="str">
            <v>CFRHS200x80x8</v>
          </cell>
          <cell r="B239" t="str">
            <v>a=1.0 x t</v>
          </cell>
          <cell r="C239">
            <v>8</v>
          </cell>
          <cell r="D239"/>
          <cell r="E239"/>
          <cell r="F239">
            <v>2</v>
          </cell>
          <cell r="G239">
            <v>1</v>
          </cell>
          <cell r="H239">
            <v>0.52600000000000002</v>
          </cell>
          <cell r="I239">
            <v>1.6751592356687901E-2</v>
          </cell>
          <cell r="J239">
            <v>31.4</v>
          </cell>
          <cell r="K239">
            <v>5</v>
          </cell>
          <cell r="L239">
            <v>10</v>
          </cell>
          <cell r="M239">
            <v>20</v>
          </cell>
          <cell r="N239">
            <v>30</v>
          </cell>
          <cell r="O239">
            <v>60</v>
          </cell>
          <cell r="P239">
            <v>90</v>
          </cell>
        </row>
        <row r="240">
          <cell r="A240" t="str">
            <v>CFRHS200x80x10</v>
          </cell>
          <cell r="B240" t="str">
            <v>a=1.0 x t</v>
          </cell>
          <cell r="C240">
            <v>10</v>
          </cell>
          <cell r="D240"/>
          <cell r="E240"/>
          <cell r="F240">
            <v>2</v>
          </cell>
          <cell r="G240">
            <v>6</v>
          </cell>
          <cell r="H240">
            <v>0.51700000000000002</v>
          </cell>
          <cell r="I240">
            <v>1.3569553805774279E-2</v>
          </cell>
          <cell r="J240">
            <v>38.1</v>
          </cell>
          <cell r="K240">
            <v>5</v>
          </cell>
          <cell r="L240">
            <v>10</v>
          </cell>
          <cell r="M240">
            <v>20</v>
          </cell>
          <cell r="N240">
            <v>30</v>
          </cell>
          <cell r="O240">
            <v>60</v>
          </cell>
          <cell r="P240">
            <v>90</v>
          </cell>
        </row>
        <row r="241">
          <cell r="A241" t="str">
            <v>CFRHS200x100x4</v>
          </cell>
          <cell r="B241" t="str">
            <v>a=1.0 x t</v>
          </cell>
          <cell r="C241">
            <v>4</v>
          </cell>
          <cell r="D241"/>
          <cell r="E241"/>
          <cell r="F241">
            <v>1</v>
          </cell>
          <cell r="G241">
            <v>1</v>
          </cell>
          <cell r="H241">
            <v>0.58599999999999997</v>
          </cell>
          <cell r="I241">
            <v>3.2555555555555553E-2</v>
          </cell>
          <cell r="J241">
            <v>18</v>
          </cell>
          <cell r="K241">
            <v>2</v>
          </cell>
          <cell r="L241">
            <v>5</v>
          </cell>
          <cell r="M241">
            <v>10</v>
          </cell>
          <cell r="N241">
            <v>20</v>
          </cell>
          <cell r="O241">
            <v>30</v>
          </cell>
          <cell r="P241">
            <v>60</v>
          </cell>
        </row>
        <row r="242">
          <cell r="A242" t="str">
            <v>CFRHS200x100x5</v>
          </cell>
          <cell r="B242" t="str">
            <v>a=1.0 x t</v>
          </cell>
          <cell r="C242">
            <v>5</v>
          </cell>
          <cell r="D242"/>
          <cell r="E242"/>
          <cell r="F242">
            <v>2</v>
          </cell>
          <cell r="G242">
            <v>2</v>
          </cell>
          <cell r="H242">
            <v>0.58299999999999996</v>
          </cell>
          <cell r="I242">
            <v>2.6143497757847529E-2</v>
          </cell>
          <cell r="J242">
            <v>22.3</v>
          </cell>
          <cell r="K242">
            <v>5</v>
          </cell>
          <cell r="L242">
            <v>10</v>
          </cell>
          <cell r="M242">
            <v>20</v>
          </cell>
          <cell r="N242">
            <v>30</v>
          </cell>
          <cell r="O242">
            <v>60</v>
          </cell>
          <cell r="P242">
            <v>90</v>
          </cell>
        </row>
        <row r="243">
          <cell r="A243" t="str">
            <v>CFRHS200x100x6</v>
          </cell>
          <cell r="B243" t="str">
            <v>a=1.0 x t</v>
          </cell>
          <cell r="C243">
            <v>6</v>
          </cell>
          <cell r="D243"/>
          <cell r="E243"/>
          <cell r="F243">
            <v>2</v>
          </cell>
          <cell r="G243">
            <v>2</v>
          </cell>
          <cell r="H243">
            <v>0.57899999999999996</v>
          </cell>
          <cell r="I243">
            <v>2.1931818181818181E-2</v>
          </cell>
          <cell r="J243">
            <v>26.4</v>
          </cell>
          <cell r="K243">
            <v>5</v>
          </cell>
          <cell r="L243">
            <v>10</v>
          </cell>
          <cell r="M243">
            <v>20</v>
          </cell>
          <cell r="N243">
            <v>30</v>
          </cell>
          <cell r="O243">
            <v>60</v>
          </cell>
          <cell r="P243">
            <v>90</v>
          </cell>
        </row>
        <row r="244">
          <cell r="A244" t="str">
            <v>CFRHS200x100x8</v>
          </cell>
          <cell r="B244" t="str">
            <v>a=1.0 x t</v>
          </cell>
          <cell r="C244">
            <v>8</v>
          </cell>
          <cell r="D244"/>
          <cell r="E244"/>
          <cell r="F244">
            <v>2</v>
          </cell>
          <cell r="G244">
            <v>3</v>
          </cell>
          <cell r="H244">
            <v>0.56599999999999995</v>
          </cell>
          <cell r="I244">
            <v>1.6696165191740411E-2</v>
          </cell>
          <cell r="J244">
            <v>33.9</v>
          </cell>
          <cell r="K244">
            <v>5</v>
          </cell>
          <cell r="L244">
            <v>10</v>
          </cell>
          <cell r="M244">
            <v>20</v>
          </cell>
          <cell r="N244">
            <v>30</v>
          </cell>
          <cell r="O244">
            <v>60</v>
          </cell>
          <cell r="P244">
            <v>90</v>
          </cell>
        </row>
        <row r="245">
          <cell r="A245" t="str">
            <v>CFRHS200x100x10</v>
          </cell>
          <cell r="B245" t="str">
            <v>a=1.0 x t</v>
          </cell>
          <cell r="C245">
            <v>10</v>
          </cell>
          <cell r="D245"/>
          <cell r="E245"/>
          <cell r="F245">
            <v>2</v>
          </cell>
          <cell r="G245">
            <v>6</v>
          </cell>
          <cell r="H245">
            <v>0.55700000000000005</v>
          </cell>
          <cell r="I245">
            <v>1.348668280871671E-2</v>
          </cell>
          <cell r="J245">
            <v>41.3</v>
          </cell>
          <cell r="K245">
            <v>5</v>
          </cell>
          <cell r="L245">
            <v>10</v>
          </cell>
          <cell r="M245">
            <v>20</v>
          </cell>
          <cell r="N245">
            <v>30</v>
          </cell>
          <cell r="O245">
            <v>60</v>
          </cell>
          <cell r="P245">
            <v>90</v>
          </cell>
        </row>
        <row r="246">
          <cell r="A246" t="str">
            <v>CFRHS200x100x12.5</v>
          </cell>
          <cell r="B246" t="str">
            <v>a=1.0 x t</v>
          </cell>
          <cell r="C246">
            <v>12.5</v>
          </cell>
          <cell r="D246"/>
          <cell r="E246" t="str">
            <v>Jah</v>
          </cell>
          <cell r="F246">
            <v>2</v>
          </cell>
          <cell r="G246">
            <v>6</v>
          </cell>
          <cell r="H246">
            <v>0.53600000000000003</v>
          </cell>
          <cell r="I246">
            <v>1.1006160164271047E-2</v>
          </cell>
          <cell r="J246">
            <v>48.7</v>
          </cell>
          <cell r="K246">
            <v>5</v>
          </cell>
          <cell r="L246">
            <v>10</v>
          </cell>
          <cell r="M246">
            <v>20</v>
          </cell>
          <cell r="N246">
            <v>30</v>
          </cell>
          <cell r="O246">
            <v>60</v>
          </cell>
          <cell r="P246">
            <v>90</v>
          </cell>
        </row>
        <row r="247">
          <cell r="A247" t="str">
            <v>CFRHS200x120x4</v>
          </cell>
          <cell r="B247" t="str">
            <v>a=1.0 x t</v>
          </cell>
          <cell r="C247">
            <v>4</v>
          </cell>
          <cell r="D247"/>
          <cell r="E247" t="str">
            <v>Jah</v>
          </cell>
          <cell r="F247">
            <v>1</v>
          </cell>
          <cell r="G247">
            <v>1</v>
          </cell>
          <cell r="H247">
            <v>0.626</v>
          </cell>
          <cell r="I247">
            <v>3.260416666666667E-2</v>
          </cell>
          <cell r="J247">
            <v>19.2</v>
          </cell>
          <cell r="K247">
            <v>2</v>
          </cell>
          <cell r="L247">
            <v>5</v>
          </cell>
          <cell r="M247">
            <v>10</v>
          </cell>
          <cell r="N247">
            <v>20</v>
          </cell>
          <cell r="O247">
            <v>30</v>
          </cell>
          <cell r="P247">
            <v>60</v>
          </cell>
        </row>
        <row r="248">
          <cell r="A248" t="str">
            <v>CFRHS200x120x5</v>
          </cell>
          <cell r="B248" t="str">
            <v>a=1.0 x t</v>
          </cell>
          <cell r="C248">
            <v>5</v>
          </cell>
          <cell r="D248"/>
          <cell r="E248" t="str">
            <v>Jah</v>
          </cell>
          <cell r="F248">
            <v>2</v>
          </cell>
          <cell r="G248">
            <v>2</v>
          </cell>
          <cell r="H248">
            <v>0.623</v>
          </cell>
          <cell r="I248">
            <v>2.6066945606694564E-2</v>
          </cell>
          <cell r="J248">
            <v>23.9</v>
          </cell>
          <cell r="K248">
            <v>5</v>
          </cell>
          <cell r="L248">
            <v>10</v>
          </cell>
          <cell r="M248">
            <v>20</v>
          </cell>
          <cell r="N248">
            <v>30</v>
          </cell>
          <cell r="O248">
            <v>60</v>
          </cell>
          <cell r="P248">
            <v>90</v>
          </cell>
        </row>
        <row r="249">
          <cell r="A249" t="str">
            <v>CFRHS200x120x6</v>
          </cell>
          <cell r="B249" t="str">
            <v>a=1.0 x t</v>
          </cell>
          <cell r="C249">
            <v>6</v>
          </cell>
          <cell r="D249"/>
          <cell r="E249" t="str">
            <v>Jah</v>
          </cell>
          <cell r="F249">
            <v>2</v>
          </cell>
          <cell r="G249">
            <v>2</v>
          </cell>
          <cell r="H249">
            <v>0.61899999999999999</v>
          </cell>
          <cell r="I249">
            <v>2.187279151943463E-2</v>
          </cell>
          <cell r="J249">
            <v>28.3</v>
          </cell>
          <cell r="K249">
            <v>5</v>
          </cell>
          <cell r="L249">
            <v>10</v>
          </cell>
          <cell r="M249">
            <v>20</v>
          </cell>
          <cell r="N249">
            <v>30</v>
          </cell>
          <cell r="O249">
            <v>60</v>
          </cell>
          <cell r="P249">
            <v>90</v>
          </cell>
        </row>
        <row r="250">
          <cell r="A250" t="str">
            <v>CFRHS200x120x8</v>
          </cell>
          <cell r="B250" t="str">
            <v>a=1.0 x t</v>
          </cell>
          <cell r="C250">
            <v>8</v>
          </cell>
          <cell r="D250"/>
          <cell r="E250" t="str">
            <v>Jah</v>
          </cell>
          <cell r="F250">
            <v>2</v>
          </cell>
          <cell r="G250">
            <v>3</v>
          </cell>
          <cell r="H250">
            <v>0.60599999999999998</v>
          </cell>
          <cell r="I250">
            <v>1.6648351648351649E-2</v>
          </cell>
          <cell r="J250">
            <v>36.4</v>
          </cell>
          <cell r="K250">
            <v>5</v>
          </cell>
          <cell r="L250">
            <v>10</v>
          </cell>
          <cell r="M250">
            <v>20</v>
          </cell>
          <cell r="N250">
            <v>30</v>
          </cell>
          <cell r="O250">
            <v>60</v>
          </cell>
          <cell r="P250">
            <v>90</v>
          </cell>
        </row>
        <row r="251">
          <cell r="A251" t="str">
            <v>CFRHS200x120x10</v>
          </cell>
          <cell r="B251" t="str">
            <v>a=1.0 x t</v>
          </cell>
          <cell r="C251">
            <v>10</v>
          </cell>
          <cell r="D251"/>
          <cell r="E251" t="str">
            <v>Jah</v>
          </cell>
          <cell r="F251">
            <v>2</v>
          </cell>
          <cell r="G251">
            <v>6</v>
          </cell>
          <cell r="H251">
            <v>0.59699999999999998</v>
          </cell>
          <cell r="I251">
            <v>1.3445945945945946E-2</v>
          </cell>
          <cell r="J251">
            <v>44.4</v>
          </cell>
          <cell r="K251">
            <v>5</v>
          </cell>
          <cell r="L251">
            <v>10</v>
          </cell>
          <cell r="M251">
            <v>20</v>
          </cell>
          <cell r="N251">
            <v>30</v>
          </cell>
          <cell r="O251">
            <v>60</v>
          </cell>
          <cell r="P251">
            <v>90</v>
          </cell>
        </row>
        <row r="252">
          <cell r="A252" t="str">
            <v>CFRHS200x120x12.5</v>
          </cell>
          <cell r="B252" t="str">
            <v>a=1.0 x t</v>
          </cell>
          <cell r="C252">
            <v>12.5</v>
          </cell>
          <cell r="D252"/>
          <cell r="E252" t="str">
            <v>Jah</v>
          </cell>
          <cell r="F252">
            <v>3</v>
          </cell>
          <cell r="G252">
            <v>6</v>
          </cell>
          <cell r="H252">
            <v>0.57599999999999996</v>
          </cell>
          <cell r="I252">
            <v>1.0950570342205323E-2</v>
          </cell>
          <cell r="J252">
            <v>52.6</v>
          </cell>
          <cell r="K252">
            <v>10</v>
          </cell>
          <cell r="L252">
            <v>20</v>
          </cell>
          <cell r="M252">
            <v>30</v>
          </cell>
          <cell r="N252">
            <v>40</v>
          </cell>
          <cell r="O252">
            <v>90</v>
          </cell>
          <cell r="P252">
            <v>120</v>
          </cell>
        </row>
        <row r="253">
          <cell r="A253" t="str">
            <v>CFRHS200x150x4</v>
          </cell>
          <cell r="B253" t="str">
            <v>a=1.0 x t</v>
          </cell>
          <cell r="C253">
            <v>4</v>
          </cell>
          <cell r="D253"/>
          <cell r="E253"/>
          <cell r="F253">
            <v>2</v>
          </cell>
          <cell r="G253">
            <v>1</v>
          </cell>
          <cell r="H253">
            <v>0.68600000000000005</v>
          </cell>
          <cell r="I253">
            <v>3.2358490566037741E-2</v>
          </cell>
          <cell r="J253">
            <v>21.2</v>
          </cell>
          <cell r="K253">
            <v>5</v>
          </cell>
          <cell r="L253">
            <v>10</v>
          </cell>
          <cell r="M253">
            <v>20</v>
          </cell>
          <cell r="N253">
            <v>30</v>
          </cell>
          <cell r="O253">
            <v>60</v>
          </cell>
          <cell r="P253">
            <v>90</v>
          </cell>
        </row>
        <row r="254">
          <cell r="A254" t="str">
            <v>CFRHS200x150x5</v>
          </cell>
          <cell r="B254" t="str">
            <v>a=1.0 x t</v>
          </cell>
          <cell r="C254">
            <v>5</v>
          </cell>
          <cell r="D254"/>
          <cell r="E254"/>
          <cell r="F254">
            <v>2</v>
          </cell>
          <cell r="G254">
            <v>2</v>
          </cell>
          <cell r="H254">
            <v>0.68300000000000005</v>
          </cell>
          <cell r="I254">
            <v>2.6068702290076337E-2</v>
          </cell>
          <cell r="J254">
            <v>26.2</v>
          </cell>
          <cell r="K254">
            <v>5</v>
          </cell>
          <cell r="L254">
            <v>10</v>
          </cell>
          <cell r="M254">
            <v>20</v>
          </cell>
          <cell r="N254">
            <v>30</v>
          </cell>
          <cell r="O254">
            <v>60</v>
          </cell>
          <cell r="P254">
            <v>90</v>
          </cell>
        </row>
        <row r="255">
          <cell r="A255" t="str">
            <v>CFRHS200x150x6</v>
          </cell>
          <cell r="B255" t="str">
            <v>a=1.0 x t</v>
          </cell>
          <cell r="C255">
            <v>6</v>
          </cell>
          <cell r="D255"/>
          <cell r="E255"/>
          <cell r="F255">
            <v>2</v>
          </cell>
          <cell r="G255">
            <v>2</v>
          </cell>
          <cell r="H255">
            <v>0.67900000000000005</v>
          </cell>
          <cell r="I255">
            <v>2.1832797427652734E-2</v>
          </cell>
          <cell r="J255">
            <v>31.1</v>
          </cell>
          <cell r="K255">
            <v>5</v>
          </cell>
          <cell r="L255">
            <v>10</v>
          </cell>
          <cell r="M255">
            <v>20</v>
          </cell>
          <cell r="N255">
            <v>30</v>
          </cell>
          <cell r="O255">
            <v>60</v>
          </cell>
          <cell r="P255">
            <v>90</v>
          </cell>
        </row>
        <row r="256">
          <cell r="A256" t="str">
            <v>CFRHS200x150x8</v>
          </cell>
          <cell r="B256" t="str">
            <v>a=1.0 x t</v>
          </cell>
          <cell r="C256">
            <v>8</v>
          </cell>
          <cell r="D256"/>
          <cell r="E256"/>
          <cell r="F256">
            <v>3</v>
          </cell>
          <cell r="G256">
            <v>3</v>
          </cell>
          <cell r="H256">
            <v>0.66600000000000004</v>
          </cell>
          <cell r="I256">
            <v>1.6567164179104477E-2</v>
          </cell>
          <cell r="J256">
            <v>40.200000000000003</v>
          </cell>
          <cell r="K256">
            <v>10</v>
          </cell>
          <cell r="L256">
            <v>20</v>
          </cell>
          <cell r="M256">
            <v>30</v>
          </cell>
          <cell r="N256">
            <v>40</v>
          </cell>
          <cell r="O256">
            <v>90</v>
          </cell>
          <cell r="P256">
            <v>120</v>
          </cell>
        </row>
        <row r="257">
          <cell r="A257" t="str">
            <v>CFRHS200x150x10</v>
          </cell>
          <cell r="B257" t="str">
            <v>a=1.0 x t</v>
          </cell>
          <cell r="C257">
            <v>10</v>
          </cell>
          <cell r="D257"/>
          <cell r="E257"/>
          <cell r="F257">
            <v>3</v>
          </cell>
          <cell r="G257">
            <v>6</v>
          </cell>
          <cell r="H257">
            <v>0.65700000000000003</v>
          </cell>
          <cell r="I257">
            <v>1.3380855397148676E-2</v>
          </cell>
          <cell r="J257">
            <v>49.1</v>
          </cell>
          <cell r="K257">
            <v>10</v>
          </cell>
          <cell r="L257">
            <v>20</v>
          </cell>
          <cell r="M257">
            <v>30</v>
          </cell>
          <cell r="N257">
            <v>40</v>
          </cell>
          <cell r="O257">
            <v>90</v>
          </cell>
          <cell r="P257">
            <v>120</v>
          </cell>
        </row>
        <row r="258">
          <cell r="A258" t="str">
            <v>CFRHS200x150x12.5</v>
          </cell>
          <cell r="B258" t="str">
            <v>a=1.0 x t</v>
          </cell>
          <cell r="C258">
            <v>12.5</v>
          </cell>
          <cell r="D258"/>
          <cell r="E258" t="str">
            <v>Jah</v>
          </cell>
          <cell r="F258">
            <v>3</v>
          </cell>
          <cell r="G258">
            <v>6</v>
          </cell>
          <cell r="H258">
            <v>0.66800000000000004</v>
          </cell>
          <cell r="I258">
            <v>1.0688000000000001E-2</v>
          </cell>
          <cell r="J258">
            <v>62.5</v>
          </cell>
          <cell r="K258">
            <v>10</v>
          </cell>
          <cell r="L258">
            <v>20</v>
          </cell>
          <cell r="M258">
            <v>30</v>
          </cell>
          <cell r="N258">
            <v>40</v>
          </cell>
          <cell r="O258">
            <v>90</v>
          </cell>
          <cell r="P258">
            <v>120</v>
          </cell>
        </row>
        <row r="259">
          <cell r="A259" t="str">
            <v>CFRHS220x120x5</v>
          </cell>
          <cell r="B259" t="str">
            <v>a=1.0 x t</v>
          </cell>
          <cell r="C259">
            <v>5</v>
          </cell>
          <cell r="D259"/>
          <cell r="E259" t="str">
            <v>Jah</v>
          </cell>
          <cell r="F259">
            <v>2</v>
          </cell>
          <cell r="G259">
            <v>2</v>
          </cell>
          <cell r="H259">
            <v>0.66300000000000003</v>
          </cell>
          <cell r="I259">
            <v>2.6102362204724412E-2</v>
          </cell>
          <cell r="J259">
            <v>25.4</v>
          </cell>
          <cell r="K259">
            <v>5</v>
          </cell>
          <cell r="L259">
            <v>10</v>
          </cell>
          <cell r="M259">
            <v>20</v>
          </cell>
          <cell r="N259">
            <v>30</v>
          </cell>
          <cell r="O259">
            <v>60</v>
          </cell>
          <cell r="P259">
            <v>90</v>
          </cell>
        </row>
        <row r="260">
          <cell r="A260" t="str">
            <v>CFRHS220x120x6</v>
          </cell>
          <cell r="B260" t="str">
            <v>a=1.0 x t</v>
          </cell>
          <cell r="C260">
            <v>6</v>
          </cell>
          <cell r="D260"/>
          <cell r="E260"/>
          <cell r="F260">
            <v>2</v>
          </cell>
          <cell r="G260">
            <v>2</v>
          </cell>
          <cell r="H260">
            <v>0.65900000000000003</v>
          </cell>
          <cell r="I260">
            <v>2.1821192052980134E-2</v>
          </cell>
          <cell r="J260">
            <v>30.2</v>
          </cell>
          <cell r="K260">
            <v>5</v>
          </cell>
          <cell r="L260">
            <v>10</v>
          </cell>
          <cell r="M260">
            <v>20</v>
          </cell>
          <cell r="N260">
            <v>30</v>
          </cell>
          <cell r="O260">
            <v>60</v>
          </cell>
          <cell r="P260">
            <v>90</v>
          </cell>
        </row>
        <row r="261">
          <cell r="A261" t="str">
            <v>CFRHS250x100x5</v>
          </cell>
          <cell r="B261" t="str">
            <v>a=1.0 x t</v>
          </cell>
          <cell r="C261">
            <v>5</v>
          </cell>
          <cell r="D261"/>
          <cell r="E261"/>
          <cell r="F261">
            <v>2</v>
          </cell>
          <cell r="G261">
            <v>2</v>
          </cell>
          <cell r="H261">
            <v>0.68300000000000005</v>
          </cell>
          <cell r="I261">
            <v>2.6068702290076337E-2</v>
          </cell>
          <cell r="J261">
            <v>26.2</v>
          </cell>
          <cell r="K261">
            <v>5</v>
          </cell>
          <cell r="L261">
            <v>10</v>
          </cell>
          <cell r="M261">
            <v>20</v>
          </cell>
          <cell r="N261">
            <v>30</v>
          </cell>
          <cell r="O261">
            <v>60</v>
          </cell>
          <cell r="P261">
            <v>90</v>
          </cell>
        </row>
        <row r="262">
          <cell r="A262" t="str">
            <v>CFRHS250x100x6</v>
          </cell>
          <cell r="B262" t="str">
            <v>a=1.0 x t</v>
          </cell>
          <cell r="C262">
            <v>6</v>
          </cell>
          <cell r="D262"/>
          <cell r="E262"/>
          <cell r="F262">
            <v>2</v>
          </cell>
          <cell r="G262">
            <v>2</v>
          </cell>
          <cell r="H262">
            <v>0.67900000000000005</v>
          </cell>
          <cell r="I262">
            <v>2.1832797427652734E-2</v>
          </cell>
          <cell r="J262">
            <v>31.1</v>
          </cell>
          <cell r="K262">
            <v>5</v>
          </cell>
          <cell r="L262">
            <v>10</v>
          </cell>
          <cell r="M262">
            <v>20</v>
          </cell>
          <cell r="N262">
            <v>30</v>
          </cell>
          <cell r="O262">
            <v>60</v>
          </cell>
          <cell r="P262">
            <v>90</v>
          </cell>
        </row>
        <row r="263">
          <cell r="A263" t="str">
            <v>CFRHS250x100x8</v>
          </cell>
          <cell r="B263" t="str">
            <v>a=1.0 x t</v>
          </cell>
          <cell r="C263">
            <v>8</v>
          </cell>
          <cell r="D263"/>
          <cell r="E263"/>
          <cell r="F263">
            <v>2</v>
          </cell>
          <cell r="G263">
            <v>3</v>
          </cell>
          <cell r="H263">
            <v>0.66600000000000004</v>
          </cell>
          <cell r="I263">
            <v>1.6567164179104477E-2</v>
          </cell>
          <cell r="J263">
            <v>40.200000000000003</v>
          </cell>
          <cell r="K263">
            <v>5</v>
          </cell>
          <cell r="L263">
            <v>10</v>
          </cell>
          <cell r="M263">
            <v>20</v>
          </cell>
          <cell r="N263">
            <v>30</v>
          </cell>
          <cell r="O263">
            <v>60</v>
          </cell>
          <cell r="P263">
            <v>90</v>
          </cell>
        </row>
        <row r="264">
          <cell r="A264" t="str">
            <v>CFRHS250x150x5</v>
          </cell>
          <cell r="B264" t="str">
            <v>a=1.0 x t</v>
          </cell>
          <cell r="C264">
            <v>5</v>
          </cell>
          <cell r="D264"/>
          <cell r="E264"/>
          <cell r="F264">
            <v>2</v>
          </cell>
          <cell r="G264">
            <v>2</v>
          </cell>
          <cell r="H264">
            <v>0.78300000000000003</v>
          </cell>
          <cell r="I264">
            <v>2.6013289036544849E-2</v>
          </cell>
          <cell r="J264">
            <v>30.1</v>
          </cell>
          <cell r="K264">
            <v>5</v>
          </cell>
          <cell r="L264">
            <v>10</v>
          </cell>
          <cell r="M264">
            <v>20</v>
          </cell>
          <cell r="N264">
            <v>30</v>
          </cell>
          <cell r="O264">
            <v>60</v>
          </cell>
          <cell r="P264">
            <v>90</v>
          </cell>
        </row>
        <row r="265">
          <cell r="A265" t="str">
            <v>CFRHS250x150x6</v>
          </cell>
          <cell r="B265" t="str">
            <v>a=1.0 x t</v>
          </cell>
          <cell r="C265">
            <v>6</v>
          </cell>
          <cell r="D265"/>
          <cell r="E265"/>
          <cell r="F265">
            <v>2</v>
          </cell>
          <cell r="G265">
            <v>2</v>
          </cell>
          <cell r="H265">
            <v>0.77900000000000003</v>
          </cell>
          <cell r="I265">
            <v>2.1759776536312853E-2</v>
          </cell>
          <cell r="J265">
            <v>35.799999999999997</v>
          </cell>
          <cell r="K265">
            <v>5</v>
          </cell>
          <cell r="L265">
            <v>10</v>
          </cell>
          <cell r="M265">
            <v>20</v>
          </cell>
          <cell r="N265">
            <v>30</v>
          </cell>
          <cell r="O265">
            <v>60</v>
          </cell>
          <cell r="P265">
            <v>90</v>
          </cell>
        </row>
        <row r="266">
          <cell r="A266" t="str">
            <v>CFRHS250x150x6.3</v>
          </cell>
          <cell r="B266" t="str">
            <v>a=1.0 x t</v>
          </cell>
          <cell r="C266">
            <v>6.3</v>
          </cell>
          <cell r="D266"/>
          <cell r="E266"/>
          <cell r="F266">
            <v>2</v>
          </cell>
          <cell r="G266">
            <v>2</v>
          </cell>
          <cell r="H266">
            <v>0.78400000000000003</v>
          </cell>
          <cell r="I266">
            <v>2.0631578947368421E-2</v>
          </cell>
          <cell r="J266">
            <v>38</v>
          </cell>
          <cell r="K266">
            <v>5</v>
          </cell>
          <cell r="L266">
            <v>10</v>
          </cell>
          <cell r="M266">
            <v>20</v>
          </cell>
          <cell r="N266">
            <v>30</v>
          </cell>
          <cell r="O266">
            <v>60</v>
          </cell>
          <cell r="P266">
            <v>90</v>
          </cell>
        </row>
        <row r="267">
          <cell r="A267" t="str">
            <v>CFRHS250x150x8</v>
          </cell>
          <cell r="B267" t="str">
            <v>a=1.0 x t</v>
          </cell>
          <cell r="C267">
            <v>8</v>
          </cell>
          <cell r="D267"/>
          <cell r="E267"/>
          <cell r="F267">
            <v>3</v>
          </cell>
          <cell r="G267">
            <v>3</v>
          </cell>
          <cell r="H267">
            <v>0.77900000000000003</v>
          </cell>
          <cell r="I267">
            <v>1.6331236897274632E-2</v>
          </cell>
          <cell r="J267">
            <v>47.7</v>
          </cell>
          <cell r="K267">
            <v>10</v>
          </cell>
          <cell r="L267">
            <v>20</v>
          </cell>
          <cell r="M267">
            <v>30</v>
          </cell>
          <cell r="N267">
            <v>40</v>
          </cell>
          <cell r="O267">
            <v>90</v>
          </cell>
          <cell r="P267">
            <v>120</v>
          </cell>
        </row>
        <row r="268">
          <cell r="A268" t="str">
            <v>CFRHS250x150x10</v>
          </cell>
          <cell r="B268" t="str">
            <v>a=1.0 x t</v>
          </cell>
          <cell r="C268">
            <v>10</v>
          </cell>
          <cell r="D268"/>
          <cell r="E268"/>
          <cell r="F268">
            <v>3</v>
          </cell>
          <cell r="G268">
            <v>6</v>
          </cell>
          <cell r="H268">
            <v>0.77400000000000002</v>
          </cell>
          <cell r="I268">
            <v>1.3163265306122451E-2</v>
          </cell>
          <cell r="J268">
            <v>58.8</v>
          </cell>
          <cell r="K268">
            <v>10</v>
          </cell>
          <cell r="L268">
            <v>20</v>
          </cell>
          <cell r="M268">
            <v>30</v>
          </cell>
          <cell r="N268">
            <v>40</v>
          </cell>
          <cell r="O268">
            <v>90</v>
          </cell>
          <cell r="P268">
            <v>120</v>
          </cell>
        </row>
        <row r="269">
          <cell r="A269" t="str">
            <v>CFRHS250x150x12</v>
          </cell>
          <cell r="B269" t="str">
            <v>a=1.0 x t</v>
          </cell>
          <cell r="C269">
            <v>12</v>
          </cell>
          <cell r="D269"/>
          <cell r="E269" t="str">
            <v>Jah</v>
          </cell>
          <cell r="F269">
            <v>3</v>
          </cell>
          <cell r="G269">
            <v>6</v>
          </cell>
          <cell r="H269">
            <v>0.76900000000000002</v>
          </cell>
          <cell r="I269">
            <v>1.1048850574712644E-2</v>
          </cell>
          <cell r="J269">
            <v>69.599999999999994</v>
          </cell>
          <cell r="K269">
            <v>10</v>
          </cell>
          <cell r="L269">
            <v>20</v>
          </cell>
          <cell r="M269">
            <v>30</v>
          </cell>
          <cell r="N269">
            <v>40</v>
          </cell>
          <cell r="O269">
            <v>90</v>
          </cell>
          <cell r="P269">
            <v>120</v>
          </cell>
        </row>
        <row r="270">
          <cell r="A270" t="str">
            <v>CFRHS250x150x12.5</v>
          </cell>
          <cell r="B270" t="str">
            <v>a=1.0 x t</v>
          </cell>
          <cell r="C270">
            <v>12.5</v>
          </cell>
          <cell r="D270"/>
          <cell r="E270" t="str">
            <v>Jah</v>
          </cell>
          <cell r="F270">
            <v>3</v>
          </cell>
          <cell r="G270">
            <v>6</v>
          </cell>
          <cell r="H270">
            <v>0.76800000000000002</v>
          </cell>
          <cell r="I270">
            <v>1.0622406639004151E-2</v>
          </cell>
          <cell r="J270">
            <v>72.3</v>
          </cell>
          <cell r="K270">
            <v>10</v>
          </cell>
          <cell r="L270">
            <v>20</v>
          </cell>
          <cell r="M270">
            <v>30</v>
          </cell>
          <cell r="N270">
            <v>40</v>
          </cell>
          <cell r="O270">
            <v>90</v>
          </cell>
          <cell r="P270">
            <v>120</v>
          </cell>
        </row>
        <row r="271">
          <cell r="A271" t="str">
            <v>CFRHS250x150x16</v>
          </cell>
          <cell r="B271" t="str">
            <v>a=1.0 x t</v>
          </cell>
          <cell r="C271">
            <v>16</v>
          </cell>
          <cell r="D271"/>
          <cell r="E271" t="str">
            <v>Jah</v>
          </cell>
          <cell r="F271">
            <v>3</v>
          </cell>
          <cell r="G271">
            <v>10</v>
          </cell>
          <cell r="H271">
            <v>0.75900000000000001</v>
          </cell>
          <cell r="I271">
            <v>8.4053156146179399E-3</v>
          </cell>
          <cell r="J271">
            <v>90.3</v>
          </cell>
          <cell r="K271">
            <v>10</v>
          </cell>
          <cell r="L271">
            <v>20</v>
          </cell>
          <cell r="M271">
            <v>30</v>
          </cell>
          <cell r="N271">
            <v>40</v>
          </cell>
          <cell r="O271">
            <v>90</v>
          </cell>
          <cell r="P271">
            <v>120</v>
          </cell>
        </row>
        <row r="272">
          <cell r="A272" t="str">
            <v>CFRHS260x180x6</v>
          </cell>
          <cell r="B272" t="str">
            <v>a=1.0 x t</v>
          </cell>
          <cell r="C272">
            <v>6</v>
          </cell>
          <cell r="D272"/>
          <cell r="E272"/>
          <cell r="F272">
            <v>3</v>
          </cell>
          <cell r="G272">
            <v>2</v>
          </cell>
          <cell r="H272">
            <v>0.86499999999999999</v>
          </cell>
          <cell r="I272">
            <v>2.1624999999999998E-2</v>
          </cell>
          <cell r="J272">
            <v>40</v>
          </cell>
          <cell r="K272">
            <v>10</v>
          </cell>
          <cell r="L272">
            <v>20</v>
          </cell>
          <cell r="M272">
            <v>30</v>
          </cell>
          <cell r="N272">
            <v>40</v>
          </cell>
          <cell r="O272">
            <v>90</v>
          </cell>
          <cell r="P272">
            <v>120</v>
          </cell>
        </row>
        <row r="273">
          <cell r="A273" t="str">
            <v>CFRHS260x180x12</v>
          </cell>
          <cell r="B273" t="str">
            <v>a=1.0 x t</v>
          </cell>
          <cell r="C273">
            <v>12</v>
          </cell>
          <cell r="D273"/>
          <cell r="E273" t="str">
            <v>Jah</v>
          </cell>
          <cell r="F273">
            <v>3</v>
          </cell>
          <cell r="G273">
            <v>6</v>
          </cell>
          <cell r="H273">
            <v>0.84899999999999998</v>
          </cell>
          <cell r="I273">
            <v>1.0997409326424869E-2</v>
          </cell>
          <cell r="J273">
            <v>77.2</v>
          </cell>
          <cell r="K273">
            <v>10</v>
          </cell>
          <cell r="L273">
            <v>20</v>
          </cell>
          <cell r="M273">
            <v>30</v>
          </cell>
          <cell r="N273">
            <v>40</v>
          </cell>
          <cell r="O273">
            <v>90</v>
          </cell>
          <cell r="P273">
            <v>120</v>
          </cell>
        </row>
        <row r="274">
          <cell r="A274" t="str">
            <v>CFRHS300x100x6</v>
          </cell>
          <cell r="B274" t="str">
            <v>a=1.0 x t</v>
          </cell>
          <cell r="C274">
            <v>6</v>
          </cell>
          <cell r="D274"/>
          <cell r="E274"/>
          <cell r="F274">
            <v>3</v>
          </cell>
          <cell r="G274">
            <v>2</v>
          </cell>
          <cell r="H274">
            <v>0.77900000000000003</v>
          </cell>
          <cell r="I274">
            <v>2.1759776536312853E-2</v>
          </cell>
          <cell r="J274">
            <v>35.799999999999997</v>
          </cell>
          <cell r="K274">
            <v>10</v>
          </cell>
          <cell r="L274">
            <v>20</v>
          </cell>
          <cell r="M274">
            <v>30</v>
          </cell>
          <cell r="N274">
            <v>40</v>
          </cell>
          <cell r="O274">
            <v>90</v>
          </cell>
          <cell r="P274">
            <v>120</v>
          </cell>
        </row>
        <row r="275">
          <cell r="A275" t="str">
            <v>CFRHS300x100x8</v>
          </cell>
          <cell r="B275" t="str">
            <v>a=1.0 x t</v>
          </cell>
          <cell r="C275">
            <v>8</v>
          </cell>
          <cell r="D275"/>
          <cell r="E275"/>
          <cell r="F275">
            <v>3</v>
          </cell>
          <cell r="G275">
            <v>3</v>
          </cell>
          <cell r="H275">
            <v>0.76600000000000001</v>
          </cell>
          <cell r="I275">
            <v>1.6473118279569893E-2</v>
          </cell>
          <cell r="J275">
            <v>46.5</v>
          </cell>
          <cell r="K275">
            <v>10</v>
          </cell>
          <cell r="L275">
            <v>20</v>
          </cell>
          <cell r="M275">
            <v>30</v>
          </cell>
          <cell r="N275">
            <v>40</v>
          </cell>
          <cell r="O275">
            <v>90</v>
          </cell>
          <cell r="P275">
            <v>120</v>
          </cell>
        </row>
        <row r="276">
          <cell r="A276" t="str">
            <v>CFRHS300x100x10</v>
          </cell>
          <cell r="B276" t="str">
            <v>a=1.0 x t</v>
          </cell>
          <cell r="C276">
            <v>10</v>
          </cell>
          <cell r="D276"/>
          <cell r="E276"/>
          <cell r="F276">
            <v>3</v>
          </cell>
          <cell r="G276">
            <v>6</v>
          </cell>
          <cell r="H276">
            <v>0.75700000000000001</v>
          </cell>
          <cell r="I276">
            <v>1.3280701754385966E-2</v>
          </cell>
          <cell r="J276">
            <v>57</v>
          </cell>
          <cell r="K276">
            <v>10</v>
          </cell>
          <cell r="L276">
            <v>20</v>
          </cell>
          <cell r="M276">
            <v>30</v>
          </cell>
          <cell r="N276">
            <v>40</v>
          </cell>
          <cell r="O276">
            <v>90</v>
          </cell>
          <cell r="P276">
            <v>120</v>
          </cell>
        </row>
        <row r="277">
          <cell r="A277" t="str">
            <v>CFRHS300x150x6</v>
          </cell>
          <cell r="B277" t="str">
            <v>a=1.0 x t</v>
          </cell>
          <cell r="C277">
            <v>6</v>
          </cell>
          <cell r="D277"/>
          <cell r="E277"/>
          <cell r="F277">
            <v>2</v>
          </cell>
          <cell r="G277">
            <v>2</v>
          </cell>
          <cell r="H277">
            <v>0.879</v>
          </cell>
          <cell r="I277">
            <v>2.1703703703703704E-2</v>
          </cell>
          <cell r="J277">
            <v>40.5</v>
          </cell>
          <cell r="K277">
            <v>5</v>
          </cell>
          <cell r="L277">
            <v>10</v>
          </cell>
          <cell r="M277">
            <v>20</v>
          </cell>
          <cell r="N277">
            <v>30</v>
          </cell>
          <cell r="O277">
            <v>60</v>
          </cell>
          <cell r="P277">
            <v>90</v>
          </cell>
        </row>
        <row r="278">
          <cell r="A278" t="str">
            <v>CFRHS300x150x8</v>
          </cell>
          <cell r="B278" t="str">
            <v>a=1.0 x t</v>
          </cell>
          <cell r="C278">
            <v>8</v>
          </cell>
          <cell r="D278"/>
          <cell r="E278"/>
          <cell r="F278">
            <v>3</v>
          </cell>
          <cell r="G278">
            <v>3</v>
          </cell>
          <cell r="H278">
            <v>0.86599999999999999</v>
          </cell>
          <cell r="I278">
            <v>1.6401515151515153E-2</v>
          </cell>
          <cell r="J278">
            <v>52.8</v>
          </cell>
          <cell r="K278">
            <v>10</v>
          </cell>
          <cell r="L278">
            <v>20</v>
          </cell>
          <cell r="M278">
            <v>30</v>
          </cell>
          <cell r="N278">
            <v>40</v>
          </cell>
          <cell r="O278">
            <v>90</v>
          </cell>
          <cell r="P278">
            <v>120</v>
          </cell>
        </row>
        <row r="279">
          <cell r="A279" t="str">
            <v>CFRHS300x150x10</v>
          </cell>
          <cell r="B279" t="str">
            <v>a=1.0 x t</v>
          </cell>
          <cell r="C279">
            <v>10</v>
          </cell>
          <cell r="D279"/>
          <cell r="E279"/>
          <cell r="F279">
            <v>3</v>
          </cell>
          <cell r="G279">
            <v>6</v>
          </cell>
          <cell r="H279">
            <v>0.85699999999999998</v>
          </cell>
          <cell r="I279">
            <v>1.322530864197531E-2</v>
          </cell>
          <cell r="J279">
            <v>64.8</v>
          </cell>
          <cell r="K279">
            <v>10</v>
          </cell>
          <cell r="L279">
            <v>20</v>
          </cell>
          <cell r="M279">
            <v>30</v>
          </cell>
          <cell r="N279">
            <v>40</v>
          </cell>
          <cell r="O279">
            <v>90</v>
          </cell>
          <cell r="P279">
            <v>120</v>
          </cell>
        </row>
        <row r="280">
          <cell r="A280" t="str">
            <v>CFRHS300x200x6</v>
          </cell>
          <cell r="B280" t="str">
            <v>a=1.0 x t</v>
          </cell>
          <cell r="C280">
            <v>6</v>
          </cell>
          <cell r="D280"/>
          <cell r="E280"/>
          <cell r="F280">
            <v>3</v>
          </cell>
          <cell r="G280">
            <v>2</v>
          </cell>
          <cell r="H280">
            <v>0.97899999999999998</v>
          </cell>
          <cell r="I280">
            <v>2.165929203539823E-2</v>
          </cell>
          <cell r="J280">
            <v>45.2</v>
          </cell>
          <cell r="K280">
            <v>10</v>
          </cell>
          <cell r="L280">
            <v>20</v>
          </cell>
          <cell r="M280">
            <v>30</v>
          </cell>
          <cell r="N280">
            <v>40</v>
          </cell>
          <cell r="O280">
            <v>90</v>
          </cell>
          <cell r="P280">
            <v>120</v>
          </cell>
        </row>
        <row r="281">
          <cell r="A281" t="str">
            <v>CFRHS300x200x6.3</v>
          </cell>
          <cell r="B281" t="str">
            <v>a=1.0 x t</v>
          </cell>
          <cell r="C281">
            <v>6.3</v>
          </cell>
          <cell r="D281"/>
          <cell r="E281"/>
          <cell r="F281">
            <v>3</v>
          </cell>
          <cell r="G281">
            <v>2</v>
          </cell>
          <cell r="H281">
            <v>0.98</v>
          </cell>
          <cell r="I281">
            <v>2.0806794055201697E-2</v>
          </cell>
          <cell r="J281">
            <v>47.1</v>
          </cell>
          <cell r="K281">
            <v>10</v>
          </cell>
          <cell r="L281">
            <v>20</v>
          </cell>
          <cell r="M281">
            <v>30</v>
          </cell>
          <cell r="N281">
            <v>40</v>
          </cell>
          <cell r="O281">
            <v>90</v>
          </cell>
          <cell r="P281">
            <v>120</v>
          </cell>
        </row>
        <row r="282">
          <cell r="A282" t="str">
            <v>CFRHS300x200x8</v>
          </cell>
          <cell r="B282" t="str">
            <v>a=1.0 x t</v>
          </cell>
          <cell r="C282">
            <v>8</v>
          </cell>
          <cell r="D282"/>
          <cell r="E282"/>
          <cell r="F282">
            <v>3</v>
          </cell>
          <cell r="G282">
            <v>3</v>
          </cell>
          <cell r="H282">
            <v>0.96599999999999997</v>
          </cell>
          <cell r="I282">
            <v>1.6372881355932203E-2</v>
          </cell>
          <cell r="J282">
            <v>59</v>
          </cell>
          <cell r="K282">
            <v>10</v>
          </cell>
          <cell r="L282">
            <v>20</v>
          </cell>
          <cell r="M282">
            <v>30</v>
          </cell>
          <cell r="N282">
            <v>40</v>
          </cell>
          <cell r="O282">
            <v>90</v>
          </cell>
          <cell r="P282">
            <v>120</v>
          </cell>
        </row>
        <row r="283">
          <cell r="A283" t="str">
            <v>CFRHS300x200x10</v>
          </cell>
          <cell r="B283" t="str">
            <v>a=1.0 x t</v>
          </cell>
          <cell r="C283">
            <v>10</v>
          </cell>
          <cell r="D283"/>
          <cell r="E283"/>
          <cell r="F283">
            <v>3</v>
          </cell>
          <cell r="G283">
            <v>6</v>
          </cell>
          <cell r="H283">
            <v>0.95699999999999996</v>
          </cell>
          <cell r="I283">
            <v>1.3163686382393397E-2</v>
          </cell>
          <cell r="J283">
            <v>72.7</v>
          </cell>
          <cell r="K283">
            <v>10</v>
          </cell>
          <cell r="L283">
            <v>20</v>
          </cell>
          <cell r="M283">
            <v>30</v>
          </cell>
          <cell r="N283">
            <v>40</v>
          </cell>
          <cell r="O283">
            <v>90</v>
          </cell>
          <cell r="P283">
            <v>120</v>
          </cell>
        </row>
        <row r="284">
          <cell r="A284" t="str">
            <v>CFRHS300x200x12</v>
          </cell>
          <cell r="B284" t="str">
            <v>a=1.0 x t</v>
          </cell>
          <cell r="C284">
            <v>12</v>
          </cell>
          <cell r="D284"/>
          <cell r="E284" t="str">
            <v>Jah</v>
          </cell>
          <cell r="F284">
            <v>3</v>
          </cell>
          <cell r="G284">
            <v>6</v>
          </cell>
          <cell r="H284">
            <v>0.93799999999999994</v>
          </cell>
          <cell r="I284">
            <v>1.1061320754716981E-2</v>
          </cell>
          <cell r="J284">
            <v>84.8</v>
          </cell>
          <cell r="K284">
            <v>10</v>
          </cell>
          <cell r="L284">
            <v>20</v>
          </cell>
          <cell r="M284">
            <v>30</v>
          </cell>
          <cell r="N284">
            <v>40</v>
          </cell>
          <cell r="O284">
            <v>90</v>
          </cell>
          <cell r="P284">
            <v>120</v>
          </cell>
        </row>
        <row r="285">
          <cell r="A285" t="str">
            <v>CFRHS300x200x12.5</v>
          </cell>
          <cell r="B285" t="str">
            <v>a=1.0 x t</v>
          </cell>
          <cell r="C285">
            <v>12.5</v>
          </cell>
          <cell r="D285"/>
          <cell r="E285" t="str">
            <v>Jah</v>
          </cell>
          <cell r="F285">
            <v>3</v>
          </cell>
          <cell r="G285">
            <v>6</v>
          </cell>
          <cell r="H285">
            <v>0.93600000000000005</v>
          </cell>
          <cell r="I285">
            <v>1.0648464163822525E-2</v>
          </cell>
          <cell r="J285">
            <v>87.9</v>
          </cell>
          <cell r="K285">
            <v>10</v>
          </cell>
          <cell r="L285">
            <v>20</v>
          </cell>
          <cell r="M285">
            <v>30</v>
          </cell>
          <cell r="N285">
            <v>40</v>
          </cell>
          <cell r="O285">
            <v>90</v>
          </cell>
          <cell r="P285">
            <v>120</v>
          </cell>
        </row>
        <row r="286">
          <cell r="A286" t="str">
            <v>CFRHS400x200x6</v>
          </cell>
          <cell r="B286" t="str">
            <v>a=1.0 x t</v>
          </cell>
          <cell r="C286">
            <v>6</v>
          </cell>
          <cell r="D286"/>
          <cell r="E286"/>
          <cell r="F286">
            <v>3</v>
          </cell>
          <cell r="G286">
            <v>2</v>
          </cell>
          <cell r="H286">
            <v>1.18</v>
          </cell>
          <cell r="I286">
            <v>2.1611721611721611E-2</v>
          </cell>
          <cell r="J286">
            <v>54.6</v>
          </cell>
          <cell r="K286">
            <v>10</v>
          </cell>
          <cell r="L286">
            <v>20</v>
          </cell>
          <cell r="M286">
            <v>30</v>
          </cell>
          <cell r="N286">
            <v>40</v>
          </cell>
          <cell r="O286">
            <v>90</v>
          </cell>
          <cell r="P286">
            <v>120</v>
          </cell>
        </row>
        <row r="287">
          <cell r="A287" t="str">
            <v>CFRHS400x200x6.3</v>
          </cell>
          <cell r="B287" t="str">
            <v>a=1.0 x t</v>
          </cell>
          <cell r="C287">
            <v>6.3</v>
          </cell>
          <cell r="D287"/>
          <cell r="E287"/>
          <cell r="F287">
            <v>3</v>
          </cell>
          <cell r="G287">
            <v>2</v>
          </cell>
          <cell r="H287">
            <v>1.17</v>
          </cell>
          <cell r="I287">
            <v>2.0526315789473684E-2</v>
          </cell>
          <cell r="J287">
            <v>57</v>
          </cell>
          <cell r="K287">
            <v>10</v>
          </cell>
          <cell r="L287">
            <v>20</v>
          </cell>
          <cell r="M287">
            <v>30</v>
          </cell>
          <cell r="N287">
            <v>40</v>
          </cell>
          <cell r="O287">
            <v>90</v>
          </cell>
          <cell r="P287">
            <v>120</v>
          </cell>
        </row>
        <row r="288">
          <cell r="A288" t="str">
            <v>CFRHS400x200x8</v>
          </cell>
          <cell r="B288" t="str">
            <v>a=1.0 x t</v>
          </cell>
          <cell r="C288">
            <v>8</v>
          </cell>
          <cell r="D288"/>
          <cell r="E288"/>
          <cell r="F288">
            <v>3</v>
          </cell>
          <cell r="G288">
            <v>3</v>
          </cell>
          <cell r="H288">
            <v>1.17</v>
          </cell>
          <cell r="I288">
            <v>1.6340782122905028E-2</v>
          </cell>
          <cell r="J288">
            <v>71.599999999999994</v>
          </cell>
          <cell r="K288">
            <v>10</v>
          </cell>
          <cell r="L288">
            <v>20</v>
          </cell>
          <cell r="M288">
            <v>30</v>
          </cell>
          <cell r="N288">
            <v>40</v>
          </cell>
          <cell r="O288">
            <v>90</v>
          </cell>
          <cell r="P288">
            <v>120</v>
          </cell>
        </row>
        <row r="289">
          <cell r="A289" t="str">
            <v>CFRHS400x200x10</v>
          </cell>
          <cell r="B289" t="str">
            <v>a=1.0 x t</v>
          </cell>
          <cell r="C289">
            <v>10</v>
          </cell>
          <cell r="D289"/>
          <cell r="E289"/>
          <cell r="F289">
            <v>3</v>
          </cell>
          <cell r="G289">
            <v>6</v>
          </cell>
          <cell r="H289">
            <v>1.1599999999999999</v>
          </cell>
          <cell r="I289">
            <v>1.3077790304396842E-2</v>
          </cell>
          <cell r="J289">
            <v>88.7</v>
          </cell>
          <cell r="K289">
            <v>10</v>
          </cell>
          <cell r="L289">
            <v>20</v>
          </cell>
          <cell r="M289">
            <v>30</v>
          </cell>
          <cell r="N289">
            <v>40</v>
          </cell>
          <cell r="O289">
            <v>90</v>
          </cell>
          <cell r="P289">
            <v>120</v>
          </cell>
        </row>
        <row r="290">
          <cell r="A290" t="str">
            <v>CFRHS400x200x12</v>
          </cell>
          <cell r="B290" t="str">
            <v>a=1.0 x t</v>
          </cell>
          <cell r="C290">
            <v>12</v>
          </cell>
          <cell r="D290"/>
          <cell r="E290" t="str">
            <v>Jah</v>
          </cell>
          <cell r="F290">
            <v>3</v>
          </cell>
          <cell r="G290">
            <v>6</v>
          </cell>
          <cell r="H290">
            <v>1.1399999999999999</v>
          </cell>
          <cell r="I290">
            <v>1.1003861003861004E-2</v>
          </cell>
          <cell r="J290">
            <v>103.6</v>
          </cell>
          <cell r="K290">
            <v>10</v>
          </cell>
          <cell r="L290">
            <v>20</v>
          </cell>
          <cell r="M290">
            <v>30</v>
          </cell>
          <cell r="N290">
            <v>40</v>
          </cell>
          <cell r="O290">
            <v>90</v>
          </cell>
          <cell r="P290">
            <v>120</v>
          </cell>
        </row>
        <row r="291">
          <cell r="A291" t="str">
            <v>CFRHS400x200x12.5</v>
          </cell>
          <cell r="B291" t="str">
            <v>a=1.0 x t</v>
          </cell>
          <cell r="C291">
            <v>12.5</v>
          </cell>
          <cell r="D291"/>
          <cell r="E291" t="str">
            <v>Jah</v>
          </cell>
          <cell r="F291">
            <v>3</v>
          </cell>
          <cell r="G291">
            <v>6</v>
          </cell>
          <cell r="H291">
            <v>1.1399999999999999</v>
          </cell>
          <cell r="I291">
            <v>1.0604651162790697E-2</v>
          </cell>
          <cell r="J291">
            <v>107.5</v>
          </cell>
          <cell r="K291">
            <v>10</v>
          </cell>
          <cell r="L291">
            <v>20</v>
          </cell>
          <cell r="M291">
            <v>30</v>
          </cell>
          <cell r="N291">
            <v>40</v>
          </cell>
          <cell r="O291">
            <v>90</v>
          </cell>
          <cell r="P291">
            <v>120</v>
          </cell>
        </row>
        <row r="292">
          <cell r="A292" t="str">
            <v>CFRHS450x250x6</v>
          </cell>
          <cell r="B292" t="str">
            <v>a=1.0 x t</v>
          </cell>
          <cell r="C292">
            <v>6</v>
          </cell>
          <cell r="D292"/>
          <cell r="E292"/>
          <cell r="F292">
            <v>3</v>
          </cell>
          <cell r="G292">
            <v>2</v>
          </cell>
          <cell r="H292">
            <v>1.38</v>
          </cell>
          <cell r="I292">
            <v>2.1528861154446178E-2</v>
          </cell>
          <cell r="J292">
            <v>64.099999999999994</v>
          </cell>
          <cell r="K292">
            <v>10</v>
          </cell>
          <cell r="L292">
            <v>20</v>
          </cell>
          <cell r="M292">
            <v>30</v>
          </cell>
          <cell r="N292">
            <v>40</v>
          </cell>
          <cell r="O292">
            <v>90</v>
          </cell>
          <cell r="P292">
            <v>120</v>
          </cell>
        </row>
        <row r="293">
          <cell r="A293" t="str">
            <v>CFRHS450x250x6.3</v>
          </cell>
          <cell r="B293" t="str">
            <v>a=1.0 x t</v>
          </cell>
          <cell r="C293">
            <v>6.3</v>
          </cell>
          <cell r="D293"/>
          <cell r="E293"/>
          <cell r="F293">
            <v>3</v>
          </cell>
          <cell r="G293">
            <v>2</v>
          </cell>
          <cell r="H293">
            <v>1.38</v>
          </cell>
          <cell r="I293">
            <v>2.0627802690582956E-2</v>
          </cell>
          <cell r="J293">
            <v>66.900000000000006</v>
          </cell>
          <cell r="K293">
            <v>10</v>
          </cell>
          <cell r="L293">
            <v>20</v>
          </cell>
          <cell r="M293">
            <v>30</v>
          </cell>
          <cell r="N293">
            <v>40</v>
          </cell>
          <cell r="O293">
            <v>90</v>
          </cell>
          <cell r="P293">
            <v>120</v>
          </cell>
        </row>
        <row r="294">
          <cell r="A294" t="str">
            <v>CFRHS450x250x8</v>
          </cell>
          <cell r="B294" t="str">
            <v>a=1.0 x t</v>
          </cell>
          <cell r="C294">
            <v>8</v>
          </cell>
          <cell r="D294"/>
          <cell r="E294"/>
          <cell r="F294">
            <v>3</v>
          </cell>
          <cell r="G294">
            <v>3</v>
          </cell>
          <cell r="H294">
            <v>1.379</v>
          </cell>
          <cell r="I294">
            <v>1.6147540983606556E-2</v>
          </cell>
          <cell r="J294">
            <v>85.4</v>
          </cell>
          <cell r="K294">
            <v>10</v>
          </cell>
          <cell r="L294">
            <v>20</v>
          </cell>
          <cell r="M294">
            <v>30</v>
          </cell>
          <cell r="N294">
            <v>40</v>
          </cell>
          <cell r="O294">
            <v>90</v>
          </cell>
          <cell r="P294">
            <v>120</v>
          </cell>
        </row>
        <row r="295">
          <cell r="A295" t="str">
            <v>CFRHS450x250x10</v>
          </cell>
          <cell r="B295" t="str">
            <v>a=1.0 x t</v>
          </cell>
          <cell r="C295">
            <v>10</v>
          </cell>
          <cell r="D295"/>
          <cell r="E295"/>
          <cell r="F295">
            <v>3</v>
          </cell>
          <cell r="G295">
            <v>6</v>
          </cell>
          <cell r="H295">
            <v>1.3740000000000001</v>
          </cell>
          <cell r="I295">
            <v>1.2974504249291785E-2</v>
          </cell>
          <cell r="J295">
            <v>105.9</v>
          </cell>
          <cell r="K295">
            <v>10</v>
          </cell>
          <cell r="L295">
            <v>20</v>
          </cell>
          <cell r="M295">
            <v>30</v>
          </cell>
          <cell r="N295">
            <v>40</v>
          </cell>
          <cell r="O295">
            <v>90</v>
          </cell>
          <cell r="P295">
            <v>120</v>
          </cell>
        </row>
        <row r="296">
          <cell r="A296" t="str">
            <v>CFRHS450x250x12</v>
          </cell>
          <cell r="B296" t="str">
            <v>a=1.0 x t</v>
          </cell>
          <cell r="C296">
            <v>12</v>
          </cell>
          <cell r="D296"/>
          <cell r="E296" t="str">
            <v>Jah</v>
          </cell>
          <cell r="F296">
            <v>3</v>
          </cell>
          <cell r="G296">
            <v>6</v>
          </cell>
          <cell r="H296">
            <v>1.369</v>
          </cell>
          <cell r="I296">
            <v>1.0856463124504362E-2</v>
          </cell>
          <cell r="J296">
            <v>126.1</v>
          </cell>
          <cell r="K296">
            <v>10</v>
          </cell>
          <cell r="L296">
            <v>20</v>
          </cell>
          <cell r="M296">
            <v>30</v>
          </cell>
          <cell r="N296">
            <v>40</v>
          </cell>
          <cell r="O296">
            <v>90</v>
          </cell>
          <cell r="P296">
            <v>120</v>
          </cell>
        </row>
        <row r="297">
          <cell r="A297" t="str">
            <v>CFRHS450x250x12.5</v>
          </cell>
          <cell r="B297" t="str">
            <v>a=1.0 x t</v>
          </cell>
          <cell r="C297">
            <v>12.5</v>
          </cell>
          <cell r="D297"/>
          <cell r="E297" t="str">
            <v>Jah</v>
          </cell>
          <cell r="F297">
            <v>3</v>
          </cell>
          <cell r="G297">
            <v>6</v>
          </cell>
          <cell r="H297">
            <v>1.3680000000000001</v>
          </cell>
          <cell r="I297">
            <v>1.0426829268292685E-2</v>
          </cell>
          <cell r="J297">
            <v>131.19999999999999</v>
          </cell>
          <cell r="K297">
            <v>10</v>
          </cell>
          <cell r="L297">
            <v>20</v>
          </cell>
          <cell r="M297">
            <v>30</v>
          </cell>
          <cell r="N297">
            <v>40</v>
          </cell>
          <cell r="O297">
            <v>90</v>
          </cell>
          <cell r="P297">
            <v>120</v>
          </cell>
        </row>
        <row r="298">
          <cell r="A298" t="str">
            <v xml:space="preserve">CFRHS500x200x10 </v>
          </cell>
          <cell r="B298" t="str">
            <v>a=1.0 x t</v>
          </cell>
          <cell r="C298">
            <v>10</v>
          </cell>
          <cell r="F298">
            <v>3</v>
          </cell>
          <cell r="G298">
            <v>6</v>
          </cell>
          <cell r="H298">
            <v>1.38</v>
          </cell>
          <cell r="I298">
            <v>1.2921348314606741E-2</v>
          </cell>
          <cell r="J298">
            <v>106.8</v>
          </cell>
          <cell r="K298">
            <v>10</v>
          </cell>
          <cell r="L298">
            <v>20</v>
          </cell>
          <cell r="M298">
            <v>30</v>
          </cell>
          <cell r="N298">
            <v>40</v>
          </cell>
          <cell r="O298">
            <v>90</v>
          </cell>
          <cell r="P298">
            <v>120</v>
          </cell>
        </row>
        <row r="299">
          <cell r="A299" t="str">
            <v>CFRHS500x300x6</v>
          </cell>
          <cell r="B299" t="str">
            <v>a=1.0 x t</v>
          </cell>
          <cell r="C299">
            <v>6</v>
          </cell>
          <cell r="D299" t="str">
            <v>-</v>
          </cell>
          <cell r="E299"/>
          <cell r="F299">
            <v>3</v>
          </cell>
          <cell r="G299">
            <v>2</v>
          </cell>
          <cell r="H299">
            <v>1.57</v>
          </cell>
          <cell r="I299">
            <v>2.1360544217687075E-2</v>
          </cell>
          <cell r="J299">
            <v>73.5</v>
          </cell>
          <cell r="K299">
            <v>10</v>
          </cell>
          <cell r="L299">
            <v>20</v>
          </cell>
          <cell r="M299">
            <v>30</v>
          </cell>
          <cell r="N299">
            <v>40</v>
          </cell>
          <cell r="O299">
            <v>90</v>
          </cell>
          <cell r="P299">
            <v>120</v>
          </cell>
        </row>
        <row r="300">
          <cell r="A300" t="str">
            <v>CFRHS500x300x6.3</v>
          </cell>
          <cell r="B300" t="str">
            <v>a=1.0 x t</v>
          </cell>
          <cell r="C300">
            <v>6.3</v>
          </cell>
          <cell r="D300" t="str">
            <v>-</v>
          </cell>
          <cell r="E300"/>
          <cell r="F300">
            <v>3</v>
          </cell>
          <cell r="G300">
            <v>2</v>
          </cell>
          <cell r="H300">
            <v>1.57</v>
          </cell>
          <cell r="I300">
            <v>2.0442708333333334E-2</v>
          </cell>
          <cell r="J300">
            <v>76.8</v>
          </cell>
          <cell r="K300">
            <v>10</v>
          </cell>
          <cell r="L300">
            <v>20</v>
          </cell>
          <cell r="M300">
            <v>30</v>
          </cell>
          <cell r="N300">
            <v>40</v>
          </cell>
          <cell r="O300">
            <v>90</v>
          </cell>
          <cell r="P300">
            <v>120</v>
          </cell>
        </row>
        <row r="301">
          <cell r="A301" t="str">
            <v>CFRHS500x300x8</v>
          </cell>
          <cell r="B301" t="str">
            <v>a=1.0 x t</v>
          </cell>
          <cell r="C301">
            <v>8</v>
          </cell>
          <cell r="D301" t="str">
            <v>-</v>
          </cell>
          <cell r="E301"/>
          <cell r="F301">
            <v>3</v>
          </cell>
          <cell r="G301">
            <v>3</v>
          </cell>
          <cell r="H301">
            <v>1.58</v>
          </cell>
          <cell r="I301">
            <v>1.6106014271151887E-2</v>
          </cell>
          <cell r="J301">
            <v>98.1</v>
          </cell>
          <cell r="K301">
            <v>10</v>
          </cell>
          <cell r="L301">
            <v>20</v>
          </cell>
          <cell r="M301">
            <v>30</v>
          </cell>
          <cell r="N301">
            <v>40</v>
          </cell>
          <cell r="O301">
            <v>90</v>
          </cell>
          <cell r="P301">
            <v>120</v>
          </cell>
        </row>
        <row r="302">
          <cell r="A302" t="str">
            <v>CFRHS500x300x10</v>
          </cell>
          <cell r="B302" t="str">
            <v>a=1.0 x t</v>
          </cell>
          <cell r="C302">
            <v>10</v>
          </cell>
          <cell r="D302" t="str">
            <v>-</v>
          </cell>
          <cell r="E302"/>
          <cell r="F302">
            <v>3</v>
          </cell>
          <cell r="G302">
            <v>6</v>
          </cell>
          <cell r="H302">
            <v>1.57</v>
          </cell>
          <cell r="I302">
            <v>1.2900575184880855E-2</v>
          </cell>
          <cell r="J302">
            <v>121.7</v>
          </cell>
          <cell r="K302">
            <v>10</v>
          </cell>
          <cell r="L302">
            <v>20</v>
          </cell>
          <cell r="M302">
            <v>30</v>
          </cell>
          <cell r="N302">
            <v>40</v>
          </cell>
          <cell r="O302">
            <v>90</v>
          </cell>
          <cell r="P302">
            <v>120</v>
          </cell>
        </row>
        <row r="303">
          <cell r="A303" t="str">
            <v>CFRHS500x300x12</v>
          </cell>
          <cell r="B303" t="str">
            <v>a=1.0 x t</v>
          </cell>
          <cell r="C303">
            <v>12</v>
          </cell>
          <cell r="D303"/>
          <cell r="E303" t="str">
            <v>Jah</v>
          </cell>
          <cell r="F303">
            <v>3</v>
          </cell>
          <cell r="G303">
            <v>6</v>
          </cell>
          <cell r="H303">
            <v>1.57</v>
          </cell>
          <cell r="I303">
            <v>1.0812672176308541E-2</v>
          </cell>
          <cell r="J303">
            <v>145.19999999999999</v>
          </cell>
          <cell r="K303">
            <v>10</v>
          </cell>
          <cell r="L303">
            <v>20</v>
          </cell>
          <cell r="M303">
            <v>30</v>
          </cell>
          <cell r="N303">
            <v>40</v>
          </cell>
          <cell r="O303">
            <v>90</v>
          </cell>
          <cell r="P303">
            <v>120</v>
          </cell>
        </row>
        <row r="304">
          <cell r="A304" t="str">
            <v>CFRHS500x300x12.5</v>
          </cell>
          <cell r="B304" t="str">
            <v>a=1.0 x t</v>
          </cell>
          <cell r="C304">
            <v>12.5</v>
          </cell>
          <cell r="D304"/>
          <cell r="E304" t="str">
            <v>Jah</v>
          </cell>
          <cell r="F304">
            <v>3</v>
          </cell>
          <cell r="G304">
            <v>6</v>
          </cell>
          <cell r="H304">
            <v>1.57</v>
          </cell>
          <cell r="I304">
            <v>1.0363036303630363E-2</v>
          </cell>
          <cell r="J304">
            <v>151.5</v>
          </cell>
          <cell r="K304">
            <v>10</v>
          </cell>
          <cell r="L304">
            <v>20</v>
          </cell>
          <cell r="M304">
            <v>30</v>
          </cell>
          <cell r="N304">
            <v>40</v>
          </cell>
          <cell r="O304">
            <v>90</v>
          </cell>
          <cell r="P304">
            <v>120</v>
          </cell>
        </row>
        <row r="305">
          <cell r="A305" t="str">
            <v>CFRHS25x25x2</v>
          </cell>
          <cell r="B305" t="str">
            <v>a=1.0 x t</v>
          </cell>
          <cell r="C305">
            <v>2</v>
          </cell>
          <cell r="D305"/>
          <cell r="E305"/>
          <cell r="F305">
            <v>1</v>
          </cell>
          <cell r="G305">
            <v>1</v>
          </cell>
          <cell r="H305">
            <v>9.3100000000000002E-2</v>
          </cell>
          <cell r="I305">
            <v>6.6500000000000004E-2</v>
          </cell>
          <cell r="J305">
            <v>1.4</v>
          </cell>
          <cell r="K305">
            <v>2</v>
          </cell>
          <cell r="L305">
            <v>5</v>
          </cell>
          <cell r="M305">
            <v>10</v>
          </cell>
          <cell r="N305">
            <v>20</v>
          </cell>
          <cell r="O305">
            <v>30</v>
          </cell>
          <cell r="P305">
            <v>60</v>
          </cell>
        </row>
        <row r="306">
          <cell r="A306" t="str">
            <v>CFRHS25x25x2.5</v>
          </cell>
          <cell r="B306" t="str">
            <v>a=1.0 x t</v>
          </cell>
          <cell r="C306">
            <v>2.5</v>
          </cell>
          <cell r="D306"/>
          <cell r="E306"/>
          <cell r="F306">
            <v>1</v>
          </cell>
          <cell r="G306">
            <v>1</v>
          </cell>
          <cell r="H306">
            <v>9.4E-2</v>
          </cell>
          <cell r="I306">
            <v>5.2222222222222218E-2</v>
          </cell>
          <cell r="J306">
            <v>1.8</v>
          </cell>
          <cell r="K306">
            <v>2</v>
          </cell>
          <cell r="L306">
            <v>5</v>
          </cell>
          <cell r="M306">
            <v>10</v>
          </cell>
          <cell r="N306">
            <v>20</v>
          </cell>
          <cell r="O306">
            <v>30</v>
          </cell>
          <cell r="P306">
            <v>60</v>
          </cell>
        </row>
        <row r="307">
          <cell r="A307" t="str">
            <v>CFRHS25x25x3</v>
          </cell>
          <cell r="B307" t="str">
            <v>a=1.0 x t</v>
          </cell>
          <cell r="C307">
            <v>3</v>
          </cell>
          <cell r="D307" t="str">
            <v>-</v>
          </cell>
          <cell r="E307"/>
          <cell r="F307">
            <v>1</v>
          </cell>
          <cell r="G307">
            <v>1</v>
          </cell>
          <cell r="H307">
            <v>8.8999999999999996E-2</v>
          </cell>
          <cell r="I307">
            <v>4.6842105263157893E-2</v>
          </cell>
          <cell r="J307">
            <v>1.9</v>
          </cell>
          <cell r="K307">
            <v>2</v>
          </cell>
          <cell r="L307">
            <v>5</v>
          </cell>
          <cell r="M307">
            <v>10</v>
          </cell>
          <cell r="N307">
            <v>20</v>
          </cell>
          <cell r="O307">
            <v>30</v>
          </cell>
          <cell r="P307">
            <v>60</v>
          </cell>
        </row>
        <row r="308">
          <cell r="A308" t="str">
            <v>CFRHS25x25x4</v>
          </cell>
          <cell r="B308" t="str">
            <v>a=1.0 x t</v>
          </cell>
          <cell r="C308">
            <v>4</v>
          </cell>
          <cell r="D308"/>
          <cell r="E308"/>
          <cell r="F308">
            <v>1</v>
          </cell>
          <cell r="G308">
            <v>1</v>
          </cell>
          <cell r="H308">
            <v>8.5999999999999993E-2</v>
          </cell>
          <cell r="I308">
            <v>3.7391304347826088E-2</v>
          </cell>
          <cell r="J308">
            <v>2.2999999999999998</v>
          </cell>
          <cell r="K308">
            <v>2</v>
          </cell>
          <cell r="L308">
            <v>5</v>
          </cell>
          <cell r="M308">
            <v>10</v>
          </cell>
          <cell r="N308">
            <v>20</v>
          </cell>
          <cell r="O308">
            <v>30</v>
          </cell>
          <cell r="P308">
            <v>60</v>
          </cell>
        </row>
        <row r="309">
          <cell r="A309" t="str">
            <v>CFRHS30x30x2</v>
          </cell>
          <cell r="B309" t="str">
            <v>a=1.0 x t</v>
          </cell>
          <cell r="C309">
            <v>2</v>
          </cell>
          <cell r="D309" t="str">
            <v>-</v>
          </cell>
          <cell r="E309"/>
          <cell r="F309">
            <v>1</v>
          </cell>
          <cell r="G309">
            <v>1</v>
          </cell>
          <cell r="H309">
            <v>0.113</v>
          </cell>
          <cell r="I309">
            <v>6.6470588235294115E-2</v>
          </cell>
          <cell r="J309">
            <v>1.7</v>
          </cell>
          <cell r="K309">
            <v>2</v>
          </cell>
          <cell r="L309">
            <v>5</v>
          </cell>
          <cell r="M309">
            <v>10</v>
          </cell>
          <cell r="N309">
            <v>20</v>
          </cell>
          <cell r="O309">
            <v>30</v>
          </cell>
          <cell r="P309">
            <v>60</v>
          </cell>
        </row>
        <row r="310">
          <cell r="A310" t="str">
            <v>CFRHS30x30x2.5</v>
          </cell>
          <cell r="B310" t="str">
            <v>a=1.0 x t</v>
          </cell>
          <cell r="C310">
            <v>2.5</v>
          </cell>
          <cell r="D310" t="str">
            <v>-</v>
          </cell>
          <cell r="E310"/>
          <cell r="F310">
            <v>1</v>
          </cell>
          <cell r="G310">
            <v>1</v>
          </cell>
          <cell r="H310">
            <v>0.111</v>
          </cell>
          <cell r="I310">
            <v>5.5500000000000001E-2</v>
          </cell>
          <cell r="J310">
            <v>2</v>
          </cell>
          <cell r="K310">
            <v>2</v>
          </cell>
          <cell r="L310">
            <v>5</v>
          </cell>
          <cell r="M310">
            <v>10</v>
          </cell>
          <cell r="N310">
            <v>20</v>
          </cell>
          <cell r="O310">
            <v>30</v>
          </cell>
          <cell r="P310">
            <v>60</v>
          </cell>
        </row>
        <row r="311">
          <cell r="A311" t="str">
            <v>CFRHS30x30x3</v>
          </cell>
          <cell r="B311" t="str">
            <v>a=1.0 x t</v>
          </cell>
          <cell r="C311">
            <v>3</v>
          </cell>
          <cell r="D311" t="str">
            <v>-</v>
          </cell>
          <cell r="E311"/>
          <cell r="F311">
            <v>1</v>
          </cell>
          <cell r="G311">
            <v>1</v>
          </cell>
          <cell r="H311">
            <v>0.11</v>
          </cell>
          <cell r="I311">
            <v>4.5833333333333337E-2</v>
          </cell>
          <cell r="J311">
            <v>2.4</v>
          </cell>
          <cell r="K311">
            <v>2</v>
          </cell>
          <cell r="L311">
            <v>5</v>
          </cell>
          <cell r="M311">
            <v>10</v>
          </cell>
          <cell r="N311">
            <v>20</v>
          </cell>
          <cell r="O311">
            <v>30</v>
          </cell>
          <cell r="P311">
            <v>60</v>
          </cell>
        </row>
        <row r="312">
          <cell r="A312" t="str">
            <v>CFRHS40x40x2</v>
          </cell>
          <cell r="B312" t="str">
            <v>a=1.0 x t</v>
          </cell>
          <cell r="C312">
            <v>2</v>
          </cell>
          <cell r="D312"/>
          <cell r="E312"/>
          <cell r="F312">
            <v>1</v>
          </cell>
          <cell r="G312">
            <v>1</v>
          </cell>
          <cell r="H312">
            <v>0.153</v>
          </cell>
          <cell r="I312">
            <v>6.6521739130434784E-2</v>
          </cell>
          <cell r="J312">
            <v>2.2999999999999998</v>
          </cell>
          <cell r="K312">
            <v>2</v>
          </cell>
          <cell r="L312">
            <v>5</v>
          </cell>
          <cell r="M312">
            <v>10</v>
          </cell>
          <cell r="N312">
            <v>20</v>
          </cell>
          <cell r="O312">
            <v>30</v>
          </cell>
          <cell r="P312">
            <v>60</v>
          </cell>
        </row>
        <row r="313">
          <cell r="A313" t="str">
            <v>CFRHS40x40x2.5</v>
          </cell>
          <cell r="B313" t="str">
            <v>a=1.0 x t</v>
          </cell>
          <cell r="C313">
            <v>2.5</v>
          </cell>
          <cell r="D313"/>
          <cell r="E313"/>
          <cell r="F313">
            <v>1</v>
          </cell>
          <cell r="G313">
            <v>1</v>
          </cell>
          <cell r="H313">
            <v>0.151</v>
          </cell>
          <cell r="I313">
            <v>5.392857142857143E-2</v>
          </cell>
          <cell r="J313">
            <v>2.8</v>
          </cell>
          <cell r="K313">
            <v>2</v>
          </cell>
          <cell r="L313">
            <v>5</v>
          </cell>
          <cell r="M313">
            <v>10</v>
          </cell>
          <cell r="N313">
            <v>20</v>
          </cell>
          <cell r="O313">
            <v>30</v>
          </cell>
          <cell r="P313">
            <v>60</v>
          </cell>
        </row>
        <row r="314">
          <cell r="A314" t="str">
            <v>CFRHS40x40x3</v>
          </cell>
          <cell r="B314" t="str">
            <v>a=1.0 x t</v>
          </cell>
          <cell r="C314">
            <v>3</v>
          </cell>
          <cell r="D314" t="str">
            <v>-</v>
          </cell>
          <cell r="E314"/>
          <cell r="F314">
            <v>1</v>
          </cell>
          <cell r="G314">
            <v>1</v>
          </cell>
          <cell r="H314">
            <v>0.15</v>
          </cell>
          <cell r="I314">
            <v>4.5454545454545456E-2</v>
          </cell>
          <cell r="J314">
            <v>3.3</v>
          </cell>
          <cell r="K314">
            <v>2</v>
          </cell>
          <cell r="L314">
            <v>5</v>
          </cell>
          <cell r="M314">
            <v>10</v>
          </cell>
          <cell r="N314">
            <v>20</v>
          </cell>
          <cell r="O314">
            <v>30</v>
          </cell>
          <cell r="P314">
            <v>60</v>
          </cell>
        </row>
        <row r="315">
          <cell r="A315" t="str">
            <v>CFRHS40x40x4</v>
          </cell>
          <cell r="B315" t="str">
            <v>a=1.0 x t</v>
          </cell>
          <cell r="C315">
            <v>4</v>
          </cell>
          <cell r="D315"/>
          <cell r="E315"/>
          <cell r="F315">
            <v>1</v>
          </cell>
          <cell r="G315">
            <v>1</v>
          </cell>
          <cell r="H315">
            <v>0.14599999999999999</v>
          </cell>
          <cell r="I315">
            <v>3.4761904761904758E-2</v>
          </cell>
          <cell r="J315">
            <v>4.2</v>
          </cell>
          <cell r="K315">
            <v>2</v>
          </cell>
          <cell r="L315">
            <v>5</v>
          </cell>
          <cell r="M315">
            <v>10</v>
          </cell>
          <cell r="N315">
            <v>20</v>
          </cell>
          <cell r="O315">
            <v>30</v>
          </cell>
          <cell r="P315">
            <v>60</v>
          </cell>
        </row>
        <row r="316">
          <cell r="A316" t="str">
            <v>CFRHS40x40x5</v>
          </cell>
          <cell r="B316" t="str">
            <v>a=1.0 x t</v>
          </cell>
          <cell r="C316">
            <v>5</v>
          </cell>
          <cell r="D316"/>
          <cell r="E316"/>
          <cell r="F316">
            <v>1</v>
          </cell>
          <cell r="G316">
            <v>1</v>
          </cell>
          <cell r="H316">
            <v>0.14299999999999999</v>
          </cell>
          <cell r="I316">
            <v>2.8599999999999997E-2</v>
          </cell>
          <cell r="J316">
            <v>5</v>
          </cell>
          <cell r="K316">
            <v>2</v>
          </cell>
          <cell r="L316">
            <v>5</v>
          </cell>
          <cell r="M316">
            <v>10</v>
          </cell>
          <cell r="N316">
            <v>20</v>
          </cell>
          <cell r="O316">
            <v>30</v>
          </cell>
          <cell r="P316">
            <v>60</v>
          </cell>
        </row>
        <row r="317">
          <cell r="A317" t="str">
            <v>CFRHS50x50x2</v>
          </cell>
          <cell r="B317" t="str">
            <v>a=1.0 x t</v>
          </cell>
          <cell r="C317">
            <v>2</v>
          </cell>
          <cell r="D317"/>
          <cell r="E317"/>
          <cell r="F317">
            <v>1</v>
          </cell>
          <cell r="G317">
            <v>1</v>
          </cell>
          <cell r="H317">
            <v>0.193</v>
          </cell>
          <cell r="I317">
            <v>6.6551724137931034E-2</v>
          </cell>
          <cell r="J317">
            <v>2.9</v>
          </cell>
          <cell r="K317">
            <v>2</v>
          </cell>
          <cell r="L317">
            <v>5</v>
          </cell>
          <cell r="M317">
            <v>10</v>
          </cell>
          <cell r="N317">
            <v>20</v>
          </cell>
          <cell r="O317">
            <v>30</v>
          </cell>
          <cell r="P317">
            <v>60</v>
          </cell>
        </row>
        <row r="318">
          <cell r="A318" t="str">
            <v>CFRHS50x50x3</v>
          </cell>
          <cell r="B318" t="str">
            <v>a=1.0 x t</v>
          </cell>
          <cell r="C318">
            <v>3</v>
          </cell>
          <cell r="D318" t="str">
            <v>-</v>
          </cell>
          <cell r="E318"/>
          <cell r="F318">
            <v>1</v>
          </cell>
          <cell r="G318">
            <v>1</v>
          </cell>
          <cell r="H318">
            <v>0.189</v>
          </cell>
          <cell r="I318">
            <v>4.4999999999999998E-2</v>
          </cell>
          <cell r="J318">
            <v>4.2</v>
          </cell>
          <cell r="K318">
            <v>2</v>
          </cell>
          <cell r="L318">
            <v>5</v>
          </cell>
          <cell r="M318">
            <v>10</v>
          </cell>
          <cell r="N318">
            <v>20</v>
          </cell>
          <cell r="O318">
            <v>30</v>
          </cell>
          <cell r="P318">
            <v>60</v>
          </cell>
        </row>
        <row r="319">
          <cell r="A319" t="str">
            <v>CFRHS50x50x4</v>
          </cell>
          <cell r="B319" t="str">
            <v>a=1.0 x t</v>
          </cell>
          <cell r="C319">
            <v>4</v>
          </cell>
          <cell r="D319"/>
          <cell r="E319"/>
          <cell r="F319">
            <v>1</v>
          </cell>
          <cell r="G319">
            <v>1</v>
          </cell>
          <cell r="H319">
            <v>0.185</v>
          </cell>
          <cell r="I319">
            <v>3.3636363636363638E-2</v>
          </cell>
          <cell r="J319">
            <v>5.5</v>
          </cell>
          <cell r="K319">
            <v>2</v>
          </cell>
          <cell r="L319">
            <v>5</v>
          </cell>
          <cell r="M319">
            <v>10</v>
          </cell>
          <cell r="N319">
            <v>20</v>
          </cell>
          <cell r="O319">
            <v>30</v>
          </cell>
          <cell r="P319">
            <v>60</v>
          </cell>
        </row>
        <row r="320">
          <cell r="A320" t="str">
            <v>CFRHS50x50x5</v>
          </cell>
          <cell r="B320" t="str">
            <v>a=1.0 x t</v>
          </cell>
          <cell r="C320">
            <v>5</v>
          </cell>
          <cell r="D320"/>
          <cell r="E320"/>
          <cell r="F320">
            <v>1</v>
          </cell>
          <cell r="G320">
            <v>1</v>
          </cell>
          <cell r="H320">
            <v>0.183</v>
          </cell>
          <cell r="I320">
            <v>2.7727272727272729E-2</v>
          </cell>
          <cell r="J320">
            <v>6.6</v>
          </cell>
          <cell r="K320">
            <v>2</v>
          </cell>
          <cell r="L320">
            <v>5</v>
          </cell>
          <cell r="M320">
            <v>10</v>
          </cell>
          <cell r="N320">
            <v>20</v>
          </cell>
          <cell r="O320">
            <v>30</v>
          </cell>
          <cell r="P320">
            <v>60</v>
          </cell>
        </row>
        <row r="321">
          <cell r="A321" t="str">
            <v>CFRHS50x50x6</v>
          </cell>
          <cell r="B321" t="str">
            <v>a=1.0 x t</v>
          </cell>
          <cell r="C321">
            <v>6</v>
          </cell>
          <cell r="D321"/>
          <cell r="E321"/>
          <cell r="F321">
            <v>1</v>
          </cell>
          <cell r="G321">
            <v>1</v>
          </cell>
          <cell r="H321">
            <v>0.17899999999999999</v>
          </cell>
          <cell r="I321">
            <v>2.355263157894737E-2</v>
          </cell>
          <cell r="J321">
            <v>7.6</v>
          </cell>
          <cell r="K321">
            <v>2</v>
          </cell>
          <cell r="L321">
            <v>5</v>
          </cell>
          <cell r="M321">
            <v>10</v>
          </cell>
          <cell r="N321">
            <v>20</v>
          </cell>
          <cell r="O321">
            <v>30</v>
          </cell>
          <cell r="P321">
            <v>60</v>
          </cell>
        </row>
        <row r="322">
          <cell r="A322" t="str">
            <v>CFRHS60x60x2</v>
          </cell>
          <cell r="B322" t="str">
            <v>a=1.0 x t</v>
          </cell>
          <cell r="C322">
            <v>2</v>
          </cell>
          <cell r="D322"/>
          <cell r="E322"/>
          <cell r="F322">
            <v>1</v>
          </cell>
          <cell r="G322">
            <v>1</v>
          </cell>
          <cell r="H322">
            <v>0.23300000000000001</v>
          </cell>
          <cell r="I322">
            <v>6.4722222222222223E-2</v>
          </cell>
          <cell r="J322">
            <v>3.6</v>
          </cell>
          <cell r="K322">
            <v>2</v>
          </cell>
          <cell r="L322">
            <v>5</v>
          </cell>
          <cell r="M322">
            <v>10</v>
          </cell>
          <cell r="N322">
            <v>20</v>
          </cell>
          <cell r="O322">
            <v>30</v>
          </cell>
          <cell r="P322">
            <v>60</v>
          </cell>
        </row>
        <row r="323">
          <cell r="A323" t="str">
            <v>CFRHS60x60x3</v>
          </cell>
          <cell r="B323" t="str">
            <v>a=1.0 x t</v>
          </cell>
          <cell r="C323">
            <v>3</v>
          </cell>
          <cell r="D323" t="str">
            <v>-</v>
          </cell>
          <cell r="E323"/>
          <cell r="F323">
            <v>1</v>
          </cell>
          <cell r="G323">
            <v>1</v>
          </cell>
          <cell r="H323">
            <v>0.23</v>
          </cell>
          <cell r="I323">
            <v>4.4230769230769233E-2</v>
          </cell>
          <cell r="J323">
            <v>5.2</v>
          </cell>
          <cell r="K323">
            <v>2</v>
          </cell>
          <cell r="L323">
            <v>5</v>
          </cell>
          <cell r="M323">
            <v>10</v>
          </cell>
          <cell r="N323">
            <v>20</v>
          </cell>
          <cell r="O323">
            <v>30</v>
          </cell>
          <cell r="P323">
            <v>60</v>
          </cell>
        </row>
        <row r="324">
          <cell r="A324" t="str">
            <v>CFRHS60x60x4</v>
          </cell>
          <cell r="B324" t="str">
            <v>a=1.0 x t</v>
          </cell>
          <cell r="C324">
            <v>4</v>
          </cell>
          <cell r="D324"/>
          <cell r="E324"/>
          <cell r="F324">
            <v>1</v>
          </cell>
          <cell r="G324">
            <v>1</v>
          </cell>
          <cell r="H324">
            <v>0.22600000000000001</v>
          </cell>
          <cell r="I324">
            <v>3.3731343283582092E-2</v>
          </cell>
          <cell r="J324">
            <v>6.7</v>
          </cell>
          <cell r="K324">
            <v>2</v>
          </cell>
          <cell r="L324">
            <v>5</v>
          </cell>
          <cell r="M324">
            <v>10</v>
          </cell>
          <cell r="N324">
            <v>20</v>
          </cell>
          <cell r="O324">
            <v>30</v>
          </cell>
          <cell r="P324">
            <v>60</v>
          </cell>
        </row>
        <row r="325">
          <cell r="A325" t="str">
            <v>CFRHS60x60x5</v>
          </cell>
          <cell r="B325" t="str">
            <v>a=1.0 x t</v>
          </cell>
          <cell r="C325">
            <v>5</v>
          </cell>
          <cell r="D325"/>
          <cell r="E325"/>
          <cell r="F325">
            <v>1</v>
          </cell>
          <cell r="G325">
            <v>1</v>
          </cell>
          <cell r="H325">
            <v>0.223</v>
          </cell>
          <cell r="I325">
            <v>2.7195121951219516E-2</v>
          </cell>
          <cell r="J325">
            <v>8.1999999999999993</v>
          </cell>
          <cell r="K325">
            <v>2</v>
          </cell>
          <cell r="L325">
            <v>5</v>
          </cell>
          <cell r="M325">
            <v>10</v>
          </cell>
          <cell r="N325">
            <v>20</v>
          </cell>
          <cell r="O325">
            <v>30</v>
          </cell>
          <cell r="P325">
            <v>60</v>
          </cell>
        </row>
        <row r="326">
          <cell r="A326" t="str">
            <v>CFRHS60x60x6</v>
          </cell>
          <cell r="B326" t="str">
            <v>a=1.0 x t</v>
          </cell>
          <cell r="C326">
            <v>6</v>
          </cell>
          <cell r="D326"/>
          <cell r="E326"/>
          <cell r="F326">
            <v>1</v>
          </cell>
          <cell r="G326">
            <v>1</v>
          </cell>
          <cell r="H326">
            <v>0.219</v>
          </cell>
          <cell r="I326">
            <v>2.3297872340425532E-2</v>
          </cell>
          <cell r="J326">
            <v>9.4</v>
          </cell>
          <cell r="K326">
            <v>2</v>
          </cell>
          <cell r="L326">
            <v>5</v>
          </cell>
          <cell r="M326">
            <v>10</v>
          </cell>
          <cell r="N326">
            <v>20</v>
          </cell>
          <cell r="O326">
            <v>30</v>
          </cell>
          <cell r="P326">
            <v>60</v>
          </cell>
        </row>
        <row r="327">
          <cell r="A327" t="str">
            <v>CFRHS70x70x2.5</v>
          </cell>
          <cell r="B327" t="str">
            <v>a=1.0 x t</v>
          </cell>
          <cell r="C327">
            <v>2.5</v>
          </cell>
          <cell r="D327"/>
          <cell r="E327"/>
          <cell r="F327">
            <v>1</v>
          </cell>
          <cell r="G327">
            <v>1</v>
          </cell>
          <cell r="H327">
            <v>0.27100000000000002</v>
          </cell>
          <cell r="I327">
            <v>5.2115384615384619E-2</v>
          </cell>
          <cell r="J327">
            <v>5.2</v>
          </cell>
          <cell r="K327">
            <v>2</v>
          </cell>
          <cell r="L327">
            <v>5</v>
          </cell>
          <cell r="M327">
            <v>10</v>
          </cell>
          <cell r="N327">
            <v>20</v>
          </cell>
          <cell r="O327">
            <v>30</v>
          </cell>
          <cell r="P327">
            <v>60</v>
          </cell>
        </row>
        <row r="328">
          <cell r="A328" t="str">
            <v>CFRHS70x70x3</v>
          </cell>
          <cell r="B328" t="str">
            <v>a=1.0 x t</v>
          </cell>
          <cell r="C328">
            <v>3</v>
          </cell>
          <cell r="D328" t="str">
            <v>-</v>
          </cell>
          <cell r="E328"/>
          <cell r="F328">
            <v>1</v>
          </cell>
          <cell r="G328">
            <v>1</v>
          </cell>
          <cell r="H328">
            <v>0.27</v>
          </cell>
          <cell r="I328">
            <v>4.4262295081967218E-2</v>
          </cell>
          <cell r="J328">
            <v>6.1</v>
          </cell>
          <cell r="K328">
            <v>2</v>
          </cell>
          <cell r="L328">
            <v>5</v>
          </cell>
          <cell r="M328">
            <v>10</v>
          </cell>
          <cell r="N328">
            <v>20</v>
          </cell>
          <cell r="O328">
            <v>30</v>
          </cell>
          <cell r="P328">
            <v>60</v>
          </cell>
        </row>
        <row r="329">
          <cell r="A329" t="str">
            <v>CFRHS70x70x4</v>
          </cell>
          <cell r="B329" t="str">
            <v>a=1.0 x t</v>
          </cell>
          <cell r="C329">
            <v>4</v>
          </cell>
          <cell r="D329"/>
          <cell r="E329"/>
          <cell r="F329">
            <v>1</v>
          </cell>
          <cell r="G329">
            <v>1</v>
          </cell>
          <cell r="H329">
            <v>0.26600000000000001</v>
          </cell>
          <cell r="I329">
            <v>3.3670886075949369E-2</v>
          </cell>
          <cell r="J329">
            <v>7.9</v>
          </cell>
          <cell r="K329">
            <v>2</v>
          </cell>
          <cell r="L329">
            <v>5</v>
          </cell>
          <cell r="M329">
            <v>10</v>
          </cell>
          <cell r="N329">
            <v>20</v>
          </cell>
          <cell r="O329">
            <v>30</v>
          </cell>
          <cell r="P329">
            <v>60</v>
          </cell>
        </row>
        <row r="330">
          <cell r="A330" t="str">
            <v>CFRHS70x70x5</v>
          </cell>
          <cell r="B330" t="str">
            <v>a=1.0 x t</v>
          </cell>
          <cell r="C330">
            <v>5</v>
          </cell>
          <cell r="D330"/>
          <cell r="E330"/>
          <cell r="F330">
            <v>1</v>
          </cell>
          <cell r="G330">
            <v>1</v>
          </cell>
          <cell r="H330">
            <v>0.26300000000000001</v>
          </cell>
          <cell r="I330">
            <v>2.7113402061855672E-2</v>
          </cell>
          <cell r="J330">
            <v>9.6999999999999993</v>
          </cell>
          <cell r="K330">
            <v>2</v>
          </cell>
          <cell r="L330">
            <v>5</v>
          </cell>
          <cell r="M330">
            <v>10</v>
          </cell>
          <cell r="N330">
            <v>20</v>
          </cell>
          <cell r="O330">
            <v>30</v>
          </cell>
          <cell r="P330">
            <v>60</v>
          </cell>
        </row>
        <row r="331">
          <cell r="A331" t="str">
            <v>CFRHS70x70x6</v>
          </cell>
          <cell r="B331" t="str">
            <v>a=1.0 x t</v>
          </cell>
          <cell r="C331">
            <v>6</v>
          </cell>
          <cell r="D331"/>
          <cell r="E331"/>
          <cell r="F331">
            <v>1</v>
          </cell>
          <cell r="G331">
            <v>1</v>
          </cell>
          <cell r="H331">
            <v>0.25900000000000001</v>
          </cell>
          <cell r="I331">
            <v>2.2920353982300884E-2</v>
          </cell>
          <cell r="J331">
            <v>11.3</v>
          </cell>
          <cell r="K331">
            <v>2</v>
          </cell>
          <cell r="L331">
            <v>5</v>
          </cell>
          <cell r="M331">
            <v>10</v>
          </cell>
          <cell r="N331">
            <v>20</v>
          </cell>
          <cell r="O331">
            <v>30</v>
          </cell>
          <cell r="P331">
            <v>60</v>
          </cell>
        </row>
        <row r="332">
          <cell r="A332" t="str">
            <v>CFRHS80x80x3</v>
          </cell>
          <cell r="B332" t="str">
            <v>a=1.0 x t</v>
          </cell>
          <cell r="C332">
            <v>3</v>
          </cell>
          <cell r="D332" t="str">
            <v>-</v>
          </cell>
          <cell r="E332"/>
          <cell r="F332">
            <v>1</v>
          </cell>
          <cell r="G332">
            <v>1</v>
          </cell>
          <cell r="H332">
            <v>0.31</v>
          </cell>
          <cell r="I332">
            <v>4.366197183098592E-2</v>
          </cell>
          <cell r="J332">
            <v>7.1</v>
          </cell>
          <cell r="K332">
            <v>2</v>
          </cell>
          <cell r="L332">
            <v>5</v>
          </cell>
          <cell r="M332">
            <v>10</v>
          </cell>
          <cell r="N332">
            <v>20</v>
          </cell>
          <cell r="O332">
            <v>30</v>
          </cell>
          <cell r="P332">
            <v>60</v>
          </cell>
        </row>
        <row r="333">
          <cell r="A333" t="str">
            <v>CFRHS80x80x4</v>
          </cell>
          <cell r="B333" t="str">
            <v>a=1.0 x t</v>
          </cell>
          <cell r="C333">
            <v>4</v>
          </cell>
          <cell r="D333"/>
          <cell r="E333"/>
          <cell r="F333">
            <v>1</v>
          </cell>
          <cell r="G333">
            <v>1</v>
          </cell>
          <cell r="H333">
            <v>0.30599999999999999</v>
          </cell>
          <cell r="I333">
            <v>3.3260869565217392E-2</v>
          </cell>
          <cell r="J333">
            <v>9.1999999999999993</v>
          </cell>
          <cell r="K333">
            <v>2</v>
          </cell>
          <cell r="L333">
            <v>5</v>
          </cell>
          <cell r="M333">
            <v>10</v>
          </cell>
          <cell r="N333">
            <v>20</v>
          </cell>
          <cell r="O333">
            <v>30</v>
          </cell>
          <cell r="P333">
            <v>60</v>
          </cell>
        </row>
        <row r="334">
          <cell r="A334" t="str">
            <v>CFRHS80x80x5</v>
          </cell>
          <cell r="B334" t="str">
            <v>a=1.0 x t</v>
          </cell>
          <cell r="C334">
            <v>5</v>
          </cell>
          <cell r="D334"/>
          <cell r="E334"/>
          <cell r="F334">
            <v>1</v>
          </cell>
          <cell r="G334">
            <v>1</v>
          </cell>
          <cell r="H334">
            <v>0.30299999999999999</v>
          </cell>
          <cell r="I334">
            <v>2.6814159292035396E-2</v>
          </cell>
          <cell r="J334">
            <v>11.3</v>
          </cell>
          <cell r="K334">
            <v>2</v>
          </cell>
          <cell r="L334">
            <v>5</v>
          </cell>
          <cell r="M334">
            <v>10</v>
          </cell>
          <cell r="N334">
            <v>20</v>
          </cell>
          <cell r="O334">
            <v>30</v>
          </cell>
          <cell r="P334">
            <v>60</v>
          </cell>
        </row>
        <row r="335">
          <cell r="A335" t="str">
            <v>CFRHS80x80x6</v>
          </cell>
          <cell r="B335" t="str">
            <v>a=1.0 x t</v>
          </cell>
          <cell r="C335">
            <v>6</v>
          </cell>
          <cell r="D335"/>
          <cell r="E335"/>
          <cell r="F335">
            <v>1</v>
          </cell>
          <cell r="G335">
            <v>1</v>
          </cell>
          <cell r="H335">
            <v>0.29899999999999999</v>
          </cell>
          <cell r="I335">
            <v>2.2651515151515152E-2</v>
          </cell>
          <cell r="J335">
            <v>13.2</v>
          </cell>
          <cell r="K335">
            <v>2</v>
          </cell>
          <cell r="L335">
            <v>5</v>
          </cell>
          <cell r="M335">
            <v>10</v>
          </cell>
          <cell r="N335">
            <v>20</v>
          </cell>
          <cell r="O335">
            <v>30</v>
          </cell>
          <cell r="P335">
            <v>60</v>
          </cell>
        </row>
        <row r="336">
          <cell r="A336" t="str">
            <v>CFRHS80x80x8</v>
          </cell>
          <cell r="B336" t="str">
            <v>a=1.0 x t</v>
          </cell>
          <cell r="C336">
            <v>8</v>
          </cell>
          <cell r="D336"/>
          <cell r="E336"/>
          <cell r="F336">
            <v>1</v>
          </cell>
          <cell r="G336">
            <v>2</v>
          </cell>
          <cell r="H336">
            <v>0.28599999999999998</v>
          </cell>
          <cell r="I336">
            <v>1.7546012269938648E-2</v>
          </cell>
          <cell r="J336">
            <v>16.3</v>
          </cell>
          <cell r="K336">
            <v>2</v>
          </cell>
          <cell r="L336">
            <v>5</v>
          </cell>
          <cell r="M336">
            <v>10</v>
          </cell>
          <cell r="N336">
            <v>20</v>
          </cell>
          <cell r="O336">
            <v>30</v>
          </cell>
          <cell r="P336">
            <v>60</v>
          </cell>
        </row>
        <row r="337">
          <cell r="A337" t="str">
            <v>CFRHS90x90x3</v>
          </cell>
          <cell r="B337" t="str">
            <v>a=1.0 x t</v>
          </cell>
          <cell r="C337">
            <v>3</v>
          </cell>
          <cell r="D337" t="str">
            <v>-</v>
          </cell>
          <cell r="E337"/>
          <cell r="F337">
            <v>1</v>
          </cell>
          <cell r="G337">
            <v>1</v>
          </cell>
          <cell r="H337">
            <v>0.35</v>
          </cell>
          <cell r="I337">
            <v>4.3749999999999997E-2</v>
          </cell>
          <cell r="J337">
            <v>8</v>
          </cell>
          <cell r="K337">
            <v>2</v>
          </cell>
          <cell r="L337">
            <v>5</v>
          </cell>
          <cell r="M337">
            <v>10</v>
          </cell>
          <cell r="N337">
            <v>20</v>
          </cell>
          <cell r="O337">
            <v>30</v>
          </cell>
          <cell r="P337">
            <v>60</v>
          </cell>
        </row>
        <row r="338">
          <cell r="A338" t="str">
            <v>CFRHS90x90x4</v>
          </cell>
          <cell r="B338" t="str">
            <v>a=1.0 x t</v>
          </cell>
          <cell r="C338">
            <v>4</v>
          </cell>
          <cell r="D338"/>
          <cell r="E338"/>
          <cell r="F338">
            <v>1</v>
          </cell>
          <cell r="G338">
            <v>1</v>
          </cell>
          <cell r="H338">
            <v>0.34599999999999997</v>
          </cell>
          <cell r="I338">
            <v>3.3269230769230766E-2</v>
          </cell>
          <cell r="J338">
            <v>10.4</v>
          </cell>
          <cell r="K338">
            <v>2</v>
          </cell>
          <cell r="L338">
            <v>5</v>
          </cell>
          <cell r="M338">
            <v>10</v>
          </cell>
          <cell r="N338">
            <v>20</v>
          </cell>
          <cell r="O338">
            <v>30</v>
          </cell>
          <cell r="P338">
            <v>60</v>
          </cell>
        </row>
        <row r="339">
          <cell r="A339" t="str">
            <v>CFRHS90x90x5</v>
          </cell>
          <cell r="B339" t="str">
            <v>a=1.0 x t</v>
          </cell>
          <cell r="C339">
            <v>5</v>
          </cell>
          <cell r="D339"/>
          <cell r="E339"/>
          <cell r="F339">
            <v>1</v>
          </cell>
          <cell r="G339">
            <v>1</v>
          </cell>
          <cell r="H339">
            <v>0.34300000000000003</v>
          </cell>
          <cell r="I339">
            <v>2.6589147286821706E-2</v>
          </cell>
          <cell r="J339">
            <v>12.9</v>
          </cell>
          <cell r="K339">
            <v>2</v>
          </cell>
          <cell r="L339">
            <v>5</v>
          </cell>
          <cell r="M339">
            <v>10</v>
          </cell>
          <cell r="N339">
            <v>20</v>
          </cell>
          <cell r="O339">
            <v>30</v>
          </cell>
          <cell r="P339">
            <v>60</v>
          </cell>
        </row>
        <row r="340">
          <cell r="A340" t="str">
            <v>CFRHS90x90x6</v>
          </cell>
          <cell r="B340" t="str">
            <v>a=1.0 x t</v>
          </cell>
          <cell r="C340">
            <v>6</v>
          </cell>
          <cell r="D340"/>
          <cell r="E340"/>
          <cell r="F340">
            <v>1</v>
          </cell>
          <cell r="G340">
            <v>1</v>
          </cell>
          <cell r="H340">
            <v>0.33900000000000002</v>
          </cell>
          <cell r="I340">
            <v>2.2450331125827817E-2</v>
          </cell>
          <cell r="J340">
            <v>15.1</v>
          </cell>
          <cell r="K340">
            <v>2</v>
          </cell>
          <cell r="L340">
            <v>5</v>
          </cell>
          <cell r="M340">
            <v>10</v>
          </cell>
          <cell r="N340">
            <v>20</v>
          </cell>
          <cell r="O340">
            <v>30</v>
          </cell>
          <cell r="P340">
            <v>60</v>
          </cell>
        </row>
        <row r="341">
          <cell r="A341" t="str">
            <v>CFRHS100x100x3</v>
          </cell>
          <cell r="B341" t="str">
            <v>a=1.0 x t</v>
          </cell>
          <cell r="C341">
            <v>3</v>
          </cell>
          <cell r="D341" t="str">
            <v>-</v>
          </cell>
          <cell r="E341"/>
          <cell r="F341">
            <v>1</v>
          </cell>
          <cell r="G341">
            <v>1</v>
          </cell>
          <cell r="H341">
            <v>0.39</v>
          </cell>
          <cell r="I341">
            <v>4.3820224719101124E-2</v>
          </cell>
          <cell r="J341">
            <v>8.9</v>
          </cell>
          <cell r="K341">
            <v>2</v>
          </cell>
          <cell r="L341">
            <v>5</v>
          </cell>
          <cell r="M341">
            <v>10</v>
          </cell>
          <cell r="N341">
            <v>20</v>
          </cell>
          <cell r="O341">
            <v>30</v>
          </cell>
          <cell r="P341">
            <v>60</v>
          </cell>
        </row>
        <row r="342">
          <cell r="A342" t="str">
            <v>CFRHS100x100x4</v>
          </cell>
          <cell r="B342" t="str">
            <v>a=1.0 x t</v>
          </cell>
          <cell r="C342">
            <v>4</v>
          </cell>
          <cell r="D342"/>
          <cell r="E342"/>
          <cell r="F342">
            <v>1</v>
          </cell>
          <cell r="G342">
            <v>1</v>
          </cell>
          <cell r="H342">
            <v>0.38600000000000001</v>
          </cell>
          <cell r="I342">
            <v>3.2991452991452994E-2</v>
          </cell>
          <cell r="J342">
            <v>11.7</v>
          </cell>
          <cell r="K342">
            <v>2</v>
          </cell>
          <cell r="L342">
            <v>5</v>
          </cell>
          <cell r="M342">
            <v>10</v>
          </cell>
          <cell r="N342">
            <v>20</v>
          </cell>
          <cell r="O342">
            <v>30</v>
          </cell>
          <cell r="P342">
            <v>60</v>
          </cell>
        </row>
        <row r="343">
          <cell r="A343" t="str">
            <v>CFRHS100x100x5</v>
          </cell>
          <cell r="B343" t="str">
            <v>a=1.0 x t</v>
          </cell>
          <cell r="C343">
            <v>5</v>
          </cell>
          <cell r="D343"/>
          <cell r="E343"/>
          <cell r="F343">
            <v>1</v>
          </cell>
          <cell r="G343">
            <v>1</v>
          </cell>
          <cell r="H343">
            <v>0.38300000000000001</v>
          </cell>
          <cell r="I343">
            <v>2.6597222222222223E-2</v>
          </cell>
          <cell r="J343">
            <v>14.4</v>
          </cell>
          <cell r="K343">
            <v>2</v>
          </cell>
          <cell r="L343">
            <v>5</v>
          </cell>
          <cell r="M343">
            <v>10</v>
          </cell>
          <cell r="N343">
            <v>20</v>
          </cell>
          <cell r="O343">
            <v>30</v>
          </cell>
          <cell r="P343">
            <v>60</v>
          </cell>
        </row>
        <row r="344">
          <cell r="A344" t="str">
            <v>CFRHS100x100x6</v>
          </cell>
          <cell r="B344" t="str">
            <v>a=1.0 x t</v>
          </cell>
          <cell r="C344">
            <v>6</v>
          </cell>
          <cell r="D344"/>
          <cell r="E344"/>
          <cell r="F344">
            <v>1</v>
          </cell>
          <cell r="G344">
            <v>1</v>
          </cell>
          <cell r="H344">
            <v>0.379</v>
          </cell>
          <cell r="I344">
            <v>2.2294117647058825E-2</v>
          </cell>
          <cell r="J344">
            <v>17</v>
          </cell>
          <cell r="K344">
            <v>2</v>
          </cell>
          <cell r="L344">
            <v>5</v>
          </cell>
          <cell r="M344">
            <v>10</v>
          </cell>
          <cell r="N344">
            <v>20</v>
          </cell>
          <cell r="O344">
            <v>30</v>
          </cell>
          <cell r="P344">
            <v>60</v>
          </cell>
        </row>
        <row r="345">
          <cell r="A345" t="str">
            <v>CFRHS100x100x8</v>
          </cell>
          <cell r="B345" t="str">
            <v>a=1.0 x t</v>
          </cell>
          <cell r="C345">
            <v>8</v>
          </cell>
          <cell r="D345"/>
          <cell r="E345"/>
          <cell r="F345">
            <v>2</v>
          </cell>
          <cell r="G345">
            <v>3</v>
          </cell>
          <cell r="H345">
            <v>0.36599999999999999</v>
          </cell>
          <cell r="I345">
            <v>1.7102803738317757E-2</v>
          </cell>
          <cell r="J345">
            <v>21.4</v>
          </cell>
          <cell r="K345">
            <v>5</v>
          </cell>
          <cell r="L345">
            <v>10</v>
          </cell>
          <cell r="M345">
            <v>20</v>
          </cell>
          <cell r="N345">
            <v>30</v>
          </cell>
          <cell r="O345">
            <v>60</v>
          </cell>
          <cell r="P345">
            <v>90</v>
          </cell>
        </row>
        <row r="346">
          <cell r="A346" t="str">
            <v>CFRHS100x100x10</v>
          </cell>
          <cell r="B346" t="str">
            <v>a=1.0 x t</v>
          </cell>
          <cell r="C346">
            <v>10</v>
          </cell>
          <cell r="D346"/>
          <cell r="E346"/>
          <cell r="F346">
            <v>2</v>
          </cell>
          <cell r="G346">
            <v>6</v>
          </cell>
          <cell r="H346">
            <v>0.35699999999999998</v>
          </cell>
          <cell r="I346">
            <v>1.3945312499999999E-2</v>
          </cell>
          <cell r="J346">
            <v>25.6</v>
          </cell>
          <cell r="K346">
            <v>5</v>
          </cell>
          <cell r="L346">
            <v>10</v>
          </cell>
          <cell r="M346">
            <v>20</v>
          </cell>
          <cell r="N346">
            <v>30</v>
          </cell>
          <cell r="O346">
            <v>60</v>
          </cell>
          <cell r="P346">
            <v>90</v>
          </cell>
        </row>
        <row r="347">
          <cell r="A347" t="str">
            <v>CFRHS110x110x4</v>
          </cell>
          <cell r="B347" t="str">
            <v>a=1.0 x t</v>
          </cell>
          <cell r="C347">
            <v>4</v>
          </cell>
          <cell r="D347"/>
          <cell r="E347"/>
          <cell r="F347">
            <v>1</v>
          </cell>
          <cell r="G347">
            <v>1</v>
          </cell>
          <cell r="H347">
            <v>0.42599999999999999</v>
          </cell>
          <cell r="I347">
            <v>3.2769230769230766E-2</v>
          </cell>
          <cell r="J347">
            <v>13</v>
          </cell>
          <cell r="K347">
            <v>2</v>
          </cell>
          <cell r="L347">
            <v>5</v>
          </cell>
          <cell r="M347">
            <v>10</v>
          </cell>
          <cell r="N347">
            <v>20</v>
          </cell>
          <cell r="O347">
            <v>30</v>
          </cell>
          <cell r="P347">
            <v>60</v>
          </cell>
        </row>
        <row r="348">
          <cell r="A348" t="str">
            <v>CFRHS110x110x5</v>
          </cell>
          <cell r="B348" t="str">
            <v>a=1.0 x t</v>
          </cell>
          <cell r="C348">
            <v>5</v>
          </cell>
          <cell r="D348"/>
          <cell r="E348"/>
          <cell r="F348">
            <v>1</v>
          </cell>
          <cell r="G348">
            <v>1</v>
          </cell>
          <cell r="H348">
            <v>0.42299999999999999</v>
          </cell>
          <cell r="I348">
            <v>2.6437499999999999E-2</v>
          </cell>
          <cell r="J348">
            <v>16</v>
          </cell>
          <cell r="K348">
            <v>2</v>
          </cell>
          <cell r="L348">
            <v>5</v>
          </cell>
          <cell r="M348">
            <v>10</v>
          </cell>
          <cell r="N348">
            <v>20</v>
          </cell>
          <cell r="O348">
            <v>30</v>
          </cell>
          <cell r="P348">
            <v>60</v>
          </cell>
        </row>
        <row r="349">
          <cell r="A349" t="str">
            <v>CFRHS110x110x6</v>
          </cell>
          <cell r="B349" t="str">
            <v>a=1.0 x t</v>
          </cell>
          <cell r="C349">
            <v>6</v>
          </cell>
          <cell r="D349"/>
          <cell r="E349"/>
          <cell r="F349">
            <v>1</v>
          </cell>
          <cell r="G349">
            <v>2</v>
          </cell>
          <cell r="H349">
            <v>0.41899999999999998</v>
          </cell>
          <cell r="I349">
            <v>2.228723404255319E-2</v>
          </cell>
          <cell r="J349">
            <v>18.8</v>
          </cell>
          <cell r="K349">
            <v>2</v>
          </cell>
          <cell r="L349">
            <v>5</v>
          </cell>
          <cell r="M349">
            <v>10</v>
          </cell>
          <cell r="N349">
            <v>20</v>
          </cell>
          <cell r="O349">
            <v>30</v>
          </cell>
          <cell r="P349">
            <v>60</v>
          </cell>
        </row>
        <row r="350">
          <cell r="A350" t="str">
            <v>CFRHS120x120x3</v>
          </cell>
          <cell r="B350" t="str">
            <v>a=1.0 x t</v>
          </cell>
          <cell r="C350">
            <v>3</v>
          </cell>
          <cell r="D350" t="str">
            <v>-</v>
          </cell>
          <cell r="E350"/>
          <cell r="F350">
            <v>1</v>
          </cell>
          <cell r="G350">
            <v>1</v>
          </cell>
          <cell r="H350">
            <v>0.47</v>
          </cell>
          <cell r="I350">
            <v>4.3518518518518512E-2</v>
          </cell>
          <cell r="J350">
            <v>10.8</v>
          </cell>
          <cell r="K350">
            <v>2</v>
          </cell>
          <cell r="L350">
            <v>5</v>
          </cell>
          <cell r="M350">
            <v>10</v>
          </cell>
          <cell r="N350">
            <v>20</v>
          </cell>
          <cell r="O350">
            <v>30</v>
          </cell>
          <cell r="P350">
            <v>60</v>
          </cell>
        </row>
        <row r="351">
          <cell r="A351" t="str">
            <v>CFRHS120x120x4</v>
          </cell>
          <cell r="B351" t="str">
            <v>a=1.0 x t</v>
          </cell>
          <cell r="C351">
            <v>4</v>
          </cell>
          <cell r="D351"/>
          <cell r="E351"/>
          <cell r="F351">
            <v>1</v>
          </cell>
          <cell r="G351">
            <v>1</v>
          </cell>
          <cell r="H351">
            <v>0.46600000000000003</v>
          </cell>
          <cell r="I351">
            <v>3.2816901408450706E-2</v>
          </cell>
          <cell r="J351">
            <v>14.2</v>
          </cell>
          <cell r="K351">
            <v>2</v>
          </cell>
          <cell r="L351">
            <v>5</v>
          </cell>
          <cell r="M351">
            <v>10</v>
          </cell>
          <cell r="N351">
            <v>20</v>
          </cell>
          <cell r="O351">
            <v>30</v>
          </cell>
          <cell r="P351">
            <v>60</v>
          </cell>
        </row>
        <row r="352">
          <cell r="A352" t="str">
            <v>CFRHS120x120x5</v>
          </cell>
          <cell r="B352" t="str">
            <v>a=1.0 x t</v>
          </cell>
          <cell r="C352">
            <v>5</v>
          </cell>
          <cell r="D352"/>
          <cell r="E352"/>
          <cell r="F352">
            <v>1</v>
          </cell>
          <cell r="G352">
            <v>1</v>
          </cell>
          <cell r="H352">
            <v>0.46300000000000002</v>
          </cell>
          <cell r="I352">
            <v>2.6306818181818181E-2</v>
          </cell>
          <cell r="J352">
            <v>17.600000000000001</v>
          </cell>
          <cell r="K352">
            <v>2</v>
          </cell>
          <cell r="L352">
            <v>5</v>
          </cell>
          <cell r="M352">
            <v>10</v>
          </cell>
          <cell r="N352">
            <v>20</v>
          </cell>
          <cell r="O352">
            <v>30</v>
          </cell>
          <cell r="P352">
            <v>60</v>
          </cell>
        </row>
        <row r="353">
          <cell r="A353" t="str">
            <v>CFRHS120x120x6</v>
          </cell>
          <cell r="B353" t="str">
            <v>a=1.0 x t</v>
          </cell>
          <cell r="C353">
            <v>6</v>
          </cell>
          <cell r="D353"/>
          <cell r="E353"/>
          <cell r="F353">
            <v>2</v>
          </cell>
          <cell r="G353">
            <v>2</v>
          </cell>
          <cell r="H353">
            <v>0.45900000000000002</v>
          </cell>
          <cell r="I353">
            <v>2.2173913043478263E-2</v>
          </cell>
          <cell r="J353">
            <v>20.7</v>
          </cell>
          <cell r="K353">
            <v>5</v>
          </cell>
          <cell r="L353">
            <v>10</v>
          </cell>
          <cell r="M353">
            <v>20</v>
          </cell>
          <cell r="N353">
            <v>30</v>
          </cell>
          <cell r="O353">
            <v>60</v>
          </cell>
          <cell r="P353">
            <v>90</v>
          </cell>
        </row>
        <row r="354">
          <cell r="A354" t="str">
            <v>CFRHS120x120x8</v>
          </cell>
          <cell r="B354" t="str">
            <v>a=1.0 x t</v>
          </cell>
          <cell r="C354">
            <v>8</v>
          </cell>
          <cell r="D354"/>
          <cell r="E354"/>
          <cell r="F354">
            <v>2</v>
          </cell>
          <cell r="G354">
            <v>3</v>
          </cell>
          <cell r="H354">
            <v>0.44600000000000001</v>
          </cell>
          <cell r="I354">
            <v>1.6893939393939395E-2</v>
          </cell>
          <cell r="J354">
            <v>26.4</v>
          </cell>
          <cell r="K354">
            <v>5</v>
          </cell>
          <cell r="L354">
            <v>10</v>
          </cell>
          <cell r="M354">
            <v>20</v>
          </cell>
          <cell r="N354">
            <v>30</v>
          </cell>
          <cell r="O354">
            <v>60</v>
          </cell>
          <cell r="P354">
            <v>90</v>
          </cell>
        </row>
        <row r="355">
          <cell r="A355" t="str">
            <v>CFRHS120x120x10</v>
          </cell>
          <cell r="B355" t="str">
            <v>a=1.0 x t</v>
          </cell>
          <cell r="C355">
            <v>10</v>
          </cell>
          <cell r="D355"/>
          <cell r="E355"/>
          <cell r="F355">
            <v>2</v>
          </cell>
          <cell r="G355">
            <v>6</v>
          </cell>
          <cell r="H355">
            <v>0.437</v>
          </cell>
          <cell r="I355">
            <v>1.3699059561128527E-2</v>
          </cell>
          <cell r="J355">
            <v>31.9</v>
          </cell>
          <cell r="K355">
            <v>5</v>
          </cell>
          <cell r="L355">
            <v>10</v>
          </cell>
          <cell r="M355">
            <v>20</v>
          </cell>
          <cell r="N355">
            <v>30</v>
          </cell>
          <cell r="O355">
            <v>60</v>
          </cell>
          <cell r="P355">
            <v>90</v>
          </cell>
        </row>
        <row r="356">
          <cell r="A356" t="str">
            <v>CFRHS120x120x12.5</v>
          </cell>
          <cell r="B356" t="str">
            <v>a=1.0 x t</v>
          </cell>
          <cell r="C356">
            <v>12.5</v>
          </cell>
          <cell r="D356"/>
          <cell r="E356" t="str">
            <v>Jah</v>
          </cell>
          <cell r="F356">
            <v>2</v>
          </cell>
          <cell r="G356">
            <v>6</v>
          </cell>
          <cell r="H356">
            <v>0.41599999999999998</v>
          </cell>
          <cell r="I356">
            <v>1.1273712737127371E-2</v>
          </cell>
          <cell r="J356">
            <v>36.9</v>
          </cell>
          <cell r="K356">
            <v>5</v>
          </cell>
          <cell r="L356">
            <v>10</v>
          </cell>
          <cell r="M356">
            <v>20</v>
          </cell>
          <cell r="N356">
            <v>30</v>
          </cell>
          <cell r="O356">
            <v>60</v>
          </cell>
          <cell r="P356">
            <v>90</v>
          </cell>
        </row>
        <row r="357">
          <cell r="A357" t="str">
            <v>CFRHS140x140x4</v>
          </cell>
          <cell r="B357" t="str">
            <v>a=1.0 x t</v>
          </cell>
          <cell r="C357">
            <v>4</v>
          </cell>
          <cell r="D357"/>
          <cell r="E357"/>
          <cell r="F357">
            <v>1</v>
          </cell>
          <cell r="G357">
            <v>1</v>
          </cell>
          <cell r="H357">
            <v>0.54600000000000004</v>
          </cell>
          <cell r="I357">
            <v>3.2694610778443114E-2</v>
          </cell>
          <cell r="J357">
            <v>16.7</v>
          </cell>
          <cell r="K357">
            <v>2</v>
          </cell>
          <cell r="L357">
            <v>5</v>
          </cell>
          <cell r="M357">
            <v>10</v>
          </cell>
          <cell r="N357">
            <v>20</v>
          </cell>
          <cell r="O357">
            <v>30</v>
          </cell>
          <cell r="P357">
            <v>60</v>
          </cell>
        </row>
        <row r="358">
          <cell r="A358" t="str">
            <v>CFRHS140x140x5</v>
          </cell>
          <cell r="B358" t="str">
            <v>a=1.0 x t</v>
          </cell>
          <cell r="C358">
            <v>5</v>
          </cell>
          <cell r="D358"/>
          <cell r="E358"/>
          <cell r="F358">
            <v>2</v>
          </cell>
          <cell r="G358">
            <v>1</v>
          </cell>
          <cell r="H358">
            <v>0.54300000000000004</v>
          </cell>
          <cell r="I358">
            <v>2.6231884057971017E-2</v>
          </cell>
          <cell r="J358">
            <v>20.7</v>
          </cell>
          <cell r="K358">
            <v>5</v>
          </cell>
          <cell r="L358">
            <v>10</v>
          </cell>
          <cell r="M358">
            <v>20</v>
          </cell>
          <cell r="N358">
            <v>30</v>
          </cell>
          <cell r="O358">
            <v>60</v>
          </cell>
          <cell r="P358">
            <v>90</v>
          </cell>
        </row>
        <row r="359">
          <cell r="A359" t="str">
            <v>CFRHS140x140x6</v>
          </cell>
          <cell r="B359" t="str">
            <v>a=1.0 x t</v>
          </cell>
          <cell r="C359">
            <v>6</v>
          </cell>
          <cell r="D359"/>
          <cell r="E359"/>
          <cell r="F359">
            <v>2</v>
          </cell>
          <cell r="G359">
            <v>2</v>
          </cell>
          <cell r="H359">
            <v>0.53900000000000003</v>
          </cell>
          <cell r="I359">
            <v>2.2000000000000002E-2</v>
          </cell>
          <cell r="J359">
            <v>24.5</v>
          </cell>
          <cell r="K359">
            <v>5</v>
          </cell>
          <cell r="L359">
            <v>10</v>
          </cell>
          <cell r="M359">
            <v>20</v>
          </cell>
          <cell r="N359">
            <v>30</v>
          </cell>
          <cell r="O359">
            <v>60</v>
          </cell>
          <cell r="P359">
            <v>90</v>
          </cell>
        </row>
        <row r="360">
          <cell r="A360" t="str">
            <v>CFRHS140x140x8</v>
          </cell>
          <cell r="B360" t="str">
            <v>a=1.0 x t</v>
          </cell>
          <cell r="C360">
            <v>8</v>
          </cell>
          <cell r="D360"/>
          <cell r="E360"/>
          <cell r="F360">
            <v>2</v>
          </cell>
          <cell r="G360">
            <v>3</v>
          </cell>
          <cell r="H360">
            <v>0.52600000000000002</v>
          </cell>
          <cell r="I360">
            <v>1.6751592356687901E-2</v>
          </cell>
          <cell r="J360">
            <v>31.4</v>
          </cell>
          <cell r="K360">
            <v>5</v>
          </cell>
          <cell r="L360">
            <v>10</v>
          </cell>
          <cell r="M360">
            <v>20</v>
          </cell>
          <cell r="N360">
            <v>30</v>
          </cell>
          <cell r="O360">
            <v>60</v>
          </cell>
          <cell r="P360">
            <v>90</v>
          </cell>
        </row>
        <row r="361">
          <cell r="A361" t="str">
            <v>CFRHS140x140x10</v>
          </cell>
          <cell r="B361" t="str">
            <v>a=1.0 x t</v>
          </cell>
          <cell r="C361">
            <v>10</v>
          </cell>
          <cell r="D361"/>
          <cell r="E361"/>
          <cell r="F361">
            <v>2</v>
          </cell>
          <cell r="G361">
            <v>6</v>
          </cell>
          <cell r="H361">
            <v>0.51700000000000002</v>
          </cell>
          <cell r="I361">
            <v>1.3534031413612565E-2</v>
          </cell>
          <cell r="J361">
            <v>38.200000000000003</v>
          </cell>
          <cell r="K361">
            <v>5</v>
          </cell>
          <cell r="L361">
            <v>10</v>
          </cell>
          <cell r="M361">
            <v>20</v>
          </cell>
          <cell r="N361">
            <v>30</v>
          </cell>
          <cell r="O361">
            <v>60</v>
          </cell>
          <cell r="P361">
            <v>90</v>
          </cell>
        </row>
        <row r="362">
          <cell r="A362" t="str">
            <v>CFSHS140x140x12</v>
          </cell>
          <cell r="B362" t="str">
            <v>a=1.0 x t</v>
          </cell>
          <cell r="C362">
            <v>12</v>
          </cell>
          <cell r="D362"/>
          <cell r="E362" t="str">
            <v>Jah</v>
          </cell>
          <cell r="F362">
            <v>2</v>
          </cell>
          <cell r="G362">
            <v>6</v>
          </cell>
          <cell r="H362">
            <v>0.498</v>
          </cell>
          <cell r="I362">
            <v>1.1474654377880185E-2</v>
          </cell>
          <cell r="J362">
            <v>43.4</v>
          </cell>
          <cell r="K362">
            <v>5</v>
          </cell>
          <cell r="L362">
            <v>10</v>
          </cell>
          <cell r="M362">
            <v>20</v>
          </cell>
          <cell r="N362">
            <v>30</v>
          </cell>
          <cell r="O362">
            <v>60</v>
          </cell>
          <cell r="P362">
            <v>90</v>
          </cell>
        </row>
        <row r="363">
          <cell r="A363" t="str">
            <v>CFRHS150x150x4</v>
          </cell>
          <cell r="B363" t="str">
            <v>a=1.0 x t</v>
          </cell>
          <cell r="C363">
            <v>4</v>
          </cell>
          <cell r="D363"/>
          <cell r="E363"/>
          <cell r="F363">
            <v>1</v>
          </cell>
          <cell r="G363">
            <v>1</v>
          </cell>
          <cell r="H363">
            <v>0.58599999999999997</v>
          </cell>
          <cell r="I363">
            <v>3.2555555555555553E-2</v>
          </cell>
          <cell r="J363">
            <v>18</v>
          </cell>
          <cell r="K363">
            <v>2</v>
          </cell>
          <cell r="L363">
            <v>5</v>
          </cell>
          <cell r="M363">
            <v>10</v>
          </cell>
          <cell r="N363">
            <v>20</v>
          </cell>
          <cell r="O363">
            <v>30</v>
          </cell>
          <cell r="P363">
            <v>60</v>
          </cell>
        </row>
        <row r="364">
          <cell r="A364" t="str">
            <v>CFRHS150x150x5</v>
          </cell>
          <cell r="B364" t="str">
            <v>a=1.0 x t</v>
          </cell>
          <cell r="C364">
            <v>5</v>
          </cell>
          <cell r="D364"/>
          <cell r="E364"/>
          <cell r="F364">
            <v>2</v>
          </cell>
          <cell r="G364">
            <v>1</v>
          </cell>
          <cell r="H364">
            <v>0.58299999999999996</v>
          </cell>
          <cell r="I364">
            <v>2.6143497757847529E-2</v>
          </cell>
          <cell r="J364">
            <v>22.3</v>
          </cell>
          <cell r="K364">
            <v>5</v>
          </cell>
          <cell r="L364">
            <v>10</v>
          </cell>
          <cell r="M364">
            <v>20</v>
          </cell>
          <cell r="N364">
            <v>30</v>
          </cell>
          <cell r="O364">
            <v>60</v>
          </cell>
          <cell r="P364">
            <v>90</v>
          </cell>
        </row>
        <row r="365">
          <cell r="A365" t="str">
            <v>CFRHS150x150x6</v>
          </cell>
          <cell r="B365" t="str">
            <v>a=1.0 x t</v>
          </cell>
          <cell r="C365">
            <v>6</v>
          </cell>
          <cell r="D365"/>
          <cell r="E365"/>
          <cell r="F365">
            <v>2</v>
          </cell>
          <cell r="G365">
            <v>2</v>
          </cell>
          <cell r="H365">
            <v>0.57899999999999996</v>
          </cell>
          <cell r="I365">
            <v>2.1931818181818181E-2</v>
          </cell>
          <cell r="J365">
            <v>26.4</v>
          </cell>
          <cell r="K365">
            <v>5</v>
          </cell>
          <cell r="L365">
            <v>10</v>
          </cell>
          <cell r="M365">
            <v>20</v>
          </cell>
          <cell r="N365">
            <v>30</v>
          </cell>
          <cell r="O365">
            <v>60</v>
          </cell>
          <cell r="P365">
            <v>90</v>
          </cell>
        </row>
        <row r="366">
          <cell r="A366" t="str">
            <v>CFRHS150x150x8</v>
          </cell>
          <cell r="B366" t="str">
            <v>a=1.0 x t</v>
          </cell>
          <cell r="C366">
            <v>8</v>
          </cell>
          <cell r="D366"/>
          <cell r="E366"/>
          <cell r="F366">
            <v>2</v>
          </cell>
          <cell r="G366">
            <v>3</v>
          </cell>
          <cell r="H366">
            <v>0.56599999999999995</v>
          </cell>
          <cell r="I366">
            <v>1.6696165191740411E-2</v>
          </cell>
          <cell r="J366">
            <v>33.9</v>
          </cell>
          <cell r="K366">
            <v>5</v>
          </cell>
          <cell r="L366">
            <v>10</v>
          </cell>
          <cell r="M366">
            <v>20</v>
          </cell>
          <cell r="N366">
            <v>30</v>
          </cell>
          <cell r="O366">
            <v>60</v>
          </cell>
          <cell r="P366">
            <v>90</v>
          </cell>
        </row>
        <row r="367">
          <cell r="A367" t="str">
            <v>CFRHS150x150x10</v>
          </cell>
          <cell r="B367" t="str">
            <v>a=1.0 x t</v>
          </cell>
          <cell r="C367">
            <v>10</v>
          </cell>
          <cell r="D367"/>
          <cell r="E367"/>
          <cell r="F367">
            <v>2</v>
          </cell>
          <cell r="G367">
            <v>6</v>
          </cell>
          <cell r="H367">
            <v>0.55700000000000005</v>
          </cell>
          <cell r="I367">
            <v>1.348668280871671E-2</v>
          </cell>
          <cell r="J367">
            <v>41.3</v>
          </cell>
          <cell r="K367">
            <v>5</v>
          </cell>
          <cell r="L367">
            <v>10</v>
          </cell>
          <cell r="M367">
            <v>20</v>
          </cell>
          <cell r="N367">
            <v>30</v>
          </cell>
          <cell r="O367">
            <v>60</v>
          </cell>
          <cell r="P367">
            <v>90</v>
          </cell>
        </row>
        <row r="368">
          <cell r="A368" t="str">
            <v>CFRHS150x150x12.5</v>
          </cell>
          <cell r="B368" t="str">
            <v>a=1.0 x t</v>
          </cell>
          <cell r="C368">
            <v>12.5</v>
          </cell>
          <cell r="D368"/>
          <cell r="E368" t="str">
            <v>Jah</v>
          </cell>
          <cell r="F368">
            <v>2</v>
          </cell>
          <cell r="G368">
            <v>6</v>
          </cell>
          <cell r="H368">
            <v>0.53600000000000003</v>
          </cell>
          <cell r="I368">
            <v>1.1006160164271047E-2</v>
          </cell>
          <cell r="J368">
            <v>48.7</v>
          </cell>
          <cell r="K368">
            <v>5</v>
          </cell>
          <cell r="L368">
            <v>10</v>
          </cell>
          <cell r="M368">
            <v>20</v>
          </cell>
          <cell r="N368">
            <v>30</v>
          </cell>
          <cell r="O368">
            <v>60</v>
          </cell>
          <cell r="P368">
            <v>90</v>
          </cell>
        </row>
        <row r="369">
          <cell r="A369" t="str">
            <v>CFRHS150x150x16</v>
          </cell>
          <cell r="B369" t="str">
            <v>a=1.0 x t</v>
          </cell>
          <cell r="C369">
            <v>16</v>
          </cell>
          <cell r="D369"/>
          <cell r="E369" t="str">
            <v>Jah</v>
          </cell>
          <cell r="F369">
            <v>2</v>
          </cell>
          <cell r="G369">
            <v>10</v>
          </cell>
          <cell r="H369">
            <v>0.55900000000000005</v>
          </cell>
          <cell r="I369">
            <v>8.573619631901841E-3</v>
          </cell>
          <cell r="J369">
            <v>65.2</v>
          </cell>
          <cell r="K369">
            <v>5</v>
          </cell>
          <cell r="L369">
            <v>10</v>
          </cell>
          <cell r="M369">
            <v>20</v>
          </cell>
          <cell r="N369">
            <v>30</v>
          </cell>
          <cell r="O369">
            <v>60</v>
          </cell>
          <cell r="P369">
            <v>90</v>
          </cell>
        </row>
        <row r="370">
          <cell r="A370" t="str">
            <v>CFRHS160x160x4</v>
          </cell>
          <cell r="B370" t="str">
            <v>a=1.0 x t</v>
          </cell>
          <cell r="C370">
            <v>4</v>
          </cell>
          <cell r="D370"/>
          <cell r="E370"/>
          <cell r="F370">
            <v>1</v>
          </cell>
          <cell r="G370">
            <v>1</v>
          </cell>
          <cell r="H370">
            <v>0.626</v>
          </cell>
          <cell r="I370">
            <v>3.260416666666667E-2</v>
          </cell>
          <cell r="J370">
            <v>19.2</v>
          </cell>
          <cell r="K370">
            <v>2</v>
          </cell>
          <cell r="L370">
            <v>5</v>
          </cell>
          <cell r="M370">
            <v>10</v>
          </cell>
          <cell r="N370">
            <v>20</v>
          </cell>
          <cell r="O370">
            <v>30</v>
          </cell>
          <cell r="P370">
            <v>60</v>
          </cell>
        </row>
        <row r="371">
          <cell r="A371" t="str">
            <v>CFRHS160x160x5</v>
          </cell>
          <cell r="B371" t="str">
            <v>a=1.0 x t</v>
          </cell>
          <cell r="C371">
            <v>5</v>
          </cell>
          <cell r="D371"/>
          <cell r="E371"/>
          <cell r="F371">
            <v>2</v>
          </cell>
          <cell r="G371">
            <v>2</v>
          </cell>
          <cell r="H371">
            <v>0.623</v>
          </cell>
          <cell r="I371">
            <v>2.6066945606694564E-2</v>
          </cell>
          <cell r="J371">
            <v>23.9</v>
          </cell>
          <cell r="K371">
            <v>5</v>
          </cell>
          <cell r="L371">
            <v>10</v>
          </cell>
          <cell r="M371">
            <v>20</v>
          </cell>
          <cell r="N371">
            <v>30</v>
          </cell>
          <cell r="O371">
            <v>60</v>
          </cell>
          <cell r="P371">
            <v>90</v>
          </cell>
        </row>
        <row r="372">
          <cell r="A372" t="str">
            <v>CFRHS160x160x6</v>
          </cell>
          <cell r="B372" t="str">
            <v>a=1.0 x t</v>
          </cell>
          <cell r="C372">
            <v>6</v>
          </cell>
          <cell r="D372"/>
          <cell r="E372"/>
          <cell r="F372">
            <v>2</v>
          </cell>
          <cell r="G372">
            <v>2</v>
          </cell>
          <cell r="H372">
            <v>0.61899999999999999</v>
          </cell>
          <cell r="I372">
            <v>2.187279151943463E-2</v>
          </cell>
          <cell r="J372">
            <v>28.3</v>
          </cell>
          <cell r="K372">
            <v>5</v>
          </cell>
          <cell r="L372">
            <v>10</v>
          </cell>
          <cell r="M372">
            <v>20</v>
          </cell>
          <cell r="N372">
            <v>30</v>
          </cell>
          <cell r="O372">
            <v>60</v>
          </cell>
          <cell r="P372">
            <v>90</v>
          </cell>
        </row>
        <row r="373">
          <cell r="A373" t="str">
            <v>CFRHS160x160x6.3</v>
          </cell>
          <cell r="B373" t="str">
            <v>a=1.0 x t</v>
          </cell>
          <cell r="C373">
            <v>6.3</v>
          </cell>
          <cell r="D373"/>
          <cell r="E373"/>
          <cell r="F373">
            <v>2</v>
          </cell>
          <cell r="G373">
            <v>2</v>
          </cell>
          <cell r="H373">
            <v>0.61299999999999999</v>
          </cell>
          <cell r="I373">
            <v>2.0850340136054423E-2</v>
          </cell>
          <cell r="J373">
            <v>29.4</v>
          </cell>
          <cell r="K373">
            <v>5</v>
          </cell>
          <cell r="L373">
            <v>10</v>
          </cell>
          <cell r="M373">
            <v>20</v>
          </cell>
          <cell r="N373">
            <v>30</v>
          </cell>
          <cell r="O373">
            <v>60</v>
          </cell>
          <cell r="P373">
            <v>90</v>
          </cell>
        </row>
        <row r="374">
          <cell r="A374" t="str">
            <v>CFRHS160x160x8</v>
          </cell>
          <cell r="B374" t="str">
            <v>a=1.0 x t</v>
          </cell>
          <cell r="C374">
            <v>8</v>
          </cell>
          <cell r="D374"/>
          <cell r="E374"/>
          <cell r="F374">
            <v>2</v>
          </cell>
          <cell r="G374">
            <v>3</v>
          </cell>
          <cell r="H374">
            <v>0.60599999999999998</v>
          </cell>
          <cell r="I374">
            <v>1.6648351648351649E-2</v>
          </cell>
          <cell r="J374">
            <v>36.4</v>
          </cell>
          <cell r="K374">
            <v>5</v>
          </cell>
          <cell r="L374">
            <v>10</v>
          </cell>
          <cell r="M374">
            <v>20</v>
          </cell>
          <cell r="N374">
            <v>30</v>
          </cell>
          <cell r="O374">
            <v>60</v>
          </cell>
          <cell r="P374">
            <v>90</v>
          </cell>
        </row>
        <row r="375">
          <cell r="A375" t="str">
            <v>CFRHS160x160x10</v>
          </cell>
          <cell r="B375" t="str">
            <v>a=1.0 x t</v>
          </cell>
          <cell r="C375">
            <v>10</v>
          </cell>
          <cell r="D375"/>
          <cell r="E375"/>
          <cell r="F375">
            <v>2</v>
          </cell>
          <cell r="G375">
            <v>6</v>
          </cell>
          <cell r="H375">
            <v>0.61399999999999999</v>
          </cell>
          <cell r="I375">
            <v>1.3290043290043289E-2</v>
          </cell>
          <cell r="J375">
            <v>46.2</v>
          </cell>
          <cell r="K375">
            <v>5</v>
          </cell>
          <cell r="L375">
            <v>10</v>
          </cell>
          <cell r="M375">
            <v>20</v>
          </cell>
          <cell r="N375">
            <v>30</v>
          </cell>
          <cell r="O375">
            <v>60</v>
          </cell>
          <cell r="P375">
            <v>90</v>
          </cell>
        </row>
        <row r="376">
          <cell r="A376" t="str">
            <v>CFRHS160x160x12</v>
          </cell>
          <cell r="B376" t="str">
            <v>a=1.0 x t</v>
          </cell>
          <cell r="C376">
            <v>12</v>
          </cell>
          <cell r="D376"/>
          <cell r="E376" t="str">
            <v>Jah</v>
          </cell>
          <cell r="F376">
            <v>2</v>
          </cell>
          <cell r="G376">
            <v>6</v>
          </cell>
          <cell r="H376">
            <v>0.60799999999999998</v>
          </cell>
          <cell r="I376">
            <v>1.0742049469964664E-2</v>
          </cell>
          <cell r="J376">
            <v>56.6</v>
          </cell>
          <cell r="K376">
            <v>5</v>
          </cell>
          <cell r="L376">
            <v>10</v>
          </cell>
          <cell r="M376">
            <v>20</v>
          </cell>
          <cell r="N376">
            <v>30</v>
          </cell>
          <cell r="O376">
            <v>60</v>
          </cell>
          <cell r="P376">
            <v>90</v>
          </cell>
        </row>
        <row r="377">
          <cell r="A377" t="str">
            <v>CFRHS160x160x12.5</v>
          </cell>
          <cell r="B377" t="str">
            <v>a=1.0 x t</v>
          </cell>
          <cell r="C377">
            <v>12.5</v>
          </cell>
          <cell r="D377"/>
          <cell r="E377" t="str">
            <v>Jah</v>
          </cell>
          <cell r="F377">
            <v>2</v>
          </cell>
          <cell r="G377">
            <v>6</v>
          </cell>
          <cell r="H377">
            <v>0.57599999999999996</v>
          </cell>
          <cell r="I377">
            <v>1.0950570342205323E-2</v>
          </cell>
          <cell r="J377">
            <v>52.6</v>
          </cell>
          <cell r="K377">
            <v>5</v>
          </cell>
          <cell r="L377">
            <v>10</v>
          </cell>
          <cell r="M377">
            <v>20</v>
          </cell>
          <cell r="N377">
            <v>30</v>
          </cell>
          <cell r="O377">
            <v>60</v>
          </cell>
          <cell r="P377">
            <v>90</v>
          </cell>
        </row>
        <row r="378">
          <cell r="A378" t="str">
            <v>CFRHS160x160x16</v>
          </cell>
          <cell r="B378" t="str">
            <v>a=1.0 x t</v>
          </cell>
          <cell r="C378">
            <v>16</v>
          </cell>
          <cell r="D378"/>
          <cell r="E378" t="str">
            <v>Jah</v>
          </cell>
          <cell r="F378">
            <v>2</v>
          </cell>
          <cell r="G378">
            <v>10</v>
          </cell>
          <cell r="H378">
            <v>0.59899999999999998</v>
          </cell>
          <cell r="I378">
            <v>8.5327635327635317E-3</v>
          </cell>
          <cell r="J378">
            <v>70.2</v>
          </cell>
          <cell r="K378">
            <v>5</v>
          </cell>
          <cell r="L378">
            <v>10</v>
          </cell>
          <cell r="M378">
            <v>20</v>
          </cell>
          <cell r="N378">
            <v>30</v>
          </cell>
          <cell r="O378">
            <v>60</v>
          </cell>
          <cell r="P378">
            <v>90</v>
          </cell>
        </row>
        <row r="379">
          <cell r="A379" t="str">
            <v>CFRHS180x180x5</v>
          </cell>
          <cell r="B379" t="str">
            <v>a=1.0 x t</v>
          </cell>
          <cell r="C379">
            <v>5</v>
          </cell>
          <cell r="D379"/>
          <cell r="E379"/>
          <cell r="F379">
            <v>2</v>
          </cell>
          <cell r="G379">
            <v>2</v>
          </cell>
          <cell r="H379">
            <v>0.70699999999999996</v>
          </cell>
          <cell r="I379">
            <v>2.599264705882353E-2</v>
          </cell>
          <cell r="J379">
            <v>27.2</v>
          </cell>
          <cell r="K379">
            <v>5</v>
          </cell>
          <cell r="L379">
            <v>10</v>
          </cell>
          <cell r="M379">
            <v>20</v>
          </cell>
          <cell r="N379">
            <v>30</v>
          </cell>
          <cell r="O379">
            <v>60</v>
          </cell>
          <cell r="P379">
            <v>90</v>
          </cell>
        </row>
        <row r="380">
          <cell r="A380" t="str">
            <v>CFRHS180x180x6</v>
          </cell>
          <cell r="B380" t="str">
            <v>a=1.0 x t</v>
          </cell>
          <cell r="C380">
            <v>6</v>
          </cell>
          <cell r="D380"/>
          <cell r="E380"/>
          <cell r="F380">
            <v>2</v>
          </cell>
          <cell r="G380">
            <v>2</v>
          </cell>
          <cell r="H380">
            <v>0.69899999999999995</v>
          </cell>
          <cell r="I380">
            <v>2.1574074074074072E-2</v>
          </cell>
          <cell r="J380">
            <v>32.4</v>
          </cell>
          <cell r="K380">
            <v>5</v>
          </cell>
          <cell r="L380">
            <v>10</v>
          </cell>
          <cell r="M380">
            <v>20</v>
          </cell>
          <cell r="N380">
            <v>30</v>
          </cell>
          <cell r="O380">
            <v>60</v>
          </cell>
          <cell r="P380">
            <v>90</v>
          </cell>
        </row>
        <row r="381">
          <cell r="A381" t="str">
            <v>CFRHS180x180x6.3</v>
          </cell>
          <cell r="B381" t="str">
            <v>a=1.0 x t</v>
          </cell>
          <cell r="C381">
            <v>6.3</v>
          </cell>
          <cell r="D381"/>
          <cell r="E381"/>
          <cell r="F381">
            <v>2</v>
          </cell>
          <cell r="G381">
            <v>2</v>
          </cell>
          <cell r="H381">
            <v>0.70399999999999996</v>
          </cell>
          <cell r="I381">
            <v>2.0705882352941175E-2</v>
          </cell>
          <cell r="J381">
            <v>34</v>
          </cell>
          <cell r="K381">
            <v>5</v>
          </cell>
          <cell r="L381">
            <v>10</v>
          </cell>
          <cell r="M381">
            <v>20</v>
          </cell>
          <cell r="N381">
            <v>30</v>
          </cell>
          <cell r="O381">
            <v>60</v>
          </cell>
          <cell r="P381">
            <v>90</v>
          </cell>
        </row>
        <row r="382">
          <cell r="A382" t="str">
            <v>CFRHS180x180x8</v>
          </cell>
          <cell r="B382" t="str">
            <v>a=1.0 x t</v>
          </cell>
          <cell r="C382">
            <v>8</v>
          </cell>
          <cell r="D382"/>
          <cell r="E382"/>
          <cell r="F382">
            <v>2</v>
          </cell>
          <cell r="G382">
            <v>3</v>
          </cell>
          <cell r="H382">
            <v>0.69899999999999995</v>
          </cell>
          <cell r="I382">
            <v>1.6370023419203746E-2</v>
          </cell>
          <cell r="J382">
            <v>42.7</v>
          </cell>
          <cell r="K382">
            <v>5</v>
          </cell>
          <cell r="L382">
            <v>10</v>
          </cell>
          <cell r="M382">
            <v>20</v>
          </cell>
          <cell r="N382">
            <v>30</v>
          </cell>
          <cell r="O382">
            <v>60</v>
          </cell>
          <cell r="P382">
            <v>90</v>
          </cell>
        </row>
        <row r="383">
          <cell r="A383" t="str">
            <v>CFRHS180x180x10</v>
          </cell>
          <cell r="B383" t="str">
            <v>a=1.0 x t</v>
          </cell>
          <cell r="C383">
            <v>10</v>
          </cell>
          <cell r="D383"/>
          <cell r="E383"/>
          <cell r="F383">
            <v>2</v>
          </cell>
          <cell r="G383">
            <v>6</v>
          </cell>
          <cell r="H383">
            <v>0.69399999999999995</v>
          </cell>
          <cell r="I383">
            <v>1.3219047619047618E-2</v>
          </cell>
          <cell r="J383">
            <v>52.5</v>
          </cell>
          <cell r="K383">
            <v>5</v>
          </cell>
          <cell r="L383">
            <v>10</v>
          </cell>
          <cell r="M383">
            <v>20</v>
          </cell>
          <cell r="N383">
            <v>30</v>
          </cell>
          <cell r="O383">
            <v>60</v>
          </cell>
          <cell r="P383">
            <v>90</v>
          </cell>
        </row>
        <row r="384">
          <cell r="A384" t="str">
            <v>CFRHS180x180x12.5</v>
          </cell>
          <cell r="B384" t="str">
            <v>a=1.0 x t</v>
          </cell>
          <cell r="C384">
            <v>12.5</v>
          </cell>
          <cell r="D384"/>
          <cell r="E384" t="str">
            <v>Jah</v>
          </cell>
          <cell r="F384">
            <v>2</v>
          </cell>
          <cell r="G384">
            <v>6</v>
          </cell>
          <cell r="H384">
            <v>0.68799999999999994</v>
          </cell>
          <cell r="I384">
            <v>1.0683229813664595E-2</v>
          </cell>
          <cell r="J384">
            <v>64.400000000000006</v>
          </cell>
          <cell r="K384">
            <v>5</v>
          </cell>
          <cell r="L384">
            <v>10</v>
          </cell>
          <cell r="M384">
            <v>20</v>
          </cell>
          <cell r="N384">
            <v>30</v>
          </cell>
          <cell r="O384">
            <v>60</v>
          </cell>
          <cell r="P384">
            <v>90</v>
          </cell>
        </row>
        <row r="385">
          <cell r="A385" t="str">
            <v>CFRHS180x180x16</v>
          </cell>
          <cell r="B385" t="str">
            <v>a=1.0 x t</v>
          </cell>
          <cell r="C385">
            <v>16</v>
          </cell>
          <cell r="D385"/>
          <cell r="E385" t="str">
            <v>Jah</v>
          </cell>
          <cell r="F385">
            <v>2</v>
          </cell>
          <cell r="G385">
            <v>10</v>
          </cell>
          <cell r="H385">
            <v>0.67900000000000005</v>
          </cell>
          <cell r="I385">
            <v>8.476903870162299E-3</v>
          </cell>
          <cell r="J385">
            <v>80.099999999999994</v>
          </cell>
          <cell r="K385">
            <v>5</v>
          </cell>
          <cell r="L385">
            <v>10</v>
          </cell>
          <cell r="M385">
            <v>20</v>
          </cell>
          <cell r="N385">
            <v>30</v>
          </cell>
          <cell r="O385">
            <v>60</v>
          </cell>
          <cell r="P385">
            <v>90</v>
          </cell>
        </row>
        <row r="386">
          <cell r="A386" t="str">
            <v>CFRHS200x200x5</v>
          </cell>
          <cell r="B386" t="str">
            <v>a=1.0 x t</v>
          </cell>
          <cell r="C386">
            <v>5</v>
          </cell>
          <cell r="D386"/>
          <cell r="E386"/>
          <cell r="F386">
            <v>2</v>
          </cell>
          <cell r="G386">
            <v>2</v>
          </cell>
          <cell r="H386">
            <v>0.78700000000000003</v>
          </cell>
          <cell r="I386">
            <v>2.5888157894736846E-2</v>
          </cell>
          <cell r="J386">
            <v>30.4</v>
          </cell>
          <cell r="K386">
            <v>5</v>
          </cell>
          <cell r="L386">
            <v>10</v>
          </cell>
          <cell r="M386">
            <v>20</v>
          </cell>
          <cell r="N386">
            <v>30</v>
          </cell>
          <cell r="O386">
            <v>60</v>
          </cell>
          <cell r="P386">
            <v>90</v>
          </cell>
        </row>
        <row r="387">
          <cell r="A387" t="str">
            <v>CFRHS200x200x6</v>
          </cell>
          <cell r="B387" t="str">
            <v>a=1.0 x t</v>
          </cell>
          <cell r="C387">
            <v>6</v>
          </cell>
          <cell r="D387"/>
          <cell r="E387"/>
          <cell r="F387">
            <v>2</v>
          </cell>
          <cell r="G387">
            <v>2</v>
          </cell>
          <cell r="H387">
            <v>0.77900000000000003</v>
          </cell>
          <cell r="I387">
            <v>2.1759776536312853E-2</v>
          </cell>
          <cell r="J387">
            <v>35.799999999999997</v>
          </cell>
          <cell r="K387">
            <v>5</v>
          </cell>
          <cell r="L387">
            <v>10</v>
          </cell>
          <cell r="M387">
            <v>20</v>
          </cell>
          <cell r="N387">
            <v>30</v>
          </cell>
          <cell r="O387">
            <v>60</v>
          </cell>
          <cell r="P387">
            <v>90</v>
          </cell>
        </row>
        <row r="388">
          <cell r="A388" t="str">
            <v>CFRHS200x200x6.3</v>
          </cell>
          <cell r="B388" t="str">
            <v>a=1.0 x t</v>
          </cell>
          <cell r="C388">
            <v>6.3</v>
          </cell>
          <cell r="D388"/>
          <cell r="E388"/>
          <cell r="F388">
            <v>2</v>
          </cell>
          <cell r="G388">
            <v>2</v>
          </cell>
          <cell r="H388">
            <v>0.77300000000000002</v>
          </cell>
          <cell r="I388">
            <v>2.0779569892473117E-2</v>
          </cell>
          <cell r="J388">
            <v>37.200000000000003</v>
          </cell>
          <cell r="K388">
            <v>5</v>
          </cell>
          <cell r="L388">
            <v>10</v>
          </cell>
          <cell r="M388">
            <v>20</v>
          </cell>
          <cell r="N388">
            <v>30</v>
          </cell>
          <cell r="O388">
            <v>60</v>
          </cell>
          <cell r="P388">
            <v>90</v>
          </cell>
        </row>
        <row r="389">
          <cell r="A389" t="str">
            <v>CFRHS200x200x8</v>
          </cell>
          <cell r="B389" t="str">
            <v>a=1.0 x t</v>
          </cell>
          <cell r="C389">
            <v>8</v>
          </cell>
          <cell r="D389"/>
          <cell r="E389"/>
          <cell r="F389">
            <v>2</v>
          </cell>
          <cell r="G389">
            <v>3</v>
          </cell>
          <cell r="H389">
            <v>0.76600000000000001</v>
          </cell>
          <cell r="I389">
            <v>1.6473118279569893E-2</v>
          </cell>
          <cell r="J389">
            <v>46.5</v>
          </cell>
          <cell r="K389">
            <v>5</v>
          </cell>
          <cell r="L389">
            <v>10</v>
          </cell>
          <cell r="M389">
            <v>20</v>
          </cell>
          <cell r="N389">
            <v>30</v>
          </cell>
          <cell r="O389">
            <v>60</v>
          </cell>
          <cell r="P389">
            <v>90</v>
          </cell>
        </row>
        <row r="390">
          <cell r="A390" t="str">
            <v>CFRHS200x200x10</v>
          </cell>
          <cell r="B390" t="str">
            <v>a=1.0 x t</v>
          </cell>
          <cell r="C390">
            <v>10</v>
          </cell>
          <cell r="D390"/>
          <cell r="E390"/>
          <cell r="F390">
            <v>2</v>
          </cell>
          <cell r="G390">
            <v>6</v>
          </cell>
          <cell r="H390">
            <v>0.75700000000000001</v>
          </cell>
          <cell r="I390">
            <v>1.3280701754385966E-2</v>
          </cell>
          <cell r="J390">
            <v>57</v>
          </cell>
          <cell r="K390">
            <v>5</v>
          </cell>
          <cell r="L390">
            <v>10</v>
          </cell>
          <cell r="M390">
            <v>20</v>
          </cell>
          <cell r="N390">
            <v>30</v>
          </cell>
          <cell r="O390">
            <v>60</v>
          </cell>
          <cell r="P390">
            <v>90</v>
          </cell>
        </row>
        <row r="391">
          <cell r="A391" t="str">
            <v>CFRHS200x200x12.5</v>
          </cell>
          <cell r="B391" t="str">
            <v>a=1.0 x t</v>
          </cell>
          <cell r="C391">
            <v>12.5</v>
          </cell>
          <cell r="D391"/>
          <cell r="E391" t="str">
            <v>Jah</v>
          </cell>
          <cell r="F391">
            <v>2</v>
          </cell>
          <cell r="G391">
            <v>6</v>
          </cell>
          <cell r="H391">
            <v>0.73599999999999999</v>
          </cell>
          <cell r="I391">
            <v>1.0775988286969254E-2</v>
          </cell>
          <cell r="J391">
            <v>68.3</v>
          </cell>
          <cell r="K391">
            <v>5</v>
          </cell>
          <cell r="L391">
            <v>10</v>
          </cell>
          <cell r="M391">
            <v>20</v>
          </cell>
          <cell r="N391">
            <v>30</v>
          </cell>
          <cell r="O391">
            <v>60</v>
          </cell>
          <cell r="P391">
            <v>90</v>
          </cell>
        </row>
        <row r="392">
          <cell r="A392" t="str">
            <v>CFRHS220x220x6</v>
          </cell>
          <cell r="B392" t="str">
            <v>a=1.0 x t</v>
          </cell>
          <cell r="C392">
            <v>6</v>
          </cell>
          <cell r="D392"/>
          <cell r="E392"/>
          <cell r="F392">
            <v>2</v>
          </cell>
          <cell r="G392">
            <v>2</v>
          </cell>
          <cell r="H392">
            <v>0.85899999999999999</v>
          </cell>
          <cell r="I392">
            <v>2.1691919191919189E-2</v>
          </cell>
          <cell r="J392">
            <v>39.6</v>
          </cell>
          <cell r="K392">
            <v>5</v>
          </cell>
          <cell r="L392">
            <v>10</v>
          </cell>
          <cell r="M392">
            <v>20</v>
          </cell>
          <cell r="N392">
            <v>30</v>
          </cell>
          <cell r="O392">
            <v>60</v>
          </cell>
          <cell r="P392">
            <v>90</v>
          </cell>
        </row>
        <row r="393">
          <cell r="A393" t="str">
            <v>CFRHS220x220x8</v>
          </cell>
          <cell r="B393" t="str">
            <v>a=1.0 x t</v>
          </cell>
          <cell r="C393">
            <v>8</v>
          </cell>
          <cell r="D393"/>
          <cell r="E393"/>
          <cell r="F393">
            <v>2</v>
          </cell>
          <cell r="G393">
            <v>3</v>
          </cell>
          <cell r="H393">
            <v>0.84599999999999997</v>
          </cell>
          <cell r="I393">
            <v>1.6427184466019418E-2</v>
          </cell>
          <cell r="J393">
            <v>51.5</v>
          </cell>
          <cell r="K393">
            <v>5</v>
          </cell>
          <cell r="L393">
            <v>10</v>
          </cell>
          <cell r="M393">
            <v>20</v>
          </cell>
          <cell r="N393">
            <v>30</v>
          </cell>
          <cell r="O393">
            <v>60</v>
          </cell>
          <cell r="P393">
            <v>90</v>
          </cell>
        </row>
        <row r="394">
          <cell r="A394" t="str">
            <v>CFRHS220x220x10</v>
          </cell>
          <cell r="B394" t="str">
            <v>a=1.0 x t</v>
          </cell>
          <cell r="C394">
            <v>10</v>
          </cell>
          <cell r="D394"/>
          <cell r="E394"/>
          <cell r="F394">
            <v>2</v>
          </cell>
          <cell r="G394">
            <v>6</v>
          </cell>
          <cell r="H394">
            <v>0.83699999999999997</v>
          </cell>
          <cell r="I394">
            <v>1.3222748815165877E-2</v>
          </cell>
          <cell r="J394">
            <v>63.3</v>
          </cell>
          <cell r="K394">
            <v>5</v>
          </cell>
          <cell r="L394">
            <v>10</v>
          </cell>
          <cell r="M394">
            <v>20</v>
          </cell>
          <cell r="N394">
            <v>30</v>
          </cell>
          <cell r="O394">
            <v>60</v>
          </cell>
          <cell r="P394">
            <v>90</v>
          </cell>
        </row>
        <row r="395">
          <cell r="A395" t="str">
            <v>CFRHS220x220x12.5</v>
          </cell>
          <cell r="B395" t="str">
            <v>a=1.0 x t</v>
          </cell>
          <cell r="C395">
            <v>12.5</v>
          </cell>
          <cell r="D395"/>
          <cell r="E395" t="str">
            <v>Jah</v>
          </cell>
          <cell r="F395">
            <v>2</v>
          </cell>
          <cell r="G395">
            <v>6</v>
          </cell>
          <cell r="H395">
            <v>0.81599999999999995</v>
          </cell>
          <cell r="I395">
            <v>1.0722733245729303E-2</v>
          </cell>
          <cell r="J395">
            <v>76.099999999999994</v>
          </cell>
          <cell r="K395">
            <v>5</v>
          </cell>
          <cell r="L395">
            <v>10</v>
          </cell>
          <cell r="M395">
            <v>20</v>
          </cell>
          <cell r="N395">
            <v>30</v>
          </cell>
          <cell r="O395">
            <v>60</v>
          </cell>
          <cell r="P395">
            <v>90</v>
          </cell>
        </row>
        <row r="396">
          <cell r="A396" t="str">
            <v>CFRHS220x220x16</v>
          </cell>
          <cell r="B396" t="str">
            <v>a=1.0 x t</v>
          </cell>
          <cell r="C396">
            <v>16</v>
          </cell>
          <cell r="D396"/>
          <cell r="E396" t="str">
            <v>Jah</v>
          </cell>
          <cell r="F396">
            <v>2</v>
          </cell>
          <cell r="G396">
            <v>10</v>
          </cell>
          <cell r="H396">
            <v>0.84</v>
          </cell>
          <cell r="I396">
            <v>8.3582089552238798E-3</v>
          </cell>
          <cell r="J396">
            <v>100.5</v>
          </cell>
          <cell r="K396">
            <v>5</v>
          </cell>
          <cell r="L396">
            <v>10</v>
          </cell>
          <cell r="M396">
            <v>20</v>
          </cell>
          <cell r="N396">
            <v>30</v>
          </cell>
          <cell r="O396">
            <v>60</v>
          </cell>
          <cell r="P396">
            <v>90</v>
          </cell>
        </row>
        <row r="397">
          <cell r="A397" t="str">
            <v>CFRHS250x250x6</v>
          </cell>
          <cell r="B397" t="str">
            <v>a=1.0 x t</v>
          </cell>
          <cell r="C397">
            <v>6</v>
          </cell>
          <cell r="D397"/>
          <cell r="E397"/>
          <cell r="F397">
            <v>3</v>
          </cell>
          <cell r="G397">
            <v>2</v>
          </cell>
          <cell r="H397">
            <v>0.97899999999999998</v>
          </cell>
          <cell r="I397">
            <v>2.1328976034858387E-2</v>
          </cell>
          <cell r="J397">
            <v>45.9</v>
          </cell>
          <cell r="K397">
            <v>10</v>
          </cell>
          <cell r="L397">
            <v>20</v>
          </cell>
          <cell r="M397">
            <v>30</v>
          </cell>
          <cell r="N397">
            <v>40</v>
          </cell>
          <cell r="O397">
            <v>90</v>
          </cell>
          <cell r="P397">
            <v>120</v>
          </cell>
        </row>
        <row r="398">
          <cell r="A398" t="str">
            <v>CFRHS250x250x6.3</v>
          </cell>
          <cell r="B398" t="str">
            <v>a=1.0 x t</v>
          </cell>
          <cell r="C398">
            <v>6.3</v>
          </cell>
          <cell r="D398"/>
          <cell r="E398"/>
          <cell r="F398">
            <v>3</v>
          </cell>
          <cell r="G398">
            <v>2</v>
          </cell>
          <cell r="H398">
            <v>0.93600000000000005</v>
          </cell>
          <cell r="I398">
            <v>1.95E-2</v>
          </cell>
          <cell r="J398">
            <v>48</v>
          </cell>
          <cell r="K398">
            <v>10</v>
          </cell>
          <cell r="L398">
            <v>20</v>
          </cell>
          <cell r="M398">
            <v>30</v>
          </cell>
          <cell r="N398">
            <v>40</v>
          </cell>
          <cell r="O398">
            <v>90</v>
          </cell>
          <cell r="P398">
            <v>120</v>
          </cell>
        </row>
        <row r="399">
          <cell r="A399" t="str">
            <v>CFRHS250x250x8</v>
          </cell>
          <cell r="B399" t="str">
            <v>a=1.0 x t</v>
          </cell>
          <cell r="C399">
            <v>8</v>
          </cell>
          <cell r="D399"/>
          <cell r="E399"/>
          <cell r="F399">
            <v>3</v>
          </cell>
          <cell r="G399">
            <v>3</v>
          </cell>
          <cell r="H399">
            <v>0.96599999999999997</v>
          </cell>
          <cell r="I399">
            <v>1.6046511627906976E-2</v>
          </cell>
          <cell r="J399">
            <v>60.2</v>
          </cell>
          <cell r="K399">
            <v>10</v>
          </cell>
          <cell r="L399">
            <v>20</v>
          </cell>
          <cell r="M399">
            <v>30</v>
          </cell>
          <cell r="N399">
            <v>40</v>
          </cell>
          <cell r="O399">
            <v>90</v>
          </cell>
          <cell r="P399">
            <v>120</v>
          </cell>
        </row>
        <row r="400">
          <cell r="A400" t="str">
            <v>CFRHS250x250x10</v>
          </cell>
          <cell r="B400" t="str">
            <v>a=1.0 x t</v>
          </cell>
          <cell r="C400">
            <v>10</v>
          </cell>
          <cell r="D400"/>
          <cell r="E400"/>
          <cell r="F400">
            <v>3</v>
          </cell>
          <cell r="G400">
            <v>6</v>
          </cell>
          <cell r="H400">
            <v>0.95699999999999996</v>
          </cell>
          <cell r="I400">
            <v>1.3163686382393397E-2</v>
          </cell>
          <cell r="J400">
            <v>72.7</v>
          </cell>
          <cell r="K400">
            <v>10</v>
          </cell>
          <cell r="L400">
            <v>20</v>
          </cell>
          <cell r="M400">
            <v>30</v>
          </cell>
          <cell r="N400">
            <v>40</v>
          </cell>
          <cell r="O400">
            <v>90</v>
          </cell>
          <cell r="P400">
            <v>120</v>
          </cell>
        </row>
        <row r="401">
          <cell r="A401" t="str">
            <v>CFRHS250x250x12.5</v>
          </cell>
          <cell r="B401" t="str">
            <v>a=1.0 x t</v>
          </cell>
          <cell r="C401">
            <v>12.5</v>
          </cell>
          <cell r="D401"/>
          <cell r="E401" t="str">
            <v>Jah</v>
          </cell>
          <cell r="F401">
            <v>3</v>
          </cell>
          <cell r="G401">
            <v>6</v>
          </cell>
          <cell r="H401">
            <v>0.94599999999999995</v>
          </cell>
          <cell r="I401">
            <v>1.0429988974641676E-2</v>
          </cell>
          <cell r="J401">
            <v>90.7</v>
          </cell>
          <cell r="K401">
            <v>10</v>
          </cell>
          <cell r="L401">
            <v>20</v>
          </cell>
          <cell r="M401">
            <v>30</v>
          </cell>
          <cell r="N401">
            <v>40</v>
          </cell>
          <cell r="O401">
            <v>90</v>
          </cell>
          <cell r="P401">
            <v>120</v>
          </cell>
        </row>
        <row r="402">
          <cell r="A402" t="str">
            <v>CFRHS250x250x16</v>
          </cell>
          <cell r="B402" t="str">
            <v>a=1.0 x t</v>
          </cell>
          <cell r="C402">
            <v>16</v>
          </cell>
          <cell r="D402"/>
          <cell r="E402" t="str">
            <v>Jah</v>
          </cell>
          <cell r="F402">
            <v>3</v>
          </cell>
          <cell r="G402">
            <v>8</v>
          </cell>
          <cell r="H402">
            <v>0.94599999999999995</v>
          </cell>
          <cell r="I402">
            <v>1.0429988974641676E-2</v>
          </cell>
          <cell r="J402">
            <v>90.7</v>
          </cell>
          <cell r="K402">
            <v>10</v>
          </cell>
          <cell r="L402">
            <v>20</v>
          </cell>
          <cell r="M402">
            <v>30</v>
          </cell>
          <cell r="N402">
            <v>40</v>
          </cell>
          <cell r="O402">
            <v>90</v>
          </cell>
          <cell r="P402">
            <v>120</v>
          </cell>
        </row>
        <row r="403">
          <cell r="A403" t="str">
            <v>CFRHS260x260x10</v>
          </cell>
          <cell r="B403" t="str">
            <v>a=1.0 x t</v>
          </cell>
          <cell r="C403">
            <v>10</v>
          </cell>
          <cell r="D403"/>
          <cell r="E403"/>
          <cell r="F403">
            <v>3</v>
          </cell>
          <cell r="G403">
            <v>6</v>
          </cell>
          <cell r="H403">
            <v>0.997</v>
          </cell>
          <cell r="I403">
            <v>1.3153034300791558E-2</v>
          </cell>
          <cell r="J403">
            <v>75.8</v>
          </cell>
          <cell r="K403">
            <v>10</v>
          </cell>
          <cell r="L403">
            <v>20</v>
          </cell>
          <cell r="M403">
            <v>30</v>
          </cell>
          <cell r="N403">
            <v>40</v>
          </cell>
          <cell r="O403">
            <v>90</v>
          </cell>
          <cell r="P403">
            <v>120</v>
          </cell>
        </row>
        <row r="404">
          <cell r="A404" t="str">
            <v>CFRHS260x260x8</v>
          </cell>
          <cell r="B404" t="str">
            <v>a=1.0 x t</v>
          </cell>
          <cell r="C404">
            <v>8</v>
          </cell>
          <cell r="D404"/>
          <cell r="E404"/>
          <cell r="F404">
            <v>3</v>
          </cell>
          <cell r="G404">
            <v>3</v>
          </cell>
          <cell r="H404">
            <v>1.006</v>
          </cell>
          <cell r="I404">
            <v>1.6331168831168832E-2</v>
          </cell>
          <cell r="J404">
            <v>61.6</v>
          </cell>
          <cell r="K404">
            <v>10</v>
          </cell>
          <cell r="L404">
            <v>20</v>
          </cell>
          <cell r="M404">
            <v>30</v>
          </cell>
          <cell r="N404">
            <v>40</v>
          </cell>
          <cell r="O404">
            <v>90</v>
          </cell>
          <cell r="P404">
            <v>120</v>
          </cell>
        </row>
        <row r="405">
          <cell r="A405" t="str">
            <v>CFRHS300x300x6</v>
          </cell>
          <cell r="B405" t="str">
            <v>a=1.0 x t</v>
          </cell>
          <cell r="C405">
            <v>6</v>
          </cell>
          <cell r="D405"/>
          <cell r="E405"/>
          <cell r="F405">
            <v>3</v>
          </cell>
          <cell r="G405">
            <v>2</v>
          </cell>
          <cell r="H405">
            <v>1.18</v>
          </cell>
          <cell r="I405">
            <v>2.1261261261261259E-2</v>
          </cell>
          <cell r="J405">
            <v>55.5</v>
          </cell>
          <cell r="K405">
            <v>10</v>
          </cell>
          <cell r="L405">
            <v>20</v>
          </cell>
          <cell r="M405">
            <v>30</v>
          </cell>
          <cell r="N405">
            <v>40</v>
          </cell>
          <cell r="O405">
            <v>90</v>
          </cell>
          <cell r="P405">
            <v>120</v>
          </cell>
        </row>
        <row r="406">
          <cell r="A406" t="str">
            <v>CFRHS300x300x6.3</v>
          </cell>
          <cell r="B406" t="str">
            <v>a=1.0 x t</v>
          </cell>
          <cell r="C406">
            <v>6.3</v>
          </cell>
          <cell r="D406"/>
          <cell r="E406"/>
          <cell r="F406">
            <v>3</v>
          </cell>
          <cell r="G406">
            <v>2</v>
          </cell>
          <cell r="H406">
            <v>1.18</v>
          </cell>
          <cell r="I406">
            <v>2.0309810671256454E-2</v>
          </cell>
          <cell r="J406">
            <v>58.1</v>
          </cell>
          <cell r="K406">
            <v>10</v>
          </cell>
          <cell r="L406">
            <v>20</v>
          </cell>
          <cell r="M406">
            <v>30</v>
          </cell>
          <cell r="N406">
            <v>40</v>
          </cell>
          <cell r="O406">
            <v>90</v>
          </cell>
          <cell r="P406">
            <v>120</v>
          </cell>
        </row>
        <row r="407">
          <cell r="A407" t="str">
            <v>CFRHS300x300x8</v>
          </cell>
          <cell r="B407" t="str">
            <v>a=1.0 x t</v>
          </cell>
          <cell r="C407">
            <v>8</v>
          </cell>
          <cell r="D407"/>
          <cell r="E407"/>
          <cell r="F407">
            <v>3</v>
          </cell>
          <cell r="G407">
            <v>3</v>
          </cell>
          <cell r="H407">
            <v>1.1659999999999999</v>
          </cell>
          <cell r="I407">
            <v>1.5972602739726026E-2</v>
          </cell>
          <cell r="J407">
            <v>73</v>
          </cell>
          <cell r="K407">
            <v>10</v>
          </cell>
          <cell r="L407">
            <v>20</v>
          </cell>
          <cell r="M407">
            <v>30</v>
          </cell>
          <cell r="N407">
            <v>40</v>
          </cell>
          <cell r="O407">
            <v>90</v>
          </cell>
          <cell r="P407">
            <v>120</v>
          </cell>
        </row>
        <row r="408">
          <cell r="A408" t="str">
            <v>CFRHS300x300x10</v>
          </cell>
          <cell r="B408" t="str">
            <v>a=1.0 x t</v>
          </cell>
          <cell r="C408">
            <v>10</v>
          </cell>
          <cell r="D408"/>
          <cell r="E408"/>
          <cell r="F408">
            <v>3</v>
          </cell>
          <cell r="G408">
            <v>6</v>
          </cell>
          <cell r="H408">
            <v>1.157</v>
          </cell>
          <cell r="I408">
            <v>1.2841287458379579E-2</v>
          </cell>
          <cell r="J408">
            <v>90.1</v>
          </cell>
          <cell r="K408">
            <v>10</v>
          </cell>
          <cell r="L408">
            <v>20</v>
          </cell>
          <cell r="M408">
            <v>30</v>
          </cell>
          <cell r="N408">
            <v>40</v>
          </cell>
          <cell r="O408">
            <v>90</v>
          </cell>
          <cell r="P408">
            <v>120</v>
          </cell>
        </row>
        <row r="409">
          <cell r="A409" t="str">
            <v>CFRHS300x300x12.5</v>
          </cell>
          <cell r="B409" t="str">
            <v>a=1.0 x t</v>
          </cell>
          <cell r="C409">
            <v>12.5</v>
          </cell>
          <cell r="D409"/>
          <cell r="E409" t="str">
            <v>Jah</v>
          </cell>
          <cell r="F409">
            <v>3</v>
          </cell>
          <cell r="G409">
            <v>6</v>
          </cell>
          <cell r="H409">
            <v>1.1459999999999999</v>
          </cell>
          <cell r="I409">
            <v>1.035230352303523E-2</v>
          </cell>
          <cell r="J409">
            <v>110.7</v>
          </cell>
          <cell r="K409">
            <v>10</v>
          </cell>
          <cell r="L409">
            <v>20</v>
          </cell>
          <cell r="M409">
            <v>30</v>
          </cell>
          <cell r="N409">
            <v>40</v>
          </cell>
          <cell r="O409">
            <v>90</v>
          </cell>
          <cell r="P409">
            <v>120</v>
          </cell>
        </row>
        <row r="410">
          <cell r="A410" t="str">
            <v>CFRHS300x300x16</v>
          </cell>
          <cell r="B410" t="str">
            <v>a=1.0 x t</v>
          </cell>
          <cell r="C410">
            <v>16</v>
          </cell>
          <cell r="D410"/>
          <cell r="E410" t="str">
            <v>Jah</v>
          </cell>
          <cell r="F410">
            <v>3</v>
          </cell>
          <cell r="G410">
            <v>10</v>
          </cell>
          <cell r="H410">
            <v>1.1200000000000001</v>
          </cell>
          <cell r="I410">
            <v>8.3457526080476917E-3</v>
          </cell>
          <cell r="J410">
            <v>134.19999999999999</v>
          </cell>
          <cell r="K410">
            <v>10</v>
          </cell>
          <cell r="L410">
            <v>20</v>
          </cell>
          <cell r="M410">
            <v>30</v>
          </cell>
          <cell r="N410">
            <v>40</v>
          </cell>
          <cell r="O410">
            <v>90</v>
          </cell>
          <cell r="P410">
            <v>120</v>
          </cell>
        </row>
        <row r="411">
          <cell r="A411" t="str">
            <v>CFRHS350x350x6</v>
          </cell>
          <cell r="B411" t="str">
            <v>a=1.0 x t</v>
          </cell>
          <cell r="C411">
            <v>6</v>
          </cell>
          <cell r="D411"/>
          <cell r="E411"/>
          <cell r="F411">
            <v>3</v>
          </cell>
          <cell r="G411">
            <v>2</v>
          </cell>
          <cell r="H411">
            <v>1.38</v>
          </cell>
          <cell r="I411">
            <v>2.1198156682027649E-2</v>
          </cell>
          <cell r="J411">
            <v>65.099999999999994</v>
          </cell>
          <cell r="K411">
            <v>10</v>
          </cell>
          <cell r="L411">
            <v>20</v>
          </cell>
          <cell r="M411">
            <v>30</v>
          </cell>
          <cell r="N411">
            <v>40</v>
          </cell>
          <cell r="O411">
            <v>90</v>
          </cell>
          <cell r="P411">
            <v>120</v>
          </cell>
        </row>
        <row r="412">
          <cell r="A412" t="str">
            <v>CFRHS350x350x6.3</v>
          </cell>
          <cell r="B412" t="str">
            <v>a=1.0 x t</v>
          </cell>
          <cell r="C412">
            <v>6.3</v>
          </cell>
          <cell r="D412"/>
          <cell r="E412"/>
          <cell r="F412">
            <v>3</v>
          </cell>
          <cell r="G412">
            <v>2</v>
          </cell>
          <cell r="H412">
            <v>1.373</v>
          </cell>
          <cell r="I412">
            <v>2.0131964809384163E-2</v>
          </cell>
          <cell r="J412">
            <v>68.2</v>
          </cell>
          <cell r="K412">
            <v>10</v>
          </cell>
          <cell r="L412">
            <v>20</v>
          </cell>
          <cell r="M412">
            <v>30</v>
          </cell>
          <cell r="N412">
            <v>40</v>
          </cell>
          <cell r="O412">
            <v>90</v>
          </cell>
          <cell r="P412">
            <v>120</v>
          </cell>
        </row>
        <row r="413">
          <cell r="A413" t="str">
            <v>CFRHS350x350x8</v>
          </cell>
          <cell r="B413" t="str">
            <v>a=1.0 x t</v>
          </cell>
          <cell r="C413">
            <v>8</v>
          </cell>
          <cell r="D413"/>
          <cell r="E413"/>
          <cell r="F413">
            <v>3</v>
          </cell>
          <cell r="G413">
            <v>3</v>
          </cell>
          <cell r="H413">
            <v>1.3660000000000001</v>
          </cell>
          <cell r="I413">
            <v>1.5920745920745924E-2</v>
          </cell>
          <cell r="J413">
            <v>85.8</v>
          </cell>
          <cell r="K413">
            <v>10</v>
          </cell>
          <cell r="L413">
            <v>20</v>
          </cell>
          <cell r="M413">
            <v>30</v>
          </cell>
          <cell r="N413">
            <v>40</v>
          </cell>
          <cell r="O413">
            <v>90</v>
          </cell>
          <cell r="P413">
            <v>120</v>
          </cell>
        </row>
        <row r="414">
          <cell r="A414" t="str">
            <v>CFRHS350x350x10</v>
          </cell>
          <cell r="B414" t="str">
            <v>a=1.0 x t</v>
          </cell>
          <cell r="C414">
            <v>10</v>
          </cell>
          <cell r="D414"/>
          <cell r="E414"/>
          <cell r="F414">
            <v>3</v>
          </cell>
          <cell r="G414">
            <v>6</v>
          </cell>
          <cell r="H414">
            <v>1.357</v>
          </cell>
          <cell r="I414">
            <v>1.2789820923656927E-2</v>
          </cell>
          <cell r="J414">
            <v>106.1</v>
          </cell>
          <cell r="K414">
            <v>10</v>
          </cell>
          <cell r="L414">
            <v>20</v>
          </cell>
          <cell r="M414">
            <v>30</v>
          </cell>
          <cell r="N414">
            <v>40</v>
          </cell>
          <cell r="O414">
            <v>90</v>
          </cell>
          <cell r="P414">
            <v>120</v>
          </cell>
        </row>
        <row r="415">
          <cell r="A415" t="str">
            <v>CFRHS350x350x12.5</v>
          </cell>
          <cell r="B415" t="str">
            <v>a=1.0 x t</v>
          </cell>
          <cell r="C415">
            <v>12.5</v>
          </cell>
          <cell r="D415"/>
          <cell r="E415" t="str">
            <v>Jah</v>
          </cell>
          <cell r="F415">
            <v>3</v>
          </cell>
          <cell r="G415">
            <v>6</v>
          </cell>
          <cell r="H415">
            <v>1.3460000000000001</v>
          </cell>
          <cell r="I415">
            <v>1.029839326702372E-2</v>
          </cell>
          <cell r="J415">
            <v>130.69999999999999</v>
          </cell>
          <cell r="K415">
            <v>10</v>
          </cell>
          <cell r="L415">
            <v>20</v>
          </cell>
          <cell r="M415">
            <v>30</v>
          </cell>
          <cell r="N415">
            <v>40</v>
          </cell>
          <cell r="O415">
            <v>90</v>
          </cell>
          <cell r="P415">
            <v>120</v>
          </cell>
        </row>
        <row r="416">
          <cell r="A416" t="str">
            <v>CFRHS400x400x6</v>
          </cell>
          <cell r="B416" t="str">
            <v>a=1.0 x t</v>
          </cell>
          <cell r="C416">
            <v>6</v>
          </cell>
          <cell r="D416"/>
          <cell r="E416"/>
          <cell r="F416">
            <v>3</v>
          </cell>
          <cell r="G416">
            <v>2</v>
          </cell>
          <cell r="H416">
            <v>1.58</v>
          </cell>
          <cell r="I416">
            <v>2.2571428571428572E-2</v>
          </cell>
          <cell r="J416">
            <v>70</v>
          </cell>
          <cell r="K416">
            <v>10</v>
          </cell>
          <cell r="L416">
            <v>20</v>
          </cell>
          <cell r="M416">
            <v>30</v>
          </cell>
          <cell r="N416">
            <v>40</v>
          </cell>
          <cell r="O416">
            <v>90</v>
          </cell>
          <cell r="P416">
            <v>120</v>
          </cell>
        </row>
        <row r="417">
          <cell r="A417" t="str">
            <v>CFRHS400x400x6.3</v>
          </cell>
          <cell r="B417" t="str">
            <v>a=1.0 x t</v>
          </cell>
          <cell r="C417">
            <v>6.3</v>
          </cell>
          <cell r="D417"/>
          <cell r="E417"/>
          <cell r="F417">
            <v>3</v>
          </cell>
          <cell r="G417">
            <v>2</v>
          </cell>
          <cell r="H417">
            <v>1.58</v>
          </cell>
          <cell r="I417">
            <v>2.0360824742268045E-2</v>
          </cell>
          <cell r="J417">
            <v>77.599999999999994</v>
          </cell>
          <cell r="K417">
            <v>10</v>
          </cell>
          <cell r="L417">
            <v>20</v>
          </cell>
          <cell r="M417">
            <v>30</v>
          </cell>
          <cell r="N417">
            <v>40</v>
          </cell>
          <cell r="O417">
            <v>90</v>
          </cell>
          <cell r="P417">
            <v>120</v>
          </cell>
        </row>
        <row r="418">
          <cell r="A418" t="str">
            <v>CFRHS400x400x8</v>
          </cell>
          <cell r="B418" t="str">
            <v>a=1.0 x t</v>
          </cell>
          <cell r="C418">
            <v>8</v>
          </cell>
          <cell r="D418"/>
          <cell r="E418"/>
          <cell r="F418">
            <v>3</v>
          </cell>
          <cell r="G418">
            <v>3</v>
          </cell>
          <cell r="H418">
            <v>1.56</v>
          </cell>
          <cell r="I418">
            <v>1.5821501014198783E-2</v>
          </cell>
          <cell r="J418">
            <v>98.6</v>
          </cell>
          <cell r="K418">
            <v>10</v>
          </cell>
          <cell r="L418">
            <v>20</v>
          </cell>
          <cell r="M418">
            <v>30</v>
          </cell>
          <cell r="N418">
            <v>40</v>
          </cell>
          <cell r="O418">
            <v>90</v>
          </cell>
          <cell r="P418">
            <v>120</v>
          </cell>
        </row>
        <row r="419">
          <cell r="A419" t="str">
            <v>CFRHS400x400x10</v>
          </cell>
          <cell r="B419" t="str">
            <v>a=1.0 x t</v>
          </cell>
          <cell r="C419">
            <v>10</v>
          </cell>
          <cell r="D419"/>
          <cell r="E419"/>
          <cell r="F419">
            <v>3</v>
          </cell>
          <cell r="G419">
            <v>6</v>
          </cell>
          <cell r="H419">
            <v>1.56</v>
          </cell>
          <cell r="I419">
            <v>1.2776412776412777E-2</v>
          </cell>
          <cell r="J419">
            <v>122.1</v>
          </cell>
          <cell r="K419">
            <v>10</v>
          </cell>
          <cell r="L419">
            <v>20</v>
          </cell>
          <cell r="M419">
            <v>30</v>
          </cell>
          <cell r="N419">
            <v>40</v>
          </cell>
          <cell r="O419">
            <v>90</v>
          </cell>
          <cell r="P419">
            <v>120</v>
          </cell>
        </row>
        <row r="420">
          <cell r="A420" t="str">
            <v>CFRHS400x400x12</v>
          </cell>
          <cell r="B420" t="str">
            <v>a=1.0 x t</v>
          </cell>
          <cell r="C420">
            <v>12</v>
          </cell>
          <cell r="D420"/>
          <cell r="E420" t="str">
            <v>Jah</v>
          </cell>
          <cell r="F420">
            <v>3</v>
          </cell>
          <cell r="G420">
            <v>6</v>
          </cell>
          <cell r="H420">
            <v>1.55</v>
          </cell>
          <cell r="I420">
            <v>1.0285335102853352E-2</v>
          </cell>
          <cell r="J420">
            <v>150.69999999999999</v>
          </cell>
          <cell r="K420">
            <v>10</v>
          </cell>
          <cell r="L420">
            <v>20</v>
          </cell>
          <cell r="M420">
            <v>30</v>
          </cell>
          <cell r="N420">
            <v>40</v>
          </cell>
          <cell r="O420">
            <v>90</v>
          </cell>
          <cell r="P420">
            <v>120</v>
          </cell>
        </row>
        <row r="421">
          <cell r="A421" t="str">
            <v>CFRHS400x400x12.5</v>
          </cell>
          <cell r="B421" t="str">
            <v>a=1.0 x t</v>
          </cell>
          <cell r="C421">
            <v>12.5</v>
          </cell>
          <cell r="D421"/>
          <cell r="E421" t="str">
            <v>Jah</v>
          </cell>
          <cell r="F421">
            <v>3</v>
          </cell>
          <cell r="G421">
            <v>6</v>
          </cell>
          <cell r="H421">
            <v>1.57</v>
          </cell>
          <cell r="I421">
            <v>1.0418049104180493E-2</v>
          </cell>
          <cell r="J421">
            <v>150.69999999999999</v>
          </cell>
          <cell r="K421">
            <v>10</v>
          </cell>
          <cell r="L421">
            <v>20</v>
          </cell>
          <cell r="M421">
            <v>30</v>
          </cell>
          <cell r="N421">
            <v>40</v>
          </cell>
          <cell r="O421">
            <v>90</v>
          </cell>
          <cell r="P421">
            <v>120</v>
          </cell>
        </row>
        <row r="422">
          <cell r="A422" t="str">
            <v>HD260x54.1</v>
          </cell>
          <cell r="B422" t="str">
            <v>a=0.5 x t</v>
          </cell>
          <cell r="C422">
            <v>6.5</v>
          </cell>
          <cell r="D422">
            <v>9.5</v>
          </cell>
          <cell r="E422"/>
          <cell r="F422">
            <v>3</v>
          </cell>
          <cell r="G422"/>
          <cell r="H422">
            <v>1.474</v>
          </cell>
          <cell r="I422">
            <v>2.7195571955719554E-2</v>
          </cell>
          <cell r="J422">
            <v>54.2</v>
          </cell>
          <cell r="K422">
            <v>10</v>
          </cell>
          <cell r="L422">
            <v>20</v>
          </cell>
          <cell r="M422">
            <v>30</v>
          </cell>
          <cell r="N422">
            <v>40</v>
          </cell>
          <cell r="O422">
            <v>90</v>
          </cell>
          <cell r="P422">
            <v>120</v>
          </cell>
        </row>
        <row r="423">
          <cell r="A423" t="str">
            <v>HD260x68.2</v>
          </cell>
          <cell r="B423" t="str">
            <v>a=0.5 x t</v>
          </cell>
          <cell r="C423">
            <v>7.5</v>
          </cell>
          <cell r="D423">
            <v>12.5</v>
          </cell>
          <cell r="E423"/>
          <cell r="F423">
            <v>3</v>
          </cell>
          <cell r="G423"/>
          <cell r="H423">
            <v>1.484</v>
          </cell>
          <cell r="I423">
            <v>2.1791483113069016E-2</v>
          </cell>
          <cell r="J423">
            <v>68.099999999999994</v>
          </cell>
          <cell r="K423">
            <v>10</v>
          </cell>
          <cell r="L423">
            <v>20</v>
          </cell>
          <cell r="M423">
            <v>30</v>
          </cell>
          <cell r="N423">
            <v>40</v>
          </cell>
          <cell r="O423">
            <v>90</v>
          </cell>
          <cell r="P423">
            <v>120</v>
          </cell>
        </row>
        <row r="424">
          <cell r="A424" t="str">
            <v>HD260x93</v>
          </cell>
          <cell r="B424" t="str">
            <v>a=0.5 x t</v>
          </cell>
          <cell r="C424">
            <v>10</v>
          </cell>
          <cell r="D424">
            <v>17.5</v>
          </cell>
          <cell r="E424"/>
          <cell r="F424">
            <v>3</v>
          </cell>
          <cell r="G424"/>
          <cell r="H424">
            <v>1.4990000000000001</v>
          </cell>
          <cell r="I424">
            <v>1.6135629709364909E-2</v>
          </cell>
          <cell r="J424">
            <v>92.9</v>
          </cell>
          <cell r="K424">
            <v>10</v>
          </cell>
          <cell r="L424">
            <v>20</v>
          </cell>
          <cell r="M424">
            <v>30</v>
          </cell>
          <cell r="N424">
            <v>40</v>
          </cell>
          <cell r="O424">
            <v>90</v>
          </cell>
          <cell r="P424">
            <v>120</v>
          </cell>
        </row>
        <row r="425">
          <cell r="A425" t="str">
            <v>HD260x114</v>
          </cell>
          <cell r="B425" t="str">
            <v>a=0.5 x t</v>
          </cell>
          <cell r="C425">
            <v>12.5</v>
          </cell>
          <cell r="D425">
            <v>21.5</v>
          </cell>
          <cell r="E425"/>
          <cell r="F425">
            <v>3</v>
          </cell>
          <cell r="G425"/>
          <cell r="H425">
            <v>1.518</v>
          </cell>
          <cell r="I425">
            <v>1.3269230769230769E-2</v>
          </cell>
          <cell r="J425">
            <v>114.4</v>
          </cell>
          <cell r="K425">
            <v>10</v>
          </cell>
          <cell r="L425">
            <v>20</v>
          </cell>
          <cell r="M425">
            <v>30</v>
          </cell>
          <cell r="N425">
            <v>40</v>
          </cell>
          <cell r="O425">
            <v>90</v>
          </cell>
          <cell r="P425">
            <v>120</v>
          </cell>
        </row>
        <row r="426">
          <cell r="A426" t="str">
            <v>HD260x142</v>
          </cell>
          <cell r="B426" t="str">
            <v>a=0.5 x t</v>
          </cell>
          <cell r="C426">
            <v>15.5</v>
          </cell>
          <cell r="D426">
            <v>26.5</v>
          </cell>
          <cell r="E426"/>
          <cell r="F426">
            <v>3</v>
          </cell>
          <cell r="G426"/>
          <cell r="H426">
            <v>1.544</v>
          </cell>
          <cell r="I426">
            <v>1.091166077738516E-2</v>
          </cell>
          <cell r="J426">
            <v>141.5</v>
          </cell>
          <cell r="K426">
            <v>10</v>
          </cell>
          <cell r="L426">
            <v>20</v>
          </cell>
          <cell r="M426">
            <v>30</v>
          </cell>
          <cell r="N426">
            <v>40</v>
          </cell>
          <cell r="O426">
            <v>90</v>
          </cell>
          <cell r="P426">
            <v>120</v>
          </cell>
        </row>
        <row r="427">
          <cell r="A427" t="str">
            <v>HD260x172</v>
          </cell>
          <cell r="B427" t="str">
            <v>a=0.5 x t</v>
          </cell>
          <cell r="C427">
            <v>18</v>
          </cell>
          <cell r="D427">
            <v>32.5</v>
          </cell>
          <cell r="E427"/>
          <cell r="F427">
            <v>3</v>
          </cell>
          <cell r="G427"/>
          <cell r="H427">
            <v>1.575</v>
          </cell>
          <cell r="I427">
            <v>9.1357308584686762E-3</v>
          </cell>
          <cell r="J427">
            <v>172.4</v>
          </cell>
          <cell r="K427">
            <v>10</v>
          </cell>
          <cell r="L427">
            <v>20</v>
          </cell>
          <cell r="M427">
            <v>30</v>
          </cell>
          <cell r="N427">
            <v>40</v>
          </cell>
          <cell r="O427">
            <v>90</v>
          </cell>
          <cell r="P427">
            <v>120</v>
          </cell>
        </row>
        <row r="428">
          <cell r="A428" t="str">
            <v>HD260x225</v>
          </cell>
          <cell r="B428" t="str">
            <v>a=0.5 x t</v>
          </cell>
          <cell r="C428">
            <v>24</v>
          </cell>
          <cell r="D428">
            <v>42</v>
          </cell>
          <cell r="E428"/>
          <cell r="F428">
            <v>3</v>
          </cell>
          <cell r="G428"/>
          <cell r="H428">
            <v>1.613</v>
          </cell>
          <cell r="I428">
            <v>7.1688888888888887E-3</v>
          </cell>
          <cell r="J428">
            <v>225</v>
          </cell>
          <cell r="K428">
            <v>10</v>
          </cell>
          <cell r="L428">
            <v>20</v>
          </cell>
          <cell r="M428">
            <v>30</v>
          </cell>
          <cell r="N428">
            <v>40</v>
          </cell>
          <cell r="O428">
            <v>90</v>
          </cell>
          <cell r="P428">
            <v>120</v>
          </cell>
        </row>
        <row r="429">
          <cell r="A429" t="str">
            <v>HD260x299</v>
          </cell>
          <cell r="B429" t="str">
            <v>a=0.5 x t</v>
          </cell>
          <cell r="C429">
            <v>31</v>
          </cell>
          <cell r="D429">
            <v>55</v>
          </cell>
          <cell r="E429"/>
          <cell r="F429">
            <v>3</v>
          </cell>
          <cell r="G429"/>
          <cell r="H429">
            <v>1.679</v>
          </cell>
          <cell r="I429">
            <v>5.6210244392366927E-3</v>
          </cell>
          <cell r="J429">
            <v>298.7</v>
          </cell>
          <cell r="K429">
            <v>10</v>
          </cell>
          <cell r="L429">
            <v>20</v>
          </cell>
          <cell r="M429">
            <v>30</v>
          </cell>
          <cell r="N429">
            <v>40</v>
          </cell>
          <cell r="O429">
            <v>90</v>
          </cell>
          <cell r="P429">
            <v>120</v>
          </cell>
        </row>
        <row r="430">
          <cell r="A430" t="str">
            <v>HD320x74.2</v>
          </cell>
          <cell r="B430" t="str">
            <v>a=0.5 x t</v>
          </cell>
          <cell r="C430">
            <v>8</v>
          </cell>
          <cell r="D430">
            <v>11</v>
          </cell>
          <cell r="E430"/>
          <cell r="F430">
            <v>3</v>
          </cell>
          <cell r="G430"/>
          <cell r="H430">
            <v>1.74</v>
          </cell>
          <cell r="I430">
            <v>2.3418573351278602E-2</v>
          </cell>
          <cell r="J430">
            <v>74.3</v>
          </cell>
          <cell r="K430">
            <v>10</v>
          </cell>
          <cell r="L430">
            <v>20</v>
          </cell>
          <cell r="M430">
            <v>30</v>
          </cell>
          <cell r="N430">
            <v>40</v>
          </cell>
          <cell r="O430">
            <v>90</v>
          </cell>
          <cell r="P430">
            <v>120</v>
          </cell>
        </row>
        <row r="431">
          <cell r="A431" t="str">
            <v>HD320x97.6</v>
          </cell>
          <cell r="B431" t="str">
            <v>a=0.5 x t</v>
          </cell>
          <cell r="C431">
            <v>9</v>
          </cell>
          <cell r="D431">
            <v>15.5</v>
          </cell>
          <cell r="E431"/>
          <cell r="F431">
            <v>3</v>
          </cell>
          <cell r="G431"/>
          <cell r="H431">
            <v>1.756</v>
          </cell>
          <cell r="I431">
            <v>1.797338792221085E-2</v>
          </cell>
          <cell r="J431">
            <v>97.7</v>
          </cell>
          <cell r="K431">
            <v>10</v>
          </cell>
          <cell r="L431">
            <v>20</v>
          </cell>
          <cell r="M431">
            <v>30</v>
          </cell>
          <cell r="N431">
            <v>40</v>
          </cell>
          <cell r="O431">
            <v>90</v>
          </cell>
          <cell r="P431">
            <v>120</v>
          </cell>
        </row>
        <row r="432">
          <cell r="A432" t="str">
            <v>HD320x127</v>
          </cell>
          <cell r="B432" t="str">
            <v>a=0.5 x t</v>
          </cell>
          <cell r="C432">
            <v>11.5</v>
          </cell>
          <cell r="D432">
            <v>20.5</v>
          </cell>
          <cell r="E432"/>
          <cell r="F432">
            <v>3</v>
          </cell>
          <cell r="G432"/>
          <cell r="H432">
            <v>1.7709999999999999</v>
          </cell>
          <cell r="I432">
            <v>1.3988941548183254E-2</v>
          </cell>
          <cell r="J432">
            <v>126.6</v>
          </cell>
          <cell r="K432">
            <v>10</v>
          </cell>
          <cell r="L432">
            <v>20</v>
          </cell>
          <cell r="M432">
            <v>30</v>
          </cell>
          <cell r="N432">
            <v>40</v>
          </cell>
          <cell r="O432">
            <v>90</v>
          </cell>
          <cell r="P432">
            <v>120</v>
          </cell>
        </row>
        <row r="433">
          <cell r="A433" t="str">
            <v>HD320x158</v>
          </cell>
          <cell r="B433" t="str">
            <v>a=0.5 x t</v>
          </cell>
          <cell r="C433">
            <v>14.5</v>
          </cell>
          <cell r="D433">
            <v>25.5</v>
          </cell>
          <cell r="E433"/>
          <cell r="F433">
            <v>3</v>
          </cell>
          <cell r="G433"/>
          <cell r="H433">
            <v>1.7969999999999999</v>
          </cell>
          <cell r="I433">
            <v>1.1380620645978466E-2</v>
          </cell>
          <cell r="J433">
            <v>157.9</v>
          </cell>
          <cell r="K433">
            <v>10</v>
          </cell>
          <cell r="L433">
            <v>20</v>
          </cell>
          <cell r="M433">
            <v>30</v>
          </cell>
          <cell r="N433">
            <v>40</v>
          </cell>
          <cell r="O433">
            <v>90</v>
          </cell>
          <cell r="P433">
            <v>120</v>
          </cell>
        </row>
        <row r="434">
          <cell r="A434" t="str">
            <v>HD320x198</v>
          </cell>
          <cell r="B434" t="str">
            <v>a=0.5 x t</v>
          </cell>
          <cell r="C434">
            <v>18</v>
          </cell>
          <cell r="D434">
            <v>32</v>
          </cell>
          <cell r="E434"/>
          <cell r="F434">
            <v>3</v>
          </cell>
          <cell r="G434"/>
          <cell r="H434">
            <v>1.8280000000000001</v>
          </cell>
          <cell r="I434">
            <v>9.2276627965673912E-3</v>
          </cell>
          <cell r="J434">
            <v>198.1</v>
          </cell>
          <cell r="K434">
            <v>10</v>
          </cell>
          <cell r="L434">
            <v>20</v>
          </cell>
          <cell r="M434">
            <v>30</v>
          </cell>
          <cell r="N434">
            <v>40</v>
          </cell>
          <cell r="O434">
            <v>90</v>
          </cell>
          <cell r="P434">
            <v>120</v>
          </cell>
        </row>
        <row r="435">
          <cell r="A435" t="str">
            <v>HD320x245</v>
          </cell>
          <cell r="B435" t="str">
            <v>a=0.5 x t</v>
          </cell>
          <cell r="C435">
            <v>21</v>
          </cell>
          <cell r="D435">
            <v>40</v>
          </cell>
          <cell r="E435"/>
          <cell r="F435">
            <v>3</v>
          </cell>
          <cell r="G435"/>
          <cell r="H435">
            <v>1.8660000000000001</v>
          </cell>
          <cell r="I435">
            <v>7.6194365046957941E-3</v>
          </cell>
          <cell r="J435">
            <v>244.9</v>
          </cell>
          <cell r="K435">
            <v>10</v>
          </cell>
          <cell r="L435">
            <v>20</v>
          </cell>
          <cell r="M435">
            <v>30</v>
          </cell>
          <cell r="N435">
            <v>40</v>
          </cell>
          <cell r="O435">
            <v>90</v>
          </cell>
          <cell r="P435">
            <v>120</v>
          </cell>
        </row>
        <row r="436">
          <cell r="A436" t="str">
            <v>HD320x300</v>
          </cell>
          <cell r="B436" t="str">
            <v>a=0.5 x t</v>
          </cell>
          <cell r="C436">
            <v>27</v>
          </cell>
          <cell r="D436">
            <v>48</v>
          </cell>
          <cell r="E436"/>
          <cell r="F436">
            <v>3</v>
          </cell>
          <cell r="G436"/>
          <cell r="H436">
            <v>1.9019999999999999</v>
          </cell>
          <cell r="I436">
            <v>6.3421140380126714E-3</v>
          </cell>
          <cell r="J436">
            <v>299.89999999999998</v>
          </cell>
          <cell r="K436">
            <v>10</v>
          </cell>
          <cell r="L436">
            <v>20</v>
          </cell>
          <cell r="M436">
            <v>30</v>
          </cell>
          <cell r="N436">
            <v>40</v>
          </cell>
          <cell r="O436">
            <v>90</v>
          </cell>
          <cell r="P436">
            <v>120</v>
          </cell>
        </row>
        <row r="437">
          <cell r="A437" t="str">
            <v>HD360x134</v>
          </cell>
          <cell r="B437" t="str">
            <v>a=0.5 x t</v>
          </cell>
          <cell r="C437">
            <v>11.2</v>
          </cell>
          <cell r="D437">
            <v>18</v>
          </cell>
          <cell r="E437"/>
          <cell r="F437">
            <v>3</v>
          </cell>
          <cell r="G437"/>
          <cell r="H437">
            <v>2.14</v>
          </cell>
          <cell r="I437">
            <v>1.5982076176250935E-2</v>
          </cell>
          <cell r="J437">
            <v>133.9</v>
          </cell>
          <cell r="K437">
            <v>10</v>
          </cell>
          <cell r="L437">
            <v>20</v>
          </cell>
          <cell r="M437">
            <v>30</v>
          </cell>
          <cell r="N437">
            <v>40</v>
          </cell>
          <cell r="O437">
            <v>90</v>
          </cell>
          <cell r="P437">
            <v>120</v>
          </cell>
        </row>
        <row r="438">
          <cell r="A438" t="str">
            <v>HD360x147</v>
          </cell>
          <cell r="B438" t="str">
            <v>a=0.5 x t</v>
          </cell>
          <cell r="C438">
            <v>12.3</v>
          </cell>
          <cell r="D438">
            <v>19.8</v>
          </cell>
          <cell r="E438"/>
          <cell r="F438">
            <v>3</v>
          </cell>
          <cell r="G438"/>
          <cell r="H438">
            <v>2.15</v>
          </cell>
          <cell r="I438">
            <v>1.4576271186440677E-2</v>
          </cell>
          <cell r="J438">
            <v>147.5</v>
          </cell>
          <cell r="K438">
            <v>10</v>
          </cell>
          <cell r="L438">
            <v>20</v>
          </cell>
          <cell r="M438">
            <v>30</v>
          </cell>
          <cell r="N438">
            <v>40</v>
          </cell>
          <cell r="O438">
            <v>90</v>
          </cell>
          <cell r="P438">
            <v>120</v>
          </cell>
        </row>
        <row r="439">
          <cell r="A439" t="str">
            <v>HD360x162</v>
          </cell>
          <cell r="B439" t="str">
            <v>a=0.5 x t</v>
          </cell>
          <cell r="C439">
            <v>13.3</v>
          </cell>
          <cell r="D439">
            <v>21.8</v>
          </cell>
          <cell r="E439"/>
          <cell r="F439">
            <v>3</v>
          </cell>
          <cell r="G439"/>
          <cell r="H439">
            <v>2.16</v>
          </cell>
          <cell r="I439">
            <v>1.3341568869672638E-2</v>
          </cell>
          <cell r="J439">
            <v>161.9</v>
          </cell>
          <cell r="K439">
            <v>10</v>
          </cell>
          <cell r="L439">
            <v>20</v>
          </cell>
          <cell r="M439">
            <v>30</v>
          </cell>
          <cell r="N439">
            <v>40</v>
          </cell>
          <cell r="O439">
            <v>90</v>
          </cell>
          <cell r="P439">
            <v>120</v>
          </cell>
        </row>
        <row r="440">
          <cell r="A440" t="str">
            <v>HD360x179</v>
          </cell>
          <cell r="B440" t="str">
            <v>a=0.5 x t</v>
          </cell>
          <cell r="C440">
            <v>15</v>
          </cell>
          <cell r="D440">
            <v>23.9</v>
          </cell>
          <cell r="E440"/>
          <cell r="F440">
            <v>3</v>
          </cell>
          <cell r="G440"/>
          <cell r="H440">
            <v>2.1720000000000002</v>
          </cell>
          <cell r="I440">
            <v>1.2120535714285716E-2</v>
          </cell>
          <cell r="J440">
            <v>179.2</v>
          </cell>
          <cell r="K440">
            <v>10</v>
          </cell>
          <cell r="L440">
            <v>20</v>
          </cell>
          <cell r="M440">
            <v>30</v>
          </cell>
          <cell r="N440">
            <v>40</v>
          </cell>
          <cell r="O440">
            <v>90</v>
          </cell>
          <cell r="P440">
            <v>120</v>
          </cell>
        </row>
        <row r="441">
          <cell r="A441" t="str">
            <v>HD360x196</v>
          </cell>
          <cell r="B441" t="str">
            <v>a=0.5 x t</v>
          </cell>
          <cell r="C441">
            <v>16.399999999999999</v>
          </cell>
          <cell r="D441">
            <v>26.2</v>
          </cell>
          <cell r="E441"/>
          <cell r="F441">
            <v>3</v>
          </cell>
          <cell r="G441"/>
          <cell r="H441">
            <v>2.181</v>
          </cell>
          <cell r="I441">
            <v>1.1099236641221375E-2</v>
          </cell>
          <cell r="J441">
            <v>196.5</v>
          </cell>
          <cell r="K441">
            <v>10</v>
          </cell>
          <cell r="L441">
            <v>20</v>
          </cell>
          <cell r="M441">
            <v>30</v>
          </cell>
          <cell r="N441">
            <v>40</v>
          </cell>
          <cell r="O441">
            <v>90</v>
          </cell>
          <cell r="P441">
            <v>120</v>
          </cell>
        </row>
        <row r="442">
          <cell r="A442" t="str">
            <v>HD400x187</v>
          </cell>
          <cell r="B442" t="str">
            <v>a=0.5 x t</v>
          </cell>
          <cell r="C442">
            <v>15</v>
          </cell>
          <cell r="D442">
            <v>24</v>
          </cell>
          <cell r="E442"/>
          <cell r="F442">
            <v>3</v>
          </cell>
          <cell r="G442"/>
          <cell r="H442">
            <v>2.2440000000000002</v>
          </cell>
          <cell r="I442">
            <v>1.2032171581769438E-2</v>
          </cell>
          <cell r="J442">
            <v>186.5</v>
          </cell>
          <cell r="K442">
            <v>10</v>
          </cell>
          <cell r="L442">
            <v>20</v>
          </cell>
          <cell r="M442">
            <v>30</v>
          </cell>
          <cell r="N442">
            <v>40</v>
          </cell>
          <cell r="O442">
            <v>90</v>
          </cell>
          <cell r="P442">
            <v>120</v>
          </cell>
        </row>
        <row r="443">
          <cell r="A443" t="str">
            <v>HD400x216</v>
          </cell>
          <cell r="B443" t="str">
            <v>a=0.5 x t</v>
          </cell>
          <cell r="C443">
            <v>17.3</v>
          </cell>
          <cell r="D443">
            <v>27.7</v>
          </cell>
          <cell r="E443"/>
          <cell r="F443">
            <v>3</v>
          </cell>
          <cell r="G443"/>
          <cell r="H443">
            <v>2.266</v>
          </cell>
          <cell r="I443">
            <v>1.0476190476190476E-2</v>
          </cell>
          <cell r="J443">
            <v>216.3</v>
          </cell>
          <cell r="K443">
            <v>10</v>
          </cell>
          <cell r="L443">
            <v>20</v>
          </cell>
          <cell r="M443">
            <v>30</v>
          </cell>
          <cell r="N443">
            <v>40</v>
          </cell>
          <cell r="O443">
            <v>90</v>
          </cell>
          <cell r="P443">
            <v>120</v>
          </cell>
        </row>
        <row r="444">
          <cell r="A444" t="str">
            <v>HD400x237</v>
          </cell>
          <cell r="B444" t="str">
            <v>a=0.5 x t</v>
          </cell>
          <cell r="C444">
            <v>18.899999999999999</v>
          </cell>
          <cell r="D444">
            <v>30.2</v>
          </cell>
          <cell r="E444"/>
          <cell r="F444">
            <v>3</v>
          </cell>
          <cell r="G444"/>
          <cell r="H444">
            <v>2.2759999999999998</v>
          </cell>
          <cell r="I444">
            <v>9.6359017781541059E-3</v>
          </cell>
          <cell r="J444">
            <v>236.2</v>
          </cell>
          <cell r="K444">
            <v>10</v>
          </cell>
          <cell r="L444">
            <v>20</v>
          </cell>
          <cell r="M444">
            <v>30</v>
          </cell>
          <cell r="N444">
            <v>40</v>
          </cell>
          <cell r="O444">
            <v>90</v>
          </cell>
          <cell r="P444">
            <v>120</v>
          </cell>
        </row>
        <row r="445">
          <cell r="A445" t="str">
            <v>HD400x262</v>
          </cell>
          <cell r="B445" t="str">
            <v>a=0.5 x t</v>
          </cell>
          <cell r="C445">
            <v>21.1</v>
          </cell>
          <cell r="D445">
            <v>33.299999999999997</v>
          </cell>
          <cell r="E445"/>
          <cell r="F445">
            <v>3</v>
          </cell>
          <cell r="G445"/>
          <cell r="H445">
            <v>2.298</v>
          </cell>
          <cell r="I445">
            <v>8.7476208602969164E-3</v>
          </cell>
          <cell r="J445">
            <v>262.7</v>
          </cell>
          <cell r="K445">
            <v>10</v>
          </cell>
          <cell r="L445">
            <v>20</v>
          </cell>
          <cell r="M445">
            <v>30</v>
          </cell>
          <cell r="N445">
            <v>40</v>
          </cell>
          <cell r="O445">
            <v>90</v>
          </cell>
          <cell r="P445">
            <v>120</v>
          </cell>
        </row>
        <row r="446">
          <cell r="A446" t="str">
            <v>HD400x287</v>
          </cell>
          <cell r="B446" t="str">
            <v>a=0.5 x t</v>
          </cell>
          <cell r="C446">
            <v>22.6</v>
          </cell>
          <cell r="D446">
            <v>36.6</v>
          </cell>
          <cell r="E446"/>
          <cell r="F446">
            <v>3</v>
          </cell>
          <cell r="G446"/>
          <cell r="H446">
            <v>2.3109999999999999</v>
          </cell>
          <cell r="I446">
            <v>8.0382608695652169E-3</v>
          </cell>
          <cell r="J446">
            <v>287.5</v>
          </cell>
          <cell r="K446">
            <v>10</v>
          </cell>
          <cell r="L446">
            <v>20</v>
          </cell>
          <cell r="M446">
            <v>30</v>
          </cell>
          <cell r="N446">
            <v>40</v>
          </cell>
          <cell r="O446">
            <v>90</v>
          </cell>
          <cell r="P446">
            <v>120</v>
          </cell>
        </row>
        <row r="447">
          <cell r="A447" t="str">
            <v>HD400x314</v>
          </cell>
          <cell r="B447" t="str">
            <v>a=0.5 x t</v>
          </cell>
          <cell r="C447">
            <v>24.9</v>
          </cell>
          <cell r="D447">
            <v>39.6</v>
          </cell>
          <cell r="E447"/>
          <cell r="F447">
            <v>3</v>
          </cell>
          <cell r="G447"/>
          <cell r="H447">
            <v>2.3260000000000001</v>
          </cell>
          <cell r="I447">
            <v>7.4218251435864717E-3</v>
          </cell>
          <cell r="J447">
            <v>313.39999999999998</v>
          </cell>
          <cell r="K447">
            <v>10</v>
          </cell>
          <cell r="L447">
            <v>20</v>
          </cell>
          <cell r="M447">
            <v>30</v>
          </cell>
          <cell r="N447">
            <v>40</v>
          </cell>
          <cell r="O447">
            <v>90</v>
          </cell>
          <cell r="P447">
            <v>120</v>
          </cell>
        </row>
        <row r="448">
          <cell r="A448" t="str">
            <v>HD400x347</v>
          </cell>
          <cell r="B448" t="str">
            <v>a=0.5 x t</v>
          </cell>
          <cell r="C448">
            <v>27.2</v>
          </cell>
          <cell r="D448">
            <v>43.7</v>
          </cell>
          <cell r="E448"/>
          <cell r="F448">
            <v>3</v>
          </cell>
          <cell r="G448">
            <v>15</v>
          </cell>
          <cell r="H448">
            <v>2.35</v>
          </cell>
          <cell r="I448">
            <v>6.7723342939481268E-3</v>
          </cell>
          <cell r="J448">
            <v>347</v>
          </cell>
          <cell r="K448">
            <v>10</v>
          </cell>
          <cell r="L448">
            <v>20</v>
          </cell>
          <cell r="M448">
            <v>30</v>
          </cell>
          <cell r="N448">
            <v>40</v>
          </cell>
          <cell r="O448">
            <v>90</v>
          </cell>
          <cell r="P448">
            <v>120</v>
          </cell>
        </row>
        <row r="449">
          <cell r="A449" t="str">
            <v>HD400x382</v>
          </cell>
          <cell r="B449" t="str">
            <v>a=0.5 x t</v>
          </cell>
          <cell r="C449">
            <v>29.8</v>
          </cell>
          <cell r="D449">
            <v>48</v>
          </cell>
          <cell r="E449"/>
          <cell r="F449">
            <v>3</v>
          </cell>
          <cell r="G449"/>
          <cell r="H449">
            <v>2.371</v>
          </cell>
          <cell r="I449">
            <v>6.200313807531381E-3</v>
          </cell>
          <cell r="J449">
            <v>382.4</v>
          </cell>
          <cell r="K449">
            <v>10</v>
          </cell>
          <cell r="L449">
            <v>20</v>
          </cell>
          <cell r="M449">
            <v>30</v>
          </cell>
          <cell r="N449">
            <v>40</v>
          </cell>
          <cell r="O449">
            <v>90</v>
          </cell>
          <cell r="P449">
            <v>120</v>
          </cell>
        </row>
        <row r="450">
          <cell r="A450" t="str">
            <v>HD400x421</v>
          </cell>
          <cell r="B450" t="str">
            <v>a=0.5 x t</v>
          </cell>
          <cell r="C450">
            <v>32.799999999999997</v>
          </cell>
          <cell r="D450">
            <v>52.6</v>
          </cell>
          <cell r="E450"/>
          <cell r="F450">
            <v>3</v>
          </cell>
          <cell r="G450"/>
          <cell r="H450">
            <v>2.395</v>
          </cell>
          <cell r="I450">
            <v>5.6807400379506635E-3</v>
          </cell>
          <cell r="J450">
            <v>421.6</v>
          </cell>
          <cell r="K450">
            <v>10</v>
          </cell>
          <cell r="L450">
            <v>20</v>
          </cell>
          <cell r="M450">
            <v>30</v>
          </cell>
          <cell r="N450">
            <v>40</v>
          </cell>
          <cell r="O450">
            <v>90</v>
          </cell>
          <cell r="P450">
            <v>120</v>
          </cell>
        </row>
        <row r="451">
          <cell r="A451" t="str">
            <v>HD400x463</v>
          </cell>
          <cell r="B451" t="str">
            <v>a=0.5 x t</v>
          </cell>
          <cell r="C451">
            <v>35.799999999999997</v>
          </cell>
          <cell r="D451">
            <v>57.4</v>
          </cell>
          <cell r="E451"/>
          <cell r="F451">
            <v>3</v>
          </cell>
          <cell r="G451"/>
          <cell r="H451">
            <v>2.4209999999999998</v>
          </cell>
          <cell r="I451">
            <v>5.2312013828867757E-3</v>
          </cell>
          <cell r="J451">
            <v>462.8</v>
          </cell>
          <cell r="K451">
            <v>10</v>
          </cell>
          <cell r="L451">
            <v>20</v>
          </cell>
          <cell r="M451">
            <v>30</v>
          </cell>
          <cell r="N451">
            <v>40</v>
          </cell>
          <cell r="O451">
            <v>90</v>
          </cell>
          <cell r="P451">
            <v>120</v>
          </cell>
        </row>
        <row r="452">
          <cell r="A452" t="str">
            <v>HD400x509</v>
          </cell>
          <cell r="B452" t="str">
            <v>a=0.5 x t</v>
          </cell>
          <cell r="C452">
            <v>39.1</v>
          </cell>
          <cell r="D452">
            <v>62.7</v>
          </cell>
          <cell r="E452"/>
          <cell r="F452">
            <v>3</v>
          </cell>
          <cell r="G452"/>
          <cell r="H452">
            <v>2.452</v>
          </cell>
          <cell r="I452">
            <v>4.8125613346418055E-3</v>
          </cell>
          <cell r="J452">
            <v>509.5</v>
          </cell>
          <cell r="K452">
            <v>10</v>
          </cell>
          <cell r="L452">
            <v>20</v>
          </cell>
          <cell r="M452">
            <v>30</v>
          </cell>
          <cell r="N452">
            <v>40</v>
          </cell>
          <cell r="O452">
            <v>90</v>
          </cell>
          <cell r="P452">
            <v>120</v>
          </cell>
        </row>
        <row r="453">
          <cell r="A453" t="str">
            <v>HD400x551</v>
          </cell>
          <cell r="B453" t="str">
            <v>a=0.5 x t</v>
          </cell>
          <cell r="C453">
            <v>42</v>
          </cell>
          <cell r="D453">
            <v>67.599999999999994</v>
          </cell>
          <cell r="E453"/>
          <cell r="F453">
            <v>3</v>
          </cell>
          <cell r="G453"/>
          <cell r="H453">
            <v>2.472</v>
          </cell>
          <cell r="I453">
            <v>4.4896476571013441E-3</v>
          </cell>
          <cell r="J453">
            <v>550.6</v>
          </cell>
          <cell r="K453">
            <v>10</v>
          </cell>
          <cell r="L453">
            <v>20</v>
          </cell>
          <cell r="M453">
            <v>30</v>
          </cell>
          <cell r="N453">
            <v>40</v>
          </cell>
          <cell r="O453">
            <v>90</v>
          </cell>
          <cell r="P453">
            <v>120</v>
          </cell>
        </row>
        <row r="454">
          <cell r="A454" t="str">
            <v>HD400x592</v>
          </cell>
          <cell r="B454" t="str">
            <v>a=0.5 x t</v>
          </cell>
          <cell r="C454">
            <v>45</v>
          </cell>
          <cell r="D454">
            <v>72.3</v>
          </cell>
          <cell r="E454"/>
          <cell r="F454">
            <v>3</v>
          </cell>
          <cell r="G454"/>
          <cell r="H454">
            <v>2.4980000000000002</v>
          </cell>
          <cell r="I454">
            <v>4.2153223084711441E-3</v>
          </cell>
          <cell r="J454">
            <v>592.6</v>
          </cell>
          <cell r="K454">
            <v>10</v>
          </cell>
          <cell r="L454">
            <v>20</v>
          </cell>
          <cell r="M454">
            <v>30</v>
          </cell>
          <cell r="N454">
            <v>40</v>
          </cell>
          <cell r="O454">
            <v>90</v>
          </cell>
          <cell r="P454">
            <v>120</v>
          </cell>
        </row>
        <row r="455">
          <cell r="A455" t="str">
            <v>HD400x634</v>
          </cell>
          <cell r="B455" t="str">
            <v>a=0.5 x t</v>
          </cell>
          <cell r="C455">
            <v>47.6</v>
          </cell>
          <cell r="D455">
            <v>77.099999999999994</v>
          </cell>
          <cell r="E455"/>
          <cell r="F455">
            <v>3</v>
          </cell>
          <cell r="G455"/>
          <cell r="H455">
            <v>2.5230000000000001</v>
          </cell>
          <cell r="I455">
            <v>3.9776131168216934E-3</v>
          </cell>
          <cell r="J455">
            <v>634.29999999999995</v>
          </cell>
          <cell r="K455">
            <v>10</v>
          </cell>
          <cell r="L455">
            <v>20</v>
          </cell>
          <cell r="M455">
            <v>30</v>
          </cell>
          <cell r="N455">
            <v>40</v>
          </cell>
          <cell r="O455">
            <v>90</v>
          </cell>
          <cell r="P455">
            <v>120</v>
          </cell>
        </row>
        <row r="456">
          <cell r="A456" t="str">
            <v>HD400x677</v>
          </cell>
          <cell r="B456" t="str">
            <v>a=0.5 x t</v>
          </cell>
          <cell r="C456">
            <v>51.2</v>
          </cell>
          <cell r="D456">
            <v>81.5</v>
          </cell>
          <cell r="E456"/>
          <cell r="F456">
            <v>3</v>
          </cell>
          <cell r="G456"/>
          <cell r="H456">
            <v>2.5499999999999998</v>
          </cell>
          <cell r="I456">
            <v>3.7621717320743581E-3</v>
          </cell>
          <cell r="J456">
            <v>677.8</v>
          </cell>
          <cell r="K456">
            <v>10</v>
          </cell>
          <cell r="L456">
            <v>20</v>
          </cell>
          <cell r="M456">
            <v>30</v>
          </cell>
          <cell r="N456">
            <v>40</v>
          </cell>
          <cell r="O456">
            <v>90</v>
          </cell>
          <cell r="P456">
            <v>120</v>
          </cell>
        </row>
        <row r="457">
          <cell r="A457" t="str">
            <v>HD400x744</v>
          </cell>
          <cell r="B457" t="str">
            <v>a=0.5 x t</v>
          </cell>
          <cell r="C457">
            <v>55.6</v>
          </cell>
          <cell r="D457">
            <v>88.9</v>
          </cell>
          <cell r="E457"/>
          <cell r="F457">
            <v>3</v>
          </cell>
          <cell r="G457"/>
          <cell r="H457">
            <v>2.5870000000000002</v>
          </cell>
          <cell r="I457">
            <v>3.4757490259304047E-3</v>
          </cell>
          <cell r="J457">
            <v>744.3</v>
          </cell>
          <cell r="K457">
            <v>10</v>
          </cell>
          <cell r="L457">
            <v>20</v>
          </cell>
          <cell r="M457">
            <v>30</v>
          </cell>
          <cell r="N457">
            <v>40</v>
          </cell>
          <cell r="O457">
            <v>90</v>
          </cell>
          <cell r="P457">
            <v>120</v>
          </cell>
        </row>
        <row r="458">
          <cell r="A458" t="str">
            <v>HD400x818</v>
          </cell>
          <cell r="B458" t="str">
            <v>a=0.5 x t</v>
          </cell>
          <cell r="C458">
            <v>60.5</v>
          </cell>
          <cell r="D458">
            <v>97</v>
          </cell>
          <cell r="E458"/>
          <cell r="F458">
            <v>3</v>
          </cell>
          <cell r="G458"/>
          <cell r="H458">
            <v>2.629</v>
          </cell>
          <cell r="I458">
            <v>3.2100122100122098E-3</v>
          </cell>
          <cell r="J458">
            <v>819</v>
          </cell>
          <cell r="K458">
            <v>10</v>
          </cell>
          <cell r="L458">
            <v>20</v>
          </cell>
          <cell r="M458">
            <v>30</v>
          </cell>
          <cell r="N458">
            <v>40</v>
          </cell>
          <cell r="O458">
            <v>90</v>
          </cell>
          <cell r="P458">
            <v>120</v>
          </cell>
        </row>
        <row r="459">
          <cell r="A459" t="str">
            <v>HD400x900</v>
          </cell>
          <cell r="B459" t="str">
            <v>a=0.5 x t</v>
          </cell>
          <cell r="C459">
            <v>65.900000000000006</v>
          </cell>
          <cell r="D459">
            <v>106</v>
          </cell>
          <cell r="E459"/>
          <cell r="F459">
            <v>3</v>
          </cell>
          <cell r="G459"/>
          <cell r="H459">
            <v>2.6720000000000002</v>
          </cell>
          <cell r="I459">
            <v>2.961977607804013E-3</v>
          </cell>
          <cell r="J459">
            <v>902.1</v>
          </cell>
          <cell r="K459">
            <v>10</v>
          </cell>
          <cell r="L459">
            <v>20</v>
          </cell>
          <cell r="M459">
            <v>30</v>
          </cell>
          <cell r="N459">
            <v>40</v>
          </cell>
          <cell r="O459">
            <v>90</v>
          </cell>
          <cell r="P459">
            <v>120</v>
          </cell>
        </row>
        <row r="460">
          <cell r="A460" t="str">
            <v>HD400x990</v>
          </cell>
          <cell r="B460" t="str">
            <v>a=0.5 x t</v>
          </cell>
          <cell r="C460">
            <v>71.900000000000006</v>
          </cell>
          <cell r="D460">
            <v>115</v>
          </cell>
          <cell r="E460"/>
          <cell r="F460">
            <v>3</v>
          </cell>
          <cell r="G460"/>
          <cell r="H460">
            <v>2.722</v>
          </cell>
          <cell r="I460">
            <v>2.7467204843592331E-3</v>
          </cell>
          <cell r="J460">
            <v>991</v>
          </cell>
          <cell r="K460">
            <v>10</v>
          </cell>
          <cell r="L460">
            <v>20</v>
          </cell>
          <cell r="M460">
            <v>30</v>
          </cell>
          <cell r="N460">
            <v>40</v>
          </cell>
          <cell r="O460">
            <v>90</v>
          </cell>
          <cell r="P460">
            <v>120</v>
          </cell>
        </row>
        <row r="461">
          <cell r="A461" t="str">
            <v>HD400x1086</v>
          </cell>
          <cell r="B461" t="str">
            <v>a=0.5 x t</v>
          </cell>
          <cell r="C461">
            <v>78</v>
          </cell>
          <cell r="D461">
            <v>125</v>
          </cell>
          <cell r="E461"/>
          <cell r="F461">
            <v>3</v>
          </cell>
          <cell r="G461"/>
          <cell r="H461">
            <v>2.7719999999999998</v>
          </cell>
          <cell r="I461">
            <v>2.548028311425682E-3</v>
          </cell>
          <cell r="J461">
            <v>1087.9000000000001</v>
          </cell>
          <cell r="K461">
            <v>10</v>
          </cell>
          <cell r="L461">
            <v>20</v>
          </cell>
          <cell r="M461">
            <v>30</v>
          </cell>
          <cell r="N461">
            <v>40</v>
          </cell>
          <cell r="O461">
            <v>90</v>
          </cell>
          <cell r="P461">
            <v>120</v>
          </cell>
        </row>
        <row r="462">
          <cell r="A462" t="str">
            <v>HD400x1202</v>
          </cell>
          <cell r="B462" t="str">
            <v>a=0.5 x t</v>
          </cell>
          <cell r="C462">
            <v>95</v>
          </cell>
          <cell r="D462">
            <v>130</v>
          </cell>
          <cell r="E462"/>
          <cell r="F462">
            <v>3</v>
          </cell>
          <cell r="G462"/>
          <cell r="H462">
            <v>2.8279999999999998</v>
          </cell>
          <cell r="I462">
            <v>2.3539204261694684E-3</v>
          </cell>
          <cell r="J462">
            <v>1201.4000000000001</v>
          </cell>
          <cell r="K462">
            <v>10</v>
          </cell>
          <cell r="L462">
            <v>20</v>
          </cell>
          <cell r="M462">
            <v>30</v>
          </cell>
          <cell r="N462">
            <v>40</v>
          </cell>
          <cell r="O462">
            <v>90</v>
          </cell>
          <cell r="P462">
            <v>120</v>
          </cell>
        </row>
        <row r="463">
          <cell r="A463" t="str">
            <v>HD400x1299</v>
          </cell>
          <cell r="B463" t="str">
            <v>a=0.5 x t</v>
          </cell>
          <cell r="C463">
            <v>100</v>
          </cell>
          <cell r="D463">
            <v>140</v>
          </cell>
          <cell r="E463"/>
          <cell r="F463">
            <v>3</v>
          </cell>
          <cell r="G463"/>
          <cell r="H463">
            <v>2.8780000000000001</v>
          </cell>
          <cell r="I463">
            <v>2.2157209946878126E-3</v>
          </cell>
          <cell r="J463">
            <v>1298.9000000000001</v>
          </cell>
          <cell r="K463">
            <v>10</v>
          </cell>
          <cell r="L463">
            <v>20</v>
          </cell>
          <cell r="M463">
            <v>30</v>
          </cell>
          <cell r="N463">
            <v>40</v>
          </cell>
          <cell r="O463">
            <v>90</v>
          </cell>
          <cell r="P463">
            <v>120</v>
          </cell>
        </row>
        <row r="464">
          <cell r="A464" t="str">
            <v>HEAA100</v>
          </cell>
          <cell r="B464" t="str">
            <v>a=0.5 x t</v>
          </cell>
          <cell r="C464">
            <v>4.2</v>
          </cell>
          <cell r="D464">
            <v>5.5</v>
          </cell>
          <cell r="E464"/>
          <cell r="F464">
            <v>1</v>
          </cell>
          <cell r="G464">
            <v>2</v>
          </cell>
          <cell r="H464">
            <v>0.55300000000000005</v>
          </cell>
          <cell r="I464">
            <v>4.532786885245902E-2</v>
          </cell>
          <cell r="J464">
            <v>12.2</v>
          </cell>
          <cell r="K464">
            <v>2</v>
          </cell>
          <cell r="L464">
            <v>5</v>
          </cell>
          <cell r="M464">
            <v>10</v>
          </cell>
          <cell r="N464">
            <v>20</v>
          </cell>
          <cell r="O464">
            <v>30</v>
          </cell>
          <cell r="P464">
            <v>60</v>
          </cell>
        </row>
        <row r="465">
          <cell r="A465" t="str">
            <v>HEA100</v>
          </cell>
          <cell r="B465" t="str">
            <v>a=0.5 x t</v>
          </cell>
          <cell r="C465">
            <v>5</v>
          </cell>
          <cell r="D465">
            <v>8</v>
          </cell>
          <cell r="E465"/>
          <cell r="F465">
            <v>1</v>
          </cell>
          <cell r="G465">
            <v>2</v>
          </cell>
          <cell r="H465">
            <v>0.56100000000000005</v>
          </cell>
          <cell r="I465">
            <v>3.3795180722891567E-2</v>
          </cell>
          <cell r="J465">
            <v>16.600000000000001</v>
          </cell>
          <cell r="K465">
            <v>2</v>
          </cell>
          <cell r="L465">
            <v>5</v>
          </cell>
          <cell r="M465">
            <v>10</v>
          </cell>
          <cell r="N465">
            <v>20</v>
          </cell>
          <cell r="O465">
            <v>30</v>
          </cell>
          <cell r="P465">
            <v>60</v>
          </cell>
        </row>
        <row r="466">
          <cell r="A466" t="str">
            <v>HEB100</v>
          </cell>
          <cell r="B466" t="str">
            <v>a=0.5 x t</v>
          </cell>
          <cell r="C466">
            <v>6</v>
          </cell>
          <cell r="D466">
            <v>10</v>
          </cell>
          <cell r="E466"/>
          <cell r="F466">
            <v>2</v>
          </cell>
          <cell r="G466">
            <v>3</v>
          </cell>
          <cell r="H466">
            <v>0.56699999999999995</v>
          </cell>
          <cell r="I466">
            <v>2.7794117647058823E-2</v>
          </cell>
          <cell r="J466">
            <v>20.399999999999999</v>
          </cell>
          <cell r="K466">
            <v>5</v>
          </cell>
          <cell r="L466">
            <v>10</v>
          </cell>
          <cell r="M466">
            <v>20</v>
          </cell>
          <cell r="N466">
            <v>30</v>
          </cell>
          <cell r="O466">
            <v>60</v>
          </cell>
          <cell r="P466">
            <v>90</v>
          </cell>
        </row>
        <row r="467">
          <cell r="A467" t="str">
            <v>HEC100</v>
          </cell>
          <cell r="B467" t="str">
            <v>a=0.5 x t</v>
          </cell>
          <cell r="C467">
            <v>9</v>
          </cell>
          <cell r="D467">
            <v>15</v>
          </cell>
          <cell r="E467"/>
          <cell r="F467">
            <v>2</v>
          </cell>
          <cell r="G467"/>
          <cell r="H467">
            <v>0.59299999999999997</v>
          </cell>
          <cell r="I467">
            <v>1.919093851132686E-2</v>
          </cell>
          <cell r="J467">
            <v>30.9</v>
          </cell>
          <cell r="K467">
            <v>5</v>
          </cell>
          <cell r="L467">
            <v>10</v>
          </cell>
          <cell r="M467">
            <v>20</v>
          </cell>
          <cell r="N467">
            <v>30</v>
          </cell>
          <cell r="O467">
            <v>60</v>
          </cell>
          <cell r="P467">
            <v>90</v>
          </cell>
        </row>
        <row r="468">
          <cell r="A468" t="str">
            <v>HEM100</v>
          </cell>
          <cell r="B468" t="str">
            <v>a=0.5 x t</v>
          </cell>
          <cell r="C468">
            <v>12</v>
          </cell>
          <cell r="D468">
            <v>20</v>
          </cell>
          <cell r="E468"/>
          <cell r="F468">
            <v>2</v>
          </cell>
          <cell r="G468">
            <v>6</v>
          </cell>
          <cell r="H468">
            <v>0.61899999999999999</v>
          </cell>
          <cell r="I468">
            <v>1.4808612440191389E-2</v>
          </cell>
          <cell r="J468">
            <v>41.8</v>
          </cell>
          <cell r="K468">
            <v>5</v>
          </cell>
          <cell r="L468">
            <v>10</v>
          </cell>
          <cell r="M468">
            <v>20</v>
          </cell>
          <cell r="N468">
            <v>30</v>
          </cell>
          <cell r="O468">
            <v>60</v>
          </cell>
          <cell r="P468">
            <v>90</v>
          </cell>
        </row>
        <row r="469">
          <cell r="A469" t="str">
            <v>HEAA120</v>
          </cell>
          <cell r="B469" t="str">
            <v>a=0.5 x t</v>
          </cell>
          <cell r="C469">
            <v>4.2</v>
          </cell>
          <cell r="D469">
            <v>5.5</v>
          </cell>
          <cell r="E469"/>
          <cell r="F469">
            <v>1</v>
          </cell>
          <cell r="G469">
            <v>2</v>
          </cell>
          <cell r="H469">
            <v>0.66900000000000004</v>
          </cell>
          <cell r="I469">
            <v>4.5821917808219183E-2</v>
          </cell>
          <cell r="J469">
            <v>14.6</v>
          </cell>
          <cell r="K469">
            <v>2</v>
          </cell>
          <cell r="L469">
            <v>5</v>
          </cell>
          <cell r="M469">
            <v>10</v>
          </cell>
          <cell r="N469">
            <v>20</v>
          </cell>
          <cell r="O469">
            <v>30</v>
          </cell>
          <cell r="P469">
            <v>60</v>
          </cell>
        </row>
        <row r="470">
          <cell r="A470" t="str">
            <v>HEA120</v>
          </cell>
          <cell r="B470" t="str">
            <v>a=0.5 x t</v>
          </cell>
          <cell r="C470">
            <v>5</v>
          </cell>
          <cell r="D470">
            <v>8</v>
          </cell>
          <cell r="E470"/>
          <cell r="F470">
            <v>1</v>
          </cell>
          <cell r="G470">
            <v>2</v>
          </cell>
          <cell r="H470">
            <v>0.67700000000000005</v>
          </cell>
          <cell r="I470">
            <v>3.4020100502512571E-2</v>
          </cell>
          <cell r="J470">
            <v>19.899999999999999</v>
          </cell>
          <cell r="K470">
            <v>2</v>
          </cell>
          <cell r="L470">
            <v>5</v>
          </cell>
          <cell r="M470">
            <v>10</v>
          </cell>
          <cell r="N470">
            <v>20</v>
          </cell>
          <cell r="O470">
            <v>30</v>
          </cell>
          <cell r="P470">
            <v>60</v>
          </cell>
        </row>
        <row r="471">
          <cell r="A471" t="str">
            <v>HEB120</v>
          </cell>
          <cell r="B471" t="str">
            <v>a=0.5 x t</v>
          </cell>
          <cell r="C471">
            <v>6.5</v>
          </cell>
          <cell r="D471">
            <v>11</v>
          </cell>
          <cell r="E471"/>
          <cell r="F471">
            <v>2</v>
          </cell>
          <cell r="G471">
            <v>3</v>
          </cell>
          <cell r="H471">
            <v>0.68600000000000005</v>
          </cell>
          <cell r="I471">
            <v>2.569288389513109E-2</v>
          </cell>
          <cell r="J471">
            <v>26.7</v>
          </cell>
          <cell r="K471">
            <v>5</v>
          </cell>
          <cell r="L471">
            <v>10</v>
          </cell>
          <cell r="M471">
            <v>20</v>
          </cell>
          <cell r="N471">
            <v>30</v>
          </cell>
          <cell r="O471">
            <v>60</v>
          </cell>
          <cell r="P471">
            <v>90</v>
          </cell>
        </row>
        <row r="472">
          <cell r="A472" t="str">
            <v>HEC120</v>
          </cell>
          <cell r="B472" t="str">
            <v>a=0.5 x t</v>
          </cell>
          <cell r="C472">
            <v>9.5</v>
          </cell>
          <cell r="D472">
            <v>16</v>
          </cell>
          <cell r="E472"/>
          <cell r="F472">
            <v>2</v>
          </cell>
          <cell r="G472"/>
          <cell r="H472">
            <v>0.71199999999999997</v>
          </cell>
          <cell r="I472">
            <v>1.8163265306122448E-2</v>
          </cell>
          <cell r="J472">
            <v>39.200000000000003</v>
          </cell>
          <cell r="K472">
            <v>5</v>
          </cell>
          <cell r="L472">
            <v>10</v>
          </cell>
          <cell r="M472">
            <v>20</v>
          </cell>
          <cell r="N472">
            <v>30</v>
          </cell>
          <cell r="O472">
            <v>60</v>
          </cell>
          <cell r="P472">
            <v>90</v>
          </cell>
        </row>
        <row r="473">
          <cell r="A473" t="str">
            <v>HEM120</v>
          </cell>
          <cell r="B473" t="str">
            <v>a=0.5 x t</v>
          </cell>
          <cell r="C473">
            <v>12.5</v>
          </cell>
          <cell r="D473">
            <v>21</v>
          </cell>
          <cell r="E473"/>
          <cell r="F473">
            <v>2</v>
          </cell>
          <cell r="G473">
            <v>6</v>
          </cell>
          <cell r="H473">
            <v>0.73799999999999999</v>
          </cell>
          <cell r="I473">
            <v>1.4165067178502879E-2</v>
          </cell>
          <cell r="J473">
            <v>52.1</v>
          </cell>
          <cell r="K473">
            <v>5</v>
          </cell>
          <cell r="L473">
            <v>10</v>
          </cell>
          <cell r="M473">
            <v>20</v>
          </cell>
          <cell r="N473">
            <v>30</v>
          </cell>
          <cell r="O473">
            <v>60</v>
          </cell>
          <cell r="P473">
            <v>90</v>
          </cell>
        </row>
        <row r="474">
          <cell r="A474" t="str">
            <v>HEAA140</v>
          </cell>
          <cell r="B474" t="str">
            <v>a=0.5 x t</v>
          </cell>
          <cell r="C474">
            <v>4.3</v>
          </cell>
          <cell r="D474">
            <v>6</v>
          </cell>
          <cell r="E474"/>
          <cell r="F474">
            <v>1</v>
          </cell>
          <cell r="G474">
            <v>2</v>
          </cell>
          <cell r="H474">
            <v>0.78700000000000003</v>
          </cell>
          <cell r="I474">
            <v>4.3480662983425414E-2</v>
          </cell>
          <cell r="J474">
            <v>18.100000000000001</v>
          </cell>
          <cell r="K474">
            <v>2</v>
          </cell>
          <cell r="L474">
            <v>5</v>
          </cell>
          <cell r="M474">
            <v>10</v>
          </cell>
          <cell r="N474">
            <v>20</v>
          </cell>
          <cell r="O474">
            <v>30</v>
          </cell>
          <cell r="P474">
            <v>60</v>
          </cell>
        </row>
        <row r="475">
          <cell r="A475" t="str">
            <v>HEA140</v>
          </cell>
          <cell r="B475" t="str">
            <v>a=0.5 x t</v>
          </cell>
          <cell r="C475">
            <v>5.5</v>
          </cell>
          <cell r="D475">
            <v>8.5</v>
          </cell>
          <cell r="E475"/>
          <cell r="F475">
            <v>2</v>
          </cell>
          <cell r="G475">
            <v>2</v>
          </cell>
          <cell r="H475">
            <v>0.79400000000000004</v>
          </cell>
          <cell r="I475">
            <v>3.2276422764227639E-2</v>
          </cell>
          <cell r="J475">
            <v>24.6</v>
          </cell>
          <cell r="K475">
            <v>5</v>
          </cell>
          <cell r="L475">
            <v>10</v>
          </cell>
          <cell r="M475">
            <v>20</v>
          </cell>
          <cell r="N475">
            <v>30</v>
          </cell>
          <cell r="O475">
            <v>60</v>
          </cell>
          <cell r="P475">
            <v>90</v>
          </cell>
        </row>
        <row r="476">
          <cell r="A476" t="str">
            <v>HEB140</v>
          </cell>
          <cell r="B476" t="str">
            <v>a=0.5 x t</v>
          </cell>
          <cell r="C476">
            <v>7</v>
          </cell>
          <cell r="D476">
            <v>12</v>
          </cell>
          <cell r="E476"/>
          <cell r="F476">
            <v>2</v>
          </cell>
          <cell r="G476">
            <v>6</v>
          </cell>
          <cell r="H476">
            <v>0.80500000000000005</v>
          </cell>
          <cell r="I476">
            <v>2.3816568047337283E-2</v>
          </cell>
          <cell r="J476">
            <v>33.799999999999997</v>
          </cell>
          <cell r="K476">
            <v>5</v>
          </cell>
          <cell r="L476">
            <v>10</v>
          </cell>
          <cell r="M476">
            <v>20</v>
          </cell>
          <cell r="N476">
            <v>30</v>
          </cell>
          <cell r="O476">
            <v>60</v>
          </cell>
          <cell r="P476">
            <v>90</v>
          </cell>
        </row>
        <row r="477">
          <cell r="A477" t="str">
            <v>HEC140</v>
          </cell>
          <cell r="B477" t="str">
            <v>a=0.5 x t</v>
          </cell>
          <cell r="C477">
            <v>10</v>
          </cell>
          <cell r="D477">
            <v>17</v>
          </cell>
          <cell r="E477"/>
          <cell r="F477">
            <v>2</v>
          </cell>
          <cell r="G477"/>
          <cell r="H477">
            <v>0.83099999999999996</v>
          </cell>
          <cell r="I477">
            <v>1.7240663900414937E-2</v>
          </cell>
          <cell r="J477">
            <v>48.2</v>
          </cell>
          <cell r="K477">
            <v>5</v>
          </cell>
          <cell r="L477">
            <v>10</v>
          </cell>
          <cell r="M477">
            <v>20</v>
          </cell>
          <cell r="N477">
            <v>30</v>
          </cell>
          <cell r="O477">
            <v>60</v>
          </cell>
          <cell r="P477">
            <v>90</v>
          </cell>
        </row>
        <row r="478">
          <cell r="A478" t="str">
            <v>HEM140</v>
          </cell>
          <cell r="B478" t="str">
            <v>a=0.5 x t</v>
          </cell>
          <cell r="C478">
            <v>13</v>
          </cell>
          <cell r="D478">
            <v>22</v>
          </cell>
          <cell r="E478"/>
          <cell r="F478">
            <v>2</v>
          </cell>
          <cell r="G478">
            <v>10</v>
          </cell>
          <cell r="H478">
            <v>0.85699999999999998</v>
          </cell>
          <cell r="I478">
            <v>1.3560126582278479E-2</v>
          </cell>
          <cell r="J478">
            <v>63.2</v>
          </cell>
          <cell r="K478">
            <v>5</v>
          </cell>
          <cell r="L478">
            <v>10</v>
          </cell>
          <cell r="M478">
            <v>20</v>
          </cell>
          <cell r="N478">
            <v>30</v>
          </cell>
          <cell r="O478">
            <v>60</v>
          </cell>
          <cell r="P478">
            <v>90</v>
          </cell>
        </row>
        <row r="479">
          <cell r="A479" t="str">
            <v>HEAA160</v>
          </cell>
          <cell r="B479" t="str">
            <v>a=0.5 x t</v>
          </cell>
          <cell r="C479">
            <v>4.5</v>
          </cell>
          <cell r="D479">
            <v>7</v>
          </cell>
          <cell r="E479"/>
          <cell r="F479">
            <v>2</v>
          </cell>
          <cell r="G479"/>
          <cell r="H479">
            <v>0.90100000000000002</v>
          </cell>
          <cell r="I479">
            <v>3.785714285714286E-2</v>
          </cell>
          <cell r="J479">
            <v>23.8</v>
          </cell>
          <cell r="K479">
            <v>5</v>
          </cell>
          <cell r="L479">
            <v>10</v>
          </cell>
          <cell r="M479">
            <v>20</v>
          </cell>
          <cell r="N479">
            <v>30</v>
          </cell>
          <cell r="O479">
            <v>60</v>
          </cell>
          <cell r="P479">
            <v>90</v>
          </cell>
        </row>
        <row r="480">
          <cell r="A480" t="str">
            <v>HEA160</v>
          </cell>
          <cell r="B480" t="str">
            <v>a=0.5 x t</v>
          </cell>
          <cell r="C480">
            <v>6</v>
          </cell>
          <cell r="D480">
            <v>9</v>
          </cell>
          <cell r="E480"/>
          <cell r="F480">
            <v>2</v>
          </cell>
          <cell r="G480">
            <v>2</v>
          </cell>
          <cell r="H480">
            <v>0.90600000000000003</v>
          </cell>
          <cell r="I480">
            <v>2.9704918032786885E-2</v>
          </cell>
          <cell r="J480">
            <v>30.5</v>
          </cell>
          <cell r="K480">
            <v>5</v>
          </cell>
          <cell r="L480">
            <v>10</v>
          </cell>
          <cell r="M480">
            <v>20</v>
          </cell>
          <cell r="N480">
            <v>30</v>
          </cell>
          <cell r="O480">
            <v>60</v>
          </cell>
          <cell r="P480">
            <v>90</v>
          </cell>
        </row>
        <row r="481">
          <cell r="A481" t="str">
            <v>HEB160</v>
          </cell>
          <cell r="B481" t="str">
            <v>a=0.5 x t</v>
          </cell>
          <cell r="C481">
            <v>8</v>
          </cell>
          <cell r="D481">
            <v>13</v>
          </cell>
          <cell r="E481"/>
          <cell r="F481">
            <v>2</v>
          </cell>
          <cell r="G481">
            <v>6</v>
          </cell>
          <cell r="H481">
            <v>0.91800000000000004</v>
          </cell>
          <cell r="I481">
            <v>2.1549295774647887E-2</v>
          </cell>
          <cell r="J481">
            <v>42.6</v>
          </cell>
          <cell r="K481">
            <v>5</v>
          </cell>
          <cell r="L481">
            <v>10</v>
          </cell>
          <cell r="M481">
            <v>20</v>
          </cell>
          <cell r="N481">
            <v>30</v>
          </cell>
          <cell r="O481">
            <v>60</v>
          </cell>
          <cell r="P481">
            <v>90</v>
          </cell>
        </row>
        <row r="482">
          <cell r="A482" t="str">
            <v>HEC160</v>
          </cell>
          <cell r="B482" t="str">
            <v>a=0.5 x t</v>
          </cell>
          <cell r="C482">
            <v>11</v>
          </cell>
          <cell r="D482">
            <v>18</v>
          </cell>
          <cell r="E482"/>
          <cell r="F482">
            <v>2</v>
          </cell>
          <cell r="G482"/>
          <cell r="H482">
            <v>0.94399999999999995</v>
          </cell>
          <cell r="I482">
            <v>1.5945945945945943E-2</v>
          </cell>
          <cell r="J482">
            <v>59.2</v>
          </cell>
          <cell r="K482">
            <v>5</v>
          </cell>
          <cell r="L482">
            <v>10</v>
          </cell>
          <cell r="M482">
            <v>20</v>
          </cell>
          <cell r="N482">
            <v>30</v>
          </cell>
          <cell r="O482">
            <v>60</v>
          </cell>
          <cell r="P482">
            <v>90</v>
          </cell>
        </row>
        <row r="483">
          <cell r="A483" t="str">
            <v>HEM160</v>
          </cell>
          <cell r="B483" t="str">
            <v>a=0.5 x t</v>
          </cell>
          <cell r="C483">
            <v>14</v>
          </cell>
          <cell r="D483">
            <v>23</v>
          </cell>
          <cell r="E483"/>
          <cell r="F483">
            <v>2</v>
          </cell>
          <cell r="G483">
            <v>10</v>
          </cell>
          <cell r="H483">
            <v>0.97</v>
          </cell>
          <cell r="I483">
            <v>1.2729658792650918E-2</v>
          </cell>
          <cell r="J483">
            <v>76.2</v>
          </cell>
          <cell r="K483">
            <v>5</v>
          </cell>
          <cell r="L483">
            <v>10</v>
          </cell>
          <cell r="M483">
            <v>20</v>
          </cell>
          <cell r="N483">
            <v>30</v>
          </cell>
          <cell r="O483">
            <v>60</v>
          </cell>
          <cell r="P483">
            <v>90</v>
          </cell>
        </row>
        <row r="484">
          <cell r="A484" t="str">
            <v>HEAA180</v>
          </cell>
          <cell r="B484" t="str">
            <v>a=0.5 x t</v>
          </cell>
          <cell r="C484">
            <v>5</v>
          </cell>
          <cell r="D484">
            <v>7.5</v>
          </cell>
          <cell r="E484"/>
          <cell r="F484">
            <v>2</v>
          </cell>
          <cell r="G484"/>
          <cell r="H484">
            <v>1.018</v>
          </cell>
          <cell r="I484">
            <v>3.5470383275261329E-2</v>
          </cell>
          <cell r="J484">
            <v>28.7</v>
          </cell>
          <cell r="K484">
            <v>5</v>
          </cell>
          <cell r="L484">
            <v>10</v>
          </cell>
          <cell r="M484">
            <v>20</v>
          </cell>
          <cell r="N484">
            <v>30</v>
          </cell>
          <cell r="O484">
            <v>60</v>
          </cell>
          <cell r="P484">
            <v>90</v>
          </cell>
        </row>
        <row r="485">
          <cell r="A485" t="str">
            <v>HEA180</v>
          </cell>
          <cell r="B485" t="str">
            <v>a=0.5 x t</v>
          </cell>
          <cell r="C485">
            <v>6</v>
          </cell>
          <cell r="D485">
            <v>9.5</v>
          </cell>
          <cell r="E485"/>
          <cell r="F485">
            <v>2</v>
          </cell>
          <cell r="G485">
            <v>2</v>
          </cell>
          <cell r="H485">
            <v>1.02</v>
          </cell>
          <cell r="I485">
            <v>2.8651685393258425E-2</v>
          </cell>
          <cell r="J485">
            <v>35.6</v>
          </cell>
          <cell r="K485">
            <v>5</v>
          </cell>
          <cell r="L485">
            <v>10</v>
          </cell>
          <cell r="M485">
            <v>20</v>
          </cell>
          <cell r="N485">
            <v>30</v>
          </cell>
          <cell r="O485">
            <v>60</v>
          </cell>
          <cell r="P485">
            <v>90</v>
          </cell>
        </row>
        <row r="486">
          <cell r="A486" t="str">
            <v>HEB180</v>
          </cell>
          <cell r="B486" t="str">
            <v>a=0.5 x t</v>
          </cell>
          <cell r="C486">
            <v>8.5</v>
          </cell>
          <cell r="D486">
            <v>14</v>
          </cell>
          <cell r="E486"/>
          <cell r="F486">
            <v>2</v>
          </cell>
          <cell r="G486">
            <v>6</v>
          </cell>
          <cell r="H486">
            <v>1.04</v>
          </cell>
          <cell r="I486">
            <v>2.02729044834308E-2</v>
          </cell>
          <cell r="J486">
            <v>51.3</v>
          </cell>
          <cell r="K486">
            <v>5</v>
          </cell>
          <cell r="L486">
            <v>10</v>
          </cell>
          <cell r="M486">
            <v>20</v>
          </cell>
          <cell r="N486">
            <v>30</v>
          </cell>
          <cell r="O486">
            <v>60</v>
          </cell>
          <cell r="P486">
            <v>90</v>
          </cell>
        </row>
        <row r="487">
          <cell r="A487" t="str">
            <v>HEC180</v>
          </cell>
          <cell r="B487" t="str">
            <v>a=0.5 x t</v>
          </cell>
          <cell r="C487">
            <v>11.5</v>
          </cell>
          <cell r="D487">
            <v>19</v>
          </cell>
          <cell r="E487"/>
          <cell r="F487">
            <v>2</v>
          </cell>
          <cell r="G487"/>
          <cell r="H487">
            <v>1.0629999999999999</v>
          </cell>
          <cell r="I487">
            <v>1.5229226361031519E-2</v>
          </cell>
          <cell r="J487">
            <v>69.8</v>
          </cell>
          <cell r="K487">
            <v>5</v>
          </cell>
          <cell r="L487">
            <v>10</v>
          </cell>
          <cell r="M487">
            <v>20</v>
          </cell>
          <cell r="N487">
            <v>30</v>
          </cell>
          <cell r="O487">
            <v>60</v>
          </cell>
          <cell r="P487">
            <v>90</v>
          </cell>
        </row>
        <row r="488">
          <cell r="A488" t="str">
            <v>HEM180</v>
          </cell>
          <cell r="B488" t="str">
            <v>a=0.5 x t</v>
          </cell>
          <cell r="C488">
            <v>14.5</v>
          </cell>
          <cell r="D488">
            <v>24</v>
          </cell>
          <cell r="E488"/>
          <cell r="F488">
            <v>2</v>
          </cell>
          <cell r="G488">
            <v>10</v>
          </cell>
          <cell r="H488">
            <v>1.089</v>
          </cell>
          <cell r="I488">
            <v>1.2249718785151855E-2</v>
          </cell>
          <cell r="J488">
            <v>88.9</v>
          </cell>
          <cell r="K488">
            <v>5</v>
          </cell>
          <cell r="L488">
            <v>10</v>
          </cell>
          <cell r="M488">
            <v>20</v>
          </cell>
          <cell r="N488">
            <v>30</v>
          </cell>
          <cell r="O488">
            <v>60</v>
          </cell>
          <cell r="P488">
            <v>90</v>
          </cell>
        </row>
        <row r="489">
          <cell r="A489" t="str">
            <v>HEAA200</v>
          </cell>
          <cell r="B489" t="str">
            <v>a=0.5 x t</v>
          </cell>
          <cell r="C489">
            <v>5.5</v>
          </cell>
          <cell r="D489">
            <v>8</v>
          </cell>
          <cell r="E489"/>
          <cell r="F489">
            <v>2</v>
          </cell>
          <cell r="G489"/>
          <cell r="H489">
            <v>1.1299999999999999</v>
          </cell>
          <cell r="I489">
            <v>3.2658959537572252E-2</v>
          </cell>
          <cell r="J489">
            <v>34.6</v>
          </cell>
          <cell r="K489">
            <v>5</v>
          </cell>
          <cell r="L489">
            <v>10</v>
          </cell>
          <cell r="M489">
            <v>20</v>
          </cell>
          <cell r="N489">
            <v>30</v>
          </cell>
          <cell r="O489">
            <v>60</v>
          </cell>
          <cell r="P489">
            <v>90</v>
          </cell>
        </row>
        <row r="490">
          <cell r="A490" t="str">
            <v>HEA200</v>
          </cell>
          <cell r="B490" t="str">
            <v>a=0.5 x t</v>
          </cell>
          <cell r="C490">
            <v>6.5</v>
          </cell>
          <cell r="D490">
            <v>10</v>
          </cell>
          <cell r="E490"/>
          <cell r="F490">
            <v>2</v>
          </cell>
          <cell r="G490">
            <v>3</v>
          </cell>
          <cell r="H490">
            <v>1.1399999999999999</v>
          </cell>
          <cell r="I490">
            <v>2.7014218009478667E-2</v>
          </cell>
          <cell r="J490">
            <v>42.2</v>
          </cell>
          <cell r="K490">
            <v>5</v>
          </cell>
          <cell r="L490">
            <v>10</v>
          </cell>
          <cell r="M490">
            <v>20</v>
          </cell>
          <cell r="N490">
            <v>30</v>
          </cell>
          <cell r="O490">
            <v>60</v>
          </cell>
          <cell r="P490">
            <v>90</v>
          </cell>
        </row>
        <row r="491">
          <cell r="A491" t="str">
            <v>HEB200</v>
          </cell>
          <cell r="B491" t="str">
            <v>a=0.5 x t</v>
          </cell>
          <cell r="C491">
            <v>9</v>
          </cell>
          <cell r="D491">
            <v>15</v>
          </cell>
          <cell r="E491"/>
          <cell r="F491">
            <v>2</v>
          </cell>
          <cell r="G491">
            <v>6</v>
          </cell>
          <cell r="H491">
            <v>1.1499999999999999</v>
          </cell>
          <cell r="I491">
            <v>1.8760195758564437E-2</v>
          </cell>
          <cell r="J491">
            <v>61.3</v>
          </cell>
          <cell r="K491">
            <v>5</v>
          </cell>
          <cell r="L491">
            <v>10</v>
          </cell>
          <cell r="M491">
            <v>20</v>
          </cell>
          <cell r="N491">
            <v>30</v>
          </cell>
          <cell r="O491">
            <v>60</v>
          </cell>
          <cell r="P491">
            <v>90</v>
          </cell>
        </row>
        <row r="492">
          <cell r="A492" t="str">
            <v>HEC200</v>
          </cell>
          <cell r="B492" t="str">
            <v>a=0.5 x t</v>
          </cell>
          <cell r="C492">
            <v>12</v>
          </cell>
          <cell r="D492">
            <v>20</v>
          </cell>
          <cell r="E492"/>
          <cell r="F492">
            <v>2</v>
          </cell>
          <cell r="G492"/>
          <cell r="H492">
            <v>1.177</v>
          </cell>
          <cell r="I492">
            <v>1.437118437118437E-2</v>
          </cell>
          <cell r="J492">
            <v>81.900000000000006</v>
          </cell>
          <cell r="K492">
            <v>5</v>
          </cell>
          <cell r="L492">
            <v>10</v>
          </cell>
          <cell r="M492">
            <v>20</v>
          </cell>
          <cell r="N492">
            <v>30</v>
          </cell>
          <cell r="O492">
            <v>60</v>
          </cell>
          <cell r="P492">
            <v>90</v>
          </cell>
        </row>
        <row r="493">
          <cell r="A493" t="str">
            <v>HEM200</v>
          </cell>
          <cell r="B493" t="str">
            <v>a=0.5 x t</v>
          </cell>
          <cell r="C493">
            <v>15</v>
          </cell>
          <cell r="D493">
            <v>25</v>
          </cell>
          <cell r="E493"/>
          <cell r="F493">
            <v>2</v>
          </cell>
          <cell r="G493">
            <v>10</v>
          </cell>
          <cell r="H493">
            <v>1.2030000000000001</v>
          </cell>
          <cell r="I493">
            <v>1.1668283220174588E-2</v>
          </cell>
          <cell r="J493">
            <v>103.1</v>
          </cell>
          <cell r="K493">
            <v>5</v>
          </cell>
          <cell r="L493">
            <v>10</v>
          </cell>
          <cell r="M493">
            <v>20</v>
          </cell>
          <cell r="N493">
            <v>30</v>
          </cell>
          <cell r="O493">
            <v>60</v>
          </cell>
          <cell r="P493">
            <v>90</v>
          </cell>
        </row>
        <row r="494">
          <cell r="A494" t="str">
            <v>HEAA220</v>
          </cell>
          <cell r="B494" t="str">
            <v>a=0.5 x t</v>
          </cell>
          <cell r="C494">
            <v>6</v>
          </cell>
          <cell r="D494">
            <v>8.5</v>
          </cell>
          <cell r="E494"/>
          <cell r="F494">
            <v>2</v>
          </cell>
          <cell r="G494"/>
          <cell r="H494">
            <v>1.2470000000000001</v>
          </cell>
          <cell r="I494">
            <v>3.0866336633663369E-2</v>
          </cell>
          <cell r="J494">
            <v>40.4</v>
          </cell>
          <cell r="K494">
            <v>5</v>
          </cell>
          <cell r="L494">
            <v>10</v>
          </cell>
          <cell r="M494">
            <v>20</v>
          </cell>
          <cell r="N494">
            <v>30</v>
          </cell>
          <cell r="O494">
            <v>60</v>
          </cell>
          <cell r="P494">
            <v>90</v>
          </cell>
        </row>
        <row r="495">
          <cell r="A495" t="str">
            <v>HEA220</v>
          </cell>
          <cell r="B495" t="str">
            <v>a=0.5 x t</v>
          </cell>
          <cell r="C495">
            <v>7</v>
          </cell>
          <cell r="D495">
            <v>11</v>
          </cell>
          <cell r="E495"/>
          <cell r="F495">
            <v>2</v>
          </cell>
          <cell r="G495">
            <v>3</v>
          </cell>
          <cell r="H495">
            <v>1.26</v>
          </cell>
          <cell r="I495">
            <v>2.4950495049504952E-2</v>
          </cell>
          <cell r="J495">
            <v>50.5</v>
          </cell>
          <cell r="K495">
            <v>5</v>
          </cell>
          <cell r="L495">
            <v>10</v>
          </cell>
          <cell r="M495">
            <v>20</v>
          </cell>
          <cell r="N495">
            <v>30</v>
          </cell>
          <cell r="O495">
            <v>60</v>
          </cell>
          <cell r="P495">
            <v>90</v>
          </cell>
        </row>
        <row r="496">
          <cell r="A496" t="str">
            <v>HEB220</v>
          </cell>
          <cell r="B496" t="str">
            <v>a=0.5 x t</v>
          </cell>
          <cell r="C496">
            <v>9.5</v>
          </cell>
          <cell r="D496">
            <v>16</v>
          </cell>
          <cell r="E496"/>
          <cell r="F496">
            <v>2</v>
          </cell>
          <cell r="G496">
            <v>10</v>
          </cell>
          <cell r="H496">
            <v>1.27</v>
          </cell>
          <cell r="I496">
            <v>1.7787114845938375E-2</v>
          </cell>
          <cell r="J496">
            <v>71.400000000000006</v>
          </cell>
          <cell r="K496">
            <v>5</v>
          </cell>
          <cell r="L496">
            <v>10</v>
          </cell>
          <cell r="M496">
            <v>20</v>
          </cell>
          <cell r="N496">
            <v>30</v>
          </cell>
          <cell r="O496">
            <v>60</v>
          </cell>
          <cell r="P496">
            <v>90</v>
          </cell>
        </row>
        <row r="497">
          <cell r="A497" t="str">
            <v>HEC220</v>
          </cell>
          <cell r="B497" t="str">
            <v>a=0.5 x t</v>
          </cell>
          <cell r="C497">
            <v>12.5</v>
          </cell>
          <cell r="D497">
            <v>21</v>
          </cell>
          <cell r="E497"/>
          <cell r="F497">
            <v>2</v>
          </cell>
          <cell r="G497"/>
          <cell r="H497">
            <v>1.296</v>
          </cell>
          <cell r="I497">
            <v>1.377258235919235E-2</v>
          </cell>
          <cell r="J497">
            <v>94.1</v>
          </cell>
          <cell r="K497">
            <v>5</v>
          </cell>
          <cell r="L497">
            <v>10</v>
          </cell>
          <cell r="M497">
            <v>20</v>
          </cell>
          <cell r="N497">
            <v>30</v>
          </cell>
          <cell r="O497">
            <v>60</v>
          </cell>
          <cell r="P497">
            <v>90</v>
          </cell>
        </row>
        <row r="498">
          <cell r="A498" t="str">
            <v>HEM220</v>
          </cell>
          <cell r="B498" t="str">
            <v>a=0.5 x t</v>
          </cell>
          <cell r="C498">
            <v>15.5</v>
          </cell>
          <cell r="D498">
            <v>26</v>
          </cell>
          <cell r="E498"/>
          <cell r="F498">
            <v>2</v>
          </cell>
          <cell r="G498">
            <v>10</v>
          </cell>
          <cell r="H498">
            <v>1.3220000000000001</v>
          </cell>
          <cell r="I498">
            <v>1.1270247229326513E-2</v>
          </cell>
          <cell r="J498">
            <v>117.3</v>
          </cell>
          <cell r="K498">
            <v>5</v>
          </cell>
          <cell r="L498">
            <v>10</v>
          </cell>
          <cell r="M498">
            <v>20</v>
          </cell>
          <cell r="N498">
            <v>30</v>
          </cell>
          <cell r="O498">
            <v>60</v>
          </cell>
          <cell r="P498">
            <v>90</v>
          </cell>
        </row>
        <row r="499">
          <cell r="A499" t="str">
            <v>HEAA240</v>
          </cell>
          <cell r="B499" t="str">
            <v>a=0.5 x t</v>
          </cell>
          <cell r="C499">
            <v>6.5</v>
          </cell>
          <cell r="D499">
            <v>9</v>
          </cell>
          <cell r="E499"/>
          <cell r="F499">
            <v>2</v>
          </cell>
          <cell r="G499"/>
          <cell r="H499">
            <v>1.359</v>
          </cell>
          <cell r="I499">
            <v>2.8670886075949368E-2</v>
          </cell>
          <cell r="J499">
            <v>47.4</v>
          </cell>
          <cell r="K499">
            <v>5</v>
          </cell>
          <cell r="L499">
            <v>10</v>
          </cell>
          <cell r="M499">
            <v>20</v>
          </cell>
          <cell r="N499">
            <v>30</v>
          </cell>
          <cell r="O499">
            <v>60</v>
          </cell>
          <cell r="P499">
            <v>90</v>
          </cell>
        </row>
        <row r="500">
          <cell r="A500" t="str">
            <v>HEA240</v>
          </cell>
          <cell r="B500" t="str">
            <v>a=0.5 x t</v>
          </cell>
          <cell r="C500">
            <v>7.5</v>
          </cell>
          <cell r="D500">
            <v>12</v>
          </cell>
          <cell r="E500"/>
          <cell r="F500">
            <v>2</v>
          </cell>
          <cell r="G500">
            <v>3</v>
          </cell>
          <cell r="H500">
            <v>1.37</v>
          </cell>
          <cell r="I500">
            <v>2.2719734660033169E-2</v>
          </cell>
          <cell r="J500">
            <v>60.3</v>
          </cell>
          <cell r="K500">
            <v>5</v>
          </cell>
          <cell r="L500">
            <v>10</v>
          </cell>
          <cell r="M500">
            <v>20</v>
          </cell>
          <cell r="N500">
            <v>30</v>
          </cell>
          <cell r="O500">
            <v>60</v>
          </cell>
          <cell r="P500">
            <v>90</v>
          </cell>
        </row>
        <row r="501">
          <cell r="A501" t="str">
            <v>HEB240</v>
          </cell>
          <cell r="B501" t="str">
            <v>a=0.5 x t</v>
          </cell>
          <cell r="C501">
            <v>10</v>
          </cell>
          <cell r="D501">
            <v>17</v>
          </cell>
          <cell r="E501"/>
          <cell r="F501">
            <v>2</v>
          </cell>
          <cell r="G501">
            <v>10</v>
          </cell>
          <cell r="H501">
            <v>1.38</v>
          </cell>
          <cell r="I501">
            <v>1.6586538461538458E-2</v>
          </cell>
          <cell r="J501">
            <v>83.2</v>
          </cell>
          <cell r="K501">
            <v>5</v>
          </cell>
          <cell r="L501">
            <v>10</v>
          </cell>
          <cell r="M501">
            <v>20</v>
          </cell>
          <cell r="N501">
            <v>30</v>
          </cell>
          <cell r="O501">
            <v>60</v>
          </cell>
          <cell r="P501">
            <v>90</v>
          </cell>
        </row>
        <row r="502">
          <cell r="A502" t="str">
            <v>HEC240</v>
          </cell>
          <cell r="B502" t="str">
            <v>a=0.5 x t</v>
          </cell>
          <cell r="C502">
            <v>14</v>
          </cell>
          <cell r="D502">
            <v>24.5</v>
          </cell>
          <cell r="E502"/>
          <cell r="F502">
            <v>2</v>
          </cell>
          <cell r="G502"/>
          <cell r="H502">
            <v>1.4219999999999999</v>
          </cell>
          <cell r="I502">
            <v>1.1949579831932773E-2</v>
          </cell>
          <cell r="J502">
            <v>119</v>
          </cell>
          <cell r="K502">
            <v>5</v>
          </cell>
          <cell r="L502">
            <v>10</v>
          </cell>
          <cell r="M502">
            <v>20</v>
          </cell>
          <cell r="N502">
            <v>30</v>
          </cell>
          <cell r="O502">
            <v>60</v>
          </cell>
          <cell r="P502">
            <v>90</v>
          </cell>
        </row>
        <row r="503">
          <cell r="A503" t="str">
            <v>HEM240</v>
          </cell>
          <cell r="B503" t="str">
            <v>a=0.5 x t</v>
          </cell>
          <cell r="C503">
            <v>18</v>
          </cell>
          <cell r="D503">
            <v>32</v>
          </cell>
          <cell r="E503"/>
          <cell r="F503">
            <v>2</v>
          </cell>
          <cell r="G503">
            <v>15</v>
          </cell>
          <cell r="H503">
            <v>1.46</v>
          </cell>
          <cell r="I503">
            <v>9.3171665603063187E-3</v>
          </cell>
          <cell r="J503">
            <v>156.69999999999999</v>
          </cell>
          <cell r="K503">
            <v>5</v>
          </cell>
          <cell r="L503">
            <v>10</v>
          </cell>
          <cell r="M503">
            <v>20</v>
          </cell>
          <cell r="N503">
            <v>30</v>
          </cell>
          <cell r="O503">
            <v>60</v>
          </cell>
          <cell r="P503">
            <v>90</v>
          </cell>
        </row>
        <row r="504">
          <cell r="A504" t="str">
            <v>HEAA260</v>
          </cell>
          <cell r="B504" t="str">
            <v>a=0.5 x t</v>
          </cell>
          <cell r="C504">
            <v>6.5</v>
          </cell>
          <cell r="D504">
            <v>9.5</v>
          </cell>
          <cell r="E504"/>
          <cell r="F504">
            <v>2</v>
          </cell>
          <cell r="G504"/>
          <cell r="H504">
            <v>1.474</v>
          </cell>
          <cell r="I504">
            <v>2.7245841035120146E-2</v>
          </cell>
          <cell r="J504">
            <v>54.1</v>
          </cell>
          <cell r="K504">
            <v>5</v>
          </cell>
          <cell r="L504">
            <v>10</v>
          </cell>
          <cell r="M504">
            <v>20</v>
          </cell>
          <cell r="N504">
            <v>30</v>
          </cell>
          <cell r="O504">
            <v>60</v>
          </cell>
          <cell r="P504">
            <v>90</v>
          </cell>
        </row>
        <row r="505">
          <cell r="A505" t="str">
            <v>HEA260</v>
          </cell>
          <cell r="B505" t="str">
            <v>a=0.5 x t</v>
          </cell>
          <cell r="C505">
            <v>7.5</v>
          </cell>
          <cell r="D505">
            <v>12.5</v>
          </cell>
          <cell r="E505"/>
          <cell r="F505">
            <v>2</v>
          </cell>
          <cell r="G505">
            <v>3</v>
          </cell>
          <cell r="H505">
            <v>1.48</v>
          </cell>
          <cell r="I505">
            <v>2.1732745961820853E-2</v>
          </cell>
          <cell r="J505">
            <v>68.099999999999994</v>
          </cell>
          <cell r="K505">
            <v>5</v>
          </cell>
          <cell r="L505">
            <v>10</v>
          </cell>
          <cell r="M505">
            <v>20</v>
          </cell>
          <cell r="N505">
            <v>30</v>
          </cell>
          <cell r="O505">
            <v>60</v>
          </cell>
          <cell r="P505">
            <v>90</v>
          </cell>
        </row>
        <row r="506">
          <cell r="A506" t="str">
            <v>HEB260</v>
          </cell>
          <cell r="B506" t="str">
            <v>a=0.5 x t</v>
          </cell>
          <cell r="C506">
            <v>10</v>
          </cell>
          <cell r="D506">
            <v>17.5</v>
          </cell>
          <cell r="E506"/>
          <cell r="F506">
            <v>2</v>
          </cell>
          <cell r="G506">
            <v>10</v>
          </cell>
          <cell r="H506">
            <v>1.5</v>
          </cell>
          <cell r="I506">
            <v>1.6198704103671708E-2</v>
          </cell>
          <cell r="J506">
            <v>92.6</v>
          </cell>
          <cell r="K506">
            <v>5</v>
          </cell>
          <cell r="L506">
            <v>10</v>
          </cell>
          <cell r="M506">
            <v>20</v>
          </cell>
          <cell r="N506">
            <v>30</v>
          </cell>
          <cell r="O506">
            <v>60</v>
          </cell>
          <cell r="P506">
            <v>90</v>
          </cell>
        </row>
        <row r="507">
          <cell r="A507" t="str">
            <v>HEC260</v>
          </cell>
          <cell r="B507" t="str">
            <v>a=0.5 x t</v>
          </cell>
          <cell r="C507">
            <v>14</v>
          </cell>
          <cell r="D507">
            <v>25</v>
          </cell>
          <cell r="E507"/>
          <cell r="F507">
            <v>2</v>
          </cell>
          <cell r="G507"/>
          <cell r="H507">
            <v>1.5369999999999999</v>
          </cell>
          <cell r="I507">
            <v>1.1643939393939394E-2</v>
          </cell>
          <cell r="J507">
            <v>132</v>
          </cell>
          <cell r="K507">
            <v>5</v>
          </cell>
          <cell r="L507">
            <v>10</v>
          </cell>
          <cell r="M507">
            <v>20</v>
          </cell>
          <cell r="N507">
            <v>30</v>
          </cell>
          <cell r="O507">
            <v>60</v>
          </cell>
          <cell r="P507">
            <v>90</v>
          </cell>
        </row>
        <row r="508">
          <cell r="A508" t="str">
            <v>HEM260</v>
          </cell>
          <cell r="B508" t="str">
            <v>a=0.5 x t</v>
          </cell>
          <cell r="C508">
            <v>18</v>
          </cell>
          <cell r="D508">
            <v>32.5</v>
          </cell>
          <cell r="E508"/>
          <cell r="F508">
            <v>2</v>
          </cell>
          <cell r="G508">
            <v>15</v>
          </cell>
          <cell r="H508">
            <v>1.575</v>
          </cell>
          <cell r="I508">
            <v>9.1357308584686762E-3</v>
          </cell>
          <cell r="J508">
            <v>172.4</v>
          </cell>
          <cell r="K508">
            <v>5</v>
          </cell>
          <cell r="L508">
            <v>10</v>
          </cell>
          <cell r="M508">
            <v>20</v>
          </cell>
          <cell r="N508">
            <v>30</v>
          </cell>
          <cell r="O508">
            <v>60</v>
          </cell>
          <cell r="P508">
            <v>90</v>
          </cell>
        </row>
        <row r="509">
          <cell r="A509" t="str">
            <v>HEAA280</v>
          </cell>
          <cell r="B509" t="str">
            <v>a=0.5 x t</v>
          </cell>
          <cell r="C509">
            <v>7</v>
          </cell>
          <cell r="D509">
            <v>10</v>
          </cell>
          <cell r="E509"/>
          <cell r="F509">
            <v>2</v>
          </cell>
          <cell r="G509"/>
          <cell r="H509">
            <v>1.593</v>
          </cell>
          <cell r="I509">
            <v>2.6029411764705881E-2</v>
          </cell>
          <cell r="J509">
            <v>61.2</v>
          </cell>
          <cell r="K509">
            <v>5</v>
          </cell>
          <cell r="L509">
            <v>10</v>
          </cell>
          <cell r="M509">
            <v>20</v>
          </cell>
          <cell r="N509">
            <v>30</v>
          </cell>
          <cell r="O509">
            <v>60</v>
          </cell>
          <cell r="P509">
            <v>90</v>
          </cell>
        </row>
        <row r="510">
          <cell r="A510" t="str">
            <v>HEA280</v>
          </cell>
          <cell r="B510" t="str">
            <v>a=0.5 x t</v>
          </cell>
          <cell r="C510">
            <v>8</v>
          </cell>
          <cell r="D510">
            <v>13</v>
          </cell>
          <cell r="E510"/>
          <cell r="F510">
            <v>2</v>
          </cell>
          <cell r="G510">
            <v>3</v>
          </cell>
          <cell r="H510">
            <v>1.6</v>
          </cell>
          <cell r="I510">
            <v>2.0942408376963352E-2</v>
          </cell>
          <cell r="J510">
            <v>76.400000000000006</v>
          </cell>
          <cell r="K510">
            <v>5</v>
          </cell>
          <cell r="L510">
            <v>10</v>
          </cell>
          <cell r="M510">
            <v>20</v>
          </cell>
          <cell r="N510">
            <v>30</v>
          </cell>
          <cell r="O510">
            <v>60</v>
          </cell>
          <cell r="P510">
            <v>90</v>
          </cell>
        </row>
        <row r="511">
          <cell r="A511" t="str">
            <v>HEB280</v>
          </cell>
          <cell r="B511" t="str">
            <v>a=0.5 x t</v>
          </cell>
          <cell r="C511">
            <v>10.5</v>
          </cell>
          <cell r="D511">
            <v>18</v>
          </cell>
          <cell r="E511"/>
          <cell r="F511">
            <v>2</v>
          </cell>
          <cell r="G511">
            <v>10</v>
          </cell>
          <cell r="H511">
            <v>1.62</v>
          </cell>
          <cell r="I511">
            <v>1.5758754863813233E-2</v>
          </cell>
          <cell r="J511">
            <v>102.8</v>
          </cell>
          <cell r="K511">
            <v>5</v>
          </cell>
          <cell r="L511">
            <v>10</v>
          </cell>
          <cell r="M511">
            <v>20</v>
          </cell>
          <cell r="N511">
            <v>30</v>
          </cell>
          <cell r="O511">
            <v>60</v>
          </cell>
          <cell r="P511">
            <v>90</v>
          </cell>
        </row>
        <row r="512">
          <cell r="A512" t="str">
            <v>HEC280</v>
          </cell>
          <cell r="B512" t="str">
            <v>a=0.5 x t</v>
          </cell>
          <cell r="C512">
            <v>14.5</v>
          </cell>
          <cell r="D512">
            <v>25.5</v>
          </cell>
          <cell r="E512"/>
          <cell r="F512">
            <v>2</v>
          </cell>
          <cell r="G512"/>
          <cell r="H512">
            <v>1.6559999999999999</v>
          </cell>
          <cell r="I512">
            <v>1.1420689655172414E-2</v>
          </cell>
          <cell r="J512">
            <v>145</v>
          </cell>
          <cell r="K512">
            <v>5</v>
          </cell>
          <cell r="L512">
            <v>10</v>
          </cell>
          <cell r="M512">
            <v>20</v>
          </cell>
          <cell r="N512">
            <v>30</v>
          </cell>
          <cell r="O512">
            <v>60</v>
          </cell>
          <cell r="P512">
            <v>90</v>
          </cell>
        </row>
        <row r="513">
          <cell r="A513" t="str">
            <v>HEM280</v>
          </cell>
          <cell r="B513" t="str">
            <v>a=0.5 x t</v>
          </cell>
          <cell r="C513">
            <v>18.5</v>
          </cell>
          <cell r="D513">
            <v>33</v>
          </cell>
          <cell r="E513"/>
          <cell r="F513">
            <v>2</v>
          </cell>
          <cell r="G513">
            <v>15</v>
          </cell>
          <cell r="H513">
            <v>1.694</v>
          </cell>
          <cell r="I513">
            <v>8.9819724284199362E-3</v>
          </cell>
          <cell r="J513">
            <v>188.6</v>
          </cell>
          <cell r="K513">
            <v>5</v>
          </cell>
          <cell r="L513">
            <v>10</v>
          </cell>
          <cell r="M513">
            <v>20</v>
          </cell>
          <cell r="N513">
            <v>30</v>
          </cell>
          <cell r="O513">
            <v>60</v>
          </cell>
          <cell r="P513">
            <v>90</v>
          </cell>
        </row>
        <row r="514">
          <cell r="A514" t="str">
            <v>HEAA300</v>
          </cell>
          <cell r="B514" t="str">
            <v>a=0.5 x t</v>
          </cell>
          <cell r="C514">
            <v>7.5</v>
          </cell>
          <cell r="D514">
            <v>10.5</v>
          </cell>
          <cell r="E514"/>
          <cell r="F514">
            <v>3</v>
          </cell>
          <cell r="G514"/>
          <cell r="H514">
            <v>1.7050000000000001</v>
          </cell>
          <cell r="I514">
            <v>2.4426934097421204E-2</v>
          </cell>
          <cell r="J514">
            <v>69.8</v>
          </cell>
          <cell r="K514">
            <v>10</v>
          </cell>
          <cell r="L514">
            <v>20</v>
          </cell>
          <cell r="M514">
            <v>30</v>
          </cell>
          <cell r="N514">
            <v>40</v>
          </cell>
          <cell r="O514">
            <v>90</v>
          </cell>
          <cell r="P514">
            <v>120</v>
          </cell>
        </row>
        <row r="515">
          <cell r="A515" t="str">
            <v>HEA300</v>
          </cell>
          <cell r="B515" t="str">
            <v>a=0.5 x t</v>
          </cell>
          <cell r="C515">
            <v>8.5</v>
          </cell>
          <cell r="D515">
            <v>14</v>
          </cell>
          <cell r="E515"/>
          <cell r="F515">
            <v>3</v>
          </cell>
          <cell r="G515">
            <v>3</v>
          </cell>
          <cell r="H515">
            <v>1.72</v>
          </cell>
          <cell r="I515">
            <v>1.939120631341601E-2</v>
          </cell>
          <cell r="J515">
            <v>88.7</v>
          </cell>
          <cell r="K515">
            <v>10</v>
          </cell>
          <cell r="L515">
            <v>20</v>
          </cell>
          <cell r="M515">
            <v>30</v>
          </cell>
          <cell r="N515">
            <v>40</v>
          </cell>
          <cell r="O515">
            <v>90</v>
          </cell>
          <cell r="P515">
            <v>120</v>
          </cell>
        </row>
        <row r="516">
          <cell r="A516" t="str">
            <v>HEB300</v>
          </cell>
          <cell r="B516" t="str">
            <v>a=0.5 x t</v>
          </cell>
          <cell r="C516">
            <v>11</v>
          </cell>
          <cell r="D516">
            <v>19</v>
          </cell>
          <cell r="E516"/>
          <cell r="F516">
            <v>3</v>
          </cell>
          <cell r="G516">
            <v>12</v>
          </cell>
          <cell r="H516">
            <v>1.73</v>
          </cell>
          <cell r="I516">
            <v>1.4786324786324787E-2</v>
          </cell>
          <cell r="J516">
            <v>117</v>
          </cell>
          <cell r="K516">
            <v>10</v>
          </cell>
          <cell r="L516">
            <v>20</v>
          </cell>
          <cell r="M516">
            <v>30</v>
          </cell>
          <cell r="N516">
            <v>40</v>
          </cell>
          <cell r="O516">
            <v>90</v>
          </cell>
          <cell r="P516">
            <v>120</v>
          </cell>
        </row>
        <row r="517">
          <cell r="A517" t="str">
            <v>HEC300</v>
          </cell>
          <cell r="B517" t="str">
            <v>a=0.5 x t</v>
          </cell>
          <cell r="C517">
            <v>16</v>
          </cell>
          <cell r="D517">
            <v>29</v>
          </cell>
          <cell r="E517"/>
          <cell r="F517">
            <v>3</v>
          </cell>
          <cell r="G517"/>
          <cell r="H517">
            <v>1.782</v>
          </cell>
          <cell r="I517">
            <v>1.0067796610169492E-2</v>
          </cell>
          <cell r="J517">
            <v>177</v>
          </cell>
          <cell r="K517">
            <v>10</v>
          </cell>
          <cell r="L517">
            <v>20</v>
          </cell>
          <cell r="M517">
            <v>30</v>
          </cell>
          <cell r="N517">
            <v>40</v>
          </cell>
          <cell r="O517">
            <v>90</v>
          </cell>
          <cell r="P517">
            <v>120</v>
          </cell>
        </row>
        <row r="518">
          <cell r="A518" t="str">
            <v>HEM300</v>
          </cell>
          <cell r="B518" t="str">
            <v>a=0.5 x t</v>
          </cell>
          <cell r="C518">
            <v>21</v>
          </cell>
          <cell r="D518">
            <v>39</v>
          </cell>
          <cell r="E518"/>
          <cell r="F518">
            <v>3</v>
          </cell>
          <cell r="G518">
            <v>15</v>
          </cell>
          <cell r="H518">
            <v>1.8320000000000001</v>
          </cell>
          <cell r="I518">
            <v>7.7007145859604876E-3</v>
          </cell>
          <cell r="J518">
            <v>237.9</v>
          </cell>
          <cell r="K518">
            <v>10</v>
          </cell>
          <cell r="L518">
            <v>20</v>
          </cell>
          <cell r="M518">
            <v>30</v>
          </cell>
          <cell r="N518">
            <v>40</v>
          </cell>
          <cell r="O518">
            <v>90</v>
          </cell>
          <cell r="P518">
            <v>120</v>
          </cell>
        </row>
        <row r="519">
          <cell r="A519" t="str">
            <v>HEAA320</v>
          </cell>
          <cell r="B519" t="str">
            <v>a=0.5 x t</v>
          </cell>
          <cell r="C519">
            <v>8</v>
          </cell>
          <cell r="D519">
            <v>11</v>
          </cell>
          <cell r="E519"/>
          <cell r="F519">
            <v>3</v>
          </cell>
          <cell r="G519"/>
          <cell r="H519">
            <v>1.74</v>
          </cell>
          <cell r="I519">
            <v>2.3450134770889485E-2</v>
          </cell>
          <cell r="J519">
            <v>74.2</v>
          </cell>
          <cell r="K519">
            <v>10</v>
          </cell>
          <cell r="L519">
            <v>20</v>
          </cell>
          <cell r="M519">
            <v>30</v>
          </cell>
          <cell r="N519">
            <v>40</v>
          </cell>
          <cell r="O519">
            <v>90</v>
          </cell>
          <cell r="P519">
            <v>120</v>
          </cell>
        </row>
        <row r="520">
          <cell r="A520" t="str">
            <v>HEA320</v>
          </cell>
          <cell r="B520" t="str">
            <v>a=0.5 x t</v>
          </cell>
          <cell r="C520">
            <v>9</v>
          </cell>
          <cell r="D520">
            <v>15.5</v>
          </cell>
          <cell r="E520"/>
          <cell r="F520">
            <v>3</v>
          </cell>
          <cell r="G520">
            <v>3</v>
          </cell>
          <cell r="H520">
            <v>1.76</v>
          </cell>
          <cell r="I520">
            <v>1.8088386433710177E-2</v>
          </cell>
          <cell r="J520">
            <v>97.3</v>
          </cell>
          <cell r="K520">
            <v>10</v>
          </cell>
          <cell r="L520">
            <v>20</v>
          </cell>
          <cell r="M520">
            <v>30</v>
          </cell>
          <cell r="N520">
            <v>40</v>
          </cell>
          <cell r="O520">
            <v>90</v>
          </cell>
          <cell r="P520">
            <v>120</v>
          </cell>
        </row>
        <row r="521">
          <cell r="A521" t="str">
            <v>HEB320</v>
          </cell>
          <cell r="B521" t="str">
            <v>a=0.5 x t</v>
          </cell>
          <cell r="C521">
            <v>11.5</v>
          </cell>
          <cell r="D521">
            <v>20.5</v>
          </cell>
          <cell r="E521"/>
          <cell r="F521">
            <v>3</v>
          </cell>
          <cell r="G521">
            <v>12</v>
          </cell>
          <cell r="H521">
            <v>1.77</v>
          </cell>
          <cell r="I521">
            <v>1.4003164556962025E-2</v>
          </cell>
          <cell r="J521">
            <v>126.4</v>
          </cell>
          <cell r="K521">
            <v>10</v>
          </cell>
          <cell r="L521">
            <v>20</v>
          </cell>
          <cell r="M521">
            <v>30</v>
          </cell>
          <cell r="N521">
            <v>40</v>
          </cell>
          <cell r="O521">
            <v>90</v>
          </cell>
          <cell r="P521">
            <v>120</v>
          </cell>
        </row>
        <row r="522">
          <cell r="A522" t="str">
            <v>HEC320</v>
          </cell>
          <cell r="B522" t="str">
            <v>a=0.5 x t</v>
          </cell>
          <cell r="C522">
            <v>16</v>
          </cell>
          <cell r="D522">
            <v>30.5</v>
          </cell>
          <cell r="E522"/>
          <cell r="F522">
            <v>3</v>
          </cell>
          <cell r="G522"/>
          <cell r="H522">
            <v>1.8220000000000001</v>
          </cell>
          <cell r="I522">
            <v>9.7956989247311825E-3</v>
          </cell>
          <cell r="J522">
            <v>186</v>
          </cell>
          <cell r="K522">
            <v>10</v>
          </cell>
          <cell r="L522">
            <v>20</v>
          </cell>
          <cell r="M522">
            <v>30</v>
          </cell>
          <cell r="N522">
            <v>40</v>
          </cell>
          <cell r="O522">
            <v>90</v>
          </cell>
          <cell r="P522">
            <v>120</v>
          </cell>
        </row>
        <row r="523">
          <cell r="A523" t="str">
            <v>HEM320</v>
          </cell>
          <cell r="B523" t="str">
            <v>a=0.5 x t</v>
          </cell>
          <cell r="C523">
            <v>21</v>
          </cell>
          <cell r="D523">
            <v>40</v>
          </cell>
          <cell r="E523"/>
          <cell r="F523">
            <v>3</v>
          </cell>
          <cell r="G523">
            <v>15</v>
          </cell>
          <cell r="H523">
            <v>1.87</v>
          </cell>
          <cell r="I523">
            <v>7.635769701919151E-3</v>
          </cell>
          <cell r="J523">
            <v>244.9</v>
          </cell>
          <cell r="K523">
            <v>10</v>
          </cell>
          <cell r="L523">
            <v>20</v>
          </cell>
          <cell r="M523">
            <v>30</v>
          </cell>
          <cell r="N523">
            <v>40</v>
          </cell>
          <cell r="O523">
            <v>90</v>
          </cell>
          <cell r="P523">
            <v>120</v>
          </cell>
        </row>
        <row r="524">
          <cell r="A524" t="str">
            <v>HEAA340</v>
          </cell>
          <cell r="B524" t="str">
            <v>a=0.5 x t</v>
          </cell>
          <cell r="C524">
            <v>8.5</v>
          </cell>
          <cell r="D524">
            <v>11.5</v>
          </cell>
          <cell r="E524"/>
          <cell r="F524">
            <v>3</v>
          </cell>
          <cell r="G524"/>
          <cell r="H524">
            <v>1.7769999999999999</v>
          </cell>
          <cell r="I524">
            <v>2.2522179974651453E-2</v>
          </cell>
          <cell r="J524">
            <v>78.900000000000006</v>
          </cell>
          <cell r="K524">
            <v>10</v>
          </cell>
          <cell r="L524">
            <v>20</v>
          </cell>
          <cell r="M524">
            <v>30</v>
          </cell>
          <cell r="N524">
            <v>40</v>
          </cell>
          <cell r="O524">
            <v>90</v>
          </cell>
          <cell r="P524">
            <v>120</v>
          </cell>
        </row>
        <row r="525">
          <cell r="A525" t="str">
            <v>HEA340</v>
          </cell>
          <cell r="B525" t="str">
            <v>a=0.5 x t</v>
          </cell>
          <cell r="C525">
            <v>9.5</v>
          </cell>
          <cell r="D525">
            <v>16.5</v>
          </cell>
          <cell r="E525"/>
          <cell r="F525">
            <v>3</v>
          </cell>
          <cell r="G525">
            <v>3</v>
          </cell>
          <cell r="H525">
            <v>1.79</v>
          </cell>
          <cell r="I525">
            <v>1.7145593869731801E-2</v>
          </cell>
          <cell r="J525">
            <v>104.4</v>
          </cell>
          <cell r="K525">
            <v>10</v>
          </cell>
          <cell r="L525">
            <v>20</v>
          </cell>
          <cell r="M525">
            <v>30</v>
          </cell>
          <cell r="N525">
            <v>40</v>
          </cell>
          <cell r="O525">
            <v>90</v>
          </cell>
          <cell r="P525">
            <v>120</v>
          </cell>
        </row>
        <row r="526">
          <cell r="A526" t="str">
            <v>HEB340</v>
          </cell>
          <cell r="B526" t="str">
            <v>a=0.5 x t</v>
          </cell>
          <cell r="C526">
            <v>12</v>
          </cell>
          <cell r="D526">
            <v>21.5</v>
          </cell>
          <cell r="E526"/>
          <cell r="F526">
            <v>3</v>
          </cell>
          <cell r="G526">
            <v>12</v>
          </cell>
          <cell r="H526">
            <v>1.81</v>
          </cell>
          <cell r="I526">
            <v>1.3487332339791358E-2</v>
          </cell>
          <cell r="J526">
            <v>134.19999999999999</v>
          </cell>
          <cell r="K526">
            <v>10</v>
          </cell>
          <cell r="L526">
            <v>20</v>
          </cell>
          <cell r="M526">
            <v>30</v>
          </cell>
          <cell r="N526">
            <v>40</v>
          </cell>
          <cell r="O526">
            <v>90</v>
          </cell>
          <cell r="P526">
            <v>120</v>
          </cell>
        </row>
        <row r="527">
          <cell r="A527" t="str">
            <v>HEM340</v>
          </cell>
          <cell r="B527" t="str">
            <v>a=0.5 x t</v>
          </cell>
          <cell r="C527">
            <v>21</v>
          </cell>
          <cell r="D527">
            <v>40</v>
          </cell>
          <cell r="E527"/>
          <cell r="F527">
            <v>3</v>
          </cell>
          <cell r="G527">
            <v>15</v>
          </cell>
          <cell r="H527">
            <v>1.9</v>
          </cell>
          <cell r="I527">
            <v>7.658202337767029E-3</v>
          </cell>
          <cell r="J527">
            <v>248.1</v>
          </cell>
          <cell r="K527">
            <v>10</v>
          </cell>
          <cell r="L527">
            <v>20</v>
          </cell>
          <cell r="M527">
            <v>30</v>
          </cell>
          <cell r="N527">
            <v>40</v>
          </cell>
          <cell r="O527">
            <v>90</v>
          </cell>
          <cell r="P527">
            <v>120</v>
          </cell>
        </row>
        <row r="528">
          <cell r="A528" t="str">
            <v>HEAA360</v>
          </cell>
          <cell r="B528" t="str">
            <v>a=0.5 x t</v>
          </cell>
          <cell r="C528">
            <v>9</v>
          </cell>
          <cell r="D528">
            <v>12</v>
          </cell>
          <cell r="E528"/>
          <cell r="F528">
            <v>3</v>
          </cell>
          <cell r="G528"/>
          <cell r="H528">
            <v>1.8140000000000001</v>
          </cell>
          <cell r="I528">
            <v>2.1672640382317802E-2</v>
          </cell>
          <cell r="J528">
            <v>83.7</v>
          </cell>
          <cell r="K528">
            <v>10</v>
          </cell>
          <cell r="L528">
            <v>20</v>
          </cell>
          <cell r="M528">
            <v>30</v>
          </cell>
          <cell r="N528">
            <v>40</v>
          </cell>
          <cell r="O528">
            <v>90</v>
          </cell>
          <cell r="P528">
            <v>120</v>
          </cell>
        </row>
        <row r="529">
          <cell r="A529" t="str">
            <v>HEA360</v>
          </cell>
          <cell r="B529" t="str">
            <v>a=0.5 x t</v>
          </cell>
          <cell r="C529">
            <v>10</v>
          </cell>
          <cell r="D529">
            <v>17.5</v>
          </cell>
          <cell r="E529"/>
          <cell r="F529">
            <v>3</v>
          </cell>
          <cell r="G529">
            <v>6</v>
          </cell>
          <cell r="H529">
            <v>1.83</v>
          </cell>
          <cell r="I529">
            <v>1.6295636687444347E-2</v>
          </cell>
          <cell r="J529">
            <v>112.3</v>
          </cell>
          <cell r="K529">
            <v>10</v>
          </cell>
          <cell r="L529">
            <v>20</v>
          </cell>
          <cell r="M529">
            <v>30</v>
          </cell>
          <cell r="N529">
            <v>40</v>
          </cell>
          <cell r="O529">
            <v>90</v>
          </cell>
          <cell r="P529">
            <v>120</v>
          </cell>
        </row>
        <row r="530">
          <cell r="A530" t="str">
            <v>HEB360</v>
          </cell>
          <cell r="B530" t="str">
            <v>a=0.5 x t</v>
          </cell>
          <cell r="C530">
            <v>12.5</v>
          </cell>
          <cell r="D530">
            <v>22.5</v>
          </cell>
          <cell r="E530"/>
          <cell r="F530">
            <v>3</v>
          </cell>
          <cell r="G530">
            <v>12</v>
          </cell>
          <cell r="H530">
            <v>1.85</v>
          </cell>
          <cell r="I530">
            <v>1.3019000703729768E-2</v>
          </cell>
          <cell r="J530">
            <v>142.1</v>
          </cell>
          <cell r="K530">
            <v>10</v>
          </cell>
          <cell r="L530">
            <v>20</v>
          </cell>
          <cell r="M530">
            <v>30</v>
          </cell>
          <cell r="N530">
            <v>40</v>
          </cell>
          <cell r="O530">
            <v>90</v>
          </cell>
          <cell r="P530">
            <v>120</v>
          </cell>
        </row>
        <row r="531">
          <cell r="A531" t="str">
            <v>HEM360</v>
          </cell>
          <cell r="B531" t="str">
            <v>a=0.5 x t</v>
          </cell>
          <cell r="C531">
            <v>21</v>
          </cell>
          <cell r="D531">
            <v>40</v>
          </cell>
          <cell r="E531"/>
          <cell r="F531">
            <v>3</v>
          </cell>
          <cell r="G531">
            <v>15</v>
          </cell>
          <cell r="H531">
            <v>1.93</v>
          </cell>
          <cell r="I531">
            <v>7.7076677316293921E-3</v>
          </cell>
          <cell r="J531">
            <v>250.4</v>
          </cell>
          <cell r="K531">
            <v>10</v>
          </cell>
          <cell r="L531">
            <v>20</v>
          </cell>
          <cell r="M531">
            <v>30</v>
          </cell>
          <cell r="N531">
            <v>40</v>
          </cell>
          <cell r="O531">
            <v>90</v>
          </cell>
          <cell r="P531">
            <v>120</v>
          </cell>
        </row>
        <row r="532">
          <cell r="A532" t="str">
            <v>HEAA400</v>
          </cell>
          <cell r="B532" t="str">
            <v>a=0.5 x t</v>
          </cell>
          <cell r="C532">
            <v>9.5</v>
          </cell>
          <cell r="D532">
            <v>13</v>
          </cell>
          <cell r="E532"/>
          <cell r="F532">
            <v>3</v>
          </cell>
          <cell r="G532"/>
          <cell r="H532">
            <v>1.891</v>
          </cell>
          <cell r="I532">
            <v>2.0465367965367964E-2</v>
          </cell>
          <cell r="J532">
            <v>92.4</v>
          </cell>
          <cell r="K532">
            <v>10</v>
          </cell>
          <cell r="L532">
            <v>20</v>
          </cell>
          <cell r="M532">
            <v>30</v>
          </cell>
          <cell r="N532">
            <v>40</v>
          </cell>
          <cell r="O532">
            <v>90</v>
          </cell>
          <cell r="P532">
            <v>120</v>
          </cell>
        </row>
        <row r="533">
          <cell r="A533" t="str">
            <v>HEA400</v>
          </cell>
          <cell r="B533" t="str">
            <v>a=0.5 x t</v>
          </cell>
          <cell r="C533">
            <v>11</v>
          </cell>
          <cell r="D533">
            <v>19</v>
          </cell>
          <cell r="E533"/>
          <cell r="F533">
            <v>3</v>
          </cell>
          <cell r="G533">
            <v>6</v>
          </cell>
          <cell r="H533">
            <v>1.91</v>
          </cell>
          <cell r="I533">
            <v>1.5304487179487179E-2</v>
          </cell>
          <cell r="J533">
            <v>124.8</v>
          </cell>
          <cell r="K533">
            <v>10</v>
          </cell>
          <cell r="L533">
            <v>20</v>
          </cell>
          <cell r="M533">
            <v>30</v>
          </cell>
          <cell r="N533">
            <v>40</v>
          </cell>
          <cell r="O533">
            <v>90</v>
          </cell>
          <cell r="P533">
            <v>120</v>
          </cell>
        </row>
        <row r="534">
          <cell r="A534" t="str">
            <v>HEB400</v>
          </cell>
          <cell r="B534" t="str">
            <v>a=0.5 x t</v>
          </cell>
          <cell r="C534">
            <v>13.5</v>
          </cell>
          <cell r="D534">
            <v>24</v>
          </cell>
          <cell r="E534"/>
          <cell r="F534">
            <v>3</v>
          </cell>
          <cell r="G534">
            <v>12</v>
          </cell>
          <cell r="H534">
            <v>1.93</v>
          </cell>
          <cell r="I534">
            <v>1.2419562419562418E-2</v>
          </cell>
          <cell r="J534">
            <v>155.4</v>
          </cell>
          <cell r="K534">
            <v>10</v>
          </cell>
          <cell r="L534">
            <v>20</v>
          </cell>
          <cell r="M534">
            <v>30</v>
          </cell>
          <cell r="N534">
            <v>40</v>
          </cell>
          <cell r="O534">
            <v>90</v>
          </cell>
          <cell r="P534">
            <v>120</v>
          </cell>
        </row>
        <row r="535">
          <cell r="A535" t="str">
            <v>HEM400</v>
          </cell>
          <cell r="B535" t="str">
            <v>a=0.5 x t</v>
          </cell>
          <cell r="C535">
            <v>21</v>
          </cell>
          <cell r="D535">
            <v>40</v>
          </cell>
          <cell r="E535"/>
          <cell r="F535">
            <v>3</v>
          </cell>
          <cell r="G535">
            <v>15</v>
          </cell>
          <cell r="H535">
            <v>2</v>
          </cell>
          <cell r="I535">
            <v>7.8155529503712382E-3</v>
          </cell>
          <cell r="J535">
            <v>255.9</v>
          </cell>
          <cell r="K535">
            <v>10</v>
          </cell>
          <cell r="L535">
            <v>20</v>
          </cell>
          <cell r="M535">
            <v>30</v>
          </cell>
          <cell r="N535">
            <v>40</v>
          </cell>
          <cell r="O535">
            <v>90</v>
          </cell>
          <cell r="P535">
            <v>120</v>
          </cell>
        </row>
        <row r="536">
          <cell r="A536" t="str">
            <v>HEAA450</v>
          </cell>
          <cell r="B536" t="str">
            <v>a=0.5 x t</v>
          </cell>
          <cell r="C536">
            <v>10</v>
          </cell>
          <cell r="D536">
            <v>13.5</v>
          </cell>
          <cell r="E536"/>
          <cell r="F536">
            <v>3</v>
          </cell>
          <cell r="G536"/>
          <cell r="H536">
            <v>1.984</v>
          </cell>
          <cell r="I536">
            <v>1.9879759519038077E-2</v>
          </cell>
          <cell r="J536">
            <v>99.8</v>
          </cell>
          <cell r="K536">
            <v>10</v>
          </cell>
          <cell r="L536">
            <v>20</v>
          </cell>
          <cell r="M536">
            <v>30</v>
          </cell>
          <cell r="N536">
            <v>40</v>
          </cell>
          <cell r="O536">
            <v>90</v>
          </cell>
          <cell r="P536">
            <v>120</v>
          </cell>
        </row>
        <row r="537">
          <cell r="A537" t="str">
            <v>HEA450</v>
          </cell>
          <cell r="B537" t="str">
            <v>a=0.5 x t</v>
          </cell>
          <cell r="C537">
            <v>11.5</v>
          </cell>
          <cell r="D537">
            <v>21</v>
          </cell>
          <cell r="E537"/>
          <cell r="F537">
            <v>3</v>
          </cell>
          <cell r="G537">
            <v>6</v>
          </cell>
          <cell r="H537">
            <v>2.0099999999999998</v>
          </cell>
          <cell r="I537">
            <v>1.4387974230493915E-2</v>
          </cell>
          <cell r="J537">
            <v>139.69999999999999</v>
          </cell>
          <cell r="K537">
            <v>10</v>
          </cell>
          <cell r="L537">
            <v>20</v>
          </cell>
          <cell r="M537">
            <v>30</v>
          </cell>
          <cell r="N537">
            <v>40</v>
          </cell>
          <cell r="O537">
            <v>90</v>
          </cell>
          <cell r="P537">
            <v>120</v>
          </cell>
        </row>
        <row r="538">
          <cell r="A538" t="str">
            <v>HEB450</v>
          </cell>
          <cell r="B538" t="str">
            <v>a=0.5 x t</v>
          </cell>
          <cell r="C538">
            <v>14</v>
          </cell>
          <cell r="D538">
            <v>26</v>
          </cell>
          <cell r="E538"/>
          <cell r="F538">
            <v>3</v>
          </cell>
          <cell r="G538">
            <v>16</v>
          </cell>
          <cell r="H538">
            <v>2.0299999999999998</v>
          </cell>
          <cell r="I538">
            <v>1.1864406779661016E-2</v>
          </cell>
          <cell r="J538">
            <v>171.1</v>
          </cell>
          <cell r="K538">
            <v>10</v>
          </cell>
          <cell r="L538">
            <v>20</v>
          </cell>
          <cell r="M538">
            <v>30</v>
          </cell>
          <cell r="N538">
            <v>40</v>
          </cell>
          <cell r="O538">
            <v>90</v>
          </cell>
          <cell r="P538">
            <v>120</v>
          </cell>
        </row>
        <row r="539">
          <cell r="A539" t="str">
            <v>HEM450</v>
          </cell>
          <cell r="B539" t="str">
            <v>a=0.5 x t</v>
          </cell>
          <cell r="C539">
            <v>21</v>
          </cell>
          <cell r="D539">
            <v>40</v>
          </cell>
          <cell r="E539"/>
          <cell r="F539">
            <v>3</v>
          </cell>
          <cell r="G539">
            <v>15</v>
          </cell>
          <cell r="H539">
            <v>2.1</v>
          </cell>
          <cell r="I539">
            <v>7.9847908745247151E-3</v>
          </cell>
          <cell r="J539">
            <v>263</v>
          </cell>
          <cell r="K539">
            <v>10</v>
          </cell>
          <cell r="L539">
            <v>20</v>
          </cell>
          <cell r="M539">
            <v>30</v>
          </cell>
          <cell r="N539">
            <v>40</v>
          </cell>
          <cell r="O539">
            <v>90</v>
          </cell>
          <cell r="P539">
            <v>120</v>
          </cell>
        </row>
        <row r="540">
          <cell r="A540" t="str">
            <v>HEAA500</v>
          </cell>
          <cell r="B540" t="str">
            <v>a=0.5 x t</v>
          </cell>
          <cell r="C540">
            <v>10.5</v>
          </cell>
          <cell r="D540">
            <v>14</v>
          </cell>
          <cell r="E540"/>
          <cell r="F540">
            <v>3</v>
          </cell>
          <cell r="G540"/>
          <cell r="H540">
            <v>2.077</v>
          </cell>
          <cell r="I540">
            <v>1.9320930232558139E-2</v>
          </cell>
          <cell r="J540">
            <v>107.5</v>
          </cell>
          <cell r="K540">
            <v>10</v>
          </cell>
          <cell r="L540">
            <v>20</v>
          </cell>
          <cell r="M540">
            <v>30</v>
          </cell>
          <cell r="N540">
            <v>40</v>
          </cell>
          <cell r="O540">
            <v>90</v>
          </cell>
          <cell r="P540">
            <v>120</v>
          </cell>
        </row>
        <row r="541">
          <cell r="A541" t="str">
            <v>HEA500</v>
          </cell>
          <cell r="B541" t="str">
            <v>a=0.5 x t</v>
          </cell>
          <cell r="C541">
            <v>12</v>
          </cell>
          <cell r="D541">
            <v>23</v>
          </cell>
          <cell r="E541"/>
          <cell r="F541">
            <v>3</v>
          </cell>
          <cell r="G541">
            <v>6</v>
          </cell>
          <cell r="H541">
            <v>2.11</v>
          </cell>
          <cell r="I541">
            <v>1.3577863577863577E-2</v>
          </cell>
          <cell r="J541">
            <v>155.4</v>
          </cell>
          <cell r="K541">
            <v>10</v>
          </cell>
          <cell r="L541">
            <v>20</v>
          </cell>
          <cell r="M541">
            <v>30</v>
          </cell>
          <cell r="N541">
            <v>40</v>
          </cell>
          <cell r="O541">
            <v>90</v>
          </cell>
          <cell r="P541">
            <v>120</v>
          </cell>
        </row>
        <row r="542">
          <cell r="A542" t="str">
            <v>HEB500</v>
          </cell>
          <cell r="B542" t="str">
            <v>a=0.5 x t</v>
          </cell>
          <cell r="C542">
            <v>14.5</v>
          </cell>
          <cell r="D542">
            <v>28</v>
          </cell>
          <cell r="E542"/>
          <cell r="F542">
            <v>3</v>
          </cell>
          <cell r="G542">
            <v>16</v>
          </cell>
          <cell r="H542">
            <v>2.12</v>
          </cell>
          <cell r="I542">
            <v>1.1300639658848616E-2</v>
          </cell>
          <cell r="J542">
            <v>187.6</v>
          </cell>
          <cell r="K542">
            <v>10</v>
          </cell>
          <cell r="L542">
            <v>20</v>
          </cell>
          <cell r="M542">
            <v>30</v>
          </cell>
          <cell r="N542">
            <v>40</v>
          </cell>
          <cell r="O542">
            <v>90</v>
          </cell>
          <cell r="P542">
            <v>120</v>
          </cell>
        </row>
        <row r="543">
          <cell r="A543" t="str">
            <v>HEM500</v>
          </cell>
          <cell r="B543" t="str">
            <v>a=0.5 x t</v>
          </cell>
          <cell r="C543">
            <v>21</v>
          </cell>
          <cell r="D543">
            <v>40</v>
          </cell>
          <cell r="E543"/>
          <cell r="F543">
            <v>3</v>
          </cell>
          <cell r="G543">
            <v>15</v>
          </cell>
          <cell r="H543">
            <v>2.1800000000000002</v>
          </cell>
          <cell r="I543">
            <v>8.0740740740740755E-3</v>
          </cell>
          <cell r="J543">
            <v>270</v>
          </cell>
          <cell r="K543">
            <v>10</v>
          </cell>
          <cell r="L543">
            <v>20</v>
          </cell>
          <cell r="M543">
            <v>30</v>
          </cell>
          <cell r="N543">
            <v>40</v>
          </cell>
          <cell r="O543">
            <v>90</v>
          </cell>
          <cell r="P543">
            <v>120</v>
          </cell>
        </row>
        <row r="544">
          <cell r="A544" t="str">
            <v>HEAA550</v>
          </cell>
          <cell r="B544" t="str">
            <v>a=0.5 x t</v>
          </cell>
          <cell r="C544">
            <v>11.5</v>
          </cell>
          <cell r="D544">
            <v>15</v>
          </cell>
          <cell r="E544"/>
          <cell r="F544">
            <v>3</v>
          </cell>
          <cell r="G544"/>
          <cell r="H544">
            <v>2.1749999999999998</v>
          </cell>
          <cell r="I544">
            <v>1.8140116763969972E-2</v>
          </cell>
          <cell r="J544">
            <v>119.9</v>
          </cell>
          <cell r="K544">
            <v>10</v>
          </cell>
          <cell r="L544">
            <v>20</v>
          </cell>
          <cell r="M544">
            <v>30</v>
          </cell>
          <cell r="N544">
            <v>40</v>
          </cell>
          <cell r="O544">
            <v>90</v>
          </cell>
          <cell r="P544">
            <v>120</v>
          </cell>
        </row>
        <row r="545">
          <cell r="A545" t="str">
            <v>HEA550</v>
          </cell>
          <cell r="B545" t="str">
            <v>a=0.5 x t</v>
          </cell>
          <cell r="C545">
            <v>12.5</v>
          </cell>
          <cell r="D545">
            <v>24</v>
          </cell>
          <cell r="E545"/>
          <cell r="F545">
            <v>3</v>
          </cell>
          <cell r="G545">
            <v>6</v>
          </cell>
          <cell r="H545">
            <v>2.21</v>
          </cell>
          <cell r="I545">
            <v>1.328125E-2</v>
          </cell>
          <cell r="J545">
            <v>166.4</v>
          </cell>
          <cell r="K545">
            <v>10</v>
          </cell>
          <cell r="L545">
            <v>20</v>
          </cell>
          <cell r="M545">
            <v>30</v>
          </cell>
          <cell r="N545">
            <v>40</v>
          </cell>
          <cell r="O545">
            <v>90</v>
          </cell>
          <cell r="P545">
            <v>120</v>
          </cell>
        </row>
        <row r="546">
          <cell r="A546" t="str">
            <v>HEB550</v>
          </cell>
          <cell r="B546" t="str">
            <v>a=0.5 x t</v>
          </cell>
          <cell r="C546">
            <v>15</v>
          </cell>
          <cell r="D546">
            <v>29</v>
          </cell>
          <cell r="E546"/>
          <cell r="F546">
            <v>3</v>
          </cell>
          <cell r="G546">
            <v>16</v>
          </cell>
          <cell r="H546">
            <v>2.2200000000000002</v>
          </cell>
          <cell r="I546">
            <v>1.1133400200601806E-2</v>
          </cell>
          <cell r="J546">
            <v>199.4</v>
          </cell>
          <cell r="K546">
            <v>10</v>
          </cell>
          <cell r="L546">
            <v>20</v>
          </cell>
          <cell r="M546">
            <v>30</v>
          </cell>
          <cell r="N546">
            <v>40</v>
          </cell>
          <cell r="O546">
            <v>90</v>
          </cell>
          <cell r="P546">
            <v>120</v>
          </cell>
        </row>
        <row r="547">
          <cell r="A547" t="str">
            <v>HEM550</v>
          </cell>
          <cell r="B547" t="str">
            <v>a=0.5 x t</v>
          </cell>
          <cell r="C547">
            <v>21</v>
          </cell>
          <cell r="D547">
            <v>40</v>
          </cell>
          <cell r="E547"/>
          <cell r="F547">
            <v>3</v>
          </cell>
          <cell r="G547">
            <v>15</v>
          </cell>
          <cell r="H547">
            <v>2.2799999999999998</v>
          </cell>
          <cell r="I547">
            <v>8.204390068369918E-3</v>
          </cell>
          <cell r="J547">
            <v>277.89999999999998</v>
          </cell>
          <cell r="K547">
            <v>10</v>
          </cell>
          <cell r="L547">
            <v>20</v>
          </cell>
          <cell r="M547">
            <v>30</v>
          </cell>
          <cell r="N547">
            <v>40</v>
          </cell>
          <cell r="O547">
            <v>90</v>
          </cell>
          <cell r="P547">
            <v>120</v>
          </cell>
        </row>
        <row r="548">
          <cell r="A548" t="str">
            <v>HEAA600</v>
          </cell>
          <cell r="B548" t="str">
            <v>a=0.5 x t</v>
          </cell>
          <cell r="C548">
            <v>12</v>
          </cell>
          <cell r="D548">
            <v>15.5</v>
          </cell>
          <cell r="E548"/>
          <cell r="F548">
            <v>3</v>
          </cell>
          <cell r="G548"/>
          <cell r="H548">
            <v>2.2719999999999998</v>
          </cell>
          <cell r="I548">
            <v>1.7639751552795027E-2</v>
          </cell>
          <cell r="J548">
            <v>128.80000000000001</v>
          </cell>
          <cell r="K548">
            <v>10</v>
          </cell>
          <cell r="L548">
            <v>20</v>
          </cell>
          <cell r="M548">
            <v>30</v>
          </cell>
          <cell r="N548">
            <v>40</v>
          </cell>
          <cell r="O548">
            <v>90</v>
          </cell>
          <cell r="P548">
            <v>120</v>
          </cell>
        </row>
        <row r="549">
          <cell r="A549" t="str">
            <v>HEA600</v>
          </cell>
          <cell r="B549" t="str">
            <v>a=0.5 x t</v>
          </cell>
          <cell r="C549">
            <v>13</v>
          </cell>
          <cell r="D549">
            <v>25</v>
          </cell>
          <cell r="E549"/>
          <cell r="F549">
            <v>3</v>
          </cell>
          <cell r="G549">
            <v>10</v>
          </cell>
          <cell r="H549">
            <v>2.31</v>
          </cell>
          <cell r="I549">
            <v>1.302142051860203E-2</v>
          </cell>
          <cell r="J549">
            <v>177.4</v>
          </cell>
          <cell r="K549">
            <v>10</v>
          </cell>
          <cell r="L549">
            <v>20</v>
          </cell>
          <cell r="M549">
            <v>30</v>
          </cell>
          <cell r="N549">
            <v>40</v>
          </cell>
          <cell r="O549">
            <v>90</v>
          </cell>
          <cell r="P549">
            <v>120</v>
          </cell>
        </row>
        <row r="550">
          <cell r="A550" t="str">
            <v>HEB600</v>
          </cell>
          <cell r="B550" t="str">
            <v>a=0.5 x t</v>
          </cell>
          <cell r="C550">
            <v>15.5</v>
          </cell>
          <cell r="D550">
            <v>30</v>
          </cell>
          <cell r="E550"/>
          <cell r="F550">
            <v>3</v>
          </cell>
          <cell r="G550">
            <v>20</v>
          </cell>
          <cell r="H550">
            <v>2.3199999999999998</v>
          </cell>
          <cell r="I550">
            <v>1.0948560641812174E-2</v>
          </cell>
          <cell r="J550">
            <v>211.9</v>
          </cell>
          <cell r="K550">
            <v>10</v>
          </cell>
          <cell r="L550">
            <v>20</v>
          </cell>
          <cell r="M550">
            <v>30</v>
          </cell>
          <cell r="N550">
            <v>40</v>
          </cell>
          <cell r="O550">
            <v>90</v>
          </cell>
          <cell r="P550">
            <v>120</v>
          </cell>
        </row>
        <row r="551">
          <cell r="A551" t="str">
            <v>HEM600</v>
          </cell>
          <cell r="B551" t="str">
            <v>a=0.5 x t</v>
          </cell>
          <cell r="C551">
            <v>21</v>
          </cell>
          <cell r="D551">
            <v>40</v>
          </cell>
          <cell r="E551"/>
          <cell r="F551">
            <v>3</v>
          </cell>
          <cell r="G551">
            <v>15</v>
          </cell>
          <cell r="H551">
            <v>2.37</v>
          </cell>
          <cell r="I551">
            <v>8.2954147707385382E-3</v>
          </cell>
          <cell r="J551">
            <v>285.7</v>
          </cell>
          <cell r="K551">
            <v>10</v>
          </cell>
          <cell r="L551">
            <v>20</v>
          </cell>
          <cell r="M551">
            <v>30</v>
          </cell>
          <cell r="N551">
            <v>40</v>
          </cell>
          <cell r="O551">
            <v>90</v>
          </cell>
          <cell r="P551">
            <v>120</v>
          </cell>
        </row>
        <row r="552">
          <cell r="A552" t="str">
            <v>HE600x337</v>
          </cell>
          <cell r="B552" t="str">
            <v>a=0.5 x t</v>
          </cell>
          <cell r="C552">
            <v>25.5</v>
          </cell>
          <cell r="D552">
            <v>46</v>
          </cell>
          <cell r="E552"/>
          <cell r="F552">
            <v>3</v>
          </cell>
          <cell r="G552"/>
          <cell r="H552">
            <v>2.407</v>
          </cell>
          <cell r="I552">
            <v>7.1445532799050172E-3</v>
          </cell>
          <cell r="J552">
            <v>336.9</v>
          </cell>
          <cell r="K552">
            <v>10</v>
          </cell>
          <cell r="L552">
            <v>20</v>
          </cell>
          <cell r="M552">
            <v>30</v>
          </cell>
          <cell r="N552">
            <v>40</v>
          </cell>
          <cell r="O552">
            <v>90</v>
          </cell>
          <cell r="P552">
            <v>120</v>
          </cell>
        </row>
        <row r="553">
          <cell r="A553" t="str">
            <v>HE600x399</v>
          </cell>
          <cell r="B553" t="str">
            <v>a=0.5 x t</v>
          </cell>
          <cell r="C553">
            <v>30</v>
          </cell>
          <cell r="D553">
            <v>54</v>
          </cell>
          <cell r="E553"/>
          <cell r="F553">
            <v>3</v>
          </cell>
          <cell r="G553"/>
          <cell r="H553">
            <v>2.4500000000000002</v>
          </cell>
          <cell r="I553">
            <v>6.1372745490981973E-3</v>
          </cell>
          <cell r="J553">
            <v>399.2</v>
          </cell>
          <cell r="K553">
            <v>10</v>
          </cell>
          <cell r="L553">
            <v>20</v>
          </cell>
          <cell r="M553">
            <v>30</v>
          </cell>
          <cell r="N553">
            <v>40</v>
          </cell>
          <cell r="O553">
            <v>90</v>
          </cell>
          <cell r="P553">
            <v>120</v>
          </cell>
        </row>
        <row r="554">
          <cell r="A554" t="str">
            <v>HEAA650</v>
          </cell>
          <cell r="B554" t="str">
            <v>a=0.5 x t</v>
          </cell>
          <cell r="C554">
            <v>12.5</v>
          </cell>
          <cell r="D554">
            <v>16</v>
          </cell>
          <cell r="E554"/>
          <cell r="F554">
            <v>3</v>
          </cell>
          <cell r="G554"/>
          <cell r="H554">
            <v>2.3690000000000002</v>
          </cell>
          <cell r="I554">
            <v>1.7166666666666667E-2</v>
          </cell>
          <cell r="J554">
            <v>138</v>
          </cell>
          <cell r="K554">
            <v>10</v>
          </cell>
          <cell r="L554">
            <v>20</v>
          </cell>
          <cell r="M554">
            <v>30</v>
          </cell>
          <cell r="N554">
            <v>40</v>
          </cell>
          <cell r="O554">
            <v>90</v>
          </cell>
          <cell r="P554">
            <v>120</v>
          </cell>
        </row>
        <row r="555">
          <cell r="A555" t="str">
            <v>HEA650</v>
          </cell>
          <cell r="B555" t="str">
            <v>a=0.5 x t</v>
          </cell>
          <cell r="C555">
            <v>13.5</v>
          </cell>
          <cell r="D555">
            <v>26</v>
          </cell>
          <cell r="E555"/>
          <cell r="F555">
            <v>3</v>
          </cell>
          <cell r="G555">
            <v>10</v>
          </cell>
          <cell r="H555">
            <v>2.41</v>
          </cell>
          <cell r="I555">
            <v>1.2684210526315791E-2</v>
          </cell>
          <cell r="J555">
            <v>190</v>
          </cell>
          <cell r="K555">
            <v>10</v>
          </cell>
          <cell r="L555">
            <v>20</v>
          </cell>
          <cell r="M555">
            <v>30</v>
          </cell>
          <cell r="N555">
            <v>40</v>
          </cell>
          <cell r="O555">
            <v>90</v>
          </cell>
          <cell r="P555">
            <v>120</v>
          </cell>
        </row>
        <row r="556">
          <cell r="A556" t="str">
            <v>HEB650</v>
          </cell>
          <cell r="B556" t="str">
            <v>a=0.5 x t</v>
          </cell>
          <cell r="C556">
            <v>16</v>
          </cell>
          <cell r="D556">
            <v>31</v>
          </cell>
          <cell r="E556"/>
          <cell r="F556">
            <v>3</v>
          </cell>
          <cell r="G556">
            <v>20</v>
          </cell>
          <cell r="H556">
            <v>2.42</v>
          </cell>
          <cell r="I556">
            <v>1.0779510022271715E-2</v>
          </cell>
          <cell r="J556">
            <v>224.5</v>
          </cell>
          <cell r="K556">
            <v>10</v>
          </cell>
          <cell r="L556">
            <v>20</v>
          </cell>
          <cell r="M556">
            <v>30</v>
          </cell>
          <cell r="N556">
            <v>40</v>
          </cell>
          <cell r="O556">
            <v>90</v>
          </cell>
          <cell r="P556">
            <v>120</v>
          </cell>
        </row>
        <row r="557">
          <cell r="A557" t="str">
            <v>HEM650</v>
          </cell>
          <cell r="B557" t="str">
            <v>a=0.5 x t</v>
          </cell>
          <cell r="C557">
            <v>21</v>
          </cell>
          <cell r="D557">
            <v>40</v>
          </cell>
          <cell r="E557"/>
          <cell r="F557">
            <v>3</v>
          </cell>
          <cell r="G557">
            <v>15</v>
          </cell>
          <cell r="H557">
            <v>2.4700000000000002</v>
          </cell>
          <cell r="I557">
            <v>8.4128065395095361E-3</v>
          </cell>
          <cell r="J557">
            <v>293.60000000000002</v>
          </cell>
          <cell r="K557">
            <v>10</v>
          </cell>
          <cell r="L557">
            <v>20</v>
          </cell>
          <cell r="M557">
            <v>30</v>
          </cell>
          <cell r="N557">
            <v>40</v>
          </cell>
          <cell r="O557">
            <v>90</v>
          </cell>
          <cell r="P557">
            <v>120</v>
          </cell>
        </row>
        <row r="558">
          <cell r="A558" t="str">
            <v>HE650x343</v>
          </cell>
          <cell r="B558" t="str">
            <v>a=0.5 x t</v>
          </cell>
          <cell r="C558">
            <v>25</v>
          </cell>
          <cell r="D558">
            <v>46</v>
          </cell>
          <cell r="E558"/>
          <cell r="F558">
            <v>3</v>
          </cell>
          <cell r="G558"/>
          <cell r="H558">
            <v>2.5</v>
          </cell>
          <cell r="I558">
            <v>7.2801397786837509E-3</v>
          </cell>
          <cell r="J558">
            <v>343.4</v>
          </cell>
          <cell r="K558">
            <v>10</v>
          </cell>
          <cell r="L558">
            <v>20</v>
          </cell>
          <cell r="M558">
            <v>30</v>
          </cell>
          <cell r="N558">
            <v>40</v>
          </cell>
          <cell r="O558">
            <v>90</v>
          </cell>
          <cell r="P558">
            <v>120</v>
          </cell>
        </row>
        <row r="559">
          <cell r="A559" t="str">
            <v>HE650x407</v>
          </cell>
          <cell r="B559" t="str">
            <v>a=0.5 x t</v>
          </cell>
          <cell r="C559">
            <v>29.5</v>
          </cell>
          <cell r="D559">
            <v>54</v>
          </cell>
          <cell r="E559"/>
          <cell r="F559">
            <v>3</v>
          </cell>
          <cell r="G559"/>
          <cell r="H559">
            <v>2.5430000000000001</v>
          </cell>
          <cell r="I559">
            <v>6.2435551190768478E-3</v>
          </cell>
          <cell r="J559">
            <v>407.3</v>
          </cell>
          <cell r="K559">
            <v>10</v>
          </cell>
          <cell r="L559">
            <v>20</v>
          </cell>
          <cell r="M559">
            <v>30</v>
          </cell>
          <cell r="N559">
            <v>40</v>
          </cell>
          <cell r="O559">
            <v>90</v>
          </cell>
          <cell r="P559">
            <v>120</v>
          </cell>
        </row>
        <row r="560">
          <cell r="A560" t="str">
            <v>HEAA700</v>
          </cell>
          <cell r="B560" t="str">
            <v>a=0.5 x t</v>
          </cell>
          <cell r="C560">
            <v>13</v>
          </cell>
          <cell r="D560">
            <v>17</v>
          </cell>
          <cell r="E560"/>
          <cell r="F560">
            <v>3</v>
          </cell>
          <cell r="G560"/>
          <cell r="H560">
            <v>2.468</v>
          </cell>
          <cell r="I560">
            <v>1.6464309539693127E-2</v>
          </cell>
          <cell r="J560">
            <v>149.9</v>
          </cell>
          <cell r="K560">
            <v>10</v>
          </cell>
          <cell r="L560">
            <v>20</v>
          </cell>
          <cell r="M560">
            <v>30</v>
          </cell>
          <cell r="N560">
            <v>40</v>
          </cell>
          <cell r="O560">
            <v>90</v>
          </cell>
          <cell r="P560">
            <v>120</v>
          </cell>
        </row>
        <row r="561">
          <cell r="A561" t="str">
            <v>HEA700</v>
          </cell>
          <cell r="B561" t="str">
            <v>a=0.5 x t</v>
          </cell>
          <cell r="C561">
            <v>14.5</v>
          </cell>
          <cell r="D561">
            <v>27</v>
          </cell>
          <cell r="E561"/>
          <cell r="F561">
            <v>3</v>
          </cell>
          <cell r="G561">
            <v>10</v>
          </cell>
          <cell r="H561">
            <v>2.5</v>
          </cell>
          <cell r="I561">
            <v>1.2248897599216071E-2</v>
          </cell>
          <cell r="J561">
            <v>204.1</v>
          </cell>
          <cell r="K561">
            <v>10</v>
          </cell>
          <cell r="L561">
            <v>20</v>
          </cell>
          <cell r="M561">
            <v>30</v>
          </cell>
          <cell r="N561">
            <v>40</v>
          </cell>
          <cell r="O561">
            <v>90</v>
          </cell>
          <cell r="P561">
            <v>120</v>
          </cell>
        </row>
        <row r="562">
          <cell r="A562" t="str">
            <v>HEB700</v>
          </cell>
          <cell r="B562" t="str">
            <v>a=0.5 x t</v>
          </cell>
          <cell r="C562">
            <v>17</v>
          </cell>
          <cell r="D562">
            <v>32</v>
          </cell>
          <cell r="E562"/>
          <cell r="F562">
            <v>3</v>
          </cell>
          <cell r="G562">
            <v>20</v>
          </cell>
          <cell r="H562">
            <v>2.52</v>
          </cell>
          <cell r="I562">
            <v>1.0491257285595338E-2</v>
          </cell>
          <cell r="J562">
            <v>240.2</v>
          </cell>
          <cell r="K562">
            <v>10</v>
          </cell>
          <cell r="L562">
            <v>20</v>
          </cell>
          <cell r="M562">
            <v>30</v>
          </cell>
          <cell r="N562">
            <v>40</v>
          </cell>
          <cell r="O562">
            <v>90</v>
          </cell>
          <cell r="P562">
            <v>120</v>
          </cell>
        </row>
        <row r="563">
          <cell r="A563" t="str">
            <v>HEM700</v>
          </cell>
          <cell r="B563" t="str">
            <v>a=0.5 x t</v>
          </cell>
          <cell r="C563">
            <v>21</v>
          </cell>
          <cell r="D563">
            <v>40</v>
          </cell>
          <cell r="E563"/>
          <cell r="F563">
            <v>3</v>
          </cell>
          <cell r="G563">
            <v>15</v>
          </cell>
          <cell r="H563">
            <v>2.56</v>
          </cell>
          <cell r="I563">
            <v>8.5134685733288997E-3</v>
          </cell>
          <cell r="J563">
            <v>300.7</v>
          </cell>
          <cell r="K563">
            <v>10</v>
          </cell>
          <cell r="L563">
            <v>20</v>
          </cell>
          <cell r="M563">
            <v>30</v>
          </cell>
          <cell r="N563">
            <v>40</v>
          </cell>
          <cell r="O563">
            <v>90</v>
          </cell>
          <cell r="P563">
            <v>120</v>
          </cell>
        </row>
        <row r="564">
          <cell r="A564" t="str">
            <v>HE700x352</v>
          </cell>
          <cell r="B564" t="str">
            <v>a=0.5 x t</v>
          </cell>
          <cell r="C564">
            <v>25</v>
          </cell>
          <cell r="D564">
            <v>46</v>
          </cell>
          <cell r="E564"/>
          <cell r="F564">
            <v>3</v>
          </cell>
          <cell r="G564"/>
          <cell r="H564">
            <v>2.5920000000000001</v>
          </cell>
          <cell r="I564">
            <v>7.359454855195912E-3</v>
          </cell>
          <cell r="J564">
            <v>352.2</v>
          </cell>
          <cell r="K564">
            <v>10</v>
          </cell>
          <cell r="L564">
            <v>20</v>
          </cell>
          <cell r="M564">
            <v>30</v>
          </cell>
          <cell r="N564">
            <v>40</v>
          </cell>
          <cell r="O564">
            <v>90</v>
          </cell>
          <cell r="P564">
            <v>120</v>
          </cell>
        </row>
        <row r="565">
          <cell r="A565" t="str">
            <v>HE700x418</v>
          </cell>
          <cell r="B565" t="str">
            <v>a=0.5 x t</v>
          </cell>
          <cell r="C565">
            <v>29.5</v>
          </cell>
          <cell r="D565">
            <v>54</v>
          </cell>
          <cell r="E565"/>
          <cell r="F565">
            <v>3</v>
          </cell>
          <cell r="G565"/>
          <cell r="H565">
            <v>2.6349999999999998</v>
          </cell>
          <cell r="I565">
            <v>6.3113772455089812E-3</v>
          </cell>
          <cell r="J565">
            <v>417.5</v>
          </cell>
          <cell r="K565">
            <v>10</v>
          </cell>
          <cell r="L565">
            <v>20</v>
          </cell>
          <cell r="M565">
            <v>30</v>
          </cell>
          <cell r="N565">
            <v>40</v>
          </cell>
          <cell r="O565">
            <v>90</v>
          </cell>
          <cell r="P565">
            <v>120</v>
          </cell>
        </row>
        <row r="566">
          <cell r="A566" t="str">
            <v>HEAA800</v>
          </cell>
          <cell r="B566" t="str">
            <v>a=0.5 x t</v>
          </cell>
          <cell r="C566">
            <v>14</v>
          </cell>
          <cell r="D566">
            <v>18</v>
          </cell>
          <cell r="E566"/>
          <cell r="F566">
            <v>3</v>
          </cell>
          <cell r="G566">
            <v>10</v>
          </cell>
          <cell r="H566">
            <v>2.66</v>
          </cell>
          <cell r="I566">
            <v>1.5510204081632653E-2</v>
          </cell>
          <cell r="J566">
            <v>171.5</v>
          </cell>
          <cell r="K566">
            <v>10</v>
          </cell>
          <cell r="L566">
            <v>20</v>
          </cell>
          <cell r="M566">
            <v>30</v>
          </cell>
          <cell r="N566">
            <v>40</v>
          </cell>
          <cell r="O566">
            <v>90</v>
          </cell>
          <cell r="P566">
            <v>120</v>
          </cell>
        </row>
        <row r="567">
          <cell r="A567" t="str">
            <v>HEA800</v>
          </cell>
          <cell r="B567" t="str">
            <v>a=0.5 x t</v>
          </cell>
          <cell r="C567">
            <v>15</v>
          </cell>
          <cell r="D567">
            <v>28</v>
          </cell>
          <cell r="E567"/>
          <cell r="F567">
            <v>3</v>
          </cell>
          <cell r="G567">
            <v>10</v>
          </cell>
          <cell r="H567">
            <v>2.7</v>
          </cell>
          <cell r="I567">
            <v>1.2026726057906459E-2</v>
          </cell>
          <cell r="J567">
            <v>224.5</v>
          </cell>
          <cell r="K567">
            <v>10</v>
          </cell>
          <cell r="L567">
            <v>20</v>
          </cell>
          <cell r="M567">
            <v>30</v>
          </cell>
          <cell r="N567">
            <v>40</v>
          </cell>
          <cell r="O567">
            <v>90</v>
          </cell>
          <cell r="P567">
            <v>120</v>
          </cell>
        </row>
        <row r="568">
          <cell r="A568" t="str">
            <v>HEB800</v>
          </cell>
          <cell r="B568" t="str">
            <v>a=0.5 x t</v>
          </cell>
          <cell r="C568">
            <v>17.5</v>
          </cell>
          <cell r="D568">
            <v>33</v>
          </cell>
          <cell r="E568"/>
          <cell r="F568">
            <v>3</v>
          </cell>
          <cell r="G568">
            <v>20</v>
          </cell>
          <cell r="H568">
            <v>2.71</v>
          </cell>
          <cell r="I568">
            <v>1.0335621662852785E-2</v>
          </cell>
          <cell r="J568">
            <v>262.2</v>
          </cell>
          <cell r="K568">
            <v>10</v>
          </cell>
          <cell r="L568">
            <v>20</v>
          </cell>
          <cell r="M568">
            <v>30</v>
          </cell>
          <cell r="N568">
            <v>40</v>
          </cell>
          <cell r="O568">
            <v>90</v>
          </cell>
          <cell r="P568">
            <v>120</v>
          </cell>
        </row>
        <row r="569">
          <cell r="A569" t="str">
            <v>HEM800</v>
          </cell>
          <cell r="B569" t="str">
            <v>a=0.5 x t</v>
          </cell>
          <cell r="C569">
            <v>21</v>
          </cell>
          <cell r="D569">
            <v>40</v>
          </cell>
          <cell r="E569"/>
          <cell r="F569">
            <v>3</v>
          </cell>
          <cell r="G569">
            <v>15</v>
          </cell>
          <cell r="H569">
            <v>2.75</v>
          </cell>
          <cell r="I569">
            <v>8.6723431094292008E-3</v>
          </cell>
          <cell r="J569">
            <v>317.10000000000002</v>
          </cell>
          <cell r="K569">
            <v>10</v>
          </cell>
          <cell r="L569">
            <v>20</v>
          </cell>
          <cell r="M569">
            <v>30</v>
          </cell>
          <cell r="N569">
            <v>40</v>
          </cell>
          <cell r="O569">
            <v>90</v>
          </cell>
          <cell r="P569">
            <v>120</v>
          </cell>
        </row>
        <row r="570">
          <cell r="A570" t="str">
            <v>HE800x373</v>
          </cell>
          <cell r="B570" t="str">
            <v>a=0.5 x t</v>
          </cell>
          <cell r="C570">
            <v>25</v>
          </cell>
          <cell r="D570">
            <v>46</v>
          </cell>
          <cell r="E570"/>
          <cell r="F570">
            <v>3</v>
          </cell>
          <cell r="G570"/>
          <cell r="H570">
            <v>2.782</v>
          </cell>
          <cell r="I570">
            <v>7.466451959205582E-3</v>
          </cell>
          <cell r="J570">
            <v>372.6</v>
          </cell>
          <cell r="K570">
            <v>10</v>
          </cell>
          <cell r="L570">
            <v>20</v>
          </cell>
          <cell r="M570">
            <v>30</v>
          </cell>
          <cell r="N570">
            <v>40</v>
          </cell>
          <cell r="O570">
            <v>90</v>
          </cell>
          <cell r="P570">
            <v>120</v>
          </cell>
        </row>
        <row r="571">
          <cell r="A571" t="str">
            <v>HE800x444</v>
          </cell>
          <cell r="B571" t="str">
            <v>a=0.5 x t</v>
          </cell>
          <cell r="C571">
            <v>30</v>
          </cell>
          <cell r="D571">
            <v>54</v>
          </cell>
          <cell r="E571"/>
          <cell r="F571">
            <v>3</v>
          </cell>
          <cell r="G571"/>
          <cell r="H571">
            <v>2.8239999999999998</v>
          </cell>
          <cell r="I571">
            <v>6.3560657213594411E-3</v>
          </cell>
          <cell r="J571">
            <v>444.3</v>
          </cell>
          <cell r="K571">
            <v>10</v>
          </cell>
          <cell r="L571">
            <v>20</v>
          </cell>
          <cell r="M571">
            <v>30</v>
          </cell>
          <cell r="N571">
            <v>40</v>
          </cell>
          <cell r="O571">
            <v>90</v>
          </cell>
          <cell r="P571">
            <v>120</v>
          </cell>
        </row>
        <row r="572">
          <cell r="A572" t="str">
            <v>HE900AA</v>
          </cell>
          <cell r="B572" t="str">
            <v>a=0.5 x t</v>
          </cell>
          <cell r="C572">
            <v>15</v>
          </cell>
          <cell r="D572">
            <v>20</v>
          </cell>
          <cell r="E572"/>
          <cell r="F572">
            <v>3</v>
          </cell>
          <cell r="G572"/>
          <cell r="H572">
            <v>2.8580000000000001</v>
          </cell>
          <cell r="I572">
            <v>1.4434343434343435E-2</v>
          </cell>
          <cell r="J572">
            <v>198</v>
          </cell>
          <cell r="K572">
            <v>10</v>
          </cell>
          <cell r="L572">
            <v>20</v>
          </cell>
          <cell r="M572">
            <v>30</v>
          </cell>
          <cell r="N572">
            <v>40</v>
          </cell>
          <cell r="O572">
            <v>90</v>
          </cell>
          <cell r="P572">
            <v>120</v>
          </cell>
        </row>
        <row r="573">
          <cell r="A573" t="str">
            <v>HEAA900</v>
          </cell>
          <cell r="B573" t="str">
            <v>a=0.5 x t</v>
          </cell>
          <cell r="C573">
            <v>15</v>
          </cell>
          <cell r="D573">
            <v>20</v>
          </cell>
          <cell r="E573"/>
          <cell r="F573">
            <v>3</v>
          </cell>
          <cell r="G573"/>
          <cell r="H573">
            <v>2.8580000000000001</v>
          </cell>
          <cell r="I573">
            <v>1.4434343434343435E-2</v>
          </cell>
          <cell r="J573">
            <v>198</v>
          </cell>
          <cell r="K573">
            <v>10</v>
          </cell>
          <cell r="L573">
            <v>20</v>
          </cell>
          <cell r="M573">
            <v>30</v>
          </cell>
          <cell r="N573">
            <v>40</v>
          </cell>
          <cell r="O573">
            <v>90</v>
          </cell>
          <cell r="P573">
            <v>120</v>
          </cell>
        </row>
        <row r="574">
          <cell r="A574" t="str">
            <v>HEA900</v>
          </cell>
          <cell r="B574" t="str">
            <v>a=0.5 x t</v>
          </cell>
          <cell r="C574">
            <v>16</v>
          </cell>
          <cell r="D574">
            <v>30</v>
          </cell>
          <cell r="E574"/>
          <cell r="F574">
            <v>3</v>
          </cell>
          <cell r="G574">
            <v>10</v>
          </cell>
          <cell r="H574">
            <v>2.9</v>
          </cell>
          <cell r="I574">
            <v>1.1507936507936507E-2</v>
          </cell>
          <cell r="J574">
            <v>252</v>
          </cell>
          <cell r="K574">
            <v>10</v>
          </cell>
          <cell r="L574">
            <v>20</v>
          </cell>
          <cell r="M574">
            <v>30</v>
          </cell>
          <cell r="N574">
            <v>40</v>
          </cell>
          <cell r="O574">
            <v>90</v>
          </cell>
          <cell r="P574">
            <v>120</v>
          </cell>
        </row>
        <row r="575">
          <cell r="A575" t="str">
            <v>HEB900</v>
          </cell>
          <cell r="B575" t="str">
            <v>a=0.5 x t</v>
          </cell>
          <cell r="C575">
            <v>18.5</v>
          </cell>
          <cell r="D575">
            <v>35</v>
          </cell>
          <cell r="E575"/>
          <cell r="F575">
            <v>3</v>
          </cell>
          <cell r="G575">
            <v>25</v>
          </cell>
          <cell r="H575">
            <v>2.91</v>
          </cell>
          <cell r="I575">
            <v>9.9931318681318691E-3</v>
          </cell>
          <cell r="J575">
            <v>291.2</v>
          </cell>
          <cell r="K575">
            <v>10</v>
          </cell>
          <cell r="L575">
            <v>20</v>
          </cell>
          <cell r="M575">
            <v>30</v>
          </cell>
          <cell r="N575">
            <v>40</v>
          </cell>
          <cell r="O575">
            <v>90</v>
          </cell>
          <cell r="P575">
            <v>120</v>
          </cell>
        </row>
        <row r="576">
          <cell r="A576" t="str">
            <v>HEM900</v>
          </cell>
          <cell r="B576" t="str">
            <v>a=0.5 x t</v>
          </cell>
          <cell r="C576">
            <v>21</v>
          </cell>
          <cell r="D576">
            <v>40</v>
          </cell>
          <cell r="E576"/>
          <cell r="F576">
            <v>3</v>
          </cell>
          <cell r="G576">
            <v>15</v>
          </cell>
          <cell r="H576">
            <v>2.93</v>
          </cell>
          <cell r="I576">
            <v>8.8040865384615384E-3</v>
          </cell>
          <cell r="J576">
            <v>332.8</v>
          </cell>
          <cell r="K576">
            <v>10</v>
          </cell>
          <cell r="L576">
            <v>20</v>
          </cell>
          <cell r="M576">
            <v>30</v>
          </cell>
          <cell r="N576">
            <v>40</v>
          </cell>
          <cell r="O576">
            <v>90</v>
          </cell>
          <cell r="P576">
            <v>120</v>
          </cell>
        </row>
        <row r="577">
          <cell r="A577" t="str">
            <v>HE900x391</v>
          </cell>
          <cell r="B577" t="str">
            <v>a=0.5 x t</v>
          </cell>
          <cell r="C577">
            <v>25</v>
          </cell>
          <cell r="D577">
            <v>46</v>
          </cell>
          <cell r="E577"/>
          <cell r="F577">
            <v>3</v>
          </cell>
          <cell r="G577"/>
          <cell r="H577">
            <v>2.97</v>
          </cell>
          <cell r="I577">
            <v>7.6017404658305617E-3</v>
          </cell>
          <cell r="J577">
            <v>390.7</v>
          </cell>
          <cell r="K577">
            <v>10</v>
          </cell>
          <cell r="L577">
            <v>20</v>
          </cell>
          <cell r="M577">
            <v>30</v>
          </cell>
          <cell r="N577">
            <v>40</v>
          </cell>
          <cell r="O577">
            <v>90</v>
          </cell>
          <cell r="P577">
            <v>120</v>
          </cell>
        </row>
        <row r="578">
          <cell r="A578" t="str">
            <v>HE900x466</v>
          </cell>
          <cell r="B578" t="str">
            <v>a=0.5 x t</v>
          </cell>
          <cell r="C578">
            <v>30</v>
          </cell>
          <cell r="D578">
            <v>54</v>
          </cell>
          <cell r="E578"/>
          <cell r="F578">
            <v>3</v>
          </cell>
          <cell r="G578"/>
          <cell r="H578">
            <v>3.012</v>
          </cell>
          <cell r="I578">
            <v>6.4621325895730525E-3</v>
          </cell>
          <cell r="J578">
            <v>466.1</v>
          </cell>
          <cell r="K578">
            <v>10</v>
          </cell>
          <cell r="L578">
            <v>20</v>
          </cell>
          <cell r="M578">
            <v>30</v>
          </cell>
          <cell r="N578">
            <v>40</v>
          </cell>
          <cell r="O578">
            <v>90</v>
          </cell>
          <cell r="P578">
            <v>120</v>
          </cell>
        </row>
        <row r="579">
          <cell r="A579" t="str">
            <v>HE1000AA</v>
          </cell>
          <cell r="B579" t="str">
            <v>a=0.5 x t</v>
          </cell>
          <cell r="C579">
            <v>16</v>
          </cell>
          <cell r="D579">
            <v>21</v>
          </cell>
          <cell r="E579"/>
          <cell r="F579">
            <v>3</v>
          </cell>
          <cell r="G579"/>
          <cell r="H579">
            <v>3.056</v>
          </cell>
          <cell r="I579">
            <v>1.379683972911964E-2</v>
          </cell>
          <cell r="J579">
            <v>221.5</v>
          </cell>
          <cell r="K579">
            <v>10</v>
          </cell>
          <cell r="L579">
            <v>20</v>
          </cell>
          <cell r="M579">
            <v>30</v>
          </cell>
          <cell r="N579">
            <v>40</v>
          </cell>
          <cell r="O579">
            <v>90</v>
          </cell>
          <cell r="P579">
            <v>120</v>
          </cell>
        </row>
        <row r="580">
          <cell r="A580" t="str">
            <v>HEAA1000</v>
          </cell>
          <cell r="B580" t="str">
            <v>a=0.5 x t</v>
          </cell>
          <cell r="C580">
            <v>16</v>
          </cell>
          <cell r="D580">
            <v>21</v>
          </cell>
          <cell r="E580"/>
          <cell r="F580">
            <v>3</v>
          </cell>
          <cell r="G580"/>
          <cell r="H580">
            <v>3.056</v>
          </cell>
          <cell r="I580">
            <v>1.379683972911964E-2</v>
          </cell>
          <cell r="J580">
            <v>221.5</v>
          </cell>
          <cell r="K580">
            <v>10</v>
          </cell>
          <cell r="L580">
            <v>20</v>
          </cell>
          <cell r="M580">
            <v>30</v>
          </cell>
          <cell r="N580">
            <v>40</v>
          </cell>
          <cell r="O580">
            <v>90</v>
          </cell>
          <cell r="P580">
            <v>120</v>
          </cell>
        </row>
        <row r="581">
          <cell r="A581" t="str">
            <v>HEA1000</v>
          </cell>
          <cell r="B581" t="str">
            <v>a=0.5 x t</v>
          </cell>
          <cell r="C581">
            <v>16.5</v>
          </cell>
          <cell r="D581">
            <v>31</v>
          </cell>
          <cell r="E581"/>
          <cell r="F581">
            <v>3</v>
          </cell>
          <cell r="G581">
            <v>10</v>
          </cell>
          <cell r="H581">
            <v>3.1</v>
          </cell>
          <cell r="I581">
            <v>1.1380323054331867E-2</v>
          </cell>
          <cell r="J581">
            <v>272.39999999999998</v>
          </cell>
          <cell r="K581">
            <v>10</v>
          </cell>
          <cell r="L581">
            <v>20</v>
          </cell>
          <cell r="M581">
            <v>30</v>
          </cell>
          <cell r="N581">
            <v>40</v>
          </cell>
          <cell r="O581">
            <v>90</v>
          </cell>
          <cell r="P581">
            <v>120</v>
          </cell>
        </row>
        <row r="582">
          <cell r="A582" t="str">
            <v>HEB1000</v>
          </cell>
          <cell r="B582" t="str">
            <v>a=0.5 x t</v>
          </cell>
          <cell r="C582">
            <v>19</v>
          </cell>
          <cell r="D582">
            <v>36</v>
          </cell>
          <cell r="E582"/>
          <cell r="F582">
            <v>3</v>
          </cell>
          <cell r="G582">
            <v>25</v>
          </cell>
          <cell r="H582">
            <v>3.11</v>
          </cell>
          <cell r="I582">
            <v>9.9044585987261135E-3</v>
          </cell>
          <cell r="J582">
            <v>314</v>
          </cell>
          <cell r="K582">
            <v>10</v>
          </cell>
          <cell r="L582">
            <v>20</v>
          </cell>
          <cell r="M582">
            <v>30</v>
          </cell>
          <cell r="N582">
            <v>40</v>
          </cell>
          <cell r="O582">
            <v>90</v>
          </cell>
          <cell r="P582">
            <v>120</v>
          </cell>
        </row>
        <row r="583">
          <cell r="A583" t="str">
            <v>HEM1000</v>
          </cell>
          <cell r="B583" t="str">
            <v>a=0.5 x t</v>
          </cell>
          <cell r="C583">
            <v>21</v>
          </cell>
          <cell r="D583">
            <v>40</v>
          </cell>
          <cell r="E583"/>
          <cell r="F583">
            <v>3</v>
          </cell>
          <cell r="G583">
            <v>15</v>
          </cell>
          <cell r="H583">
            <v>3.13</v>
          </cell>
          <cell r="I583">
            <v>8.9813486370157822E-3</v>
          </cell>
          <cell r="J583">
            <v>348.5</v>
          </cell>
          <cell r="K583">
            <v>10</v>
          </cell>
          <cell r="L583">
            <v>20</v>
          </cell>
          <cell r="M583">
            <v>30</v>
          </cell>
          <cell r="N583">
            <v>40</v>
          </cell>
          <cell r="O583">
            <v>90</v>
          </cell>
          <cell r="P583">
            <v>120</v>
          </cell>
        </row>
        <row r="584">
          <cell r="A584" t="str">
            <v>HE1000x249</v>
          </cell>
          <cell r="B584" t="str">
            <v>a=0.5 x t</v>
          </cell>
          <cell r="C584">
            <v>16.5</v>
          </cell>
          <cell r="D584">
            <v>26</v>
          </cell>
          <cell r="E584"/>
          <cell r="F584">
            <v>3</v>
          </cell>
          <cell r="G584"/>
          <cell r="H584">
            <v>3.08</v>
          </cell>
          <cell r="I584">
            <v>1.2384398874145558E-2</v>
          </cell>
          <cell r="J584">
            <v>248.7</v>
          </cell>
          <cell r="K584">
            <v>10</v>
          </cell>
          <cell r="L584">
            <v>20</v>
          </cell>
          <cell r="M584">
            <v>30</v>
          </cell>
          <cell r="N584">
            <v>40</v>
          </cell>
          <cell r="O584">
            <v>90</v>
          </cell>
          <cell r="P584">
            <v>120</v>
          </cell>
        </row>
        <row r="585">
          <cell r="A585" t="str">
            <v>HE1000x393</v>
          </cell>
          <cell r="B585" t="str">
            <v>a=0.5 x t</v>
          </cell>
          <cell r="C585">
            <v>24.4</v>
          </cell>
          <cell r="D585">
            <v>43.9</v>
          </cell>
          <cell r="E585"/>
          <cell r="F585">
            <v>3</v>
          </cell>
          <cell r="G585"/>
          <cell r="H585">
            <v>3.1440000000000001</v>
          </cell>
          <cell r="I585">
            <v>8.0061115355233008E-3</v>
          </cell>
          <cell r="J585">
            <v>392.7</v>
          </cell>
          <cell r="K585">
            <v>10</v>
          </cell>
          <cell r="L585">
            <v>20</v>
          </cell>
          <cell r="M585">
            <v>30</v>
          </cell>
          <cell r="N585">
            <v>40</v>
          </cell>
          <cell r="O585">
            <v>90</v>
          </cell>
          <cell r="P585">
            <v>120</v>
          </cell>
        </row>
        <row r="586">
          <cell r="A586" t="str">
            <v>HE1000x415</v>
          </cell>
          <cell r="B586" t="str">
            <v>a=0.5 x t</v>
          </cell>
          <cell r="C586">
            <v>26</v>
          </cell>
          <cell r="D586">
            <v>46</v>
          </cell>
          <cell r="E586"/>
          <cell r="F586">
            <v>3</v>
          </cell>
          <cell r="G586"/>
          <cell r="H586">
            <v>3.15</v>
          </cell>
          <cell r="I586">
            <v>7.5903614457831321E-3</v>
          </cell>
          <cell r="J586">
            <v>415</v>
          </cell>
          <cell r="K586">
            <v>10</v>
          </cell>
          <cell r="L586">
            <v>20</v>
          </cell>
          <cell r="M586">
            <v>30</v>
          </cell>
          <cell r="N586">
            <v>40</v>
          </cell>
          <cell r="O586">
            <v>90</v>
          </cell>
          <cell r="P586">
            <v>120</v>
          </cell>
        </row>
        <row r="587">
          <cell r="A587" t="str">
            <v>HE1000x438</v>
          </cell>
          <cell r="B587" t="str">
            <v>a=0.5 x t</v>
          </cell>
          <cell r="C587">
            <v>26.9</v>
          </cell>
          <cell r="D587">
            <v>49</v>
          </cell>
          <cell r="E587"/>
          <cell r="F587">
            <v>3</v>
          </cell>
          <cell r="G587"/>
          <cell r="H587">
            <v>3.17</v>
          </cell>
          <cell r="I587">
            <v>7.2623138602520045E-3</v>
          </cell>
          <cell r="J587">
            <v>436.5</v>
          </cell>
          <cell r="K587">
            <v>10</v>
          </cell>
          <cell r="L587">
            <v>20</v>
          </cell>
          <cell r="M587">
            <v>30</v>
          </cell>
          <cell r="N587">
            <v>40</v>
          </cell>
          <cell r="O587">
            <v>90</v>
          </cell>
          <cell r="P587">
            <v>120</v>
          </cell>
        </row>
        <row r="588">
          <cell r="A588" t="str">
            <v>HE1000x494</v>
          </cell>
          <cell r="B588" t="str">
            <v>a=0.5 x t</v>
          </cell>
          <cell r="C588">
            <v>31</v>
          </cell>
          <cell r="D588">
            <v>54</v>
          </cell>
          <cell r="E588"/>
          <cell r="F588">
            <v>3</v>
          </cell>
          <cell r="G588"/>
          <cell r="H588">
            <v>3.19</v>
          </cell>
          <cell r="I588">
            <v>6.4601053057918179E-3</v>
          </cell>
          <cell r="J588">
            <v>493.8</v>
          </cell>
          <cell r="K588">
            <v>10</v>
          </cell>
          <cell r="L588">
            <v>20</v>
          </cell>
          <cell r="M588">
            <v>30</v>
          </cell>
          <cell r="N588">
            <v>40</v>
          </cell>
          <cell r="O588">
            <v>90</v>
          </cell>
          <cell r="P588">
            <v>120</v>
          </cell>
        </row>
        <row r="589">
          <cell r="A589" t="str">
            <v>HE1000x584</v>
          </cell>
          <cell r="B589" t="str">
            <v>a=0.5 x t</v>
          </cell>
          <cell r="C589">
            <v>36</v>
          </cell>
          <cell r="D589">
            <v>64</v>
          </cell>
          <cell r="E589"/>
          <cell r="F589">
            <v>3</v>
          </cell>
          <cell r="G589"/>
          <cell r="H589">
            <v>3.24</v>
          </cell>
          <cell r="I589">
            <v>5.549845837615623E-3</v>
          </cell>
          <cell r="J589">
            <v>583.79999999999995</v>
          </cell>
          <cell r="K589">
            <v>10</v>
          </cell>
          <cell r="L589">
            <v>20</v>
          </cell>
          <cell r="M589">
            <v>30</v>
          </cell>
          <cell r="N589">
            <v>40</v>
          </cell>
          <cell r="O589">
            <v>90</v>
          </cell>
          <cell r="P589">
            <v>120</v>
          </cell>
        </row>
        <row r="590">
          <cell r="A590" t="str">
            <v>HFCHS21.3x2.6</v>
          </cell>
          <cell r="B590" t="str">
            <v>a=1.0 x t</v>
          </cell>
          <cell r="C590">
            <v>2.6</v>
          </cell>
          <cell r="D590"/>
          <cell r="E590"/>
          <cell r="F590">
            <v>1</v>
          </cell>
          <cell r="G590">
            <v>1</v>
          </cell>
          <cell r="H590">
            <v>6.7000000000000004E-2</v>
          </cell>
          <cell r="I590">
            <v>5.5833333333333339E-2</v>
          </cell>
          <cell r="J590">
            <v>1.2</v>
          </cell>
          <cell r="K590">
            <v>2</v>
          </cell>
          <cell r="L590">
            <v>5</v>
          </cell>
          <cell r="M590">
            <v>10</v>
          </cell>
          <cell r="N590">
            <v>20</v>
          </cell>
          <cell r="O590">
            <v>30</v>
          </cell>
          <cell r="P590">
            <v>60</v>
          </cell>
        </row>
        <row r="591">
          <cell r="A591" t="str">
            <v>HFCHS21.3x2.9</v>
          </cell>
          <cell r="B591" t="str">
            <v>a=1.0 x t</v>
          </cell>
          <cell r="C591">
            <v>2.9</v>
          </cell>
          <cell r="D591"/>
          <cell r="E591"/>
          <cell r="F591">
            <v>1</v>
          </cell>
          <cell r="G591">
            <v>1</v>
          </cell>
          <cell r="H591">
            <v>6.7000000000000004E-2</v>
          </cell>
          <cell r="I591">
            <v>5.153846153846154E-2</v>
          </cell>
          <cell r="J591">
            <v>1.3</v>
          </cell>
          <cell r="K591">
            <v>2</v>
          </cell>
          <cell r="L591">
            <v>5</v>
          </cell>
          <cell r="M591">
            <v>10</v>
          </cell>
          <cell r="N591">
            <v>20</v>
          </cell>
          <cell r="O591">
            <v>30</v>
          </cell>
          <cell r="P591">
            <v>60</v>
          </cell>
        </row>
        <row r="592">
          <cell r="A592" t="str">
            <v>HFCHS21.3x3.2</v>
          </cell>
          <cell r="B592" t="str">
            <v>a=1.0 x t</v>
          </cell>
          <cell r="C592">
            <v>3.2</v>
          </cell>
          <cell r="D592"/>
          <cell r="E592"/>
          <cell r="F592">
            <v>1</v>
          </cell>
          <cell r="G592">
            <v>1</v>
          </cell>
          <cell r="H592">
            <v>6.7000000000000004E-2</v>
          </cell>
          <cell r="I592">
            <v>4.7857142857142862E-2</v>
          </cell>
          <cell r="J592">
            <v>1.4</v>
          </cell>
          <cell r="K592">
            <v>2</v>
          </cell>
          <cell r="L592">
            <v>5</v>
          </cell>
          <cell r="M592">
            <v>10</v>
          </cell>
          <cell r="N592">
            <v>20</v>
          </cell>
          <cell r="O592">
            <v>30</v>
          </cell>
          <cell r="P592">
            <v>60</v>
          </cell>
        </row>
        <row r="593">
          <cell r="A593" t="str">
            <v>HFCHS26.9x2.6</v>
          </cell>
          <cell r="B593" t="str">
            <v>a=1.0 x t</v>
          </cell>
          <cell r="C593">
            <v>2.6</v>
          </cell>
          <cell r="D593"/>
          <cell r="E593"/>
          <cell r="F593">
            <v>1</v>
          </cell>
          <cell r="G593">
            <v>1</v>
          </cell>
          <cell r="H593">
            <v>8.5000000000000006E-2</v>
          </cell>
          <cell r="I593">
            <v>5.3124999999999999E-2</v>
          </cell>
          <cell r="J593">
            <v>1.6</v>
          </cell>
          <cell r="K593">
            <v>2</v>
          </cell>
          <cell r="L593">
            <v>5</v>
          </cell>
          <cell r="M593">
            <v>10</v>
          </cell>
          <cell r="N593">
            <v>20</v>
          </cell>
          <cell r="O593">
            <v>30</v>
          </cell>
          <cell r="P593">
            <v>60</v>
          </cell>
        </row>
        <row r="594">
          <cell r="A594" t="str">
            <v>HFCHS26.9x2.9</v>
          </cell>
          <cell r="B594" t="str">
            <v>a=1.0 x t</v>
          </cell>
          <cell r="C594">
            <v>2.9</v>
          </cell>
          <cell r="D594"/>
          <cell r="E594"/>
          <cell r="F594">
            <v>1</v>
          </cell>
          <cell r="G594">
            <v>1</v>
          </cell>
          <cell r="H594">
            <v>8.5000000000000006E-2</v>
          </cell>
          <cell r="I594">
            <v>0.05</v>
          </cell>
          <cell r="J594">
            <v>1.7</v>
          </cell>
          <cell r="K594">
            <v>2</v>
          </cell>
          <cell r="L594">
            <v>5</v>
          </cell>
          <cell r="M594">
            <v>10</v>
          </cell>
          <cell r="N594">
            <v>20</v>
          </cell>
          <cell r="O594">
            <v>30</v>
          </cell>
          <cell r="P594">
            <v>60</v>
          </cell>
        </row>
        <row r="595">
          <cell r="A595" t="str">
            <v>HFCHS26.9x3.2</v>
          </cell>
          <cell r="B595" t="str">
            <v>a=1.0 x t</v>
          </cell>
          <cell r="C595">
            <v>3.2</v>
          </cell>
          <cell r="D595"/>
          <cell r="E595"/>
          <cell r="F595">
            <v>1</v>
          </cell>
          <cell r="G595">
            <v>1</v>
          </cell>
          <cell r="H595">
            <v>8.5000000000000006E-2</v>
          </cell>
          <cell r="I595">
            <v>4.4736842105263165E-2</v>
          </cell>
          <cell r="J595">
            <v>1.9</v>
          </cell>
          <cell r="K595">
            <v>2</v>
          </cell>
          <cell r="L595">
            <v>5</v>
          </cell>
          <cell r="M595">
            <v>10</v>
          </cell>
          <cell r="N595">
            <v>20</v>
          </cell>
          <cell r="O595">
            <v>30</v>
          </cell>
          <cell r="P595">
            <v>60</v>
          </cell>
        </row>
        <row r="596">
          <cell r="A596" t="str">
            <v>HFCHS26.9x3.6</v>
          </cell>
          <cell r="B596" t="str">
            <v>a=1.0 x t</v>
          </cell>
          <cell r="C596">
            <v>3.6</v>
          </cell>
          <cell r="D596"/>
          <cell r="E596"/>
          <cell r="F596">
            <v>1</v>
          </cell>
          <cell r="G596">
            <v>1</v>
          </cell>
          <cell r="H596">
            <v>8.5000000000000006E-2</v>
          </cell>
          <cell r="I596">
            <v>4.0476190476190478E-2</v>
          </cell>
          <cell r="J596">
            <v>2.1</v>
          </cell>
          <cell r="K596">
            <v>2</v>
          </cell>
          <cell r="L596">
            <v>5</v>
          </cell>
          <cell r="M596">
            <v>10</v>
          </cell>
          <cell r="N596">
            <v>20</v>
          </cell>
          <cell r="O596">
            <v>30</v>
          </cell>
          <cell r="P596">
            <v>60</v>
          </cell>
        </row>
        <row r="597">
          <cell r="A597" t="str">
            <v>HFCHS33.7x2.6</v>
          </cell>
          <cell r="B597" t="str">
            <v>a=1.0 x t</v>
          </cell>
          <cell r="C597">
            <v>2.6</v>
          </cell>
          <cell r="D597"/>
          <cell r="E597"/>
          <cell r="F597">
            <v>1</v>
          </cell>
          <cell r="G597">
            <v>1</v>
          </cell>
          <cell r="H597">
            <v>0.106</v>
          </cell>
          <cell r="I597">
            <v>5.2999999999999999E-2</v>
          </cell>
          <cell r="J597">
            <v>2</v>
          </cell>
          <cell r="K597">
            <v>2</v>
          </cell>
          <cell r="L597">
            <v>5</v>
          </cell>
          <cell r="M597">
            <v>10</v>
          </cell>
          <cell r="N597">
            <v>20</v>
          </cell>
          <cell r="O597">
            <v>30</v>
          </cell>
          <cell r="P597">
            <v>60</v>
          </cell>
        </row>
        <row r="598">
          <cell r="A598" t="str">
            <v>HFCHS33.7x2.9</v>
          </cell>
          <cell r="B598" t="str">
            <v>a=1.0 x t</v>
          </cell>
          <cell r="C598">
            <v>2.9</v>
          </cell>
          <cell r="D598"/>
          <cell r="E598"/>
          <cell r="F598">
            <v>1</v>
          </cell>
          <cell r="G598">
            <v>1</v>
          </cell>
          <cell r="H598">
            <v>0.106</v>
          </cell>
          <cell r="I598">
            <v>4.818181818181818E-2</v>
          </cell>
          <cell r="J598">
            <v>2.2000000000000002</v>
          </cell>
          <cell r="K598">
            <v>2</v>
          </cell>
          <cell r="L598">
            <v>5</v>
          </cell>
          <cell r="M598">
            <v>10</v>
          </cell>
          <cell r="N598">
            <v>20</v>
          </cell>
          <cell r="O598">
            <v>30</v>
          </cell>
          <cell r="P598">
            <v>60</v>
          </cell>
        </row>
        <row r="599">
          <cell r="A599" t="str">
            <v>HFCHS33.7x3.2</v>
          </cell>
          <cell r="B599" t="str">
            <v>a=1.0 x t</v>
          </cell>
          <cell r="C599">
            <v>3.2</v>
          </cell>
          <cell r="D599"/>
          <cell r="E599"/>
          <cell r="F599">
            <v>1</v>
          </cell>
          <cell r="G599">
            <v>1</v>
          </cell>
          <cell r="H599">
            <v>0.106</v>
          </cell>
          <cell r="I599">
            <v>4.4166666666666667E-2</v>
          </cell>
          <cell r="J599">
            <v>2.4</v>
          </cell>
          <cell r="K599">
            <v>2</v>
          </cell>
          <cell r="L599">
            <v>5</v>
          </cell>
          <cell r="M599">
            <v>10</v>
          </cell>
          <cell r="N599">
            <v>20</v>
          </cell>
          <cell r="O599">
            <v>30</v>
          </cell>
          <cell r="P599">
            <v>60</v>
          </cell>
        </row>
        <row r="600">
          <cell r="A600" t="str">
            <v>HFCHS33.7x3.6</v>
          </cell>
          <cell r="B600" t="str">
            <v>a=1.0 x t</v>
          </cell>
          <cell r="C600">
            <v>3.6</v>
          </cell>
          <cell r="D600"/>
          <cell r="E600"/>
          <cell r="F600">
            <v>1</v>
          </cell>
          <cell r="G600">
            <v>1</v>
          </cell>
          <cell r="H600">
            <v>0.106</v>
          </cell>
          <cell r="I600">
            <v>3.9259259259259258E-2</v>
          </cell>
          <cell r="J600">
            <v>2.7</v>
          </cell>
          <cell r="K600">
            <v>2</v>
          </cell>
          <cell r="L600">
            <v>5</v>
          </cell>
          <cell r="M600">
            <v>10</v>
          </cell>
          <cell r="N600">
            <v>20</v>
          </cell>
          <cell r="O600">
            <v>30</v>
          </cell>
          <cell r="P600">
            <v>60</v>
          </cell>
        </row>
        <row r="601">
          <cell r="A601" t="str">
            <v>HFCHS33.7x4</v>
          </cell>
          <cell r="B601" t="str">
            <v>a=1.0 x t</v>
          </cell>
          <cell r="C601">
            <v>4</v>
          </cell>
          <cell r="D601"/>
          <cell r="E601"/>
          <cell r="F601">
            <v>1</v>
          </cell>
          <cell r="G601">
            <v>1</v>
          </cell>
          <cell r="H601">
            <v>0.106</v>
          </cell>
          <cell r="I601">
            <v>3.6551724137931035E-2</v>
          </cell>
          <cell r="J601">
            <v>2.9</v>
          </cell>
          <cell r="K601">
            <v>2</v>
          </cell>
          <cell r="L601">
            <v>5</v>
          </cell>
          <cell r="M601">
            <v>10</v>
          </cell>
          <cell r="N601">
            <v>20</v>
          </cell>
          <cell r="O601">
            <v>30</v>
          </cell>
          <cell r="P601">
            <v>60</v>
          </cell>
        </row>
        <row r="602">
          <cell r="A602" t="str">
            <v>HFCHS33.7x4.5</v>
          </cell>
          <cell r="B602" t="str">
            <v>a=1.0 x t</v>
          </cell>
          <cell r="C602">
            <v>4.5</v>
          </cell>
          <cell r="D602"/>
          <cell r="E602"/>
          <cell r="F602">
            <v>1</v>
          </cell>
          <cell r="G602">
            <v>1</v>
          </cell>
          <cell r="H602">
            <v>0.106</v>
          </cell>
          <cell r="I602">
            <v>3.3124999999999995E-2</v>
          </cell>
          <cell r="J602">
            <v>3.2</v>
          </cell>
          <cell r="K602">
            <v>2</v>
          </cell>
          <cell r="L602">
            <v>5</v>
          </cell>
          <cell r="M602">
            <v>10</v>
          </cell>
          <cell r="N602">
            <v>20</v>
          </cell>
          <cell r="O602">
            <v>30</v>
          </cell>
          <cell r="P602">
            <v>60</v>
          </cell>
        </row>
        <row r="603">
          <cell r="A603" t="str">
            <v>HFCHS33.7x5</v>
          </cell>
          <cell r="B603" t="str">
            <v>a=1.0 x t</v>
          </cell>
          <cell r="C603">
            <v>5</v>
          </cell>
          <cell r="D603"/>
          <cell r="E603"/>
          <cell r="F603">
            <v>1</v>
          </cell>
          <cell r="G603">
            <v>1</v>
          </cell>
          <cell r="H603">
            <v>0.106</v>
          </cell>
          <cell r="I603">
            <v>3.0285714285714284E-2</v>
          </cell>
          <cell r="J603">
            <v>3.5</v>
          </cell>
          <cell r="K603">
            <v>2</v>
          </cell>
          <cell r="L603">
            <v>5</v>
          </cell>
          <cell r="M603">
            <v>10</v>
          </cell>
          <cell r="N603">
            <v>20</v>
          </cell>
          <cell r="O603">
            <v>30</v>
          </cell>
          <cell r="P603">
            <v>60</v>
          </cell>
        </row>
        <row r="604">
          <cell r="A604" t="str">
            <v>HFCHS42.4x2.6</v>
          </cell>
          <cell r="B604" t="str">
            <v>a=1.0 x t</v>
          </cell>
          <cell r="C604">
            <v>2.6</v>
          </cell>
          <cell r="D604"/>
          <cell r="E604"/>
          <cell r="F604">
            <v>1</v>
          </cell>
          <cell r="G604">
            <v>1</v>
          </cell>
          <cell r="H604">
            <v>0.13300000000000001</v>
          </cell>
          <cell r="I604">
            <v>5.1153846153846154E-2</v>
          </cell>
          <cell r="J604">
            <v>2.6</v>
          </cell>
          <cell r="K604">
            <v>2</v>
          </cell>
          <cell r="L604">
            <v>5</v>
          </cell>
          <cell r="M604">
            <v>10</v>
          </cell>
          <cell r="N604">
            <v>20</v>
          </cell>
          <cell r="O604">
            <v>30</v>
          </cell>
          <cell r="P604">
            <v>60</v>
          </cell>
        </row>
        <row r="605">
          <cell r="A605" t="str">
            <v>HFCHS42.4x2.9</v>
          </cell>
          <cell r="B605" t="str">
            <v>a=1.0 x t</v>
          </cell>
          <cell r="C605">
            <v>2.9</v>
          </cell>
          <cell r="D605"/>
          <cell r="E605"/>
          <cell r="F605">
            <v>1</v>
          </cell>
          <cell r="G605">
            <v>1</v>
          </cell>
          <cell r="H605">
            <v>0.13300000000000001</v>
          </cell>
          <cell r="I605">
            <v>4.7500000000000007E-2</v>
          </cell>
          <cell r="J605">
            <v>2.8</v>
          </cell>
          <cell r="K605">
            <v>2</v>
          </cell>
          <cell r="L605">
            <v>5</v>
          </cell>
          <cell r="M605">
            <v>10</v>
          </cell>
          <cell r="N605">
            <v>20</v>
          </cell>
          <cell r="O605">
            <v>30</v>
          </cell>
          <cell r="P605">
            <v>60</v>
          </cell>
        </row>
        <row r="606">
          <cell r="A606" t="str">
            <v>HFCHS42.4x3.2</v>
          </cell>
          <cell r="B606" t="str">
            <v>a=1.0 x t</v>
          </cell>
          <cell r="C606">
            <v>3.2</v>
          </cell>
          <cell r="D606"/>
          <cell r="E606"/>
          <cell r="F606">
            <v>1</v>
          </cell>
          <cell r="G606">
            <v>1</v>
          </cell>
          <cell r="H606">
            <v>0.13300000000000001</v>
          </cell>
          <cell r="I606">
            <v>4.2903225806451617E-2</v>
          </cell>
          <cell r="J606">
            <v>3.1</v>
          </cell>
          <cell r="K606">
            <v>2</v>
          </cell>
          <cell r="L606">
            <v>5</v>
          </cell>
          <cell r="M606">
            <v>10</v>
          </cell>
          <cell r="N606">
            <v>20</v>
          </cell>
          <cell r="O606">
            <v>30</v>
          </cell>
          <cell r="P606">
            <v>60</v>
          </cell>
        </row>
        <row r="607">
          <cell r="A607" t="str">
            <v>HFCHS42.4x3.6</v>
          </cell>
          <cell r="B607" t="str">
            <v>a=1.0 x t</v>
          </cell>
          <cell r="C607">
            <v>3.6</v>
          </cell>
          <cell r="D607"/>
          <cell r="E607"/>
          <cell r="F607">
            <v>1</v>
          </cell>
          <cell r="G607">
            <v>1</v>
          </cell>
          <cell r="H607">
            <v>0.13300000000000001</v>
          </cell>
          <cell r="I607">
            <v>3.9117647058823535E-2</v>
          </cell>
          <cell r="J607">
            <v>3.4</v>
          </cell>
          <cell r="K607">
            <v>2</v>
          </cell>
          <cell r="L607">
            <v>5</v>
          </cell>
          <cell r="M607">
            <v>10</v>
          </cell>
          <cell r="N607">
            <v>20</v>
          </cell>
          <cell r="O607">
            <v>30</v>
          </cell>
          <cell r="P607">
            <v>60</v>
          </cell>
        </row>
        <row r="608">
          <cell r="A608" t="str">
            <v>HFCHS42.4x4</v>
          </cell>
          <cell r="B608" t="str">
            <v>a=1.0 x t</v>
          </cell>
          <cell r="C608">
            <v>4</v>
          </cell>
          <cell r="D608"/>
          <cell r="E608"/>
          <cell r="F608">
            <v>1</v>
          </cell>
          <cell r="G608">
            <v>1</v>
          </cell>
          <cell r="H608">
            <v>0.13300000000000001</v>
          </cell>
          <cell r="I608">
            <v>3.5000000000000003E-2</v>
          </cell>
          <cell r="J608">
            <v>3.8</v>
          </cell>
          <cell r="K608">
            <v>2</v>
          </cell>
          <cell r="L608">
            <v>5</v>
          </cell>
          <cell r="M608">
            <v>10</v>
          </cell>
          <cell r="N608">
            <v>20</v>
          </cell>
          <cell r="O608">
            <v>30</v>
          </cell>
          <cell r="P608">
            <v>60</v>
          </cell>
        </row>
        <row r="609">
          <cell r="A609" t="str">
            <v>HFCHS42.4x4.5</v>
          </cell>
          <cell r="B609" t="str">
            <v>a=1.0 x t</v>
          </cell>
          <cell r="C609">
            <v>4.5</v>
          </cell>
          <cell r="D609"/>
          <cell r="E609"/>
          <cell r="F609">
            <v>1</v>
          </cell>
          <cell r="G609">
            <v>1</v>
          </cell>
          <cell r="H609">
            <v>0.13300000000000001</v>
          </cell>
          <cell r="I609">
            <v>3.1666666666666669E-2</v>
          </cell>
          <cell r="J609">
            <v>4.2</v>
          </cell>
          <cell r="K609">
            <v>2</v>
          </cell>
          <cell r="L609">
            <v>5</v>
          </cell>
          <cell r="M609">
            <v>10</v>
          </cell>
          <cell r="N609">
            <v>20</v>
          </cell>
          <cell r="O609">
            <v>30</v>
          </cell>
          <cell r="P609">
            <v>60</v>
          </cell>
        </row>
        <row r="610">
          <cell r="A610" t="str">
            <v>HFCHS42.4x5</v>
          </cell>
          <cell r="B610" t="str">
            <v>a=1.0 x t</v>
          </cell>
          <cell r="C610">
            <v>5</v>
          </cell>
          <cell r="D610"/>
          <cell r="E610"/>
          <cell r="F610">
            <v>1</v>
          </cell>
          <cell r="G610">
            <v>1</v>
          </cell>
          <cell r="H610">
            <v>0.13300000000000001</v>
          </cell>
          <cell r="I610">
            <v>2.8913043478260875E-2</v>
          </cell>
          <cell r="J610">
            <v>4.5999999999999996</v>
          </cell>
          <cell r="K610">
            <v>2</v>
          </cell>
          <cell r="L610">
            <v>5</v>
          </cell>
          <cell r="M610">
            <v>10</v>
          </cell>
          <cell r="N610">
            <v>20</v>
          </cell>
          <cell r="O610">
            <v>30</v>
          </cell>
          <cell r="P610">
            <v>60</v>
          </cell>
        </row>
        <row r="611">
          <cell r="A611" t="str">
            <v>HFCHS48.3x2.6</v>
          </cell>
          <cell r="B611" t="str">
            <v>a=1.0 x t</v>
          </cell>
          <cell r="C611">
            <v>2.6</v>
          </cell>
          <cell r="D611"/>
          <cell r="E611"/>
          <cell r="F611">
            <v>1</v>
          </cell>
          <cell r="G611">
            <v>1</v>
          </cell>
          <cell r="H611">
            <v>0.152</v>
          </cell>
          <cell r="I611">
            <v>5.2413793103448278E-2</v>
          </cell>
          <cell r="J611">
            <v>2.9</v>
          </cell>
          <cell r="K611">
            <v>2</v>
          </cell>
          <cell r="L611">
            <v>5</v>
          </cell>
          <cell r="M611">
            <v>10</v>
          </cell>
          <cell r="N611">
            <v>20</v>
          </cell>
          <cell r="O611">
            <v>30</v>
          </cell>
          <cell r="P611">
            <v>60</v>
          </cell>
        </row>
        <row r="612">
          <cell r="A612" t="str">
            <v>HFCHS48.3x2.9</v>
          </cell>
          <cell r="B612" t="str">
            <v>a=1.0 x t</v>
          </cell>
          <cell r="C612">
            <v>2.9</v>
          </cell>
          <cell r="D612"/>
          <cell r="E612"/>
          <cell r="F612">
            <v>1</v>
          </cell>
          <cell r="G612">
            <v>1</v>
          </cell>
          <cell r="H612">
            <v>0.152</v>
          </cell>
          <cell r="I612">
            <v>4.7499999999999994E-2</v>
          </cell>
          <cell r="J612">
            <v>3.2</v>
          </cell>
          <cell r="K612">
            <v>2</v>
          </cell>
          <cell r="L612">
            <v>5</v>
          </cell>
          <cell r="M612">
            <v>10</v>
          </cell>
          <cell r="N612">
            <v>20</v>
          </cell>
          <cell r="O612">
            <v>30</v>
          </cell>
          <cell r="P612">
            <v>60</v>
          </cell>
        </row>
        <row r="613">
          <cell r="A613" t="str">
            <v>HFCHS48.3x3.2</v>
          </cell>
          <cell r="B613" t="str">
            <v>a=1.0 x t</v>
          </cell>
          <cell r="C613">
            <v>3.2</v>
          </cell>
          <cell r="D613"/>
          <cell r="E613"/>
          <cell r="F613">
            <v>1</v>
          </cell>
          <cell r="G613">
            <v>1</v>
          </cell>
          <cell r="H613">
            <v>0.152</v>
          </cell>
          <cell r="I613">
            <v>4.2222222222222223E-2</v>
          </cell>
          <cell r="J613">
            <v>3.6</v>
          </cell>
          <cell r="K613">
            <v>2</v>
          </cell>
          <cell r="L613">
            <v>5</v>
          </cell>
          <cell r="M613">
            <v>10</v>
          </cell>
          <cell r="N613">
            <v>20</v>
          </cell>
          <cell r="O613">
            <v>30</v>
          </cell>
          <cell r="P613">
            <v>60</v>
          </cell>
        </row>
        <row r="614">
          <cell r="A614" t="str">
            <v>HFCHS48.3x3.6</v>
          </cell>
          <cell r="B614" t="str">
            <v>a=1.0 x t</v>
          </cell>
          <cell r="C614">
            <v>3.6</v>
          </cell>
          <cell r="D614"/>
          <cell r="E614"/>
          <cell r="F614">
            <v>1</v>
          </cell>
          <cell r="G614">
            <v>1</v>
          </cell>
          <cell r="H614">
            <v>0.152</v>
          </cell>
          <cell r="I614">
            <v>3.7999999999999999E-2</v>
          </cell>
          <cell r="J614">
            <v>4</v>
          </cell>
          <cell r="K614">
            <v>2</v>
          </cell>
          <cell r="L614">
            <v>5</v>
          </cell>
          <cell r="M614">
            <v>10</v>
          </cell>
          <cell r="N614">
            <v>20</v>
          </cell>
          <cell r="O614">
            <v>30</v>
          </cell>
          <cell r="P614">
            <v>60</v>
          </cell>
        </row>
        <row r="615">
          <cell r="A615" t="str">
            <v>HFCHS48.3x4</v>
          </cell>
          <cell r="B615" t="str">
            <v>a=1.0 x t</v>
          </cell>
          <cell r="C615">
            <v>4</v>
          </cell>
          <cell r="D615"/>
          <cell r="E615"/>
          <cell r="F615">
            <v>1</v>
          </cell>
          <cell r="G615">
            <v>1</v>
          </cell>
          <cell r="H615">
            <v>0.152</v>
          </cell>
          <cell r="I615">
            <v>3.4545454545454539E-2</v>
          </cell>
          <cell r="J615">
            <v>4.4000000000000004</v>
          </cell>
          <cell r="K615">
            <v>2</v>
          </cell>
          <cell r="L615">
            <v>5</v>
          </cell>
          <cell r="M615">
            <v>10</v>
          </cell>
          <cell r="N615">
            <v>20</v>
          </cell>
          <cell r="O615">
            <v>30</v>
          </cell>
          <cell r="P615">
            <v>60</v>
          </cell>
        </row>
        <row r="616">
          <cell r="A616" t="str">
            <v>HFCHS48.3x4.5</v>
          </cell>
          <cell r="B616" t="str">
            <v>a=1.0 x t</v>
          </cell>
          <cell r="C616">
            <v>4.5</v>
          </cell>
          <cell r="D616"/>
          <cell r="E616"/>
          <cell r="F616">
            <v>1</v>
          </cell>
          <cell r="G616">
            <v>1</v>
          </cell>
          <cell r="H616">
            <v>0.152</v>
          </cell>
          <cell r="I616">
            <v>3.1020408163265303E-2</v>
          </cell>
          <cell r="J616">
            <v>4.9000000000000004</v>
          </cell>
          <cell r="K616">
            <v>2</v>
          </cell>
          <cell r="L616">
            <v>5</v>
          </cell>
          <cell r="M616">
            <v>10</v>
          </cell>
          <cell r="N616">
            <v>20</v>
          </cell>
          <cell r="O616">
            <v>30</v>
          </cell>
          <cell r="P616">
            <v>60</v>
          </cell>
        </row>
        <row r="617">
          <cell r="A617" t="str">
            <v>HFCHS48.3x5</v>
          </cell>
          <cell r="B617" t="str">
            <v>a=1.0 x t</v>
          </cell>
          <cell r="C617">
            <v>5</v>
          </cell>
          <cell r="D617"/>
          <cell r="E617"/>
          <cell r="F617">
            <v>1</v>
          </cell>
          <cell r="G617">
            <v>1</v>
          </cell>
          <cell r="H617">
            <v>0.152</v>
          </cell>
          <cell r="I617">
            <v>2.8679245283018868E-2</v>
          </cell>
          <cell r="J617">
            <v>5.3</v>
          </cell>
          <cell r="K617">
            <v>2</v>
          </cell>
          <cell r="L617">
            <v>5</v>
          </cell>
          <cell r="M617">
            <v>10</v>
          </cell>
          <cell r="N617">
            <v>20</v>
          </cell>
          <cell r="O617">
            <v>30</v>
          </cell>
          <cell r="P617">
            <v>60</v>
          </cell>
        </row>
        <row r="618">
          <cell r="A618" t="str">
            <v>HFCHS48.3x5.6</v>
          </cell>
          <cell r="B618" t="str">
            <v>a=1.0 x t</v>
          </cell>
          <cell r="C618">
            <v>5.6</v>
          </cell>
          <cell r="D618"/>
          <cell r="E618"/>
          <cell r="F618">
            <v>1</v>
          </cell>
          <cell r="G618">
            <v>1</v>
          </cell>
          <cell r="H618">
            <v>0.152</v>
          </cell>
          <cell r="I618">
            <v>2.5762711864406776E-2</v>
          </cell>
          <cell r="J618">
            <v>5.9</v>
          </cell>
          <cell r="K618">
            <v>2</v>
          </cell>
          <cell r="L618">
            <v>5</v>
          </cell>
          <cell r="M618">
            <v>10</v>
          </cell>
          <cell r="N618">
            <v>20</v>
          </cell>
          <cell r="O618">
            <v>30</v>
          </cell>
          <cell r="P618">
            <v>60</v>
          </cell>
        </row>
        <row r="619">
          <cell r="A619" t="str">
            <v>HFCHS48.3x6.3</v>
          </cell>
          <cell r="B619" t="str">
            <v>a=1.0 x t</v>
          </cell>
          <cell r="C619">
            <v>6.3</v>
          </cell>
          <cell r="D619"/>
          <cell r="E619"/>
          <cell r="F619">
            <v>1</v>
          </cell>
          <cell r="G619">
            <v>1</v>
          </cell>
          <cell r="H619">
            <v>0.152</v>
          </cell>
          <cell r="I619">
            <v>2.3384615384615386E-2</v>
          </cell>
          <cell r="J619">
            <v>6.5</v>
          </cell>
          <cell r="K619">
            <v>2</v>
          </cell>
          <cell r="L619">
            <v>5</v>
          </cell>
          <cell r="M619">
            <v>10</v>
          </cell>
          <cell r="N619">
            <v>20</v>
          </cell>
          <cell r="O619">
            <v>30</v>
          </cell>
          <cell r="P619">
            <v>60</v>
          </cell>
        </row>
        <row r="620">
          <cell r="A620" t="str">
            <v>HFCHS60.3x2.6</v>
          </cell>
          <cell r="B620" t="str">
            <v>a=1.0 x t</v>
          </cell>
          <cell r="C620">
            <v>2.6</v>
          </cell>
          <cell r="D620"/>
          <cell r="E620"/>
          <cell r="F620">
            <v>1</v>
          </cell>
          <cell r="G620">
            <v>1</v>
          </cell>
          <cell r="H620">
            <v>0.189</v>
          </cell>
          <cell r="I620">
            <v>5.108108108108108E-2</v>
          </cell>
          <cell r="J620">
            <v>3.7</v>
          </cell>
          <cell r="K620">
            <v>2</v>
          </cell>
          <cell r="L620">
            <v>5</v>
          </cell>
          <cell r="M620">
            <v>10</v>
          </cell>
          <cell r="N620">
            <v>20</v>
          </cell>
          <cell r="O620">
            <v>30</v>
          </cell>
          <cell r="P620">
            <v>60</v>
          </cell>
        </row>
        <row r="621">
          <cell r="A621" t="str">
            <v>HFCHS60.3x2.9</v>
          </cell>
          <cell r="B621" t="str">
            <v>a=1.0 x t</v>
          </cell>
          <cell r="C621">
            <v>2.9</v>
          </cell>
          <cell r="D621"/>
          <cell r="E621"/>
          <cell r="F621">
            <v>1</v>
          </cell>
          <cell r="G621">
            <v>1</v>
          </cell>
          <cell r="H621">
            <v>0.189</v>
          </cell>
          <cell r="I621">
            <v>4.6097560975609762E-2</v>
          </cell>
          <cell r="J621">
            <v>4.0999999999999996</v>
          </cell>
          <cell r="K621">
            <v>2</v>
          </cell>
          <cell r="L621">
            <v>5</v>
          </cell>
          <cell r="M621">
            <v>10</v>
          </cell>
          <cell r="N621">
            <v>20</v>
          </cell>
          <cell r="O621">
            <v>30</v>
          </cell>
          <cell r="P621">
            <v>60</v>
          </cell>
        </row>
        <row r="622">
          <cell r="A622" t="str">
            <v>HFCHS60.3x3.2</v>
          </cell>
          <cell r="B622" t="str">
            <v>a=1.0 x t</v>
          </cell>
          <cell r="C622">
            <v>3.2</v>
          </cell>
          <cell r="D622"/>
          <cell r="E622"/>
          <cell r="F622">
            <v>1</v>
          </cell>
          <cell r="G622">
            <v>1</v>
          </cell>
          <cell r="H622">
            <v>0.189</v>
          </cell>
          <cell r="I622">
            <v>4.2000000000000003E-2</v>
          </cell>
          <cell r="J622">
            <v>4.5</v>
          </cell>
          <cell r="K622">
            <v>2</v>
          </cell>
          <cell r="L622">
            <v>5</v>
          </cell>
          <cell r="M622">
            <v>10</v>
          </cell>
          <cell r="N622">
            <v>20</v>
          </cell>
          <cell r="O622">
            <v>30</v>
          </cell>
          <cell r="P622">
            <v>60</v>
          </cell>
        </row>
        <row r="623">
          <cell r="A623" t="str">
            <v>HFCHS60.3x3.6</v>
          </cell>
          <cell r="B623" t="str">
            <v>a=1.0 x t</v>
          </cell>
          <cell r="C623">
            <v>3.6</v>
          </cell>
          <cell r="D623"/>
          <cell r="E623"/>
          <cell r="F623">
            <v>1</v>
          </cell>
          <cell r="G623">
            <v>1</v>
          </cell>
          <cell r="H623">
            <v>0.189</v>
          </cell>
          <cell r="I623">
            <v>3.78E-2</v>
          </cell>
          <cell r="J623">
            <v>5</v>
          </cell>
          <cell r="K623">
            <v>2</v>
          </cell>
          <cell r="L623">
            <v>5</v>
          </cell>
          <cell r="M623">
            <v>10</v>
          </cell>
          <cell r="N623">
            <v>20</v>
          </cell>
          <cell r="O623">
            <v>30</v>
          </cell>
          <cell r="P623">
            <v>60</v>
          </cell>
        </row>
        <row r="624">
          <cell r="A624" t="str">
            <v>HFCHS60.3x4</v>
          </cell>
          <cell r="B624" t="str">
            <v>a=1.0 x t</v>
          </cell>
          <cell r="C624">
            <v>4</v>
          </cell>
          <cell r="D624"/>
          <cell r="E624"/>
          <cell r="F624">
            <v>1</v>
          </cell>
          <cell r="G624">
            <v>1</v>
          </cell>
          <cell r="H624">
            <v>0.189</v>
          </cell>
          <cell r="I624">
            <v>3.3750000000000002E-2</v>
          </cell>
          <cell r="J624">
            <v>5.6</v>
          </cell>
          <cell r="K624">
            <v>2</v>
          </cell>
          <cell r="L624">
            <v>5</v>
          </cell>
          <cell r="M624">
            <v>10</v>
          </cell>
          <cell r="N624">
            <v>20</v>
          </cell>
          <cell r="O624">
            <v>30</v>
          </cell>
          <cell r="P624">
            <v>60</v>
          </cell>
        </row>
        <row r="625">
          <cell r="A625" t="str">
            <v>HFCHS60.3x4.5</v>
          </cell>
          <cell r="B625" t="str">
            <v>a=1.0 x t</v>
          </cell>
          <cell r="C625">
            <v>4.5</v>
          </cell>
          <cell r="D625"/>
          <cell r="E625"/>
          <cell r="F625">
            <v>1</v>
          </cell>
          <cell r="G625">
            <v>1</v>
          </cell>
          <cell r="H625">
            <v>0.189</v>
          </cell>
          <cell r="I625">
            <v>3.0483870967741935E-2</v>
          </cell>
          <cell r="J625">
            <v>6.2</v>
          </cell>
          <cell r="K625">
            <v>2</v>
          </cell>
          <cell r="L625">
            <v>5</v>
          </cell>
          <cell r="M625">
            <v>10</v>
          </cell>
          <cell r="N625">
            <v>20</v>
          </cell>
          <cell r="O625">
            <v>30</v>
          </cell>
          <cell r="P625">
            <v>60</v>
          </cell>
        </row>
        <row r="626">
          <cell r="A626" t="str">
            <v>HFCHS60.3x5</v>
          </cell>
          <cell r="B626" t="str">
            <v>a=1.0 x t</v>
          </cell>
          <cell r="C626">
            <v>5</v>
          </cell>
          <cell r="D626"/>
          <cell r="E626"/>
          <cell r="F626">
            <v>1</v>
          </cell>
          <cell r="G626">
            <v>1</v>
          </cell>
          <cell r="H626">
            <v>0.189</v>
          </cell>
          <cell r="I626">
            <v>2.7794117647058823E-2</v>
          </cell>
          <cell r="J626">
            <v>6.8</v>
          </cell>
          <cell r="K626">
            <v>2</v>
          </cell>
          <cell r="L626">
            <v>5</v>
          </cell>
          <cell r="M626">
            <v>10</v>
          </cell>
          <cell r="N626">
            <v>20</v>
          </cell>
          <cell r="O626">
            <v>30</v>
          </cell>
          <cell r="P626">
            <v>60</v>
          </cell>
        </row>
        <row r="627">
          <cell r="A627" t="str">
            <v>HFCHS60.3x5.6</v>
          </cell>
          <cell r="B627" t="str">
            <v>a=1.0 x t</v>
          </cell>
          <cell r="C627">
            <v>5.6</v>
          </cell>
          <cell r="D627"/>
          <cell r="E627"/>
          <cell r="F627">
            <v>1</v>
          </cell>
          <cell r="G627">
            <v>1</v>
          </cell>
          <cell r="H627">
            <v>0.189</v>
          </cell>
          <cell r="I627">
            <v>2.4868421052631581E-2</v>
          </cell>
          <cell r="J627">
            <v>7.6</v>
          </cell>
          <cell r="K627">
            <v>2</v>
          </cell>
          <cell r="L627">
            <v>5</v>
          </cell>
          <cell r="M627">
            <v>10</v>
          </cell>
          <cell r="N627">
            <v>20</v>
          </cell>
          <cell r="O627">
            <v>30</v>
          </cell>
          <cell r="P627">
            <v>60</v>
          </cell>
        </row>
        <row r="628">
          <cell r="A628" t="str">
            <v>HFCHS60.3x6.3</v>
          </cell>
          <cell r="B628" t="str">
            <v>a=1.0 x t</v>
          </cell>
          <cell r="C628">
            <v>6.3</v>
          </cell>
          <cell r="D628"/>
          <cell r="E628"/>
          <cell r="F628">
            <v>1</v>
          </cell>
          <cell r="G628">
            <v>1</v>
          </cell>
          <cell r="H628">
            <v>0.189</v>
          </cell>
          <cell r="I628">
            <v>2.2499999999999999E-2</v>
          </cell>
          <cell r="J628">
            <v>8.4</v>
          </cell>
          <cell r="K628">
            <v>2</v>
          </cell>
          <cell r="L628">
            <v>5</v>
          </cell>
          <cell r="M628">
            <v>10</v>
          </cell>
          <cell r="N628">
            <v>20</v>
          </cell>
          <cell r="O628">
            <v>30</v>
          </cell>
          <cell r="P628">
            <v>60</v>
          </cell>
        </row>
        <row r="629">
          <cell r="A629" t="str">
            <v>HFCHS60.3x8</v>
          </cell>
          <cell r="B629" t="str">
            <v>a=1.0 x t</v>
          </cell>
          <cell r="C629">
            <v>8</v>
          </cell>
          <cell r="D629"/>
          <cell r="E629"/>
          <cell r="F629">
            <v>1</v>
          </cell>
          <cell r="G629">
            <v>3</v>
          </cell>
          <cell r="H629">
            <v>0.189</v>
          </cell>
          <cell r="I629">
            <v>1.8349514563106795E-2</v>
          </cell>
          <cell r="J629">
            <v>10.3</v>
          </cell>
          <cell r="K629">
            <v>2</v>
          </cell>
          <cell r="L629">
            <v>5</v>
          </cell>
          <cell r="M629">
            <v>10</v>
          </cell>
          <cell r="N629">
            <v>20</v>
          </cell>
          <cell r="O629">
            <v>30</v>
          </cell>
          <cell r="P629">
            <v>60</v>
          </cell>
        </row>
        <row r="630">
          <cell r="A630" t="str">
            <v>HFCHS76.1x2.9</v>
          </cell>
          <cell r="B630" t="str">
            <v>a=1.0 x t</v>
          </cell>
          <cell r="C630">
            <v>2.9</v>
          </cell>
          <cell r="D630"/>
          <cell r="E630"/>
          <cell r="F630">
            <v>1</v>
          </cell>
          <cell r="G630">
            <v>1</v>
          </cell>
          <cell r="H630">
            <v>0.23899999999999999</v>
          </cell>
          <cell r="I630">
            <v>4.5961538461538456E-2</v>
          </cell>
          <cell r="J630">
            <v>5.2</v>
          </cell>
          <cell r="K630">
            <v>2</v>
          </cell>
          <cell r="L630">
            <v>5</v>
          </cell>
          <cell r="M630">
            <v>10</v>
          </cell>
          <cell r="N630">
            <v>20</v>
          </cell>
          <cell r="O630">
            <v>30</v>
          </cell>
          <cell r="P630">
            <v>60</v>
          </cell>
        </row>
        <row r="631">
          <cell r="A631" t="str">
            <v>HFCHS76.1x3.2</v>
          </cell>
          <cell r="B631" t="str">
            <v>a=1.0 x t</v>
          </cell>
          <cell r="C631">
            <v>3.2</v>
          </cell>
          <cell r="D631"/>
          <cell r="E631"/>
          <cell r="F631">
            <v>1</v>
          </cell>
          <cell r="G631">
            <v>1</v>
          </cell>
          <cell r="H631">
            <v>0.23899999999999999</v>
          </cell>
          <cell r="I631">
            <v>4.1206896551724138E-2</v>
          </cell>
          <cell r="J631">
            <v>5.8</v>
          </cell>
          <cell r="K631">
            <v>2</v>
          </cell>
          <cell r="L631">
            <v>5</v>
          </cell>
          <cell r="M631">
            <v>10</v>
          </cell>
          <cell r="N631">
            <v>20</v>
          </cell>
          <cell r="O631">
            <v>30</v>
          </cell>
          <cell r="P631">
            <v>60</v>
          </cell>
        </row>
        <row r="632">
          <cell r="A632" t="str">
            <v>HFCHS76.1x3.6</v>
          </cell>
          <cell r="B632" t="str">
            <v>a=1.0 x t</v>
          </cell>
          <cell r="C632">
            <v>3.6</v>
          </cell>
          <cell r="D632"/>
          <cell r="E632"/>
          <cell r="F632">
            <v>1</v>
          </cell>
          <cell r="G632">
            <v>1</v>
          </cell>
          <cell r="H632">
            <v>0.23899999999999999</v>
          </cell>
          <cell r="I632">
            <v>3.7343749999999995E-2</v>
          </cell>
          <cell r="J632">
            <v>6.4</v>
          </cell>
          <cell r="K632">
            <v>2</v>
          </cell>
          <cell r="L632">
            <v>5</v>
          </cell>
          <cell r="M632">
            <v>10</v>
          </cell>
          <cell r="N632">
            <v>20</v>
          </cell>
          <cell r="O632">
            <v>30</v>
          </cell>
          <cell r="P632">
            <v>60</v>
          </cell>
        </row>
        <row r="633">
          <cell r="A633" t="str">
            <v>HFCHS76.1x4</v>
          </cell>
          <cell r="B633" t="str">
            <v>a=1.0 x t</v>
          </cell>
          <cell r="C633">
            <v>44</v>
          </cell>
          <cell r="D633"/>
          <cell r="E633"/>
          <cell r="F633">
            <v>1</v>
          </cell>
          <cell r="G633">
            <v>1</v>
          </cell>
          <cell r="H633">
            <v>0.23899999999999999</v>
          </cell>
          <cell r="I633">
            <v>3.3661971830985918E-2</v>
          </cell>
          <cell r="J633">
            <v>7.1</v>
          </cell>
          <cell r="K633">
            <v>2</v>
          </cell>
          <cell r="L633">
            <v>5</v>
          </cell>
          <cell r="M633">
            <v>10</v>
          </cell>
          <cell r="N633">
            <v>20</v>
          </cell>
          <cell r="O633">
            <v>30</v>
          </cell>
          <cell r="P633">
            <v>60</v>
          </cell>
        </row>
        <row r="634">
          <cell r="A634" t="str">
            <v>HFCHS76.1x4.5</v>
          </cell>
          <cell r="B634" t="str">
            <v>a=1.0 x t</v>
          </cell>
          <cell r="C634">
            <v>4.5</v>
          </cell>
          <cell r="D634"/>
          <cell r="E634"/>
          <cell r="F634">
            <v>1</v>
          </cell>
          <cell r="G634">
            <v>1</v>
          </cell>
          <cell r="H634">
            <v>0.23899999999999999</v>
          </cell>
          <cell r="I634">
            <v>3.0253164556962024E-2</v>
          </cell>
          <cell r="J634">
            <v>7.9</v>
          </cell>
          <cell r="K634">
            <v>2</v>
          </cell>
          <cell r="L634">
            <v>5</v>
          </cell>
          <cell r="M634">
            <v>10</v>
          </cell>
          <cell r="N634">
            <v>20</v>
          </cell>
          <cell r="O634">
            <v>30</v>
          </cell>
          <cell r="P634">
            <v>60</v>
          </cell>
        </row>
        <row r="635">
          <cell r="A635" t="str">
            <v>HFCHS76.1x5</v>
          </cell>
          <cell r="B635" t="str">
            <v>a=1.0 x t</v>
          </cell>
          <cell r="C635">
            <v>5</v>
          </cell>
          <cell r="D635"/>
          <cell r="E635"/>
          <cell r="F635">
            <v>1</v>
          </cell>
          <cell r="G635">
            <v>1</v>
          </cell>
          <cell r="H635">
            <v>0.23899999999999999</v>
          </cell>
          <cell r="I635">
            <v>2.7159090909090907E-2</v>
          </cell>
          <cell r="J635">
            <v>8.8000000000000007</v>
          </cell>
          <cell r="K635">
            <v>2</v>
          </cell>
          <cell r="L635">
            <v>5</v>
          </cell>
          <cell r="M635">
            <v>10</v>
          </cell>
          <cell r="N635">
            <v>20</v>
          </cell>
          <cell r="O635">
            <v>30</v>
          </cell>
          <cell r="P635">
            <v>60</v>
          </cell>
        </row>
        <row r="636">
          <cell r="A636" t="str">
            <v>HFCHS76.1x5.6</v>
          </cell>
          <cell r="B636" t="str">
            <v>a=1.0 x t</v>
          </cell>
          <cell r="C636">
            <v>5.6</v>
          </cell>
          <cell r="D636"/>
          <cell r="E636"/>
          <cell r="F636">
            <v>1</v>
          </cell>
          <cell r="G636">
            <v>1</v>
          </cell>
          <cell r="H636">
            <v>0.23899999999999999</v>
          </cell>
          <cell r="I636">
            <v>2.463917525773196E-2</v>
          </cell>
          <cell r="J636">
            <v>9.6999999999999993</v>
          </cell>
          <cell r="K636">
            <v>2</v>
          </cell>
          <cell r="L636">
            <v>5</v>
          </cell>
          <cell r="M636">
            <v>10</v>
          </cell>
          <cell r="N636">
            <v>20</v>
          </cell>
          <cell r="O636">
            <v>30</v>
          </cell>
          <cell r="P636">
            <v>60</v>
          </cell>
        </row>
        <row r="637">
          <cell r="A637" t="str">
            <v>HFCHS76.1x6.3</v>
          </cell>
          <cell r="B637" t="str">
            <v>a=1.0 x t</v>
          </cell>
          <cell r="C637">
            <v>6.3</v>
          </cell>
          <cell r="D637"/>
          <cell r="E637"/>
          <cell r="F637">
            <v>1</v>
          </cell>
          <cell r="G637">
            <v>1</v>
          </cell>
          <cell r="H637">
            <v>0.23899999999999999</v>
          </cell>
          <cell r="I637">
            <v>2.2129629629629628E-2</v>
          </cell>
          <cell r="J637">
            <v>10.8</v>
          </cell>
          <cell r="K637">
            <v>2</v>
          </cell>
          <cell r="L637">
            <v>5</v>
          </cell>
          <cell r="M637">
            <v>10</v>
          </cell>
          <cell r="N637">
            <v>20</v>
          </cell>
          <cell r="O637">
            <v>30</v>
          </cell>
          <cell r="P637">
            <v>60</v>
          </cell>
        </row>
        <row r="638">
          <cell r="A638" t="str">
            <v>HFCHS76.1x8</v>
          </cell>
          <cell r="B638" t="str">
            <v>a=1.0 x t</v>
          </cell>
          <cell r="C638">
            <v>8</v>
          </cell>
          <cell r="D638"/>
          <cell r="E638"/>
          <cell r="F638">
            <v>1</v>
          </cell>
          <cell r="G638">
            <v>3</v>
          </cell>
          <cell r="H638">
            <v>0.23899999999999999</v>
          </cell>
          <cell r="I638">
            <v>1.7835820895522388E-2</v>
          </cell>
          <cell r="J638">
            <v>13.4</v>
          </cell>
          <cell r="K638">
            <v>2</v>
          </cell>
          <cell r="L638">
            <v>5</v>
          </cell>
          <cell r="M638">
            <v>10</v>
          </cell>
          <cell r="N638">
            <v>20</v>
          </cell>
          <cell r="O638">
            <v>30</v>
          </cell>
          <cell r="P638">
            <v>60</v>
          </cell>
        </row>
        <row r="639">
          <cell r="A639" t="str">
            <v>HFCHS88.9x2.9</v>
          </cell>
          <cell r="B639" t="str">
            <v>a=1.0 x t</v>
          </cell>
          <cell r="C639">
            <v>2.9</v>
          </cell>
          <cell r="D639"/>
          <cell r="E639"/>
          <cell r="F639">
            <v>1</v>
          </cell>
          <cell r="G639">
            <v>1</v>
          </cell>
          <cell r="H639">
            <v>0.27900000000000003</v>
          </cell>
          <cell r="I639">
            <v>4.5000000000000005E-2</v>
          </cell>
          <cell r="J639">
            <v>6.2</v>
          </cell>
          <cell r="K639">
            <v>2</v>
          </cell>
          <cell r="L639">
            <v>5</v>
          </cell>
          <cell r="M639">
            <v>10</v>
          </cell>
          <cell r="N639">
            <v>20</v>
          </cell>
          <cell r="O639">
            <v>30</v>
          </cell>
          <cell r="P639">
            <v>60</v>
          </cell>
        </row>
        <row r="640">
          <cell r="A640" t="str">
            <v>HFCHS88.9x3.2</v>
          </cell>
          <cell r="B640" t="str">
            <v>a=1.0 x t</v>
          </cell>
          <cell r="C640">
            <v>3.2</v>
          </cell>
          <cell r="D640"/>
          <cell r="E640"/>
          <cell r="F640">
            <v>1</v>
          </cell>
          <cell r="G640">
            <v>1</v>
          </cell>
          <cell r="H640">
            <v>0.27900000000000003</v>
          </cell>
          <cell r="I640">
            <v>4.1029411764705891E-2</v>
          </cell>
          <cell r="J640">
            <v>6.8</v>
          </cell>
          <cell r="K640">
            <v>2</v>
          </cell>
          <cell r="L640">
            <v>5</v>
          </cell>
          <cell r="M640">
            <v>10</v>
          </cell>
          <cell r="N640">
            <v>20</v>
          </cell>
          <cell r="O640">
            <v>30</v>
          </cell>
          <cell r="P640">
            <v>60</v>
          </cell>
        </row>
        <row r="641">
          <cell r="A641" t="str">
            <v>HFCHS88.9x3.6</v>
          </cell>
          <cell r="B641" t="str">
            <v>a=1.0 x t</v>
          </cell>
          <cell r="C641">
            <v>3.6</v>
          </cell>
          <cell r="D641"/>
          <cell r="E641"/>
          <cell r="F641">
            <v>1</v>
          </cell>
          <cell r="G641">
            <v>1</v>
          </cell>
          <cell r="H641">
            <v>0.27900000000000003</v>
          </cell>
          <cell r="I641">
            <v>3.6710526315789478E-2</v>
          </cell>
          <cell r="J641">
            <v>7.6</v>
          </cell>
          <cell r="K641">
            <v>2</v>
          </cell>
          <cell r="L641">
            <v>5</v>
          </cell>
          <cell r="M641">
            <v>10</v>
          </cell>
          <cell r="N641">
            <v>20</v>
          </cell>
          <cell r="O641">
            <v>30</v>
          </cell>
          <cell r="P641">
            <v>60</v>
          </cell>
        </row>
        <row r="642">
          <cell r="A642" t="str">
            <v>HFCHS88.9x4</v>
          </cell>
          <cell r="B642" t="str">
            <v>a=1.0 x t</v>
          </cell>
          <cell r="C642">
            <v>4</v>
          </cell>
          <cell r="D642"/>
          <cell r="E642"/>
          <cell r="F642">
            <v>1</v>
          </cell>
          <cell r="G642">
            <v>1</v>
          </cell>
          <cell r="H642">
            <v>0.27900000000000003</v>
          </cell>
          <cell r="I642">
            <v>3.3214285714285717E-2</v>
          </cell>
          <cell r="J642">
            <v>8.4</v>
          </cell>
          <cell r="K642">
            <v>2</v>
          </cell>
          <cell r="L642">
            <v>5</v>
          </cell>
          <cell r="M642">
            <v>10</v>
          </cell>
          <cell r="N642">
            <v>20</v>
          </cell>
          <cell r="O642">
            <v>30</v>
          </cell>
          <cell r="P642">
            <v>60</v>
          </cell>
        </row>
        <row r="643">
          <cell r="A643" t="str">
            <v>HFCHS88.9x4.5</v>
          </cell>
          <cell r="B643" t="str">
            <v>a=1.0 x t</v>
          </cell>
          <cell r="C643">
            <v>4.5</v>
          </cell>
          <cell r="D643"/>
          <cell r="E643"/>
          <cell r="F643">
            <v>1</v>
          </cell>
          <cell r="G643">
            <v>1</v>
          </cell>
          <cell r="H643">
            <v>0.27900000000000003</v>
          </cell>
          <cell r="I643">
            <v>2.968085106382979E-2</v>
          </cell>
          <cell r="J643">
            <v>9.4</v>
          </cell>
          <cell r="K643">
            <v>2</v>
          </cell>
          <cell r="L643">
            <v>5</v>
          </cell>
          <cell r="M643">
            <v>10</v>
          </cell>
          <cell r="N643">
            <v>20</v>
          </cell>
          <cell r="O643">
            <v>30</v>
          </cell>
          <cell r="P643">
            <v>60</v>
          </cell>
        </row>
        <row r="644">
          <cell r="A644" t="str">
            <v>HFCHS88.9x5</v>
          </cell>
          <cell r="B644" t="str">
            <v>a=1.0 x t</v>
          </cell>
          <cell r="C644">
            <v>5</v>
          </cell>
          <cell r="D644"/>
          <cell r="E644"/>
          <cell r="F644">
            <v>1</v>
          </cell>
          <cell r="G644">
            <v>1</v>
          </cell>
          <cell r="H644">
            <v>0.27900000000000003</v>
          </cell>
          <cell r="I644">
            <v>2.7087378640776701E-2</v>
          </cell>
          <cell r="J644">
            <v>10.3</v>
          </cell>
          <cell r="K644">
            <v>2</v>
          </cell>
          <cell r="L644">
            <v>5</v>
          </cell>
          <cell r="M644">
            <v>10</v>
          </cell>
          <cell r="N644">
            <v>20</v>
          </cell>
          <cell r="O644">
            <v>30</v>
          </cell>
          <cell r="P644">
            <v>60</v>
          </cell>
        </row>
        <row r="645">
          <cell r="A645" t="str">
            <v>HFCHS88.9x5.6</v>
          </cell>
          <cell r="B645" t="str">
            <v>a=1.0 x t</v>
          </cell>
          <cell r="C645">
            <v>5.6</v>
          </cell>
          <cell r="D645"/>
          <cell r="E645"/>
          <cell r="F645">
            <v>1</v>
          </cell>
          <cell r="G645">
            <v>1</v>
          </cell>
          <cell r="H645">
            <v>0.27900000000000003</v>
          </cell>
          <cell r="I645">
            <v>2.4260869565217395E-2</v>
          </cell>
          <cell r="J645">
            <v>11.5</v>
          </cell>
          <cell r="K645">
            <v>2</v>
          </cell>
          <cell r="L645">
            <v>5</v>
          </cell>
          <cell r="M645">
            <v>10</v>
          </cell>
          <cell r="N645">
            <v>20</v>
          </cell>
          <cell r="O645">
            <v>30</v>
          </cell>
          <cell r="P645">
            <v>60</v>
          </cell>
        </row>
        <row r="646">
          <cell r="A646" t="str">
            <v>HFCHS88.9x6.3</v>
          </cell>
          <cell r="B646" t="str">
            <v>a=1.0 x t</v>
          </cell>
          <cell r="C646">
            <v>6.3</v>
          </cell>
          <cell r="D646"/>
          <cell r="E646"/>
          <cell r="F646">
            <v>1</v>
          </cell>
          <cell r="G646">
            <v>1</v>
          </cell>
          <cell r="H646">
            <v>0.27900000000000003</v>
          </cell>
          <cell r="I646">
            <v>2.1796875E-2</v>
          </cell>
          <cell r="J646">
            <v>12.8</v>
          </cell>
          <cell r="K646">
            <v>2</v>
          </cell>
          <cell r="L646">
            <v>5</v>
          </cell>
          <cell r="M646">
            <v>10</v>
          </cell>
          <cell r="N646">
            <v>20</v>
          </cell>
          <cell r="O646">
            <v>30</v>
          </cell>
          <cell r="P646">
            <v>60</v>
          </cell>
        </row>
        <row r="647">
          <cell r="A647" t="str">
            <v>HFCHS88.9x8</v>
          </cell>
          <cell r="B647" t="str">
            <v>a=1.0 x t</v>
          </cell>
          <cell r="C647">
            <v>8</v>
          </cell>
          <cell r="D647"/>
          <cell r="E647"/>
          <cell r="F647">
            <v>1</v>
          </cell>
          <cell r="G647">
            <v>3</v>
          </cell>
          <cell r="H647">
            <v>0.27900000000000003</v>
          </cell>
          <cell r="I647">
            <v>1.7437500000000002E-2</v>
          </cell>
          <cell r="J647">
            <v>16</v>
          </cell>
          <cell r="K647">
            <v>2</v>
          </cell>
          <cell r="L647">
            <v>5</v>
          </cell>
          <cell r="M647">
            <v>10</v>
          </cell>
          <cell r="N647">
            <v>20</v>
          </cell>
          <cell r="O647">
            <v>30</v>
          </cell>
          <cell r="P647">
            <v>60</v>
          </cell>
        </row>
        <row r="648">
          <cell r="A648" t="str">
            <v>HFCHS88.9x10</v>
          </cell>
          <cell r="B648" t="str">
            <v>a=1.0 x t</v>
          </cell>
          <cell r="C648">
            <v>10</v>
          </cell>
          <cell r="D648"/>
          <cell r="E648"/>
          <cell r="F648">
            <v>1</v>
          </cell>
          <cell r="G648">
            <v>6</v>
          </cell>
          <cell r="H648">
            <v>0.27900000000000003</v>
          </cell>
          <cell r="I648">
            <v>1.4307692307692309E-2</v>
          </cell>
          <cell r="J648">
            <v>19.5</v>
          </cell>
          <cell r="K648">
            <v>2</v>
          </cell>
          <cell r="L648">
            <v>5</v>
          </cell>
          <cell r="M648">
            <v>10</v>
          </cell>
          <cell r="N648">
            <v>20</v>
          </cell>
          <cell r="O648">
            <v>30</v>
          </cell>
          <cell r="P648">
            <v>60</v>
          </cell>
        </row>
        <row r="649">
          <cell r="A649" t="str">
            <v>HFSHS100x100x6</v>
          </cell>
          <cell r="B649" t="str">
            <v>a=1.0 x t</v>
          </cell>
          <cell r="C649">
            <v>6</v>
          </cell>
          <cell r="D649"/>
          <cell r="E649"/>
          <cell r="F649">
            <v>1</v>
          </cell>
          <cell r="G649">
            <v>1</v>
          </cell>
          <cell r="H649">
            <v>0.379</v>
          </cell>
          <cell r="I649">
            <v>2.2294117647058825E-2</v>
          </cell>
          <cell r="J649">
            <v>17</v>
          </cell>
          <cell r="K649">
            <v>2</v>
          </cell>
          <cell r="L649">
            <v>5</v>
          </cell>
          <cell r="M649">
            <v>10</v>
          </cell>
          <cell r="N649">
            <v>20</v>
          </cell>
          <cell r="O649">
            <v>30</v>
          </cell>
          <cell r="P649">
            <v>60</v>
          </cell>
        </row>
        <row r="650">
          <cell r="A650" t="str">
            <v>HFCHS101.6x3.2</v>
          </cell>
          <cell r="B650" t="str">
            <v>a=1.0 x t</v>
          </cell>
          <cell r="C650">
            <v>3.2</v>
          </cell>
          <cell r="D650"/>
          <cell r="E650"/>
          <cell r="F650">
            <v>1</v>
          </cell>
          <cell r="G650">
            <v>1</v>
          </cell>
          <cell r="H650">
            <v>0.31900000000000001</v>
          </cell>
          <cell r="I650">
            <v>4.0897435897435899E-2</v>
          </cell>
          <cell r="J650">
            <v>7.8</v>
          </cell>
          <cell r="K650">
            <v>2</v>
          </cell>
          <cell r="L650">
            <v>5</v>
          </cell>
          <cell r="M650">
            <v>10</v>
          </cell>
          <cell r="N650">
            <v>20</v>
          </cell>
          <cell r="O650">
            <v>30</v>
          </cell>
          <cell r="P650">
            <v>60</v>
          </cell>
        </row>
        <row r="651">
          <cell r="A651" t="str">
            <v>HFCHS101.6x3.6</v>
          </cell>
          <cell r="B651" t="str">
            <v>a=1.0 x t</v>
          </cell>
          <cell r="C651">
            <v>3.6</v>
          </cell>
          <cell r="D651"/>
          <cell r="E651"/>
          <cell r="F651">
            <v>1</v>
          </cell>
          <cell r="G651">
            <v>1</v>
          </cell>
          <cell r="H651">
            <v>0.31900000000000001</v>
          </cell>
          <cell r="I651">
            <v>3.6666666666666674E-2</v>
          </cell>
          <cell r="J651">
            <v>8.6999999999999993</v>
          </cell>
          <cell r="K651">
            <v>2</v>
          </cell>
          <cell r="L651">
            <v>5</v>
          </cell>
          <cell r="M651">
            <v>10</v>
          </cell>
          <cell r="N651">
            <v>20</v>
          </cell>
          <cell r="O651">
            <v>30</v>
          </cell>
          <cell r="P651">
            <v>60</v>
          </cell>
        </row>
        <row r="652">
          <cell r="A652" t="str">
            <v>HFCHS101.6x4</v>
          </cell>
          <cell r="B652" t="str">
            <v>a=1.0 x t</v>
          </cell>
          <cell r="C652">
            <v>4</v>
          </cell>
          <cell r="D652"/>
          <cell r="E652"/>
          <cell r="F652">
            <v>1</v>
          </cell>
          <cell r="G652">
            <v>1</v>
          </cell>
          <cell r="H652">
            <v>0.31900000000000001</v>
          </cell>
          <cell r="I652">
            <v>3.3229166666666671E-2</v>
          </cell>
          <cell r="J652">
            <v>9.6</v>
          </cell>
          <cell r="K652">
            <v>2</v>
          </cell>
          <cell r="L652">
            <v>5</v>
          </cell>
          <cell r="M652">
            <v>10</v>
          </cell>
          <cell r="N652">
            <v>20</v>
          </cell>
          <cell r="O652">
            <v>30</v>
          </cell>
          <cell r="P652">
            <v>60</v>
          </cell>
        </row>
        <row r="653">
          <cell r="A653" t="str">
            <v>HFCHS101.6x4.5</v>
          </cell>
          <cell r="B653" t="str">
            <v>a=1.0 x t</v>
          </cell>
          <cell r="C653">
            <v>4.5</v>
          </cell>
          <cell r="D653"/>
          <cell r="E653"/>
          <cell r="F653">
            <v>1</v>
          </cell>
          <cell r="G653">
            <v>1</v>
          </cell>
          <cell r="H653">
            <v>0.31900000000000001</v>
          </cell>
          <cell r="I653">
            <v>2.9537037037037035E-2</v>
          </cell>
          <cell r="J653">
            <v>10.8</v>
          </cell>
          <cell r="K653">
            <v>2</v>
          </cell>
          <cell r="L653">
            <v>5</v>
          </cell>
          <cell r="M653">
            <v>10</v>
          </cell>
          <cell r="N653">
            <v>20</v>
          </cell>
          <cell r="O653">
            <v>30</v>
          </cell>
          <cell r="P653">
            <v>60</v>
          </cell>
        </row>
        <row r="654">
          <cell r="A654" t="str">
            <v>HFCHS101.6x5</v>
          </cell>
          <cell r="B654" t="str">
            <v>a=1.0 x t</v>
          </cell>
          <cell r="C654">
            <v>5</v>
          </cell>
          <cell r="D654"/>
          <cell r="E654"/>
          <cell r="F654">
            <v>1</v>
          </cell>
          <cell r="G654">
            <v>1</v>
          </cell>
          <cell r="H654">
            <v>0.31900000000000001</v>
          </cell>
          <cell r="I654">
            <v>2.6806722689075631E-2</v>
          </cell>
          <cell r="J654">
            <v>11.9</v>
          </cell>
          <cell r="K654">
            <v>2</v>
          </cell>
          <cell r="L654">
            <v>5</v>
          </cell>
          <cell r="M654">
            <v>10</v>
          </cell>
          <cell r="N654">
            <v>20</v>
          </cell>
          <cell r="O654">
            <v>30</v>
          </cell>
          <cell r="P654">
            <v>60</v>
          </cell>
        </row>
        <row r="655">
          <cell r="A655" t="str">
            <v>HFCHS101.6x5.6</v>
          </cell>
          <cell r="B655" t="str">
            <v>a=1.0 x t</v>
          </cell>
          <cell r="C655">
            <v>5.6</v>
          </cell>
          <cell r="D655"/>
          <cell r="E655"/>
          <cell r="F655">
            <v>1</v>
          </cell>
          <cell r="G655">
            <v>1</v>
          </cell>
          <cell r="H655">
            <v>0.31900000000000001</v>
          </cell>
          <cell r="I655">
            <v>2.3984962406015036E-2</v>
          </cell>
          <cell r="J655">
            <v>13.3</v>
          </cell>
          <cell r="K655">
            <v>2</v>
          </cell>
          <cell r="L655">
            <v>5</v>
          </cell>
          <cell r="M655">
            <v>10</v>
          </cell>
          <cell r="N655">
            <v>20</v>
          </cell>
          <cell r="O655">
            <v>30</v>
          </cell>
          <cell r="P655">
            <v>60</v>
          </cell>
        </row>
        <row r="656">
          <cell r="A656" t="str">
            <v>HFCHS101.6x6.3</v>
          </cell>
          <cell r="B656" t="str">
            <v>a=1.0 x t</v>
          </cell>
          <cell r="C656">
            <v>6.3</v>
          </cell>
          <cell r="D656"/>
          <cell r="E656"/>
          <cell r="F656">
            <v>1</v>
          </cell>
          <cell r="G656">
            <v>1</v>
          </cell>
          <cell r="H656">
            <v>0.31900000000000001</v>
          </cell>
          <cell r="I656">
            <v>2.1554054054054052E-2</v>
          </cell>
          <cell r="J656">
            <v>14.8</v>
          </cell>
          <cell r="K656">
            <v>2</v>
          </cell>
          <cell r="L656">
            <v>5</v>
          </cell>
          <cell r="M656">
            <v>10</v>
          </cell>
          <cell r="N656">
            <v>20</v>
          </cell>
          <cell r="O656">
            <v>30</v>
          </cell>
          <cell r="P656">
            <v>60</v>
          </cell>
        </row>
        <row r="657">
          <cell r="A657" t="str">
            <v>HFCHS101.6x8</v>
          </cell>
          <cell r="B657" t="str">
            <v>a=1.0 x t</v>
          </cell>
          <cell r="C657">
            <v>8</v>
          </cell>
          <cell r="D657"/>
          <cell r="E657"/>
          <cell r="F657">
            <v>1</v>
          </cell>
          <cell r="G657">
            <v>3</v>
          </cell>
          <cell r="H657">
            <v>0.31900000000000001</v>
          </cell>
          <cell r="I657">
            <v>1.7243243243243243E-2</v>
          </cell>
          <cell r="J657">
            <v>18.5</v>
          </cell>
          <cell r="K657">
            <v>2</v>
          </cell>
          <cell r="L657">
            <v>5</v>
          </cell>
          <cell r="M657">
            <v>10</v>
          </cell>
          <cell r="N657">
            <v>20</v>
          </cell>
          <cell r="O657">
            <v>30</v>
          </cell>
          <cell r="P657">
            <v>60</v>
          </cell>
        </row>
        <row r="658">
          <cell r="A658" t="str">
            <v>HFCHS101.6x10</v>
          </cell>
          <cell r="B658" t="str">
            <v>a=1.0 x t</v>
          </cell>
          <cell r="C658">
            <v>10</v>
          </cell>
          <cell r="D658"/>
          <cell r="E658"/>
          <cell r="F658">
            <v>2</v>
          </cell>
          <cell r="G658">
            <v>6</v>
          </cell>
          <cell r="H658">
            <v>0.31900000000000001</v>
          </cell>
          <cell r="I658">
            <v>1.411504424778761E-2</v>
          </cell>
          <cell r="J658">
            <v>22.6</v>
          </cell>
          <cell r="K658">
            <v>5</v>
          </cell>
          <cell r="L658">
            <v>10</v>
          </cell>
          <cell r="M658">
            <v>20</v>
          </cell>
          <cell r="N658">
            <v>30</v>
          </cell>
          <cell r="O658">
            <v>60</v>
          </cell>
          <cell r="P658">
            <v>90</v>
          </cell>
        </row>
        <row r="659">
          <cell r="A659" t="str">
            <v>HFCHS114.3x3.2</v>
          </cell>
          <cell r="B659" t="str">
            <v>a=1.0 x t</v>
          </cell>
          <cell r="C659">
            <v>3.2</v>
          </cell>
          <cell r="D659"/>
          <cell r="E659"/>
          <cell r="F659">
            <v>1</v>
          </cell>
          <cell r="G659">
            <v>1</v>
          </cell>
          <cell r="H659">
            <v>0.35899999999999999</v>
          </cell>
          <cell r="I659">
            <v>4.0795454545454538E-2</v>
          </cell>
          <cell r="J659">
            <v>8.8000000000000007</v>
          </cell>
          <cell r="K659">
            <v>2</v>
          </cell>
          <cell r="L659">
            <v>5</v>
          </cell>
          <cell r="M659">
            <v>10</v>
          </cell>
          <cell r="N659">
            <v>20</v>
          </cell>
          <cell r="O659">
            <v>30</v>
          </cell>
          <cell r="P659">
            <v>60</v>
          </cell>
        </row>
        <row r="660">
          <cell r="A660" t="str">
            <v>HFCHS114.3x3.6</v>
          </cell>
          <cell r="B660" t="str">
            <v>a=1.0 x t</v>
          </cell>
          <cell r="C660">
            <v>3.6</v>
          </cell>
          <cell r="D660"/>
          <cell r="E660"/>
          <cell r="F660">
            <v>1</v>
          </cell>
          <cell r="G660">
            <v>1</v>
          </cell>
          <cell r="H660">
            <v>0.35899999999999999</v>
          </cell>
          <cell r="I660">
            <v>3.6632653061224485E-2</v>
          </cell>
          <cell r="J660">
            <v>9.8000000000000007</v>
          </cell>
          <cell r="K660">
            <v>2</v>
          </cell>
          <cell r="L660">
            <v>5</v>
          </cell>
          <cell r="M660">
            <v>10</v>
          </cell>
          <cell r="N660">
            <v>20</v>
          </cell>
          <cell r="O660">
            <v>30</v>
          </cell>
          <cell r="P660">
            <v>60</v>
          </cell>
        </row>
        <row r="661">
          <cell r="A661" t="str">
            <v>HFCHS114.3x4</v>
          </cell>
          <cell r="B661" t="str">
            <v>a=1.0 x t</v>
          </cell>
          <cell r="C661">
            <v>4</v>
          </cell>
          <cell r="D661"/>
          <cell r="E661"/>
          <cell r="F661">
            <v>1</v>
          </cell>
          <cell r="G661">
            <v>1</v>
          </cell>
          <cell r="H661">
            <v>0.35899999999999999</v>
          </cell>
          <cell r="I661">
            <v>3.2935779816513758E-2</v>
          </cell>
          <cell r="J661">
            <v>10.9</v>
          </cell>
          <cell r="K661">
            <v>2</v>
          </cell>
          <cell r="L661">
            <v>5</v>
          </cell>
          <cell r="M661">
            <v>10</v>
          </cell>
          <cell r="N661">
            <v>20</v>
          </cell>
          <cell r="O661">
            <v>30</v>
          </cell>
          <cell r="P661">
            <v>60</v>
          </cell>
        </row>
        <row r="662">
          <cell r="A662" t="str">
            <v>HFCHS114.3x4.5</v>
          </cell>
          <cell r="B662" t="str">
            <v>a=1.0 x t</v>
          </cell>
          <cell r="C662">
            <v>4.5</v>
          </cell>
          <cell r="D662"/>
          <cell r="E662"/>
          <cell r="F662">
            <v>1</v>
          </cell>
          <cell r="G662">
            <v>1</v>
          </cell>
          <cell r="H662">
            <v>0.35899999999999999</v>
          </cell>
          <cell r="I662">
            <v>2.9426229508196722E-2</v>
          </cell>
          <cell r="J662">
            <v>12.2</v>
          </cell>
          <cell r="K662">
            <v>2</v>
          </cell>
          <cell r="L662">
            <v>5</v>
          </cell>
          <cell r="M662">
            <v>10</v>
          </cell>
          <cell r="N662">
            <v>20</v>
          </cell>
          <cell r="O662">
            <v>30</v>
          </cell>
          <cell r="P662">
            <v>60</v>
          </cell>
        </row>
        <row r="663">
          <cell r="A663" t="str">
            <v>HFCHS114.3x5</v>
          </cell>
          <cell r="B663" t="str">
            <v>a=1.0 x t</v>
          </cell>
          <cell r="C663">
            <v>5</v>
          </cell>
          <cell r="D663"/>
          <cell r="E663"/>
          <cell r="F663">
            <v>1</v>
          </cell>
          <cell r="G663">
            <v>1</v>
          </cell>
          <cell r="H663">
            <v>0.35899999999999999</v>
          </cell>
          <cell r="I663">
            <v>2.6592592592592591E-2</v>
          </cell>
          <cell r="J663">
            <v>13.5</v>
          </cell>
          <cell r="K663">
            <v>2</v>
          </cell>
          <cell r="L663">
            <v>5</v>
          </cell>
          <cell r="M663">
            <v>10</v>
          </cell>
          <cell r="N663">
            <v>20</v>
          </cell>
          <cell r="O663">
            <v>30</v>
          </cell>
          <cell r="P663">
            <v>60</v>
          </cell>
        </row>
        <row r="664">
          <cell r="A664" t="str">
            <v>HFCHS114.3x5.6</v>
          </cell>
          <cell r="B664" t="str">
            <v>a=1.0 x t</v>
          </cell>
          <cell r="C664">
            <v>5.6</v>
          </cell>
          <cell r="D664"/>
          <cell r="E664"/>
          <cell r="F664">
            <v>1</v>
          </cell>
          <cell r="G664">
            <v>1</v>
          </cell>
          <cell r="H664">
            <v>0.35899999999999999</v>
          </cell>
          <cell r="I664">
            <v>2.3933333333333331E-2</v>
          </cell>
          <cell r="J664">
            <v>15</v>
          </cell>
          <cell r="K664">
            <v>2</v>
          </cell>
          <cell r="L664">
            <v>5</v>
          </cell>
          <cell r="M664">
            <v>10</v>
          </cell>
          <cell r="N664">
            <v>20</v>
          </cell>
          <cell r="O664">
            <v>30</v>
          </cell>
          <cell r="P664">
            <v>60</v>
          </cell>
        </row>
        <row r="665">
          <cell r="A665" t="str">
            <v>HFCHS114.3x6.3</v>
          </cell>
          <cell r="B665" t="str">
            <v>a=1.0 x t</v>
          </cell>
          <cell r="C665">
            <v>6.3</v>
          </cell>
          <cell r="D665"/>
          <cell r="E665"/>
          <cell r="F665">
            <v>1</v>
          </cell>
          <cell r="G665">
            <v>1</v>
          </cell>
          <cell r="H665">
            <v>0.35899999999999999</v>
          </cell>
          <cell r="I665">
            <v>2.1369047619047617E-2</v>
          </cell>
          <cell r="J665">
            <v>16.8</v>
          </cell>
          <cell r="K665">
            <v>2</v>
          </cell>
          <cell r="L665">
            <v>5</v>
          </cell>
          <cell r="M665">
            <v>10</v>
          </cell>
          <cell r="N665">
            <v>20</v>
          </cell>
          <cell r="O665">
            <v>30</v>
          </cell>
          <cell r="P665">
            <v>60</v>
          </cell>
        </row>
        <row r="666">
          <cell r="A666" t="str">
            <v>HFCHS114.3x8</v>
          </cell>
          <cell r="B666" t="str">
            <v>a=1.0 x t</v>
          </cell>
          <cell r="C666">
            <v>8</v>
          </cell>
          <cell r="D666"/>
          <cell r="E666"/>
          <cell r="F666">
            <v>2</v>
          </cell>
          <cell r="G666">
            <v>3</v>
          </cell>
          <cell r="H666">
            <v>0.35899999999999999</v>
          </cell>
          <cell r="I666">
            <v>1.7095238095238094E-2</v>
          </cell>
          <cell r="J666">
            <v>21</v>
          </cell>
          <cell r="K666">
            <v>5</v>
          </cell>
          <cell r="L666">
            <v>10</v>
          </cell>
          <cell r="M666">
            <v>20</v>
          </cell>
          <cell r="N666">
            <v>30</v>
          </cell>
          <cell r="O666">
            <v>60</v>
          </cell>
          <cell r="P666">
            <v>90</v>
          </cell>
        </row>
        <row r="667">
          <cell r="A667" t="str">
            <v>HFCHS114.3x10</v>
          </cell>
          <cell r="B667" t="str">
            <v>a=1.0 x t</v>
          </cell>
          <cell r="C667">
            <v>10</v>
          </cell>
          <cell r="D667"/>
          <cell r="E667"/>
          <cell r="F667">
            <v>2</v>
          </cell>
          <cell r="G667">
            <v>6</v>
          </cell>
          <cell r="H667">
            <v>0.35899999999999999</v>
          </cell>
          <cell r="I667">
            <v>1.3968871595330739E-2</v>
          </cell>
          <cell r="J667">
            <v>25.7</v>
          </cell>
          <cell r="K667">
            <v>5</v>
          </cell>
          <cell r="L667">
            <v>10</v>
          </cell>
          <cell r="M667">
            <v>20</v>
          </cell>
          <cell r="N667">
            <v>30</v>
          </cell>
          <cell r="O667">
            <v>60</v>
          </cell>
          <cell r="P667">
            <v>90</v>
          </cell>
        </row>
        <row r="668">
          <cell r="A668" t="str">
            <v>HFCHS139.7x3.2</v>
          </cell>
          <cell r="B668" t="str">
            <v>a=1.0 x t</v>
          </cell>
          <cell r="C668">
            <v>3.2</v>
          </cell>
          <cell r="D668"/>
          <cell r="E668"/>
          <cell r="F668">
            <v>1</v>
          </cell>
          <cell r="G668">
            <v>1</v>
          </cell>
          <cell r="H668">
            <v>0.439</v>
          </cell>
          <cell r="I668">
            <v>4.0648148148148149E-2</v>
          </cell>
          <cell r="J668">
            <v>10.8</v>
          </cell>
          <cell r="K668">
            <v>2</v>
          </cell>
          <cell r="L668">
            <v>5</v>
          </cell>
          <cell r="M668">
            <v>10</v>
          </cell>
          <cell r="N668">
            <v>20</v>
          </cell>
          <cell r="O668">
            <v>30</v>
          </cell>
          <cell r="P668">
            <v>60</v>
          </cell>
        </row>
        <row r="669">
          <cell r="A669" t="str">
            <v>HFCHS139.7x3.6</v>
          </cell>
          <cell r="B669" t="str">
            <v>a=1.0 x t</v>
          </cell>
          <cell r="C669">
            <v>3.6</v>
          </cell>
          <cell r="D669"/>
          <cell r="E669"/>
          <cell r="F669">
            <v>1</v>
          </cell>
          <cell r="G669">
            <v>1</v>
          </cell>
          <cell r="H669">
            <v>0.439</v>
          </cell>
          <cell r="I669">
            <v>3.6280991735537192E-2</v>
          </cell>
          <cell r="J669">
            <v>12.1</v>
          </cell>
          <cell r="K669">
            <v>2</v>
          </cell>
          <cell r="L669">
            <v>5</v>
          </cell>
          <cell r="M669">
            <v>10</v>
          </cell>
          <cell r="N669">
            <v>20</v>
          </cell>
          <cell r="O669">
            <v>30</v>
          </cell>
          <cell r="P669">
            <v>60</v>
          </cell>
        </row>
        <row r="670">
          <cell r="A670" t="str">
            <v>HFCHS139.7x4</v>
          </cell>
          <cell r="B670" t="str">
            <v>a=1.0 x t</v>
          </cell>
          <cell r="C670">
            <v>4</v>
          </cell>
          <cell r="D670"/>
          <cell r="E670"/>
          <cell r="F670">
            <v>1</v>
          </cell>
          <cell r="G670">
            <v>1</v>
          </cell>
          <cell r="H670">
            <v>0.439</v>
          </cell>
          <cell r="I670">
            <v>3.2761194029850747E-2</v>
          </cell>
          <cell r="J670">
            <v>13.4</v>
          </cell>
          <cell r="K670">
            <v>2</v>
          </cell>
          <cell r="L670">
            <v>5</v>
          </cell>
          <cell r="M670">
            <v>10</v>
          </cell>
          <cell r="N670">
            <v>20</v>
          </cell>
          <cell r="O670">
            <v>30</v>
          </cell>
          <cell r="P670">
            <v>60</v>
          </cell>
        </row>
        <row r="671">
          <cell r="A671" t="str">
            <v>HFCHS139.7x4.5</v>
          </cell>
          <cell r="B671" t="str">
            <v>a=1.0 x t</v>
          </cell>
          <cell r="C671">
            <v>4.5</v>
          </cell>
          <cell r="D671"/>
          <cell r="E671"/>
          <cell r="F671">
            <v>1</v>
          </cell>
          <cell r="G671">
            <v>1</v>
          </cell>
          <cell r="H671">
            <v>0.439</v>
          </cell>
          <cell r="I671">
            <v>2.9266666666666667E-2</v>
          </cell>
          <cell r="J671">
            <v>15</v>
          </cell>
          <cell r="K671">
            <v>2</v>
          </cell>
          <cell r="L671">
            <v>5</v>
          </cell>
          <cell r="M671">
            <v>10</v>
          </cell>
          <cell r="N671">
            <v>20</v>
          </cell>
          <cell r="O671">
            <v>30</v>
          </cell>
          <cell r="P671">
            <v>60</v>
          </cell>
        </row>
        <row r="672">
          <cell r="A672" t="str">
            <v>HFCHS139.7x5</v>
          </cell>
          <cell r="B672" t="str">
            <v>a=1.0 x t</v>
          </cell>
          <cell r="C672">
            <v>5</v>
          </cell>
          <cell r="D672"/>
          <cell r="E672"/>
          <cell r="F672">
            <v>1</v>
          </cell>
          <cell r="G672">
            <v>1</v>
          </cell>
          <cell r="H672">
            <v>0.439</v>
          </cell>
          <cell r="I672">
            <v>2.6445783132530119E-2</v>
          </cell>
          <cell r="J672">
            <v>16.600000000000001</v>
          </cell>
          <cell r="K672">
            <v>2</v>
          </cell>
          <cell r="L672">
            <v>5</v>
          </cell>
          <cell r="M672">
            <v>10</v>
          </cell>
          <cell r="N672">
            <v>20</v>
          </cell>
          <cell r="O672">
            <v>30</v>
          </cell>
          <cell r="P672">
            <v>60</v>
          </cell>
        </row>
        <row r="673">
          <cell r="A673" t="str">
            <v>HFCHS139.7x5.6</v>
          </cell>
          <cell r="B673" t="str">
            <v>a=1.0 x t</v>
          </cell>
          <cell r="C673">
            <v>5.6</v>
          </cell>
          <cell r="D673"/>
          <cell r="E673"/>
          <cell r="F673">
            <v>1</v>
          </cell>
          <cell r="G673">
            <v>1</v>
          </cell>
          <cell r="H673">
            <v>0.439</v>
          </cell>
          <cell r="I673">
            <v>2.372972972972973E-2</v>
          </cell>
          <cell r="J673">
            <v>18.5</v>
          </cell>
          <cell r="K673">
            <v>2</v>
          </cell>
          <cell r="L673">
            <v>5</v>
          </cell>
          <cell r="M673">
            <v>10</v>
          </cell>
          <cell r="N673">
            <v>20</v>
          </cell>
          <cell r="O673">
            <v>30</v>
          </cell>
          <cell r="P673">
            <v>60</v>
          </cell>
        </row>
        <row r="674">
          <cell r="A674" t="str">
            <v>HFCHS139.7x6.3</v>
          </cell>
          <cell r="B674" t="str">
            <v>a=1.0 x t</v>
          </cell>
          <cell r="C674">
            <v>6.3</v>
          </cell>
          <cell r="D674"/>
          <cell r="E674"/>
          <cell r="F674">
            <v>2</v>
          </cell>
          <cell r="G674">
            <v>1</v>
          </cell>
          <cell r="H674">
            <v>0.439</v>
          </cell>
          <cell r="I674">
            <v>2.1207729468599036E-2</v>
          </cell>
          <cell r="J674">
            <v>20.7</v>
          </cell>
          <cell r="K674">
            <v>5</v>
          </cell>
          <cell r="L674">
            <v>10</v>
          </cell>
          <cell r="M674">
            <v>20</v>
          </cell>
          <cell r="N674">
            <v>30</v>
          </cell>
          <cell r="O674">
            <v>60</v>
          </cell>
          <cell r="P674">
            <v>90</v>
          </cell>
        </row>
        <row r="675">
          <cell r="A675" t="str">
            <v>HFCHS139.7x8</v>
          </cell>
          <cell r="B675" t="str">
            <v>a=1.0 x t</v>
          </cell>
          <cell r="C675">
            <v>8</v>
          </cell>
          <cell r="D675"/>
          <cell r="E675"/>
          <cell r="F675">
            <v>2</v>
          </cell>
          <cell r="G675">
            <v>3</v>
          </cell>
          <cell r="H675">
            <v>0.439</v>
          </cell>
          <cell r="I675">
            <v>1.6884615384615383E-2</v>
          </cell>
          <cell r="J675">
            <v>26</v>
          </cell>
          <cell r="K675">
            <v>5</v>
          </cell>
          <cell r="L675">
            <v>10</v>
          </cell>
          <cell r="M675">
            <v>20</v>
          </cell>
          <cell r="N675">
            <v>30</v>
          </cell>
          <cell r="O675">
            <v>60</v>
          </cell>
          <cell r="P675">
            <v>90</v>
          </cell>
        </row>
        <row r="676">
          <cell r="A676" t="str">
            <v>HFCHS139.7x10</v>
          </cell>
          <cell r="B676" t="str">
            <v>a=1.0 x t</v>
          </cell>
          <cell r="C676">
            <v>10</v>
          </cell>
          <cell r="D676"/>
          <cell r="E676"/>
          <cell r="F676">
            <v>2</v>
          </cell>
          <cell r="G676">
            <v>6</v>
          </cell>
          <cell r="H676">
            <v>0.439</v>
          </cell>
          <cell r="I676">
            <v>1.371875E-2</v>
          </cell>
          <cell r="J676">
            <v>32</v>
          </cell>
          <cell r="K676">
            <v>5</v>
          </cell>
          <cell r="L676">
            <v>10</v>
          </cell>
          <cell r="M676">
            <v>20</v>
          </cell>
          <cell r="N676">
            <v>30</v>
          </cell>
          <cell r="O676">
            <v>60</v>
          </cell>
          <cell r="P676">
            <v>90</v>
          </cell>
        </row>
        <row r="677">
          <cell r="A677" t="str">
            <v>HFCHS139.7x12.5</v>
          </cell>
          <cell r="B677" t="str">
            <v>a=1.0 x t</v>
          </cell>
          <cell r="C677">
            <v>12.5</v>
          </cell>
          <cell r="D677"/>
          <cell r="E677" t="str">
            <v>Jah</v>
          </cell>
          <cell r="F677">
            <v>2</v>
          </cell>
          <cell r="G677">
            <v>6</v>
          </cell>
          <cell r="H677">
            <v>0.439</v>
          </cell>
          <cell r="I677">
            <v>1.1198979591836734E-2</v>
          </cell>
          <cell r="J677">
            <v>39.200000000000003</v>
          </cell>
          <cell r="K677">
            <v>5</v>
          </cell>
          <cell r="L677">
            <v>10</v>
          </cell>
          <cell r="M677">
            <v>20</v>
          </cell>
          <cell r="N677">
            <v>30</v>
          </cell>
          <cell r="O677">
            <v>60</v>
          </cell>
          <cell r="P677">
            <v>90</v>
          </cell>
        </row>
        <row r="678">
          <cell r="A678" t="str">
            <v>HFCHS168.3x4</v>
          </cell>
          <cell r="B678" t="str">
            <v>a=1.0 x t</v>
          </cell>
          <cell r="C678">
            <v>4</v>
          </cell>
          <cell r="D678"/>
          <cell r="E678"/>
          <cell r="F678">
            <v>1</v>
          </cell>
          <cell r="G678">
            <v>1</v>
          </cell>
          <cell r="H678">
            <v>0.52900000000000003</v>
          </cell>
          <cell r="I678">
            <v>3.2654320987654327E-2</v>
          </cell>
          <cell r="J678">
            <v>16.2</v>
          </cell>
          <cell r="K678">
            <v>2</v>
          </cell>
          <cell r="L678">
            <v>5</v>
          </cell>
          <cell r="M678">
            <v>10</v>
          </cell>
          <cell r="N678">
            <v>20</v>
          </cell>
          <cell r="O678">
            <v>30</v>
          </cell>
          <cell r="P678">
            <v>60</v>
          </cell>
        </row>
        <row r="679">
          <cell r="A679" t="str">
            <v>HFCHS168.3x5</v>
          </cell>
          <cell r="B679" t="str">
            <v>a=1.0 x t</v>
          </cell>
          <cell r="C679">
            <v>5</v>
          </cell>
          <cell r="D679"/>
          <cell r="E679"/>
          <cell r="F679">
            <v>2</v>
          </cell>
          <cell r="G679">
            <v>2</v>
          </cell>
          <cell r="H679">
            <v>0.52900000000000003</v>
          </cell>
          <cell r="I679">
            <v>2.6318407960199006E-2</v>
          </cell>
          <cell r="J679">
            <v>20.100000000000001</v>
          </cell>
          <cell r="K679">
            <v>5</v>
          </cell>
          <cell r="L679">
            <v>10</v>
          </cell>
          <cell r="M679">
            <v>20</v>
          </cell>
          <cell r="N679">
            <v>30</v>
          </cell>
          <cell r="O679">
            <v>60</v>
          </cell>
          <cell r="P679">
            <v>90</v>
          </cell>
        </row>
        <row r="680">
          <cell r="A680" t="str">
            <v>HFCHS168.3x5.6</v>
          </cell>
          <cell r="B680" t="str">
            <v>a=1.0 x t</v>
          </cell>
          <cell r="C680">
            <v>5.6</v>
          </cell>
          <cell r="D680"/>
          <cell r="E680"/>
          <cell r="F680">
            <v>2</v>
          </cell>
          <cell r="G680">
            <v>2</v>
          </cell>
          <cell r="H680">
            <v>0.52900000000000003</v>
          </cell>
          <cell r="I680">
            <v>2.3511111111111111E-2</v>
          </cell>
          <cell r="J680">
            <v>22.5</v>
          </cell>
          <cell r="K680">
            <v>5</v>
          </cell>
          <cell r="L680">
            <v>10</v>
          </cell>
          <cell r="M680">
            <v>20</v>
          </cell>
          <cell r="N680">
            <v>30</v>
          </cell>
          <cell r="O680">
            <v>60</v>
          </cell>
          <cell r="P680">
            <v>90</v>
          </cell>
        </row>
        <row r="681">
          <cell r="A681" t="str">
            <v>HFCHS168.3x6.3</v>
          </cell>
          <cell r="B681" t="str">
            <v>a=1.0 x t</v>
          </cell>
          <cell r="C681">
            <v>6.3</v>
          </cell>
          <cell r="D681"/>
          <cell r="E681"/>
          <cell r="F681">
            <v>2</v>
          </cell>
          <cell r="G681">
            <v>2</v>
          </cell>
          <cell r="H681">
            <v>0.52900000000000003</v>
          </cell>
          <cell r="I681">
            <v>2.0992063492063492E-2</v>
          </cell>
          <cell r="J681">
            <v>25.2</v>
          </cell>
          <cell r="K681">
            <v>5</v>
          </cell>
          <cell r="L681">
            <v>10</v>
          </cell>
          <cell r="M681">
            <v>20</v>
          </cell>
          <cell r="N681">
            <v>30</v>
          </cell>
          <cell r="O681">
            <v>60</v>
          </cell>
          <cell r="P681">
            <v>90</v>
          </cell>
        </row>
        <row r="682">
          <cell r="A682" t="str">
            <v>HFCHS168.3x8</v>
          </cell>
          <cell r="B682" t="str">
            <v>a=1.0 x t</v>
          </cell>
          <cell r="C682">
            <v>8</v>
          </cell>
          <cell r="D682"/>
          <cell r="E682"/>
          <cell r="F682">
            <v>2</v>
          </cell>
          <cell r="G682">
            <v>3</v>
          </cell>
          <cell r="H682">
            <v>0.52900000000000003</v>
          </cell>
          <cell r="I682">
            <v>1.6740506329113926E-2</v>
          </cell>
          <cell r="J682">
            <v>31.6</v>
          </cell>
          <cell r="K682">
            <v>5</v>
          </cell>
          <cell r="L682">
            <v>10</v>
          </cell>
          <cell r="M682">
            <v>20</v>
          </cell>
          <cell r="N682">
            <v>30</v>
          </cell>
          <cell r="O682">
            <v>60</v>
          </cell>
          <cell r="P682">
            <v>90</v>
          </cell>
        </row>
        <row r="683">
          <cell r="A683" t="str">
            <v>HFCHS168.3x10</v>
          </cell>
          <cell r="B683" t="str">
            <v>a=1.0 x t</v>
          </cell>
          <cell r="C683">
            <v>10</v>
          </cell>
          <cell r="D683"/>
          <cell r="E683"/>
          <cell r="F683">
            <v>2</v>
          </cell>
          <cell r="G683">
            <v>6</v>
          </cell>
          <cell r="H683">
            <v>0.52900000000000003</v>
          </cell>
          <cell r="I683">
            <v>1.3564102564102565E-2</v>
          </cell>
          <cell r="J683">
            <v>39</v>
          </cell>
          <cell r="K683">
            <v>5</v>
          </cell>
          <cell r="L683">
            <v>10</v>
          </cell>
          <cell r="M683">
            <v>20</v>
          </cell>
          <cell r="N683">
            <v>30</v>
          </cell>
          <cell r="O683">
            <v>60</v>
          </cell>
          <cell r="P683">
            <v>90</v>
          </cell>
        </row>
        <row r="684">
          <cell r="A684" t="str">
            <v>HFCHS168.3x12.5</v>
          </cell>
          <cell r="B684" t="str">
            <v>a=1.0 x t</v>
          </cell>
          <cell r="C684">
            <v>12.5</v>
          </cell>
          <cell r="D684"/>
          <cell r="E684" t="str">
            <v>Jah</v>
          </cell>
          <cell r="F684">
            <v>2</v>
          </cell>
          <cell r="G684">
            <v>6</v>
          </cell>
          <cell r="H684">
            <v>0.52900000000000003</v>
          </cell>
          <cell r="I684">
            <v>1.1020833333333334E-2</v>
          </cell>
          <cell r="J684">
            <v>48</v>
          </cell>
          <cell r="K684">
            <v>5</v>
          </cell>
          <cell r="L684">
            <v>10</v>
          </cell>
          <cell r="M684">
            <v>20</v>
          </cell>
          <cell r="N684">
            <v>30</v>
          </cell>
          <cell r="O684">
            <v>60</v>
          </cell>
          <cell r="P684">
            <v>90</v>
          </cell>
        </row>
        <row r="685">
          <cell r="A685" t="str">
            <v>HFCHS193.7x5</v>
          </cell>
          <cell r="B685" t="str">
            <v>a=1.0 x t</v>
          </cell>
          <cell r="C685">
            <v>5</v>
          </cell>
          <cell r="D685"/>
          <cell r="E685"/>
          <cell r="F685">
            <v>2</v>
          </cell>
          <cell r="G685">
            <v>2</v>
          </cell>
          <cell r="H685">
            <v>0.60899999999999999</v>
          </cell>
          <cell r="I685">
            <v>2.613733905579399E-2</v>
          </cell>
          <cell r="J685">
            <v>23.3</v>
          </cell>
          <cell r="K685">
            <v>5</v>
          </cell>
          <cell r="L685">
            <v>10</v>
          </cell>
          <cell r="M685">
            <v>20</v>
          </cell>
          <cell r="N685">
            <v>30</v>
          </cell>
          <cell r="O685">
            <v>60</v>
          </cell>
          <cell r="P685">
            <v>90</v>
          </cell>
        </row>
        <row r="686">
          <cell r="A686" t="str">
            <v>HFCHS193.7x5.6</v>
          </cell>
          <cell r="B686" t="str">
            <v>a=1.0 x t</v>
          </cell>
          <cell r="C686">
            <v>5.6</v>
          </cell>
          <cell r="D686"/>
          <cell r="E686"/>
          <cell r="F686">
            <v>2</v>
          </cell>
          <cell r="G686">
            <v>2</v>
          </cell>
          <cell r="H686">
            <v>0.60899999999999999</v>
          </cell>
          <cell r="I686">
            <v>2.3423076923076921E-2</v>
          </cell>
          <cell r="J686">
            <v>26</v>
          </cell>
          <cell r="K686">
            <v>5</v>
          </cell>
          <cell r="L686">
            <v>10</v>
          </cell>
          <cell r="M686">
            <v>20</v>
          </cell>
          <cell r="N686">
            <v>30</v>
          </cell>
          <cell r="O686">
            <v>60</v>
          </cell>
          <cell r="P686">
            <v>90</v>
          </cell>
        </row>
        <row r="687">
          <cell r="A687" t="str">
            <v>HFCHS193.7x6.3</v>
          </cell>
          <cell r="B687" t="str">
            <v>a=1.0 x t</v>
          </cell>
          <cell r="C687">
            <v>6.3</v>
          </cell>
          <cell r="D687"/>
          <cell r="E687"/>
          <cell r="F687">
            <v>2</v>
          </cell>
          <cell r="G687">
            <v>2</v>
          </cell>
          <cell r="H687">
            <v>0.60899999999999999</v>
          </cell>
          <cell r="I687">
            <v>2.0927835051546391E-2</v>
          </cell>
          <cell r="J687">
            <v>29.1</v>
          </cell>
          <cell r="K687">
            <v>5</v>
          </cell>
          <cell r="L687">
            <v>10</v>
          </cell>
          <cell r="M687">
            <v>20</v>
          </cell>
          <cell r="N687">
            <v>30</v>
          </cell>
          <cell r="O687">
            <v>60</v>
          </cell>
          <cell r="P687">
            <v>90</v>
          </cell>
        </row>
        <row r="688">
          <cell r="A688" t="str">
            <v>HFCHS193.7x8</v>
          </cell>
          <cell r="B688" t="str">
            <v>a=1.0 x t</v>
          </cell>
          <cell r="C688">
            <v>8</v>
          </cell>
          <cell r="D688"/>
          <cell r="E688"/>
          <cell r="F688">
            <v>2</v>
          </cell>
          <cell r="G688">
            <v>3</v>
          </cell>
          <cell r="H688">
            <v>0.60899999999999999</v>
          </cell>
          <cell r="I688">
            <v>1.6639344262295082E-2</v>
          </cell>
          <cell r="J688">
            <v>36.6</v>
          </cell>
          <cell r="K688">
            <v>5</v>
          </cell>
          <cell r="L688">
            <v>10</v>
          </cell>
          <cell r="M688">
            <v>20</v>
          </cell>
          <cell r="N688">
            <v>30</v>
          </cell>
          <cell r="O688">
            <v>60</v>
          </cell>
          <cell r="P688">
            <v>90</v>
          </cell>
        </row>
        <row r="689">
          <cell r="A689" t="str">
            <v>HFCHS193.7x10</v>
          </cell>
          <cell r="B689" t="str">
            <v>a=1.0 x t</v>
          </cell>
          <cell r="C689">
            <v>10</v>
          </cell>
          <cell r="D689"/>
          <cell r="E689"/>
          <cell r="F689">
            <v>2</v>
          </cell>
          <cell r="G689">
            <v>6</v>
          </cell>
          <cell r="H689">
            <v>0.60899999999999999</v>
          </cell>
          <cell r="I689">
            <v>1.3443708609271524E-2</v>
          </cell>
          <cell r="J689">
            <v>45.3</v>
          </cell>
          <cell r="K689">
            <v>5</v>
          </cell>
          <cell r="L689">
            <v>10</v>
          </cell>
          <cell r="M689">
            <v>20</v>
          </cell>
          <cell r="N689">
            <v>30</v>
          </cell>
          <cell r="O689">
            <v>60</v>
          </cell>
          <cell r="P689">
            <v>90</v>
          </cell>
        </row>
        <row r="690">
          <cell r="A690" t="str">
            <v>HFCHS193.7x12.5</v>
          </cell>
          <cell r="B690" t="str">
            <v>a=1.0 x t</v>
          </cell>
          <cell r="C690">
            <v>12.5</v>
          </cell>
          <cell r="D690"/>
          <cell r="E690" t="str">
            <v>Jah</v>
          </cell>
          <cell r="F690">
            <v>2</v>
          </cell>
          <cell r="G690">
            <v>6</v>
          </cell>
          <cell r="H690">
            <v>0.60899999999999999</v>
          </cell>
          <cell r="I690">
            <v>1.0894454382826477E-2</v>
          </cell>
          <cell r="J690">
            <v>55.9</v>
          </cell>
          <cell r="K690">
            <v>5</v>
          </cell>
          <cell r="L690">
            <v>10</v>
          </cell>
          <cell r="M690">
            <v>20</v>
          </cell>
          <cell r="N690">
            <v>30</v>
          </cell>
          <cell r="O690">
            <v>60</v>
          </cell>
          <cell r="P690">
            <v>90</v>
          </cell>
        </row>
        <row r="691">
          <cell r="A691" t="str">
            <v>HFCHS193.7x16</v>
          </cell>
          <cell r="B691" t="str">
            <v>a=1.0 x t</v>
          </cell>
          <cell r="C691">
            <v>16</v>
          </cell>
          <cell r="D691"/>
          <cell r="E691" t="str">
            <v>Jah</v>
          </cell>
          <cell r="F691">
            <v>2</v>
          </cell>
          <cell r="G691">
            <v>10</v>
          </cell>
          <cell r="H691">
            <v>0.60899999999999999</v>
          </cell>
          <cell r="I691">
            <v>8.6875891583452214E-3</v>
          </cell>
          <cell r="J691">
            <v>70.099999999999994</v>
          </cell>
          <cell r="K691">
            <v>5</v>
          </cell>
          <cell r="L691">
            <v>10</v>
          </cell>
          <cell r="M691">
            <v>20</v>
          </cell>
          <cell r="N691">
            <v>30</v>
          </cell>
          <cell r="O691">
            <v>60</v>
          </cell>
          <cell r="P691">
            <v>90</v>
          </cell>
        </row>
        <row r="692">
          <cell r="A692" t="str">
            <v>HFCHS219.1x4.5</v>
          </cell>
          <cell r="B692" t="str">
            <v>a=1.0 x t</v>
          </cell>
          <cell r="C692">
            <v>4.5</v>
          </cell>
          <cell r="D692"/>
          <cell r="E692"/>
          <cell r="F692">
            <v>3</v>
          </cell>
          <cell r="G692">
            <v>1</v>
          </cell>
          <cell r="H692">
            <v>0.68799999999999994</v>
          </cell>
          <cell r="I692">
            <v>2.8907563025210081E-2</v>
          </cell>
          <cell r="J692">
            <v>23.8</v>
          </cell>
          <cell r="K692">
            <v>10</v>
          </cell>
          <cell r="L692">
            <v>20</v>
          </cell>
          <cell r="M692">
            <v>30</v>
          </cell>
          <cell r="N692">
            <v>40</v>
          </cell>
          <cell r="O692">
            <v>90</v>
          </cell>
          <cell r="P692">
            <v>120</v>
          </cell>
        </row>
        <row r="693">
          <cell r="A693" t="str">
            <v>HFCHS219.1x5</v>
          </cell>
          <cell r="B693" t="str">
            <v>a=1.0 x t</v>
          </cell>
          <cell r="C693">
            <v>5</v>
          </cell>
          <cell r="D693"/>
          <cell r="E693"/>
          <cell r="F693">
            <v>3</v>
          </cell>
          <cell r="G693">
            <v>2</v>
          </cell>
          <cell r="H693">
            <v>0.68799999999999994</v>
          </cell>
          <cell r="I693">
            <v>2.6060606060606058E-2</v>
          </cell>
          <cell r="J693">
            <v>26.4</v>
          </cell>
          <cell r="K693">
            <v>10</v>
          </cell>
          <cell r="L693">
            <v>20</v>
          </cell>
          <cell r="M693">
            <v>30</v>
          </cell>
          <cell r="N693">
            <v>40</v>
          </cell>
          <cell r="O693">
            <v>90</v>
          </cell>
          <cell r="P693">
            <v>120</v>
          </cell>
        </row>
        <row r="694">
          <cell r="A694" t="str">
            <v>HFCHS219.1x5.6</v>
          </cell>
          <cell r="B694" t="str">
            <v>a=1.0 x t</v>
          </cell>
          <cell r="C694">
            <v>5.6</v>
          </cell>
          <cell r="D694"/>
          <cell r="E694"/>
          <cell r="F694">
            <v>3</v>
          </cell>
          <cell r="G694">
            <v>2</v>
          </cell>
          <cell r="H694">
            <v>0.68799999999999994</v>
          </cell>
          <cell r="I694">
            <v>2.3322033898305082E-2</v>
          </cell>
          <cell r="J694">
            <v>29.5</v>
          </cell>
          <cell r="K694">
            <v>10</v>
          </cell>
          <cell r="L694">
            <v>20</v>
          </cell>
          <cell r="M694">
            <v>30</v>
          </cell>
          <cell r="N694">
            <v>40</v>
          </cell>
          <cell r="O694">
            <v>90</v>
          </cell>
          <cell r="P694">
            <v>120</v>
          </cell>
        </row>
        <row r="695">
          <cell r="A695" t="str">
            <v>HFCHS219.1x6.3</v>
          </cell>
          <cell r="B695" t="str">
            <v>a=1.0 x t</v>
          </cell>
          <cell r="C695">
            <v>6.3</v>
          </cell>
          <cell r="D695"/>
          <cell r="E695"/>
          <cell r="F695">
            <v>3</v>
          </cell>
          <cell r="G695">
            <v>2</v>
          </cell>
          <cell r="H695">
            <v>0.68799999999999994</v>
          </cell>
          <cell r="I695">
            <v>2.0785498489425978E-2</v>
          </cell>
          <cell r="J695">
            <v>33.1</v>
          </cell>
          <cell r="K695">
            <v>10</v>
          </cell>
          <cell r="L695">
            <v>20</v>
          </cell>
          <cell r="M695">
            <v>30</v>
          </cell>
          <cell r="N695">
            <v>40</v>
          </cell>
          <cell r="O695">
            <v>90</v>
          </cell>
          <cell r="P695">
            <v>120</v>
          </cell>
        </row>
        <row r="696">
          <cell r="A696" t="str">
            <v>HFCHS219.1x8</v>
          </cell>
          <cell r="B696" t="str">
            <v>a=1.0 x t</v>
          </cell>
          <cell r="C696">
            <v>8</v>
          </cell>
          <cell r="D696"/>
          <cell r="E696"/>
          <cell r="F696">
            <v>3</v>
          </cell>
          <cell r="G696">
            <v>3</v>
          </cell>
          <cell r="H696">
            <v>0.68799999999999994</v>
          </cell>
          <cell r="I696">
            <v>1.6538461538461537E-2</v>
          </cell>
          <cell r="J696">
            <v>41.6</v>
          </cell>
          <cell r="K696">
            <v>10</v>
          </cell>
          <cell r="L696">
            <v>20</v>
          </cell>
          <cell r="M696">
            <v>30</v>
          </cell>
          <cell r="N696">
            <v>40</v>
          </cell>
          <cell r="O696">
            <v>90</v>
          </cell>
          <cell r="P696">
            <v>120</v>
          </cell>
        </row>
        <row r="697">
          <cell r="A697" t="str">
            <v>HFCHS219.1x10</v>
          </cell>
          <cell r="B697" t="str">
            <v>a=1.0 x t</v>
          </cell>
          <cell r="C697">
            <v>10</v>
          </cell>
          <cell r="D697"/>
          <cell r="E697"/>
          <cell r="F697">
            <v>3</v>
          </cell>
          <cell r="G697">
            <v>6</v>
          </cell>
          <cell r="H697">
            <v>0.68799999999999994</v>
          </cell>
          <cell r="I697">
            <v>1.3333333333333332E-2</v>
          </cell>
          <cell r="J697">
            <v>51.6</v>
          </cell>
          <cell r="K697">
            <v>10</v>
          </cell>
          <cell r="L697">
            <v>20</v>
          </cell>
          <cell r="M697">
            <v>30</v>
          </cell>
          <cell r="N697">
            <v>40</v>
          </cell>
          <cell r="O697">
            <v>90</v>
          </cell>
          <cell r="P697">
            <v>120</v>
          </cell>
        </row>
        <row r="698">
          <cell r="A698" t="str">
            <v>HFCHS219.1x12.5</v>
          </cell>
          <cell r="B698" t="str">
            <v>a=1.0 x t</v>
          </cell>
          <cell r="C698">
            <v>12.5</v>
          </cell>
          <cell r="D698"/>
          <cell r="E698" t="str">
            <v>Jah</v>
          </cell>
          <cell r="F698">
            <v>3</v>
          </cell>
          <cell r="G698">
            <v>6</v>
          </cell>
          <cell r="H698">
            <v>0.68799999999999994</v>
          </cell>
          <cell r="I698">
            <v>1.0800627943485085E-2</v>
          </cell>
          <cell r="J698">
            <v>63.7</v>
          </cell>
          <cell r="K698">
            <v>10</v>
          </cell>
          <cell r="L698">
            <v>20</v>
          </cell>
          <cell r="M698">
            <v>30</v>
          </cell>
          <cell r="N698">
            <v>40</v>
          </cell>
          <cell r="O698">
            <v>90</v>
          </cell>
          <cell r="P698">
            <v>120</v>
          </cell>
        </row>
        <row r="699">
          <cell r="A699" t="str">
            <v>HFCHS219.1x14.2</v>
          </cell>
          <cell r="B699" t="str">
            <v>a=1.0 x t</v>
          </cell>
          <cell r="C699">
            <v>14.2</v>
          </cell>
          <cell r="D699"/>
          <cell r="E699"/>
          <cell r="F699">
            <v>3</v>
          </cell>
          <cell r="G699">
            <v>10</v>
          </cell>
          <cell r="H699">
            <v>0.68799999999999994</v>
          </cell>
          <cell r="I699">
            <v>9.582172701949861E-3</v>
          </cell>
          <cell r="J699">
            <v>71.8</v>
          </cell>
          <cell r="K699">
            <v>10</v>
          </cell>
          <cell r="L699">
            <v>20</v>
          </cell>
          <cell r="M699">
            <v>30</v>
          </cell>
          <cell r="N699">
            <v>40</v>
          </cell>
          <cell r="O699">
            <v>90</v>
          </cell>
          <cell r="P699">
            <v>120</v>
          </cell>
        </row>
        <row r="700">
          <cell r="A700" t="str">
            <v>HFCHS219.1x16</v>
          </cell>
          <cell r="B700" t="str">
            <v>a=1.0 x t</v>
          </cell>
          <cell r="C700">
            <v>16</v>
          </cell>
          <cell r="D700"/>
          <cell r="E700" t="str">
            <v>Jah</v>
          </cell>
          <cell r="F700">
            <v>3</v>
          </cell>
          <cell r="G700">
            <v>10</v>
          </cell>
          <cell r="H700">
            <v>0.68799999999999994</v>
          </cell>
          <cell r="I700">
            <v>8.5892634207240942E-3</v>
          </cell>
          <cell r="J700">
            <v>80.099999999999994</v>
          </cell>
          <cell r="K700">
            <v>10</v>
          </cell>
          <cell r="L700">
            <v>20</v>
          </cell>
          <cell r="M700">
            <v>30</v>
          </cell>
          <cell r="N700">
            <v>40</v>
          </cell>
          <cell r="O700">
            <v>90</v>
          </cell>
          <cell r="P700">
            <v>120</v>
          </cell>
        </row>
        <row r="701">
          <cell r="A701" t="str">
            <v>HFCHS244.5x5</v>
          </cell>
          <cell r="B701" t="str">
            <v>a=1.0 x t</v>
          </cell>
          <cell r="C701">
            <v>5</v>
          </cell>
          <cell r="D701"/>
          <cell r="E701"/>
          <cell r="F701">
            <v>3</v>
          </cell>
          <cell r="G701">
            <v>2</v>
          </cell>
          <cell r="H701">
            <v>0.76800000000000002</v>
          </cell>
          <cell r="I701">
            <v>2.6033898305084745E-2</v>
          </cell>
          <cell r="J701">
            <v>29.5</v>
          </cell>
          <cell r="K701">
            <v>10</v>
          </cell>
          <cell r="L701">
            <v>20</v>
          </cell>
          <cell r="M701">
            <v>30</v>
          </cell>
          <cell r="N701">
            <v>40</v>
          </cell>
          <cell r="O701">
            <v>90</v>
          </cell>
          <cell r="P701">
            <v>120</v>
          </cell>
        </row>
        <row r="702">
          <cell r="A702" t="str">
            <v>HFCHS244.5x5.6</v>
          </cell>
          <cell r="B702" t="str">
            <v>a=1.0 x t</v>
          </cell>
          <cell r="C702">
            <v>5.6</v>
          </cell>
          <cell r="D702"/>
          <cell r="E702"/>
          <cell r="F702">
            <v>3</v>
          </cell>
          <cell r="G702">
            <v>2</v>
          </cell>
          <cell r="H702">
            <v>0.76800000000000002</v>
          </cell>
          <cell r="I702">
            <v>2.3272727272727275E-2</v>
          </cell>
          <cell r="J702">
            <v>33</v>
          </cell>
          <cell r="K702">
            <v>10</v>
          </cell>
          <cell r="L702">
            <v>20</v>
          </cell>
          <cell r="M702">
            <v>30</v>
          </cell>
          <cell r="N702">
            <v>40</v>
          </cell>
          <cell r="O702">
            <v>90</v>
          </cell>
          <cell r="P702">
            <v>120</v>
          </cell>
        </row>
        <row r="703">
          <cell r="A703" t="str">
            <v>HFCHS244.5x6.3</v>
          </cell>
          <cell r="B703" t="str">
            <v>a=1.0 x t</v>
          </cell>
          <cell r="C703">
            <v>6.3</v>
          </cell>
          <cell r="D703"/>
          <cell r="E703"/>
          <cell r="F703">
            <v>3</v>
          </cell>
          <cell r="G703">
            <v>2</v>
          </cell>
          <cell r="H703">
            <v>0.76800000000000002</v>
          </cell>
          <cell r="I703">
            <v>2.0756756756756756E-2</v>
          </cell>
          <cell r="J703">
            <v>37</v>
          </cell>
          <cell r="K703">
            <v>10</v>
          </cell>
          <cell r="L703">
            <v>20</v>
          </cell>
          <cell r="M703">
            <v>30</v>
          </cell>
          <cell r="N703">
            <v>40</v>
          </cell>
          <cell r="O703">
            <v>90</v>
          </cell>
          <cell r="P703">
            <v>120</v>
          </cell>
        </row>
        <row r="704">
          <cell r="A704" t="str">
            <v>HFCHS244.5x8</v>
          </cell>
          <cell r="B704" t="str">
            <v>a=1.0 x t</v>
          </cell>
          <cell r="C704">
            <v>8</v>
          </cell>
          <cell r="D704"/>
          <cell r="E704"/>
          <cell r="F704">
            <v>3</v>
          </cell>
          <cell r="G704">
            <v>3</v>
          </cell>
          <cell r="H704">
            <v>0.76800000000000002</v>
          </cell>
          <cell r="I704">
            <v>1.6445396145610278E-2</v>
          </cell>
          <cell r="J704">
            <v>46.7</v>
          </cell>
          <cell r="K704">
            <v>10</v>
          </cell>
          <cell r="L704">
            <v>20</v>
          </cell>
          <cell r="M704">
            <v>30</v>
          </cell>
          <cell r="N704">
            <v>40</v>
          </cell>
          <cell r="O704">
            <v>90</v>
          </cell>
          <cell r="P704">
            <v>120</v>
          </cell>
        </row>
        <row r="705">
          <cell r="A705" t="str">
            <v>HFCHS244.5x10</v>
          </cell>
          <cell r="B705" t="str">
            <v>a=1.0 x t</v>
          </cell>
          <cell r="C705">
            <v>10</v>
          </cell>
          <cell r="D705"/>
          <cell r="E705"/>
          <cell r="F705">
            <v>3</v>
          </cell>
          <cell r="G705">
            <v>6</v>
          </cell>
          <cell r="H705">
            <v>0.76800000000000002</v>
          </cell>
          <cell r="I705">
            <v>1.328719723183391E-2</v>
          </cell>
          <cell r="J705">
            <v>57.8</v>
          </cell>
          <cell r="K705">
            <v>10</v>
          </cell>
          <cell r="L705">
            <v>20</v>
          </cell>
          <cell r="M705">
            <v>30</v>
          </cell>
          <cell r="N705">
            <v>40</v>
          </cell>
          <cell r="O705">
            <v>90</v>
          </cell>
          <cell r="P705">
            <v>120</v>
          </cell>
        </row>
        <row r="706">
          <cell r="A706" t="str">
            <v>HFCHS244.5x12.5</v>
          </cell>
          <cell r="B706" t="str">
            <v>a=1.0 x t</v>
          </cell>
          <cell r="C706">
            <v>12.5</v>
          </cell>
          <cell r="D706"/>
          <cell r="E706" t="str">
            <v>Jah</v>
          </cell>
          <cell r="F706">
            <v>3</v>
          </cell>
          <cell r="G706">
            <v>6</v>
          </cell>
          <cell r="H706">
            <v>0.76800000000000002</v>
          </cell>
          <cell r="I706">
            <v>1.0741258741258742E-2</v>
          </cell>
          <cell r="J706">
            <v>71.5</v>
          </cell>
          <cell r="K706">
            <v>10</v>
          </cell>
          <cell r="L706">
            <v>20</v>
          </cell>
          <cell r="M706">
            <v>30</v>
          </cell>
          <cell r="N706">
            <v>40</v>
          </cell>
          <cell r="O706">
            <v>90</v>
          </cell>
          <cell r="P706">
            <v>120</v>
          </cell>
        </row>
        <row r="707">
          <cell r="A707" t="str">
            <v>HFCHS244.5x14.2</v>
          </cell>
          <cell r="B707" t="str">
            <v>a=1.0 x t</v>
          </cell>
          <cell r="C707">
            <v>14.2</v>
          </cell>
          <cell r="D707"/>
          <cell r="E707"/>
          <cell r="F707">
            <v>3</v>
          </cell>
          <cell r="G707">
            <v>10</v>
          </cell>
          <cell r="H707">
            <v>0.76800000000000002</v>
          </cell>
          <cell r="I707">
            <v>9.5285359801488851E-3</v>
          </cell>
          <cell r="J707">
            <v>80.599999999999994</v>
          </cell>
          <cell r="K707">
            <v>10</v>
          </cell>
          <cell r="L707">
            <v>20</v>
          </cell>
          <cell r="M707">
            <v>30</v>
          </cell>
          <cell r="N707">
            <v>40</v>
          </cell>
          <cell r="O707">
            <v>90</v>
          </cell>
          <cell r="P707">
            <v>120</v>
          </cell>
        </row>
        <row r="708">
          <cell r="A708" t="str">
            <v>HFCHS244.5x16</v>
          </cell>
          <cell r="B708" t="str">
            <v>a=1.0 x t</v>
          </cell>
          <cell r="C708">
            <v>16</v>
          </cell>
          <cell r="D708"/>
          <cell r="E708" t="str">
            <v>Jah</v>
          </cell>
          <cell r="F708">
            <v>3</v>
          </cell>
          <cell r="G708">
            <v>10</v>
          </cell>
          <cell r="H708">
            <v>0.76800000000000002</v>
          </cell>
          <cell r="I708">
            <v>8.5144124168514412E-3</v>
          </cell>
          <cell r="J708">
            <v>90.2</v>
          </cell>
          <cell r="K708">
            <v>10</v>
          </cell>
          <cell r="L708">
            <v>20</v>
          </cell>
          <cell r="M708">
            <v>30</v>
          </cell>
          <cell r="N708">
            <v>40</v>
          </cell>
          <cell r="O708">
            <v>90</v>
          </cell>
          <cell r="P708">
            <v>120</v>
          </cell>
        </row>
        <row r="709">
          <cell r="A709" t="str">
            <v>HFCHS273x5</v>
          </cell>
          <cell r="B709" t="str">
            <v>a=1.0 x t</v>
          </cell>
          <cell r="C709">
            <v>5</v>
          </cell>
          <cell r="D709"/>
          <cell r="E709"/>
          <cell r="F709">
            <v>3</v>
          </cell>
          <cell r="G709">
            <v>2</v>
          </cell>
          <cell r="H709">
            <v>0.85799999999999998</v>
          </cell>
          <cell r="I709">
            <v>2.5999999999999999E-2</v>
          </cell>
          <cell r="J709">
            <v>33</v>
          </cell>
          <cell r="K709">
            <v>10</v>
          </cell>
          <cell r="L709">
            <v>20</v>
          </cell>
          <cell r="M709">
            <v>30</v>
          </cell>
          <cell r="N709">
            <v>40</v>
          </cell>
          <cell r="O709">
            <v>90</v>
          </cell>
          <cell r="P709">
            <v>120</v>
          </cell>
        </row>
        <row r="710">
          <cell r="A710" t="str">
            <v>HFCHS273x5.6</v>
          </cell>
          <cell r="B710" t="str">
            <v>a=1.0 x t</v>
          </cell>
          <cell r="C710">
            <v>5.6</v>
          </cell>
          <cell r="D710"/>
          <cell r="E710"/>
          <cell r="F710">
            <v>3</v>
          </cell>
          <cell r="G710">
            <v>2</v>
          </cell>
          <cell r="H710">
            <v>0.85799999999999998</v>
          </cell>
          <cell r="I710">
            <v>2.3252032520325205E-2</v>
          </cell>
          <cell r="J710">
            <v>36.9</v>
          </cell>
          <cell r="K710">
            <v>10</v>
          </cell>
          <cell r="L710">
            <v>20</v>
          </cell>
          <cell r="M710">
            <v>30</v>
          </cell>
          <cell r="N710">
            <v>40</v>
          </cell>
          <cell r="O710">
            <v>90</v>
          </cell>
          <cell r="P710">
            <v>120</v>
          </cell>
        </row>
        <row r="711">
          <cell r="A711" t="str">
            <v>HFCHS273x6.3</v>
          </cell>
          <cell r="B711" t="str">
            <v>a=1.0 x t</v>
          </cell>
          <cell r="C711">
            <v>6.3</v>
          </cell>
          <cell r="D711"/>
          <cell r="E711"/>
          <cell r="F711">
            <v>3</v>
          </cell>
          <cell r="G711">
            <v>2</v>
          </cell>
          <cell r="H711">
            <v>0.85799999999999998</v>
          </cell>
          <cell r="I711">
            <v>2.0724637681159421E-2</v>
          </cell>
          <cell r="J711">
            <v>41.4</v>
          </cell>
          <cell r="K711">
            <v>10</v>
          </cell>
          <cell r="L711">
            <v>20</v>
          </cell>
          <cell r="M711">
            <v>30</v>
          </cell>
          <cell r="N711">
            <v>40</v>
          </cell>
          <cell r="O711">
            <v>90</v>
          </cell>
          <cell r="P711">
            <v>120</v>
          </cell>
        </row>
        <row r="712">
          <cell r="A712" t="str">
            <v>HFCHS273x8</v>
          </cell>
          <cell r="B712" t="str">
            <v>a=1.0 x t</v>
          </cell>
          <cell r="C712">
            <v>8</v>
          </cell>
          <cell r="D712"/>
          <cell r="E712"/>
          <cell r="F712">
            <v>3</v>
          </cell>
          <cell r="G712">
            <v>3</v>
          </cell>
          <cell r="H712">
            <v>0.85799999999999998</v>
          </cell>
          <cell r="I712">
            <v>1.6405353728489485E-2</v>
          </cell>
          <cell r="J712">
            <v>52.3</v>
          </cell>
          <cell r="K712">
            <v>10</v>
          </cell>
          <cell r="L712">
            <v>20</v>
          </cell>
          <cell r="M712">
            <v>30</v>
          </cell>
          <cell r="N712">
            <v>40</v>
          </cell>
          <cell r="O712">
            <v>90</v>
          </cell>
          <cell r="P712">
            <v>120</v>
          </cell>
        </row>
        <row r="713">
          <cell r="A713" t="str">
            <v>HFCHS273x10</v>
          </cell>
          <cell r="B713" t="str">
            <v>a=1.0 x t</v>
          </cell>
          <cell r="C713">
            <v>10</v>
          </cell>
          <cell r="D713"/>
          <cell r="E713"/>
          <cell r="F713">
            <v>3</v>
          </cell>
          <cell r="G713">
            <v>6</v>
          </cell>
          <cell r="H713">
            <v>0.85799999999999998</v>
          </cell>
          <cell r="I713">
            <v>1.3220338983050845E-2</v>
          </cell>
          <cell r="J713">
            <v>64.900000000000006</v>
          </cell>
          <cell r="K713">
            <v>10</v>
          </cell>
          <cell r="L713">
            <v>20</v>
          </cell>
          <cell r="M713">
            <v>30</v>
          </cell>
          <cell r="N713">
            <v>40</v>
          </cell>
          <cell r="O713">
            <v>90</v>
          </cell>
          <cell r="P713">
            <v>120</v>
          </cell>
        </row>
        <row r="714">
          <cell r="A714" t="str">
            <v>HFCHS273x12.5</v>
          </cell>
          <cell r="B714" t="str">
            <v>a=1.0 x t</v>
          </cell>
          <cell r="C714">
            <v>12.5</v>
          </cell>
          <cell r="D714"/>
          <cell r="E714" t="str">
            <v>Jah</v>
          </cell>
          <cell r="F714">
            <v>3</v>
          </cell>
          <cell r="G714">
            <v>6</v>
          </cell>
          <cell r="H714">
            <v>0.85799999999999998</v>
          </cell>
          <cell r="I714">
            <v>1.0684931506849316E-2</v>
          </cell>
          <cell r="J714">
            <v>80.3</v>
          </cell>
          <cell r="K714">
            <v>10</v>
          </cell>
          <cell r="L714">
            <v>20</v>
          </cell>
          <cell r="M714">
            <v>30</v>
          </cell>
          <cell r="N714">
            <v>40</v>
          </cell>
          <cell r="O714">
            <v>90</v>
          </cell>
          <cell r="P714">
            <v>120</v>
          </cell>
        </row>
        <row r="715">
          <cell r="A715" t="str">
            <v>HFCHS273x14.2</v>
          </cell>
          <cell r="B715" t="str">
            <v>a=1.0 x t</v>
          </cell>
          <cell r="C715">
            <v>14.2</v>
          </cell>
          <cell r="D715"/>
          <cell r="E715"/>
          <cell r="F715">
            <v>3</v>
          </cell>
          <cell r="G715">
            <v>10</v>
          </cell>
          <cell r="H715">
            <v>0.85799999999999998</v>
          </cell>
          <cell r="I715">
            <v>9.470198675496689E-3</v>
          </cell>
          <cell r="J715">
            <v>90.6</v>
          </cell>
          <cell r="K715">
            <v>10</v>
          </cell>
          <cell r="L715">
            <v>20</v>
          </cell>
          <cell r="M715">
            <v>30</v>
          </cell>
          <cell r="N715">
            <v>40</v>
          </cell>
          <cell r="O715">
            <v>90</v>
          </cell>
          <cell r="P715">
            <v>120</v>
          </cell>
        </row>
        <row r="716">
          <cell r="A716" t="str">
            <v>HFCHS273x16</v>
          </cell>
          <cell r="B716" t="str">
            <v>a=1.0 x t</v>
          </cell>
          <cell r="C716">
            <v>16</v>
          </cell>
          <cell r="D716"/>
          <cell r="E716" t="str">
            <v>Jah</v>
          </cell>
          <cell r="F716">
            <v>3</v>
          </cell>
          <cell r="G716">
            <v>10</v>
          </cell>
          <cell r="H716">
            <v>0.85799999999999998</v>
          </cell>
          <cell r="I716">
            <v>8.4615384615384613E-3</v>
          </cell>
          <cell r="J716">
            <v>101.4</v>
          </cell>
          <cell r="K716">
            <v>10</v>
          </cell>
          <cell r="L716">
            <v>20</v>
          </cell>
          <cell r="M716">
            <v>30</v>
          </cell>
          <cell r="N716">
            <v>40</v>
          </cell>
          <cell r="O716">
            <v>90</v>
          </cell>
          <cell r="P716">
            <v>120</v>
          </cell>
        </row>
        <row r="717">
          <cell r="A717" t="str">
            <v>HFCHS273x25</v>
          </cell>
          <cell r="B717" t="str">
            <v>a=1.0 x t</v>
          </cell>
          <cell r="C717">
            <v>25</v>
          </cell>
          <cell r="D717"/>
          <cell r="E717"/>
          <cell r="F717">
            <v>3</v>
          </cell>
          <cell r="G717">
            <v>21</v>
          </cell>
          <cell r="H717">
            <v>0.85799999999999998</v>
          </cell>
          <cell r="I717">
            <v>5.6115107913669061E-3</v>
          </cell>
          <cell r="J717">
            <v>152.9</v>
          </cell>
          <cell r="K717">
            <v>10</v>
          </cell>
          <cell r="L717">
            <v>20</v>
          </cell>
          <cell r="M717">
            <v>30</v>
          </cell>
          <cell r="N717">
            <v>40</v>
          </cell>
          <cell r="O717">
            <v>90</v>
          </cell>
          <cell r="P717">
            <v>120</v>
          </cell>
        </row>
        <row r="718">
          <cell r="A718" t="str">
            <v>HFCHS323.9x5</v>
          </cell>
          <cell r="B718" t="str">
            <v>a=1.0 x t</v>
          </cell>
          <cell r="C718">
            <v>5</v>
          </cell>
          <cell r="D718"/>
          <cell r="E718"/>
          <cell r="F718">
            <v>3</v>
          </cell>
          <cell r="G718">
            <v>2</v>
          </cell>
          <cell r="H718">
            <v>1.018</v>
          </cell>
          <cell r="I718">
            <v>2.5903307888040714E-2</v>
          </cell>
          <cell r="J718">
            <v>39.299999999999997</v>
          </cell>
          <cell r="K718">
            <v>10</v>
          </cell>
          <cell r="L718">
            <v>20</v>
          </cell>
          <cell r="M718">
            <v>30</v>
          </cell>
          <cell r="N718">
            <v>40</v>
          </cell>
          <cell r="O718">
            <v>90</v>
          </cell>
          <cell r="P718">
            <v>120</v>
          </cell>
        </row>
        <row r="719">
          <cell r="A719" t="str">
            <v>HFCHS323.9x5.6</v>
          </cell>
          <cell r="B719" t="str">
            <v>a=1.0 x t</v>
          </cell>
          <cell r="C719">
            <v>5.6</v>
          </cell>
          <cell r="D719"/>
          <cell r="E719"/>
          <cell r="F719">
            <v>3</v>
          </cell>
          <cell r="G719">
            <v>2</v>
          </cell>
          <cell r="H719">
            <v>1.018</v>
          </cell>
          <cell r="I719">
            <v>2.3136363636363635E-2</v>
          </cell>
          <cell r="J719">
            <v>44</v>
          </cell>
          <cell r="K719">
            <v>10</v>
          </cell>
          <cell r="L719">
            <v>20</v>
          </cell>
          <cell r="M719">
            <v>30</v>
          </cell>
          <cell r="N719">
            <v>40</v>
          </cell>
          <cell r="O719">
            <v>90</v>
          </cell>
          <cell r="P719">
            <v>120</v>
          </cell>
        </row>
        <row r="720">
          <cell r="A720" t="str">
            <v>HFCHS323.9x6.3</v>
          </cell>
          <cell r="B720" t="str">
            <v>a=1.0 x t</v>
          </cell>
          <cell r="C720">
            <v>6.3</v>
          </cell>
          <cell r="D720"/>
          <cell r="E720"/>
          <cell r="F720">
            <v>3</v>
          </cell>
          <cell r="G720">
            <v>2</v>
          </cell>
          <cell r="H720">
            <v>1.018</v>
          </cell>
          <cell r="I720">
            <v>2.0649087221095336E-2</v>
          </cell>
          <cell r="J720">
            <v>49.3</v>
          </cell>
          <cell r="K720">
            <v>10</v>
          </cell>
          <cell r="L720">
            <v>20</v>
          </cell>
          <cell r="M720">
            <v>30</v>
          </cell>
          <cell r="N720">
            <v>40</v>
          </cell>
          <cell r="O720">
            <v>90</v>
          </cell>
          <cell r="P720">
            <v>120</v>
          </cell>
        </row>
        <row r="721">
          <cell r="A721" t="str">
            <v>HFCHS323.9x8</v>
          </cell>
          <cell r="B721" t="str">
            <v>a=1.0 x t</v>
          </cell>
          <cell r="C721">
            <v>8</v>
          </cell>
          <cell r="D721"/>
          <cell r="E721"/>
          <cell r="F721">
            <v>3</v>
          </cell>
          <cell r="G721">
            <v>3</v>
          </cell>
          <cell r="H721">
            <v>1.018</v>
          </cell>
          <cell r="I721">
            <v>1.6340288924558587E-2</v>
          </cell>
          <cell r="J721">
            <v>62.3</v>
          </cell>
          <cell r="K721">
            <v>10</v>
          </cell>
          <cell r="L721">
            <v>20</v>
          </cell>
          <cell r="M721">
            <v>30</v>
          </cell>
          <cell r="N721">
            <v>40</v>
          </cell>
          <cell r="O721">
            <v>90</v>
          </cell>
          <cell r="P721">
            <v>120</v>
          </cell>
        </row>
        <row r="722">
          <cell r="A722" t="str">
            <v>HFCHS323.9x10</v>
          </cell>
          <cell r="B722" t="str">
            <v>a=1.0 x t</v>
          </cell>
          <cell r="C722">
            <v>10</v>
          </cell>
          <cell r="D722"/>
          <cell r="E722"/>
          <cell r="F722">
            <v>3</v>
          </cell>
          <cell r="G722">
            <v>6</v>
          </cell>
          <cell r="H722">
            <v>1.018</v>
          </cell>
          <cell r="I722">
            <v>1.3152454780361757E-2</v>
          </cell>
          <cell r="J722">
            <v>77.400000000000006</v>
          </cell>
          <cell r="K722">
            <v>10</v>
          </cell>
          <cell r="L722">
            <v>20</v>
          </cell>
          <cell r="M722">
            <v>30</v>
          </cell>
          <cell r="N722">
            <v>40</v>
          </cell>
          <cell r="O722">
            <v>90</v>
          </cell>
          <cell r="P722">
            <v>120</v>
          </cell>
        </row>
        <row r="723">
          <cell r="A723" t="str">
            <v>HFCHS323.9x12.5</v>
          </cell>
          <cell r="B723" t="str">
            <v>a=1.0 x t</v>
          </cell>
          <cell r="C723">
            <v>12.5</v>
          </cell>
          <cell r="D723"/>
          <cell r="E723" t="str">
            <v>Jah</v>
          </cell>
          <cell r="F723">
            <v>3</v>
          </cell>
          <cell r="G723">
            <v>6</v>
          </cell>
          <cell r="H723">
            <v>1.018</v>
          </cell>
          <cell r="I723">
            <v>1.0604166666666666E-2</v>
          </cell>
          <cell r="J723">
            <v>96</v>
          </cell>
          <cell r="K723">
            <v>10</v>
          </cell>
          <cell r="L723">
            <v>20</v>
          </cell>
          <cell r="M723">
            <v>30</v>
          </cell>
          <cell r="N723">
            <v>40</v>
          </cell>
          <cell r="O723">
            <v>90</v>
          </cell>
          <cell r="P723">
            <v>120</v>
          </cell>
        </row>
        <row r="724">
          <cell r="A724" t="str">
            <v>HFCHS323.9x14.2</v>
          </cell>
          <cell r="B724" t="str">
            <v>a=1.0 x t</v>
          </cell>
          <cell r="C724">
            <v>14.2</v>
          </cell>
          <cell r="D724"/>
          <cell r="E724"/>
          <cell r="F724">
            <v>3</v>
          </cell>
          <cell r="G724">
            <v>10</v>
          </cell>
          <cell r="H724">
            <v>1.018</v>
          </cell>
          <cell r="I724">
            <v>9.4259259259259261E-3</v>
          </cell>
          <cell r="J724">
            <v>108</v>
          </cell>
          <cell r="K724">
            <v>10</v>
          </cell>
          <cell r="L724">
            <v>20</v>
          </cell>
          <cell r="M724">
            <v>30</v>
          </cell>
          <cell r="N724">
            <v>40</v>
          </cell>
          <cell r="O724">
            <v>90</v>
          </cell>
          <cell r="P724">
            <v>120</v>
          </cell>
        </row>
        <row r="725">
          <cell r="A725" t="str">
            <v>HFCHS323.9x16</v>
          </cell>
          <cell r="B725" t="str">
            <v>a=1.0 x t</v>
          </cell>
          <cell r="C725">
            <v>16</v>
          </cell>
          <cell r="D725"/>
          <cell r="E725" t="str">
            <v>Jah</v>
          </cell>
          <cell r="F725">
            <v>3</v>
          </cell>
          <cell r="G725">
            <v>10</v>
          </cell>
          <cell r="H725">
            <v>1.018</v>
          </cell>
          <cell r="I725">
            <v>8.4132231404958676E-3</v>
          </cell>
          <cell r="J725">
            <v>121</v>
          </cell>
          <cell r="K725">
            <v>10</v>
          </cell>
          <cell r="L725">
            <v>20</v>
          </cell>
          <cell r="M725">
            <v>30</v>
          </cell>
          <cell r="N725">
            <v>40</v>
          </cell>
          <cell r="O725">
            <v>90</v>
          </cell>
          <cell r="P725">
            <v>120</v>
          </cell>
        </row>
        <row r="726">
          <cell r="A726" t="str">
            <v>HFCHS323.9x20</v>
          </cell>
          <cell r="B726" t="str">
            <v>a=1.0 x t</v>
          </cell>
          <cell r="C726">
            <v>20</v>
          </cell>
          <cell r="D726"/>
          <cell r="E726"/>
          <cell r="F726">
            <v>3</v>
          </cell>
          <cell r="G726">
            <v>15</v>
          </cell>
          <cell r="H726">
            <v>1.018</v>
          </cell>
          <cell r="I726">
            <v>6.7911941294196126E-3</v>
          </cell>
          <cell r="J726">
            <v>149.9</v>
          </cell>
          <cell r="K726">
            <v>10</v>
          </cell>
          <cell r="L726">
            <v>20</v>
          </cell>
          <cell r="M726">
            <v>30</v>
          </cell>
          <cell r="N726">
            <v>40</v>
          </cell>
          <cell r="O726">
            <v>90</v>
          </cell>
          <cell r="P726">
            <v>120</v>
          </cell>
        </row>
        <row r="727">
          <cell r="A727" t="str">
            <v>HFCHS355.6x6.3</v>
          </cell>
          <cell r="B727" t="str">
            <v>a=1.0 x t</v>
          </cell>
          <cell r="C727">
            <v>6.3</v>
          </cell>
          <cell r="D727"/>
          <cell r="E727"/>
          <cell r="F727">
            <v>3</v>
          </cell>
          <cell r="G727">
            <v>2</v>
          </cell>
          <cell r="H727">
            <v>1.117</v>
          </cell>
          <cell r="I727">
            <v>2.0570902394106815E-2</v>
          </cell>
          <cell r="J727">
            <v>54.3</v>
          </cell>
          <cell r="K727">
            <v>10</v>
          </cell>
          <cell r="L727">
            <v>20</v>
          </cell>
          <cell r="M727">
            <v>30</v>
          </cell>
          <cell r="N727">
            <v>40</v>
          </cell>
          <cell r="O727">
            <v>90</v>
          </cell>
          <cell r="P727">
            <v>120</v>
          </cell>
        </row>
        <row r="728">
          <cell r="A728" t="str">
            <v>HFCHS355.6x8</v>
          </cell>
          <cell r="B728" t="str">
            <v>a=1.0 x t</v>
          </cell>
          <cell r="C728">
            <v>8</v>
          </cell>
          <cell r="D728"/>
          <cell r="E728"/>
          <cell r="F728">
            <v>3</v>
          </cell>
          <cell r="G728">
            <v>3</v>
          </cell>
          <cell r="H728">
            <v>1.117</v>
          </cell>
          <cell r="I728">
            <v>1.6282798833819244E-2</v>
          </cell>
          <cell r="J728">
            <v>68.599999999999994</v>
          </cell>
          <cell r="K728">
            <v>10</v>
          </cell>
          <cell r="L728">
            <v>20</v>
          </cell>
          <cell r="M728">
            <v>30</v>
          </cell>
          <cell r="N728">
            <v>40</v>
          </cell>
          <cell r="O728">
            <v>90</v>
          </cell>
          <cell r="P728">
            <v>120</v>
          </cell>
        </row>
        <row r="729">
          <cell r="A729" t="str">
            <v>HFCHS355.6x10</v>
          </cell>
          <cell r="B729" t="str">
            <v>a=1.0 x t</v>
          </cell>
          <cell r="C729">
            <v>10</v>
          </cell>
          <cell r="D729"/>
          <cell r="E729"/>
          <cell r="F729">
            <v>3</v>
          </cell>
          <cell r="G729">
            <v>6</v>
          </cell>
          <cell r="H729">
            <v>1.117</v>
          </cell>
          <cell r="I729">
            <v>1.3110328638497652E-2</v>
          </cell>
          <cell r="J729">
            <v>85.2</v>
          </cell>
          <cell r="K729">
            <v>10</v>
          </cell>
          <cell r="L729">
            <v>20</v>
          </cell>
          <cell r="M729">
            <v>30</v>
          </cell>
          <cell r="N729">
            <v>40</v>
          </cell>
          <cell r="O729">
            <v>90</v>
          </cell>
          <cell r="P729">
            <v>120</v>
          </cell>
        </row>
        <row r="730">
          <cell r="A730" t="str">
            <v>HFCHS355.6x12.5</v>
          </cell>
          <cell r="B730" t="str">
            <v>a=1.0 x t</v>
          </cell>
          <cell r="C730">
            <v>12.5</v>
          </cell>
          <cell r="D730"/>
          <cell r="E730" t="str">
            <v>Jah</v>
          </cell>
          <cell r="F730">
            <v>3</v>
          </cell>
          <cell r="G730">
            <v>6</v>
          </cell>
          <cell r="H730">
            <v>1.117</v>
          </cell>
          <cell r="I730">
            <v>1.055765595463138E-2</v>
          </cell>
          <cell r="J730">
            <v>105.8</v>
          </cell>
          <cell r="K730">
            <v>10</v>
          </cell>
          <cell r="L730">
            <v>20</v>
          </cell>
          <cell r="M730">
            <v>30</v>
          </cell>
          <cell r="N730">
            <v>40</v>
          </cell>
          <cell r="O730">
            <v>90</v>
          </cell>
          <cell r="P730">
            <v>120</v>
          </cell>
        </row>
        <row r="731">
          <cell r="A731" t="str">
            <v>HFCHS355.6x14.2</v>
          </cell>
          <cell r="B731" t="str">
            <v>a=1.0 x t</v>
          </cell>
          <cell r="C731">
            <v>14.2</v>
          </cell>
          <cell r="D731"/>
          <cell r="E731"/>
          <cell r="F731">
            <v>3</v>
          </cell>
          <cell r="G731">
            <v>10</v>
          </cell>
          <cell r="H731">
            <v>1.117</v>
          </cell>
          <cell r="I731">
            <v>9.3394648829431444E-3</v>
          </cell>
          <cell r="J731">
            <v>119.6</v>
          </cell>
          <cell r="K731">
            <v>10</v>
          </cell>
          <cell r="L731">
            <v>20</v>
          </cell>
          <cell r="M731">
            <v>30</v>
          </cell>
          <cell r="N731">
            <v>40</v>
          </cell>
          <cell r="O731">
            <v>90</v>
          </cell>
          <cell r="P731">
            <v>120</v>
          </cell>
        </row>
        <row r="732">
          <cell r="A732" t="str">
            <v>HFCHS355.6x16</v>
          </cell>
          <cell r="B732" t="str">
            <v>a=1.0 x t</v>
          </cell>
          <cell r="C732">
            <v>16</v>
          </cell>
          <cell r="D732"/>
          <cell r="E732" t="str">
            <v>Jah</v>
          </cell>
          <cell r="F732">
            <v>3</v>
          </cell>
          <cell r="G732">
            <v>10</v>
          </cell>
          <cell r="H732">
            <v>1.117</v>
          </cell>
          <cell r="I732">
            <v>8.3358208955223879E-3</v>
          </cell>
          <cell r="J732">
            <v>134</v>
          </cell>
          <cell r="K732">
            <v>10</v>
          </cell>
          <cell r="L732">
            <v>20</v>
          </cell>
          <cell r="M732">
            <v>30</v>
          </cell>
          <cell r="N732">
            <v>40</v>
          </cell>
          <cell r="O732">
            <v>90</v>
          </cell>
          <cell r="P732">
            <v>120</v>
          </cell>
        </row>
        <row r="733">
          <cell r="A733" t="str">
            <v>HFCHS406.4x6.3</v>
          </cell>
          <cell r="B733" t="str">
            <v>a=1.0 x t</v>
          </cell>
          <cell r="C733">
            <v>6.3</v>
          </cell>
          <cell r="D733"/>
          <cell r="E733"/>
          <cell r="F733">
            <v>3</v>
          </cell>
          <cell r="G733">
            <v>2</v>
          </cell>
          <cell r="H733">
            <v>1.2769999999999999</v>
          </cell>
          <cell r="I733">
            <v>2.0530546623794211E-2</v>
          </cell>
          <cell r="J733">
            <v>62.2</v>
          </cell>
          <cell r="K733">
            <v>10</v>
          </cell>
          <cell r="L733">
            <v>20</v>
          </cell>
          <cell r="M733">
            <v>30</v>
          </cell>
          <cell r="N733">
            <v>40</v>
          </cell>
          <cell r="O733">
            <v>90</v>
          </cell>
          <cell r="P733">
            <v>120</v>
          </cell>
        </row>
        <row r="734">
          <cell r="A734" t="str">
            <v>HFCHS406.4x8</v>
          </cell>
          <cell r="B734" t="str">
            <v>a=1.0 x t</v>
          </cell>
          <cell r="C734">
            <v>8</v>
          </cell>
          <cell r="D734"/>
          <cell r="E734"/>
          <cell r="F734">
            <v>3</v>
          </cell>
          <cell r="G734">
            <v>3</v>
          </cell>
          <cell r="H734">
            <v>1.2769999999999999</v>
          </cell>
          <cell r="I734">
            <v>1.6246819338422393E-2</v>
          </cell>
          <cell r="J734">
            <v>78.599999999999994</v>
          </cell>
          <cell r="K734">
            <v>10</v>
          </cell>
          <cell r="L734">
            <v>20</v>
          </cell>
          <cell r="M734">
            <v>30</v>
          </cell>
          <cell r="N734">
            <v>40</v>
          </cell>
          <cell r="O734">
            <v>90</v>
          </cell>
          <cell r="P734">
            <v>120</v>
          </cell>
        </row>
        <row r="735">
          <cell r="A735" t="str">
            <v>HFCHS406.4x10</v>
          </cell>
          <cell r="B735" t="str">
            <v>a=1.0 x t</v>
          </cell>
          <cell r="C735">
            <v>10</v>
          </cell>
          <cell r="D735"/>
          <cell r="E735"/>
          <cell r="F735">
            <v>3</v>
          </cell>
          <cell r="G735">
            <v>6</v>
          </cell>
          <cell r="H735">
            <v>1.2769999999999999</v>
          </cell>
          <cell r="I735">
            <v>1.3057259713701431E-2</v>
          </cell>
          <cell r="J735">
            <v>97.8</v>
          </cell>
          <cell r="K735">
            <v>10</v>
          </cell>
          <cell r="L735">
            <v>20</v>
          </cell>
          <cell r="M735">
            <v>30</v>
          </cell>
          <cell r="N735">
            <v>40</v>
          </cell>
          <cell r="O735">
            <v>90</v>
          </cell>
          <cell r="P735">
            <v>120</v>
          </cell>
        </row>
        <row r="736">
          <cell r="A736" t="str">
            <v>HFCHS406.4x12.5</v>
          </cell>
          <cell r="B736" t="str">
            <v>a=1.0 x t</v>
          </cell>
          <cell r="C736">
            <v>12.5</v>
          </cell>
          <cell r="D736"/>
          <cell r="E736" t="str">
            <v>Jah</v>
          </cell>
          <cell r="F736">
            <v>3</v>
          </cell>
          <cell r="G736">
            <v>6</v>
          </cell>
          <cell r="H736">
            <v>1.2769999999999999</v>
          </cell>
          <cell r="I736">
            <v>1.0518945634266886E-2</v>
          </cell>
          <cell r="J736">
            <v>121.4</v>
          </cell>
          <cell r="K736">
            <v>10</v>
          </cell>
          <cell r="L736">
            <v>20</v>
          </cell>
          <cell r="M736">
            <v>30</v>
          </cell>
          <cell r="N736">
            <v>40</v>
          </cell>
          <cell r="O736">
            <v>90</v>
          </cell>
          <cell r="P736">
            <v>120</v>
          </cell>
        </row>
        <row r="737">
          <cell r="A737" t="str">
            <v>HFCHS406.4x14.2</v>
          </cell>
          <cell r="B737" t="str">
            <v>a=1.0 x t</v>
          </cell>
          <cell r="C737">
            <v>14.2</v>
          </cell>
          <cell r="D737"/>
          <cell r="E737"/>
          <cell r="F737">
            <v>3</v>
          </cell>
          <cell r="G737">
            <v>10</v>
          </cell>
          <cell r="H737">
            <v>1.2769999999999999</v>
          </cell>
          <cell r="I737">
            <v>9.3008011653313901E-3</v>
          </cell>
          <cell r="J737">
            <v>137.30000000000001</v>
          </cell>
          <cell r="K737">
            <v>10</v>
          </cell>
          <cell r="L737">
            <v>20</v>
          </cell>
          <cell r="M737">
            <v>30</v>
          </cell>
          <cell r="N737">
            <v>40</v>
          </cell>
          <cell r="O737">
            <v>90</v>
          </cell>
          <cell r="P737">
            <v>120</v>
          </cell>
        </row>
        <row r="738">
          <cell r="A738" t="str">
            <v>HFCHS406.4x16</v>
          </cell>
          <cell r="B738" t="str">
            <v>a=1.0 x t</v>
          </cell>
          <cell r="C738">
            <v>16</v>
          </cell>
          <cell r="D738"/>
          <cell r="E738" t="str">
            <v>Jah</v>
          </cell>
          <cell r="F738">
            <v>3</v>
          </cell>
          <cell r="G738">
            <v>10</v>
          </cell>
          <cell r="H738">
            <v>1.2769999999999999</v>
          </cell>
          <cell r="I738">
            <v>8.2922077922077918E-3</v>
          </cell>
          <cell r="J738">
            <v>154</v>
          </cell>
          <cell r="K738">
            <v>10</v>
          </cell>
          <cell r="L738">
            <v>20</v>
          </cell>
          <cell r="M738">
            <v>30</v>
          </cell>
          <cell r="N738">
            <v>40</v>
          </cell>
          <cell r="O738">
            <v>90</v>
          </cell>
          <cell r="P738">
            <v>120</v>
          </cell>
        </row>
        <row r="739">
          <cell r="A739" t="str">
            <v>HFCHS457x6.3</v>
          </cell>
          <cell r="B739" t="str">
            <v>a=1.0 x t</v>
          </cell>
          <cell r="C739">
            <v>6.3</v>
          </cell>
          <cell r="D739"/>
          <cell r="E739"/>
          <cell r="F739">
            <v>3</v>
          </cell>
          <cell r="G739">
            <v>2</v>
          </cell>
          <cell r="H739">
            <v>1.4359999999999999</v>
          </cell>
          <cell r="I739">
            <v>2.0514285714285714E-2</v>
          </cell>
          <cell r="J739">
            <v>70</v>
          </cell>
          <cell r="K739">
            <v>10</v>
          </cell>
          <cell r="L739">
            <v>20</v>
          </cell>
          <cell r="M739">
            <v>30</v>
          </cell>
          <cell r="N739">
            <v>40</v>
          </cell>
          <cell r="O739">
            <v>90</v>
          </cell>
          <cell r="P739">
            <v>120</v>
          </cell>
        </row>
        <row r="740">
          <cell r="A740" t="str">
            <v>HFCHS457x8</v>
          </cell>
          <cell r="B740" t="str">
            <v>a=1.0 x t</v>
          </cell>
          <cell r="C740">
            <v>8</v>
          </cell>
          <cell r="D740"/>
          <cell r="E740"/>
          <cell r="F740">
            <v>3</v>
          </cell>
          <cell r="G740">
            <v>3</v>
          </cell>
          <cell r="H740">
            <v>1.4359999999999999</v>
          </cell>
          <cell r="I740">
            <v>1.6207674943566591E-2</v>
          </cell>
          <cell r="J740">
            <v>88.6</v>
          </cell>
          <cell r="K740">
            <v>10</v>
          </cell>
          <cell r="L740">
            <v>20</v>
          </cell>
          <cell r="M740">
            <v>30</v>
          </cell>
          <cell r="N740">
            <v>40</v>
          </cell>
          <cell r="O740">
            <v>90</v>
          </cell>
          <cell r="P740">
            <v>120</v>
          </cell>
        </row>
        <row r="741">
          <cell r="A741" t="str">
            <v>HFCHS457x10</v>
          </cell>
          <cell r="B741" t="str">
            <v>a=1.0 x t</v>
          </cell>
          <cell r="C741">
            <v>10</v>
          </cell>
          <cell r="D741"/>
          <cell r="E741"/>
          <cell r="F741">
            <v>3</v>
          </cell>
          <cell r="G741">
            <v>6</v>
          </cell>
          <cell r="H741">
            <v>1.4359999999999999</v>
          </cell>
          <cell r="I741">
            <v>1.3030852994555354E-2</v>
          </cell>
          <cell r="J741">
            <v>110.2</v>
          </cell>
          <cell r="K741">
            <v>10</v>
          </cell>
          <cell r="L741">
            <v>20</v>
          </cell>
          <cell r="M741">
            <v>30</v>
          </cell>
          <cell r="N741">
            <v>40</v>
          </cell>
          <cell r="O741">
            <v>90</v>
          </cell>
          <cell r="P741">
            <v>120</v>
          </cell>
        </row>
        <row r="742">
          <cell r="A742" t="str">
            <v>HFCHS457x12.5</v>
          </cell>
          <cell r="B742" t="str">
            <v>a=1.0 x t</v>
          </cell>
          <cell r="C742">
            <v>12.5</v>
          </cell>
          <cell r="D742"/>
          <cell r="E742" t="str">
            <v>Jah</v>
          </cell>
          <cell r="F742">
            <v>3</v>
          </cell>
          <cell r="G742">
            <v>6</v>
          </cell>
          <cell r="H742">
            <v>1.4359999999999999</v>
          </cell>
          <cell r="I742">
            <v>1.0481751824817517E-2</v>
          </cell>
          <cell r="J742">
            <v>137</v>
          </cell>
          <cell r="K742">
            <v>10</v>
          </cell>
          <cell r="L742">
            <v>20</v>
          </cell>
          <cell r="M742">
            <v>30</v>
          </cell>
          <cell r="N742">
            <v>40</v>
          </cell>
          <cell r="O742">
            <v>90</v>
          </cell>
          <cell r="P742">
            <v>120</v>
          </cell>
        </row>
        <row r="743">
          <cell r="A743" t="str">
            <v>HFCHS457x14.2</v>
          </cell>
          <cell r="B743" t="str">
            <v>a=1.0 x t</v>
          </cell>
          <cell r="C743">
            <v>14.2</v>
          </cell>
          <cell r="D743"/>
          <cell r="E743"/>
          <cell r="F743">
            <v>3</v>
          </cell>
          <cell r="G743">
            <v>10</v>
          </cell>
          <cell r="H743">
            <v>1.4359999999999999</v>
          </cell>
          <cell r="I743">
            <v>9.2585428755641522E-3</v>
          </cell>
          <cell r="J743">
            <v>155.1</v>
          </cell>
          <cell r="K743">
            <v>10</v>
          </cell>
          <cell r="L743">
            <v>20</v>
          </cell>
          <cell r="M743">
            <v>30</v>
          </cell>
          <cell r="N743">
            <v>40</v>
          </cell>
          <cell r="O743">
            <v>90</v>
          </cell>
          <cell r="P743">
            <v>120</v>
          </cell>
        </row>
        <row r="744">
          <cell r="A744" t="str">
            <v>HFCHS457x16</v>
          </cell>
          <cell r="B744" t="str">
            <v>a=1.0 x t</v>
          </cell>
          <cell r="C744">
            <v>16</v>
          </cell>
          <cell r="D744"/>
          <cell r="E744" t="str">
            <v>Jah</v>
          </cell>
          <cell r="F744">
            <v>3</v>
          </cell>
          <cell r="G744">
            <v>10</v>
          </cell>
          <cell r="H744">
            <v>1.4359999999999999</v>
          </cell>
          <cell r="I744">
            <v>8.2528735632183912E-3</v>
          </cell>
          <cell r="J744">
            <v>174</v>
          </cell>
          <cell r="K744">
            <v>10</v>
          </cell>
          <cell r="L744">
            <v>20</v>
          </cell>
          <cell r="M744">
            <v>30</v>
          </cell>
          <cell r="N744">
            <v>40</v>
          </cell>
          <cell r="O744">
            <v>90</v>
          </cell>
          <cell r="P744">
            <v>120</v>
          </cell>
        </row>
        <row r="745">
          <cell r="A745" t="str">
            <v>HFCHS508x6.3</v>
          </cell>
          <cell r="B745" t="str">
            <v>a=1.0 x t</v>
          </cell>
          <cell r="C745">
            <v>6.3</v>
          </cell>
          <cell r="D745"/>
          <cell r="E745"/>
          <cell r="F745">
            <v>3</v>
          </cell>
          <cell r="G745">
            <v>2</v>
          </cell>
          <cell r="H745">
            <v>1.5960000000000001</v>
          </cell>
          <cell r="I745">
            <v>2.0487804878048781E-2</v>
          </cell>
          <cell r="J745">
            <v>77.900000000000006</v>
          </cell>
          <cell r="K745">
            <v>10</v>
          </cell>
          <cell r="L745">
            <v>20</v>
          </cell>
          <cell r="M745">
            <v>30</v>
          </cell>
          <cell r="N745">
            <v>40</v>
          </cell>
          <cell r="O745">
            <v>90</v>
          </cell>
          <cell r="P745">
            <v>120</v>
          </cell>
        </row>
        <row r="746">
          <cell r="A746" t="str">
            <v>HFCHS508x8</v>
          </cell>
          <cell r="B746" t="str">
            <v>a=1.0 x t</v>
          </cell>
          <cell r="C746">
            <v>8</v>
          </cell>
          <cell r="D746"/>
          <cell r="E746"/>
          <cell r="F746">
            <v>3</v>
          </cell>
          <cell r="G746">
            <v>3</v>
          </cell>
          <cell r="H746">
            <v>1.5960000000000001</v>
          </cell>
          <cell r="I746">
            <v>1.6186612576064911E-2</v>
          </cell>
          <cell r="J746">
            <v>98.6</v>
          </cell>
          <cell r="K746">
            <v>10</v>
          </cell>
          <cell r="L746">
            <v>20</v>
          </cell>
          <cell r="M746">
            <v>30</v>
          </cell>
          <cell r="N746">
            <v>40</v>
          </cell>
          <cell r="O746">
            <v>90</v>
          </cell>
          <cell r="P746">
            <v>120</v>
          </cell>
        </row>
        <row r="747">
          <cell r="A747" t="str">
            <v>HFCHS508x10</v>
          </cell>
          <cell r="B747" t="str">
            <v>a=1.0 x t</v>
          </cell>
          <cell r="C747">
            <v>10</v>
          </cell>
          <cell r="D747"/>
          <cell r="E747"/>
          <cell r="F747">
            <v>3</v>
          </cell>
          <cell r="G747">
            <v>6</v>
          </cell>
          <cell r="H747">
            <v>1.5960000000000001</v>
          </cell>
          <cell r="I747">
            <v>1.2996742671009772E-2</v>
          </cell>
          <cell r="J747">
            <v>122.8</v>
          </cell>
          <cell r="K747">
            <v>10</v>
          </cell>
          <cell r="L747">
            <v>20</v>
          </cell>
          <cell r="M747">
            <v>30</v>
          </cell>
          <cell r="N747">
            <v>40</v>
          </cell>
          <cell r="O747">
            <v>90</v>
          </cell>
          <cell r="P747">
            <v>120</v>
          </cell>
        </row>
        <row r="748">
          <cell r="A748" t="str">
            <v>HFCHS508x12.5</v>
          </cell>
          <cell r="B748" t="str">
            <v>a=1.0 x t</v>
          </cell>
          <cell r="C748">
            <v>12.5</v>
          </cell>
          <cell r="D748"/>
          <cell r="E748" t="str">
            <v>Jah</v>
          </cell>
          <cell r="F748">
            <v>3</v>
          </cell>
          <cell r="G748">
            <v>6</v>
          </cell>
          <cell r="H748">
            <v>1.5960000000000001</v>
          </cell>
          <cell r="I748">
            <v>1.0451866404715128E-2</v>
          </cell>
          <cell r="J748">
            <v>152.69999999999999</v>
          </cell>
          <cell r="K748">
            <v>10</v>
          </cell>
          <cell r="L748">
            <v>20</v>
          </cell>
          <cell r="M748">
            <v>30</v>
          </cell>
          <cell r="N748">
            <v>40</v>
          </cell>
          <cell r="O748">
            <v>90</v>
          </cell>
          <cell r="P748">
            <v>120</v>
          </cell>
        </row>
        <row r="749">
          <cell r="A749" t="str">
            <v>HFCHS508x14.2</v>
          </cell>
          <cell r="B749" t="str">
            <v>a=1.0 x t</v>
          </cell>
          <cell r="C749">
            <v>14.2</v>
          </cell>
          <cell r="D749"/>
          <cell r="E749"/>
          <cell r="F749">
            <v>3</v>
          </cell>
          <cell r="G749">
            <v>10</v>
          </cell>
          <cell r="H749">
            <v>1.5960000000000001</v>
          </cell>
          <cell r="I749">
            <v>9.2307692307692316E-3</v>
          </cell>
          <cell r="J749">
            <v>172.9</v>
          </cell>
          <cell r="K749">
            <v>10</v>
          </cell>
          <cell r="L749">
            <v>20</v>
          </cell>
          <cell r="M749">
            <v>30</v>
          </cell>
          <cell r="N749">
            <v>40</v>
          </cell>
          <cell r="O749">
            <v>90</v>
          </cell>
          <cell r="P749">
            <v>120</v>
          </cell>
        </row>
        <row r="750">
          <cell r="A750" t="str">
            <v>HFCHS508x16</v>
          </cell>
          <cell r="B750" t="str">
            <v>a=1.0 x t</v>
          </cell>
          <cell r="C750">
            <v>16</v>
          </cell>
          <cell r="D750"/>
          <cell r="E750" t="str">
            <v>Jah</v>
          </cell>
          <cell r="F750">
            <v>3</v>
          </cell>
          <cell r="G750">
            <v>10</v>
          </cell>
          <cell r="H750">
            <v>1.5960000000000001</v>
          </cell>
          <cell r="I750">
            <v>8.2225656877898002E-3</v>
          </cell>
          <cell r="J750">
            <v>194.1</v>
          </cell>
          <cell r="K750">
            <v>10</v>
          </cell>
          <cell r="L750">
            <v>20</v>
          </cell>
          <cell r="M750">
            <v>30</v>
          </cell>
          <cell r="N750">
            <v>40</v>
          </cell>
          <cell r="O750">
            <v>90</v>
          </cell>
          <cell r="P750">
            <v>120</v>
          </cell>
        </row>
        <row r="751">
          <cell r="A751" t="str">
            <v>HFRHS50x30x3</v>
          </cell>
          <cell r="B751" t="str">
            <v>a=1.0 x t</v>
          </cell>
          <cell r="C751">
            <v>3</v>
          </cell>
          <cell r="D751"/>
          <cell r="E751"/>
          <cell r="F751">
            <v>1</v>
          </cell>
          <cell r="G751">
            <v>1</v>
          </cell>
          <cell r="H751">
            <v>0.14899999999999999</v>
          </cell>
          <cell r="I751">
            <v>4.3823529411764706E-2</v>
          </cell>
          <cell r="J751">
            <v>3.4</v>
          </cell>
          <cell r="K751">
            <v>2</v>
          </cell>
          <cell r="L751">
            <v>5</v>
          </cell>
          <cell r="M751">
            <v>10</v>
          </cell>
          <cell r="N751">
            <v>20</v>
          </cell>
          <cell r="O751">
            <v>30</v>
          </cell>
          <cell r="P751">
            <v>60</v>
          </cell>
        </row>
        <row r="752">
          <cell r="A752" t="str">
            <v>HFRHS50x30x3.2</v>
          </cell>
          <cell r="B752" t="str">
            <v>a=1.0 x t</v>
          </cell>
          <cell r="C752">
            <v>3.2</v>
          </cell>
          <cell r="D752"/>
          <cell r="E752"/>
          <cell r="F752">
            <v>1</v>
          </cell>
          <cell r="G752">
            <v>1</v>
          </cell>
          <cell r="H752">
            <v>0.152</v>
          </cell>
          <cell r="I752">
            <v>4.2222222222222223E-2</v>
          </cell>
          <cell r="J752">
            <v>3.6</v>
          </cell>
          <cell r="K752">
            <v>2</v>
          </cell>
          <cell r="L752">
            <v>5</v>
          </cell>
          <cell r="M752">
            <v>10</v>
          </cell>
          <cell r="N752">
            <v>20</v>
          </cell>
          <cell r="O752">
            <v>30</v>
          </cell>
          <cell r="P752">
            <v>60</v>
          </cell>
        </row>
        <row r="753">
          <cell r="A753" t="str">
            <v>HFRHS50x30x3.6</v>
          </cell>
          <cell r="B753" t="str">
            <v>a=1.0 x t</v>
          </cell>
          <cell r="C753">
            <v>3.6</v>
          </cell>
          <cell r="D753"/>
          <cell r="E753"/>
          <cell r="F753">
            <v>1</v>
          </cell>
          <cell r="G753">
            <v>1</v>
          </cell>
          <cell r="H753">
            <v>0.151</v>
          </cell>
          <cell r="I753">
            <v>3.7749999999999999E-2</v>
          </cell>
          <cell r="J753">
            <v>4</v>
          </cell>
          <cell r="K753">
            <v>2</v>
          </cell>
          <cell r="L753">
            <v>5</v>
          </cell>
          <cell r="M753">
            <v>10</v>
          </cell>
          <cell r="N753">
            <v>20</v>
          </cell>
          <cell r="O753">
            <v>30</v>
          </cell>
          <cell r="P753">
            <v>60</v>
          </cell>
        </row>
        <row r="754">
          <cell r="A754" t="str">
            <v>HFRHS50x30x4</v>
          </cell>
          <cell r="B754" t="str">
            <v>a=1.0 x t</v>
          </cell>
          <cell r="C754">
            <v>4</v>
          </cell>
          <cell r="D754"/>
          <cell r="E754"/>
          <cell r="F754">
            <v>1</v>
          </cell>
          <cell r="G754">
            <v>1</v>
          </cell>
          <cell r="H754">
            <v>0.151</v>
          </cell>
          <cell r="I754">
            <v>3.4318181818181817E-2</v>
          </cell>
          <cell r="J754">
            <v>4.4000000000000004</v>
          </cell>
          <cell r="K754">
            <v>2</v>
          </cell>
          <cell r="L754">
            <v>5</v>
          </cell>
          <cell r="M754">
            <v>10</v>
          </cell>
          <cell r="N754">
            <v>20</v>
          </cell>
          <cell r="O754">
            <v>30</v>
          </cell>
          <cell r="P754">
            <v>60</v>
          </cell>
        </row>
        <row r="755">
          <cell r="A755" t="str">
            <v>HFRHS50x30x5</v>
          </cell>
          <cell r="B755" t="str">
            <v>a=1.0 x t</v>
          </cell>
          <cell r="C755">
            <v>5</v>
          </cell>
          <cell r="D755"/>
          <cell r="E755"/>
          <cell r="F755">
            <v>1</v>
          </cell>
          <cell r="G755">
            <v>1</v>
          </cell>
          <cell r="H755">
            <v>0.14699999999999999</v>
          </cell>
          <cell r="I755">
            <v>2.7735849056603774E-2</v>
          </cell>
          <cell r="J755">
            <v>5.3</v>
          </cell>
          <cell r="K755">
            <v>2</v>
          </cell>
          <cell r="L755">
            <v>5</v>
          </cell>
          <cell r="M755">
            <v>10</v>
          </cell>
          <cell r="N755">
            <v>20</v>
          </cell>
          <cell r="O755">
            <v>30</v>
          </cell>
          <cell r="P755">
            <v>60</v>
          </cell>
        </row>
        <row r="756">
          <cell r="A756" t="str">
            <v>HFRHS60x40x3</v>
          </cell>
          <cell r="B756" t="str">
            <v>a=1.0 x t</v>
          </cell>
          <cell r="C756">
            <v>3</v>
          </cell>
          <cell r="D756"/>
          <cell r="E756"/>
          <cell r="F756">
            <v>1</v>
          </cell>
          <cell r="G756">
            <v>1</v>
          </cell>
          <cell r="H756">
            <v>0.192</v>
          </cell>
          <cell r="I756">
            <v>4.4651162790697675E-2</v>
          </cell>
          <cell r="J756">
            <v>4.3</v>
          </cell>
          <cell r="K756">
            <v>2</v>
          </cell>
          <cell r="L756">
            <v>5</v>
          </cell>
          <cell r="M756">
            <v>10</v>
          </cell>
          <cell r="N756">
            <v>20</v>
          </cell>
          <cell r="O756">
            <v>30</v>
          </cell>
          <cell r="P756">
            <v>60</v>
          </cell>
        </row>
        <row r="757">
          <cell r="A757" t="str">
            <v>HFRHS60x40x3.2</v>
          </cell>
          <cell r="B757" t="str">
            <v>a=1.0 x t</v>
          </cell>
          <cell r="C757">
            <v>3.2</v>
          </cell>
          <cell r="D757"/>
          <cell r="E757"/>
          <cell r="F757">
            <v>1</v>
          </cell>
          <cell r="G757">
            <v>1</v>
          </cell>
          <cell r="H757">
            <v>0.192</v>
          </cell>
          <cell r="I757">
            <v>4.1739130434782612E-2</v>
          </cell>
          <cell r="J757">
            <v>4.5999999999999996</v>
          </cell>
          <cell r="K757">
            <v>2</v>
          </cell>
          <cell r="L757">
            <v>5</v>
          </cell>
          <cell r="M757">
            <v>10</v>
          </cell>
          <cell r="N757">
            <v>20</v>
          </cell>
          <cell r="O757">
            <v>30</v>
          </cell>
          <cell r="P757">
            <v>60</v>
          </cell>
        </row>
        <row r="758">
          <cell r="A758" t="str">
            <v>HFRHS60x40x3.6</v>
          </cell>
          <cell r="B758" t="str">
            <v>a=1.0 x t</v>
          </cell>
          <cell r="C758">
            <v>3.6</v>
          </cell>
          <cell r="D758"/>
          <cell r="E758"/>
          <cell r="F758">
            <v>1</v>
          </cell>
          <cell r="G758">
            <v>1</v>
          </cell>
          <cell r="H758">
            <v>0.191</v>
          </cell>
          <cell r="I758">
            <v>3.7450980392156864E-2</v>
          </cell>
          <cell r="J758">
            <v>5.0999999999999996</v>
          </cell>
          <cell r="K758">
            <v>2</v>
          </cell>
          <cell r="L758">
            <v>5</v>
          </cell>
          <cell r="M758">
            <v>10</v>
          </cell>
          <cell r="N758">
            <v>20</v>
          </cell>
          <cell r="O758">
            <v>30</v>
          </cell>
          <cell r="P758">
            <v>60</v>
          </cell>
        </row>
        <row r="759">
          <cell r="A759" t="str">
            <v>HFRHS60x40x4</v>
          </cell>
          <cell r="B759" t="str">
            <v>a=1.0 x t</v>
          </cell>
          <cell r="C759">
            <v>4</v>
          </cell>
          <cell r="D759"/>
          <cell r="E759"/>
          <cell r="F759">
            <v>1</v>
          </cell>
          <cell r="G759">
            <v>1</v>
          </cell>
          <cell r="H759">
            <v>0.19</v>
          </cell>
          <cell r="I759">
            <v>3.3928571428571433E-2</v>
          </cell>
          <cell r="J759">
            <v>5.6</v>
          </cell>
          <cell r="K759">
            <v>2</v>
          </cell>
          <cell r="L759">
            <v>5</v>
          </cell>
          <cell r="M759">
            <v>10</v>
          </cell>
          <cell r="N759">
            <v>20</v>
          </cell>
          <cell r="O759">
            <v>30</v>
          </cell>
          <cell r="P759">
            <v>60</v>
          </cell>
        </row>
        <row r="760">
          <cell r="A760" t="str">
            <v>HFRHS60x40x5</v>
          </cell>
          <cell r="B760" t="str">
            <v>a=1.0 x t</v>
          </cell>
          <cell r="C760">
            <v>5</v>
          </cell>
          <cell r="D760"/>
          <cell r="E760"/>
          <cell r="F760">
            <v>1</v>
          </cell>
          <cell r="G760">
            <v>1</v>
          </cell>
          <cell r="H760">
            <v>0.187</v>
          </cell>
          <cell r="I760">
            <v>2.7101449275362316E-2</v>
          </cell>
          <cell r="J760">
            <v>6.9</v>
          </cell>
          <cell r="K760">
            <v>2</v>
          </cell>
          <cell r="L760">
            <v>5</v>
          </cell>
          <cell r="M760">
            <v>10</v>
          </cell>
          <cell r="N760">
            <v>20</v>
          </cell>
          <cell r="O760">
            <v>30</v>
          </cell>
          <cell r="P760">
            <v>60</v>
          </cell>
        </row>
        <row r="761">
          <cell r="A761" t="str">
            <v>HFRHS60x40x6.3</v>
          </cell>
          <cell r="B761" t="str">
            <v>a=1.0 x t</v>
          </cell>
          <cell r="C761">
            <v>6.3</v>
          </cell>
          <cell r="D761"/>
          <cell r="E761"/>
          <cell r="F761">
            <v>1</v>
          </cell>
          <cell r="G761">
            <v>1</v>
          </cell>
          <cell r="H761">
            <v>0.184</v>
          </cell>
          <cell r="I761">
            <v>2.2168674698795177E-2</v>
          </cell>
          <cell r="J761">
            <v>8.3000000000000007</v>
          </cell>
          <cell r="K761">
            <v>2</v>
          </cell>
          <cell r="L761">
            <v>5</v>
          </cell>
          <cell r="M761">
            <v>10</v>
          </cell>
          <cell r="N761">
            <v>20</v>
          </cell>
          <cell r="O761">
            <v>30</v>
          </cell>
          <cell r="P761">
            <v>60</v>
          </cell>
        </row>
        <row r="762">
          <cell r="A762" t="str">
            <v>HFRHS80x40x3</v>
          </cell>
          <cell r="B762" t="str">
            <v>a=1.0 x t</v>
          </cell>
          <cell r="C762">
            <v>3</v>
          </cell>
          <cell r="D762"/>
          <cell r="E762"/>
          <cell r="F762">
            <v>1</v>
          </cell>
          <cell r="G762">
            <v>1</v>
          </cell>
          <cell r="H762">
            <v>0.23200000000000001</v>
          </cell>
          <cell r="I762">
            <v>4.3773584905660384E-2</v>
          </cell>
          <cell r="J762">
            <v>5.3</v>
          </cell>
          <cell r="K762">
            <v>2</v>
          </cell>
          <cell r="L762">
            <v>5</v>
          </cell>
          <cell r="M762">
            <v>10</v>
          </cell>
          <cell r="N762">
            <v>20</v>
          </cell>
          <cell r="O762">
            <v>30</v>
          </cell>
          <cell r="P762">
            <v>60</v>
          </cell>
        </row>
        <row r="763">
          <cell r="A763" t="str">
            <v>HFRHS80x40x3.2</v>
          </cell>
          <cell r="B763" t="str">
            <v>a=1.0 x t</v>
          </cell>
          <cell r="C763">
            <v>3.2</v>
          </cell>
          <cell r="D763"/>
          <cell r="E763"/>
          <cell r="F763">
            <v>1</v>
          </cell>
          <cell r="G763">
            <v>1</v>
          </cell>
          <cell r="H763">
            <v>0.23200000000000001</v>
          </cell>
          <cell r="I763">
            <v>4.1428571428571433E-2</v>
          </cell>
          <cell r="J763">
            <v>5.6</v>
          </cell>
          <cell r="K763">
            <v>2</v>
          </cell>
          <cell r="L763">
            <v>5</v>
          </cell>
          <cell r="M763">
            <v>10</v>
          </cell>
          <cell r="N763">
            <v>20</v>
          </cell>
          <cell r="O763">
            <v>30</v>
          </cell>
          <cell r="P763">
            <v>60</v>
          </cell>
        </row>
        <row r="764">
          <cell r="A764" t="str">
            <v>HFRHS80x40x3.6</v>
          </cell>
          <cell r="B764" t="str">
            <v>a=1.0 x t</v>
          </cell>
          <cell r="C764">
            <v>3.6</v>
          </cell>
          <cell r="D764"/>
          <cell r="E764"/>
          <cell r="F764">
            <v>1</v>
          </cell>
          <cell r="G764">
            <v>1</v>
          </cell>
          <cell r="H764">
            <v>0.23100000000000001</v>
          </cell>
          <cell r="I764">
            <v>3.6666666666666667E-2</v>
          </cell>
          <cell r="J764">
            <v>6.3</v>
          </cell>
          <cell r="K764">
            <v>2</v>
          </cell>
          <cell r="L764">
            <v>5</v>
          </cell>
          <cell r="M764">
            <v>10</v>
          </cell>
          <cell r="N764">
            <v>20</v>
          </cell>
          <cell r="O764">
            <v>30</v>
          </cell>
          <cell r="P764">
            <v>60</v>
          </cell>
        </row>
        <row r="765">
          <cell r="A765" t="str">
            <v>HFRHS80x40x4</v>
          </cell>
          <cell r="B765" t="str">
            <v>a=1.0 x t</v>
          </cell>
          <cell r="C765">
            <v>4</v>
          </cell>
          <cell r="D765"/>
          <cell r="E765"/>
          <cell r="F765">
            <v>1</v>
          </cell>
          <cell r="G765">
            <v>1</v>
          </cell>
          <cell r="H765">
            <v>0.23</v>
          </cell>
          <cell r="I765">
            <v>3.3333333333333333E-2</v>
          </cell>
          <cell r="J765">
            <v>6.9</v>
          </cell>
          <cell r="K765">
            <v>2</v>
          </cell>
          <cell r="L765">
            <v>5</v>
          </cell>
          <cell r="M765">
            <v>10</v>
          </cell>
          <cell r="N765">
            <v>20</v>
          </cell>
          <cell r="O765">
            <v>30</v>
          </cell>
          <cell r="P765">
            <v>60</v>
          </cell>
        </row>
        <row r="766">
          <cell r="A766" t="str">
            <v>HFRHS80x40x5</v>
          </cell>
          <cell r="B766" t="str">
            <v>a=1.0 x t</v>
          </cell>
          <cell r="C766">
            <v>5</v>
          </cell>
          <cell r="D766"/>
          <cell r="E766"/>
          <cell r="F766">
            <v>1</v>
          </cell>
          <cell r="G766">
            <v>1</v>
          </cell>
          <cell r="H766">
            <v>0.22700000000000001</v>
          </cell>
          <cell r="I766">
            <v>2.7023809523809523E-2</v>
          </cell>
          <cell r="J766">
            <v>8.4</v>
          </cell>
          <cell r="K766">
            <v>2</v>
          </cell>
          <cell r="L766">
            <v>5</v>
          </cell>
          <cell r="M766">
            <v>10</v>
          </cell>
          <cell r="N766">
            <v>20</v>
          </cell>
          <cell r="O766">
            <v>30</v>
          </cell>
          <cell r="P766">
            <v>60</v>
          </cell>
        </row>
        <row r="767">
          <cell r="A767" t="str">
            <v>HFRHS80x40x6.3</v>
          </cell>
          <cell r="B767" t="str">
            <v>a=1.0 x t</v>
          </cell>
          <cell r="C767">
            <v>6.3</v>
          </cell>
          <cell r="D767"/>
          <cell r="E767"/>
          <cell r="F767">
            <v>1</v>
          </cell>
          <cell r="G767">
            <v>1</v>
          </cell>
          <cell r="H767">
            <v>0.224</v>
          </cell>
          <cell r="I767">
            <v>2.174757281553398E-2</v>
          </cell>
          <cell r="J767">
            <v>10.3</v>
          </cell>
          <cell r="K767">
            <v>2</v>
          </cell>
          <cell r="L767">
            <v>5</v>
          </cell>
          <cell r="M767">
            <v>10</v>
          </cell>
          <cell r="N767">
            <v>20</v>
          </cell>
          <cell r="O767">
            <v>30</v>
          </cell>
          <cell r="P767">
            <v>60</v>
          </cell>
        </row>
        <row r="768">
          <cell r="A768" t="str">
            <v>HFRHS80x40x7.1</v>
          </cell>
          <cell r="B768" t="str">
            <v>a=1.0 x t</v>
          </cell>
          <cell r="C768">
            <v>7.1</v>
          </cell>
          <cell r="D768"/>
          <cell r="E768"/>
          <cell r="F768">
            <v>1</v>
          </cell>
          <cell r="G768">
            <v>3</v>
          </cell>
          <cell r="H768">
            <v>0.222</v>
          </cell>
          <cell r="I768">
            <v>1.9473684210526317E-2</v>
          </cell>
          <cell r="J768">
            <v>11.4</v>
          </cell>
          <cell r="K768">
            <v>2</v>
          </cell>
          <cell r="L768">
            <v>5</v>
          </cell>
          <cell r="M768">
            <v>10</v>
          </cell>
          <cell r="N768">
            <v>20</v>
          </cell>
          <cell r="O768">
            <v>30</v>
          </cell>
          <cell r="P768">
            <v>60</v>
          </cell>
        </row>
        <row r="769">
          <cell r="A769" t="str">
            <v>HFRHS80x40x8</v>
          </cell>
          <cell r="B769" t="str">
            <v>a=1.0 x t</v>
          </cell>
          <cell r="C769">
            <v>8</v>
          </cell>
          <cell r="D769"/>
          <cell r="E769"/>
          <cell r="F769">
            <v>1</v>
          </cell>
          <cell r="G769">
            <v>3</v>
          </cell>
          <cell r="H769">
            <v>0.219</v>
          </cell>
          <cell r="I769">
            <v>1.7380952380952382E-2</v>
          </cell>
          <cell r="J769">
            <v>12.6</v>
          </cell>
          <cell r="K769">
            <v>2</v>
          </cell>
          <cell r="L769">
            <v>5</v>
          </cell>
          <cell r="M769">
            <v>10</v>
          </cell>
          <cell r="N769">
            <v>20</v>
          </cell>
          <cell r="O769">
            <v>30</v>
          </cell>
          <cell r="P769">
            <v>60</v>
          </cell>
        </row>
        <row r="770">
          <cell r="A770" t="str">
            <v>HFRHS90x50x3</v>
          </cell>
          <cell r="B770" t="str">
            <v>a=1.0 x t</v>
          </cell>
          <cell r="C770">
            <v>3</v>
          </cell>
          <cell r="D770"/>
          <cell r="E770"/>
          <cell r="F770">
            <v>1</v>
          </cell>
          <cell r="G770">
            <v>1</v>
          </cell>
          <cell r="H770">
            <v>0.27200000000000002</v>
          </cell>
          <cell r="I770">
            <v>4.3870967741935489E-2</v>
          </cell>
          <cell r="J770">
            <v>6.2</v>
          </cell>
          <cell r="K770">
            <v>2</v>
          </cell>
          <cell r="L770">
            <v>5</v>
          </cell>
          <cell r="M770">
            <v>10</v>
          </cell>
          <cell r="N770">
            <v>20</v>
          </cell>
          <cell r="O770">
            <v>30</v>
          </cell>
          <cell r="P770">
            <v>60</v>
          </cell>
        </row>
        <row r="771">
          <cell r="A771" t="str">
            <v>HFRHS90x50x3.2</v>
          </cell>
          <cell r="B771" t="str">
            <v>a=1.0 x t</v>
          </cell>
          <cell r="C771">
            <v>3.2</v>
          </cell>
          <cell r="D771"/>
          <cell r="E771"/>
          <cell r="F771">
            <v>1</v>
          </cell>
          <cell r="G771">
            <v>1</v>
          </cell>
          <cell r="H771">
            <v>0.27200000000000002</v>
          </cell>
          <cell r="I771">
            <v>4.1212121212121221E-2</v>
          </cell>
          <cell r="J771">
            <v>6.6</v>
          </cell>
          <cell r="K771">
            <v>2</v>
          </cell>
          <cell r="L771">
            <v>5</v>
          </cell>
          <cell r="M771">
            <v>10</v>
          </cell>
          <cell r="N771">
            <v>20</v>
          </cell>
          <cell r="O771">
            <v>30</v>
          </cell>
          <cell r="P771">
            <v>60</v>
          </cell>
        </row>
        <row r="772">
          <cell r="A772" t="str">
            <v>HFRHS90x50x3.6</v>
          </cell>
          <cell r="B772" t="str">
            <v>a=1.0 x t</v>
          </cell>
          <cell r="C772">
            <v>3.6</v>
          </cell>
          <cell r="D772"/>
          <cell r="E772"/>
          <cell r="F772">
            <v>1</v>
          </cell>
          <cell r="G772">
            <v>1</v>
          </cell>
          <cell r="H772">
            <v>0.27100000000000002</v>
          </cell>
          <cell r="I772">
            <v>3.6621621621621622E-2</v>
          </cell>
          <cell r="J772">
            <v>7.4</v>
          </cell>
          <cell r="K772">
            <v>2</v>
          </cell>
          <cell r="L772">
            <v>5</v>
          </cell>
          <cell r="M772">
            <v>10</v>
          </cell>
          <cell r="N772">
            <v>20</v>
          </cell>
          <cell r="O772">
            <v>30</v>
          </cell>
          <cell r="P772">
            <v>60</v>
          </cell>
        </row>
        <row r="773">
          <cell r="A773" t="str">
            <v>HFRHS90x50x4</v>
          </cell>
          <cell r="B773" t="str">
            <v>a=1.0 x t</v>
          </cell>
          <cell r="C773">
            <v>4</v>
          </cell>
          <cell r="D773"/>
          <cell r="E773"/>
          <cell r="F773">
            <v>1</v>
          </cell>
          <cell r="G773">
            <v>1</v>
          </cell>
          <cell r="H773">
            <v>0.27</v>
          </cell>
          <cell r="I773">
            <v>3.2926829268292691E-2</v>
          </cell>
          <cell r="J773">
            <v>8.1999999999999993</v>
          </cell>
          <cell r="K773">
            <v>2</v>
          </cell>
          <cell r="L773">
            <v>5</v>
          </cell>
          <cell r="M773">
            <v>10</v>
          </cell>
          <cell r="N773">
            <v>20</v>
          </cell>
          <cell r="O773">
            <v>30</v>
          </cell>
          <cell r="P773">
            <v>60</v>
          </cell>
        </row>
        <row r="774">
          <cell r="A774" t="str">
            <v>HFRHS90x50x5</v>
          </cell>
          <cell r="B774" t="str">
            <v>a=1.0 x t</v>
          </cell>
          <cell r="C774">
            <v>5</v>
          </cell>
          <cell r="D774"/>
          <cell r="E774"/>
          <cell r="F774">
            <v>1</v>
          </cell>
          <cell r="G774">
            <v>1</v>
          </cell>
          <cell r="H774">
            <v>0.26700000000000002</v>
          </cell>
          <cell r="I774">
            <v>2.6700000000000002E-2</v>
          </cell>
          <cell r="J774">
            <v>10</v>
          </cell>
          <cell r="K774">
            <v>2</v>
          </cell>
          <cell r="L774">
            <v>5</v>
          </cell>
          <cell r="M774">
            <v>10</v>
          </cell>
          <cell r="N774">
            <v>20</v>
          </cell>
          <cell r="O774">
            <v>30</v>
          </cell>
          <cell r="P774">
            <v>60</v>
          </cell>
        </row>
        <row r="775">
          <cell r="A775" t="str">
            <v>HFRHS90x50x6.3</v>
          </cell>
          <cell r="B775" t="str">
            <v>a=1.0 x t</v>
          </cell>
          <cell r="C775">
            <v>6.3</v>
          </cell>
          <cell r="D775"/>
          <cell r="E775"/>
          <cell r="F775">
            <v>1</v>
          </cell>
          <cell r="G775">
            <v>1</v>
          </cell>
          <cell r="H775">
            <v>0.26400000000000001</v>
          </cell>
          <cell r="I775">
            <v>2.1639344262295083E-2</v>
          </cell>
          <cell r="J775">
            <v>12.2</v>
          </cell>
          <cell r="K775">
            <v>2</v>
          </cell>
          <cell r="L775">
            <v>5</v>
          </cell>
          <cell r="M775">
            <v>10</v>
          </cell>
          <cell r="N775">
            <v>20</v>
          </cell>
          <cell r="O775">
            <v>30</v>
          </cell>
          <cell r="P775">
            <v>60</v>
          </cell>
        </row>
        <row r="776">
          <cell r="A776" t="str">
            <v>HFRHS90x50x7.1</v>
          </cell>
          <cell r="B776" t="str">
            <v>a=1.0 x t</v>
          </cell>
          <cell r="C776">
            <v>7.1</v>
          </cell>
          <cell r="D776"/>
          <cell r="E776"/>
          <cell r="F776">
            <v>1</v>
          </cell>
          <cell r="G776">
            <v>3</v>
          </cell>
          <cell r="H776">
            <v>0.26200000000000001</v>
          </cell>
          <cell r="I776">
            <v>1.9264705882352941E-2</v>
          </cell>
          <cell r="J776">
            <v>13.6</v>
          </cell>
          <cell r="K776">
            <v>2</v>
          </cell>
          <cell r="L776">
            <v>5</v>
          </cell>
          <cell r="M776">
            <v>10</v>
          </cell>
          <cell r="N776">
            <v>20</v>
          </cell>
          <cell r="O776">
            <v>30</v>
          </cell>
          <cell r="P776">
            <v>60</v>
          </cell>
        </row>
        <row r="777">
          <cell r="A777" t="str">
            <v>HFRHS90x50x8</v>
          </cell>
          <cell r="B777" t="str">
            <v>a=1.0 x t</v>
          </cell>
          <cell r="C777">
            <v>8</v>
          </cell>
          <cell r="D777"/>
          <cell r="E777"/>
          <cell r="F777">
            <v>1</v>
          </cell>
          <cell r="G777">
            <v>3</v>
          </cell>
          <cell r="H777">
            <v>0.25900000000000001</v>
          </cell>
          <cell r="I777">
            <v>1.7152317880794701E-2</v>
          </cell>
          <cell r="J777">
            <v>15.1</v>
          </cell>
          <cell r="K777">
            <v>2</v>
          </cell>
          <cell r="L777">
            <v>5</v>
          </cell>
          <cell r="M777">
            <v>10</v>
          </cell>
          <cell r="N777">
            <v>20</v>
          </cell>
          <cell r="O777">
            <v>30</v>
          </cell>
          <cell r="P777">
            <v>60</v>
          </cell>
        </row>
        <row r="778">
          <cell r="A778" t="str">
            <v>HFRHS100x50x3</v>
          </cell>
          <cell r="B778" t="str">
            <v>a=1.0 x t</v>
          </cell>
          <cell r="C778">
            <v>3</v>
          </cell>
          <cell r="D778"/>
          <cell r="E778"/>
          <cell r="F778">
            <v>1</v>
          </cell>
          <cell r="G778">
            <v>1</v>
          </cell>
          <cell r="H778">
            <v>0.28999999999999998</v>
          </cell>
          <cell r="I778">
            <v>4.3939393939393938E-2</v>
          </cell>
          <cell r="J778">
            <v>6.6</v>
          </cell>
          <cell r="K778">
            <v>2</v>
          </cell>
          <cell r="L778">
            <v>5</v>
          </cell>
          <cell r="M778">
            <v>10</v>
          </cell>
          <cell r="N778">
            <v>20</v>
          </cell>
          <cell r="O778">
            <v>30</v>
          </cell>
          <cell r="P778">
            <v>60</v>
          </cell>
        </row>
        <row r="779">
          <cell r="A779" t="str">
            <v>HFRHS100x50x3.2</v>
          </cell>
          <cell r="B779" t="str">
            <v>a=1.0 x t</v>
          </cell>
          <cell r="C779">
            <v>3.2</v>
          </cell>
          <cell r="D779"/>
          <cell r="E779"/>
          <cell r="F779">
            <v>1</v>
          </cell>
          <cell r="G779">
            <v>1</v>
          </cell>
          <cell r="H779">
            <v>0.29199999999999998</v>
          </cell>
          <cell r="I779">
            <v>4.1126760563380278E-2</v>
          </cell>
          <cell r="J779">
            <v>7.1</v>
          </cell>
          <cell r="K779">
            <v>2</v>
          </cell>
          <cell r="L779">
            <v>5</v>
          </cell>
          <cell r="M779">
            <v>10</v>
          </cell>
          <cell r="N779">
            <v>20</v>
          </cell>
          <cell r="O779">
            <v>30</v>
          </cell>
          <cell r="P779">
            <v>60</v>
          </cell>
        </row>
        <row r="780">
          <cell r="A780" t="str">
            <v>HFRHS100x50x3.6</v>
          </cell>
          <cell r="B780" t="str">
            <v>a=1.0 x t</v>
          </cell>
          <cell r="C780">
            <v>3.6</v>
          </cell>
          <cell r="D780"/>
          <cell r="E780"/>
          <cell r="F780">
            <v>1</v>
          </cell>
          <cell r="G780">
            <v>1</v>
          </cell>
          <cell r="H780">
            <v>0.29099999999999998</v>
          </cell>
          <cell r="I780">
            <v>3.6835443037974681E-2</v>
          </cell>
          <cell r="J780">
            <v>7.9</v>
          </cell>
          <cell r="K780">
            <v>2</v>
          </cell>
          <cell r="L780">
            <v>5</v>
          </cell>
          <cell r="M780">
            <v>10</v>
          </cell>
          <cell r="N780">
            <v>20</v>
          </cell>
          <cell r="O780">
            <v>30</v>
          </cell>
          <cell r="P780">
            <v>60</v>
          </cell>
        </row>
        <row r="781">
          <cell r="A781" t="str">
            <v>HFRHS100x50x4</v>
          </cell>
          <cell r="B781" t="str">
            <v>a=1.0 x t</v>
          </cell>
          <cell r="C781">
            <v>4</v>
          </cell>
          <cell r="D781"/>
          <cell r="E781"/>
          <cell r="F781">
            <v>1</v>
          </cell>
          <cell r="G781">
            <v>1</v>
          </cell>
          <cell r="H781">
            <v>0.28999999999999998</v>
          </cell>
          <cell r="I781">
            <v>3.2954545454545452E-2</v>
          </cell>
          <cell r="J781">
            <v>8.8000000000000007</v>
          </cell>
          <cell r="K781">
            <v>2</v>
          </cell>
          <cell r="L781">
            <v>5</v>
          </cell>
          <cell r="M781">
            <v>10</v>
          </cell>
          <cell r="N781">
            <v>20</v>
          </cell>
          <cell r="O781">
            <v>30</v>
          </cell>
          <cell r="P781">
            <v>60</v>
          </cell>
        </row>
        <row r="782">
          <cell r="A782" t="str">
            <v>HFRHS100x50x5</v>
          </cell>
          <cell r="B782" t="str">
            <v>a=1.0 x t</v>
          </cell>
          <cell r="C782">
            <v>5</v>
          </cell>
          <cell r="D782"/>
          <cell r="E782"/>
          <cell r="F782">
            <v>1</v>
          </cell>
          <cell r="G782">
            <v>1</v>
          </cell>
          <cell r="H782">
            <v>0.28699999999999998</v>
          </cell>
          <cell r="I782">
            <v>2.6574074074074069E-2</v>
          </cell>
          <cell r="J782">
            <v>10.8</v>
          </cell>
          <cell r="K782">
            <v>2</v>
          </cell>
          <cell r="L782">
            <v>5</v>
          </cell>
          <cell r="M782">
            <v>10</v>
          </cell>
          <cell r="N782">
            <v>20</v>
          </cell>
          <cell r="O782">
            <v>30</v>
          </cell>
          <cell r="P782">
            <v>60</v>
          </cell>
        </row>
        <row r="783">
          <cell r="A783" t="str">
            <v>HFRHS100x50x6.3</v>
          </cell>
          <cell r="B783" t="str">
            <v>a=1.0 x t</v>
          </cell>
          <cell r="C783">
            <v>6.3</v>
          </cell>
          <cell r="D783"/>
          <cell r="E783"/>
          <cell r="F783">
            <v>1</v>
          </cell>
          <cell r="G783">
            <v>1</v>
          </cell>
          <cell r="H783">
            <v>0.28399999999999997</v>
          </cell>
          <cell r="I783">
            <v>2.1353383458646614E-2</v>
          </cell>
          <cell r="J783">
            <v>13.3</v>
          </cell>
          <cell r="K783">
            <v>2</v>
          </cell>
          <cell r="L783">
            <v>5</v>
          </cell>
          <cell r="M783">
            <v>10</v>
          </cell>
          <cell r="N783">
            <v>20</v>
          </cell>
          <cell r="O783">
            <v>30</v>
          </cell>
          <cell r="P783">
            <v>60</v>
          </cell>
        </row>
        <row r="784">
          <cell r="A784" t="str">
            <v>HFRHS100x50x7.1</v>
          </cell>
          <cell r="B784" t="str">
            <v>a=1.0 x t</v>
          </cell>
          <cell r="C784">
            <v>7.1</v>
          </cell>
          <cell r="D784"/>
          <cell r="E784"/>
          <cell r="F784">
            <v>1</v>
          </cell>
          <cell r="G784">
            <v>3</v>
          </cell>
          <cell r="H784">
            <v>0.28199999999999997</v>
          </cell>
          <cell r="I784">
            <v>1.9183673469387753E-2</v>
          </cell>
          <cell r="J784">
            <v>14.7</v>
          </cell>
          <cell r="K784">
            <v>2</v>
          </cell>
          <cell r="L784">
            <v>5</v>
          </cell>
          <cell r="M784">
            <v>10</v>
          </cell>
          <cell r="N784">
            <v>20</v>
          </cell>
          <cell r="O784">
            <v>30</v>
          </cell>
          <cell r="P784">
            <v>60</v>
          </cell>
        </row>
        <row r="785">
          <cell r="A785" t="str">
            <v>HFRHS100x50x8</v>
          </cell>
          <cell r="B785" t="str">
            <v>a=1.0 x t</v>
          </cell>
          <cell r="C785">
            <v>8</v>
          </cell>
          <cell r="D785"/>
          <cell r="E785"/>
          <cell r="F785">
            <v>1</v>
          </cell>
          <cell r="G785">
            <v>3</v>
          </cell>
          <cell r="H785">
            <v>0.27900000000000003</v>
          </cell>
          <cell r="I785">
            <v>1.7116564417177915E-2</v>
          </cell>
          <cell r="J785">
            <v>16.3</v>
          </cell>
          <cell r="K785">
            <v>2</v>
          </cell>
          <cell r="L785">
            <v>5</v>
          </cell>
          <cell r="M785">
            <v>10</v>
          </cell>
          <cell r="N785">
            <v>20</v>
          </cell>
          <cell r="O785">
            <v>30</v>
          </cell>
          <cell r="P785">
            <v>60</v>
          </cell>
        </row>
        <row r="786">
          <cell r="A786" t="str">
            <v>HFRHS100x50x8.8</v>
          </cell>
          <cell r="B786" t="str">
            <v>a=1.0 x t</v>
          </cell>
          <cell r="C786">
            <v>8.8000000000000007</v>
          </cell>
          <cell r="D786"/>
          <cell r="E786"/>
          <cell r="F786">
            <v>1</v>
          </cell>
          <cell r="G786">
            <v>3</v>
          </cell>
          <cell r="H786">
            <v>0.27700000000000002</v>
          </cell>
          <cell r="I786">
            <v>1.5649717514124296E-2</v>
          </cell>
          <cell r="J786">
            <v>17.7</v>
          </cell>
          <cell r="K786">
            <v>2</v>
          </cell>
          <cell r="L786">
            <v>5</v>
          </cell>
          <cell r="M786">
            <v>10</v>
          </cell>
          <cell r="N786">
            <v>20</v>
          </cell>
          <cell r="O786">
            <v>30</v>
          </cell>
          <cell r="P786">
            <v>60</v>
          </cell>
        </row>
        <row r="787">
          <cell r="A787" t="str">
            <v>HFRHS100x50x10</v>
          </cell>
          <cell r="B787" t="str">
            <v>a=1.0 x t</v>
          </cell>
          <cell r="C787">
            <v>10</v>
          </cell>
          <cell r="D787"/>
          <cell r="E787"/>
          <cell r="F787">
            <v>1</v>
          </cell>
          <cell r="G787">
            <v>6</v>
          </cell>
          <cell r="H787">
            <v>0.27400000000000002</v>
          </cell>
          <cell r="I787">
            <v>1.4051282051282052E-2</v>
          </cell>
          <cell r="J787">
            <v>19.5</v>
          </cell>
          <cell r="K787">
            <v>2</v>
          </cell>
          <cell r="L787">
            <v>5</v>
          </cell>
          <cell r="M787">
            <v>10</v>
          </cell>
          <cell r="N787">
            <v>20</v>
          </cell>
          <cell r="O787">
            <v>30</v>
          </cell>
          <cell r="P787">
            <v>60</v>
          </cell>
        </row>
        <row r="788">
          <cell r="A788" t="str">
            <v>HFRHS100x60x3</v>
          </cell>
          <cell r="B788" t="str">
            <v>a=1.0 x t</v>
          </cell>
          <cell r="C788">
            <v>3</v>
          </cell>
          <cell r="D788"/>
          <cell r="E788"/>
          <cell r="F788">
            <v>1</v>
          </cell>
          <cell r="G788">
            <v>1</v>
          </cell>
          <cell r="H788">
            <v>0.31</v>
          </cell>
          <cell r="I788">
            <v>4.366197183098592E-2</v>
          </cell>
          <cell r="J788">
            <v>7.1</v>
          </cell>
          <cell r="K788">
            <v>2</v>
          </cell>
          <cell r="L788">
            <v>5</v>
          </cell>
          <cell r="M788">
            <v>10</v>
          </cell>
          <cell r="N788">
            <v>20</v>
          </cell>
          <cell r="O788">
            <v>30</v>
          </cell>
          <cell r="P788">
            <v>60</v>
          </cell>
        </row>
        <row r="789">
          <cell r="A789" t="str">
            <v>HFRHS100x60x3.2</v>
          </cell>
          <cell r="B789" t="str">
            <v>a=1.0 x t</v>
          </cell>
          <cell r="C789">
            <v>3.2</v>
          </cell>
          <cell r="D789"/>
          <cell r="E789"/>
          <cell r="F789">
            <v>1</v>
          </cell>
          <cell r="G789">
            <v>1</v>
          </cell>
          <cell r="H789">
            <v>0.312</v>
          </cell>
          <cell r="I789">
            <v>4.1052631578947368E-2</v>
          </cell>
          <cell r="J789">
            <v>7.6</v>
          </cell>
          <cell r="K789">
            <v>2</v>
          </cell>
          <cell r="L789">
            <v>5</v>
          </cell>
          <cell r="M789">
            <v>10</v>
          </cell>
          <cell r="N789">
            <v>20</v>
          </cell>
          <cell r="O789">
            <v>30</v>
          </cell>
          <cell r="P789">
            <v>60</v>
          </cell>
        </row>
        <row r="790">
          <cell r="A790" t="str">
            <v>HFRHS100x60x3.6</v>
          </cell>
          <cell r="B790" t="str">
            <v>a=1.0 x t</v>
          </cell>
          <cell r="C790">
            <v>3.6</v>
          </cell>
          <cell r="D790"/>
          <cell r="E790"/>
          <cell r="F790">
            <v>1</v>
          </cell>
          <cell r="G790">
            <v>1</v>
          </cell>
          <cell r="H790">
            <v>0.311</v>
          </cell>
          <cell r="I790">
            <v>3.6162790697674418E-2</v>
          </cell>
          <cell r="J790">
            <v>8.6</v>
          </cell>
          <cell r="K790">
            <v>2</v>
          </cell>
          <cell r="L790">
            <v>5</v>
          </cell>
          <cell r="M790">
            <v>10</v>
          </cell>
          <cell r="N790">
            <v>20</v>
          </cell>
          <cell r="O790">
            <v>30</v>
          </cell>
          <cell r="P790">
            <v>60</v>
          </cell>
        </row>
        <row r="791">
          <cell r="A791" t="str">
            <v>HFRHS100x60x4</v>
          </cell>
          <cell r="B791" t="str">
            <v>a=1.0 x t</v>
          </cell>
          <cell r="C791">
            <v>4</v>
          </cell>
          <cell r="D791"/>
          <cell r="E791"/>
          <cell r="F791">
            <v>1</v>
          </cell>
          <cell r="G791">
            <v>1</v>
          </cell>
          <cell r="H791">
            <v>0.31</v>
          </cell>
          <cell r="I791">
            <v>3.2978723404255318E-2</v>
          </cell>
          <cell r="J791">
            <v>9.4</v>
          </cell>
          <cell r="K791">
            <v>2</v>
          </cell>
          <cell r="L791">
            <v>5</v>
          </cell>
          <cell r="M791">
            <v>10</v>
          </cell>
          <cell r="N791">
            <v>20</v>
          </cell>
          <cell r="O791">
            <v>30</v>
          </cell>
          <cell r="P791">
            <v>60</v>
          </cell>
        </row>
        <row r="792">
          <cell r="A792" t="str">
            <v>HFRHS100x60x5</v>
          </cell>
          <cell r="B792" t="str">
            <v>a=1.0 x t</v>
          </cell>
          <cell r="C792">
            <v>5</v>
          </cell>
          <cell r="D792"/>
          <cell r="E792"/>
          <cell r="F792">
            <v>1</v>
          </cell>
          <cell r="G792">
            <v>1</v>
          </cell>
          <cell r="H792">
            <v>0.307</v>
          </cell>
          <cell r="I792">
            <v>2.6695652173913044E-2</v>
          </cell>
          <cell r="J792">
            <v>11.5</v>
          </cell>
          <cell r="K792">
            <v>2</v>
          </cell>
          <cell r="L792">
            <v>5</v>
          </cell>
          <cell r="M792">
            <v>10</v>
          </cell>
          <cell r="N792">
            <v>20</v>
          </cell>
          <cell r="O792">
            <v>30</v>
          </cell>
          <cell r="P792">
            <v>60</v>
          </cell>
        </row>
        <row r="793">
          <cell r="A793" t="str">
            <v>HFRHS100x60x6.3</v>
          </cell>
          <cell r="B793" t="str">
            <v>a=1.0 x t</v>
          </cell>
          <cell r="C793">
            <v>6.3</v>
          </cell>
          <cell r="D793"/>
          <cell r="E793"/>
          <cell r="F793">
            <v>1</v>
          </cell>
          <cell r="G793">
            <v>1</v>
          </cell>
          <cell r="H793">
            <v>0.30399999999999999</v>
          </cell>
          <cell r="I793">
            <v>2.1408450704225354E-2</v>
          </cell>
          <cell r="J793">
            <v>14.2</v>
          </cell>
          <cell r="K793">
            <v>2</v>
          </cell>
          <cell r="L793">
            <v>5</v>
          </cell>
          <cell r="M793">
            <v>10</v>
          </cell>
          <cell r="N793">
            <v>20</v>
          </cell>
          <cell r="O793">
            <v>30</v>
          </cell>
          <cell r="P793">
            <v>60</v>
          </cell>
        </row>
        <row r="794">
          <cell r="A794" t="str">
            <v>HFRHS100x60x7.1</v>
          </cell>
          <cell r="B794" t="str">
            <v>a=1.0 x t</v>
          </cell>
          <cell r="C794">
            <v>7.1</v>
          </cell>
          <cell r="D794"/>
          <cell r="E794"/>
          <cell r="F794">
            <v>1</v>
          </cell>
          <cell r="G794">
            <v>3</v>
          </cell>
          <cell r="H794">
            <v>0.30199999999999999</v>
          </cell>
          <cell r="I794">
            <v>1.8993710691823897E-2</v>
          </cell>
          <cell r="J794">
            <v>15.9</v>
          </cell>
          <cell r="K794">
            <v>2</v>
          </cell>
          <cell r="L794">
            <v>5</v>
          </cell>
          <cell r="M794">
            <v>10</v>
          </cell>
          <cell r="N794">
            <v>20</v>
          </cell>
          <cell r="O794">
            <v>30</v>
          </cell>
          <cell r="P794">
            <v>60</v>
          </cell>
        </row>
        <row r="795">
          <cell r="A795" t="str">
            <v>HFRHS100x60x8</v>
          </cell>
          <cell r="B795" t="str">
            <v>a=1.0 x t</v>
          </cell>
          <cell r="C795">
            <v>8</v>
          </cell>
          <cell r="D795"/>
          <cell r="E795"/>
          <cell r="F795">
            <v>1</v>
          </cell>
          <cell r="G795">
            <v>3</v>
          </cell>
          <cell r="H795">
            <v>0.29899999999999999</v>
          </cell>
          <cell r="I795">
            <v>1.6988636363636362E-2</v>
          </cell>
          <cell r="J795">
            <v>17.600000000000001</v>
          </cell>
          <cell r="K795">
            <v>2</v>
          </cell>
          <cell r="L795">
            <v>5</v>
          </cell>
          <cell r="M795">
            <v>10</v>
          </cell>
          <cell r="N795">
            <v>20</v>
          </cell>
          <cell r="O795">
            <v>30</v>
          </cell>
          <cell r="P795">
            <v>60</v>
          </cell>
        </row>
        <row r="796">
          <cell r="A796" t="str">
            <v>HFRHS100x60x8.8</v>
          </cell>
          <cell r="B796" t="str">
            <v>a=1.0 x t</v>
          </cell>
          <cell r="C796">
            <v>8.8000000000000007</v>
          </cell>
          <cell r="D796"/>
          <cell r="E796"/>
          <cell r="F796">
            <v>1</v>
          </cell>
          <cell r="G796">
            <v>3</v>
          </cell>
          <cell r="H796">
            <v>0.29699999999999999</v>
          </cell>
          <cell r="I796">
            <v>1.563157894736842E-2</v>
          </cell>
          <cell r="J796">
            <v>19</v>
          </cell>
          <cell r="K796">
            <v>2</v>
          </cell>
          <cell r="L796">
            <v>5</v>
          </cell>
          <cell r="M796">
            <v>10</v>
          </cell>
          <cell r="N796">
            <v>20</v>
          </cell>
          <cell r="O796">
            <v>30</v>
          </cell>
          <cell r="P796">
            <v>60</v>
          </cell>
        </row>
        <row r="797">
          <cell r="A797" t="str">
            <v>HFRHS120x60x3</v>
          </cell>
          <cell r="B797" t="str">
            <v>a=1.0 x t</v>
          </cell>
          <cell r="C797">
            <v>3</v>
          </cell>
          <cell r="D797"/>
          <cell r="E797"/>
          <cell r="F797">
            <v>1</v>
          </cell>
          <cell r="G797">
            <v>1</v>
          </cell>
          <cell r="H797">
            <v>0.35</v>
          </cell>
          <cell r="I797">
            <v>4.3749999999999997E-2</v>
          </cell>
          <cell r="J797">
            <v>8</v>
          </cell>
          <cell r="K797">
            <v>2</v>
          </cell>
          <cell r="L797">
            <v>5</v>
          </cell>
          <cell r="M797">
            <v>10</v>
          </cell>
          <cell r="N797">
            <v>20</v>
          </cell>
          <cell r="O797">
            <v>30</v>
          </cell>
          <cell r="P797">
            <v>60</v>
          </cell>
        </row>
        <row r="798">
          <cell r="A798" t="str">
            <v>HFRHS120x60x3.2</v>
          </cell>
          <cell r="B798" t="str">
            <v>a=1.0 x t</v>
          </cell>
          <cell r="C798">
            <v>3.2</v>
          </cell>
          <cell r="D798"/>
          <cell r="E798"/>
          <cell r="F798">
            <v>1</v>
          </cell>
          <cell r="G798">
            <v>1</v>
          </cell>
          <cell r="H798">
            <v>0.35199999999999998</v>
          </cell>
          <cell r="I798">
            <v>4.0930232558139532E-2</v>
          </cell>
          <cell r="J798">
            <v>8.6</v>
          </cell>
          <cell r="K798">
            <v>2</v>
          </cell>
          <cell r="L798">
            <v>5</v>
          </cell>
          <cell r="M798">
            <v>10</v>
          </cell>
          <cell r="N798">
            <v>20</v>
          </cell>
          <cell r="O798">
            <v>30</v>
          </cell>
          <cell r="P798">
            <v>60</v>
          </cell>
        </row>
        <row r="799">
          <cell r="A799" t="str">
            <v>HFRHS120x60x3.6</v>
          </cell>
          <cell r="B799" t="str">
            <v>a=1.0 x t</v>
          </cell>
          <cell r="C799">
            <v>3.6</v>
          </cell>
          <cell r="D799"/>
          <cell r="E799"/>
          <cell r="F799">
            <v>1</v>
          </cell>
          <cell r="G799">
            <v>1</v>
          </cell>
          <cell r="H799">
            <v>0.35099999999999998</v>
          </cell>
          <cell r="I799">
            <v>3.6185567010309276E-2</v>
          </cell>
          <cell r="J799">
            <v>9.6999999999999993</v>
          </cell>
          <cell r="K799">
            <v>2</v>
          </cell>
          <cell r="L799">
            <v>5</v>
          </cell>
          <cell r="M799">
            <v>10</v>
          </cell>
          <cell r="N799">
            <v>20</v>
          </cell>
          <cell r="O799">
            <v>30</v>
          </cell>
          <cell r="P799">
            <v>60</v>
          </cell>
        </row>
        <row r="800">
          <cell r="A800" t="str">
            <v>HFRHS120x60x4</v>
          </cell>
          <cell r="B800" t="str">
            <v>a=1.0 x t</v>
          </cell>
          <cell r="C800">
            <v>4</v>
          </cell>
          <cell r="D800"/>
          <cell r="E800"/>
          <cell r="F800">
            <v>1</v>
          </cell>
          <cell r="G800">
            <v>1</v>
          </cell>
          <cell r="H800">
            <v>0.35</v>
          </cell>
          <cell r="I800">
            <v>3.2710280373831772E-2</v>
          </cell>
          <cell r="J800">
            <v>10.7</v>
          </cell>
          <cell r="K800">
            <v>2</v>
          </cell>
          <cell r="L800">
            <v>5</v>
          </cell>
          <cell r="M800">
            <v>10</v>
          </cell>
          <cell r="N800">
            <v>20</v>
          </cell>
          <cell r="O800">
            <v>30</v>
          </cell>
          <cell r="P800">
            <v>60</v>
          </cell>
        </row>
        <row r="801">
          <cell r="A801" t="str">
            <v>HFRHS120x60x5</v>
          </cell>
          <cell r="B801" t="str">
            <v>a=1.0 x t</v>
          </cell>
          <cell r="C801">
            <v>5</v>
          </cell>
          <cell r="D801"/>
          <cell r="E801"/>
          <cell r="F801">
            <v>1</v>
          </cell>
          <cell r="G801">
            <v>1</v>
          </cell>
          <cell r="H801">
            <v>0.34699999999999998</v>
          </cell>
          <cell r="I801">
            <v>2.648854961832061E-2</v>
          </cell>
          <cell r="J801">
            <v>13.1</v>
          </cell>
          <cell r="K801">
            <v>2</v>
          </cell>
          <cell r="L801">
            <v>5</v>
          </cell>
          <cell r="M801">
            <v>10</v>
          </cell>
          <cell r="N801">
            <v>20</v>
          </cell>
          <cell r="O801">
            <v>30</v>
          </cell>
          <cell r="P801">
            <v>60</v>
          </cell>
        </row>
        <row r="802">
          <cell r="A802" t="str">
            <v>HFRHS120x60x6.3</v>
          </cell>
          <cell r="B802" t="str">
            <v>a=1.0 x t</v>
          </cell>
          <cell r="C802">
            <v>6.3</v>
          </cell>
          <cell r="D802"/>
          <cell r="E802"/>
          <cell r="F802">
            <v>1</v>
          </cell>
          <cell r="G802">
            <v>2</v>
          </cell>
          <cell r="H802">
            <v>0.34399999999999997</v>
          </cell>
          <cell r="I802">
            <v>2.1234567901234565E-2</v>
          </cell>
          <cell r="J802">
            <v>16.2</v>
          </cell>
          <cell r="K802">
            <v>2</v>
          </cell>
          <cell r="L802">
            <v>5</v>
          </cell>
          <cell r="M802">
            <v>10</v>
          </cell>
          <cell r="N802">
            <v>20</v>
          </cell>
          <cell r="O802">
            <v>30</v>
          </cell>
          <cell r="P802">
            <v>60</v>
          </cell>
        </row>
        <row r="803">
          <cell r="A803" t="str">
            <v>HFRHS120x60x7.1</v>
          </cell>
          <cell r="B803" t="str">
            <v>a=1.0 x t</v>
          </cell>
          <cell r="C803">
            <v>7.1</v>
          </cell>
          <cell r="D803"/>
          <cell r="E803"/>
          <cell r="F803">
            <v>1</v>
          </cell>
          <cell r="G803">
            <v>3</v>
          </cell>
          <cell r="H803">
            <v>0.34200000000000003</v>
          </cell>
          <cell r="I803">
            <v>1.8895027624309391E-2</v>
          </cell>
          <cell r="J803">
            <v>18.100000000000001</v>
          </cell>
          <cell r="K803">
            <v>2</v>
          </cell>
          <cell r="L803">
            <v>5</v>
          </cell>
          <cell r="M803">
            <v>10</v>
          </cell>
          <cell r="N803">
            <v>20</v>
          </cell>
          <cell r="O803">
            <v>30</v>
          </cell>
          <cell r="P803">
            <v>60</v>
          </cell>
        </row>
        <row r="804">
          <cell r="A804" t="str">
            <v>HFRHS120x60x8</v>
          </cell>
          <cell r="B804" t="str">
            <v>a=1.0 x t</v>
          </cell>
          <cell r="C804">
            <v>8</v>
          </cell>
          <cell r="D804"/>
          <cell r="E804"/>
          <cell r="F804">
            <v>2</v>
          </cell>
          <cell r="G804">
            <v>3</v>
          </cell>
          <cell r="H804">
            <v>0.33900000000000002</v>
          </cell>
          <cell r="I804">
            <v>1.6865671641791046E-2</v>
          </cell>
          <cell r="J804">
            <v>20.100000000000001</v>
          </cell>
          <cell r="K804">
            <v>5</v>
          </cell>
          <cell r="L804">
            <v>10</v>
          </cell>
          <cell r="M804">
            <v>20</v>
          </cell>
          <cell r="N804">
            <v>30</v>
          </cell>
          <cell r="O804">
            <v>60</v>
          </cell>
          <cell r="P804">
            <v>90</v>
          </cell>
        </row>
        <row r="805">
          <cell r="A805" t="str">
            <v>HFRHS120x60x8.8</v>
          </cell>
          <cell r="B805" t="str">
            <v>a=1.0 x t</v>
          </cell>
          <cell r="C805">
            <v>8.8000000000000007</v>
          </cell>
          <cell r="D805"/>
          <cell r="E805"/>
          <cell r="F805">
            <v>2</v>
          </cell>
          <cell r="G805">
            <v>3</v>
          </cell>
          <cell r="H805">
            <v>0.33700000000000002</v>
          </cell>
          <cell r="I805">
            <v>1.5458715596330276E-2</v>
          </cell>
          <cell r="J805">
            <v>21.8</v>
          </cell>
          <cell r="K805">
            <v>5</v>
          </cell>
          <cell r="L805">
            <v>10</v>
          </cell>
          <cell r="M805">
            <v>20</v>
          </cell>
          <cell r="N805">
            <v>30</v>
          </cell>
          <cell r="O805">
            <v>60</v>
          </cell>
          <cell r="P805">
            <v>90</v>
          </cell>
        </row>
        <row r="806">
          <cell r="A806" t="str">
            <v>HFRHS120x80x3.6</v>
          </cell>
          <cell r="B806" t="str">
            <v>a=1.0 x t</v>
          </cell>
          <cell r="C806">
            <v>3.6</v>
          </cell>
          <cell r="D806"/>
          <cell r="E806"/>
          <cell r="F806">
            <v>1</v>
          </cell>
          <cell r="G806">
            <v>1</v>
          </cell>
          <cell r="H806">
            <v>0.39100000000000001</v>
          </cell>
          <cell r="I806">
            <v>3.6203703703703703E-2</v>
          </cell>
          <cell r="J806">
            <v>10.8</v>
          </cell>
          <cell r="K806">
            <v>2</v>
          </cell>
          <cell r="L806">
            <v>5</v>
          </cell>
          <cell r="M806">
            <v>10</v>
          </cell>
          <cell r="N806">
            <v>20</v>
          </cell>
          <cell r="O806">
            <v>30</v>
          </cell>
          <cell r="P806">
            <v>60</v>
          </cell>
        </row>
        <row r="807">
          <cell r="A807" t="str">
            <v>HFRHS120x80x4</v>
          </cell>
          <cell r="B807" t="str">
            <v>a=1.0 x t</v>
          </cell>
          <cell r="C807">
            <v>4</v>
          </cell>
          <cell r="D807"/>
          <cell r="E807"/>
          <cell r="F807">
            <v>1</v>
          </cell>
          <cell r="G807">
            <v>1</v>
          </cell>
          <cell r="H807">
            <v>0.39</v>
          </cell>
          <cell r="I807">
            <v>3.2773109243697481E-2</v>
          </cell>
          <cell r="J807">
            <v>11.9</v>
          </cell>
          <cell r="K807">
            <v>2</v>
          </cell>
          <cell r="L807">
            <v>5</v>
          </cell>
          <cell r="M807">
            <v>10</v>
          </cell>
          <cell r="N807">
            <v>20</v>
          </cell>
          <cell r="O807">
            <v>30</v>
          </cell>
          <cell r="P807">
            <v>60</v>
          </cell>
        </row>
        <row r="808">
          <cell r="A808" t="str">
            <v>HFRHS120x80x5</v>
          </cell>
          <cell r="B808" t="str">
            <v>a=1.0 x t</v>
          </cell>
          <cell r="C808">
            <v>5</v>
          </cell>
          <cell r="D808"/>
          <cell r="E808"/>
          <cell r="F808">
            <v>1</v>
          </cell>
          <cell r="G808">
            <v>1</v>
          </cell>
          <cell r="H808">
            <v>0.38700000000000001</v>
          </cell>
          <cell r="I808">
            <v>2.6326530612244901E-2</v>
          </cell>
          <cell r="J808">
            <v>14.7</v>
          </cell>
          <cell r="K808">
            <v>2</v>
          </cell>
          <cell r="L808">
            <v>5</v>
          </cell>
          <cell r="M808">
            <v>10</v>
          </cell>
          <cell r="N808">
            <v>20</v>
          </cell>
          <cell r="O808">
            <v>30</v>
          </cell>
          <cell r="P808">
            <v>60</v>
          </cell>
        </row>
        <row r="809">
          <cell r="A809" t="str">
            <v>HFRHS120x80x6.3</v>
          </cell>
          <cell r="B809" t="str">
            <v>a=1.0 x t</v>
          </cell>
          <cell r="C809">
            <v>6.3</v>
          </cell>
          <cell r="D809"/>
          <cell r="E809"/>
          <cell r="F809">
            <v>1</v>
          </cell>
          <cell r="G809">
            <v>2</v>
          </cell>
          <cell r="H809">
            <v>0.38400000000000001</v>
          </cell>
          <cell r="I809">
            <v>2.1098901098901099E-2</v>
          </cell>
          <cell r="J809">
            <v>18.2</v>
          </cell>
          <cell r="K809">
            <v>2</v>
          </cell>
          <cell r="L809">
            <v>5</v>
          </cell>
          <cell r="M809">
            <v>10</v>
          </cell>
          <cell r="N809">
            <v>20</v>
          </cell>
          <cell r="O809">
            <v>30</v>
          </cell>
          <cell r="P809">
            <v>60</v>
          </cell>
        </row>
        <row r="810">
          <cell r="A810" t="str">
            <v>HFRHS120x80x7.1</v>
          </cell>
          <cell r="B810" t="str">
            <v>a=1.0 x t</v>
          </cell>
          <cell r="C810">
            <v>7.1</v>
          </cell>
          <cell r="D810"/>
          <cell r="E810"/>
          <cell r="F810">
            <v>2</v>
          </cell>
          <cell r="G810">
            <v>3</v>
          </cell>
          <cell r="H810">
            <v>0.38200000000000001</v>
          </cell>
          <cell r="I810">
            <v>1.8817733990147783E-2</v>
          </cell>
          <cell r="J810">
            <v>20.3</v>
          </cell>
          <cell r="K810">
            <v>5</v>
          </cell>
          <cell r="L810">
            <v>10</v>
          </cell>
          <cell r="M810">
            <v>20</v>
          </cell>
          <cell r="N810">
            <v>30</v>
          </cell>
          <cell r="O810">
            <v>60</v>
          </cell>
          <cell r="P810">
            <v>90</v>
          </cell>
        </row>
        <row r="811">
          <cell r="A811" t="str">
            <v>HFRHS120x80x8</v>
          </cell>
          <cell r="B811" t="str">
            <v>a=1.0 x t</v>
          </cell>
          <cell r="C811">
            <v>8</v>
          </cell>
          <cell r="D811"/>
          <cell r="E811"/>
          <cell r="F811">
            <v>2</v>
          </cell>
          <cell r="G811">
            <v>3</v>
          </cell>
          <cell r="H811">
            <v>0.379</v>
          </cell>
          <cell r="I811">
            <v>1.6769911504424778E-2</v>
          </cell>
          <cell r="J811">
            <v>22.6</v>
          </cell>
          <cell r="K811">
            <v>5</v>
          </cell>
          <cell r="L811">
            <v>10</v>
          </cell>
          <cell r="M811">
            <v>20</v>
          </cell>
          <cell r="N811">
            <v>30</v>
          </cell>
          <cell r="O811">
            <v>60</v>
          </cell>
          <cell r="P811">
            <v>90</v>
          </cell>
        </row>
        <row r="812">
          <cell r="A812" t="str">
            <v>HFRHS120x80x8.8</v>
          </cell>
          <cell r="B812" t="str">
            <v>a=1.0 x t</v>
          </cell>
          <cell r="C812">
            <v>8.8000000000000007</v>
          </cell>
          <cell r="D812"/>
          <cell r="E812"/>
          <cell r="F812">
            <v>2</v>
          </cell>
          <cell r="G812">
            <v>3</v>
          </cell>
          <cell r="H812">
            <v>0.377</v>
          </cell>
          <cell r="I812">
            <v>1.5325203252032519E-2</v>
          </cell>
          <cell r="J812">
            <v>24.6</v>
          </cell>
          <cell r="K812">
            <v>5</v>
          </cell>
          <cell r="L812">
            <v>10</v>
          </cell>
          <cell r="M812">
            <v>20</v>
          </cell>
          <cell r="N812">
            <v>30</v>
          </cell>
          <cell r="O812">
            <v>60</v>
          </cell>
          <cell r="P812">
            <v>90</v>
          </cell>
        </row>
        <row r="813">
          <cell r="A813" t="str">
            <v>HFRHS120x80x10</v>
          </cell>
          <cell r="B813" t="str">
            <v>a=1.0 x t</v>
          </cell>
          <cell r="C813">
            <v>10</v>
          </cell>
          <cell r="D813"/>
          <cell r="E813"/>
          <cell r="F813">
            <v>2</v>
          </cell>
          <cell r="G813">
            <v>6</v>
          </cell>
          <cell r="H813">
            <v>0.374</v>
          </cell>
          <cell r="I813">
            <v>1.3649635036496351E-2</v>
          </cell>
          <cell r="J813">
            <v>27.4</v>
          </cell>
          <cell r="K813">
            <v>5</v>
          </cell>
          <cell r="L813">
            <v>10</v>
          </cell>
          <cell r="M813">
            <v>20</v>
          </cell>
          <cell r="N813">
            <v>30</v>
          </cell>
          <cell r="O813">
            <v>60</v>
          </cell>
          <cell r="P813">
            <v>90</v>
          </cell>
        </row>
        <row r="814">
          <cell r="A814" t="str">
            <v>HFRHS150x100x4</v>
          </cell>
          <cell r="B814" t="str">
            <v>a=1.0 x t</v>
          </cell>
          <cell r="C814">
            <v>4</v>
          </cell>
          <cell r="D814"/>
          <cell r="E814"/>
          <cell r="F814">
            <v>1</v>
          </cell>
          <cell r="G814">
            <v>1</v>
          </cell>
          <cell r="H814">
            <v>0.49</v>
          </cell>
          <cell r="I814">
            <v>3.2450331125827812E-2</v>
          </cell>
          <cell r="J814">
            <v>15.1</v>
          </cell>
          <cell r="K814">
            <v>2</v>
          </cell>
          <cell r="L814">
            <v>5</v>
          </cell>
          <cell r="M814">
            <v>10</v>
          </cell>
          <cell r="N814">
            <v>20</v>
          </cell>
          <cell r="O814">
            <v>30</v>
          </cell>
          <cell r="P814">
            <v>60</v>
          </cell>
        </row>
        <row r="815">
          <cell r="A815" t="str">
            <v>HFRHS150x100x5</v>
          </cell>
          <cell r="B815" t="str">
            <v>a=1.0 x t</v>
          </cell>
          <cell r="C815">
            <v>5</v>
          </cell>
          <cell r="D815"/>
          <cell r="E815"/>
          <cell r="F815">
            <v>1</v>
          </cell>
          <cell r="G815">
            <v>1</v>
          </cell>
          <cell r="H815">
            <v>0.48699999999999999</v>
          </cell>
          <cell r="I815">
            <v>2.6182795698924729E-2</v>
          </cell>
          <cell r="J815">
            <v>18.600000000000001</v>
          </cell>
          <cell r="K815">
            <v>2</v>
          </cell>
          <cell r="L815">
            <v>5</v>
          </cell>
          <cell r="M815">
            <v>10</v>
          </cell>
          <cell r="N815">
            <v>20</v>
          </cell>
          <cell r="O815">
            <v>30</v>
          </cell>
          <cell r="P815">
            <v>60</v>
          </cell>
        </row>
        <row r="816">
          <cell r="A816" t="str">
            <v>HFRHS150x100x6.3</v>
          </cell>
          <cell r="B816" t="str">
            <v>a=1.0 x t</v>
          </cell>
          <cell r="C816">
            <v>6.3</v>
          </cell>
          <cell r="D816"/>
          <cell r="E816"/>
          <cell r="F816">
            <v>2</v>
          </cell>
          <cell r="G816">
            <v>2</v>
          </cell>
          <cell r="H816">
            <v>0.48399999999999999</v>
          </cell>
          <cell r="I816">
            <v>2.086206896551724E-2</v>
          </cell>
          <cell r="J816">
            <v>23.2</v>
          </cell>
          <cell r="K816">
            <v>5</v>
          </cell>
          <cell r="L816">
            <v>10</v>
          </cell>
          <cell r="M816">
            <v>20</v>
          </cell>
          <cell r="N816">
            <v>30</v>
          </cell>
          <cell r="O816">
            <v>60</v>
          </cell>
          <cell r="P816">
            <v>90</v>
          </cell>
        </row>
        <row r="817">
          <cell r="A817" t="str">
            <v>HFRHS150x100x7.1</v>
          </cell>
          <cell r="B817" t="str">
            <v>a=1.0 x t</v>
          </cell>
          <cell r="C817">
            <v>7.1</v>
          </cell>
          <cell r="D817"/>
          <cell r="E817"/>
          <cell r="F817">
            <v>2</v>
          </cell>
          <cell r="G817">
            <v>3</v>
          </cell>
          <cell r="H817">
            <v>0.48199999999999998</v>
          </cell>
          <cell r="I817">
            <v>1.8682170542635657E-2</v>
          </cell>
          <cell r="J817">
            <v>25.8</v>
          </cell>
          <cell r="K817">
            <v>5</v>
          </cell>
          <cell r="L817">
            <v>10</v>
          </cell>
          <cell r="M817">
            <v>20</v>
          </cell>
          <cell r="N817">
            <v>30</v>
          </cell>
          <cell r="O817">
            <v>60</v>
          </cell>
          <cell r="P817">
            <v>90</v>
          </cell>
        </row>
        <row r="818">
          <cell r="A818" t="str">
            <v>HFRHS150x100x8</v>
          </cell>
          <cell r="B818" t="str">
            <v>a=1.0 x t</v>
          </cell>
          <cell r="C818">
            <v>8</v>
          </cell>
          <cell r="D818"/>
          <cell r="E818"/>
          <cell r="F818">
            <v>2</v>
          </cell>
          <cell r="G818">
            <v>3</v>
          </cell>
          <cell r="H818">
            <v>0.47899999999999998</v>
          </cell>
          <cell r="I818">
            <v>1.6574394463667819E-2</v>
          </cell>
          <cell r="J818">
            <v>28.9</v>
          </cell>
          <cell r="K818">
            <v>5</v>
          </cell>
          <cell r="L818">
            <v>10</v>
          </cell>
          <cell r="M818">
            <v>20</v>
          </cell>
          <cell r="N818">
            <v>30</v>
          </cell>
          <cell r="O818">
            <v>60</v>
          </cell>
          <cell r="P818">
            <v>90</v>
          </cell>
        </row>
        <row r="819">
          <cell r="A819" t="str">
            <v>HFRHS150x100x8.8</v>
          </cell>
          <cell r="B819" t="str">
            <v>a=1.0 x t</v>
          </cell>
          <cell r="C819">
            <v>8.8000000000000007</v>
          </cell>
          <cell r="D819"/>
          <cell r="E819"/>
          <cell r="F819">
            <v>2</v>
          </cell>
          <cell r="G819">
            <v>3</v>
          </cell>
          <cell r="H819">
            <v>0.47699999999999998</v>
          </cell>
          <cell r="I819">
            <v>1.5142857142857142E-2</v>
          </cell>
          <cell r="J819">
            <v>31.5</v>
          </cell>
          <cell r="K819">
            <v>5</v>
          </cell>
          <cell r="L819">
            <v>10</v>
          </cell>
          <cell r="M819">
            <v>20</v>
          </cell>
          <cell r="N819">
            <v>30</v>
          </cell>
          <cell r="O819">
            <v>60</v>
          </cell>
          <cell r="P819">
            <v>90</v>
          </cell>
        </row>
        <row r="820">
          <cell r="A820" t="str">
            <v>HFRHS150x100x10</v>
          </cell>
          <cell r="B820" t="str">
            <v>a=1.0 x t</v>
          </cell>
          <cell r="C820">
            <v>10</v>
          </cell>
          <cell r="D820"/>
          <cell r="E820"/>
          <cell r="F820">
            <v>2</v>
          </cell>
          <cell r="G820">
            <v>6</v>
          </cell>
          <cell r="H820">
            <v>0.47399999999999998</v>
          </cell>
          <cell r="I820">
            <v>1.3465909090909089E-2</v>
          </cell>
          <cell r="J820">
            <v>35.200000000000003</v>
          </cell>
          <cell r="K820">
            <v>5</v>
          </cell>
          <cell r="L820">
            <v>10</v>
          </cell>
          <cell r="M820">
            <v>20</v>
          </cell>
          <cell r="N820">
            <v>30</v>
          </cell>
          <cell r="O820">
            <v>60</v>
          </cell>
          <cell r="P820">
            <v>90</v>
          </cell>
        </row>
        <row r="821">
          <cell r="A821" t="str">
            <v>HFRHS150x100x12.5</v>
          </cell>
          <cell r="B821" t="str">
            <v>a=1.0 x t</v>
          </cell>
          <cell r="C821">
            <v>12.5</v>
          </cell>
          <cell r="D821"/>
          <cell r="E821" t="str">
            <v>Jah</v>
          </cell>
          <cell r="F821">
            <v>2</v>
          </cell>
          <cell r="G821">
            <v>6</v>
          </cell>
          <cell r="H821">
            <v>0.46800000000000003</v>
          </cell>
          <cell r="I821">
            <v>1.090909090909091E-2</v>
          </cell>
          <cell r="J821">
            <v>42.9</v>
          </cell>
          <cell r="K821">
            <v>5</v>
          </cell>
          <cell r="L821">
            <v>10</v>
          </cell>
          <cell r="M821">
            <v>20</v>
          </cell>
          <cell r="N821">
            <v>30</v>
          </cell>
          <cell r="O821">
            <v>60</v>
          </cell>
          <cell r="P821">
            <v>90</v>
          </cell>
        </row>
        <row r="822">
          <cell r="A822" t="str">
            <v>HFRHS160x80x4</v>
          </cell>
          <cell r="B822" t="str">
            <v>a=1.0 x t</v>
          </cell>
          <cell r="C822">
            <v>4</v>
          </cell>
          <cell r="D822"/>
          <cell r="E822"/>
          <cell r="F822">
            <v>1</v>
          </cell>
          <cell r="G822">
            <v>1</v>
          </cell>
          <cell r="H822">
            <v>0.47</v>
          </cell>
          <cell r="I822">
            <v>3.2638888888888884E-2</v>
          </cell>
          <cell r="J822">
            <v>14.4</v>
          </cell>
          <cell r="K822">
            <v>2</v>
          </cell>
          <cell r="L822">
            <v>5</v>
          </cell>
          <cell r="M822">
            <v>10</v>
          </cell>
          <cell r="N822">
            <v>20</v>
          </cell>
          <cell r="O822">
            <v>30</v>
          </cell>
          <cell r="P822">
            <v>60</v>
          </cell>
        </row>
        <row r="823">
          <cell r="A823" t="str">
            <v>HFRHS160x80x5</v>
          </cell>
          <cell r="B823" t="str">
            <v>a=1.0 x t</v>
          </cell>
          <cell r="C823">
            <v>5</v>
          </cell>
          <cell r="D823"/>
          <cell r="E823"/>
          <cell r="F823">
            <v>1</v>
          </cell>
          <cell r="G823">
            <v>2</v>
          </cell>
          <cell r="H823">
            <v>0.46700000000000003</v>
          </cell>
          <cell r="I823">
            <v>2.6235955056179774E-2</v>
          </cell>
          <cell r="J823">
            <v>17.8</v>
          </cell>
          <cell r="K823">
            <v>2</v>
          </cell>
          <cell r="L823">
            <v>5</v>
          </cell>
          <cell r="M823">
            <v>10</v>
          </cell>
          <cell r="N823">
            <v>20</v>
          </cell>
          <cell r="O823">
            <v>30</v>
          </cell>
          <cell r="P823">
            <v>60</v>
          </cell>
        </row>
        <row r="824">
          <cell r="A824" t="str">
            <v>HFRHS160x80x6.3</v>
          </cell>
          <cell r="B824" t="str">
            <v>a=1.0 x t</v>
          </cell>
          <cell r="C824">
            <v>6.3</v>
          </cell>
          <cell r="D824"/>
          <cell r="E824"/>
          <cell r="F824">
            <v>2</v>
          </cell>
          <cell r="G824">
            <v>2</v>
          </cell>
          <cell r="H824">
            <v>0.46400000000000002</v>
          </cell>
          <cell r="I824">
            <v>2.0995475113122171E-2</v>
          </cell>
          <cell r="J824">
            <v>22.1</v>
          </cell>
          <cell r="K824">
            <v>5</v>
          </cell>
          <cell r="L824">
            <v>10</v>
          </cell>
          <cell r="M824">
            <v>20</v>
          </cell>
          <cell r="N824">
            <v>30</v>
          </cell>
          <cell r="O824">
            <v>60</v>
          </cell>
          <cell r="P824">
            <v>90</v>
          </cell>
        </row>
        <row r="825">
          <cell r="A825" t="str">
            <v>HFRHS160x80x7.1</v>
          </cell>
          <cell r="B825" t="str">
            <v>a=1.0 x t</v>
          </cell>
          <cell r="C825">
            <v>7.1</v>
          </cell>
          <cell r="D825"/>
          <cell r="E825"/>
          <cell r="F825">
            <v>2</v>
          </cell>
          <cell r="G825">
            <v>3</v>
          </cell>
          <cell r="H825">
            <v>0.46200000000000002</v>
          </cell>
          <cell r="I825">
            <v>1.8704453441295548E-2</v>
          </cell>
          <cell r="J825">
            <v>24.7</v>
          </cell>
          <cell r="K825">
            <v>5</v>
          </cell>
          <cell r="L825">
            <v>10</v>
          </cell>
          <cell r="M825">
            <v>20</v>
          </cell>
          <cell r="N825">
            <v>30</v>
          </cell>
          <cell r="O825">
            <v>60</v>
          </cell>
          <cell r="P825">
            <v>90</v>
          </cell>
        </row>
        <row r="826">
          <cell r="A826" t="str">
            <v>HFRHS160x80x8</v>
          </cell>
          <cell r="B826" t="str">
            <v>a=1.0 x t</v>
          </cell>
          <cell r="C826">
            <v>8</v>
          </cell>
          <cell r="D826"/>
          <cell r="E826"/>
          <cell r="F826">
            <v>2</v>
          </cell>
          <cell r="G826">
            <v>3</v>
          </cell>
          <cell r="H826">
            <v>0.45900000000000002</v>
          </cell>
          <cell r="I826">
            <v>1.6630434782608696E-2</v>
          </cell>
          <cell r="J826">
            <v>27.6</v>
          </cell>
          <cell r="K826">
            <v>5</v>
          </cell>
          <cell r="L826">
            <v>10</v>
          </cell>
          <cell r="M826">
            <v>20</v>
          </cell>
          <cell r="N826">
            <v>30</v>
          </cell>
          <cell r="O826">
            <v>60</v>
          </cell>
          <cell r="P826">
            <v>90</v>
          </cell>
        </row>
        <row r="827">
          <cell r="A827" t="str">
            <v>HFRHS160x80x8.8</v>
          </cell>
          <cell r="B827" t="str">
            <v>a=1.0 x t</v>
          </cell>
          <cell r="C827">
            <v>8.8000000000000007</v>
          </cell>
          <cell r="D827"/>
          <cell r="E827"/>
          <cell r="F827">
            <v>2</v>
          </cell>
          <cell r="G827">
            <v>3</v>
          </cell>
          <cell r="H827">
            <v>0.45700000000000002</v>
          </cell>
          <cell r="I827">
            <v>1.5182724252491694E-2</v>
          </cell>
          <cell r="J827">
            <v>30.1</v>
          </cell>
          <cell r="K827">
            <v>5</v>
          </cell>
          <cell r="L827">
            <v>10</v>
          </cell>
          <cell r="M827">
            <v>20</v>
          </cell>
          <cell r="N827">
            <v>30</v>
          </cell>
          <cell r="O827">
            <v>60</v>
          </cell>
          <cell r="P827">
            <v>90</v>
          </cell>
        </row>
        <row r="828">
          <cell r="A828" t="str">
            <v>HFRHS160x80x10</v>
          </cell>
          <cell r="B828" t="str">
            <v>a=1.0 x t</v>
          </cell>
          <cell r="C828">
            <v>10</v>
          </cell>
          <cell r="D828"/>
          <cell r="E828"/>
          <cell r="F828">
            <v>2</v>
          </cell>
          <cell r="G828">
            <v>6</v>
          </cell>
          <cell r="H828">
            <v>0.45400000000000001</v>
          </cell>
          <cell r="I828">
            <v>1.3471810089020771E-2</v>
          </cell>
          <cell r="J828">
            <v>33.700000000000003</v>
          </cell>
          <cell r="K828">
            <v>5</v>
          </cell>
          <cell r="L828">
            <v>10</v>
          </cell>
          <cell r="M828">
            <v>20</v>
          </cell>
          <cell r="N828">
            <v>30</v>
          </cell>
          <cell r="O828">
            <v>60</v>
          </cell>
          <cell r="P828">
            <v>90</v>
          </cell>
        </row>
        <row r="829">
          <cell r="A829" t="str">
            <v>HFRHS160x80x12.5</v>
          </cell>
          <cell r="B829" t="str">
            <v>a=1.0 x t</v>
          </cell>
          <cell r="C829">
            <v>12.5</v>
          </cell>
          <cell r="D829"/>
          <cell r="E829" t="str">
            <v>Jah</v>
          </cell>
          <cell r="F829">
            <v>2</v>
          </cell>
          <cell r="G829">
            <v>6</v>
          </cell>
          <cell r="H829">
            <v>0.44800000000000001</v>
          </cell>
          <cell r="I829">
            <v>1.0953545232273839E-2</v>
          </cell>
          <cell r="J829">
            <v>40.9</v>
          </cell>
          <cell r="K829">
            <v>5</v>
          </cell>
          <cell r="L829">
            <v>10</v>
          </cell>
          <cell r="M829">
            <v>20</v>
          </cell>
          <cell r="N829">
            <v>30</v>
          </cell>
          <cell r="O829">
            <v>60</v>
          </cell>
          <cell r="P829">
            <v>90</v>
          </cell>
        </row>
        <row r="830">
          <cell r="A830" t="str">
            <v>HFRHS180x60x4</v>
          </cell>
          <cell r="B830" t="str">
            <v>a=1.0 x t</v>
          </cell>
          <cell r="C830">
            <v>4</v>
          </cell>
          <cell r="D830"/>
          <cell r="E830"/>
          <cell r="F830">
            <v>1</v>
          </cell>
          <cell r="G830">
            <v>1</v>
          </cell>
          <cell r="H830">
            <v>0.47</v>
          </cell>
          <cell r="I830">
            <v>3.2638888888888884E-2</v>
          </cell>
          <cell r="J830">
            <v>14.4</v>
          </cell>
          <cell r="K830">
            <v>2</v>
          </cell>
          <cell r="L830">
            <v>5</v>
          </cell>
          <cell r="M830">
            <v>10</v>
          </cell>
          <cell r="N830">
            <v>20</v>
          </cell>
          <cell r="O830">
            <v>30</v>
          </cell>
          <cell r="P830">
            <v>60</v>
          </cell>
        </row>
        <row r="831">
          <cell r="A831" t="str">
            <v>HFRHS180x60x5</v>
          </cell>
          <cell r="B831" t="str">
            <v>a=1.0 x t</v>
          </cell>
          <cell r="C831">
            <v>5</v>
          </cell>
          <cell r="D831"/>
          <cell r="E831"/>
          <cell r="F831">
            <v>1</v>
          </cell>
          <cell r="G831">
            <v>2</v>
          </cell>
          <cell r="H831">
            <v>0.46700000000000003</v>
          </cell>
          <cell r="I831">
            <v>2.6235955056179774E-2</v>
          </cell>
          <cell r="J831">
            <v>17.8</v>
          </cell>
          <cell r="K831">
            <v>2</v>
          </cell>
          <cell r="L831">
            <v>5</v>
          </cell>
          <cell r="M831">
            <v>10</v>
          </cell>
          <cell r="N831">
            <v>20</v>
          </cell>
          <cell r="O831">
            <v>30</v>
          </cell>
          <cell r="P831">
            <v>60</v>
          </cell>
        </row>
        <row r="832">
          <cell r="A832" t="str">
            <v>HFRHS180x60x6.3</v>
          </cell>
          <cell r="B832" t="str">
            <v>a=1.0 x t</v>
          </cell>
          <cell r="C832">
            <v>6.3</v>
          </cell>
          <cell r="D832"/>
          <cell r="E832"/>
          <cell r="F832">
            <v>2</v>
          </cell>
          <cell r="G832">
            <v>2</v>
          </cell>
          <cell r="H832">
            <v>0.46400000000000002</v>
          </cell>
          <cell r="I832">
            <v>2.0995475113122171E-2</v>
          </cell>
          <cell r="J832">
            <v>22.1</v>
          </cell>
          <cell r="K832">
            <v>5</v>
          </cell>
          <cell r="L832">
            <v>10</v>
          </cell>
          <cell r="M832">
            <v>20</v>
          </cell>
          <cell r="N832">
            <v>30</v>
          </cell>
          <cell r="O832">
            <v>60</v>
          </cell>
          <cell r="P832">
            <v>90</v>
          </cell>
        </row>
        <row r="833">
          <cell r="A833" t="str">
            <v>HFRHS180x60x7.1</v>
          </cell>
          <cell r="B833" t="str">
            <v>a=1.0 x t</v>
          </cell>
          <cell r="C833">
            <v>7.1</v>
          </cell>
          <cell r="D833"/>
          <cell r="E833"/>
          <cell r="F833">
            <v>2</v>
          </cell>
          <cell r="G833">
            <v>3</v>
          </cell>
          <cell r="H833">
            <v>0.46200000000000002</v>
          </cell>
          <cell r="I833">
            <v>1.8704453441295548E-2</v>
          </cell>
          <cell r="J833">
            <v>24.7</v>
          </cell>
          <cell r="K833">
            <v>5</v>
          </cell>
          <cell r="L833">
            <v>10</v>
          </cell>
          <cell r="M833">
            <v>20</v>
          </cell>
          <cell r="N833">
            <v>30</v>
          </cell>
          <cell r="O833">
            <v>60</v>
          </cell>
          <cell r="P833">
            <v>90</v>
          </cell>
        </row>
        <row r="834">
          <cell r="A834" t="str">
            <v>HFRHS180x60x8</v>
          </cell>
          <cell r="B834" t="str">
            <v>a=1.0 x t</v>
          </cell>
          <cell r="C834">
            <v>8</v>
          </cell>
          <cell r="D834"/>
          <cell r="E834"/>
          <cell r="F834">
            <v>2</v>
          </cell>
          <cell r="G834">
            <v>3</v>
          </cell>
          <cell r="H834">
            <v>0.45900000000000002</v>
          </cell>
          <cell r="I834">
            <v>1.6630434782608696E-2</v>
          </cell>
          <cell r="J834">
            <v>27.6</v>
          </cell>
          <cell r="K834">
            <v>5</v>
          </cell>
          <cell r="L834">
            <v>10</v>
          </cell>
          <cell r="M834">
            <v>20</v>
          </cell>
          <cell r="N834">
            <v>30</v>
          </cell>
          <cell r="O834">
            <v>60</v>
          </cell>
          <cell r="P834">
            <v>90</v>
          </cell>
        </row>
        <row r="835">
          <cell r="A835" t="str">
            <v>HFRHS180x60x8.8</v>
          </cell>
          <cell r="B835" t="str">
            <v>a=1.0 x t</v>
          </cell>
          <cell r="C835">
            <v>8.8000000000000007</v>
          </cell>
          <cell r="D835"/>
          <cell r="E835"/>
          <cell r="F835">
            <v>2</v>
          </cell>
          <cell r="G835">
            <v>3</v>
          </cell>
          <cell r="H835">
            <v>0.45700000000000002</v>
          </cell>
          <cell r="I835">
            <v>1.5182724252491694E-2</v>
          </cell>
          <cell r="J835">
            <v>30.1</v>
          </cell>
          <cell r="K835">
            <v>5</v>
          </cell>
          <cell r="L835">
            <v>10</v>
          </cell>
          <cell r="M835">
            <v>20</v>
          </cell>
          <cell r="N835">
            <v>30</v>
          </cell>
          <cell r="O835">
            <v>60</v>
          </cell>
          <cell r="P835">
            <v>90</v>
          </cell>
        </row>
        <row r="836">
          <cell r="A836" t="str">
            <v>HFRHS180x60x10</v>
          </cell>
          <cell r="B836" t="str">
            <v>a=1.0 x t</v>
          </cell>
          <cell r="C836">
            <v>10</v>
          </cell>
          <cell r="D836"/>
          <cell r="E836"/>
          <cell r="F836">
            <v>2</v>
          </cell>
          <cell r="G836">
            <v>6</v>
          </cell>
          <cell r="H836">
            <v>0.45400000000000001</v>
          </cell>
          <cell r="I836">
            <v>1.3471810089020771E-2</v>
          </cell>
          <cell r="J836">
            <v>33.700000000000003</v>
          </cell>
          <cell r="K836">
            <v>5</v>
          </cell>
          <cell r="L836">
            <v>10</v>
          </cell>
          <cell r="M836">
            <v>20</v>
          </cell>
          <cell r="N836">
            <v>30</v>
          </cell>
          <cell r="O836">
            <v>60</v>
          </cell>
          <cell r="P836">
            <v>90</v>
          </cell>
        </row>
        <row r="837">
          <cell r="A837" t="str">
            <v>HFRHS180x60x12.5</v>
          </cell>
          <cell r="B837" t="str">
            <v>a=1.0 x t</v>
          </cell>
          <cell r="C837">
            <v>12.5</v>
          </cell>
          <cell r="D837"/>
          <cell r="E837" t="str">
            <v>Jah</v>
          </cell>
          <cell r="F837">
            <v>2</v>
          </cell>
          <cell r="G837">
            <v>6</v>
          </cell>
          <cell r="H837">
            <v>0.44800000000000001</v>
          </cell>
          <cell r="I837">
            <v>1.0953545232273839E-2</v>
          </cell>
          <cell r="J837">
            <v>40.9</v>
          </cell>
          <cell r="K837">
            <v>5</v>
          </cell>
          <cell r="L837">
            <v>10</v>
          </cell>
          <cell r="M837">
            <v>20</v>
          </cell>
          <cell r="N837">
            <v>30</v>
          </cell>
          <cell r="O837">
            <v>60</v>
          </cell>
          <cell r="P837">
            <v>90</v>
          </cell>
        </row>
        <row r="838">
          <cell r="A838" t="str">
            <v>HFRHS180x100x4</v>
          </cell>
          <cell r="B838" t="str">
            <v>a=1.0 x t</v>
          </cell>
          <cell r="C838">
            <v>4</v>
          </cell>
          <cell r="D838"/>
          <cell r="E838"/>
          <cell r="F838">
            <v>1</v>
          </cell>
          <cell r="G838">
            <v>1</v>
          </cell>
          <cell r="H838">
            <v>0.55000000000000004</v>
          </cell>
          <cell r="I838">
            <v>3.2352941176470591E-2</v>
          </cell>
          <cell r="J838">
            <v>17</v>
          </cell>
          <cell r="K838">
            <v>2</v>
          </cell>
          <cell r="L838">
            <v>5</v>
          </cell>
          <cell r="M838">
            <v>10</v>
          </cell>
          <cell r="N838">
            <v>20</v>
          </cell>
          <cell r="O838">
            <v>30</v>
          </cell>
          <cell r="P838">
            <v>60</v>
          </cell>
        </row>
        <row r="839">
          <cell r="A839" t="str">
            <v>HFRHS180x100x5</v>
          </cell>
          <cell r="B839" t="str">
            <v>a=1.0 x t</v>
          </cell>
          <cell r="C839">
            <v>5</v>
          </cell>
          <cell r="D839"/>
          <cell r="E839"/>
          <cell r="F839">
            <v>2</v>
          </cell>
          <cell r="G839">
            <v>2</v>
          </cell>
          <cell r="H839">
            <v>0.54700000000000004</v>
          </cell>
          <cell r="I839">
            <v>2.6047619047619049E-2</v>
          </cell>
          <cell r="J839">
            <v>21</v>
          </cell>
          <cell r="K839">
            <v>5</v>
          </cell>
          <cell r="L839">
            <v>10</v>
          </cell>
          <cell r="M839">
            <v>20</v>
          </cell>
          <cell r="N839">
            <v>30</v>
          </cell>
          <cell r="O839">
            <v>60</v>
          </cell>
          <cell r="P839">
            <v>90</v>
          </cell>
        </row>
        <row r="840">
          <cell r="A840" t="str">
            <v>HFRHS180x100x6.3</v>
          </cell>
          <cell r="B840" t="str">
            <v>a=1.0 x t</v>
          </cell>
          <cell r="C840">
            <v>6.3</v>
          </cell>
          <cell r="D840"/>
          <cell r="E840"/>
          <cell r="F840">
            <v>2</v>
          </cell>
          <cell r="G840">
            <v>2</v>
          </cell>
          <cell r="H840">
            <v>0.54400000000000004</v>
          </cell>
          <cell r="I840">
            <v>2.0842911877394635E-2</v>
          </cell>
          <cell r="J840">
            <v>26.1</v>
          </cell>
          <cell r="K840">
            <v>5</v>
          </cell>
          <cell r="L840">
            <v>10</v>
          </cell>
          <cell r="M840">
            <v>20</v>
          </cell>
          <cell r="N840">
            <v>30</v>
          </cell>
          <cell r="O840">
            <v>60</v>
          </cell>
          <cell r="P840">
            <v>90</v>
          </cell>
        </row>
        <row r="841">
          <cell r="A841" t="str">
            <v>HFRHS180x100x7.1</v>
          </cell>
          <cell r="B841" t="str">
            <v>a=1.0 x t</v>
          </cell>
          <cell r="C841">
            <v>7.1</v>
          </cell>
          <cell r="D841"/>
          <cell r="E841"/>
          <cell r="F841">
            <v>2</v>
          </cell>
          <cell r="G841">
            <v>3</v>
          </cell>
          <cell r="H841">
            <v>0.54200000000000004</v>
          </cell>
          <cell r="I841">
            <v>1.856164383561644E-2</v>
          </cell>
          <cell r="J841">
            <v>29.2</v>
          </cell>
          <cell r="K841">
            <v>5</v>
          </cell>
          <cell r="L841">
            <v>10</v>
          </cell>
          <cell r="M841">
            <v>20</v>
          </cell>
          <cell r="N841">
            <v>30</v>
          </cell>
          <cell r="O841">
            <v>60</v>
          </cell>
          <cell r="P841">
            <v>90</v>
          </cell>
        </row>
        <row r="842">
          <cell r="A842" t="str">
            <v>HFRHS180x100x8</v>
          </cell>
          <cell r="B842" t="str">
            <v>a=1.0 x t</v>
          </cell>
          <cell r="C842">
            <v>8</v>
          </cell>
          <cell r="D842"/>
          <cell r="E842"/>
          <cell r="F842">
            <v>2</v>
          </cell>
          <cell r="G842">
            <v>3</v>
          </cell>
          <cell r="H842">
            <v>0.53900000000000003</v>
          </cell>
          <cell r="I842">
            <v>1.6483180428134556E-2</v>
          </cell>
          <cell r="J842">
            <v>32.700000000000003</v>
          </cell>
          <cell r="K842">
            <v>5</v>
          </cell>
          <cell r="L842">
            <v>10</v>
          </cell>
          <cell r="M842">
            <v>20</v>
          </cell>
          <cell r="N842">
            <v>30</v>
          </cell>
          <cell r="O842">
            <v>60</v>
          </cell>
          <cell r="P842">
            <v>90</v>
          </cell>
        </row>
        <row r="843">
          <cell r="A843" t="str">
            <v>HFRHS180x100x8.8</v>
          </cell>
          <cell r="B843" t="str">
            <v>a=1.0 x t</v>
          </cell>
          <cell r="C843">
            <v>8.8000000000000007</v>
          </cell>
          <cell r="D843"/>
          <cell r="E843"/>
          <cell r="F843">
            <v>2</v>
          </cell>
          <cell r="G843">
            <v>3</v>
          </cell>
          <cell r="H843">
            <v>0.53700000000000003</v>
          </cell>
          <cell r="I843">
            <v>1.5084269662921349E-2</v>
          </cell>
          <cell r="J843">
            <v>35.6</v>
          </cell>
          <cell r="K843">
            <v>5</v>
          </cell>
          <cell r="L843">
            <v>10</v>
          </cell>
          <cell r="M843">
            <v>20</v>
          </cell>
          <cell r="N843">
            <v>30</v>
          </cell>
          <cell r="O843">
            <v>60</v>
          </cell>
          <cell r="P843">
            <v>90</v>
          </cell>
        </row>
        <row r="844">
          <cell r="A844" t="str">
            <v>HFRHS180x100x10</v>
          </cell>
          <cell r="B844" t="str">
            <v>a=1.0 x t</v>
          </cell>
          <cell r="C844">
            <v>10</v>
          </cell>
          <cell r="D844"/>
          <cell r="E844"/>
          <cell r="F844">
            <v>2</v>
          </cell>
          <cell r="G844">
            <v>6</v>
          </cell>
          <cell r="H844">
            <v>0.53400000000000003</v>
          </cell>
          <cell r="I844">
            <v>1.3350000000000001E-2</v>
          </cell>
          <cell r="J844">
            <v>40</v>
          </cell>
          <cell r="K844">
            <v>5</v>
          </cell>
          <cell r="L844">
            <v>10</v>
          </cell>
          <cell r="M844">
            <v>20</v>
          </cell>
          <cell r="N844">
            <v>30</v>
          </cell>
          <cell r="O844">
            <v>60</v>
          </cell>
          <cell r="P844">
            <v>90</v>
          </cell>
        </row>
        <row r="845">
          <cell r="A845" t="str">
            <v>HFRHS180x100x12.5</v>
          </cell>
          <cell r="B845" t="str">
            <v>a=1.0 x t</v>
          </cell>
          <cell r="C845">
            <v>12.5</v>
          </cell>
          <cell r="D845"/>
          <cell r="E845" t="str">
            <v>Jah</v>
          </cell>
          <cell r="F845">
            <v>2</v>
          </cell>
          <cell r="G845">
            <v>6</v>
          </cell>
          <cell r="H845">
            <v>0.52800000000000002</v>
          </cell>
          <cell r="I845">
            <v>1.084188911704312E-2</v>
          </cell>
          <cell r="J845">
            <v>48.7</v>
          </cell>
          <cell r="K845">
            <v>5</v>
          </cell>
          <cell r="L845">
            <v>10</v>
          </cell>
          <cell r="M845">
            <v>20</v>
          </cell>
          <cell r="N845">
            <v>30</v>
          </cell>
          <cell r="O845">
            <v>60</v>
          </cell>
          <cell r="P845">
            <v>90</v>
          </cell>
        </row>
        <row r="846">
          <cell r="A846" t="str">
            <v>HFRHS200x100x4</v>
          </cell>
          <cell r="B846" t="str">
            <v>a=1.0 x t</v>
          </cell>
          <cell r="C846">
            <v>4</v>
          </cell>
          <cell r="D846"/>
          <cell r="E846"/>
          <cell r="F846">
            <v>1</v>
          </cell>
          <cell r="G846">
            <v>1</v>
          </cell>
          <cell r="H846">
            <v>0.59</v>
          </cell>
          <cell r="I846">
            <v>3.2777777777777774E-2</v>
          </cell>
          <cell r="J846">
            <v>18</v>
          </cell>
          <cell r="K846">
            <v>2</v>
          </cell>
          <cell r="L846">
            <v>5</v>
          </cell>
          <cell r="M846">
            <v>10</v>
          </cell>
          <cell r="N846">
            <v>20</v>
          </cell>
          <cell r="O846">
            <v>30</v>
          </cell>
          <cell r="P846">
            <v>60</v>
          </cell>
        </row>
        <row r="847">
          <cell r="A847" t="str">
            <v>HFRHS200x100x5</v>
          </cell>
          <cell r="B847" t="str">
            <v>a=1.0 x t</v>
          </cell>
          <cell r="C847">
            <v>5</v>
          </cell>
          <cell r="D847"/>
          <cell r="E847"/>
          <cell r="F847">
            <v>2</v>
          </cell>
          <cell r="G847">
            <v>2</v>
          </cell>
          <cell r="H847">
            <v>0.57999999999999996</v>
          </cell>
          <cell r="I847">
            <v>2.6008968609865468E-2</v>
          </cell>
          <cell r="J847">
            <v>22.3</v>
          </cell>
          <cell r="K847">
            <v>5</v>
          </cell>
          <cell r="L847">
            <v>10</v>
          </cell>
          <cell r="M847">
            <v>20</v>
          </cell>
          <cell r="N847">
            <v>30</v>
          </cell>
          <cell r="O847">
            <v>60</v>
          </cell>
          <cell r="P847">
            <v>90</v>
          </cell>
        </row>
        <row r="848">
          <cell r="A848" t="str">
            <v>HFRHS200x100x6.3</v>
          </cell>
          <cell r="B848" t="str">
            <v>a=1.0 x t</v>
          </cell>
          <cell r="C848">
            <v>6.3</v>
          </cell>
          <cell r="D848"/>
          <cell r="E848"/>
          <cell r="F848">
            <v>2</v>
          </cell>
          <cell r="G848">
            <v>2</v>
          </cell>
          <cell r="H848">
            <v>0.58599999999999997</v>
          </cell>
          <cell r="I848">
            <v>2.0706713780918727E-2</v>
          </cell>
          <cell r="J848">
            <v>28.3</v>
          </cell>
          <cell r="K848">
            <v>5</v>
          </cell>
          <cell r="L848">
            <v>10</v>
          </cell>
          <cell r="M848">
            <v>20</v>
          </cell>
          <cell r="N848">
            <v>30</v>
          </cell>
          <cell r="O848">
            <v>60</v>
          </cell>
          <cell r="P848">
            <v>90</v>
          </cell>
        </row>
        <row r="849">
          <cell r="A849" t="str">
            <v>HFRHS200x100x7.1</v>
          </cell>
          <cell r="B849" t="str">
            <v>a=1.0 x t</v>
          </cell>
          <cell r="C849">
            <v>7.1</v>
          </cell>
          <cell r="D849"/>
          <cell r="E849"/>
          <cell r="F849">
            <v>2</v>
          </cell>
          <cell r="G849">
            <v>3</v>
          </cell>
          <cell r="H849">
            <v>0.56899999999999995</v>
          </cell>
          <cell r="I849">
            <v>1.8655737704918032E-2</v>
          </cell>
          <cell r="J849">
            <v>30.5</v>
          </cell>
          <cell r="K849">
            <v>5</v>
          </cell>
          <cell r="L849">
            <v>10</v>
          </cell>
          <cell r="M849">
            <v>20</v>
          </cell>
          <cell r="N849">
            <v>30</v>
          </cell>
          <cell r="O849">
            <v>60</v>
          </cell>
          <cell r="P849">
            <v>90</v>
          </cell>
        </row>
        <row r="850">
          <cell r="A850" t="str">
            <v>HFRHS200x100x8</v>
          </cell>
          <cell r="B850" t="str">
            <v>a=1.0 x t</v>
          </cell>
          <cell r="C850">
            <v>8</v>
          </cell>
          <cell r="D850"/>
          <cell r="E850"/>
          <cell r="F850">
            <v>2</v>
          </cell>
          <cell r="G850">
            <v>3</v>
          </cell>
          <cell r="H850">
            <v>0.56599999999999995</v>
          </cell>
          <cell r="I850">
            <v>1.6696165191740411E-2</v>
          </cell>
          <cell r="J850">
            <v>33.9</v>
          </cell>
          <cell r="K850">
            <v>5</v>
          </cell>
          <cell r="L850">
            <v>10</v>
          </cell>
          <cell r="M850">
            <v>20</v>
          </cell>
          <cell r="N850">
            <v>30</v>
          </cell>
          <cell r="O850">
            <v>60</v>
          </cell>
          <cell r="P850">
            <v>90</v>
          </cell>
        </row>
        <row r="851">
          <cell r="A851" t="str">
            <v>HFRHS200x100x8.8</v>
          </cell>
          <cell r="B851" t="str">
            <v>a=1.0 x t</v>
          </cell>
          <cell r="C851">
            <v>8.8000000000000007</v>
          </cell>
          <cell r="D851"/>
          <cell r="E851"/>
          <cell r="F851">
            <v>2</v>
          </cell>
          <cell r="G851">
            <v>3</v>
          </cell>
          <cell r="H851">
            <v>0.56200000000000006</v>
          </cell>
          <cell r="I851">
            <v>1.5230352303523037E-2</v>
          </cell>
          <cell r="J851">
            <v>36.9</v>
          </cell>
          <cell r="K851">
            <v>5</v>
          </cell>
          <cell r="L851">
            <v>10</v>
          </cell>
          <cell r="M851">
            <v>20</v>
          </cell>
          <cell r="N851">
            <v>30</v>
          </cell>
          <cell r="O851">
            <v>60</v>
          </cell>
          <cell r="P851">
            <v>90</v>
          </cell>
        </row>
        <row r="852">
          <cell r="A852" t="str">
            <v>HFRHS200x100x10</v>
          </cell>
          <cell r="B852" t="str">
            <v>a=1.0 x t</v>
          </cell>
          <cell r="C852">
            <v>10</v>
          </cell>
          <cell r="D852"/>
          <cell r="E852"/>
          <cell r="F852">
            <v>2</v>
          </cell>
          <cell r="G852">
            <v>6</v>
          </cell>
          <cell r="H852">
            <v>0.55700000000000005</v>
          </cell>
          <cell r="I852">
            <v>1.348668280871671E-2</v>
          </cell>
          <cell r="J852">
            <v>41.3</v>
          </cell>
          <cell r="K852">
            <v>5</v>
          </cell>
          <cell r="L852">
            <v>10</v>
          </cell>
          <cell r="M852">
            <v>20</v>
          </cell>
          <cell r="N852">
            <v>30</v>
          </cell>
          <cell r="O852">
            <v>60</v>
          </cell>
          <cell r="P852">
            <v>90</v>
          </cell>
        </row>
        <row r="853">
          <cell r="A853" t="str">
            <v>HFRHS200x100x12.5</v>
          </cell>
          <cell r="B853" t="str">
            <v>a=1.0 x t</v>
          </cell>
          <cell r="C853">
            <v>12.5</v>
          </cell>
          <cell r="D853"/>
          <cell r="E853" t="str">
            <v>Jah</v>
          </cell>
          <cell r="F853">
            <v>2</v>
          </cell>
          <cell r="G853">
            <v>6</v>
          </cell>
          <cell r="H853">
            <v>0.53600000000000003</v>
          </cell>
          <cell r="I853">
            <v>1.1006160164271047E-2</v>
          </cell>
          <cell r="J853">
            <v>48.7</v>
          </cell>
          <cell r="K853">
            <v>5</v>
          </cell>
          <cell r="L853">
            <v>10</v>
          </cell>
          <cell r="M853">
            <v>20</v>
          </cell>
          <cell r="N853">
            <v>30</v>
          </cell>
          <cell r="O853">
            <v>60</v>
          </cell>
          <cell r="P853">
            <v>90</v>
          </cell>
        </row>
        <row r="854">
          <cell r="A854" t="str">
            <v>HFRHS200x100x14.2</v>
          </cell>
          <cell r="B854" t="str">
            <v>a=1.0 x t</v>
          </cell>
          <cell r="C854">
            <v>14.2</v>
          </cell>
          <cell r="D854"/>
          <cell r="E854"/>
          <cell r="F854">
            <v>2</v>
          </cell>
          <cell r="G854">
            <v>10</v>
          </cell>
          <cell r="H854">
            <v>0.55100000000000005</v>
          </cell>
          <cell r="I854">
            <v>9.7695035460992913E-3</v>
          </cell>
          <cell r="J854">
            <v>56.4</v>
          </cell>
          <cell r="K854">
            <v>5</v>
          </cell>
          <cell r="L854">
            <v>10</v>
          </cell>
          <cell r="M854">
            <v>20</v>
          </cell>
          <cell r="N854">
            <v>30</v>
          </cell>
          <cell r="O854">
            <v>60</v>
          </cell>
          <cell r="P854">
            <v>90</v>
          </cell>
        </row>
        <row r="855">
          <cell r="A855" t="str">
            <v>HFRHS200x120x5</v>
          </cell>
          <cell r="B855" t="str">
            <v>a=1.0 x t</v>
          </cell>
          <cell r="C855">
            <v>5</v>
          </cell>
          <cell r="D855"/>
          <cell r="E855"/>
          <cell r="F855">
            <v>2</v>
          </cell>
          <cell r="G855">
            <v>2</v>
          </cell>
          <cell r="H855">
            <v>0.623</v>
          </cell>
          <cell r="I855">
            <v>2.6176470588235294E-2</v>
          </cell>
          <cell r="J855">
            <v>23.8</v>
          </cell>
          <cell r="K855">
            <v>5</v>
          </cell>
          <cell r="L855">
            <v>10</v>
          </cell>
          <cell r="M855">
            <v>20</v>
          </cell>
          <cell r="N855">
            <v>30</v>
          </cell>
          <cell r="O855">
            <v>60</v>
          </cell>
          <cell r="P855">
            <v>90</v>
          </cell>
        </row>
        <row r="856">
          <cell r="A856" t="str">
            <v>HFRHS200x120x6.3</v>
          </cell>
          <cell r="B856" t="str">
            <v>a=1.0 x t</v>
          </cell>
          <cell r="C856">
            <v>6.3</v>
          </cell>
          <cell r="D856"/>
          <cell r="E856"/>
          <cell r="F856">
            <v>2</v>
          </cell>
          <cell r="G856">
            <v>2</v>
          </cell>
          <cell r="H856">
            <v>0.61799999999999999</v>
          </cell>
          <cell r="I856">
            <v>2.0878378378378377E-2</v>
          </cell>
          <cell r="J856">
            <v>29.6</v>
          </cell>
          <cell r="K856">
            <v>5</v>
          </cell>
          <cell r="L856">
            <v>10</v>
          </cell>
          <cell r="M856">
            <v>20</v>
          </cell>
          <cell r="N856">
            <v>30</v>
          </cell>
          <cell r="O856">
            <v>60</v>
          </cell>
          <cell r="P856">
            <v>90</v>
          </cell>
        </row>
        <row r="857">
          <cell r="A857" t="str">
            <v>HFRHS200x120x7.1</v>
          </cell>
          <cell r="B857" t="str">
            <v>a=1.0 x t</v>
          </cell>
          <cell r="C857">
            <v>7.1</v>
          </cell>
          <cell r="D857"/>
          <cell r="E857"/>
          <cell r="F857">
            <v>2</v>
          </cell>
          <cell r="G857">
            <v>3</v>
          </cell>
          <cell r="H857">
            <v>0.61599999999999999</v>
          </cell>
          <cell r="I857">
            <v>1.8666666666666665E-2</v>
          </cell>
          <cell r="J857">
            <v>33</v>
          </cell>
          <cell r="K857">
            <v>5</v>
          </cell>
          <cell r="L857">
            <v>10</v>
          </cell>
          <cell r="M857">
            <v>20</v>
          </cell>
          <cell r="N857">
            <v>30</v>
          </cell>
          <cell r="O857">
            <v>60</v>
          </cell>
          <cell r="P857">
            <v>90</v>
          </cell>
        </row>
        <row r="858">
          <cell r="A858" t="str">
            <v>HFRHS200x120x8</v>
          </cell>
          <cell r="B858" t="str">
            <v>a=1.0 x t</v>
          </cell>
          <cell r="C858">
            <v>8</v>
          </cell>
          <cell r="D858"/>
          <cell r="E858"/>
          <cell r="F858">
            <v>2</v>
          </cell>
          <cell r="G858">
            <v>3</v>
          </cell>
          <cell r="H858">
            <v>0.61299999999999999</v>
          </cell>
          <cell r="I858">
            <v>1.6612466124661246E-2</v>
          </cell>
          <cell r="J858">
            <v>36.9</v>
          </cell>
          <cell r="K858">
            <v>5</v>
          </cell>
          <cell r="L858">
            <v>10</v>
          </cell>
          <cell r="M858">
            <v>20</v>
          </cell>
          <cell r="N858">
            <v>30</v>
          </cell>
          <cell r="O858">
            <v>60</v>
          </cell>
          <cell r="P858">
            <v>90</v>
          </cell>
        </row>
        <row r="859">
          <cell r="A859" t="str">
            <v>HFRHS200x120x8.8</v>
          </cell>
          <cell r="B859" t="str">
            <v>a=1.0 x t</v>
          </cell>
          <cell r="C859">
            <v>8.8000000000000007</v>
          </cell>
          <cell r="D859"/>
          <cell r="E859"/>
          <cell r="F859">
            <v>2</v>
          </cell>
          <cell r="G859">
            <v>3</v>
          </cell>
          <cell r="H859">
            <v>0.61</v>
          </cell>
          <cell r="I859">
            <v>1.5174129353233829E-2</v>
          </cell>
          <cell r="J859">
            <v>40.200000000000003</v>
          </cell>
          <cell r="K859">
            <v>5</v>
          </cell>
          <cell r="L859">
            <v>10</v>
          </cell>
          <cell r="M859">
            <v>20</v>
          </cell>
          <cell r="N859">
            <v>30</v>
          </cell>
          <cell r="O859">
            <v>60</v>
          </cell>
          <cell r="P859">
            <v>90</v>
          </cell>
        </row>
        <row r="860">
          <cell r="A860" t="str">
            <v>HFRHS200x120x10</v>
          </cell>
          <cell r="B860" t="str">
            <v>a=1.0 x t</v>
          </cell>
          <cell r="C860">
            <v>10</v>
          </cell>
          <cell r="D860"/>
          <cell r="E860"/>
          <cell r="F860">
            <v>2</v>
          </cell>
          <cell r="G860">
            <v>6</v>
          </cell>
          <cell r="H860">
            <v>0.60599999999999998</v>
          </cell>
          <cell r="I860">
            <v>1.3436807095343679E-2</v>
          </cell>
          <cell r="J860">
            <v>45.1</v>
          </cell>
          <cell r="K860">
            <v>5</v>
          </cell>
          <cell r="L860">
            <v>10</v>
          </cell>
          <cell r="M860">
            <v>20</v>
          </cell>
          <cell r="N860">
            <v>30</v>
          </cell>
          <cell r="O860">
            <v>60</v>
          </cell>
          <cell r="P860">
            <v>90</v>
          </cell>
        </row>
        <row r="861">
          <cell r="A861" t="str">
            <v>HFRHS200x120x12.5</v>
          </cell>
          <cell r="B861" t="str">
            <v>a=1.0 x t</v>
          </cell>
          <cell r="C861">
            <v>12.5</v>
          </cell>
          <cell r="D861"/>
          <cell r="E861"/>
          <cell r="F861">
            <v>2</v>
          </cell>
          <cell r="G861">
            <v>6</v>
          </cell>
          <cell r="H861">
            <v>0.59699999999999998</v>
          </cell>
          <cell r="I861">
            <v>1.0914076782449725E-2</v>
          </cell>
          <cell r="J861">
            <v>54.7</v>
          </cell>
          <cell r="K861">
            <v>5</v>
          </cell>
          <cell r="L861">
            <v>10</v>
          </cell>
          <cell r="M861">
            <v>20</v>
          </cell>
          <cell r="N861">
            <v>30</v>
          </cell>
          <cell r="O861">
            <v>60</v>
          </cell>
          <cell r="P861">
            <v>90</v>
          </cell>
        </row>
        <row r="862">
          <cell r="A862" t="str">
            <v>HFRHS200x120x14.2</v>
          </cell>
          <cell r="B862" t="str">
            <v>a=1.0 x t</v>
          </cell>
          <cell r="C862">
            <v>14.2</v>
          </cell>
          <cell r="D862"/>
          <cell r="E862"/>
          <cell r="F862">
            <v>2</v>
          </cell>
          <cell r="G862">
            <v>10</v>
          </cell>
          <cell r="H862">
            <v>0.59099999999999997</v>
          </cell>
          <cell r="I862">
            <v>9.7044334975369458E-3</v>
          </cell>
          <cell r="J862">
            <v>60.9</v>
          </cell>
          <cell r="K862">
            <v>5</v>
          </cell>
          <cell r="L862">
            <v>10</v>
          </cell>
          <cell r="M862">
            <v>20</v>
          </cell>
          <cell r="N862">
            <v>30</v>
          </cell>
          <cell r="O862">
            <v>60</v>
          </cell>
          <cell r="P862">
            <v>90</v>
          </cell>
        </row>
        <row r="863">
          <cell r="A863" t="str">
            <v>HFRHS200x120x16</v>
          </cell>
          <cell r="B863" t="str">
            <v>a=1.0 x t</v>
          </cell>
          <cell r="C863">
            <v>16</v>
          </cell>
          <cell r="D863"/>
          <cell r="E863" t="str">
            <v>Jah</v>
          </cell>
          <cell r="F863">
            <v>2</v>
          </cell>
          <cell r="G863">
            <v>10</v>
          </cell>
          <cell r="H863">
            <v>0.58499999999999996</v>
          </cell>
          <cell r="I863">
            <v>8.7053571428571414E-3</v>
          </cell>
          <cell r="J863">
            <v>67.2</v>
          </cell>
          <cell r="K863">
            <v>5</v>
          </cell>
          <cell r="L863">
            <v>10</v>
          </cell>
          <cell r="M863">
            <v>20</v>
          </cell>
          <cell r="N863">
            <v>30</v>
          </cell>
          <cell r="O863">
            <v>60</v>
          </cell>
          <cell r="P863">
            <v>90</v>
          </cell>
        </row>
        <row r="864">
          <cell r="A864" t="str">
            <v>HFRHS200x150x5</v>
          </cell>
          <cell r="B864" t="str">
            <v>a=1.0 x t</v>
          </cell>
          <cell r="C864">
            <v>5</v>
          </cell>
          <cell r="D864"/>
          <cell r="E864"/>
          <cell r="F864">
            <v>3</v>
          </cell>
          <cell r="G864">
            <v>2</v>
          </cell>
          <cell r="H864">
            <v>0.68700000000000006</v>
          </cell>
          <cell r="I864">
            <v>2.5924528301886796E-2</v>
          </cell>
          <cell r="J864">
            <v>26.5</v>
          </cell>
          <cell r="K864">
            <v>10</v>
          </cell>
          <cell r="L864">
            <v>20</v>
          </cell>
          <cell r="M864">
            <v>30</v>
          </cell>
          <cell r="N864">
            <v>40</v>
          </cell>
          <cell r="O864">
            <v>90</v>
          </cell>
          <cell r="P864">
            <v>120</v>
          </cell>
        </row>
        <row r="865">
          <cell r="A865" t="str">
            <v>HFRHS200x150x6.3</v>
          </cell>
          <cell r="B865" t="str">
            <v>a=1.0 x t</v>
          </cell>
          <cell r="C865">
            <v>6.3</v>
          </cell>
          <cell r="D865"/>
          <cell r="E865"/>
          <cell r="F865">
            <v>3</v>
          </cell>
          <cell r="G865">
            <v>2</v>
          </cell>
          <cell r="H865">
            <v>0.68400000000000005</v>
          </cell>
          <cell r="I865">
            <v>2.072727272727273E-2</v>
          </cell>
          <cell r="J865">
            <v>33</v>
          </cell>
          <cell r="K865">
            <v>10</v>
          </cell>
          <cell r="L865">
            <v>20</v>
          </cell>
          <cell r="M865">
            <v>30</v>
          </cell>
          <cell r="N865">
            <v>40</v>
          </cell>
          <cell r="O865">
            <v>90</v>
          </cell>
          <cell r="P865">
            <v>120</v>
          </cell>
        </row>
        <row r="866">
          <cell r="A866" t="str">
            <v>HFRHS200x150x7.1</v>
          </cell>
          <cell r="B866" t="str">
            <v>a=1.0 x t</v>
          </cell>
          <cell r="C866">
            <v>7.1</v>
          </cell>
          <cell r="D866"/>
          <cell r="E866"/>
          <cell r="F866">
            <v>3</v>
          </cell>
          <cell r="G866">
            <v>3</v>
          </cell>
          <cell r="H866">
            <v>0.68200000000000005</v>
          </cell>
          <cell r="I866">
            <v>1.8432432432432432E-2</v>
          </cell>
          <cell r="J866">
            <v>37</v>
          </cell>
          <cell r="K866">
            <v>10</v>
          </cell>
          <cell r="L866">
            <v>20</v>
          </cell>
          <cell r="M866">
            <v>30</v>
          </cell>
          <cell r="N866">
            <v>40</v>
          </cell>
          <cell r="O866">
            <v>90</v>
          </cell>
          <cell r="P866">
            <v>120</v>
          </cell>
        </row>
        <row r="867">
          <cell r="A867" t="str">
            <v>HFRHS200x150x8</v>
          </cell>
          <cell r="B867" t="str">
            <v>a=1.0 x t</v>
          </cell>
          <cell r="C867">
            <v>8</v>
          </cell>
          <cell r="D867"/>
          <cell r="E867"/>
          <cell r="F867">
            <v>3</v>
          </cell>
          <cell r="G867">
            <v>3</v>
          </cell>
          <cell r="H867">
            <v>0.67900000000000005</v>
          </cell>
          <cell r="I867">
            <v>1.640096618357488E-2</v>
          </cell>
          <cell r="J867">
            <v>41.4</v>
          </cell>
          <cell r="K867">
            <v>10</v>
          </cell>
          <cell r="L867">
            <v>20</v>
          </cell>
          <cell r="M867">
            <v>30</v>
          </cell>
          <cell r="N867">
            <v>40</v>
          </cell>
          <cell r="O867">
            <v>90</v>
          </cell>
          <cell r="P867">
            <v>120</v>
          </cell>
        </row>
        <row r="868">
          <cell r="A868" t="str">
            <v>HFRHS200x150x8.8</v>
          </cell>
          <cell r="B868" t="str">
            <v>a=1.0 x t</v>
          </cell>
          <cell r="C868">
            <v>8.8000000000000007</v>
          </cell>
          <cell r="D868"/>
          <cell r="E868"/>
          <cell r="F868">
            <v>3</v>
          </cell>
          <cell r="G868">
            <v>3</v>
          </cell>
          <cell r="H868">
            <v>0.67700000000000005</v>
          </cell>
          <cell r="I868">
            <v>1.4944812362030907E-2</v>
          </cell>
          <cell r="J868">
            <v>45.3</v>
          </cell>
          <cell r="K868">
            <v>10</v>
          </cell>
          <cell r="L868">
            <v>20</v>
          </cell>
          <cell r="M868">
            <v>30</v>
          </cell>
          <cell r="N868">
            <v>40</v>
          </cell>
          <cell r="O868">
            <v>90</v>
          </cell>
          <cell r="P868">
            <v>120</v>
          </cell>
        </row>
        <row r="869">
          <cell r="A869" t="str">
            <v>HFRHS200x150x10</v>
          </cell>
          <cell r="B869" t="str">
            <v>a=1.0 x t</v>
          </cell>
          <cell r="C869">
            <v>10</v>
          </cell>
          <cell r="D869"/>
          <cell r="E869"/>
          <cell r="F869">
            <v>3</v>
          </cell>
          <cell r="G869">
            <v>6</v>
          </cell>
          <cell r="H869">
            <v>0.67400000000000004</v>
          </cell>
          <cell r="I869">
            <v>1.3241650294695482E-2</v>
          </cell>
          <cell r="J869">
            <v>50.9</v>
          </cell>
          <cell r="K869">
            <v>10</v>
          </cell>
          <cell r="L869">
            <v>20</v>
          </cell>
          <cell r="M869">
            <v>30</v>
          </cell>
          <cell r="N869">
            <v>40</v>
          </cell>
          <cell r="O869">
            <v>90</v>
          </cell>
          <cell r="P869">
            <v>120</v>
          </cell>
        </row>
        <row r="870">
          <cell r="A870" t="str">
            <v>HFRHS200x150x12.5</v>
          </cell>
          <cell r="B870" t="str">
            <v>a=1.0 x t</v>
          </cell>
          <cell r="C870">
            <v>12.5</v>
          </cell>
          <cell r="D870"/>
          <cell r="E870" t="str">
            <v>Jah</v>
          </cell>
          <cell r="F870">
            <v>3</v>
          </cell>
          <cell r="G870">
            <v>6</v>
          </cell>
          <cell r="H870">
            <v>0.66800000000000004</v>
          </cell>
          <cell r="I870">
            <v>1.0688000000000001E-2</v>
          </cell>
          <cell r="J870">
            <v>62.5</v>
          </cell>
          <cell r="K870">
            <v>10</v>
          </cell>
          <cell r="L870">
            <v>20</v>
          </cell>
          <cell r="M870">
            <v>30</v>
          </cell>
          <cell r="N870">
            <v>40</v>
          </cell>
          <cell r="O870">
            <v>90</v>
          </cell>
          <cell r="P870">
            <v>120</v>
          </cell>
        </row>
        <row r="871">
          <cell r="A871" t="str">
            <v>HFRHS200x150x14.2</v>
          </cell>
          <cell r="B871" t="str">
            <v>a=1.0 x t</v>
          </cell>
          <cell r="C871">
            <v>14.2</v>
          </cell>
          <cell r="D871"/>
          <cell r="E871"/>
          <cell r="F871">
            <v>3</v>
          </cell>
          <cell r="G871">
            <v>10</v>
          </cell>
          <cell r="H871">
            <v>0.66300000000000003</v>
          </cell>
          <cell r="I871">
            <v>9.4714285714285716E-3</v>
          </cell>
          <cell r="J871">
            <v>70</v>
          </cell>
          <cell r="K871">
            <v>10</v>
          </cell>
          <cell r="L871">
            <v>20</v>
          </cell>
          <cell r="M871">
            <v>30</v>
          </cell>
          <cell r="N871">
            <v>40</v>
          </cell>
          <cell r="O871">
            <v>90</v>
          </cell>
          <cell r="P871">
            <v>120</v>
          </cell>
        </row>
        <row r="872">
          <cell r="A872" t="str">
            <v>HFRHS200x150x16</v>
          </cell>
          <cell r="B872" t="str">
            <v>a=1.0 x t</v>
          </cell>
          <cell r="C872">
            <v>16</v>
          </cell>
          <cell r="D872"/>
          <cell r="E872" t="str">
            <v>Jah</v>
          </cell>
          <cell r="F872">
            <v>3</v>
          </cell>
          <cell r="G872">
            <v>10</v>
          </cell>
          <cell r="H872">
            <v>0.65900000000000003</v>
          </cell>
          <cell r="I872">
            <v>8.481338481338481E-3</v>
          </cell>
          <cell r="J872">
            <v>77.7</v>
          </cell>
          <cell r="K872">
            <v>10</v>
          </cell>
          <cell r="L872">
            <v>20</v>
          </cell>
          <cell r="M872">
            <v>30</v>
          </cell>
          <cell r="N872">
            <v>40</v>
          </cell>
          <cell r="O872">
            <v>90</v>
          </cell>
          <cell r="P872">
            <v>120</v>
          </cell>
        </row>
        <row r="873">
          <cell r="A873" t="str">
            <v>HFRHS220x120x5</v>
          </cell>
          <cell r="B873" t="str">
            <v>a=1.0 x t</v>
          </cell>
          <cell r="C873">
            <v>5</v>
          </cell>
          <cell r="D873"/>
          <cell r="E873"/>
          <cell r="F873">
            <v>3</v>
          </cell>
          <cell r="G873">
            <v>2</v>
          </cell>
          <cell r="H873">
            <v>0.66700000000000004</v>
          </cell>
          <cell r="I873">
            <v>2.595330739299611E-2</v>
          </cell>
          <cell r="J873">
            <v>25.7</v>
          </cell>
          <cell r="K873">
            <v>10</v>
          </cell>
          <cell r="L873">
            <v>20</v>
          </cell>
          <cell r="M873">
            <v>30</v>
          </cell>
          <cell r="N873">
            <v>40</v>
          </cell>
          <cell r="O873">
            <v>90</v>
          </cell>
          <cell r="P873">
            <v>120</v>
          </cell>
        </row>
        <row r="874">
          <cell r="A874" t="str">
            <v>HFRHS220x120x6.3</v>
          </cell>
          <cell r="B874" t="str">
            <v>a=1.0 x t</v>
          </cell>
          <cell r="C874">
            <v>6.3</v>
          </cell>
          <cell r="D874"/>
          <cell r="E874"/>
          <cell r="F874">
            <v>3</v>
          </cell>
          <cell r="G874">
            <v>2</v>
          </cell>
          <cell r="H874">
            <v>0.66400000000000003</v>
          </cell>
          <cell r="I874">
            <v>2.0750000000000001E-2</v>
          </cell>
          <cell r="J874">
            <v>32</v>
          </cell>
          <cell r="K874">
            <v>10</v>
          </cell>
          <cell r="L874">
            <v>20</v>
          </cell>
          <cell r="M874">
            <v>30</v>
          </cell>
          <cell r="N874">
            <v>40</v>
          </cell>
          <cell r="O874">
            <v>90</v>
          </cell>
          <cell r="P874">
            <v>120</v>
          </cell>
        </row>
        <row r="875">
          <cell r="A875" t="str">
            <v>HFRHS220x120x7.1</v>
          </cell>
          <cell r="B875" t="str">
            <v>a=1.0 x t</v>
          </cell>
          <cell r="C875">
            <v>7.1</v>
          </cell>
          <cell r="D875"/>
          <cell r="E875"/>
          <cell r="F875">
            <v>3</v>
          </cell>
          <cell r="G875">
            <v>3</v>
          </cell>
          <cell r="H875">
            <v>0.66200000000000003</v>
          </cell>
          <cell r="I875">
            <v>1.8440111420612814E-2</v>
          </cell>
          <cell r="J875">
            <v>35.9</v>
          </cell>
          <cell r="K875">
            <v>10</v>
          </cell>
          <cell r="L875">
            <v>20</v>
          </cell>
          <cell r="M875">
            <v>30</v>
          </cell>
          <cell r="N875">
            <v>40</v>
          </cell>
          <cell r="O875">
            <v>90</v>
          </cell>
          <cell r="P875">
            <v>120</v>
          </cell>
        </row>
        <row r="876">
          <cell r="A876" t="str">
            <v>HFRHS220x120x8</v>
          </cell>
          <cell r="B876" t="str">
            <v>a=1.0 x t</v>
          </cell>
          <cell r="C876">
            <v>8</v>
          </cell>
          <cell r="D876"/>
          <cell r="E876"/>
          <cell r="F876">
            <v>3</v>
          </cell>
          <cell r="G876">
            <v>3</v>
          </cell>
          <cell r="H876">
            <v>0.65900000000000003</v>
          </cell>
          <cell r="I876">
            <v>1.6393034825870647E-2</v>
          </cell>
          <cell r="J876">
            <v>40.200000000000003</v>
          </cell>
          <cell r="K876">
            <v>10</v>
          </cell>
          <cell r="L876">
            <v>20</v>
          </cell>
          <cell r="M876">
            <v>30</v>
          </cell>
          <cell r="N876">
            <v>40</v>
          </cell>
          <cell r="O876">
            <v>90</v>
          </cell>
          <cell r="P876">
            <v>120</v>
          </cell>
        </row>
        <row r="877">
          <cell r="A877" t="str">
            <v>HFRHS220x120x8.8</v>
          </cell>
          <cell r="B877" t="str">
            <v>a=1.0 x t</v>
          </cell>
          <cell r="C877">
            <v>8.8000000000000007</v>
          </cell>
          <cell r="D877"/>
          <cell r="E877"/>
          <cell r="F877">
            <v>3</v>
          </cell>
          <cell r="G877">
            <v>3</v>
          </cell>
          <cell r="H877">
            <v>0.65700000000000003</v>
          </cell>
          <cell r="I877">
            <v>1.4965831435079728E-2</v>
          </cell>
          <cell r="J877">
            <v>43.9</v>
          </cell>
          <cell r="K877">
            <v>10</v>
          </cell>
          <cell r="L877">
            <v>20</v>
          </cell>
          <cell r="M877">
            <v>30</v>
          </cell>
          <cell r="N877">
            <v>40</v>
          </cell>
          <cell r="O877">
            <v>90</v>
          </cell>
          <cell r="P877">
            <v>120</v>
          </cell>
        </row>
        <row r="878">
          <cell r="A878" t="str">
            <v>HFRHS220x120x10</v>
          </cell>
          <cell r="B878" t="str">
            <v>a=1.0 x t</v>
          </cell>
          <cell r="C878">
            <v>10</v>
          </cell>
          <cell r="D878"/>
          <cell r="E878"/>
          <cell r="F878">
            <v>3</v>
          </cell>
          <cell r="G878">
            <v>6</v>
          </cell>
          <cell r="H878">
            <v>0.65400000000000003</v>
          </cell>
          <cell r="I878">
            <v>1.3238866396761135E-2</v>
          </cell>
          <cell r="J878">
            <v>49.4</v>
          </cell>
          <cell r="K878">
            <v>10</v>
          </cell>
          <cell r="L878">
            <v>20</v>
          </cell>
          <cell r="M878">
            <v>30</v>
          </cell>
          <cell r="N878">
            <v>40</v>
          </cell>
          <cell r="O878">
            <v>90</v>
          </cell>
          <cell r="P878">
            <v>120</v>
          </cell>
        </row>
        <row r="879">
          <cell r="A879" t="str">
            <v>HFRHS220x120x12.5</v>
          </cell>
          <cell r="B879" t="str">
            <v>a=1.0 x t</v>
          </cell>
          <cell r="C879">
            <v>12.5</v>
          </cell>
          <cell r="D879"/>
          <cell r="E879" t="str">
            <v>Jah</v>
          </cell>
          <cell r="F879">
            <v>3</v>
          </cell>
          <cell r="G879">
            <v>6</v>
          </cell>
          <cell r="H879">
            <v>0.64800000000000002</v>
          </cell>
          <cell r="I879">
            <v>1.0710743801652893E-2</v>
          </cell>
          <cell r="J879">
            <v>60.5</v>
          </cell>
          <cell r="K879">
            <v>10</v>
          </cell>
          <cell r="L879">
            <v>20</v>
          </cell>
          <cell r="M879">
            <v>30</v>
          </cell>
          <cell r="N879">
            <v>40</v>
          </cell>
          <cell r="O879">
            <v>90</v>
          </cell>
          <cell r="P879">
            <v>120</v>
          </cell>
        </row>
        <row r="880">
          <cell r="A880" t="str">
            <v>HFRHS220x120x14.2</v>
          </cell>
          <cell r="B880" t="str">
            <v>a=1.0 x t</v>
          </cell>
          <cell r="C880">
            <v>14.2</v>
          </cell>
          <cell r="D880"/>
          <cell r="E880"/>
          <cell r="F880">
            <v>3</v>
          </cell>
          <cell r="G880">
            <v>10</v>
          </cell>
          <cell r="H880">
            <v>0.64300000000000002</v>
          </cell>
          <cell r="I880">
            <v>9.4837758112094397E-3</v>
          </cell>
          <cell r="J880">
            <v>67.8</v>
          </cell>
          <cell r="K880">
            <v>10</v>
          </cell>
          <cell r="L880">
            <v>20</v>
          </cell>
          <cell r="M880">
            <v>30</v>
          </cell>
          <cell r="N880">
            <v>40</v>
          </cell>
          <cell r="O880">
            <v>90</v>
          </cell>
          <cell r="P880">
            <v>120</v>
          </cell>
        </row>
        <row r="881">
          <cell r="A881" t="str">
            <v>HFRHS220x120x16</v>
          </cell>
          <cell r="B881" t="str">
            <v>a=1.0 x t</v>
          </cell>
          <cell r="C881">
            <v>16</v>
          </cell>
          <cell r="D881"/>
          <cell r="E881" t="str">
            <v>Jah</v>
          </cell>
          <cell r="F881">
            <v>3</v>
          </cell>
          <cell r="G881">
            <v>10</v>
          </cell>
          <cell r="H881">
            <v>0.63900000000000001</v>
          </cell>
          <cell r="I881">
            <v>8.4973404255319143E-3</v>
          </cell>
          <cell r="J881">
            <v>75.2</v>
          </cell>
          <cell r="K881">
            <v>10</v>
          </cell>
          <cell r="L881">
            <v>20</v>
          </cell>
          <cell r="M881">
            <v>30</v>
          </cell>
          <cell r="N881">
            <v>40</v>
          </cell>
          <cell r="O881">
            <v>90</v>
          </cell>
          <cell r="P881">
            <v>120</v>
          </cell>
        </row>
        <row r="882">
          <cell r="A882" t="str">
            <v>HFRHS250x100x5</v>
          </cell>
          <cell r="B882" t="str">
            <v>a=1.0 x t</v>
          </cell>
          <cell r="C882">
            <v>5</v>
          </cell>
          <cell r="D882"/>
          <cell r="E882"/>
          <cell r="F882">
            <v>3</v>
          </cell>
          <cell r="G882">
            <v>2</v>
          </cell>
          <cell r="H882">
            <v>0.68700000000000006</v>
          </cell>
          <cell r="I882">
            <v>2.5924528301886796E-2</v>
          </cell>
          <cell r="J882">
            <v>26.5</v>
          </cell>
          <cell r="K882">
            <v>10</v>
          </cell>
          <cell r="L882">
            <v>20</v>
          </cell>
          <cell r="M882">
            <v>30</v>
          </cell>
          <cell r="N882">
            <v>40</v>
          </cell>
          <cell r="O882">
            <v>90</v>
          </cell>
          <cell r="P882">
            <v>120</v>
          </cell>
        </row>
        <row r="883">
          <cell r="A883" t="str">
            <v>HFRHS250x100x6.3</v>
          </cell>
          <cell r="B883" t="str">
            <v>a=1.0 x t</v>
          </cell>
          <cell r="C883">
            <v>6.3</v>
          </cell>
          <cell r="D883"/>
          <cell r="E883"/>
          <cell r="F883">
            <v>3</v>
          </cell>
          <cell r="G883">
            <v>2</v>
          </cell>
          <cell r="H883">
            <v>0.68400000000000005</v>
          </cell>
          <cell r="I883">
            <v>2.072727272727273E-2</v>
          </cell>
          <cell r="J883">
            <v>33</v>
          </cell>
          <cell r="K883">
            <v>10</v>
          </cell>
          <cell r="L883">
            <v>20</v>
          </cell>
          <cell r="M883">
            <v>30</v>
          </cell>
          <cell r="N883">
            <v>40</v>
          </cell>
          <cell r="O883">
            <v>90</v>
          </cell>
          <cell r="P883">
            <v>120</v>
          </cell>
        </row>
        <row r="884">
          <cell r="A884" t="str">
            <v>HFRHS250x100x7.1</v>
          </cell>
          <cell r="B884" t="str">
            <v>a=1.0 x t</v>
          </cell>
          <cell r="C884">
            <v>7.1</v>
          </cell>
          <cell r="D884"/>
          <cell r="E884"/>
          <cell r="F884">
            <v>3</v>
          </cell>
          <cell r="G884">
            <v>3</v>
          </cell>
          <cell r="H884">
            <v>0.68200000000000005</v>
          </cell>
          <cell r="I884">
            <v>1.8432432432432432E-2</v>
          </cell>
          <cell r="J884">
            <v>37</v>
          </cell>
          <cell r="K884">
            <v>10</v>
          </cell>
          <cell r="L884">
            <v>20</v>
          </cell>
          <cell r="M884">
            <v>30</v>
          </cell>
          <cell r="N884">
            <v>40</v>
          </cell>
          <cell r="O884">
            <v>90</v>
          </cell>
          <cell r="P884">
            <v>120</v>
          </cell>
        </row>
        <row r="885">
          <cell r="A885" t="str">
            <v>HFRHS250x100x8</v>
          </cell>
          <cell r="B885" t="str">
            <v>a=1.0 x t</v>
          </cell>
          <cell r="C885">
            <v>8</v>
          </cell>
          <cell r="D885"/>
          <cell r="E885"/>
          <cell r="F885">
            <v>3</v>
          </cell>
          <cell r="G885">
            <v>3</v>
          </cell>
          <cell r="H885">
            <v>0.67900000000000005</v>
          </cell>
          <cell r="I885">
            <v>1.640096618357488E-2</v>
          </cell>
          <cell r="J885">
            <v>41.4</v>
          </cell>
          <cell r="K885">
            <v>10</v>
          </cell>
          <cell r="L885">
            <v>20</v>
          </cell>
          <cell r="M885">
            <v>30</v>
          </cell>
          <cell r="N885">
            <v>40</v>
          </cell>
          <cell r="O885">
            <v>90</v>
          </cell>
          <cell r="P885">
            <v>120</v>
          </cell>
        </row>
        <row r="886">
          <cell r="A886" t="str">
            <v>HFRHS250x100x8.8</v>
          </cell>
          <cell r="B886" t="str">
            <v>a=1.0 x t</v>
          </cell>
          <cell r="C886">
            <v>8.8000000000000007</v>
          </cell>
          <cell r="D886"/>
          <cell r="E886"/>
          <cell r="F886">
            <v>3</v>
          </cell>
          <cell r="G886">
            <v>3</v>
          </cell>
          <cell r="H886">
            <v>0.67700000000000005</v>
          </cell>
          <cell r="I886">
            <v>1.4944812362030907E-2</v>
          </cell>
          <cell r="J886">
            <v>45.3</v>
          </cell>
          <cell r="K886">
            <v>10</v>
          </cell>
          <cell r="L886">
            <v>20</v>
          </cell>
          <cell r="M886">
            <v>30</v>
          </cell>
          <cell r="N886">
            <v>40</v>
          </cell>
          <cell r="O886">
            <v>90</v>
          </cell>
          <cell r="P886">
            <v>120</v>
          </cell>
        </row>
        <row r="887">
          <cell r="A887" t="str">
            <v>HFRHS250x100x10</v>
          </cell>
          <cell r="B887" t="str">
            <v>a=1.0 x t</v>
          </cell>
          <cell r="C887">
            <v>10</v>
          </cell>
          <cell r="D887"/>
          <cell r="E887"/>
          <cell r="F887">
            <v>3</v>
          </cell>
          <cell r="G887">
            <v>6</v>
          </cell>
          <cell r="H887">
            <v>0.67400000000000004</v>
          </cell>
          <cell r="I887">
            <v>1.3241650294695482E-2</v>
          </cell>
          <cell r="J887">
            <v>50.9</v>
          </cell>
          <cell r="K887">
            <v>10</v>
          </cell>
          <cell r="L887">
            <v>20</v>
          </cell>
          <cell r="M887">
            <v>30</v>
          </cell>
          <cell r="N887">
            <v>40</v>
          </cell>
          <cell r="O887">
            <v>90</v>
          </cell>
          <cell r="P887">
            <v>120</v>
          </cell>
        </row>
        <row r="888">
          <cell r="A888" t="str">
            <v>HFRHS250x100x12.5</v>
          </cell>
          <cell r="B888" t="str">
            <v>a=1.0 x t</v>
          </cell>
          <cell r="C888">
            <v>12.5</v>
          </cell>
          <cell r="D888"/>
          <cell r="E888" t="str">
            <v>Jah</v>
          </cell>
          <cell r="F888">
            <v>3</v>
          </cell>
          <cell r="G888">
            <v>6</v>
          </cell>
          <cell r="H888">
            <v>0.66800000000000004</v>
          </cell>
          <cell r="I888">
            <v>1.0688000000000001E-2</v>
          </cell>
          <cell r="J888">
            <v>62.5</v>
          </cell>
          <cell r="K888">
            <v>10</v>
          </cell>
          <cell r="L888">
            <v>20</v>
          </cell>
          <cell r="M888">
            <v>30</v>
          </cell>
          <cell r="N888">
            <v>40</v>
          </cell>
          <cell r="O888">
            <v>90</v>
          </cell>
          <cell r="P888">
            <v>120</v>
          </cell>
        </row>
        <row r="889">
          <cell r="A889" t="str">
            <v>HFRHS250x100x14.2</v>
          </cell>
          <cell r="B889" t="str">
            <v>a=1.0 x t</v>
          </cell>
          <cell r="C889">
            <v>14.2</v>
          </cell>
          <cell r="D889"/>
          <cell r="E889"/>
          <cell r="F889">
            <v>3</v>
          </cell>
          <cell r="G889">
            <v>10</v>
          </cell>
          <cell r="H889">
            <v>0.66300000000000003</v>
          </cell>
          <cell r="I889">
            <v>9.4714285714285716E-3</v>
          </cell>
          <cell r="J889">
            <v>70</v>
          </cell>
          <cell r="K889">
            <v>10</v>
          </cell>
          <cell r="L889">
            <v>20</v>
          </cell>
          <cell r="M889">
            <v>30</v>
          </cell>
          <cell r="N889">
            <v>40</v>
          </cell>
          <cell r="O889">
            <v>90</v>
          </cell>
          <cell r="P889">
            <v>120</v>
          </cell>
        </row>
        <row r="890">
          <cell r="A890" t="str">
            <v>HFRHS250x100x16</v>
          </cell>
          <cell r="B890" t="str">
            <v>a=1.0 x t</v>
          </cell>
          <cell r="C890">
            <v>16</v>
          </cell>
          <cell r="D890"/>
          <cell r="E890" t="str">
            <v>Jah</v>
          </cell>
          <cell r="F890">
            <v>3</v>
          </cell>
          <cell r="G890">
            <v>10</v>
          </cell>
          <cell r="H890">
            <v>0.65900000000000003</v>
          </cell>
          <cell r="I890">
            <v>8.481338481338481E-3</v>
          </cell>
          <cell r="J890">
            <v>77.7</v>
          </cell>
          <cell r="K890">
            <v>10</v>
          </cell>
          <cell r="L890">
            <v>20</v>
          </cell>
          <cell r="M890">
            <v>30</v>
          </cell>
          <cell r="N890">
            <v>40</v>
          </cell>
          <cell r="O890">
            <v>90</v>
          </cell>
          <cell r="P890">
            <v>120</v>
          </cell>
        </row>
        <row r="891">
          <cell r="A891" t="str">
            <v>HFRHS250x150x5</v>
          </cell>
          <cell r="B891" t="str">
            <v>a=1.0 x t</v>
          </cell>
          <cell r="C891">
            <v>5</v>
          </cell>
          <cell r="D891"/>
          <cell r="E891"/>
          <cell r="F891">
            <v>3</v>
          </cell>
          <cell r="G891">
            <v>2</v>
          </cell>
          <cell r="H891">
            <v>0.78700000000000003</v>
          </cell>
          <cell r="I891">
            <v>2.5888157894736846E-2</v>
          </cell>
          <cell r="J891">
            <v>30.4</v>
          </cell>
          <cell r="K891">
            <v>10</v>
          </cell>
          <cell r="L891">
            <v>20</v>
          </cell>
          <cell r="M891">
            <v>30</v>
          </cell>
          <cell r="N891">
            <v>40</v>
          </cell>
          <cell r="O891">
            <v>90</v>
          </cell>
          <cell r="P891">
            <v>120</v>
          </cell>
        </row>
        <row r="892">
          <cell r="A892" t="str">
            <v>HFRHS250x150x6.3</v>
          </cell>
          <cell r="B892" t="str">
            <v>a=1.0 x t</v>
          </cell>
          <cell r="C892">
            <v>6.3</v>
          </cell>
          <cell r="D892"/>
          <cell r="E892"/>
          <cell r="F892">
            <v>3</v>
          </cell>
          <cell r="G892">
            <v>2</v>
          </cell>
          <cell r="H892">
            <v>0.78400000000000003</v>
          </cell>
          <cell r="I892">
            <v>2.0631578947368421E-2</v>
          </cell>
          <cell r="J892">
            <v>38</v>
          </cell>
          <cell r="K892">
            <v>10</v>
          </cell>
          <cell r="L892">
            <v>20</v>
          </cell>
          <cell r="M892">
            <v>30</v>
          </cell>
          <cell r="N892">
            <v>40</v>
          </cell>
          <cell r="O892">
            <v>90</v>
          </cell>
          <cell r="P892">
            <v>120</v>
          </cell>
        </row>
        <row r="893">
          <cell r="A893" t="str">
            <v>HFRHS250x150x7.1</v>
          </cell>
          <cell r="B893" t="str">
            <v>a=1.0 x t</v>
          </cell>
          <cell r="C893">
            <v>7.1</v>
          </cell>
          <cell r="D893"/>
          <cell r="E893"/>
          <cell r="F893">
            <v>3</v>
          </cell>
          <cell r="G893">
            <v>3</v>
          </cell>
          <cell r="H893">
            <v>0.78200000000000003</v>
          </cell>
          <cell r="I893">
            <v>1.84E-2</v>
          </cell>
          <cell r="J893">
            <v>42.5</v>
          </cell>
          <cell r="K893">
            <v>10</v>
          </cell>
          <cell r="L893">
            <v>20</v>
          </cell>
          <cell r="M893">
            <v>30</v>
          </cell>
          <cell r="N893">
            <v>40</v>
          </cell>
          <cell r="O893">
            <v>90</v>
          </cell>
          <cell r="P893">
            <v>120</v>
          </cell>
        </row>
        <row r="894">
          <cell r="A894" t="str">
            <v>HFRHS250x150x8</v>
          </cell>
          <cell r="B894" t="str">
            <v>a=1.0 x t</v>
          </cell>
          <cell r="C894">
            <v>8</v>
          </cell>
          <cell r="D894"/>
          <cell r="E894"/>
          <cell r="F894">
            <v>3</v>
          </cell>
          <cell r="G894">
            <v>3</v>
          </cell>
          <cell r="H894">
            <v>0.77900000000000003</v>
          </cell>
          <cell r="I894">
            <v>1.6331236897274632E-2</v>
          </cell>
          <cell r="J894">
            <v>47.7</v>
          </cell>
          <cell r="K894">
            <v>10</v>
          </cell>
          <cell r="L894">
            <v>20</v>
          </cell>
          <cell r="M894">
            <v>30</v>
          </cell>
          <cell r="N894">
            <v>40</v>
          </cell>
          <cell r="O894">
            <v>90</v>
          </cell>
          <cell r="P894">
            <v>120</v>
          </cell>
        </row>
        <row r="895">
          <cell r="A895" t="str">
            <v>HFRHS250x150x8.8</v>
          </cell>
          <cell r="B895" t="str">
            <v>a=1.0 x t</v>
          </cell>
          <cell r="C895">
            <v>8.8000000000000007</v>
          </cell>
          <cell r="D895"/>
          <cell r="E895"/>
          <cell r="F895">
            <v>3</v>
          </cell>
          <cell r="G895">
            <v>3</v>
          </cell>
          <cell r="H895">
            <v>0.77700000000000002</v>
          </cell>
          <cell r="I895">
            <v>1.4885057471264368E-2</v>
          </cell>
          <cell r="J895">
            <v>52.2</v>
          </cell>
          <cell r="K895">
            <v>10</v>
          </cell>
          <cell r="L895">
            <v>20</v>
          </cell>
          <cell r="M895">
            <v>30</v>
          </cell>
          <cell r="N895">
            <v>40</v>
          </cell>
          <cell r="O895">
            <v>90</v>
          </cell>
          <cell r="P895">
            <v>120</v>
          </cell>
        </row>
        <row r="896">
          <cell r="A896" t="str">
            <v>HFRHS250x150x10</v>
          </cell>
          <cell r="B896" t="str">
            <v>a=1.0 x t</v>
          </cell>
          <cell r="C896">
            <v>10</v>
          </cell>
          <cell r="D896"/>
          <cell r="E896"/>
          <cell r="F896">
            <v>3</v>
          </cell>
          <cell r="G896">
            <v>6</v>
          </cell>
          <cell r="H896">
            <v>0.77400000000000002</v>
          </cell>
          <cell r="I896">
            <v>1.3163265306122451E-2</v>
          </cell>
          <cell r="J896">
            <v>58.8</v>
          </cell>
          <cell r="K896">
            <v>10</v>
          </cell>
          <cell r="L896">
            <v>20</v>
          </cell>
          <cell r="M896">
            <v>30</v>
          </cell>
          <cell r="N896">
            <v>40</v>
          </cell>
          <cell r="O896">
            <v>90</v>
          </cell>
          <cell r="P896">
            <v>120</v>
          </cell>
        </row>
        <row r="897">
          <cell r="A897" t="str">
            <v>HFRHS250x150x12.5</v>
          </cell>
          <cell r="B897" t="str">
            <v>a=1.0 x t</v>
          </cell>
          <cell r="C897">
            <v>12.5</v>
          </cell>
          <cell r="D897"/>
          <cell r="E897" t="str">
            <v>Jah</v>
          </cell>
          <cell r="F897">
            <v>3</v>
          </cell>
          <cell r="G897">
            <v>6</v>
          </cell>
          <cell r="H897">
            <v>0.76800000000000002</v>
          </cell>
          <cell r="I897">
            <v>1.0622406639004151E-2</v>
          </cell>
          <cell r="J897">
            <v>72.3</v>
          </cell>
          <cell r="K897">
            <v>10</v>
          </cell>
          <cell r="L897">
            <v>20</v>
          </cell>
          <cell r="M897">
            <v>30</v>
          </cell>
          <cell r="N897">
            <v>40</v>
          </cell>
          <cell r="O897">
            <v>90</v>
          </cell>
          <cell r="P897">
            <v>120</v>
          </cell>
        </row>
        <row r="898">
          <cell r="A898" t="str">
            <v>HFRHS250x150x14.2</v>
          </cell>
          <cell r="B898" t="str">
            <v>a=1.0 x t</v>
          </cell>
          <cell r="C898">
            <v>14.2</v>
          </cell>
          <cell r="D898"/>
          <cell r="E898"/>
          <cell r="F898">
            <v>3</v>
          </cell>
          <cell r="G898">
            <v>10</v>
          </cell>
          <cell r="H898">
            <v>0.76300000000000001</v>
          </cell>
          <cell r="I898">
            <v>9.431396786155748E-3</v>
          </cell>
          <cell r="J898">
            <v>80.900000000000006</v>
          </cell>
          <cell r="K898">
            <v>10</v>
          </cell>
          <cell r="L898">
            <v>20</v>
          </cell>
          <cell r="M898">
            <v>30</v>
          </cell>
          <cell r="N898">
            <v>40</v>
          </cell>
          <cell r="O898">
            <v>90</v>
          </cell>
          <cell r="P898">
            <v>120</v>
          </cell>
        </row>
        <row r="899">
          <cell r="A899" t="str">
            <v>HFRHS250x150x16</v>
          </cell>
          <cell r="B899" t="str">
            <v>a=1.0 x t</v>
          </cell>
          <cell r="C899">
            <v>16</v>
          </cell>
          <cell r="D899"/>
          <cell r="E899" t="str">
            <v>Jah</v>
          </cell>
          <cell r="F899">
            <v>3</v>
          </cell>
          <cell r="G899">
            <v>10</v>
          </cell>
          <cell r="H899">
            <v>0.75900000000000001</v>
          </cell>
          <cell r="I899">
            <v>8.4053156146179399E-3</v>
          </cell>
          <cell r="J899">
            <v>90.3</v>
          </cell>
          <cell r="K899">
            <v>10</v>
          </cell>
          <cell r="L899">
            <v>20</v>
          </cell>
          <cell r="M899">
            <v>30</v>
          </cell>
          <cell r="N899">
            <v>40</v>
          </cell>
          <cell r="O899">
            <v>90</v>
          </cell>
          <cell r="P899">
            <v>120</v>
          </cell>
        </row>
        <row r="900">
          <cell r="A900" t="str">
            <v>HFRHS260x140x5</v>
          </cell>
          <cell r="B900" t="str">
            <v>a=1.0 x t</v>
          </cell>
          <cell r="C900">
            <v>5</v>
          </cell>
          <cell r="D900"/>
          <cell r="E900"/>
          <cell r="F900">
            <v>3</v>
          </cell>
          <cell r="G900">
            <v>2</v>
          </cell>
          <cell r="H900">
            <v>0.78700000000000003</v>
          </cell>
          <cell r="I900">
            <v>2.5888157894736846E-2</v>
          </cell>
          <cell r="J900">
            <v>30.4</v>
          </cell>
          <cell r="K900">
            <v>10</v>
          </cell>
          <cell r="L900">
            <v>20</v>
          </cell>
          <cell r="M900">
            <v>30</v>
          </cell>
          <cell r="N900">
            <v>40</v>
          </cell>
          <cell r="O900">
            <v>90</v>
          </cell>
          <cell r="P900">
            <v>120</v>
          </cell>
        </row>
        <row r="901">
          <cell r="A901" t="str">
            <v>HFRHS260x140x6.3</v>
          </cell>
          <cell r="B901" t="str">
            <v>a=1.0 x t</v>
          </cell>
          <cell r="C901">
            <v>6.3</v>
          </cell>
          <cell r="D901"/>
          <cell r="E901"/>
          <cell r="F901">
            <v>3</v>
          </cell>
          <cell r="G901">
            <v>2</v>
          </cell>
          <cell r="H901">
            <v>0.78400000000000003</v>
          </cell>
          <cell r="I901">
            <v>2.0631578947368421E-2</v>
          </cell>
          <cell r="J901">
            <v>38</v>
          </cell>
          <cell r="K901">
            <v>10</v>
          </cell>
          <cell r="L901">
            <v>20</v>
          </cell>
          <cell r="M901">
            <v>30</v>
          </cell>
          <cell r="N901">
            <v>40</v>
          </cell>
          <cell r="O901">
            <v>90</v>
          </cell>
          <cell r="P901">
            <v>120</v>
          </cell>
        </row>
        <row r="902">
          <cell r="A902" t="str">
            <v>HFRHS260x140x7.1</v>
          </cell>
          <cell r="B902" t="str">
            <v>a=1.0 x t</v>
          </cell>
          <cell r="C902">
            <v>7.1</v>
          </cell>
          <cell r="D902"/>
          <cell r="E902"/>
          <cell r="F902">
            <v>3</v>
          </cell>
          <cell r="G902">
            <v>3</v>
          </cell>
          <cell r="H902">
            <v>0.78200000000000003</v>
          </cell>
          <cell r="I902">
            <v>1.84E-2</v>
          </cell>
          <cell r="J902">
            <v>42.5</v>
          </cell>
          <cell r="K902">
            <v>10</v>
          </cell>
          <cell r="L902">
            <v>20</v>
          </cell>
          <cell r="M902">
            <v>30</v>
          </cell>
          <cell r="N902">
            <v>40</v>
          </cell>
          <cell r="O902">
            <v>90</v>
          </cell>
          <cell r="P902">
            <v>120</v>
          </cell>
        </row>
        <row r="903">
          <cell r="A903" t="str">
            <v>HFRHS260x140x8</v>
          </cell>
          <cell r="B903" t="str">
            <v>a=1.0 x t</v>
          </cell>
          <cell r="C903">
            <v>8</v>
          </cell>
          <cell r="D903"/>
          <cell r="E903"/>
          <cell r="F903">
            <v>3</v>
          </cell>
          <cell r="G903">
            <v>3</v>
          </cell>
          <cell r="H903">
            <v>0.77900000000000003</v>
          </cell>
          <cell r="I903">
            <v>1.6331236897274632E-2</v>
          </cell>
          <cell r="J903">
            <v>47.7</v>
          </cell>
          <cell r="K903">
            <v>10</v>
          </cell>
          <cell r="L903">
            <v>20</v>
          </cell>
          <cell r="M903">
            <v>30</v>
          </cell>
          <cell r="N903">
            <v>40</v>
          </cell>
          <cell r="O903">
            <v>90</v>
          </cell>
          <cell r="P903">
            <v>120</v>
          </cell>
        </row>
        <row r="904">
          <cell r="A904" t="str">
            <v>HFRHS260x140x8.8</v>
          </cell>
          <cell r="B904" t="str">
            <v>a=1.0 x t</v>
          </cell>
          <cell r="C904">
            <v>8.8000000000000007</v>
          </cell>
          <cell r="D904"/>
          <cell r="E904"/>
          <cell r="F904">
            <v>3</v>
          </cell>
          <cell r="G904">
            <v>3</v>
          </cell>
          <cell r="H904">
            <v>0.77700000000000002</v>
          </cell>
          <cell r="I904">
            <v>1.4885057471264368E-2</v>
          </cell>
          <cell r="J904">
            <v>52.2</v>
          </cell>
          <cell r="K904">
            <v>10</v>
          </cell>
          <cell r="L904">
            <v>20</v>
          </cell>
          <cell r="M904">
            <v>30</v>
          </cell>
          <cell r="N904">
            <v>40</v>
          </cell>
          <cell r="O904">
            <v>90</v>
          </cell>
          <cell r="P904">
            <v>120</v>
          </cell>
        </row>
        <row r="905">
          <cell r="A905" t="str">
            <v>HFRHS260x140x10</v>
          </cell>
          <cell r="B905" t="str">
            <v>a=1.0 x t</v>
          </cell>
          <cell r="C905">
            <v>10</v>
          </cell>
          <cell r="D905"/>
          <cell r="E905"/>
          <cell r="F905">
            <v>3</v>
          </cell>
          <cell r="G905">
            <v>6</v>
          </cell>
          <cell r="H905">
            <v>0.77400000000000002</v>
          </cell>
          <cell r="I905">
            <v>1.3163265306122451E-2</v>
          </cell>
          <cell r="J905">
            <v>58.8</v>
          </cell>
          <cell r="K905">
            <v>10</v>
          </cell>
          <cell r="L905">
            <v>20</v>
          </cell>
          <cell r="M905">
            <v>30</v>
          </cell>
          <cell r="N905">
            <v>40</v>
          </cell>
          <cell r="O905">
            <v>90</v>
          </cell>
          <cell r="P905">
            <v>120</v>
          </cell>
        </row>
        <row r="906">
          <cell r="A906" t="str">
            <v>HFRHS260x140x12.5</v>
          </cell>
          <cell r="B906" t="str">
            <v>a=1.0 x t</v>
          </cell>
          <cell r="C906">
            <v>12.5</v>
          </cell>
          <cell r="D906"/>
          <cell r="E906" t="str">
            <v>Jah</v>
          </cell>
          <cell r="F906">
            <v>3</v>
          </cell>
          <cell r="G906">
            <v>6</v>
          </cell>
          <cell r="H906">
            <v>0.76800000000000002</v>
          </cell>
          <cell r="I906">
            <v>1.0622406639004151E-2</v>
          </cell>
          <cell r="J906">
            <v>72.3</v>
          </cell>
          <cell r="K906">
            <v>10</v>
          </cell>
          <cell r="L906">
            <v>20</v>
          </cell>
          <cell r="M906">
            <v>30</v>
          </cell>
          <cell r="N906">
            <v>40</v>
          </cell>
          <cell r="O906">
            <v>90</v>
          </cell>
          <cell r="P906">
            <v>120</v>
          </cell>
        </row>
        <row r="907">
          <cell r="A907" t="str">
            <v>HFRHS260x140x14.2</v>
          </cell>
          <cell r="B907" t="str">
            <v>a=1.0 x t</v>
          </cell>
          <cell r="C907">
            <v>14.2</v>
          </cell>
          <cell r="D907"/>
          <cell r="E907"/>
          <cell r="F907">
            <v>3</v>
          </cell>
          <cell r="G907">
            <v>10</v>
          </cell>
          <cell r="H907">
            <v>0.76300000000000001</v>
          </cell>
          <cell r="I907">
            <v>9.431396786155748E-3</v>
          </cell>
          <cell r="J907">
            <v>80.900000000000006</v>
          </cell>
          <cell r="K907">
            <v>10</v>
          </cell>
          <cell r="L907">
            <v>20</v>
          </cell>
          <cell r="M907">
            <v>30</v>
          </cell>
          <cell r="N907">
            <v>40</v>
          </cell>
          <cell r="O907">
            <v>90</v>
          </cell>
          <cell r="P907">
            <v>120</v>
          </cell>
        </row>
        <row r="908">
          <cell r="A908" t="str">
            <v>HFRHS260x140x16</v>
          </cell>
          <cell r="B908" t="str">
            <v>a=1.0 x t</v>
          </cell>
          <cell r="C908">
            <v>16</v>
          </cell>
          <cell r="D908"/>
          <cell r="E908" t="str">
            <v>Jah</v>
          </cell>
          <cell r="F908">
            <v>3</v>
          </cell>
          <cell r="G908">
            <v>10</v>
          </cell>
          <cell r="H908">
            <v>0.75900000000000001</v>
          </cell>
          <cell r="I908">
            <v>8.4053156146179399E-3</v>
          </cell>
          <cell r="J908">
            <v>90.3</v>
          </cell>
          <cell r="K908">
            <v>10</v>
          </cell>
          <cell r="L908">
            <v>20</v>
          </cell>
          <cell r="M908">
            <v>30</v>
          </cell>
          <cell r="N908">
            <v>40</v>
          </cell>
          <cell r="O908">
            <v>90</v>
          </cell>
          <cell r="P908">
            <v>120</v>
          </cell>
        </row>
        <row r="909">
          <cell r="A909" t="str">
            <v>HFRHS300x100x5</v>
          </cell>
          <cell r="B909" t="str">
            <v>a=1.0 x t</v>
          </cell>
          <cell r="C909">
            <v>5</v>
          </cell>
          <cell r="D909"/>
          <cell r="E909"/>
          <cell r="F909">
            <v>3</v>
          </cell>
          <cell r="G909">
            <v>2</v>
          </cell>
          <cell r="H909">
            <v>0.78700000000000003</v>
          </cell>
          <cell r="I909">
            <v>2.5888157894736846E-2</v>
          </cell>
          <cell r="J909">
            <v>30.4</v>
          </cell>
          <cell r="K909">
            <v>10</v>
          </cell>
          <cell r="L909">
            <v>20</v>
          </cell>
          <cell r="M909">
            <v>30</v>
          </cell>
          <cell r="N909">
            <v>40</v>
          </cell>
          <cell r="O909">
            <v>90</v>
          </cell>
          <cell r="P909">
            <v>120</v>
          </cell>
        </row>
        <row r="910">
          <cell r="A910" t="str">
            <v>HFRHS300x100x6.3</v>
          </cell>
          <cell r="B910" t="str">
            <v>a=1.0 x t</v>
          </cell>
          <cell r="C910">
            <v>6.3</v>
          </cell>
          <cell r="D910"/>
          <cell r="E910"/>
          <cell r="F910">
            <v>3</v>
          </cell>
          <cell r="G910">
            <v>2</v>
          </cell>
          <cell r="H910">
            <v>0.78400000000000003</v>
          </cell>
          <cell r="I910">
            <v>2.0631578947368421E-2</v>
          </cell>
          <cell r="J910">
            <v>38</v>
          </cell>
          <cell r="K910">
            <v>10</v>
          </cell>
          <cell r="L910">
            <v>20</v>
          </cell>
          <cell r="M910">
            <v>30</v>
          </cell>
          <cell r="N910">
            <v>40</v>
          </cell>
          <cell r="O910">
            <v>90</v>
          </cell>
          <cell r="P910">
            <v>120</v>
          </cell>
        </row>
        <row r="911">
          <cell r="A911" t="str">
            <v>HFRHS300x100x7.1</v>
          </cell>
          <cell r="B911" t="str">
            <v>a=1.0 x t</v>
          </cell>
          <cell r="C911">
            <v>7.1</v>
          </cell>
          <cell r="D911"/>
          <cell r="E911"/>
          <cell r="F911">
            <v>3</v>
          </cell>
          <cell r="G911">
            <v>3</v>
          </cell>
          <cell r="H911">
            <v>0.78200000000000003</v>
          </cell>
          <cell r="I911">
            <v>1.84E-2</v>
          </cell>
          <cell r="J911">
            <v>42.5</v>
          </cell>
          <cell r="K911">
            <v>10</v>
          </cell>
          <cell r="L911">
            <v>20</v>
          </cell>
          <cell r="M911">
            <v>30</v>
          </cell>
          <cell r="N911">
            <v>40</v>
          </cell>
          <cell r="O911">
            <v>90</v>
          </cell>
          <cell r="P911">
            <v>120</v>
          </cell>
        </row>
        <row r="912">
          <cell r="A912" t="str">
            <v>HFRHS300x100x8</v>
          </cell>
          <cell r="B912" t="str">
            <v>a=1.0 x t</v>
          </cell>
          <cell r="C912">
            <v>8</v>
          </cell>
          <cell r="D912"/>
          <cell r="E912"/>
          <cell r="F912">
            <v>3</v>
          </cell>
          <cell r="G912">
            <v>3</v>
          </cell>
          <cell r="H912">
            <v>0.77900000000000003</v>
          </cell>
          <cell r="I912">
            <v>1.6331236897274632E-2</v>
          </cell>
          <cell r="J912">
            <v>47.7</v>
          </cell>
          <cell r="K912">
            <v>10</v>
          </cell>
          <cell r="L912">
            <v>20</v>
          </cell>
          <cell r="M912">
            <v>30</v>
          </cell>
          <cell r="N912">
            <v>40</v>
          </cell>
          <cell r="O912">
            <v>90</v>
          </cell>
          <cell r="P912">
            <v>120</v>
          </cell>
        </row>
        <row r="913">
          <cell r="A913" t="str">
            <v>HFRHS300x100x8.8</v>
          </cell>
          <cell r="B913" t="str">
            <v>a=1.0 x t</v>
          </cell>
          <cell r="C913">
            <v>8.8000000000000007</v>
          </cell>
          <cell r="D913"/>
          <cell r="E913"/>
          <cell r="F913">
            <v>3</v>
          </cell>
          <cell r="G913">
            <v>3</v>
          </cell>
          <cell r="H913">
            <v>0.77700000000000002</v>
          </cell>
          <cell r="I913">
            <v>1.4885057471264368E-2</v>
          </cell>
          <cell r="J913">
            <v>52.2</v>
          </cell>
          <cell r="K913">
            <v>10</v>
          </cell>
          <cell r="L913">
            <v>20</v>
          </cell>
          <cell r="M913">
            <v>30</v>
          </cell>
          <cell r="N913">
            <v>40</v>
          </cell>
          <cell r="O913">
            <v>90</v>
          </cell>
          <cell r="P913">
            <v>120</v>
          </cell>
        </row>
        <row r="914">
          <cell r="A914" t="str">
            <v>HFRHS300x100x10</v>
          </cell>
          <cell r="B914" t="str">
            <v>a=1.0 x t</v>
          </cell>
          <cell r="C914">
            <v>10</v>
          </cell>
          <cell r="D914"/>
          <cell r="E914"/>
          <cell r="F914">
            <v>3</v>
          </cell>
          <cell r="G914">
            <v>6</v>
          </cell>
          <cell r="H914">
            <v>0.77400000000000002</v>
          </cell>
          <cell r="I914">
            <v>1.3163265306122451E-2</v>
          </cell>
          <cell r="J914">
            <v>58.8</v>
          </cell>
          <cell r="K914">
            <v>10</v>
          </cell>
          <cell r="L914">
            <v>20</v>
          </cell>
          <cell r="M914">
            <v>30</v>
          </cell>
          <cell r="N914">
            <v>40</v>
          </cell>
          <cell r="O914">
            <v>90</v>
          </cell>
          <cell r="P914">
            <v>120</v>
          </cell>
        </row>
        <row r="915">
          <cell r="A915" t="str">
            <v>HFRHS300x100x12.5</v>
          </cell>
          <cell r="B915" t="str">
            <v>a=1.0 x t</v>
          </cell>
          <cell r="C915">
            <v>12.5</v>
          </cell>
          <cell r="D915"/>
          <cell r="E915" t="str">
            <v>Jah</v>
          </cell>
          <cell r="F915">
            <v>3</v>
          </cell>
          <cell r="G915">
            <v>6</v>
          </cell>
          <cell r="H915">
            <v>0.76800000000000002</v>
          </cell>
          <cell r="I915">
            <v>1.0622406639004151E-2</v>
          </cell>
          <cell r="J915">
            <v>72.3</v>
          </cell>
          <cell r="K915">
            <v>10</v>
          </cell>
          <cell r="L915">
            <v>20</v>
          </cell>
          <cell r="M915">
            <v>30</v>
          </cell>
          <cell r="N915">
            <v>40</v>
          </cell>
          <cell r="O915">
            <v>90</v>
          </cell>
          <cell r="P915">
            <v>120</v>
          </cell>
        </row>
        <row r="916">
          <cell r="A916" t="str">
            <v>HFRHS300x100x14.2</v>
          </cell>
          <cell r="B916" t="str">
            <v>a=1.0 x t</v>
          </cell>
          <cell r="C916">
            <v>14.2</v>
          </cell>
          <cell r="D916"/>
          <cell r="E916"/>
          <cell r="F916">
            <v>3</v>
          </cell>
          <cell r="G916">
            <v>10</v>
          </cell>
          <cell r="H916">
            <v>0.76300000000000001</v>
          </cell>
          <cell r="I916">
            <v>9.431396786155748E-3</v>
          </cell>
          <cell r="J916">
            <v>80.900000000000006</v>
          </cell>
          <cell r="K916">
            <v>10</v>
          </cell>
          <cell r="L916">
            <v>20</v>
          </cell>
          <cell r="M916">
            <v>30</v>
          </cell>
          <cell r="N916">
            <v>40</v>
          </cell>
          <cell r="O916">
            <v>90</v>
          </cell>
          <cell r="P916">
            <v>120</v>
          </cell>
        </row>
        <row r="917">
          <cell r="A917" t="str">
            <v>HFRHS300x100x16</v>
          </cell>
          <cell r="B917" t="str">
            <v>a=1.0 x t</v>
          </cell>
          <cell r="C917">
            <v>16</v>
          </cell>
          <cell r="D917"/>
          <cell r="E917" t="str">
            <v>Jah</v>
          </cell>
          <cell r="F917">
            <v>3</v>
          </cell>
          <cell r="G917">
            <v>10</v>
          </cell>
          <cell r="H917">
            <v>0.75900000000000001</v>
          </cell>
          <cell r="I917">
            <v>8.4053156146179399E-3</v>
          </cell>
          <cell r="J917">
            <v>90.3</v>
          </cell>
          <cell r="K917">
            <v>10</v>
          </cell>
          <cell r="L917">
            <v>20</v>
          </cell>
          <cell r="M917">
            <v>30</v>
          </cell>
          <cell r="N917">
            <v>40</v>
          </cell>
          <cell r="O917">
            <v>90</v>
          </cell>
          <cell r="P917">
            <v>120</v>
          </cell>
        </row>
        <row r="918">
          <cell r="A918" t="str">
            <v>HFRHS300x200x5</v>
          </cell>
          <cell r="B918" t="str">
            <v>a=1.0 x t</v>
          </cell>
          <cell r="C918">
            <v>5</v>
          </cell>
          <cell r="D918"/>
          <cell r="E918"/>
          <cell r="F918">
            <v>3</v>
          </cell>
          <cell r="G918">
            <v>2</v>
          </cell>
          <cell r="H918">
            <v>0.98699999999999999</v>
          </cell>
          <cell r="I918">
            <v>2.5837696335078531E-2</v>
          </cell>
          <cell r="J918">
            <v>38.200000000000003</v>
          </cell>
          <cell r="K918">
            <v>10</v>
          </cell>
          <cell r="L918">
            <v>20</v>
          </cell>
          <cell r="M918">
            <v>30</v>
          </cell>
          <cell r="N918">
            <v>40</v>
          </cell>
          <cell r="O918">
            <v>90</v>
          </cell>
          <cell r="P918">
            <v>120</v>
          </cell>
        </row>
        <row r="919">
          <cell r="A919" t="str">
            <v>HFRHS300x200x6.3</v>
          </cell>
          <cell r="B919" t="str">
            <v>a=1.0 x t</v>
          </cell>
          <cell r="C919">
            <v>6.3</v>
          </cell>
          <cell r="D919"/>
          <cell r="E919"/>
          <cell r="F919">
            <v>3</v>
          </cell>
          <cell r="G919">
            <v>2</v>
          </cell>
          <cell r="H919">
            <v>0.98399999999999999</v>
          </cell>
          <cell r="I919">
            <v>2.0542797494780794E-2</v>
          </cell>
          <cell r="J919">
            <v>47.9</v>
          </cell>
          <cell r="K919">
            <v>10</v>
          </cell>
          <cell r="L919">
            <v>20</v>
          </cell>
          <cell r="M919">
            <v>30</v>
          </cell>
          <cell r="N919">
            <v>40</v>
          </cell>
          <cell r="O919">
            <v>90</v>
          </cell>
          <cell r="P919">
            <v>120</v>
          </cell>
        </row>
        <row r="920">
          <cell r="A920" t="str">
            <v>HFRHS300x200x7.1</v>
          </cell>
          <cell r="B920" t="str">
            <v>a=1.0 x t</v>
          </cell>
          <cell r="C920">
            <v>7.1</v>
          </cell>
          <cell r="D920"/>
          <cell r="E920"/>
          <cell r="F920">
            <v>3</v>
          </cell>
          <cell r="G920">
            <v>3</v>
          </cell>
          <cell r="H920">
            <v>0.98199999999999998</v>
          </cell>
          <cell r="I920">
            <v>1.8286778398510242E-2</v>
          </cell>
          <cell r="J920">
            <v>53.7</v>
          </cell>
          <cell r="K920">
            <v>10</v>
          </cell>
          <cell r="L920">
            <v>20</v>
          </cell>
          <cell r="M920">
            <v>30</v>
          </cell>
          <cell r="N920">
            <v>40</v>
          </cell>
          <cell r="O920">
            <v>90</v>
          </cell>
          <cell r="P920">
            <v>120</v>
          </cell>
        </row>
        <row r="921">
          <cell r="A921" t="str">
            <v>HFRHS300x200x8</v>
          </cell>
          <cell r="B921" t="str">
            <v>a=1.0 x t</v>
          </cell>
          <cell r="C921">
            <v>8</v>
          </cell>
          <cell r="D921"/>
          <cell r="E921"/>
          <cell r="F921">
            <v>3</v>
          </cell>
          <cell r="G921">
            <v>3</v>
          </cell>
          <cell r="H921">
            <v>0.97899999999999998</v>
          </cell>
          <cell r="I921">
            <v>1.6235489220563847E-2</v>
          </cell>
          <cell r="J921">
            <v>60.3</v>
          </cell>
          <cell r="K921">
            <v>10</v>
          </cell>
          <cell r="L921">
            <v>20</v>
          </cell>
          <cell r="M921">
            <v>30</v>
          </cell>
          <cell r="N921">
            <v>40</v>
          </cell>
          <cell r="O921">
            <v>90</v>
          </cell>
          <cell r="P921">
            <v>120</v>
          </cell>
        </row>
        <row r="922">
          <cell r="A922" t="str">
            <v>HFRHS300x200x8.8</v>
          </cell>
          <cell r="B922" t="str">
            <v>a=1.0 x t</v>
          </cell>
          <cell r="C922">
            <v>8.8000000000000007</v>
          </cell>
          <cell r="D922"/>
          <cell r="E922"/>
          <cell r="F922">
            <v>3</v>
          </cell>
          <cell r="G922">
            <v>3</v>
          </cell>
          <cell r="H922">
            <v>0.97699999999999998</v>
          </cell>
          <cell r="I922">
            <v>1.4803030303030302E-2</v>
          </cell>
          <cell r="J922">
            <v>66</v>
          </cell>
          <cell r="K922">
            <v>10</v>
          </cell>
          <cell r="L922">
            <v>20</v>
          </cell>
          <cell r="M922">
            <v>30</v>
          </cell>
          <cell r="N922">
            <v>40</v>
          </cell>
          <cell r="O922">
            <v>90</v>
          </cell>
          <cell r="P922">
            <v>120</v>
          </cell>
        </row>
        <row r="923">
          <cell r="A923" t="str">
            <v>HFRHS300x200x10</v>
          </cell>
          <cell r="B923" t="str">
            <v>a=1.0 x t</v>
          </cell>
          <cell r="C923">
            <v>10</v>
          </cell>
          <cell r="D923"/>
          <cell r="E923"/>
          <cell r="F923">
            <v>3</v>
          </cell>
          <cell r="G923">
            <v>6</v>
          </cell>
          <cell r="H923">
            <v>0.97399999999999998</v>
          </cell>
          <cell r="I923">
            <v>1.3073825503355705E-2</v>
          </cell>
          <cell r="J923">
            <v>74.5</v>
          </cell>
          <cell r="K923">
            <v>10</v>
          </cell>
          <cell r="L923">
            <v>20</v>
          </cell>
          <cell r="M923">
            <v>30</v>
          </cell>
          <cell r="N923">
            <v>40</v>
          </cell>
          <cell r="O923">
            <v>90</v>
          </cell>
          <cell r="P923">
            <v>120</v>
          </cell>
        </row>
        <row r="924">
          <cell r="A924" t="str">
            <v>HFRHS300x200x12</v>
          </cell>
          <cell r="B924" t="str">
            <v>a=1.0 x t</v>
          </cell>
          <cell r="C924">
            <v>12</v>
          </cell>
          <cell r="D924"/>
          <cell r="E924" t="str">
            <v>Jah</v>
          </cell>
          <cell r="F924">
            <v>3</v>
          </cell>
          <cell r="G924">
            <v>6</v>
          </cell>
          <cell r="H924">
            <v>0.93600000000000005</v>
          </cell>
          <cell r="I924">
            <v>1.051685393258427E-2</v>
          </cell>
          <cell r="J924">
            <v>89</v>
          </cell>
          <cell r="K924">
            <v>10</v>
          </cell>
          <cell r="L924">
            <v>20</v>
          </cell>
          <cell r="M924">
            <v>30</v>
          </cell>
          <cell r="N924">
            <v>40</v>
          </cell>
          <cell r="O924">
            <v>90</v>
          </cell>
          <cell r="P924">
            <v>120</v>
          </cell>
        </row>
        <row r="925">
          <cell r="A925" t="str">
            <v>HFRHS300x200x12.5</v>
          </cell>
          <cell r="B925" t="str">
            <v>a=1.0 x t</v>
          </cell>
          <cell r="C925">
            <v>12.5</v>
          </cell>
          <cell r="D925"/>
          <cell r="E925" t="str">
            <v>Jah</v>
          </cell>
          <cell r="F925">
            <v>3</v>
          </cell>
          <cell r="G925">
            <v>6</v>
          </cell>
          <cell r="H925">
            <v>0.96799999999999997</v>
          </cell>
          <cell r="I925">
            <v>1.0544662309368192E-2</v>
          </cell>
          <cell r="J925">
            <v>91.8</v>
          </cell>
          <cell r="K925">
            <v>10</v>
          </cell>
          <cell r="L925">
            <v>20</v>
          </cell>
          <cell r="M925">
            <v>30</v>
          </cell>
          <cell r="N925">
            <v>40</v>
          </cell>
          <cell r="O925">
            <v>90</v>
          </cell>
          <cell r="P925">
            <v>120</v>
          </cell>
        </row>
        <row r="926">
          <cell r="A926" t="str">
            <v>HFRHS300x200x14.2</v>
          </cell>
          <cell r="B926" t="str">
            <v>a=1.0 x t</v>
          </cell>
          <cell r="C926">
            <v>14.2</v>
          </cell>
          <cell r="D926"/>
          <cell r="E926"/>
          <cell r="F926">
            <v>3</v>
          </cell>
          <cell r="G926">
            <v>10</v>
          </cell>
          <cell r="H926">
            <v>0.96299999999999997</v>
          </cell>
          <cell r="I926">
            <v>9.2953667953667961E-3</v>
          </cell>
          <cell r="J926">
            <v>103.6</v>
          </cell>
          <cell r="K926">
            <v>10</v>
          </cell>
          <cell r="L926">
            <v>20</v>
          </cell>
          <cell r="M926">
            <v>30</v>
          </cell>
          <cell r="N926">
            <v>40</v>
          </cell>
          <cell r="O926">
            <v>90</v>
          </cell>
          <cell r="P926">
            <v>120</v>
          </cell>
        </row>
        <row r="927">
          <cell r="A927" t="str">
            <v>HFRHS300x200x16</v>
          </cell>
          <cell r="B927" t="str">
            <v>a=1.0 x t</v>
          </cell>
          <cell r="C927">
            <v>16</v>
          </cell>
          <cell r="D927"/>
          <cell r="E927" t="str">
            <v>Jah</v>
          </cell>
          <cell r="F927">
            <v>3</v>
          </cell>
          <cell r="G927">
            <v>10</v>
          </cell>
          <cell r="H927">
            <v>0.95899999999999996</v>
          </cell>
          <cell r="I927">
            <v>8.3102253032928935E-3</v>
          </cell>
          <cell r="J927">
            <v>115.4</v>
          </cell>
          <cell r="K927">
            <v>10</v>
          </cell>
          <cell r="L927">
            <v>20</v>
          </cell>
          <cell r="M927">
            <v>30</v>
          </cell>
          <cell r="N927">
            <v>40</v>
          </cell>
          <cell r="O927">
            <v>90</v>
          </cell>
          <cell r="P927">
            <v>120</v>
          </cell>
        </row>
        <row r="928">
          <cell r="A928" t="str">
            <v>HFRHS300x250x5</v>
          </cell>
          <cell r="B928" t="str">
            <v>a=1.0 x t</v>
          </cell>
          <cell r="C928">
            <v>5</v>
          </cell>
          <cell r="D928"/>
          <cell r="E928"/>
          <cell r="F928">
            <v>3</v>
          </cell>
          <cell r="G928">
            <v>2</v>
          </cell>
          <cell r="H928">
            <v>1.0900000000000001</v>
          </cell>
          <cell r="I928">
            <v>2.5829383886255924E-2</v>
          </cell>
          <cell r="J928">
            <v>42.2</v>
          </cell>
          <cell r="K928">
            <v>10</v>
          </cell>
          <cell r="L928">
            <v>20</v>
          </cell>
          <cell r="M928">
            <v>30</v>
          </cell>
          <cell r="N928">
            <v>40</v>
          </cell>
          <cell r="O928">
            <v>90</v>
          </cell>
          <cell r="P928">
            <v>120</v>
          </cell>
        </row>
        <row r="929">
          <cell r="A929" t="str">
            <v>HFRHS300x250x6.3</v>
          </cell>
          <cell r="B929" t="str">
            <v>a=1.0 x t</v>
          </cell>
          <cell r="C929">
            <v>6.3</v>
          </cell>
          <cell r="D929"/>
          <cell r="E929"/>
          <cell r="F929">
            <v>3</v>
          </cell>
          <cell r="G929">
            <v>2</v>
          </cell>
          <cell r="H929">
            <v>1.08</v>
          </cell>
          <cell r="I929">
            <v>2.0454545454545458E-2</v>
          </cell>
          <cell r="J929">
            <v>52.8</v>
          </cell>
          <cell r="K929">
            <v>10</v>
          </cell>
          <cell r="L929">
            <v>20</v>
          </cell>
          <cell r="M929">
            <v>30</v>
          </cell>
          <cell r="N929">
            <v>40</v>
          </cell>
          <cell r="O929">
            <v>90</v>
          </cell>
          <cell r="P929">
            <v>120</v>
          </cell>
        </row>
        <row r="930">
          <cell r="A930" t="str">
            <v>HFRHS300x250x7.1</v>
          </cell>
          <cell r="B930" t="str">
            <v>a=1.0 x t</v>
          </cell>
          <cell r="C930">
            <v>7.1</v>
          </cell>
          <cell r="D930"/>
          <cell r="E930"/>
          <cell r="F930">
            <v>3</v>
          </cell>
          <cell r="G930">
            <v>3</v>
          </cell>
          <cell r="H930">
            <v>1.08</v>
          </cell>
          <cell r="I930">
            <v>1.821247892074199E-2</v>
          </cell>
          <cell r="J930">
            <v>59.3</v>
          </cell>
          <cell r="K930">
            <v>10</v>
          </cell>
          <cell r="L930">
            <v>20</v>
          </cell>
          <cell r="M930">
            <v>30</v>
          </cell>
          <cell r="N930">
            <v>40</v>
          </cell>
          <cell r="O930">
            <v>90</v>
          </cell>
          <cell r="P930">
            <v>120</v>
          </cell>
        </row>
        <row r="931">
          <cell r="A931" t="str">
            <v>HFRHS300x250x8</v>
          </cell>
          <cell r="B931" t="str">
            <v>a=1.0 x t</v>
          </cell>
          <cell r="C931">
            <v>8</v>
          </cell>
          <cell r="D931"/>
          <cell r="E931"/>
          <cell r="F931">
            <v>3</v>
          </cell>
          <cell r="G931">
            <v>3</v>
          </cell>
          <cell r="H931">
            <v>1.08</v>
          </cell>
          <cell r="I931">
            <v>1.6216216216216217E-2</v>
          </cell>
          <cell r="J931">
            <v>66.599999999999994</v>
          </cell>
          <cell r="K931">
            <v>10</v>
          </cell>
          <cell r="L931">
            <v>20</v>
          </cell>
          <cell r="M931">
            <v>30</v>
          </cell>
          <cell r="N931">
            <v>40</v>
          </cell>
          <cell r="O931">
            <v>90</v>
          </cell>
          <cell r="P931">
            <v>120</v>
          </cell>
        </row>
        <row r="932">
          <cell r="A932" t="str">
            <v>HFRHS300x250x8.8</v>
          </cell>
          <cell r="B932" t="str">
            <v>a=1.0 x t</v>
          </cell>
          <cell r="C932">
            <v>8.8000000000000007</v>
          </cell>
          <cell r="D932"/>
          <cell r="E932"/>
          <cell r="F932">
            <v>3</v>
          </cell>
          <cell r="G932">
            <v>3</v>
          </cell>
          <cell r="H932">
            <v>1.08</v>
          </cell>
          <cell r="I932">
            <v>1.4814814814814815E-2</v>
          </cell>
          <cell r="J932">
            <v>72.900000000000006</v>
          </cell>
          <cell r="K932">
            <v>10</v>
          </cell>
          <cell r="L932">
            <v>20</v>
          </cell>
          <cell r="M932">
            <v>30</v>
          </cell>
          <cell r="N932">
            <v>40</v>
          </cell>
          <cell r="O932">
            <v>90</v>
          </cell>
          <cell r="P932">
            <v>120</v>
          </cell>
        </row>
        <row r="933">
          <cell r="A933" t="str">
            <v>HFRHS300x250x10</v>
          </cell>
          <cell r="B933" t="str">
            <v>a=1.0 x t</v>
          </cell>
          <cell r="C933">
            <v>10</v>
          </cell>
          <cell r="D933"/>
          <cell r="E933"/>
          <cell r="F933">
            <v>3</v>
          </cell>
          <cell r="G933">
            <v>6</v>
          </cell>
          <cell r="H933">
            <v>1.07</v>
          </cell>
          <cell r="I933">
            <v>1.2985436893203884E-2</v>
          </cell>
          <cell r="J933">
            <v>82.4</v>
          </cell>
          <cell r="K933">
            <v>10</v>
          </cell>
          <cell r="L933">
            <v>20</v>
          </cell>
          <cell r="M933">
            <v>30</v>
          </cell>
          <cell r="N933">
            <v>40</v>
          </cell>
          <cell r="O933">
            <v>90</v>
          </cell>
          <cell r="P933">
            <v>120</v>
          </cell>
        </row>
        <row r="934">
          <cell r="A934" t="str">
            <v>HFRHS300x250x12.5</v>
          </cell>
          <cell r="B934" t="str">
            <v>a=1.0 x t</v>
          </cell>
          <cell r="C934">
            <v>12.5</v>
          </cell>
          <cell r="D934"/>
          <cell r="E934" t="str">
            <v>Jah</v>
          </cell>
          <cell r="F934">
            <v>3</v>
          </cell>
          <cell r="G934">
            <v>6</v>
          </cell>
          <cell r="H934">
            <v>1.07</v>
          </cell>
          <cell r="I934">
            <v>1.0479921645445643E-2</v>
          </cell>
          <cell r="J934">
            <v>102.1</v>
          </cell>
          <cell r="K934">
            <v>10</v>
          </cell>
          <cell r="L934">
            <v>20</v>
          </cell>
          <cell r="M934">
            <v>30</v>
          </cell>
          <cell r="N934">
            <v>40</v>
          </cell>
          <cell r="O934">
            <v>90</v>
          </cell>
          <cell r="P934">
            <v>120</v>
          </cell>
        </row>
        <row r="935">
          <cell r="A935" t="str">
            <v>HFRHS300x250x14.2</v>
          </cell>
          <cell r="B935" t="str">
            <v>a=1.0 x t</v>
          </cell>
          <cell r="C935">
            <v>14.2</v>
          </cell>
          <cell r="D935"/>
          <cell r="E935"/>
          <cell r="F935">
            <v>3</v>
          </cell>
          <cell r="G935">
            <v>10</v>
          </cell>
          <cell r="H935">
            <v>1.06</v>
          </cell>
          <cell r="I935">
            <v>9.2495636998254811E-3</v>
          </cell>
          <cell r="J935">
            <v>114.6</v>
          </cell>
          <cell r="K935">
            <v>10</v>
          </cell>
          <cell r="L935">
            <v>20</v>
          </cell>
          <cell r="M935">
            <v>30</v>
          </cell>
          <cell r="N935">
            <v>40</v>
          </cell>
          <cell r="O935">
            <v>90</v>
          </cell>
          <cell r="P935">
            <v>120</v>
          </cell>
        </row>
        <row r="936">
          <cell r="A936" t="str">
            <v>HFRHS300x250x16</v>
          </cell>
          <cell r="B936" t="str">
            <v>a=1.0 x t</v>
          </cell>
          <cell r="C936">
            <v>16</v>
          </cell>
          <cell r="D936"/>
          <cell r="E936" t="str">
            <v>Jah</v>
          </cell>
          <cell r="F936">
            <v>3</v>
          </cell>
          <cell r="G936">
            <v>10</v>
          </cell>
          <cell r="H936">
            <v>1.06</v>
          </cell>
          <cell r="I936">
            <v>8.2812500000000004E-3</v>
          </cell>
          <cell r="J936">
            <v>128</v>
          </cell>
          <cell r="K936">
            <v>10</v>
          </cell>
          <cell r="L936">
            <v>20</v>
          </cell>
          <cell r="M936">
            <v>30</v>
          </cell>
          <cell r="N936">
            <v>40</v>
          </cell>
          <cell r="O936">
            <v>90</v>
          </cell>
          <cell r="P936">
            <v>120</v>
          </cell>
        </row>
        <row r="937">
          <cell r="A937" t="str">
            <v>HFRHS340x100x10</v>
          </cell>
          <cell r="B937" t="str">
            <v>a=1.0 x t</v>
          </cell>
          <cell r="C937">
            <v>10</v>
          </cell>
          <cell r="D937"/>
          <cell r="E937"/>
          <cell r="F937">
            <v>3</v>
          </cell>
          <cell r="G937">
            <v>6</v>
          </cell>
          <cell r="H937">
            <v>0.85399999999999998</v>
          </cell>
          <cell r="I937">
            <v>1.3118279569892474E-2</v>
          </cell>
          <cell r="J937">
            <v>65.099999999999994</v>
          </cell>
          <cell r="K937">
            <v>10</v>
          </cell>
          <cell r="L937">
            <v>20</v>
          </cell>
          <cell r="M937">
            <v>30</v>
          </cell>
          <cell r="N937">
            <v>40</v>
          </cell>
          <cell r="O937">
            <v>90</v>
          </cell>
          <cell r="P937">
            <v>120</v>
          </cell>
        </row>
        <row r="938">
          <cell r="A938" t="str">
            <v>HFRHS350x150x5</v>
          </cell>
          <cell r="B938" t="str">
            <v>a=1.0 x t</v>
          </cell>
          <cell r="C938">
            <v>5</v>
          </cell>
          <cell r="D938"/>
          <cell r="E938"/>
          <cell r="F938">
            <v>3</v>
          </cell>
          <cell r="G938">
            <v>2</v>
          </cell>
          <cell r="H938">
            <v>0.98699999999999999</v>
          </cell>
          <cell r="I938">
            <v>2.5837696335078531E-2</v>
          </cell>
          <cell r="J938">
            <v>38.200000000000003</v>
          </cell>
          <cell r="K938">
            <v>10</v>
          </cell>
          <cell r="L938">
            <v>20</v>
          </cell>
          <cell r="M938">
            <v>30</v>
          </cell>
          <cell r="N938">
            <v>40</v>
          </cell>
          <cell r="O938">
            <v>90</v>
          </cell>
          <cell r="P938">
            <v>120</v>
          </cell>
        </row>
        <row r="939">
          <cell r="A939" t="str">
            <v>HFRHS350x150x6.3</v>
          </cell>
          <cell r="B939" t="str">
            <v>a=1.0 x t</v>
          </cell>
          <cell r="C939">
            <v>6.3</v>
          </cell>
          <cell r="D939"/>
          <cell r="E939"/>
          <cell r="F939">
            <v>3</v>
          </cell>
          <cell r="G939">
            <v>2</v>
          </cell>
          <cell r="H939">
            <v>0.98399999999999999</v>
          </cell>
          <cell r="I939">
            <v>2.0542797494780794E-2</v>
          </cell>
          <cell r="J939">
            <v>47.9</v>
          </cell>
          <cell r="K939">
            <v>10</v>
          </cell>
          <cell r="L939">
            <v>20</v>
          </cell>
          <cell r="M939">
            <v>30</v>
          </cell>
          <cell r="N939">
            <v>40</v>
          </cell>
          <cell r="O939">
            <v>90</v>
          </cell>
          <cell r="P939">
            <v>120</v>
          </cell>
        </row>
        <row r="940">
          <cell r="A940" t="str">
            <v>HFRHS350x150x7.1</v>
          </cell>
          <cell r="B940" t="str">
            <v>a=1.0 x t</v>
          </cell>
          <cell r="C940">
            <v>7.1</v>
          </cell>
          <cell r="D940"/>
          <cell r="E940"/>
          <cell r="F940">
            <v>3</v>
          </cell>
          <cell r="G940">
            <v>3</v>
          </cell>
          <cell r="H940">
            <v>0.98199999999999998</v>
          </cell>
          <cell r="I940">
            <v>1.8286778398510242E-2</v>
          </cell>
          <cell r="J940">
            <v>53.7</v>
          </cell>
          <cell r="K940">
            <v>10</v>
          </cell>
          <cell r="L940">
            <v>20</v>
          </cell>
          <cell r="M940">
            <v>30</v>
          </cell>
          <cell r="N940">
            <v>40</v>
          </cell>
          <cell r="O940">
            <v>90</v>
          </cell>
          <cell r="P940">
            <v>120</v>
          </cell>
        </row>
        <row r="941">
          <cell r="A941" t="str">
            <v>HFRHS350x150x8</v>
          </cell>
          <cell r="B941" t="str">
            <v>a=1.0 x t</v>
          </cell>
          <cell r="C941">
            <v>8</v>
          </cell>
          <cell r="D941"/>
          <cell r="E941"/>
          <cell r="F941">
            <v>3</v>
          </cell>
          <cell r="G941">
            <v>3</v>
          </cell>
          <cell r="H941">
            <v>0.97899999999999998</v>
          </cell>
          <cell r="I941">
            <v>1.6235489220563847E-2</v>
          </cell>
          <cell r="J941">
            <v>60.3</v>
          </cell>
          <cell r="K941">
            <v>10</v>
          </cell>
          <cell r="L941">
            <v>20</v>
          </cell>
          <cell r="M941">
            <v>30</v>
          </cell>
          <cell r="N941">
            <v>40</v>
          </cell>
          <cell r="O941">
            <v>90</v>
          </cell>
          <cell r="P941">
            <v>120</v>
          </cell>
        </row>
        <row r="942">
          <cell r="A942" t="str">
            <v>HFRHS350x150x8.8</v>
          </cell>
          <cell r="B942" t="str">
            <v>a=1.0 x t</v>
          </cell>
          <cell r="C942">
            <v>8.8000000000000007</v>
          </cell>
          <cell r="D942"/>
          <cell r="E942"/>
          <cell r="F942">
            <v>3</v>
          </cell>
          <cell r="G942">
            <v>3</v>
          </cell>
          <cell r="H942">
            <v>0.97699999999999998</v>
          </cell>
          <cell r="I942">
            <v>1.4803030303030302E-2</v>
          </cell>
          <cell r="J942">
            <v>66</v>
          </cell>
          <cell r="K942">
            <v>10</v>
          </cell>
          <cell r="L942">
            <v>20</v>
          </cell>
          <cell r="M942">
            <v>30</v>
          </cell>
          <cell r="N942">
            <v>40</v>
          </cell>
          <cell r="O942">
            <v>90</v>
          </cell>
          <cell r="P942">
            <v>120</v>
          </cell>
        </row>
        <row r="943">
          <cell r="A943" t="str">
            <v>HFRHS350x150x10</v>
          </cell>
          <cell r="B943" t="str">
            <v>a=1.0 x t</v>
          </cell>
          <cell r="C943">
            <v>10</v>
          </cell>
          <cell r="D943"/>
          <cell r="E943"/>
          <cell r="F943">
            <v>3</v>
          </cell>
          <cell r="G943">
            <v>6</v>
          </cell>
          <cell r="H943">
            <v>0.97399999999999998</v>
          </cell>
          <cell r="I943">
            <v>1.3073825503355705E-2</v>
          </cell>
          <cell r="J943">
            <v>74.5</v>
          </cell>
          <cell r="K943">
            <v>10</v>
          </cell>
          <cell r="L943">
            <v>20</v>
          </cell>
          <cell r="M943">
            <v>30</v>
          </cell>
          <cell r="N943">
            <v>40</v>
          </cell>
          <cell r="O943">
            <v>90</v>
          </cell>
          <cell r="P943">
            <v>120</v>
          </cell>
        </row>
        <row r="944">
          <cell r="A944" t="str">
            <v>HFRHS350x150x12.5</v>
          </cell>
          <cell r="B944" t="str">
            <v>a=1.0 x t</v>
          </cell>
          <cell r="C944">
            <v>12</v>
          </cell>
          <cell r="D944"/>
          <cell r="E944" t="str">
            <v>Jah</v>
          </cell>
          <cell r="F944">
            <v>3</v>
          </cell>
          <cell r="G944">
            <v>6</v>
          </cell>
          <cell r="H944">
            <v>0.96799999999999997</v>
          </cell>
          <cell r="I944">
            <v>1.0544662309368192E-2</v>
          </cell>
          <cell r="J944">
            <v>91.8</v>
          </cell>
          <cell r="K944">
            <v>10</v>
          </cell>
          <cell r="L944">
            <v>20</v>
          </cell>
          <cell r="M944">
            <v>30</v>
          </cell>
          <cell r="N944">
            <v>40</v>
          </cell>
          <cell r="O944">
            <v>90</v>
          </cell>
          <cell r="P944">
            <v>120</v>
          </cell>
        </row>
        <row r="945">
          <cell r="A945" t="str">
            <v>HFRHS350x150x14.2</v>
          </cell>
          <cell r="B945" t="str">
            <v>a=1.0 x t</v>
          </cell>
          <cell r="C945">
            <v>14.2</v>
          </cell>
          <cell r="D945"/>
          <cell r="E945"/>
          <cell r="F945">
            <v>3</v>
          </cell>
          <cell r="G945">
            <v>10</v>
          </cell>
          <cell r="H945">
            <v>0.96299999999999997</v>
          </cell>
          <cell r="I945">
            <v>9.2953667953667961E-3</v>
          </cell>
          <cell r="J945">
            <v>103.6</v>
          </cell>
          <cell r="K945">
            <v>10</v>
          </cell>
          <cell r="L945">
            <v>20</v>
          </cell>
          <cell r="M945">
            <v>30</v>
          </cell>
          <cell r="N945">
            <v>40</v>
          </cell>
          <cell r="O945">
            <v>90</v>
          </cell>
          <cell r="P945">
            <v>120</v>
          </cell>
        </row>
        <row r="946">
          <cell r="A946" t="str">
            <v>HFRHS350x150x16</v>
          </cell>
          <cell r="B946" t="str">
            <v>a=1.0 x t</v>
          </cell>
          <cell r="C946">
            <v>16</v>
          </cell>
          <cell r="D946"/>
          <cell r="E946" t="str">
            <v>Jah</v>
          </cell>
          <cell r="F946">
            <v>3</v>
          </cell>
          <cell r="G946">
            <v>10</v>
          </cell>
          <cell r="H946">
            <v>0.95899999999999996</v>
          </cell>
          <cell r="I946">
            <v>8.3102253032928935E-3</v>
          </cell>
          <cell r="J946">
            <v>115.4</v>
          </cell>
          <cell r="K946">
            <v>10</v>
          </cell>
          <cell r="L946">
            <v>20</v>
          </cell>
          <cell r="M946">
            <v>30</v>
          </cell>
          <cell r="N946">
            <v>40</v>
          </cell>
          <cell r="O946">
            <v>90</v>
          </cell>
          <cell r="P946">
            <v>120</v>
          </cell>
        </row>
        <row r="947">
          <cell r="A947" t="str">
            <v>HFRHS350x250x6.3</v>
          </cell>
          <cell r="B947" t="str">
            <v>a=1.0 x t</v>
          </cell>
          <cell r="C947">
            <v>6.3</v>
          </cell>
          <cell r="D947"/>
          <cell r="E947"/>
          <cell r="F947">
            <v>3</v>
          </cell>
          <cell r="G947">
            <v>2</v>
          </cell>
          <cell r="H947">
            <v>1.18</v>
          </cell>
          <cell r="I947">
            <v>2.041522491349481E-2</v>
          </cell>
          <cell r="J947">
            <v>57.8</v>
          </cell>
          <cell r="K947">
            <v>10</v>
          </cell>
          <cell r="L947">
            <v>20</v>
          </cell>
          <cell r="M947">
            <v>30</v>
          </cell>
          <cell r="N947">
            <v>40</v>
          </cell>
          <cell r="O947">
            <v>90</v>
          </cell>
          <cell r="P947">
            <v>120</v>
          </cell>
        </row>
        <row r="948">
          <cell r="A948" t="str">
            <v>HFRHS350x250x7.1</v>
          </cell>
          <cell r="B948" t="str">
            <v>a=1.0 x t</v>
          </cell>
          <cell r="C948">
            <v>7.1</v>
          </cell>
          <cell r="D948"/>
          <cell r="E948"/>
          <cell r="F948">
            <v>3</v>
          </cell>
          <cell r="G948">
            <v>3</v>
          </cell>
          <cell r="H948">
            <v>1.18</v>
          </cell>
          <cell r="I948">
            <v>1.8209876543209876E-2</v>
          </cell>
          <cell r="J948">
            <v>64.8</v>
          </cell>
          <cell r="K948">
            <v>10</v>
          </cell>
          <cell r="L948">
            <v>20</v>
          </cell>
          <cell r="M948">
            <v>30</v>
          </cell>
          <cell r="N948">
            <v>40</v>
          </cell>
          <cell r="O948">
            <v>90</v>
          </cell>
          <cell r="P948">
            <v>120</v>
          </cell>
        </row>
        <row r="949">
          <cell r="A949" t="str">
            <v>HFRHS350x250x8</v>
          </cell>
          <cell r="B949" t="str">
            <v>a=1.0 x t</v>
          </cell>
          <cell r="C949">
            <v>8</v>
          </cell>
          <cell r="D949"/>
          <cell r="E949"/>
          <cell r="F949">
            <v>3</v>
          </cell>
          <cell r="G949">
            <v>3</v>
          </cell>
          <cell r="H949">
            <v>1.18</v>
          </cell>
          <cell r="I949">
            <v>1.620879120879121E-2</v>
          </cell>
          <cell r="J949">
            <v>72.8</v>
          </cell>
          <cell r="K949">
            <v>10</v>
          </cell>
          <cell r="L949">
            <v>20</v>
          </cell>
          <cell r="M949">
            <v>30</v>
          </cell>
          <cell r="N949">
            <v>40</v>
          </cell>
          <cell r="O949">
            <v>90</v>
          </cell>
          <cell r="P949">
            <v>120</v>
          </cell>
        </row>
        <row r="950">
          <cell r="A950" t="str">
            <v>HFRHS350x250x8.8</v>
          </cell>
          <cell r="B950" t="str">
            <v>a=1.0 x t</v>
          </cell>
          <cell r="C950">
            <v>8.8000000000000007</v>
          </cell>
          <cell r="D950"/>
          <cell r="E950"/>
          <cell r="F950">
            <v>3</v>
          </cell>
          <cell r="G950">
            <v>3</v>
          </cell>
          <cell r="H950">
            <v>1.18</v>
          </cell>
          <cell r="I950">
            <v>1.4731585518102372E-2</v>
          </cell>
          <cell r="J950">
            <v>80.099999999999994</v>
          </cell>
          <cell r="K950">
            <v>10</v>
          </cell>
          <cell r="L950">
            <v>20</v>
          </cell>
          <cell r="M950">
            <v>30</v>
          </cell>
          <cell r="N950">
            <v>40</v>
          </cell>
          <cell r="O950">
            <v>90</v>
          </cell>
          <cell r="P950">
            <v>120</v>
          </cell>
        </row>
        <row r="951">
          <cell r="A951" t="str">
            <v>HFRHS350x250x10</v>
          </cell>
          <cell r="B951" t="str">
            <v>a=1.0 x t</v>
          </cell>
          <cell r="C951">
            <v>10</v>
          </cell>
          <cell r="D951"/>
          <cell r="E951"/>
          <cell r="F951">
            <v>3</v>
          </cell>
          <cell r="G951">
            <v>6</v>
          </cell>
          <cell r="H951">
            <v>1.17</v>
          </cell>
          <cell r="I951">
            <v>1.2956810631229235E-2</v>
          </cell>
          <cell r="J951">
            <v>90.3</v>
          </cell>
          <cell r="K951">
            <v>10</v>
          </cell>
          <cell r="L951">
            <v>20</v>
          </cell>
          <cell r="M951">
            <v>30</v>
          </cell>
          <cell r="N951">
            <v>40</v>
          </cell>
          <cell r="O951">
            <v>90</v>
          </cell>
          <cell r="P951">
            <v>120</v>
          </cell>
        </row>
        <row r="952">
          <cell r="A952" t="str">
            <v>HFRHS350x250x12.5</v>
          </cell>
          <cell r="B952" t="str">
            <v>a=1.0 x t</v>
          </cell>
          <cell r="C952">
            <v>12.5</v>
          </cell>
          <cell r="D952"/>
          <cell r="E952" t="str">
            <v>Jah</v>
          </cell>
          <cell r="F952">
            <v>3</v>
          </cell>
          <cell r="G952">
            <v>6</v>
          </cell>
          <cell r="H952">
            <v>1.17</v>
          </cell>
          <cell r="I952">
            <v>1.0493273542600896E-2</v>
          </cell>
          <cell r="J952">
            <v>111.5</v>
          </cell>
          <cell r="K952">
            <v>10</v>
          </cell>
          <cell r="L952">
            <v>20</v>
          </cell>
          <cell r="M952">
            <v>30</v>
          </cell>
          <cell r="N952">
            <v>40</v>
          </cell>
          <cell r="O952">
            <v>90</v>
          </cell>
          <cell r="P952">
            <v>120</v>
          </cell>
        </row>
        <row r="953">
          <cell r="A953" t="str">
            <v>HFRHS350x250x14.2</v>
          </cell>
          <cell r="B953" t="str">
            <v>a=1.0 x t</v>
          </cell>
          <cell r="C953">
            <v>14.2</v>
          </cell>
          <cell r="D953"/>
          <cell r="E953"/>
          <cell r="F953">
            <v>3</v>
          </cell>
          <cell r="G953">
            <v>10</v>
          </cell>
          <cell r="H953">
            <v>1.1599999999999999</v>
          </cell>
          <cell r="I953">
            <v>9.2356687898089169E-3</v>
          </cell>
          <cell r="J953">
            <v>125.6</v>
          </cell>
          <cell r="K953">
            <v>10</v>
          </cell>
          <cell r="L953">
            <v>20</v>
          </cell>
          <cell r="M953">
            <v>30</v>
          </cell>
          <cell r="N953">
            <v>40</v>
          </cell>
          <cell r="O953">
            <v>90</v>
          </cell>
          <cell r="P953">
            <v>120</v>
          </cell>
        </row>
        <row r="954">
          <cell r="A954" t="str">
            <v>HFRHS350x250x16</v>
          </cell>
          <cell r="B954" t="str">
            <v>a=1.0 x t</v>
          </cell>
          <cell r="C954">
            <v>16</v>
          </cell>
          <cell r="D954"/>
          <cell r="E954" t="str">
            <v>Jah</v>
          </cell>
          <cell r="F954">
            <v>3</v>
          </cell>
          <cell r="G954">
            <v>10</v>
          </cell>
          <cell r="H954">
            <v>1.1599999999999999</v>
          </cell>
          <cell r="I954">
            <v>8.2562277580071168E-3</v>
          </cell>
          <cell r="J954">
            <v>140.5</v>
          </cell>
          <cell r="K954">
            <v>10</v>
          </cell>
          <cell r="L954">
            <v>20</v>
          </cell>
          <cell r="M954">
            <v>30</v>
          </cell>
          <cell r="N954">
            <v>40</v>
          </cell>
          <cell r="O954">
            <v>90</v>
          </cell>
          <cell r="P954">
            <v>120</v>
          </cell>
        </row>
        <row r="955">
          <cell r="A955" t="str">
            <v>HFRHS400x150x6.3</v>
          </cell>
          <cell r="B955" t="str">
            <v>a=1.0 x t</v>
          </cell>
          <cell r="C955">
            <v>6.3</v>
          </cell>
          <cell r="D955"/>
          <cell r="E955"/>
          <cell r="F955">
            <v>3</v>
          </cell>
          <cell r="G955">
            <v>2</v>
          </cell>
          <cell r="H955">
            <v>1.08</v>
          </cell>
          <cell r="I955">
            <v>2.0454545454545458E-2</v>
          </cell>
          <cell r="J955">
            <v>52.8</v>
          </cell>
          <cell r="K955">
            <v>10</v>
          </cell>
          <cell r="L955">
            <v>20</v>
          </cell>
          <cell r="M955">
            <v>30</v>
          </cell>
          <cell r="N955">
            <v>40</v>
          </cell>
          <cell r="O955">
            <v>90</v>
          </cell>
          <cell r="P955">
            <v>120</v>
          </cell>
        </row>
        <row r="956">
          <cell r="A956" t="str">
            <v>HFRHS400x150x7.1</v>
          </cell>
          <cell r="B956" t="str">
            <v>a=1.0 x t</v>
          </cell>
          <cell r="C956">
            <v>7.1</v>
          </cell>
          <cell r="D956"/>
          <cell r="E956"/>
          <cell r="F956">
            <v>3</v>
          </cell>
          <cell r="G956">
            <v>3</v>
          </cell>
          <cell r="H956">
            <v>1.08</v>
          </cell>
          <cell r="I956">
            <v>1.821247892074199E-2</v>
          </cell>
          <cell r="J956">
            <v>59.3</v>
          </cell>
          <cell r="K956">
            <v>10</v>
          </cell>
          <cell r="L956">
            <v>20</v>
          </cell>
          <cell r="M956">
            <v>30</v>
          </cell>
          <cell r="N956">
            <v>40</v>
          </cell>
          <cell r="O956">
            <v>90</v>
          </cell>
          <cell r="P956">
            <v>120</v>
          </cell>
        </row>
        <row r="957">
          <cell r="A957" t="str">
            <v>HFRHS400x150x8</v>
          </cell>
          <cell r="B957" t="str">
            <v>a=1.0 x t</v>
          </cell>
          <cell r="C957">
            <v>8</v>
          </cell>
          <cell r="D957"/>
          <cell r="E957"/>
          <cell r="F957">
            <v>3</v>
          </cell>
          <cell r="G957">
            <v>3</v>
          </cell>
          <cell r="H957">
            <v>1.08</v>
          </cell>
          <cell r="I957">
            <v>1.6216216216216217E-2</v>
          </cell>
          <cell r="J957">
            <v>66.599999999999994</v>
          </cell>
          <cell r="K957">
            <v>10</v>
          </cell>
          <cell r="L957">
            <v>20</v>
          </cell>
          <cell r="M957">
            <v>30</v>
          </cell>
          <cell r="N957">
            <v>40</v>
          </cell>
          <cell r="O957">
            <v>90</v>
          </cell>
          <cell r="P957">
            <v>120</v>
          </cell>
        </row>
        <row r="958">
          <cell r="A958" t="str">
            <v>HFRHS400x150x8.8</v>
          </cell>
          <cell r="B958" t="str">
            <v>a=1.0 x t</v>
          </cell>
          <cell r="C958">
            <v>8.8000000000000007</v>
          </cell>
          <cell r="D958"/>
          <cell r="E958"/>
          <cell r="F958">
            <v>3</v>
          </cell>
          <cell r="G958">
            <v>3</v>
          </cell>
          <cell r="H958">
            <v>1.08</v>
          </cell>
          <cell r="I958">
            <v>1.4814814814814815E-2</v>
          </cell>
          <cell r="J958">
            <v>72.900000000000006</v>
          </cell>
          <cell r="K958">
            <v>10</v>
          </cell>
          <cell r="L958">
            <v>20</v>
          </cell>
          <cell r="M958">
            <v>30</v>
          </cell>
          <cell r="N958">
            <v>40</v>
          </cell>
          <cell r="O958">
            <v>90</v>
          </cell>
          <cell r="P958">
            <v>120</v>
          </cell>
        </row>
        <row r="959">
          <cell r="A959" t="str">
            <v>HFRHS400x150x10</v>
          </cell>
          <cell r="B959" t="str">
            <v>a=1.0 x t</v>
          </cell>
          <cell r="C959">
            <v>10</v>
          </cell>
          <cell r="D959"/>
          <cell r="E959"/>
          <cell r="F959">
            <v>3</v>
          </cell>
          <cell r="G959">
            <v>6</v>
          </cell>
          <cell r="H959">
            <v>1.07</v>
          </cell>
          <cell r="I959">
            <v>1.2985436893203884E-2</v>
          </cell>
          <cell r="J959">
            <v>82.4</v>
          </cell>
          <cell r="K959">
            <v>10</v>
          </cell>
          <cell r="L959">
            <v>20</v>
          </cell>
          <cell r="M959">
            <v>30</v>
          </cell>
          <cell r="N959">
            <v>40</v>
          </cell>
          <cell r="O959">
            <v>90</v>
          </cell>
          <cell r="P959">
            <v>120</v>
          </cell>
        </row>
        <row r="960">
          <cell r="A960" t="str">
            <v>HFRHS400x150x12.5</v>
          </cell>
          <cell r="B960" t="str">
            <v>a=1.0 x t</v>
          </cell>
          <cell r="C960">
            <v>12.5</v>
          </cell>
          <cell r="D960"/>
          <cell r="E960" t="str">
            <v>Jah</v>
          </cell>
          <cell r="F960">
            <v>3</v>
          </cell>
          <cell r="G960">
            <v>6</v>
          </cell>
          <cell r="H960">
            <v>1.07</v>
          </cell>
          <cell r="I960">
            <v>1.0479921645445643E-2</v>
          </cell>
          <cell r="J960">
            <v>102.1</v>
          </cell>
          <cell r="K960">
            <v>10</v>
          </cell>
          <cell r="L960">
            <v>20</v>
          </cell>
          <cell r="M960">
            <v>30</v>
          </cell>
          <cell r="N960">
            <v>40</v>
          </cell>
          <cell r="O960">
            <v>90</v>
          </cell>
          <cell r="P960">
            <v>120</v>
          </cell>
        </row>
        <row r="961">
          <cell r="A961" t="str">
            <v>HFRHS400x150x14.2</v>
          </cell>
          <cell r="B961" t="str">
            <v>a=1.0 x t</v>
          </cell>
          <cell r="C961">
            <v>14.2</v>
          </cell>
          <cell r="D961"/>
          <cell r="E961"/>
          <cell r="F961">
            <v>3</v>
          </cell>
          <cell r="G961">
            <v>10</v>
          </cell>
          <cell r="H961">
            <v>1.06</v>
          </cell>
          <cell r="I961">
            <v>9.2495636998254811E-3</v>
          </cell>
          <cell r="J961">
            <v>114.6</v>
          </cell>
          <cell r="K961">
            <v>10</v>
          </cell>
          <cell r="L961">
            <v>20</v>
          </cell>
          <cell r="M961">
            <v>30</v>
          </cell>
          <cell r="N961">
            <v>40</v>
          </cell>
          <cell r="O961">
            <v>90</v>
          </cell>
          <cell r="P961">
            <v>120</v>
          </cell>
        </row>
        <row r="962">
          <cell r="A962" t="str">
            <v>HFRHS400x150x16</v>
          </cell>
          <cell r="B962" t="str">
            <v>a=1.0 x t</v>
          </cell>
          <cell r="C962">
            <v>16</v>
          </cell>
          <cell r="D962"/>
          <cell r="E962" t="str">
            <v>Jah</v>
          </cell>
          <cell r="F962">
            <v>3</v>
          </cell>
          <cell r="G962">
            <v>10</v>
          </cell>
          <cell r="H962">
            <v>1.06</v>
          </cell>
          <cell r="I962">
            <v>8.2812500000000004E-3</v>
          </cell>
          <cell r="J962">
            <v>128</v>
          </cell>
          <cell r="K962">
            <v>10</v>
          </cell>
          <cell r="L962">
            <v>20</v>
          </cell>
          <cell r="M962">
            <v>30</v>
          </cell>
          <cell r="N962">
            <v>40</v>
          </cell>
          <cell r="O962">
            <v>90</v>
          </cell>
          <cell r="P962">
            <v>120</v>
          </cell>
        </row>
        <row r="963">
          <cell r="A963" t="str">
            <v>HFRHS400x200x6.3</v>
          </cell>
          <cell r="B963" t="str">
            <v>a=1.0 x t</v>
          </cell>
          <cell r="C963">
            <v>6.3</v>
          </cell>
          <cell r="D963"/>
          <cell r="E963"/>
          <cell r="F963">
            <v>3</v>
          </cell>
          <cell r="G963">
            <v>2</v>
          </cell>
          <cell r="H963">
            <v>1.18</v>
          </cell>
          <cell r="I963">
            <v>2.041522491349481E-2</v>
          </cell>
          <cell r="J963">
            <v>57.8</v>
          </cell>
          <cell r="K963">
            <v>10</v>
          </cell>
          <cell r="L963">
            <v>20</v>
          </cell>
          <cell r="M963">
            <v>30</v>
          </cell>
          <cell r="N963">
            <v>40</v>
          </cell>
          <cell r="O963">
            <v>90</v>
          </cell>
          <cell r="P963">
            <v>120</v>
          </cell>
        </row>
        <row r="964">
          <cell r="A964" t="str">
            <v>HFRHS400x200x7.1</v>
          </cell>
          <cell r="B964" t="str">
            <v>a=1.0 x t</v>
          </cell>
          <cell r="C964">
            <v>7.1</v>
          </cell>
          <cell r="D964"/>
          <cell r="E964"/>
          <cell r="F964">
            <v>3</v>
          </cell>
          <cell r="G964">
            <v>3</v>
          </cell>
          <cell r="H964">
            <v>1.18</v>
          </cell>
          <cell r="I964">
            <v>1.8209876543209876E-2</v>
          </cell>
          <cell r="J964">
            <v>64.8</v>
          </cell>
          <cell r="K964">
            <v>10</v>
          </cell>
          <cell r="L964">
            <v>20</v>
          </cell>
          <cell r="M964">
            <v>30</v>
          </cell>
          <cell r="N964">
            <v>40</v>
          </cell>
          <cell r="O964">
            <v>90</v>
          </cell>
          <cell r="P964">
            <v>120</v>
          </cell>
        </row>
        <row r="965">
          <cell r="A965" t="str">
            <v>HFRHS400x200x8</v>
          </cell>
          <cell r="B965" t="str">
            <v>a=1.0 x t</v>
          </cell>
          <cell r="C965">
            <v>8</v>
          </cell>
          <cell r="D965"/>
          <cell r="E965"/>
          <cell r="F965">
            <v>3</v>
          </cell>
          <cell r="G965">
            <v>3</v>
          </cell>
          <cell r="H965">
            <v>1.18</v>
          </cell>
          <cell r="I965">
            <v>1.620879120879121E-2</v>
          </cell>
          <cell r="J965">
            <v>72.8</v>
          </cell>
          <cell r="K965">
            <v>10</v>
          </cell>
          <cell r="L965">
            <v>20</v>
          </cell>
          <cell r="M965">
            <v>30</v>
          </cell>
          <cell r="N965">
            <v>40</v>
          </cell>
          <cell r="O965">
            <v>90</v>
          </cell>
          <cell r="P965">
            <v>120</v>
          </cell>
        </row>
        <row r="966">
          <cell r="A966" t="str">
            <v>HFRHS400x200x8.8</v>
          </cell>
          <cell r="B966" t="str">
            <v>a=1.0 x t</v>
          </cell>
          <cell r="C966">
            <v>8.8000000000000007</v>
          </cell>
          <cell r="D966"/>
          <cell r="E966"/>
          <cell r="F966">
            <v>3</v>
          </cell>
          <cell r="G966">
            <v>3</v>
          </cell>
          <cell r="H966">
            <v>1.18</v>
          </cell>
          <cell r="I966">
            <v>1.4731585518102372E-2</v>
          </cell>
          <cell r="J966">
            <v>80.099999999999994</v>
          </cell>
          <cell r="K966">
            <v>10</v>
          </cell>
          <cell r="L966">
            <v>20</v>
          </cell>
          <cell r="M966">
            <v>30</v>
          </cell>
          <cell r="N966">
            <v>40</v>
          </cell>
          <cell r="O966">
            <v>90</v>
          </cell>
          <cell r="P966">
            <v>120</v>
          </cell>
        </row>
        <row r="967">
          <cell r="A967" t="str">
            <v>HFRHS400x200x10</v>
          </cell>
          <cell r="B967" t="str">
            <v>a=1.0 x t</v>
          </cell>
          <cell r="C967">
            <v>10</v>
          </cell>
          <cell r="D967"/>
          <cell r="E967"/>
          <cell r="F967">
            <v>3</v>
          </cell>
          <cell r="G967">
            <v>6</v>
          </cell>
          <cell r="H967">
            <v>1.17</v>
          </cell>
          <cell r="I967">
            <v>1.2956810631229235E-2</v>
          </cell>
          <cell r="J967">
            <v>90.3</v>
          </cell>
          <cell r="K967">
            <v>10</v>
          </cell>
          <cell r="L967">
            <v>20</v>
          </cell>
          <cell r="M967">
            <v>30</v>
          </cell>
          <cell r="N967">
            <v>40</v>
          </cell>
          <cell r="O967">
            <v>90</v>
          </cell>
          <cell r="P967">
            <v>120</v>
          </cell>
        </row>
        <row r="968">
          <cell r="A968" t="str">
            <v>HFRHS400x200x12.5</v>
          </cell>
          <cell r="B968" t="str">
            <v>a=1.0 x t</v>
          </cell>
          <cell r="C968">
            <v>12.5</v>
          </cell>
          <cell r="D968"/>
          <cell r="E968" t="str">
            <v>Jah</v>
          </cell>
          <cell r="F968">
            <v>3</v>
          </cell>
          <cell r="G968">
            <v>6</v>
          </cell>
          <cell r="H968">
            <v>1.17</v>
          </cell>
          <cell r="I968">
            <v>1.0493273542600896E-2</v>
          </cell>
          <cell r="J968">
            <v>111.5</v>
          </cell>
          <cell r="K968">
            <v>10</v>
          </cell>
          <cell r="L968">
            <v>20</v>
          </cell>
          <cell r="M968">
            <v>30</v>
          </cell>
          <cell r="N968">
            <v>40</v>
          </cell>
          <cell r="O968">
            <v>90</v>
          </cell>
          <cell r="P968">
            <v>120</v>
          </cell>
        </row>
        <row r="969">
          <cell r="A969" t="str">
            <v>HFRHS400x200x14.2</v>
          </cell>
          <cell r="B969" t="str">
            <v>a=1.0 x t</v>
          </cell>
          <cell r="C969">
            <v>14.2</v>
          </cell>
          <cell r="D969"/>
          <cell r="E969"/>
          <cell r="F969">
            <v>3</v>
          </cell>
          <cell r="G969">
            <v>10</v>
          </cell>
          <cell r="H969">
            <v>1.1599999999999999</v>
          </cell>
          <cell r="I969">
            <v>9.2356687898089169E-3</v>
          </cell>
          <cell r="J969">
            <v>125.6</v>
          </cell>
          <cell r="K969">
            <v>10</v>
          </cell>
          <cell r="L969">
            <v>20</v>
          </cell>
          <cell r="M969">
            <v>30</v>
          </cell>
          <cell r="N969">
            <v>40</v>
          </cell>
          <cell r="O969">
            <v>90</v>
          </cell>
          <cell r="P969">
            <v>120</v>
          </cell>
        </row>
        <row r="970">
          <cell r="A970" t="str">
            <v>HFRHS400x200x16</v>
          </cell>
          <cell r="B970" t="str">
            <v>a=1.0 x t</v>
          </cell>
          <cell r="C970">
            <v>16</v>
          </cell>
          <cell r="D970"/>
          <cell r="E970" t="str">
            <v>Jah</v>
          </cell>
          <cell r="F970">
            <v>3</v>
          </cell>
          <cell r="G970">
            <v>10</v>
          </cell>
          <cell r="H970">
            <v>1.1599999999999999</v>
          </cell>
          <cell r="I970">
            <v>8.2562277580071168E-3</v>
          </cell>
          <cell r="J970">
            <v>140.5</v>
          </cell>
          <cell r="K970">
            <v>10</v>
          </cell>
          <cell r="L970">
            <v>20</v>
          </cell>
          <cell r="M970">
            <v>30</v>
          </cell>
          <cell r="N970">
            <v>40</v>
          </cell>
          <cell r="O970">
            <v>90</v>
          </cell>
          <cell r="P970">
            <v>120</v>
          </cell>
        </row>
        <row r="971">
          <cell r="A971" t="str">
            <v>HFRHS400x300x8</v>
          </cell>
          <cell r="B971" t="str">
            <v>a=1.0 x t</v>
          </cell>
          <cell r="C971">
            <v>8</v>
          </cell>
          <cell r="D971"/>
          <cell r="E971"/>
          <cell r="F971">
            <v>3</v>
          </cell>
          <cell r="G971">
            <v>3</v>
          </cell>
          <cell r="H971">
            <v>1.38</v>
          </cell>
          <cell r="I971">
            <v>1.6121495327102803E-2</v>
          </cell>
          <cell r="J971">
            <v>85.6</v>
          </cell>
          <cell r="K971">
            <v>10</v>
          </cell>
          <cell r="L971">
            <v>20</v>
          </cell>
          <cell r="M971">
            <v>30</v>
          </cell>
          <cell r="N971">
            <v>40</v>
          </cell>
          <cell r="O971">
            <v>90</v>
          </cell>
          <cell r="P971">
            <v>120</v>
          </cell>
        </row>
        <row r="972">
          <cell r="A972" t="str">
            <v>HFRHS400x300x8.8</v>
          </cell>
          <cell r="B972" t="str">
            <v>a=1.0 x t</v>
          </cell>
          <cell r="C972">
            <v>8.8000000000000007</v>
          </cell>
          <cell r="D972"/>
          <cell r="E972"/>
          <cell r="F972">
            <v>3</v>
          </cell>
          <cell r="G972">
            <v>3</v>
          </cell>
          <cell r="H972">
            <v>1.38</v>
          </cell>
          <cell r="I972">
            <v>1.4775160599571733E-2</v>
          </cell>
          <cell r="J972">
            <v>93.4</v>
          </cell>
          <cell r="K972">
            <v>10</v>
          </cell>
          <cell r="L972">
            <v>20</v>
          </cell>
          <cell r="M972">
            <v>30</v>
          </cell>
          <cell r="N972">
            <v>40</v>
          </cell>
          <cell r="O972">
            <v>90</v>
          </cell>
          <cell r="P972">
            <v>120</v>
          </cell>
        </row>
        <row r="973">
          <cell r="A973" t="str">
            <v>HFRHS400x300x10</v>
          </cell>
          <cell r="B973" t="str">
            <v>a=1.0 x t</v>
          </cell>
          <cell r="C973">
            <v>10</v>
          </cell>
          <cell r="D973"/>
          <cell r="E973"/>
          <cell r="F973">
            <v>3</v>
          </cell>
          <cell r="G973">
            <v>6</v>
          </cell>
          <cell r="H973">
            <v>1.37</v>
          </cell>
          <cell r="I973">
            <v>1.2924528301886793E-2</v>
          </cell>
          <cell r="J973">
            <v>106</v>
          </cell>
          <cell r="K973">
            <v>10</v>
          </cell>
          <cell r="L973">
            <v>20</v>
          </cell>
          <cell r="M973">
            <v>30</v>
          </cell>
          <cell r="N973">
            <v>40</v>
          </cell>
          <cell r="O973">
            <v>90</v>
          </cell>
          <cell r="P973">
            <v>120</v>
          </cell>
        </row>
        <row r="974">
          <cell r="A974" t="str">
            <v>HFRHS400x300x12.5</v>
          </cell>
          <cell r="B974" t="str">
            <v>a=1.0 x t</v>
          </cell>
          <cell r="C974">
            <v>12.5</v>
          </cell>
          <cell r="D974"/>
          <cell r="E974" t="str">
            <v>Jah</v>
          </cell>
          <cell r="F974">
            <v>3</v>
          </cell>
          <cell r="G974">
            <v>6</v>
          </cell>
          <cell r="H974">
            <v>1.37</v>
          </cell>
          <cell r="I974">
            <v>1.0450038138825326E-2</v>
          </cell>
          <cell r="J974">
            <v>131.1</v>
          </cell>
          <cell r="K974">
            <v>10</v>
          </cell>
          <cell r="L974">
            <v>20</v>
          </cell>
          <cell r="M974">
            <v>30</v>
          </cell>
          <cell r="N974">
            <v>40</v>
          </cell>
          <cell r="O974">
            <v>90</v>
          </cell>
          <cell r="P974">
            <v>120</v>
          </cell>
        </row>
        <row r="975">
          <cell r="A975" t="str">
            <v>HFRHS400x300x14.2</v>
          </cell>
          <cell r="B975" t="str">
            <v>a=1.0 x t</v>
          </cell>
          <cell r="C975">
            <v>14.2</v>
          </cell>
          <cell r="D975"/>
          <cell r="E975"/>
          <cell r="F975">
            <v>3</v>
          </cell>
          <cell r="G975">
            <v>10</v>
          </cell>
          <cell r="H975">
            <v>1.36</v>
          </cell>
          <cell r="I975">
            <v>9.1644204851752016E-3</v>
          </cell>
          <cell r="J975">
            <v>148.4</v>
          </cell>
          <cell r="K975">
            <v>10</v>
          </cell>
          <cell r="L975">
            <v>20</v>
          </cell>
          <cell r="M975">
            <v>30</v>
          </cell>
          <cell r="N975">
            <v>40</v>
          </cell>
          <cell r="O975">
            <v>90</v>
          </cell>
          <cell r="P975">
            <v>120</v>
          </cell>
        </row>
        <row r="976">
          <cell r="A976" t="str">
            <v>HFRHS400x300x16</v>
          </cell>
          <cell r="B976" t="str">
            <v>a=1.0 x t</v>
          </cell>
          <cell r="C976">
            <v>16</v>
          </cell>
          <cell r="D976"/>
          <cell r="E976" t="str">
            <v>Jah</v>
          </cell>
          <cell r="F976">
            <v>3</v>
          </cell>
          <cell r="G976">
            <v>10</v>
          </cell>
          <cell r="H976">
            <v>1.36</v>
          </cell>
          <cell r="I976">
            <v>8.2125603864734303E-3</v>
          </cell>
          <cell r="J976">
            <v>165.6</v>
          </cell>
          <cell r="K976">
            <v>10</v>
          </cell>
          <cell r="L976">
            <v>20</v>
          </cell>
          <cell r="M976">
            <v>30</v>
          </cell>
          <cell r="N976">
            <v>40</v>
          </cell>
          <cell r="O976">
            <v>90</v>
          </cell>
          <cell r="P976">
            <v>120</v>
          </cell>
        </row>
        <row r="977">
          <cell r="A977" t="str">
            <v>HFRHS450x250x8</v>
          </cell>
          <cell r="B977" t="str">
            <v>a=1.0 x t</v>
          </cell>
          <cell r="C977">
            <v>8</v>
          </cell>
          <cell r="D977"/>
          <cell r="E977"/>
          <cell r="F977">
            <v>3</v>
          </cell>
          <cell r="G977">
            <v>3</v>
          </cell>
          <cell r="H977">
            <v>1.38</v>
          </cell>
          <cell r="I977">
            <v>1.6121495327102803E-2</v>
          </cell>
          <cell r="J977">
            <v>85.6</v>
          </cell>
          <cell r="K977">
            <v>10</v>
          </cell>
          <cell r="L977">
            <v>20</v>
          </cell>
          <cell r="M977">
            <v>30</v>
          </cell>
          <cell r="N977">
            <v>40</v>
          </cell>
          <cell r="O977">
            <v>90</v>
          </cell>
          <cell r="P977">
            <v>120</v>
          </cell>
        </row>
        <row r="978">
          <cell r="A978" t="str">
            <v>HFRHS450x250x8.8</v>
          </cell>
          <cell r="B978" t="str">
            <v>a=1.0 x t</v>
          </cell>
          <cell r="C978">
            <v>8.8000000000000007</v>
          </cell>
          <cell r="D978"/>
          <cell r="E978"/>
          <cell r="F978">
            <v>3</v>
          </cell>
          <cell r="G978">
            <v>3</v>
          </cell>
          <cell r="H978">
            <v>1.38</v>
          </cell>
          <cell r="I978">
            <v>1.4775160599571733E-2</v>
          </cell>
          <cell r="J978">
            <v>93.4</v>
          </cell>
          <cell r="K978">
            <v>10</v>
          </cell>
          <cell r="L978">
            <v>20</v>
          </cell>
          <cell r="M978">
            <v>30</v>
          </cell>
          <cell r="N978">
            <v>40</v>
          </cell>
          <cell r="O978">
            <v>90</v>
          </cell>
          <cell r="P978">
            <v>120</v>
          </cell>
        </row>
        <row r="979">
          <cell r="A979" t="str">
            <v>HFRHS450x250x10</v>
          </cell>
          <cell r="B979" t="str">
            <v>a=1.0 x t</v>
          </cell>
          <cell r="C979">
            <v>10</v>
          </cell>
          <cell r="D979"/>
          <cell r="E979"/>
          <cell r="F979">
            <v>3</v>
          </cell>
          <cell r="G979">
            <v>6</v>
          </cell>
          <cell r="H979">
            <v>1.37</v>
          </cell>
          <cell r="I979">
            <v>1.2924528301886793E-2</v>
          </cell>
          <cell r="J979">
            <v>106</v>
          </cell>
          <cell r="K979">
            <v>10</v>
          </cell>
          <cell r="L979">
            <v>20</v>
          </cell>
          <cell r="M979">
            <v>30</v>
          </cell>
          <cell r="N979">
            <v>40</v>
          </cell>
          <cell r="O979">
            <v>90</v>
          </cell>
          <cell r="P979">
            <v>120</v>
          </cell>
        </row>
        <row r="980">
          <cell r="A980" t="str">
            <v>HFRHS450x250x12.5</v>
          </cell>
          <cell r="B980" t="str">
            <v>a=1.0 x t</v>
          </cell>
          <cell r="C980">
            <v>12.5</v>
          </cell>
          <cell r="D980"/>
          <cell r="E980" t="str">
            <v>Jah</v>
          </cell>
          <cell r="F980">
            <v>3</v>
          </cell>
          <cell r="G980">
            <v>6</v>
          </cell>
          <cell r="H980">
            <v>1.37</v>
          </cell>
          <cell r="I980">
            <v>1.0450038138825326E-2</v>
          </cell>
          <cell r="J980">
            <v>131.1</v>
          </cell>
          <cell r="K980">
            <v>10</v>
          </cell>
          <cell r="L980">
            <v>20</v>
          </cell>
          <cell r="M980">
            <v>30</v>
          </cell>
          <cell r="N980">
            <v>40</v>
          </cell>
          <cell r="O980">
            <v>90</v>
          </cell>
          <cell r="P980">
            <v>120</v>
          </cell>
        </row>
        <row r="981">
          <cell r="A981" t="str">
            <v>HFRHS450x250x14.2</v>
          </cell>
          <cell r="B981" t="str">
            <v>a=1.0 x t</v>
          </cell>
          <cell r="C981">
            <v>14.2</v>
          </cell>
          <cell r="D981"/>
          <cell r="E981"/>
          <cell r="F981">
            <v>3</v>
          </cell>
          <cell r="G981">
            <v>10</v>
          </cell>
          <cell r="H981">
            <v>1.36</v>
          </cell>
          <cell r="I981">
            <v>9.1644204851752016E-3</v>
          </cell>
          <cell r="J981">
            <v>148.4</v>
          </cell>
          <cell r="K981">
            <v>10</v>
          </cell>
          <cell r="L981">
            <v>20</v>
          </cell>
          <cell r="M981">
            <v>30</v>
          </cell>
          <cell r="N981">
            <v>40</v>
          </cell>
          <cell r="O981">
            <v>90</v>
          </cell>
          <cell r="P981">
            <v>120</v>
          </cell>
        </row>
        <row r="982">
          <cell r="A982" t="str">
            <v>HFRHS450x250x16</v>
          </cell>
          <cell r="B982" t="str">
            <v>a=1.0 x t</v>
          </cell>
          <cell r="C982">
            <v>16</v>
          </cell>
          <cell r="D982"/>
          <cell r="E982" t="str">
            <v>Jah</v>
          </cell>
          <cell r="F982">
            <v>3</v>
          </cell>
          <cell r="G982">
            <v>10</v>
          </cell>
          <cell r="H982">
            <v>1.36</v>
          </cell>
          <cell r="I982">
            <v>8.2125603864734303E-3</v>
          </cell>
          <cell r="J982">
            <v>165.6</v>
          </cell>
          <cell r="K982">
            <v>10</v>
          </cell>
          <cell r="L982">
            <v>20</v>
          </cell>
          <cell r="M982">
            <v>30</v>
          </cell>
          <cell r="N982">
            <v>40</v>
          </cell>
          <cell r="O982">
            <v>90</v>
          </cell>
          <cell r="P982">
            <v>120</v>
          </cell>
        </row>
        <row r="983">
          <cell r="A983" t="str">
            <v>HFRHS500x200x8</v>
          </cell>
          <cell r="B983" t="str">
            <v>a=1.0 x t</v>
          </cell>
          <cell r="C983">
            <v>8</v>
          </cell>
          <cell r="D983"/>
          <cell r="E983"/>
          <cell r="F983">
            <v>3</v>
          </cell>
          <cell r="G983">
            <v>3</v>
          </cell>
          <cell r="H983">
            <v>1.38</v>
          </cell>
          <cell r="I983">
            <v>1.6121495327102803E-2</v>
          </cell>
          <cell r="J983">
            <v>85.6</v>
          </cell>
          <cell r="K983">
            <v>10</v>
          </cell>
          <cell r="L983">
            <v>20</v>
          </cell>
          <cell r="M983">
            <v>30</v>
          </cell>
          <cell r="N983">
            <v>40</v>
          </cell>
          <cell r="O983">
            <v>90</v>
          </cell>
          <cell r="P983">
            <v>120</v>
          </cell>
        </row>
        <row r="984">
          <cell r="A984" t="str">
            <v>HFRHS500x200x8.8</v>
          </cell>
          <cell r="B984" t="str">
            <v>a=1.0 x t</v>
          </cell>
          <cell r="C984">
            <v>8.8000000000000007</v>
          </cell>
          <cell r="D984"/>
          <cell r="E984"/>
          <cell r="F984">
            <v>3</v>
          </cell>
          <cell r="G984">
            <v>3</v>
          </cell>
          <cell r="H984">
            <v>1.38</v>
          </cell>
          <cell r="I984">
            <v>1.4775160599571733E-2</v>
          </cell>
          <cell r="J984">
            <v>93.4</v>
          </cell>
          <cell r="K984">
            <v>10</v>
          </cell>
          <cell r="L984">
            <v>20</v>
          </cell>
          <cell r="M984">
            <v>30</v>
          </cell>
          <cell r="N984">
            <v>40</v>
          </cell>
          <cell r="O984">
            <v>90</v>
          </cell>
          <cell r="P984">
            <v>120</v>
          </cell>
        </row>
        <row r="985">
          <cell r="A985" t="str">
            <v>HFRHS500x200x10</v>
          </cell>
          <cell r="B985" t="str">
            <v>a=1.0 x t</v>
          </cell>
          <cell r="C985">
            <v>10</v>
          </cell>
          <cell r="D985"/>
          <cell r="E985"/>
          <cell r="F985">
            <v>3</v>
          </cell>
          <cell r="G985">
            <v>6</v>
          </cell>
          <cell r="H985">
            <v>1.37</v>
          </cell>
          <cell r="I985">
            <v>1.2924528301886793E-2</v>
          </cell>
          <cell r="J985">
            <v>106</v>
          </cell>
          <cell r="K985">
            <v>10</v>
          </cell>
          <cell r="L985">
            <v>20</v>
          </cell>
          <cell r="M985">
            <v>30</v>
          </cell>
          <cell r="N985">
            <v>40</v>
          </cell>
          <cell r="O985">
            <v>90</v>
          </cell>
          <cell r="P985">
            <v>120</v>
          </cell>
        </row>
        <row r="986">
          <cell r="A986" t="str">
            <v>HFRHS500x200x12.5</v>
          </cell>
          <cell r="B986" t="str">
            <v>a=1.0 x t</v>
          </cell>
          <cell r="C986">
            <v>12.5</v>
          </cell>
          <cell r="D986"/>
          <cell r="E986" t="str">
            <v>Jah</v>
          </cell>
          <cell r="F986">
            <v>3</v>
          </cell>
          <cell r="G986">
            <v>6</v>
          </cell>
          <cell r="H986">
            <v>1.37</v>
          </cell>
          <cell r="I986">
            <v>1.0450038138825326E-2</v>
          </cell>
          <cell r="J986">
            <v>131.1</v>
          </cell>
          <cell r="K986">
            <v>10</v>
          </cell>
          <cell r="L986">
            <v>20</v>
          </cell>
          <cell r="M986">
            <v>30</v>
          </cell>
          <cell r="N986">
            <v>40</v>
          </cell>
          <cell r="O986">
            <v>90</v>
          </cell>
          <cell r="P986">
            <v>120</v>
          </cell>
        </row>
        <row r="987">
          <cell r="A987" t="str">
            <v>HFRHS500x200x14.2</v>
          </cell>
          <cell r="B987" t="str">
            <v>a=1.0 x t</v>
          </cell>
          <cell r="C987">
            <v>14.2</v>
          </cell>
          <cell r="D987"/>
          <cell r="E987"/>
          <cell r="F987">
            <v>3</v>
          </cell>
          <cell r="G987">
            <v>10</v>
          </cell>
          <cell r="H987">
            <v>1.36</v>
          </cell>
          <cell r="I987">
            <v>9.1644204851752016E-3</v>
          </cell>
          <cell r="J987">
            <v>148.4</v>
          </cell>
          <cell r="K987">
            <v>10</v>
          </cell>
          <cell r="L987">
            <v>20</v>
          </cell>
          <cell r="M987">
            <v>30</v>
          </cell>
          <cell r="N987">
            <v>40</v>
          </cell>
          <cell r="O987">
            <v>90</v>
          </cell>
          <cell r="P987">
            <v>120</v>
          </cell>
        </row>
        <row r="988">
          <cell r="A988" t="str">
            <v>HFRHS500x200x16</v>
          </cell>
          <cell r="B988" t="str">
            <v>a=1.0 x t</v>
          </cell>
          <cell r="C988">
            <v>16</v>
          </cell>
          <cell r="D988"/>
          <cell r="E988" t="str">
            <v>Jah</v>
          </cell>
          <cell r="F988">
            <v>3</v>
          </cell>
          <cell r="G988">
            <v>10</v>
          </cell>
          <cell r="H988">
            <v>1.36</v>
          </cell>
          <cell r="I988">
            <v>8.2125603864734303E-3</v>
          </cell>
          <cell r="J988">
            <v>165.6</v>
          </cell>
          <cell r="K988">
            <v>10</v>
          </cell>
          <cell r="L988">
            <v>20</v>
          </cell>
          <cell r="M988">
            <v>30</v>
          </cell>
          <cell r="N988">
            <v>40</v>
          </cell>
          <cell r="O988">
            <v>90</v>
          </cell>
          <cell r="P988">
            <v>120</v>
          </cell>
        </row>
        <row r="989">
          <cell r="A989" t="str">
            <v>HFRHS500x300x8</v>
          </cell>
          <cell r="B989" t="str">
            <v>a=1.0 x t</v>
          </cell>
          <cell r="C989">
            <v>8</v>
          </cell>
          <cell r="D989"/>
          <cell r="E989"/>
          <cell r="F989">
            <v>3</v>
          </cell>
          <cell r="G989">
            <v>3</v>
          </cell>
          <cell r="H989">
            <v>1.58</v>
          </cell>
          <cell r="I989">
            <v>1.6106014271151887E-2</v>
          </cell>
          <cell r="J989">
            <v>98.1</v>
          </cell>
          <cell r="K989">
            <v>10</v>
          </cell>
          <cell r="L989">
            <v>20</v>
          </cell>
          <cell r="M989">
            <v>30</v>
          </cell>
          <cell r="N989">
            <v>40</v>
          </cell>
          <cell r="O989">
            <v>90</v>
          </cell>
          <cell r="P989">
            <v>120</v>
          </cell>
        </row>
        <row r="990">
          <cell r="A990" t="str">
            <v>HFRHS500x300x8.8</v>
          </cell>
          <cell r="B990" t="str">
            <v>a=1.0 x t</v>
          </cell>
          <cell r="C990">
            <v>8.8000000000000007</v>
          </cell>
          <cell r="D990"/>
          <cell r="E990"/>
          <cell r="F990">
            <v>3</v>
          </cell>
          <cell r="G990">
            <v>3</v>
          </cell>
          <cell r="H990">
            <v>1.58</v>
          </cell>
          <cell r="I990">
            <v>1.4697674418604652E-2</v>
          </cell>
          <cell r="J990">
            <v>107.5</v>
          </cell>
          <cell r="K990">
            <v>10</v>
          </cell>
          <cell r="L990">
            <v>20</v>
          </cell>
          <cell r="M990">
            <v>30</v>
          </cell>
          <cell r="N990">
            <v>40</v>
          </cell>
          <cell r="O990">
            <v>90</v>
          </cell>
          <cell r="P990">
            <v>120</v>
          </cell>
        </row>
        <row r="991">
          <cell r="A991" t="str">
            <v>HFRHS500x300x10</v>
          </cell>
          <cell r="B991" t="str">
            <v>a=1.0 x t</v>
          </cell>
          <cell r="C991">
            <v>10</v>
          </cell>
          <cell r="D991"/>
          <cell r="E991"/>
          <cell r="F991">
            <v>3</v>
          </cell>
          <cell r="G991">
            <v>6</v>
          </cell>
          <cell r="H991">
            <v>1.57</v>
          </cell>
          <cell r="I991">
            <v>1.2900575184880855E-2</v>
          </cell>
          <cell r="J991">
            <v>121.7</v>
          </cell>
          <cell r="K991">
            <v>10</v>
          </cell>
          <cell r="L991">
            <v>20</v>
          </cell>
          <cell r="M991">
            <v>30</v>
          </cell>
          <cell r="N991">
            <v>40</v>
          </cell>
          <cell r="O991">
            <v>90</v>
          </cell>
          <cell r="P991">
            <v>120</v>
          </cell>
        </row>
        <row r="992">
          <cell r="A992" t="str">
            <v>HFRHS500x300x12.5</v>
          </cell>
          <cell r="B992" t="str">
            <v>a=1.0 x t</v>
          </cell>
          <cell r="C992">
            <v>12</v>
          </cell>
          <cell r="D992"/>
          <cell r="E992" t="str">
            <v>Jah</v>
          </cell>
          <cell r="F992">
            <v>3</v>
          </cell>
          <cell r="G992">
            <v>6</v>
          </cell>
          <cell r="H992">
            <v>1.57</v>
          </cell>
          <cell r="I992">
            <v>1.0418049104180493E-2</v>
          </cell>
          <cell r="J992">
            <v>150.69999999999999</v>
          </cell>
          <cell r="K992">
            <v>10</v>
          </cell>
          <cell r="L992">
            <v>20</v>
          </cell>
          <cell r="M992">
            <v>30</v>
          </cell>
          <cell r="N992">
            <v>40</v>
          </cell>
          <cell r="O992">
            <v>90</v>
          </cell>
          <cell r="P992">
            <v>120</v>
          </cell>
        </row>
        <row r="993">
          <cell r="A993" t="str">
            <v>HFRHS500x300x14.2</v>
          </cell>
          <cell r="B993" t="str">
            <v>a=1.0 x t</v>
          </cell>
          <cell r="C993">
            <v>14.2</v>
          </cell>
          <cell r="D993"/>
          <cell r="E993"/>
          <cell r="F993">
            <v>3</v>
          </cell>
          <cell r="G993">
            <v>10</v>
          </cell>
          <cell r="H993">
            <v>1.56</v>
          </cell>
          <cell r="I993">
            <v>9.1603053435114507E-3</v>
          </cell>
          <cell r="J993">
            <v>170.3</v>
          </cell>
          <cell r="K993">
            <v>10</v>
          </cell>
          <cell r="L993">
            <v>20</v>
          </cell>
          <cell r="M993">
            <v>30</v>
          </cell>
          <cell r="N993">
            <v>40</v>
          </cell>
          <cell r="O993">
            <v>90</v>
          </cell>
          <cell r="P993">
            <v>120</v>
          </cell>
        </row>
        <row r="994">
          <cell r="A994" t="str">
            <v>HFRHS500x300x16</v>
          </cell>
          <cell r="B994" t="str">
            <v>a=1.0 x t</v>
          </cell>
          <cell r="C994">
            <v>16</v>
          </cell>
          <cell r="D994"/>
          <cell r="E994" t="str">
            <v>Jah</v>
          </cell>
          <cell r="F994">
            <v>3</v>
          </cell>
          <cell r="G994">
            <v>10</v>
          </cell>
          <cell r="H994">
            <v>1.56</v>
          </cell>
          <cell r="I994">
            <v>8.1761006289308175E-3</v>
          </cell>
          <cell r="J994">
            <v>190.8</v>
          </cell>
          <cell r="K994">
            <v>10</v>
          </cell>
          <cell r="L994">
            <v>20</v>
          </cell>
          <cell r="M994">
            <v>30</v>
          </cell>
          <cell r="N994">
            <v>40</v>
          </cell>
          <cell r="O994">
            <v>90</v>
          </cell>
          <cell r="P994">
            <v>120</v>
          </cell>
        </row>
        <row r="995">
          <cell r="A995" t="str">
            <v>HFRHS500x300x20</v>
          </cell>
          <cell r="B995" t="str">
            <v>a=1.0 x t</v>
          </cell>
          <cell r="C995">
            <v>20</v>
          </cell>
          <cell r="D995"/>
          <cell r="E995"/>
          <cell r="F995">
            <v>3</v>
          </cell>
          <cell r="G995">
            <v>15</v>
          </cell>
          <cell r="H995">
            <v>1.55</v>
          </cell>
          <cell r="I995">
            <v>6.5817409766454355E-3</v>
          </cell>
          <cell r="J995">
            <v>235.5</v>
          </cell>
          <cell r="K995">
            <v>10</v>
          </cell>
          <cell r="L995">
            <v>20</v>
          </cell>
          <cell r="M995">
            <v>30</v>
          </cell>
          <cell r="N995">
            <v>40</v>
          </cell>
          <cell r="O995">
            <v>90</v>
          </cell>
          <cell r="P995">
            <v>120</v>
          </cell>
        </row>
        <row r="996">
          <cell r="A996" t="str">
            <v>HFSHS40x40x3</v>
          </cell>
          <cell r="B996" t="str">
            <v>a=1.0 x t</v>
          </cell>
          <cell r="C996">
            <v>3</v>
          </cell>
          <cell r="D996"/>
          <cell r="E996"/>
          <cell r="F996">
            <v>1</v>
          </cell>
          <cell r="G996">
            <v>1</v>
          </cell>
          <cell r="H996">
            <v>0.14899999999999999</v>
          </cell>
          <cell r="I996">
            <v>4.5151515151515151E-2</v>
          </cell>
          <cell r="J996">
            <v>3.3</v>
          </cell>
          <cell r="K996">
            <v>2</v>
          </cell>
          <cell r="L996">
            <v>5</v>
          </cell>
          <cell r="M996">
            <v>10</v>
          </cell>
          <cell r="N996">
            <v>20</v>
          </cell>
          <cell r="O996">
            <v>30</v>
          </cell>
          <cell r="P996">
            <v>60</v>
          </cell>
        </row>
        <row r="997">
          <cell r="A997" t="str">
            <v>HFSHS40x40x3.2</v>
          </cell>
          <cell r="B997" t="str">
            <v>a=1.0 x t</v>
          </cell>
          <cell r="C997">
            <v>3.2</v>
          </cell>
          <cell r="D997"/>
          <cell r="E997"/>
          <cell r="F997">
            <v>1</v>
          </cell>
          <cell r="G997">
            <v>1</v>
          </cell>
          <cell r="H997">
            <v>0.14299999999999999</v>
          </cell>
          <cell r="I997">
            <v>4.0857142857142856E-2</v>
          </cell>
          <cell r="J997">
            <v>3.5</v>
          </cell>
          <cell r="K997">
            <v>2</v>
          </cell>
          <cell r="L997">
            <v>5</v>
          </cell>
          <cell r="M997">
            <v>10</v>
          </cell>
          <cell r="N997">
            <v>20</v>
          </cell>
          <cell r="O997">
            <v>30</v>
          </cell>
          <cell r="P997">
            <v>60</v>
          </cell>
        </row>
        <row r="998">
          <cell r="A998" t="str">
            <v>HFSHS40x40x3.6</v>
          </cell>
          <cell r="B998" t="str">
            <v>a=1.0 x t</v>
          </cell>
          <cell r="C998">
            <v>3.6</v>
          </cell>
          <cell r="D998"/>
          <cell r="E998"/>
          <cell r="F998">
            <v>1</v>
          </cell>
          <cell r="G998">
            <v>1</v>
          </cell>
          <cell r="H998">
            <v>0.14099999999999999</v>
          </cell>
          <cell r="I998">
            <v>3.6153846153846154E-2</v>
          </cell>
          <cell r="J998">
            <v>3.9</v>
          </cell>
          <cell r="K998">
            <v>2</v>
          </cell>
          <cell r="L998">
            <v>5</v>
          </cell>
          <cell r="M998">
            <v>10</v>
          </cell>
          <cell r="N998">
            <v>20</v>
          </cell>
          <cell r="O998">
            <v>30</v>
          </cell>
          <cell r="P998">
            <v>60</v>
          </cell>
        </row>
        <row r="999">
          <cell r="A999" t="str">
            <v>HFSHS40x40x4</v>
          </cell>
          <cell r="B999" t="str">
            <v>a=1.0 x t</v>
          </cell>
          <cell r="C999">
            <v>4</v>
          </cell>
          <cell r="D999"/>
          <cell r="E999"/>
          <cell r="F999">
            <v>1</v>
          </cell>
          <cell r="G999">
            <v>1</v>
          </cell>
          <cell r="H999">
            <v>0.13900000000000001</v>
          </cell>
          <cell r="I999">
            <v>3.3095238095238094E-2</v>
          </cell>
          <cell r="J999">
            <v>4.2</v>
          </cell>
          <cell r="K999">
            <v>2</v>
          </cell>
          <cell r="L999">
            <v>5</v>
          </cell>
          <cell r="M999">
            <v>10</v>
          </cell>
          <cell r="N999">
            <v>20</v>
          </cell>
          <cell r="O999">
            <v>30</v>
          </cell>
          <cell r="P999">
            <v>60</v>
          </cell>
        </row>
        <row r="1000">
          <cell r="A1000" t="str">
            <v>HFSHS40x40x5</v>
          </cell>
          <cell r="B1000" t="str">
            <v>a=1.0 x t</v>
          </cell>
          <cell r="C1000">
            <v>5</v>
          </cell>
          <cell r="D1000"/>
          <cell r="E1000"/>
          <cell r="F1000">
            <v>1</v>
          </cell>
          <cell r="G1000">
            <v>1</v>
          </cell>
          <cell r="H1000">
            <v>0.14299999999999999</v>
          </cell>
          <cell r="I1000">
            <v>2.8599999999999997E-2</v>
          </cell>
          <cell r="J1000">
            <v>5</v>
          </cell>
          <cell r="K1000">
            <v>2</v>
          </cell>
          <cell r="L1000">
            <v>5</v>
          </cell>
          <cell r="M1000">
            <v>10</v>
          </cell>
          <cell r="N1000">
            <v>20</v>
          </cell>
          <cell r="O1000">
            <v>30</v>
          </cell>
          <cell r="P1000">
            <v>60</v>
          </cell>
        </row>
        <row r="1001">
          <cell r="A1001" t="str">
            <v>HFSHS50x50x3</v>
          </cell>
          <cell r="B1001" t="str">
            <v>a=1.0 x t</v>
          </cell>
          <cell r="C1001">
            <v>3</v>
          </cell>
          <cell r="D1001"/>
          <cell r="E1001"/>
          <cell r="F1001">
            <v>1</v>
          </cell>
          <cell r="G1001">
            <v>1</v>
          </cell>
          <cell r="H1001">
            <v>0.19</v>
          </cell>
          <cell r="I1001">
            <v>4.5238095238095237E-2</v>
          </cell>
          <cell r="J1001">
            <v>4.2</v>
          </cell>
          <cell r="K1001">
            <v>2</v>
          </cell>
          <cell r="L1001">
            <v>5</v>
          </cell>
          <cell r="M1001">
            <v>10</v>
          </cell>
          <cell r="N1001">
            <v>20</v>
          </cell>
          <cell r="O1001">
            <v>30</v>
          </cell>
          <cell r="P1001">
            <v>60</v>
          </cell>
        </row>
        <row r="1002">
          <cell r="A1002" t="str">
            <v>HFSHS50x50x3.2</v>
          </cell>
          <cell r="B1002" t="str">
            <v>a=1.0 x t</v>
          </cell>
          <cell r="C1002">
            <v>3.2</v>
          </cell>
          <cell r="D1002"/>
          <cell r="E1002"/>
          <cell r="F1002">
            <v>1</v>
          </cell>
          <cell r="G1002">
            <v>1</v>
          </cell>
          <cell r="H1002">
            <v>0.192</v>
          </cell>
          <cell r="I1002">
            <v>4.1739130434782612E-2</v>
          </cell>
          <cell r="J1002">
            <v>4.5999999999999996</v>
          </cell>
          <cell r="K1002">
            <v>2</v>
          </cell>
          <cell r="L1002">
            <v>5</v>
          </cell>
          <cell r="M1002">
            <v>10</v>
          </cell>
          <cell r="N1002">
            <v>20</v>
          </cell>
          <cell r="O1002">
            <v>30</v>
          </cell>
          <cell r="P1002">
            <v>60</v>
          </cell>
        </row>
        <row r="1003">
          <cell r="A1003" t="str">
            <v>HFSHS50x50x3.6</v>
          </cell>
          <cell r="B1003" t="str">
            <v>a=1.0 x t</v>
          </cell>
          <cell r="C1003">
            <v>3.6</v>
          </cell>
          <cell r="D1003"/>
          <cell r="E1003"/>
          <cell r="F1003">
            <v>1</v>
          </cell>
          <cell r="G1003">
            <v>1</v>
          </cell>
          <cell r="H1003">
            <v>0.191</v>
          </cell>
          <cell r="I1003">
            <v>3.7450980392156864E-2</v>
          </cell>
          <cell r="J1003">
            <v>5.0999999999999996</v>
          </cell>
          <cell r="K1003">
            <v>2</v>
          </cell>
          <cell r="L1003">
            <v>5</v>
          </cell>
          <cell r="M1003">
            <v>10</v>
          </cell>
          <cell r="N1003">
            <v>20</v>
          </cell>
          <cell r="O1003">
            <v>30</v>
          </cell>
          <cell r="P1003">
            <v>60</v>
          </cell>
        </row>
        <row r="1004">
          <cell r="A1004" t="str">
            <v>HFSHS50x50x4</v>
          </cell>
          <cell r="B1004" t="str">
            <v>a=1.0 x t</v>
          </cell>
          <cell r="C1004">
            <v>4</v>
          </cell>
          <cell r="D1004"/>
          <cell r="E1004"/>
          <cell r="F1004">
            <v>1</v>
          </cell>
          <cell r="G1004">
            <v>1</v>
          </cell>
          <cell r="H1004">
            <v>0.19</v>
          </cell>
          <cell r="I1004">
            <v>3.3928571428571433E-2</v>
          </cell>
          <cell r="J1004">
            <v>5.6</v>
          </cell>
          <cell r="K1004">
            <v>2</v>
          </cell>
          <cell r="L1004">
            <v>5</v>
          </cell>
          <cell r="M1004">
            <v>10</v>
          </cell>
          <cell r="N1004">
            <v>20</v>
          </cell>
          <cell r="O1004">
            <v>30</v>
          </cell>
          <cell r="P1004">
            <v>60</v>
          </cell>
        </row>
        <row r="1005">
          <cell r="A1005" t="str">
            <v>HFSHS50x50x5</v>
          </cell>
          <cell r="B1005" t="str">
            <v>a=1.0 x t</v>
          </cell>
          <cell r="C1005">
            <v>5</v>
          </cell>
          <cell r="D1005"/>
          <cell r="E1005"/>
          <cell r="F1005">
            <v>1</v>
          </cell>
          <cell r="G1005">
            <v>1</v>
          </cell>
          <cell r="H1005">
            <v>0.187</v>
          </cell>
          <cell r="I1005">
            <v>2.7101449275362316E-2</v>
          </cell>
          <cell r="J1005">
            <v>6.9</v>
          </cell>
          <cell r="K1005">
            <v>2</v>
          </cell>
          <cell r="L1005">
            <v>5</v>
          </cell>
          <cell r="M1005">
            <v>10</v>
          </cell>
          <cell r="N1005">
            <v>20</v>
          </cell>
          <cell r="O1005">
            <v>30</v>
          </cell>
          <cell r="P1005">
            <v>60</v>
          </cell>
        </row>
        <row r="1006">
          <cell r="A1006" t="str">
            <v>HFSHS50x50x6.3</v>
          </cell>
          <cell r="B1006" t="str">
            <v>a=1.0 x t</v>
          </cell>
          <cell r="C1006">
            <v>6.3</v>
          </cell>
          <cell r="D1006"/>
          <cell r="E1006"/>
          <cell r="F1006">
            <v>1</v>
          </cell>
          <cell r="G1006">
            <v>1</v>
          </cell>
          <cell r="H1006">
            <v>0.184</v>
          </cell>
          <cell r="I1006">
            <v>2.2168674698795177E-2</v>
          </cell>
          <cell r="J1006">
            <v>8.3000000000000007</v>
          </cell>
          <cell r="K1006">
            <v>2</v>
          </cell>
          <cell r="L1006">
            <v>5</v>
          </cell>
          <cell r="M1006">
            <v>10</v>
          </cell>
          <cell r="N1006">
            <v>20</v>
          </cell>
          <cell r="O1006">
            <v>30</v>
          </cell>
          <cell r="P1006">
            <v>60</v>
          </cell>
        </row>
        <row r="1007">
          <cell r="A1007" t="str">
            <v>HFSHS50x50x7.1</v>
          </cell>
          <cell r="B1007" t="str">
            <v>a=1.0 x t</v>
          </cell>
          <cell r="C1007">
            <v>7.1</v>
          </cell>
          <cell r="D1007"/>
          <cell r="E1007"/>
          <cell r="F1007">
            <v>1</v>
          </cell>
          <cell r="G1007">
            <v>3</v>
          </cell>
          <cell r="H1007">
            <v>0.182</v>
          </cell>
          <cell r="I1007">
            <v>0.02</v>
          </cell>
          <cell r="J1007">
            <v>9.1</v>
          </cell>
          <cell r="K1007">
            <v>2</v>
          </cell>
          <cell r="L1007">
            <v>5</v>
          </cell>
          <cell r="M1007">
            <v>10</v>
          </cell>
          <cell r="N1007">
            <v>20</v>
          </cell>
          <cell r="O1007">
            <v>30</v>
          </cell>
          <cell r="P1007">
            <v>60</v>
          </cell>
        </row>
        <row r="1008">
          <cell r="A1008" t="str">
            <v>HFSHS50x50x8</v>
          </cell>
          <cell r="B1008" t="str">
            <v>a=1.0 x t</v>
          </cell>
          <cell r="C1008">
            <v>8</v>
          </cell>
          <cell r="D1008"/>
          <cell r="E1008"/>
          <cell r="F1008">
            <v>1</v>
          </cell>
          <cell r="G1008">
            <v>3</v>
          </cell>
          <cell r="H1008">
            <v>0.17899999999999999</v>
          </cell>
          <cell r="I1008">
            <v>1.7899999999999999E-2</v>
          </cell>
          <cell r="J1008">
            <v>10</v>
          </cell>
          <cell r="K1008">
            <v>2</v>
          </cell>
          <cell r="L1008">
            <v>5</v>
          </cell>
          <cell r="M1008">
            <v>10</v>
          </cell>
          <cell r="N1008">
            <v>20</v>
          </cell>
          <cell r="O1008">
            <v>30</v>
          </cell>
          <cell r="P1008">
            <v>60</v>
          </cell>
        </row>
        <row r="1009">
          <cell r="A1009" t="str">
            <v>HFSHS60x60x3</v>
          </cell>
          <cell r="B1009" t="str">
            <v>a=1.0 x t</v>
          </cell>
          <cell r="C1009">
            <v>3</v>
          </cell>
          <cell r="D1009"/>
          <cell r="E1009"/>
          <cell r="F1009">
            <v>1</v>
          </cell>
          <cell r="G1009">
            <v>1</v>
          </cell>
          <cell r="H1009">
            <v>0.23200000000000001</v>
          </cell>
          <cell r="I1009">
            <v>4.3773584905660384E-2</v>
          </cell>
          <cell r="J1009">
            <v>5.3</v>
          </cell>
          <cell r="K1009">
            <v>2</v>
          </cell>
          <cell r="L1009">
            <v>5</v>
          </cell>
          <cell r="M1009">
            <v>10</v>
          </cell>
          <cell r="N1009">
            <v>20</v>
          </cell>
          <cell r="O1009">
            <v>30</v>
          </cell>
          <cell r="P1009">
            <v>60</v>
          </cell>
        </row>
        <row r="1010">
          <cell r="A1010" t="str">
            <v>HFSHS60x60x3.2</v>
          </cell>
          <cell r="B1010" t="str">
            <v>a=1.0 x t</v>
          </cell>
          <cell r="C1010">
            <v>3.2</v>
          </cell>
          <cell r="D1010"/>
          <cell r="E1010"/>
          <cell r="F1010">
            <v>1</v>
          </cell>
          <cell r="G1010">
            <v>1</v>
          </cell>
          <cell r="H1010">
            <v>0.23200000000000001</v>
          </cell>
          <cell r="I1010">
            <v>4.1428571428571433E-2</v>
          </cell>
          <cell r="J1010">
            <v>5.6</v>
          </cell>
          <cell r="K1010">
            <v>2</v>
          </cell>
          <cell r="L1010">
            <v>5</v>
          </cell>
          <cell r="M1010">
            <v>10</v>
          </cell>
          <cell r="N1010">
            <v>20</v>
          </cell>
          <cell r="O1010">
            <v>30</v>
          </cell>
          <cell r="P1010">
            <v>60</v>
          </cell>
        </row>
        <row r="1011">
          <cell r="A1011" t="str">
            <v>HFSHS60x60x3.6</v>
          </cell>
          <cell r="B1011" t="str">
            <v>a=1.0 x t</v>
          </cell>
          <cell r="C1011">
            <v>3.6</v>
          </cell>
          <cell r="D1011"/>
          <cell r="E1011"/>
          <cell r="F1011">
            <v>1</v>
          </cell>
          <cell r="G1011">
            <v>1</v>
          </cell>
          <cell r="H1011">
            <v>0.23100000000000001</v>
          </cell>
          <cell r="I1011">
            <v>3.6666666666666667E-2</v>
          </cell>
          <cell r="J1011">
            <v>6.3</v>
          </cell>
          <cell r="K1011">
            <v>2</v>
          </cell>
          <cell r="L1011">
            <v>5</v>
          </cell>
          <cell r="M1011">
            <v>10</v>
          </cell>
          <cell r="N1011">
            <v>20</v>
          </cell>
          <cell r="O1011">
            <v>30</v>
          </cell>
          <cell r="P1011">
            <v>60</v>
          </cell>
        </row>
        <row r="1012">
          <cell r="A1012" t="str">
            <v>HFSHS60x60x4</v>
          </cell>
          <cell r="B1012" t="str">
            <v>a=1.0 x t</v>
          </cell>
          <cell r="C1012">
            <v>4</v>
          </cell>
          <cell r="D1012"/>
          <cell r="E1012"/>
          <cell r="F1012">
            <v>1</v>
          </cell>
          <cell r="G1012">
            <v>1</v>
          </cell>
          <cell r="H1012">
            <v>0.23</v>
          </cell>
          <cell r="I1012">
            <v>3.3333333333333333E-2</v>
          </cell>
          <cell r="J1012">
            <v>6.9</v>
          </cell>
          <cell r="K1012">
            <v>2</v>
          </cell>
          <cell r="L1012">
            <v>5</v>
          </cell>
          <cell r="M1012">
            <v>10</v>
          </cell>
          <cell r="N1012">
            <v>20</v>
          </cell>
          <cell r="O1012">
            <v>30</v>
          </cell>
          <cell r="P1012">
            <v>60</v>
          </cell>
        </row>
        <row r="1013">
          <cell r="A1013" t="str">
            <v>HFSHS60x60x5</v>
          </cell>
          <cell r="B1013" t="str">
            <v>a=1.0 x t</v>
          </cell>
          <cell r="C1013">
            <v>5</v>
          </cell>
          <cell r="D1013"/>
          <cell r="E1013"/>
          <cell r="F1013">
            <v>1</v>
          </cell>
          <cell r="G1013">
            <v>1</v>
          </cell>
          <cell r="H1013">
            <v>0.22700000000000001</v>
          </cell>
          <cell r="I1013">
            <v>2.7023809523809523E-2</v>
          </cell>
          <cell r="J1013">
            <v>8.4</v>
          </cell>
          <cell r="K1013">
            <v>2</v>
          </cell>
          <cell r="L1013">
            <v>5</v>
          </cell>
          <cell r="M1013">
            <v>10</v>
          </cell>
          <cell r="N1013">
            <v>20</v>
          </cell>
          <cell r="O1013">
            <v>30</v>
          </cell>
          <cell r="P1013">
            <v>60</v>
          </cell>
        </row>
        <row r="1014">
          <cell r="A1014" t="str">
            <v>HFSHS60x60x6.3</v>
          </cell>
          <cell r="B1014" t="str">
            <v>a=1.0 x t</v>
          </cell>
          <cell r="C1014">
            <v>6.3</v>
          </cell>
          <cell r="D1014"/>
          <cell r="E1014"/>
          <cell r="F1014">
            <v>1</v>
          </cell>
          <cell r="G1014">
            <v>1</v>
          </cell>
          <cell r="H1014">
            <v>0.224</v>
          </cell>
          <cell r="I1014">
            <v>2.174757281553398E-2</v>
          </cell>
          <cell r="J1014">
            <v>10.3</v>
          </cell>
          <cell r="K1014">
            <v>2</v>
          </cell>
          <cell r="L1014">
            <v>5</v>
          </cell>
          <cell r="M1014">
            <v>10</v>
          </cell>
          <cell r="N1014">
            <v>20</v>
          </cell>
          <cell r="O1014">
            <v>30</v>
          </cell>
          <cell r="P1014">
            <v>60</v>
          </cell>
        </row>
        <row r="1015">
          <cell r="A1015" t="str">
            <v>HFSHS60x60x7.1</v>
          </cell>
          <cell r="B1015" t="str">
            <v>a=1.0 x t</v>
          </cell>
          <cell r="C1015">
            <v>7.1</v>
          </cell>
          <cell r="D1015"/>
          <cell r="E1015"/>
          <cell r="F1015">
            <v>1</v>
          </cell>
          <cell r="G1015">
            <v>3</v>
          </cell>
          <cell r="H1015">
            <v>0.222</v>
          </cell>
          <cell r="I1015">
            <v>1.9473684210526317E-2</v>
          </cell>
          <cell r="J1015">
            <v>11.4</v>
          </cell>
          <cell r="K1015">
            <v>2</v>
          </cell>
          <cell r="L1015">
            <v>5</v>
          </cell>
          <cell r="M1015">
            <v>10</v>
          </cell>
          <cell r="N1015">
            <v>20</v>
          </cell>
          <cell r="O1015">
            <v>30</v>
          </cell>
          <cell r="P1015">
            <v>60</v>
          </cell>
        </row>
        <row r="1016">
          <cell r="A1016" t="str">
            <v>HFSHS60x60x8</v>
          </cell>
          <cell r="B1016" t="str">
            <v>a=1.0 x t</v>
          </cell>
          <cell r="C1016">
            <v>8</v>
          </cell>
          <cell r="D1016"/>
          <cell r="E1016"/>
          <cell r="F1016">
            <v>1</v>
          </cell>
          <cell r="G1016">
            <v>3</v>
          </cell>
          <cell r="H1016">
            <v>0.219</v>
          </cell>
          <cell r="I1016">
            <v>1.7380952380952382E-2</v>
          </cell>
          <cell r="J1016">
            <v>12.6</v>
          </cell>
          <cell r="K1016">
            <v>2</v>
          </cell>
          <cell r="L1016">
            <v>5</v>
          </cell>
          <cell r="M1016">
            <v>10</v>
          </cell>
          <cell r="N1016">
            <v>20</v>
          </cell>
          <cell r="O1016">
            <v>30</v>
          </cell>
          <cell r="P1016">
            <v>60</v>
          </cell>
        </row>
        <row r="1017">
          <cell r="A1017" t="str">
            <v>HFSHS70x70x3</v>
          </cell>
          <cell r="B1017" t="str">
            <v>a=1.0 x t</v>
          </cell>
          <cell r="C1017">
            <v>3</v>
          </cell>
          <cell r="D1017"/>
          <cell r="E1017"/>
          <cell r="F1017">
            <v>1</v>
          </cell>
          <cell r="G1017">
            <v>1</v>
          </cell>
          <cell r="H1017">
            <v>0.27200000000000002</v>
          </cell>
          <cell r="I1017">
            <v>4.3870967741935489E-2</v>
          </cell>
          <cell r="J1017">
            <v>6.2</v>
          </cell>
          <cell r="K1017">
            <v>2</v>
          </cell>
          <cell r="L1017">
            <v>5</v>
          </cell>
          <cell r="M1017">
            <v>10</v>
          </cell>
          <cell r="N1017">
            <v>20</v>
          </cell>
          <cell r="O1017">
            <v>30</v>
          </cell>
          <cell r="P1017">
            <v>60</v>
          </cell>
        </row>
        <row r="1018">
          <cell r="A1018" t="str">
            <v>HFSHS70x70x3.2</v>
          </cell>
          <cell r="B1018" t="str">
            <v>a=1.0 x t</v>
          </cell>
          <cell r="C1018">
            <v>3.2</v>
          </cell>
          <cell r="D1018"/>
          <cell r="E1018"/>
          <cell r="F1018">
            <v>1</v>
          </cell>
          <cell r="G1018">
            <v>1</v>
          </cell>
          <cell r="H1018">
            <v>0.27200000000000002</v>
          </cell>
          <cell r="I1018">
            <v>4.1212121212121221E-2</v>
          </cell>
          <cell r="J1018">
            <v>6.6</v>
          </cell>
          <cell r="K1018">
            <v>2</v>
          </cell>
          <cell r="L1018">
            <v>5</v>
          </cell>
          <cell r="M1018">
            <v>10</v>
          </cell>
          <cell r="N1018">
            <v>20</v>
          </cell>
          <cell r="O1018">
            <v>30</v>
          </cell>
          <cell r="P1018">
            <v>60</v>
          </cell>
        </row>
        <row r="1019">
          <cell r="A1019" t="str">
            <v>HFSHS70x70x3.6</v>
          </cell>
          <cell r="B1019" t="str">
            <v>a=1.0 x t</v>
          </cell>
          <cell r="C1019">
            <v>3.6</v>
          </cell>
          <cell r="D1019"/>
          <cell r="E1019"/>
          <cell r="F1019">
            <v>1</v>
          </cell>
          <cell r="G1019">
            <v>1</v>
          </cell>
          <cell r="H1019">
            <v>0.27100000000000002</v>
          </cell>
          <cell r="I1019">
            <v>3.6621621621621622E-2</v>
          </cell>
          <cell r="J1019">
            <v>7.4</v>
          </cell>
          <cell r="K1019">
            <v>2</v>
          </cell>
          <cell r="L1019">
            <v>5</v>
          </cell>
          <cell r="M1019">
            <v>10</v>
          </cell>
          <cell r="N1019">
            <v>20</v>
          </cell>
          <cell r="O1019">
            <v>30</v>
          </cell>
          <cell r="P1019">
            <v>60</v>
          </cell>
        </row>
        <row r="1020">
          <cell r="A1020" t="str">
            <v>HFSHS70x70x4</v>
          </cell>
          <cell r="B1020" t="str">
            <v>a=1.0 x t</v>
          </cell>
          <cell r="C1020">
            <v>4</v>
          </cell>
          <cell r="D1020"/>
          <cell r="E1020"/>
          <cell r="F1020">
            <v>1</v>
          </cell>
          <cell r="G1020">
            <v>1</v>
          </cell>
          <cell r="H1020">
            <v>0.27</v>
          </cell>
          <cell r="I1020">
            <v>3.2926829268292691E-2</v>
          </cell>
          <cell r="J1020">
            <v>8.1999999999999993</v>
          </cell>
          <cell r="K1020">
            <v>2</v>
          </cell>
          <cell r="L1020">
            <v>5</v>
          </cell>
          <cell r="M1020">
            <v>10</v>
          </cell>
          <cell r="N1020">
            <v>20</v>
          </cell>
          <cell r="O1020">
            <v>30</v>
          </cell>
          <cell r="P1020">
            <v>60</v>
          </cell>
        </row>
        <row r="1021">
          <cell r="A1021" t="str">
            <v>HFSHS70x70x5</v>
          </cell>
          <cell r="B1021" t="str">
            <v>a=1.0 x t</v>
          </cell>
          <cell r="C1021">
            <v>5</v>
          </cell>
          <cell r="D1021"/>
          <cell r="E1021"/>
          <cell r="F1021">
            <v>1</v>
          </cell>
          <cell r="G1021">
            <v>1</v>
          </cell>
          <cell r="H1021">
            <v>0.26700000000000002</v>
          </cell>
          <cell r="I1021">
            <v>2.6700000000000002E-2</v>
          </cell>
          <cell r="J1021">
            <v>10</v>
          </cell>
          <cell r="K1021">
            <v>2</v>
          </cell>
          <cell r="L1021">
            <v>5</v>
          </cell>
          <cell r="M1021">
            <v>10</v>
          </cell>
          <cell r="N1021">
            <v>20</v>
          </cell>
          <cell r="O1021">
            <v>30</v>
          </cell>
          <cell r="P1021">
            <v>60</v>
          </cell>
        </row>
        <row r="1022">
          <cell r="A1022" t="str">
            <v>HFSHS70x70x6.3</v>
          </cell>
          <cell r="B1022" t="str">
            <v>a=1.0 x t</v>
          </cell>
          <cell r="C1022">
            <v>6.3</v>
          </cell>
          <cell r="D1022"/>
          <cell r="E1022"/>
          <cell r="F1022">
            <v>1</v>
          </cell>
          <cell r="G1022">
            <v>1</v>
          </cell>
          <cell r="H1022">
            <v>0.26400000000000001</v>
          </cell>
          <cell r="I1022">
            <v>2.146341463414634E-2</v>
          </cell>
          <cell r="J1022">
            <v>12.3</v>
          </cell>
          <cell r="K1022">
            <v>2</v>
          </cell>
          <cell r="L1022">
            <v>5</v>
          </cell>
          <cell r="M1022">
            <v>10</v>
          </cell>
          <cell r="N1022">
            <v>20</v>
          </cell>
          <cell r="O1022">
            <v>30</v>
          </cell>
          <cell r="P1022">
            <v>60</v>
          </cell>
        </row>
        <row r="1023">
          <cell r="A1023" t="str">
            <v>HFSHS70x70x7.1</v>
          </cell>
          <cell r="B1023" t="str">
            <v>a=1.0 x t</v>
          </cell>
          <cell r="C1023">
            <v>7.1</v>
          </cell>
          <cell r="D1023"/>
          <cell r="E1023"/>
          <cell r="F1023">
            <v>1</v>
          </cell>
          <cell r="G1023">
            <v>3</v>
          </cell>
          <cell r="H1023">
            <v>0.26200000000000001</v>
          </cell>
          <cell r="I1023">
            <v>1.9264705882352941E-2</v>
          </cell>
          <cell r="J1023">
            <v>13.6</v>
          </cell>
          <cell r="K1023">
            <v>2</v>
          </cell>
          <cell r="L1023">
            <v>5</v>
          </cell>
          <cell r="M1023">
            <v>10</v>
          </cell>
          <cell r="N1023">
            <v>20</v>
          </cell>
          <cell r="O1023">
            <v>30</v>
          </cell>
          <cell r="P1023">
            <v>60</v>
          </cell>
        </row>
        <row r="1024">
          <cell r="A1024" t="str">
            <v>HFSHS70x70x8</v>
          </cell>
          <cell r="B1024" t="str">
            <v>a=1.0 x t</v>
          </cell>
          <cell r="C1024">
            <v>8</v>
          </cell>
          <cell r="D1024"/>
          <cell r="E1024"/>
          <cell r="F1024">
            <v>1</v>
          </cell>
          <cell r="G1024">
            <v>3</v>
          </cell>
          <cell r="H1024">
            <v>0.25900000000000001</v>
          </cell>
          <cell r="I1024">
            <v>1.7152317880794701E-2</v>
          </cell>
          <cell r="J1024">
            <v>15.1</v>
          </cell>
          <cell r="K1024">
            <v>2</v>
          </cell>
          <cell r="L1024">
            <v>5</v>
          </cell>
          <cell r="M1024">
            <v>10</v>
          </cell>
          <cell r="N1024">
            <v>20</v>
          </cell>
          <cell r="O1024">
            <v>30</v>
          </cell>
          <cell r="P1024">
            <v>60</v>
          </cell>
        </row>
        <row r="1025">
          <cell r="A1025" t="str">
            <v>HFSHS70x70x8.8</v>
          </cell>
          <cell r="B1025" t="str">
            <v>a=1.0 x t</v>
          </cell>
          <cell r="C1025">
            <v>8.8000000000000007</v>
          </cell>
          <cell r="D1025"/>
          <cell r="E1025"/>
          <cell r="F1025">
            <v>1</v>
          </cell>
          <cell r="G1025">
            <v>3</v>
          </cell>
          <cell r="H1025">
            <v>0.25700000000000001</v>
          </cell>
          <cell r="I1025">
            <v>1.58641975308642E-2</v>
          </cell>
          <cell r="J1025">
            <v>16.2</v>
          </cell>
          <cell r="K1025">
            <v>2</v>
          </cell>
          <cell r="L1025">
            <v>5</v>
          </cell>
          <cell r="M1025">
            <v>10</v>
          </cell>
          <cell r="N1025">
            <v>20</v>
          </cell>
          <cell r="O1025">
            <v>30</v>
          </cell>
          <cell r="P1025">
            <v>60</v>
          </cell>
        </row>
        <row r="1026">
          <cell r="A1026" t="str">
            <v>HFSHS80x80x3</v>
          </cell>
          <cell r="B1026" t="str">
            <v>a=1.0 x t</v>
          </cell>
          <cell r="C1026">
            <v>3</v>
          </cell>
          <cell r="D1026"/>
          <cell r="E1026"/>
          <cell r="F1026">
            <v>1</v>
          </cell>
          <cell r="G1026">
            <v>1</v>
          </cell>
          <cell r="H1026">
            <v>0.31</v>
          </cell>
          <cell r="I1026">
            <v>4.366197183098592E-2</v>
          </cell>
          <cell r="J1026">
            <v>7.1</v>
          </cell>
          <cell r="K1026">
            <v>2</v>
          </cell>
          <cell r="L1026">
            <v>5</v>
          </cell>
          <cell r="M1026">
            <v>10</v>
          </cell>
          <cell r="N1026">
            <v>20</v>
          </cell>
          <cell r="O1026">
            <v>30</v>
          </cell>
          <cell r="P1026">
            <v>60</v>
          </cell>
        </row>
        <row r="1027">
          <cell r="A1027" t="str">
            <v>HFSHS80x80x3.2</v>
          </cell>
          <cell r="B1027" t="str">
            <v>a=1.0 x t</v>
          </cell>
          <cell r="C1027">
            <v>3.2</v>
          </cell>
          <cell r="D1027"/>
          <cell r="E1027"/>
          <cell r="F1027">
            <v>1</v>
          </cell>
          <cell r="G1027">
            <v>1</v>
          </cell>
          <cell r="H1027">
            <v>0.312</v>
          </cell>
          <cell r="I1027">
            <v>4.1052631578947368E-2</v>
          </cell>
          <cell r="J1027">
            <v>7.6</v>
          </cell>
          <cell r="K1027">
            <v>2</v>
          </cell>
          <cell r="L1027">
            <v>5</v>
          </cell>
          <cell r="M1027">
            <v>10</v>
          </cell>
          <cell r="N1027">
            <v>20</v>
          </cell>
          <cell r="O1027">
            <v>30</v>
          </cell>
          <cell r="P1027">
            <v>60</v>
          </cell>
        </row>
        <row r="1028">
          <cell r="A1028" t="str">
            <v>HFSHS80x80x3.6</v>
          </cell>
          <cell r="B1028" t="str">
            <v>a=1.0 x t</v>
          </cell>
          <cell r="C1028">
            <v>3.6</v>
          </cell>
          <cell r="D1028"/>
          <cell r="E1028"/>
          <cell r="F1028">
            <v>1</v>
          </cell>
          <cell r="G1028">
            <v>1</v>
          </cell>
          <cell r="H1028">
            <v>0.311</v>
          </cell>
          <cell r="I1028">
            <v>3.6162790697674418E-2</v>
          </cell>
          <cell r="J1028">
            <v>8.6</v>
          </cell>
          <cell r="K1028">
            <v>2</v>
          </cell>
          <cell r="L1028">
            <v>5</v>
          </cell>
          <cell r="M1028">
            <v>10</v>
          </cell>
          <cell r="N1028">
            <v>20</v>
          </cell>
          <cell r="O1028">
            <v>30</v>
          </cell>
          <cell r="P1028">
            <v>60</v>
          </cell>
        </row>
        <row r="1029">
          <cell r="A1029" t="str">
            <v>HFSHS80x80x4</v>
          </cell>
          <cell r="B1029" t="str">
            <v>a=1.0 x t</v>
          </cell>
          <cell r="C1029">
            <v>4</v>
          </cell>
          <cell r="D1029"/>
          <cell r="E1029"/>
          <cell r="F1029">
            <v>1</v>
          </cell>
          <cell r="G1029">
            <v>1</v>
          </cell>
          <cell r="H1029">
            <v>0.31</v>
          </cell>
          <cell r="I1029">
            <v>3.2978723404255318E-2</v>
          </cell>
          <cell r="J1029">
            <v>9.4</v>
          </cell>
          <cell r="K1029">
            <v>2</v>
          </cell>
          <cell r="L1029">
            <v>5</v>
          </cell>
          <cell r="M1029">
            <v>10</v>
          </cell>
          <cell r="N1029">
            <v>20</v>
          </cell>
          <cell r="O1029">
            <v>30</v>
          </cell>
          <cell r="P1029">
            <v>60</v>
          </cell>
        </row>
        <row r="1030">
          <cell r="A1030" t="str">
            <v>HFSHS80x80x5</v>
          </cell>
          <cell r="B1030" t="str">
            <v>a=1.0 x t</v>
          </cell>
          <cell r="C1030">
            <v>5</v>
          </cell>
          <cell r="D1030"/>
          <cell r="E1030"/>
          <cell r="F1030">
            <v>1</v>
          </cell>
          <cell r="G1030">
            <v>1</v>
          </cell>
          <cell r="H1030">
            <v>0.307</v>
          </cell>
          <cell r="I1030">
            <v>2.6695652173913044E-2</v>
          </cell>
          <cell r="J1030">
            <v>11.5</v>
          </cell>
          <cell r="K1030">
            <v>2</v>
          </cell>
          <cell r="L1030">
            <v>5</v>
          </cell>
          <cell r="M1030">
            <v>10</v>
          </cell>
          <cell r="N1030">
            <v>20</v>
          </cell>
          <cell r="O1030">
            <v>30</v>
          </cell>
          <cell r="P1030">
            <v>60</v>
          </cell>
        </row>
        <row r="1031">
          <cell r="A1031" t="str">
            <v>HFSHS80x80x6.3</v>
          </cell>
          <cell r="B1031" t="str">
            <v>a=1.0 x t</v>
          </cell>
          <cell r="C1031">
            <v>6.3</v>
          </cell>
          <cell r="D1031"/>
          <cell r="E1031"/>
          <cell r="F1031">
            <v>1</v>
          </cell>
          <cell r="G1031">
            <v>1</v>
          </cell>
          <cell r="H1031">
            <v>0.30399999999999999</v>
          </cell>
          <cell r="I1031">
            <v>2.1408450704225354E-2</v>
          </cell>
          <cell r="J1031">
            <v>14.2</v>
          </cell>
          <cell r="K1031">
            <v>2</v>
          </cell>
          <cell r="L1031">
            <v>5</v>
          </cell>
          <cell r="M1031">
            <v>10</v>
          </cell>
          <cell r="N1031">
            <v>20</v>
          </cell>
          <cell r="O1031">
            <v>30</v>
          </cell>
          <cell r="P1031">
            <v>60</v>
          </cell>
        </row>
        <row r="1032">
          <cell r="A1032" t="str">
            <v>HFSHS80x80x7.1</v>
          </cell>
          <cell r="B1032" t="str">
            <v>a=1.0 x t</v>
          </cell>
          <cell r="C1032">
            <v>7.1</v>
          </cell>
          <cell r="D1032"/>
          <cell r="E1032"/>
          <cell r="F1032">
            <v>1</v>
          </cell>
          <cell r="G1032">
            <v>3</v>
          </cell>
          <cell r="H1032">
            <v>0.30199999999999999</v>
          </cell>
          <cell r="I1032">
            <v>1.8993710691823897E-2</v>
          </cell>
          <cell r="J1032">
            <v>15.9</v>
          </cell>
          <cell r="K1032">
            <v>2</v>
          </cell>
          <cell r="L1032">
            <v>5</v>
          </cell>
          <cell r="M1032">
            <v>10</v>
          </cell>
          <cell r="N1032">
            <v>20</v>
          </cell>
          <cell r="O1032">
            <v>30</v>
          </cell>
          <cell r="P1032">
            <v>60</v>
          </cell>
        </row>
        <row r="1033">
          <cell r="A1033" t="str">
            <v>HFSHS80x80x8</v>
          </cell>
          <cell r="B1033" t="str">
            <v>a=1.0 x t</v>
          </cell>
          <cell r="C1033">
            <v>8</v>
          </cell>
          <cell r="D1033"/>
          <cell r="E1033"/>
          <cell r="F1033">
            <v>1</v>
          </cell>
          <cell r="G1033">
            <v>3</v>
          </cell>
          <cell r="H1033">
            <v>0.29899999999999999</v>
          </cell>
          <cell r="I1033">
            <v>1.6988636363636362E-2</v>
          </cell>
          <cell r="J1033">
            <v>17.600000000000001</v>
          </cell>
          <cell r="K1033">
            <v>2</v>
          </cell>
          <cell r="L1033">
            <v>5</v>
          </cell>
          <cell r="M1033">
            <v>10</v>
          </cell>
          <cell r="N1033">
            <v>20</v>
          </cell>
          <cell r="O1033">
            <v>30</v>
          </cell>
          <cell r="P1033">
            <v>60</v>
          </cell>
        </row>
        <row r="1034">
          <cell r="A1034" t="str">
            <v>HFSHS80x80x8.8</v>
          </cell>
          <cell r="B1034" t="str">
            <v>a=1.0 x t</v>
          </cell>
          <cell r="C1034">
            <v>8.8000000000000007</v>
          </cell>
          <cell r="D1034"/>
          <cell r="E1034"/>
          <cell r="F1034">
            <v>1</v>
          </cell>
          <cell r="G1034">
            <v>3</v>
          </cell>
          <cell r="H1034">
            <v>0.29699999999999999</v>
          </cell>
          <cell r="I1034">
            <v>1.563157894736842E-2</v>
          </cell>
          <cell r="J1034">
            <v>19</v>
          </cell>
          <cell r="K1034">
            <v>2</v>
          </cell>
          <cell r="L1034">
            <v>5</v>
          </cell>
          <cell r="M1034">
            <v>10</v>
          </cell>
          <cell r="N1034">
            <v>20</v>
          </cell>
          <cell r="O1034">
            <v>30</v>
          </cell>
          <cell r="P1034">
            <v>60</v>
          </cell>
        </row>
        <row r="1035">
          <cell r="A1035" t="str">
            <v>HFSHS90x90x3.6</v>
          </cell>
          <cell r="B1035" t="str">
            <v>a=1.0 x t</v>
          </cell>
          <cell r="C1035">
            <v>3.6</v>
          </cell>
          <cell r="D1035"/>
          <cell r="E1035"/>
          <cell r="F1035">
            <v>1</v>
          </cell>
          <cell r="G1035">
            <v>1</v>
          </cell>
          <cell r="H1035">
            <v>0.35099999999999998</v>
          </cell>
          <cell r="I1035">
            <v>3.6185567010309276E-2</v>
          </cell>
          <cell r="J1035">
            <v>9.6999999999999993</v>
          </cell>
          <cell r="K1035">
            <v>2</v>
          </cell>
          <cell r="L1035">
            <v>5</v>
          </cell>
          <cell r="M1035">
            <v>10</v>
          </cell>
          <cell r="N1035">
            <v>20</v>
          </cell>
          <cell r="O1035">
            <v>30</v>
          </cell>
          <cell r="P1035">
            <v>60</v>
          </cell>
        </row>
        <row r="1036">
          <cell r="A1036" t="str">
            <v>HFSHS90x90x4</v>
          </cell>
          <cell r="B1036" t="str">
            <v>a=1.0 x t</v>
          </cell>
          <cell r="C1036">
            <v>4</v>
          </cell>
          <cell r="D1036"/>
          <cell r="E1036"/>
          <cell r="F1036">
            <v>1</v>
          </cell>
          <cell r="G1036">
            <v>1</v>
          </cell>
          <cell r="H1036">
            <v>0.35099999999999998</v>
          </cell>
          <cell r="I1036">
            <v>3.2803738317757007E-2</v>
          </cell>
          <cell r="J1036">
            <v>10.7</v>
          </cell>
          <cell r="K1036">
            <v>2</v>
          </cell>
          <cell r="L1036">
            <v>5</v>
          </cell>
          <cell r="M1036">
            <v>10</v>
          </cell>
          <cell r="N1036">
            <v>20</v>
          </cell>
          <cell r="O1036">
            <v>30</v>
          </cell>
          <cell r="P1036">
            <v>60</v>
          </cell>
        </row>
        <row r="1037">
          <cell r="A1037" t="str">
            <v>HFSHS90x90x5</v>
          </cell>
          <cell r="B1037" t="str">
            <v>a=1.0 x t</v>
          </cell>
          <cell r="C1037">
            <v>5</v>
          </cell>
          <cell r="D1037"/>
          <cell r="E1037"/>
          <cell r="F1037">
            <v>1</v>
          </cell>
          <cell r="G1037">
            <v>1</v>
          </cell>
          <cell r="H1037">
            <v>0.34699999999999998</v>
          </cell>
          <cell r="I1037">
            <v>2.648854961832061E-2</v>
          </cell>
          <cell r="J1037">
            <v>13.1</v>
          </cell>
          <cell r="K1037">
            <v>2</v>
          </cell>
          <cell r="L1037">
            <v>5</v>
          </cell>
          <cell r="M1037">
            <v>10</v>
          </cell>
          <cell r="N1037">
            <v>20</v>
          </cell>
          <cell r="O1037">
            <v>30</v>
          </cell>
          <cell r="P1037">
            <v>60</v>
          </cell>
        </row>
        <row r="1038">
          <cell r="A1038" t="str">
            <v>HFSHS90x90x6.3</v>
          </cell>
          <cell r="B1038" t="str">
            <v>a=1.0 x t</v>
          </cell>
          <cell r="C1038">
            <v>6.3</v>
          </cell>
          <cell r="D1038"/>
          <cell r="E1038"/>
          <cell r="F1038">
            <v>1</v>
          </cell>
          <cell r="G1038">
            <v>1</v>
          </cell>
          <cell r="H1038">
            <v>0.34399999999999997</v>
          </cell>
          <cell r="I1038">
            <v>2.1234567901234565E-2</v>
          </cell>
          <cell r="J1038">
            <v>16.2</v>
          </cell>
          <cell r="K1038">
            <v>2</v>
          </cell>
          <cell r="L1038">
            <v>5</v>
          </cell>
          <cell r="M1038">
            <v>10</v>
          </cell>
          <cell r="N1038">
            <v>20</v>
          </cell>
          <cell r="O1038">
            <v>30</v>
          </cell>
          <cell r="P1038">
            <v>60</v>
          </cell>
        </row>
        <row r="1039">
          <cell r="A1039" t="str">
            <v>HFSHS90x90x7.1</v>
          </cell>
          <cell r="B1039" t="str">
            <v>a=1.0 x t</v>
          </cell>
          <cell r="C1039">
            <v>7.1</v>
          </cell>
          <cell r="D1039"/>
          <cell r="E1039"/>
          <cell r="F1039">
            <v>1</v>
          </cell>
          <cell r="G1039">
            <v>3</v>
          </cell>
          <cell r="H1039">
            <v>0.34200000000000003</v>
          </cell>
          <cell r="I1039">
            <v>1.8895027624309391E-2</v>
          </cell>
          <cell r="J1039">
            <v>18.100000000000001</v>
          </cell>
          <cell r="K1039">
            <v>2</v>
          </cell>
          <cell r="L1039">
            <v>5</v>
          </cell>
          <cell r="M1039">
            <v>10</v>
          </cell>
          <cell r="N1039">
            <v>20</v>
          </cell>
          <cell r="O1039">
            <v>30</v>
          </cell>
          <cell r="P1039">
            <v>60</v>
          </cell>
        </row>
        <row r="1040">
          <cell r="A1040" t="str">
            <v>HFSHS90x90x8</v>
          </cell>
          <cell r="B1040" t="str">
            <v>a=1.0 x t</v>
          </cell>
          <cell r="C1040">
            <v>8</v>
          </cell>
          <cell r="D1040"/>
          <cell r="E1040"/>
          <cell r="F1040">
            <v>2</v>
          </cell>
          <cell r="G1040">
            <v>3</v>
          </cell>
          <cell r="H1040">
            <v>0.33900000000000002</v>
          </cell>
          <cell r="I1040">
            <v>1.6865671641791046E-2</v>
          </cell>
          <cell r="J1040">
            <v>20.100000000000001</v>
          </cell>
          <cell r="K1040">
            <v>5</v>
          </cell>
          <cell r="L1040">
            <v>10</v>
          </cell>
          <cell r="M1040">
            <v>20</v>
          </cell>
          <cell r="N1040">
            <v>30</v>
          </cell>
          <cell r="O1040">
            <v>60</v>
          </cell>
          <cell r="P1040">
            <v>90</v>
          </cell>
        </row>
        <row r="1041">
          <cell r="A1041" t="str">
            <v>HFSHS90x90x8.8</v>
          </cell>
          <cell r="B1041" t="str">
            <v>a=1.0 x t</v>
          </cell>
          <cell r="C1041">
            <v>8.8000000000000007</v>
          </cell>
          <cell r="D1041"/>
          <cell r="E1041"/>
          <cell r="F1041">
            <v>2</v>
          </cell>
          <cell r="G1041">
            <v>3</v>
          </cell>
          <cell r="H1041">
            <v>0.33700000000000002</v>
          </cell>
          <cell r="I1041">
            <v>1.5458715596330276E-2</v>
          </cell>
          <cell r="J1041">
            <v>21.8</v>
          </cell>
          <cell r="K1041">
            <v>5</v>
          </cell>
          <cell r="L1041">
            <v>10</v>
          </cell>
          <cell r="M1041">
            <v>20</v>
          </cell>
          <cell r="N1041">
            <v>30</v>
          </cell>
          <cell r="O1041">
            <v>60</v>
          </cell>
          <cell r="P1041">
            <v>90</v>
          </cell>
        </row>
        <row r="1042">
          <cell r="A1042" t="str">
            <v>HFSHS100x100x3.6</v>
          </cell>
          <cell r="B1042" t="str">
            <v>a=1.0 x t</v>
          </cell>
          <cell r="C1042">
            <v>3.6</v>
          </cell>
          <cell r="D1042"/>
          <cell r="E1042"/>
          <cell r="F1042">
            <v>1</v>
          </cell>
          <cell r="G1042">
            <v>1</v>
          </cell>
          <cell r="H1042">
            <v>0.39100000000000001</v>
          </cell>
          <cell r="I1042">
            <v>3.6203703703703703E-2</v>
          </cell>
          <cell r="J1042">
            <v>10.8</v>
          </cell>
          <cell r="K1042">
            <v>2</v>
          </cell>
          <cell r="L1042">
            <v>5</v>
          </cell>
          <cell r="M1042">
            <v>10</v>
          </cell>
          <cell r="N1042">
            <v>20</v>
          </cell>
          <cell r="O1042">
            <v>30</v>
          </cell>
          <cell r="P1042">
            <v>60</v>
          </cell>
        </row>
        <row r="1043">
          <cell r="A1043" t="str">
            <v>HFSHS100x100x4</v>
          </cell>
          <cell r="B1043" t="str">
            <v>a=1.0 x t</v>
          </cell>
          <cell r="C1043">
            <v>4</v>
          </cell>
          <cell r="D1043"/>
          <cell r="E1043"/>
          <cell r="F1043">
            <v>1</v>
          </cell>
          <cell r="G1043">
            <v>1</v>
          </cell>
          <cell r="H1043">
            <v>0.39</v>
          </cell>
          <cell r="I1043">
            <v>3.2773109243697481E-2</v>
          </cell>
          <cell r="J1043">
            <v>11.9</v>
          </cell>
          <cell r="K1043">
            <v>2</v>
          </cell>
          <cell r="L1043">
            <v>5</v>
          </cell>
          <cell r="M1043">
            <v>10</v>
          </cell>
          <cell r="N1043">
            <v>20</v>
          </cell>
          <cell r="O1043">
            <v>30</v>
          </cell>
          <cell r="P1043">
            <v>60</v>
          </cell>
        </row>
        <row r="1044">
          <cell r="A1044" t="str">
            <v>HFSHS100x100x5</v>
          </cell>
          <cell r="B1044" t="str">
            <v>a=1.0 x t</v>
          </cell>
          <cell r="C1044">
            <v>5</v>
          </cell>
          <cell r="D1044"/>
          <cell r="E1044"/>
          <cell r="F1044">
            <v>1</v>
          </cell>
          <cell r="G1044">
            <v>1</v>
          </cell>
          <cell r="H1044">
            <v>0.38700000000000001</v>
          </cell>
          <cell r="I1044">
            <v>2.6326530612244901E-2</v>
          </cell>
          <cell r="J1044">
            <v>14.7</v>
          </cell>
          <cell r="K1044">
            <v>2</v>
          </cell>
          <cell r="L1044">
            <v>5</v>
          </cell>
          <cell r="M1044">
            <v>10</v>
          </cell>
          <cell r="N1044">
            <v>20</v>
          </cell>
          <cell r="O1044">
            <v>30</v>
          </cell>
          <cell r="P1044">
            <v>60</v>
          </cell>
        </row>
        <row r="1045">
          <cell r="A1045" t="str">
            <v>HFSHS100x100x6.3</v>
          </cell>
          <cell r="B1045" t="str">
            <v>a=1.0 x t</v>
          </cell>
          <cell r="C1045">
            <v>6.3</v>
          </cell>
          <cell r="D1045"/>
          <cell r="E1045"/>
          <cell r="F1045">
            <v>1</v>
          </cell>
          <cell r="G1045">
            <v>1</v>
          </cell>
          <cell r="H1045">
            <v>0.38400000000000001</v>
          </cell>
          <cell r="I1045">
            <v>2.1098901098901099E-2</v>
          </cell>
          <cell r="J1045">
            <v>18.2</v>
          </cell>
          <cell r="K1045">
            <v>2</v>
          </cell>
          <cell r="L1045">
            <v>5</v>
          </cell>
          <cell r="M1045">
            <v>10</v>
          </cell>
          <cell r="N1045">
            <v>20</v>
          </cell>
          <cell r="O1045">
            <v>30</v>
          </cell>
          <cell r="P1045">
            <v>60</v>
          </cell>
        </row>
        <row r="1046">
          <cell r="A1046" t="str">
            <v>HFSHS100x100x7.1</v>
          </cell>
          <cell r="B1046" t="str">
            <v>a=1.0 x t</v>
          </cell>
          <cell r="C1046">
            <v>7.1</v>
          </cell>
          <cell r="D1046"/>
          <cell r="E1046"/>
          <cell r="F1046">
            <v>2</v>
          </cell>
          <cell r="G1046">
            <v>3</v>
          </cell>
          <cell r="H1046">
            <v>0.38200000000000001</v>
          </cell>
          <cell r="I1046">
            <v>1.8817733990147783E-2</v>
          </cell>
          <cell r="J1046">
            <v>20.3</v>
          </cell>
          <cell r="K1046">
            <v>5</v>
          </cell>
          <cell r="L1046">
            <v>10</v>
          </cell>
          <cell r="M1046">
            <v>20</v>
          </cell>
          <cell r="N1046">
            <v>30</v>
          </cell>
          <cell r="O1046">
            <v>60</v>
          </cell>
          <cell r="P1046">
            <v>90</v>
          </cell>
        </row>
        <row r="1047">
          <cell r="A1047" t="str">
            <v>HFSHS100x100x8</v>
          </cell>
          <cell r="B1047" t="str">
            <v>a=1.0 x t</v>
          </cell>
          <cell r="C1047">
            <v>8</v>
          </cell>
          <cell r="D1047"/>
          <cell r="E1047"/>
          <cell r="F1047">
            <v>2</v>
          </cell>
          <cell r="G1047">
            <v>3</v>
          </cell>
          <cell r="H1047">
            <v>0.379</v>
          </cell>
          <cell r="I1047">
            <v>1.6769911504424778E-2</v>
          </cell>
          <cell r="J1047">
            <v>22.6</v>
          </cell>
          <cell r="K1047">
            <v>5</v>
          </cell>
          <cell r="L1047">
            <v>10</v>
          </cell>
          <cell r="M1047">
            <v>20</v>
          </cell>
          <cell r="N1047">
            <v>30</v>
          </cell>
          <cell r="O1047">
            <v>60</v>
          </cell>
          <cell r="P1047">
            <v>90</v>
          </cell>
        </row>
        <row r="1048">
          <cell r="A1048" t="str">
            <v>HFSHS100x100x8.8</v>
          </cell>
          <cell r="B1048" t="str">
            <v>a=1.0 x t</v>
          </cell>
          <cell r="C1048">
            <v>8.8000000000000007</v>
          </cell>
          <cell r="D1048"/>
          <cell r="E1048"/>
          <cell r="F1048">
            <v>2</v>
          </cell>
          <cell r="G1048">
            <v>3</v>
          </cell>
          <cell r="H1048">
            <v>0.377</v>
          </cell>
          <cell r="I1048">
            <v>1.5325203252032519E-2</v>
          </cell>
          <cell r="J1048">
            <v>24.6</v>
          </cell>
          <cell r="K1048">
            <v>5</v>
          </cell>
          <cell r="L1048">
            <v>10</v>
          </cell>
          <cell r="M1048">
            <v>20</v>
          </cell>
          <cell r="N1048">
            <v>30</v>
          </cell>
          <cell r="O1048">
            <v>60</v>
          </cell>
          <cell r="P1048">
            <v>90</v>
          </cell>
        </row>
        <row r="1049">
          <cell r="A1049" t="str">
            <v>HFSHS100x100x10</v>
          </cell>
          <cell r="B1049" t="str">
            <v>a=1.0 x t</v>
          </cell>
          <cell r="C1049">
            <v>10</v>
          </cell>
          <cell r="D1049"/>
          <cell r="E1049"/>
          <cell r="F1049">
            <v>2</v>
          </cell>
          <cell r="G1049">
            <v>6</v>
          </cell>
          <cell r="H1049">
            <v>0.374</v>
          </cell>
          <cell r="I1049">
            <v>1.3649635036496351E-2</v>
          </cell>
          <cell r="J1049">
            <v>27.4</v>
          </cell>
          <cell r="K1049">
            <v>5</v>
          </cell>
          <cell r="L1049">
            <v>10</v>
          </cell>
          <cell r="M1049">
            <v>20</v>
          </cell>
          <cell r="N1049">
            <v>30</v>
          </cell>
          <cell r="O1049">
            <v>60</v>
          </cell>
          <cell r="P1049">
            <v>90</v>
          </cell>
        </row>
        <row r="1050">
          <cell r="A1050" t="str">
            <v>HFSHS120x120x4</v>
          </cell>
          <cell r="B1050" t="str">
            <v>a=1.0 x t</v>
          </cell>
          <cell r="C1050">
            <v>4</v>
          </cell>
          <cell r="D1050"/>
          <cell r="E1050"/>
          <cell r="F1050">
            <v>1</v>
          </cell>
          <cell r="G1050">
            <v>1</v>
          </cell>
          <cell r="H1050">
            <v>0.47</v>
          </cell>
          <cell r="I1050">
            <v>3.2638888888888884E-2</v>
          </cell>
          <cell r="J1050">
            <v>14.4</v>
          </cell>
          <cell r="K1050">
            <v>2</v>
          </cell>
          <cell r="L1050">
            <v>5</v>
          </cell>
          <cell r="M1050">
            <v>10</v>
          </cell>
          <cell r="N1050">
            <v>20</v>
          </cell>
          <cell r="O1050">
            <v>30</v>
          </cell>
          <cell r="P1050">
            <v>60</v>
          </cell>
        </row>
        <row r="1051">
          <cell r="A1051" t="str">
            <v>HFSHS120x120x5</v>
          </cell>
          <cell r="B1051" t="str">
            <v>a=1.0 x t</v>
          </cell>
          <cell r="C1051">
            <v>5</v>
          </cell>
          <cell r="D1051"/>
          <cell r="E1051"/>
          <cell r="F1051">
            <v>1</v>
          </cell>
          <cell r="G1051">
            <v>1</v>
          </cell>
          <cell r="H1051">
            <v>0.46700000000000003</v>
          </cell>
          <cell r="I1051">
            <v>2.6235955056179774E-2</v>
          </cell>
          <cell r="J1051">
            <v>17.8</v>
          </cell>
          <cell r="K1051">
            <v>2</v>
          </cell>
          <cell r="L1051">
            <v>5</v>
          </cell>
          <cell r="M1051">
            <v>10</v>
          </cell>
          <cell r="N1051">
            <v>20</v>
          </cell>
          <cell r="O1051">
            <v>30</v>
          </cell>
          <cell r="P1051">
            <v>60</v>
          </cell>
        </row>
        <row r="1052">
          <cell r="A1052" t="str">
            <v>HFSHS120x120x6.3</v>
          </cell>
          <cell r="B1052" t="str">
            <v>a=1.0 x t</v>
          </cell>
          <cell r="C1052">
            <v>6.3</v>
          </cell>
          <cell r="D1052"/>
          <cell r="E1052"/>
          <cell r="F1052">
            <v>2</v>
          </cell>
          <cell r="G1052">
            <v>2</v>
          </cell>
          <cell r="H1052">
            <v>0.46400000000000002</v>
          </cell>
          <cell r="I1052">
            <v>2.0995475113122171E-2</v>
          </cell>
          <cell r="J1052">
            <v>22.1</v>
          </cell>
          <cell r="K1052">
            <v>5</v>
          </cell>
          <cell r="L1052">
            <v>10</v>
          </cell>
          <cell r="M1052">
            <v>20</v>
          </cell>
          <cell r="N1052">
            <v>30</v>
          </cell>
          <cell r="O1052">
            <v>60</v>
          </cell>
          <cell r="P1052">
            <v>90</v>
          </cell>
        </row>
        <row r="1053">
          <cell r="A1053" t="str">
            <v>HFSHS120x120x7.1</v>
          </cell>
          <cell r="B1053" t="str">
            <v>a=1.0 x t</v>
          </cell>
          <cell r="C1053">
            <v>7.1</v>
          </cell>
          <cell r="D1053"/>
          <cell r="E1053"/>
          <cell r="F1053">
            <v>2</v>
          </cell>
          <cell r="G1053">
            <v>3</v>
          </cell>
          <cell r="H1053">
            <v>0.46200000000000002</v>
          </cell>
          <cell r="I1053">
            <v>1.8704453441295548E-2</v>
          </cell>
          <cell r="J1053">
            <v>24.7</v>
          </cell>
          <cell r="K1053">
            <v>5</v>
          </cell>
          <cell r="L1053">
            <v>10</v>
          </cell>
          <cell r="M1053">
            <v>20</v>
          </cell>
          <cell r="N1053">
            <v>30</v>
          </cell>
          <cell r="O1053">
            <v>60</v>
          </cell>
          <cell r="P1053">
            <v>90</v>
          </cell>
        </row>
        <row r="1054">
          <cell r="A1054" t="str">
            <v>HFSHS120x120x8</v>
          </cell>
          <cell r="B1054" t="str">
            <v>a=1.0 x t</v>
          </cell>
          <cell r="C1054">
            <v>8</v>
          </cell>
          <cell r="D1054"/>
          <cell r="E1054"/>
          <cell r="F1054">
            <v>2</v>
          </cell>
          <cell r="G1054">
            <v>3</v>
          </cell>
          <cell r="H1054">
            <v>0.45900000000000002</v>
          </cell>
          <cell r="I1054">
            <v>1.6630434782608696E-2</v>
          </cell>
          <cell r="J1054">
            <v>27.6</v>
          </cell>
          <cell r="K1054">
            <v>5</v>
          </cell>
          <cell r="L1054">
            <v>10</v>
          </cell>
          <cell r="M1054">
            <v>20</v>
          </cell>
          <cell r="N1054">
            <v>30</v>
          </cell>
          <cell r="O1054">
            <v>60</v>
          </cell>
          <cell r="P1054">
            <v>90</v>
          </cell>
        </row>
        <row r="1055">
          <cell r="A1055" t="str">
            <v>HFSHS120x120x8.8</v>
          </cell>
          <cell r="B1055" t="str">
            <v>a=1.0 x t</v>
          </cell>
          <cell r="C1055">
            <v>8.8000000000000007</v>
          </cell>
          <cell r="D1055"/>
          <cell r="E1055"/>
          <cell r="F1055">
            <v>2</v>
          </cell>
          <cell r="G1055">
            <v>3</v>
          </cell>
          <cell r="H1055">
            <v>0.45700000000000002</v>
          </cell>
          <cell r="I1055">
            <v>1.5182724252491694E-2</v>
          </cell>
          <cell r="J1055">
            <v>30.1</v>
          </cell>
          <cell r="K1055">
            <v>5</v>
          </cell>
          <cell r="L1055">
            <v>10</v>
          </cell>
          <cell r="M1055">
            <v>20</v>
          </cell>
          <cell r="N1055">
            <v>30</v>
          </cell>
          <cell r="O1055">
            <v>60</v>
          </cell>
          <cell r="P1055">
            <v>90</v>
          </cell>
        </row>
        <row r="1056">
          <cell r="A1056" t="str">
            <v>HFSHS120x120x10</v>
          </cell>
          <cell r="B1056" t="str">
            <v>a=1.0 x t</v>
          </cell>
          <cell r="C1056">
            <v>10</v>
          </cell>
          <cell r="D1056"/>
          <cell r="E1056"/>
          <cell r="F1056">
            <v>2</v>
          </cell>
          <cell r="G1056">
            <v>6</v>
          </cell>
          <cell r="H1056">
            <v>0.45400000000000001</v>
          </cell>
          <cell r="I1056">
            <v>1.3471810089020771E-2</v>
          </cell>
          <cell r="J1056">
            <v>33.700000000000003</v>
          </cell>
          <cell r="K1056">
            <v>5</v>
          </cell>
          <cell r="L1056">
            <v>10</v>
          </cell>
          <cell r="M1056">
            <v>20</v>
          </cell>
          <cell r="N1056">
            <v>30</v>
          </cell>
          <cell r="O1056">
            <v>60</v>
          </cell>
          <cell r="P1056">
            <v>90</v>
          </cell>
        </row>
        <row r="1057">
          <cell r="A1057" t="str">
            <v>HFSHS120x120x12.5</v>
          </cell>
          <cell r="B1057" t="str">
            <v>a=1.0 x t</v>
          </cell>
          <cell r="C1057">
            <v>12.5</v>
          </cell>
          <cell r="D1057"/>
          <cell r="E1057" t="str">
            <v>Jah</v>
          </cell>
          <cell r="F1057">
            <v>2</v>
          </cell>
          <cell r="G1057">
            <v>6</v>
          </cell>
          <cell r="H1057">
            <v>0.44800000000000001</v>
          </cell>
          <cell r="I1057">
            <v>1.0953545232273839E-2</v>
          </cell>
          <cell r="J1057">
            <v>40.9</v>
          </cell>
          <cell r="K1057">
            <v>5</v>
          </cell>
          <cell r="L1057">
            <v>10</v>
          </cell>
          <cell r="M1057">
            <v>20</v>
          </cell>
          <cell r="N1057">
            <v>30</v>
          </cell>
          <cell r="O1057">
            <v>60</v>
          </cell>
          <cell r="P1057">
            <v>90</v>
          </cell>
        </row>
        <row r="1058">
          <cell r="A1058" t="str">
            <v>HFSHS140x140x5</v>
          </cell>
          <cell r="B1058" t="str">
            <v>a=1.0 x t</v>
          </cell>
          <cell r="C1058">
            <v>5</v>
          </cell>
          <cell r="D1058"/>
          <cell r="E1058"/>
          <cell r="F1058">
            <v>2</v>
          </cell>
          <cell r="G1058">
            <v>1</v>
          </cell>
          <cell r="H1058">
            <v>0.54700000000000004</v>
          </cell>
          <cell r="I1058">
            <v>2.6047619047619049E-2</v>
          </cell>
          <cell r="J1058">
            <v>21</v>
          </cell>
          <cell r="K1058">
            <v>5</v>
          </cell>
          <cell r="L1058">
            <v>10</v>
          </cell>
          <cell r="M1058">
            <v>20</v>
          </cell>
          <cell r="N1058">
            <v>30</v>
          </cell>
          <cell r="O1058">
            <v>60</v>
          </cell>
          <cell r="P1058">
            <v>90</v>
          </cell>
        </row>
        <row r="1059">
          <cell r="A1059" t="str">
            <v>HFSHS140x140x6.3</v>
          </cell>
          <cell r="B1059" t="str">
            <v>a=1.0 x t</v>
          </cell>
          <cell r="C1059">
            <v>6.3</v>
          </cell>
          <cell r="D1059"/>
          <cell r="E1059"/>
          <cell r="F1059">
            <v>2</v>
          </cell>
          <cell r="G1059">
            <v>2</v>
          </cell>
          <cell r="H1059">
            <v>0.54400000000000004</v>
          </cell>
          <cell r="I1059">
            <v>2.0842911877394635E-2</v>
          </cell>
          <cell r="J1059">
            <v>26.1</v>
          </cell>
          <cell r="K1059">
            <v>5</v>
          </cell>
          <cell r="L1059">
            <v>10</v>
          </cell>
          <cell r="M1059">
            <v>20</v>
          </cell>
          <cell r="N1059">
            <v>30</v>
          </cell>
          <cell r="O1059">
            <v>60</v>
          </cell>
          <cell r="P1059">
            <v>90</v>
          </cell>
        </row>
        <row r="1060">
          <cell r="A1060" t="str">
            <v>HFSHS140x140x7.1</v>
          </cell>
          <cell r="B1060" t="str">
            <v>a=1.0 x t</v>
          </cell>
          <cell r="C1060">
            <v>7.1</v>
          </cell>
          <cell r="D1060"/>
          <cell r="E1060"/>
          <cell r="F1060">
            <v>2</v>
          </cell>
          <cell r="G1060">
            <v>3</v>
          </cell>
          <cell r="H1060">
            <v>0.54200000000000004</v>
          </cell>
          <cell r="I1060">
            <v>1.856164383561644E-2</v>
          </cell>
          <cell r="J1060">
            <v>29.2</v>
          </cell>
          <cell r="K1060">
            <v>5</v>
          </cell>
          <cell r="L1060">
            <v>10</v>
          </cell>
          <cell r="M1060">
            <v>20</v>
          </cell>
          <cell r="N1060">
            <v>30</v>
          </cell>
          <cell r="O1060">
            <v>60</v>
          </cell>
          <cell r="P1060">
            <v>90</v>
          </cell>
        </row>
        <row r="1061">
          <cell r="A1061" t="str">
            <v>HFSHS140x140x8</v>
          </cell>
          <cell r="B1061" t="str">
            <v>a=1.0 x t</v>
          </cell>
          <cell r="C1061">
            <v>8</v>
          </cell>
          <cell r="D1061"/>
          <cell r="E1061"/>
          <cell r="F1061">
            <v>2</v>
          </cell>
          <cell r="G1061">
            <v>3</v>
          </cell>
          <cell r="H1061">
            <v>0.53900000000000003</v>
          </cell>
          <cell r="I1061">
            <v>1.6483180428134556E-2</v>
          </cell>
          <cell r="J1061">
            <v>32.700000000000003</v>
          </cell>
          <cell r="K1061">
            <v>5</v>
          </cell>
          <cell r="L1061">
            <v>10</v>
          </cell>
          <cell r="M1061">
            <v>20</v>
          </cell>
          <cell r="N1061">
            <v>30</v>
          </cell>
          <cell r="O1061">
            <v>60</v>
          </cell>
          <cell r="P1061">
            <v>90</v>
          </cell>
        </row>
        <row r="1062">
          <cell r="A1062" t="str">
            <v>HFSHS140x140x8.8</v>
          </cell>
          <cell r="B1062" t="str">
            <v>a=1.0 x t</v>
          </cell>
          <cell r="C1062">
            <v>8.8000000000000007</v>
          </cell>
          <cell r="D1062"/>
          <cell r="E1062"/>
          <cell r="F1062">
            <v>2</v>
          </cell>
          <cell r="G1062">
            <v>3</v>
          </cell>
          <cell r="H1062">
            <v>0.53700000000000003</v>
          </cell>
          <cell r="I1062">
            <v>1.5084269662921349E-2</v>
          </cell>
          <cell r="J1062">
            <v>35.6</v>
          </cell>
          <cell r="K1062">
            <v>5</v>
          </cell>
          <cell r="L1062">
            <v>10</v>
          </cell>
          <cell r="M1062">
            <v>20</v>
          </cell>
          <cell r="N1062">
            <v>30</v>
          </cell>
          <cell r="O1062">
            <v>60</v>
          </cell>
          <cell r="P1062">
            <v>90</v>
          </cell>
        </row>
        <row r="1063">
          <cell r="A1063" t="str">
            <v>HFSHS140x140x10</v>
          </cell>
          <cell r="B1063" t="str">
            <v>a=1.0 x t</v>
          </cell>
          <cell r="C1063">
            <v>10</v>
          </cell>
          <cell r="D1063"/>
          <cell r="E1063"/>
          <cell r="F1063">
            <v>2</v>
          </cell>
          <cell r="G1063">
            <v>6</v>
          </cell>
          <cell r="H1063">
            <v>0.53400000000000003</v>
          </cell>
          <cell r="I1063">
            <v>1.3350000000000001E-2</v>
          </cell>
          <cell r="J1063">
            <v>40</v>
          </cell>
          <cell r="K1063">
            <v>5</v>
          </cell>
          <cell r="L1063">
            <v>10</v>
          </cell>
          <cell r="M1063">
            <v>20</v>
          </cell>
          <cell r="N1063">
            <v>30</v>
          </cell>
          <cell r="O1063">
            <v>60</v>
          </cell>
          <cell r="P1063">
            <v>90</v>
          </cell>
        </row>
        <row r="1064">
          <cell r="A1064" t="str">
            <v>HFSHS140x140x12.5</v>
          </cell>
          <cell r="B1064" t="str">
            <v>a=1.0 x t</v>
          </cell>
          <cell r="C1064">
            <v>12.5</v>
          </cell>
          <cell r="D1064"/>
          <cell r="E1064" t="str">
            <v>Jah</v>
          </cell>
          <cell r="F1064">
            <v>2</v>
          </cell>
          <cell r="G1064">
            <v>6</v>
          </cell>
          <cell r="H1064">
            <v>0.52800000000000002</v>
          </cell>
          <cell r="I1064">
            <v>1.084188911704312E-2</v>
          </cell>
          <cell r="J1064">
            <v>48.7</v>
          </cell>
          <cell r="K1064">
            <v>5</v>
          </cell>
          <cell r="L1064">
            <v>10</v>
          </cell>
          <cell r="M1064">
            <v>20</v>
          </cell>
          <cell r="N1064">
            <v>30</v>
          </cell>
          <cell r="O1064">
            <v>60</v>
          </cell>
          <cell r="P1064">
            <v>90</v>
          </cell>
        </row>
        <row r="1065">
          <cell r="A1065" t="str">
            <v>HFSHS150x150x5</v>
          </cell>
          <cell r="B1065" t="str">
            <v>a=1.0 x t</v>
          </cell>
          <cell r="C1065">
            <v>5</v>
          </cell>
          <cell r="D1065"/>
          <cell r="E1065"/>
          <cell r="F1065">
            <v>2</v>
          </cell>
          <cell r="G1065">
            <v>1</v>
          </cell>
          <cell r="H1065">
            <v>0.58699999999999997</v>
          </cell>
          <cell r="I1065">
            <v>2.6088888888888887E-2</v>
          </cell>
          <cell r="J1065">
            <v>22.5</v>
          </cell>
          <cell r="K1065">
            <v>5</v>
          </cell>
          <cell r="L1065">
            <v>10</v>
          </cell>
          <cell r="M1065">
            <v>20</v>
          </cell>
          <cell r="N1065">
            <v>30</v>
          </cell>
          <cell r="O1065">
            <v>60</v>
          </cell>
          <cell r="P1065">
            <v>90</v>
          </cell>
        </row>
        <row r="1066">
          <cell r="A1066" t="str">
            <v>HFSHS150x150x6.3</v>
          </cell>
          <cell r="B1066" t="str">
            <v>a=1.0 x t</v>
          </cell>
          <cell r="C1066">
            <v>6.3</v>
          </cell>
          <cell r="D1066"/>
          <cell r="E1066"/>
          <cell r="F1066">
            <v>2</v>
          </cell>
          <cell r="G1066">
            <v>2</v>
          </cell>
          <cell r="H1066">
            <v>0.58399999999999996</v>
          </cell>
          <cell r="I1066">
            <v>2.078291814946619E-2</v>
          </cell>
          <cell r="J1066">
            <v>28.1</v>
          </cell>
          <cell r="K1066">
            <v>5</v>
          </cell>
          <cell r="L1066">
            <v>10</v>
          </cell>
          <cell r="M1066">
            <v>20</v>
          </cell>
          <cell r="N1066">
            <v>30</v>
          </cell>
          <cell r="O1066">
            <v>60</v>
          </cell>
          <cell r="P1066">
            <v>90</v>
          </cell>
        </row>
        <row r="1067">
          <cell r="A1067" t="str">
            <v>HFSHS150x150x7.1</v>
          </cell>
          <cell r="B1067" t="str">
            <v>a=1.0 x t</v>
          </cell>
          <cell r="C1067">
            <v>7.1</v>
          </cell>
          <cell r="D1067"/>
          <cell r="E1067"/>
          <cell r="F1067">
            <v>2</v>
          </cell>
          <cell r="G1067">
            <v>3</v>
          </cell>
          <cell r="H1067">
            <v>0.58199999999999996</v>
          </cell>
          <cell r="I1067">
            <v>1.8535031847133756E-2</v>
          </cell>
          <cell r="J1067">
            <v>31.4</v>
          </cell>
          <cell r="K1067">
            <v>5</v>
          </cell>
          <cell r="L1067">
            <v>10</v>
          </cell>
          <cell r="M1067">
            <v>20</v>
          </cell>
          <cell r="N1067">
            <v>30</v>
          </cell>
          <cell r="O1067">
            <v>60</v>
          </cell>
          <cell r="P1067">
            <v>90</v>
          </cell>
        </row>
        <row r="1068">
          <cell r="A1068" t="str">
            <v>HFSHS150x150x8</v>
          </cell>
          <cell r="B1068" t="str">
            <v>a=1.0 x t</v>
          </cell>
          <cell r="C1068">
            <v>8</v>
          </cell>
          <cell r="D1068"/>
          <cell r="E1068"/>
          <cell r="F1068">
            <v>2</v>
          </cell>
          <cell r="G1068">
            <v>3</v>
          </cell>
          <cell r="H1068">
            <v>0.57899999999999996</v>
          </cell>
          <cell r="I1068">
            <v>1.6448863636363633E-2</v>
          </cell>
          <cell r="J1068">
            <v>35.200000000000003</v>
          </cell>
          <cell r="K1068">
            <v>5</v>
          </cell>
          <cell r="L1068">
            <v>10</v>
          </cell>
          <cell r="M1068">
            <v>20</v>
          </cell>
          <cell r="N1068">
            <v>30</v>
          </cell>
          <cell r="O1068">
            <v>60</v>
          </cell>
          <cell r="P1068">
            <v>90</v>
          </cell>
        </row>
        <row r="1069">
          <cell r="A1069" t="str">
            <v>HFSHS150x150x8.8</v>
          </cell>
          <cell r="B1069" t="str">
            <v>a=1.0 x t</v>
          </cell>
          <cell r="C1069">
            <v>8.8000000000000007</v>
          </cell>
          <cell r="D1069"/>
          <cell r="E1069"/>
          <cell r="F1069">
            <v>2</v>
          </cell>
          <cell r="G1069">
            <v>3</v>
          </cell>
          <cell r="H1069">
            <v>0.57699999999999996</v>
          </cell>
          <cell r="I1069">
            <v>1.5026041666666667E-2</v>
          </cell>
          <cell r="J1069">
            <v>38.4</v>
          </cell>
          <cell r="K1069">
            <v>5</v>
          </cell>
          <cell r="L1069">
            <v>10</v>
          </cell>
          <cell r="M1069">
            <v>20</v>
          </cell>
          <cell r="N1069">
            <v>30</v>
          </cell>
          <cell r="O1069">
            <v>60</v>
          </cell>
          <cell r="P1069">
            <v>90</v>
          </cell>
        </row>
        <row r="1070">
          <cell r="A1070" t="str">
            <v>HFSHS150x150x10</v>
          </cell>
          <cell r="B1070" t="str">
            <v>a=1.0 x t</v>
          </cell>
          <cell r="C1070">
            <v>10</v>
          </cell>
          <cell r="D1070"/>
          <cell r="E1070"/>
          <cell r="F1070">
            <v>2</v>
          </cell>
          <cell r="G1070">
            <v>6</v>
          </cell>
          <cell r="H1070">
            <v>0.57399999999999995</v>
          </cell>
          <cell r="I1070">
            <v>1.3317865429234337E-2</v>
          </cell>
          <cell r="J1070">
            <v>43.1</v>
          </cell>
          <cell r="K1070">
            <v>5</v>
          </cell>
          <cell r="L1070">
            <v>10</v>
          </cell>
          <cell r="M1070">
            <v>20</v>
          </cell>
          <cell r="N1070">
            <v>30</v>
          </cell>
          <cell r="O1070">
            <v>60</v>
          </cell>
          <cell r="P1070">
            <v>90</v>
          </cell>
        </row>
        <row r="1071">
          <cell r="A1071" t="str">
            <v>HFSHS150x150x12.5</v>
          </cell>
          <cell r="B1071" t="str">
            <v>a=1.0 x t</v>
          </cell>
          <cell r="C1071">
            <v>12.5</v>
          </cell>
          <cell r="D1071"/>
          <cell r="E1071" t="str">
            <v>Jah</v>
          </cell>
          <cell r="F1071">
            <v>2</v>
          </cell>
          <cell r="G1071">
            <v>6</v>
          </cell>
          <cell r="H1071">
            <v>0.56799999999999995</v>
          </cell>
          <cell r="I1071">
            <v>1.0777988614800758E-2</v>
          </cell>
          <cell r="J1071">
            <v>52.7</v>
          </cell>
          <cell r="K1071">
            <v>5</v>
          </cell>
          <cell r="L1071">
            <v>10</v>
          </cell>
          <cell r="M1071">
            <v>20</v>
          </cell>
          <cell r="N1071">
            <v>30</v>
          </cell>
          <cell r="O1071">
            <v>60</v>
          </cell>
          <cell r="P1071">
            <v>90</v>
          </cell>
        </row>
        <row r="1072">
          <cell r="A1072" t="str">
            <v>HFSHS150x150x14.2</v>
          </cell>
          <cell r="B1072" t="str">
            <v>a=1.0 x t</v>
          </cell>
          <cell r="C1072">
            <v>14.2</v>
          </cell>
          <cell r="D1072"/>
          <cell r="E1072"/>
          <cell r="F1072">
            <v>2</v>
          </cell>
          <cell r="G1072">
            <v>10</v>
          </cell>
          <cell r="H1072">
            <v>0.56299999999999994</v>
          </cell>
          <cell r="I1072">
            <v>9.5585738539898119E-3</v>
          </cell>
          <cell r="J1072">
            <v>58.9</v>
          </cell>
          <cell r="K1072">
            <v>5</v>
          </cell>
          <cell r="L1072">
            <v>10</v>
          </cell>
          <cell r="M1072">
            <v>20</v>
          </cell>
          <cell r="N1072">
            <v>30</v>
          </cell>
          <cell r="O1072">
            <v>60</v>
          </cell>
          <cell r="P1072">
            <v>90</v>
          </cell>
        </row>
        <row r="1073">
          <cell r="A1073" t="str">
            <v>HFSHS150x150x16</v>
          </cell>
          <cell r="B1073" t="str">
            <v>a=1.0 x t</v>
          </cell>
          <cell r="C1073">
            <v>16</v>
          </cell>
          <cell r="D1073"/>
          <cell r="E1073" t="str">
            <v>Jah</v>
          </cell>
          <cell r="F1073">
            <v>2</v>
          </cell>
          <cell r="G1073">
            <v>10</v>
          </cell>
          <cell r="H1073">
            <v>0.55900000000000005</v>
          </cell>
          <cell r="I1073">
            <v>8.573619631901841E-3</v>
          </cell>
          <cell r="J1073">
            <v>65.2</v>
          </cell>
          <cell r="K1073">
            <v>5</v>
          </cell>
          <cell r="L1073">
            <v>10</v>
          </cell>
          <cell r="M1073">
            <v>20</v>
          </cell>
          <cell r="N1073">
            <v>30</v>
          </cell>
          <cell r="O1073">
            <v>60</v>
          </cell>
          <cell r="P1073">
            <v>90</v>
          </cell>
        </row>
        <row r="1074">
          <cell r="A1074" t="str">
            <v>HFSHS160x160x5</v>
          </cell>
          <cell r="B1074" t="str">
            <v>a=1.0 x t</v>
          </cell>
          <cell r="C1074">
            <v>5</v>
          </cell>
          <cell r="D1074"/>
          <cell r="E1074"/>
          <cell r="F1074">
            <v>2</v>
          </cell>
          <cell r="G1074">
            <v>2</v>
          </cell>
          <cell r="H1074">
            <v>0.627</v>
          </cell>
          <cell r="I1074">
            <v>2.6016597510373444E-2</v>
          </cell>
          <cell r="J1074">
            <v>24.1</v>
          </cell>
          <cell r="K1074">
            <v>5</v>
          </cell>
          <cell r="L1074">
            <v>10</v>
          </cell>
          <cell r="M1074">
            <v>20</v>
          </cell>
          <cell r="N1074">
            <v>30</v>
          </cell>
          <cell r="O1074">
            <v>60</v>
          </cell>
          <cell r="P1074">
            <v>90</v>
          </cell>
        </row>
        <row r="1075">
          <cell r="A1075" t="str">
            <v>HFSHS160x160x6.3</v>
          </cell>
          <cell r="B1075" t="str">
            <v>a=1.0 x t</v>
          </cell>
          <cell r="C1075">
            <v>6.3</v>
          </cell>
          <cell r="D1075"/>
          <cell r="E1075"/>
          <cell r="F1075">
            <v>2</v>
          </cell>
          <cell r="G1075">
            <v>2</v>
          </cell>
          <cell r="H1075">
            <v>0.624</v>
          </cell>
          <cell r="I1075">
            <v>2.0730897009966776E-2</v>
          </cell>
          <cell r="J1075">
            <v>30.1</v>
          </cell>
          <cell r="K1075">
            <v>5</v>
          </cell>
          <cell r="L1075">
            <v>10</v>
          </cell>
          <cell r="M1075">
            <v>20</v>
          </cell>
          <cell r="N1075">
            <v>30</v>
          </cell>
          <cell r="O1075">
            <v>60</v>
          </cell>
          <cell r="P1075">
            <v>90</v>
          </cell>
        </row>
        <row r="1076">
          <cell r="A1076" t="str">
            <v>HFSHS160x160x7.1</v>
          </cell>
          <cell r="B1076" t="str">
            <v>a=1.0 x t</v>
          </cell>
          <cell r="C1076">
            <v>7.1</v>
          </cell>
          <cell r="D1076"/>
          <cell r="E1076"/>
          <cell r="F1076">
            <v>2</v>
          </cell>
          <cell r="G1076">
            <v>3</v>
          </cell>
          <cell r="H1076">
            <v>0.622</v>
          </cell>
          <cell r="I1076">
            <v>1.8456973293768546E-2</v>
          </cell>
          <cell r="J1076">
            <v>33.700000000000003</v>
          </cell>
          <cell r="K1076">
            <v>5</v>
          </cell>
          <cell r="L1076">
            <v>10</v>
          </cell>
          <cell r="M1076">
            <v>20</v>
          </cell>
          <cell r="N1076">
            <v>30</v>
          </cell>
          <cell r="O1076">
            <v>60</v>
          </cell>
          <cell r="P1076">
            <v>90</v>
          </cell>
        </row>
        <row r="1077">
          <cell r="A1077" t="str">
            <v>HFSHS160x160x8</v>
          </cell>
          <cell r="B1077" t="str">
            <v>a=1.0 x t</v>
          </cell>
          <cell r="C1077">
            <v>8</v>
          </cell>
          <cell r="D1077"/>
          <cell r="E1077"/>
          <cell r="F1077">
            <v>2</v>
          </cell>
          <cell r="G1077">
            <v>3</v>
          </cell>
          <cell r="H1077">
            <v>0.61899999999999999</v>
          </cell>
          <cell r="I1077">
            <v>1.6419098143236072E-2</v>
          </cell>
          <cell r="J1077">
            <v>37.700000000000003</v>
          </cell>
          <cell r="K1077">
            <v>5</v>
          </cell>
          <cell r="L1077">
            <v>10</v>
          </cell>
          <cell r="M1077">
            <v>20</v>
          </cell>
          <cell r="N1077">
            <v>30</v>
          </cell>
          <cell r="O1077">
            <v>60</v>
          </cell>
          <cell r="P1077">
            <v>90</v>
          </cell>
        </row>
        <row r="1078">
          <cell r="A1078" t="str">
            <v>HFSHS160x160x8.8</v>
          </cell>
          <cell r="B1078" t="str">
            <v>a=1.0 x t</v>
          </cell>
          <cell r="C1078">
            <v>8.8000000000000007</v>
          </cell>
          <cell r="D1078"/>
          <cell r="E1078"/>
          <cell r="F1078">
            <v>2</v>
          </cell>
          <cell r="G1078">
            <v>3</v>
          </cell>
          <cell r="H1078">
            <v>0.61699999999999999</v>
          </cell>
          <cell r="I1078">
            <v>1.5012165450121654E-2</v>
          </cell>
          <cell r="J1078">
            <v>41.1</v>
          </cell>
          <cell r="K1078">
            <v>5</v>
          </cell>
          <cell r="L1078">
            <v>10</v>
          </cell>
          <cell r="M1078">
            <v>20</v>
          </cell>
          <cell r="N1078">
            <v>30</v>
          </cell>
          <cell r="O1078">
            <v>60</v>
          </cell>
          <cell r="P1078">
            <v>90</v>
          </cell>
        </row>
        <row r="1079">
          <cell r="A1079" t="str">
            <v>HFSHS160x160x10</v>
          </cell>
          <cell r="B1079" t="str">
            <v>a=1.0 x t</v>
          </cell>
          <cell r="C1079">
            <v>10</v>
          </cell>
          <cell r="D1079"/>
          <cell r="E1079"/>
          <cell r="F1079">
            <v>2</v>
          </cell>
          <cell r="G1079">
            <v>6</v>
          </cell>
          <cell r="H1079">
            <v>0.61399999999999999</v>
          </cell>
          <cell r="I1079">
            <v>1.3261339092872571E-2</v>
          </cell>
          <cell r="J1079">
            <v>46.3</v>
          </cell>
          <cell r="K1079">
            <v>5</v>
          </cell>
          <cell r="L1079">
            <v>10</v>
          </cell>
          <cell r="M1079">
            <v>20</v>
          </cell>
          <cell r="N1079">
            <v>30</v>
          </cell>
          <cell r="O1079">
            <v>60</v>
          </cell>
          <cell r="P1079">
            <v>90</v>
          </cell>
        </row>
        <row r="1080">
          <cell r="A1080" t="str">
            <v>HFSHS160x160x12.5</v>
          </cell>
          <cell r="B1080" t="str">
            <v>a=1.0 x t</v>
          </cell>
          <cell r="C1080">
            <v>12.5</v>
          </cell>
          <cell r="D1080"/>
          <cell r="E1080" t="str">
            <v>Jah</v>
          </cell>
          <cell r="F1080">
            <v>2</v>
          </cell>
          <cell r="G1080">
            <v>6</v>
          </cell>
          <cell r="H1080">
            <v>0.60799999999999998</v>
          </cell>
          <cell r="I1080">
            <v>1.0742049469964664E-2</v>
          </cell>
          <cell r="J1080">
            <v>56.6</v>
          </cell>
          <cell r="K1080">
            <v>5</v>
          </cell>
          <cell r="L1080">
            <v>10</v>
          </cell>
          <cell r="M1080">
            <v>20</v>
          </cell>
          <cell r="N1080">
            <v>30</v>
          </cell>
          <cell r="O1080">
            <v>60</v>
          </cell>
          <cell r="P1080">
            <v>90</v>
          </cell>
        </row>
        <row r="1081">
          <cell r="A1081" t="str">
            <v>HFSHS160x160x14.2</v>
          </cell>
          <cell r="B1081" t="str">
            <v>a=1.0 x t</v>
          </cell>
          <cell r="C1081">
            <v>14.2</v>
          </cell>
          <cell r="D1081"/>
          <cell r="E1081"/>
          <cell r="F1081">
            <v>2</v>
          </cell>
          <cell r="G1081">
            <v>10</v>
          </cell>
          <cell r="H1081">
            <v>0.60299999999999998</v>
          </cell>
          <cell r="I1081">
            <v>9.526066350710901E-3</v>
          </cell>
          <cell r="J1081">
            <v>63.3</v>
          </cell>
          <cell r="K1081">
            <v>5</v>
          </cell>
          <cell r="L1081">
            <v>10</v>
          </cell>
          <cell r="M1081">
            <v>20</v>
          </cell>
          <cell r="N1081">
            <v>30</v>
          </cell>
          <cell r="O1081">
            <v>60</v>
          </cell>
          <cell r="P1081">
            <v>90</v>
          </cell>
        </row>
        <row r="1082">
          <cell r="A1082" t="str">
            <v>HFSHS160x160x16</v>
          </cell>
          <cell r="B1082" t="str">
            <v>a=1.0 x t</v>
          </cell>
          <cell r="C1082">
            <v>16</v>
          </cell>
          <cell r="D1082"/>
          <cell r="E1082" t="str">
            <v>Jah</v>
          </cell>
          <cell r="F1082">
            <v>2</v>
          </cell>
          <cell r="G1082">
            <v>10</v>
          </cell>
          <cell r="H1082">
            <v>0.59899999999999998</v>
          </cell>
          <cell r="I1082">
            <v>8.5327635327635317E-3</v>
          </cell>
          <cell r="J1082">
            <v>70.2</v>
          </cell>
          <cell r="K1082">
            <v>5</v>
          </cell>
          <cell r="L1082">
            <v>10</v>
          </cell>
          <cell r="M1082">
            <v>20</v>
          </cell>
          <cell r="N1082">
            <v>30</v>
          </cell>
          <cell r="O1082">
            <v>60</v>
          </cell>
          <cell r="P1082">
            <v>90</v>
          </cell>
        </row>
        <row r="1083">
          <cell r="A1083" t="str">
            <v>HFSHS180x180x5</v>
          </cell>
          <cell r="B1083" t="str">
            <v>a=1.0 x t</v>
          </cell>
          <cell r="C1083">
            <v>5</v>
          </cell>
          <cell r="D1083"/>
          <cell r="E1083"/>
          <cell r="F1083">
            <v>2</v>
          </cell>
          <cell r="G1083">
            <v>2</v>
          </cell>
          <cell r="H1083">
            <v>0.70299999999999996</v>
          </cell>
          <cell r="I1083">
            <v>2.6037037037037036E-2</v>
          </cell>
          <cell r="J1083">
            <v>27</v>
          </cell>
          <cell r="K1083">
            <v>5</v>
          </cell>
          <cell r="L1083">
            <v>10</v>
          </cell>
          <cell r="M1083">
            <v>20</v>
          </cell>
          <cell r="N1083">
            <v>30</v>
          </cell>
          <cell r="O1083">
            <v>60</v>
          </cell>
          <cell r="P1083">
            <v>90</v>
          </cell>
        </row>
        <row r="1084">
          <cell r="A1084" t="str">
            <v>HFSHS180x180x6.3</v>
          </cell>
          <cell r="B1084" t="str">
            <v>a=1.0 x t</v>
          </cell>
          <cell r="C1084">
            <v>6.3</v>
          </cell>
          <cell r="D1084"/>
          <cell r="E1084"/>
          <cell r="F1084">
            <v>2</v>
          </cell>
          <cell r="G1084">
            <v>2</v>
          </cell>
          <cell r="H1084">
            <v>0.70399999999999996</v>
          </cell>
          <cell r="I1084">
            <v>2.0705882352941175E-2</v>
          </cell>
          <cell r="J1084">
            <v>34</v>
          </cell>
          <cell r="K1084">
            <v>5</v>
          </cell>
          <cell r="L1084">
            <v>10</v>
          </cell>
          <cell r="M1084">
            <v>20</v>
          </cell>
          <cell r="N1084">
            <v>30</v>
          </cell>
          <cell r="O1084">
            <v>60</v>
          </cell>
          <cell r="P1084">
            <v>90</v>
          </cell>
        </row>
        <row r="1085">
          <cell r="A1085" t="str">
            <v>HFSHS180x180x7.1</v>
          </cell>
          <cell r="B1085" t="str">
            <v>a=1.0 x t</v>
          </cell>
          <cell r="C1085">
            <v>7.1</v>
          </cell>
          <cell r="D1085"/>
          <cell r="E1085"/>
          <cell r="F1085">
            <v>2</v>
          </cell>
          <cell r="G1085">
            <v>3</v>
          </cell>
          <cell r="H1085">
            <v>0.70199999999999996</v>
          </cell>
          <cell r="I1085">
            <v>1.8376963350785338E-2</v>
          </cell>
          <cell r="J1085">
            <v>38.200000000000003</v>
          </cell>
          <cell r="K1085">
            <v>5</v>
          </cell>
          <cell r="L1085">
            <v>10</v>
          </cell>
          <cell r="M1085">
            <v>20</v>
          </cell>
          <cell r="N1085">
            <v>30</v>
          </cell>
          <cell r="O1085">
            <v>60</v>
          </cell>
          <cell r="P1085">
            <v>90</v>
          </cell>
        </row>
        <row r="1086">
          <cell r="A1086" t="str">
            <v>HFSHS180x180x8</v>
          </cell>
          <cell r="B1086" t="str">
            <v>a=1.0 x t</v>
          </cell>
          <cell r="C1086">
            <v>8</v>
          </cell>
          <cell r="D1086"/>
          <cell r="E1086"/>
          <cell r="F1086">
            <v>2</v>
          </cell>
          <cell r="G1086">
            <v>3</v>
          </cell>
          <cell r="H1086">
            <v>0.69899999999999995</v>
          </cell>
          <cell r="I1086">
            <v>1.6370023419203746E-2</v>
          </cell>
          <cell r="J1086">
            <v>42.7</v>
          </cell>
          <cell r="K1086">
            <v>5</v>
          </cell>
          <cell r="L1086">
            <v>10</v>
          </cell>
          <cell r="M1086">
            <v>20</v>
          </cell>
          <cell r="N1086">
            <v>30</v>
          </cell>
          <cell r="O1086">
            <v>60</v>
          </cell>
          <cell r="P1086">
            <v>90</v>
          </cell>
        </row>
        <row r="1087">
          <cell r="A1087" t="str">
            <v>HFSHS180x180x8.8</v>
          </cell>
          <cell r="B1087" t="str">
            <v>a=1.0 x t</v>
          </cell>
          <cell r="C1087">
            <v>8.8000000000000007</v>
          </cell>
          <cell r="D1087"/>
          <cell r="E1087"/>
          <cell r="F1087">
            <v>2</v>
          </cell>
          <cell r="G1087">
            <v>3</v>
          </cell>
          <cell r="H1087">
            <v>0.69699999999999995</v>
          </cell>
          <cell r="I1087">
            <v>1.4957081545064376E-2</v>
          </cell>
          <cell r="J1087">
            <v>46.6</v>
          </cell>
          <cell r="K1087">
            <v>5</v>
          </cell>
          <cell r="L1087">
            <v>10</v>
          </cell>
          <cell r="M1087">
            <v>20</v>
          </cell>
          <cell r="N1087">
            <v>30</v>
          </cell>
          <cell r="O1087">
            <v>60</v>
          </cell>
          <cell r="P1087">
            <v>90</v>
          </cell>
        </row>
        <row r="1088">
          <cell r="A1088" t="str">
            <v>HFSHS180x180x10</v>
          </cell>
          <cell r="B1088" t="str">
            <v>a=1.0 x t</v>
          </cell>
          <cell r="C1088">
            <v>10</v>
          </cell>
          <cell r="D1088"/>
          <cell r="E1088"/>
          <cell r="F1088">
            <v>2</v>
          </cell>
          <cell r="G1088">
            <v>6</v>
          </cell>
          <cell r="H1088">
            <v>0.69399999999999995</v>
          </cell>
          <cell r="I1088">
            <v>1.3219047619047618E-2</v>
          </cell>
          <cell r="J1088">
            <v>52.5</v>
          </cell>
          <cell r="K1088">
            <v>5</v>
          </cell>
          <cell r="L1088">
            <v>10</v>
          </cell>
          <cell r="M1088">
            <v>20</v>
          </cell>
          <cell r="N1088">
            <v>30</v>
          </cell>
          <cell r="O1088">
            <v>60</v>
          </cell>
          <cell r="P1088">
            <v>90</v>
          </cell>
        </row>
        <row r="1089">
          <cell r="A1089" t="str">
            <v>HFSHS180x180x12.5</v>
          </cell>
          <cell r="B1089" t="str">
            <v>a=1.0 x t</v>
          </cell>
          <cell r="C1089">
            <v>12.5</v>
          </cell>
          <cell r="D1089"/>
          <cell r="E1089" t="str">
            <v>Jah</v>
          </cell>
          <cell r="F1089">
            <v>2</v>
          </cell>
          <cell r="G1089">
            <v>6</v>
          </cell>
          <cell r="H1089">
            <v>0.68799999999999994</v>
          </cell>
          <cell r="I1089">
            <v>1.0683229813664595E-2</v>
          </cell>
          <cell r="J1089">
            <v>64.400000000000006</v>
          </cell>
          <cell r="K1089">
            <v>5</v>
          </cell>
          <cell r="L1089">
            <v>10</v>
          </cell>
          <cell r="M1089">
            <v>20</v>
          </cell>
          <cell r="N1089">
            <v>30</v>
          </cell>
          <cell r="O1089">
            <v>60</v>
          </cell>
          <cell r="P1089">
            <v>90</v>
          </cell>
        </row>
        <row r="1090">
          <cell r="A1090" t="str">
            <v>HFSHS180x180x14.2</v>
          </cell>
          <cell r="B1090" t="str">
            <v>a=1.0 x t</v>
          </cell>
          <cell r="C1090">
            <v>14.2</v>
          </cell>
          <cell r="D1090"/>
          <cell r="E1090"/>
          <cell r="F1090">
            <v>2</v>
          </cell>
          <cell r="G1090">
            <v>10</v>
          </cell>
          <cell r="H1090">
            <v>0.68300000000000005</v>
          </cell>
          <cell r="I1090">
            <v>9.4598337950138507E-3</v>
          </cell>
          <cell r="J1090">
            <v>72.2</v>
          </cell>
          <cell r="K1090">
            <v>5</v>
          </cell>
          <cell r="L1090">
            <v>10</v>
          </cell>
          <cell r="M1090">
            <v>20</v>
          </cell>
          <cell r="N1090">
            <v>30</v>
          </cell>
          <cell r="O1090">
            <v>60</v>
          </cell>
          <cell r="P1090">
            <v>90</v>
          </cell>
        </row>
        <row r="1091">
          <cell r="A1091" t="str">
            <v>HFSHS180x180x16</v>
          </cell>
          <cell r="B1091" t="str">
            <v>a=1.0 x t</v>
          </cell>
          <cell r="C1091">
            <v>16</v>
          </cell>
          <cell r="D1091"/>
          <cell r="E1091" t="str">
            <v>Jah</v>
          </cell>
          <cell r="F1091">
            <v>2</v>
          </cell>
          <cell r="G1091">
            <v>10</v>
          </cell>
          <cell r="H1091">
            <v>0.67900000000000005</v>
          </cell>
          <cell r="I1091">
            <v>8.476903870162299E-3</v>
          </cell>
          <cell r="J1091">
            <v>80.099999999999994</v>
          </cell>
          <cell r="K1091">
            <v>5</v>
          </cell>
          <cell r="L1091">
            <v>10</v>
          </cell>
          <cell r="M1091">
            <v>20</v>
          </cell>
          <cell r="N1091">
            <v>30</v>
          </cell>
          <cell r="O1091">
            <v>60</v>
          </cell>
          <cell r="P1091">
            <v>90</v>
          </cell>
        </row>
        <row r="1092">
          <cell r="A1092" t="str">
            <v>HFSHS200x200x5</v>
          </cell>
          <cell r="B1092" t="str">
            <v>a=1.0 x t</v>
          </cell>
          <cell r="C1092">
            <v>5</v>
          </cell>
          <cell r="D1092"/>
          <cell r="E1092"/>
          <cell r="F1092">
            <v>2</v>
          </cell>
          <cell r="G1092">
            <v>2</v>
          </cell>
          <cell r="H1092">
            <v>0.78700000000000003</v>
          </cell>
          <cell r="I1092">
            <v>2.5888157894736846E-2</v>
          </cell>
          <cell r="J1092">
            <v>30.4</v>
          </cell>
          <cell r="K1092">
            <v>5</v>
          </cell>
          <cell r="L1092">
            <v>10</v>
          </cell>
          <cell r="M1092">
            <v>20</v>
          </cell>
          <cell r="N1092">
            <v>30</v>
          </cell>
          <cell r="O1092">
            <v>60</v>
          </cell>
          <cell r="P1092">
            <v>90</v>
          </cell>
        </row>
        <row r="1093">
          <cell r="A1093" t="str">
            <v>HFSHS200x200x6.3</v>
          </cell>
          <cell r="B1093" t="str">
            <v>a=1.0 x t</v>
          </cell>
          <cell r="C1093">
            <v>6.3</v>
          </cell>
          <cell r="D1093"/>
          <cell r="E1093"/>
          <cell r="F1093">
            <v>2</v>
          </cell>
          <cell r="G1093">
            <v>2</v>
          </cell>
          <cell r="H1093">
            <v>0.78400000000000003</v>
          </cell>
          <cell r="I1093">
            <v>2.0631578947368421E-2</v>
          </cell>
          <cell r="J1093">
            <v>38</v>
          </cell>
          <cell r="K1093">
            <v>5</v>
          </cell>
          <cell r="L1093">
            <v>10</v>
          </cell>
          <cell r="M1093">
            <v>20</v>
          </cell>
          <cell r="N1093">
            <v>30</v>
          </cell>
          <cell r="O1093">
            <v>60</v>
          </cell>
          <cell r="P1093">
            <v>90</v>
          </cell>
        </row>
        <row r="1094">
          <cell r="A1094" t="str">
            <v>HFSHS200x200x7.1</v>
          </cell>
          <cell r="B1094" t="str">
            <v>a=1.0 x t</v>
          </cell>
          <cell r="C1094">
            <v>7.1</v>
          </cell>
          <cell r="D1094"/>
          <cell r="E1094"/>
          <cell r="F1094">
            <v>2</v>
          </cell>
          <cell r="G1094">
            <v>3</v>
          </cell>
          <cell r="H1094">
            <v>0.78200000000000003</v>
          </cell>
          <cell r="I1094">
            <v>1.0786206896551725E-2</v>
          </cell>
          <cell r="J1094">
            <v>72.5</v>
          </cell>
          <cell r="K1094">
            <v>5</v>
          </cell>
          <cell r="L1094">
            <v>10</v>
          </cell>
          <cell r="M1094">
            <v>20</v>
          </cell>
          <cell r="N1094">
            <v>30</v>
          </cell>
          <cell r="O1094">
            <v>60</v>
          </cell>
          <cell r="P1094">
            <v>90</v>
          </cell>
        </row>
        <row r="1095">
          <cell r="A1095" t="str">
            <v>HFSHS200x200x8</v>
          </cell>
          <cell r="B1095" t="str">
            <v>a=1.0 x t</v>
          </cell>
          <cell r="C1095">
            <v>8</v>
          </cell>
          <cell r="D1095"/>
          <cell r="E1095"/>
          <cell r="F1095">
            <v>2</v>
          </cell>
          <cell r="G1095">
            <v>3</v>
          </cell>
          <cell r="H1095">
            <v>0.77900000000000003</v>
          </cell>
          <cell r="I1095">
            <v>1.6331236897274632E-2</v>
          </cell>
          <cell r="J1095">
            <v>47.7</v>
          </cell>
          <cell r="K1095">
            <v>5</v>
          </cell>
          <cell r="L1095">
            <v>10</v>
          </cell>
          <cell r="M1095">
            <v>20</v>
          </cell>
          <cell r="N1095">
            <v>30</v>
          </cell>
          <cell r="O1095">
            <v>60</v>
          </cell>
          <cell r="P1095">
            <v>90</v>
          </cell>
        </row>
        <row r="1096">
          <cell r="A1096" t="str">
            <v>HFSHS200x200x8.8</v>
          </cell>
          <cell r="B1096" t="str">
            <v>a=1.0 x t</v>
          </cell>
          <cell r="C1096">
            <v>8.8000000000000007</v>
          </cell>
          <cell r="D1096"/>
          <cell r="E1096"/>
          <cell r="F1096">
            <v>2</v>
          </cell>
          <cell r="G1096">
            <v>3</v>
          </cell>
          <cell r="H1096">
            <v>0.77700000000000002</v>
          </cell>
          <cell r="I1096">
            <v>1.4885057471264368E-2</v>
          </cell>
          <cell r="J1096">
            <v>52.2</v>
          </cell>
          <cell r="K1096">
            <v>5</v>
          </cell>
          <cell r="L1096">
            <v>10</v>
          </cell>
          <cell r="M1096">
            <v>20</v>
          </cell>
          <cell r="N1096">
            <v>30</v>
          </cell>
          <cell r="O1096">
            <v>60</v>
          </cell>
          <cell r="P1096">
            <v>90</v>
          </cell>
        </row>
        <row r="1097">
          <cell r="A1097" t="str">
            <v>HFSHS200x200x10</v>
          </cell>
          <cell r="B1097" t="str">
            <v>a=1.0 x t</v>
          </cell>
          <cell r="C1097">
            <v>10</v>
          </cell>
          <cell r="D1097"/>
          <cell r="E1097"/>
          <cell r="F1097">
            <v>2</v>
          </cell>
          <cell r="G1097">
            <v>6</v>
          </cell>
          <cell r="H1097">
            <v>0.77400000000000002</v>
          </cell>
          <cell r="I1097">
            <v>1.3163265306122451E-2</v>
          </cell>
          <cell r="J1097">
            <v>58.8</v>
          </cell>
          <cell r="K1097">
            <v>5</v>
          </cell>
          <cell r="L1097">
            <v>10</v>
          </cell>
          <cell r="M1097">
            <v>20</v>
          </cell>
          <cell r="N1097">
            <v>30</v>
          </cell>
          <cell r="O1097">
            <v>60</v>
          </cell>
          <cell r="P1097">
            <v>90</v>
          </cell>
        </row>
        <row r="1098">
          <cell r="A1098" t="str">
            <v>HFSHS200x200x12</v>
          </cell>
          <cell r="B1098" t="str">
            <v>a=1.0 x t</v>
          </cell>
          <cell r="C1098">
            <v>12</v>
          </cell>
          <cell r="D1098"/>
          <cell r="E1098" t="str">
            <v>Jah</v>
          </cell>
          <cell r="F1098">
            <v>2</v>
          </cell>
          <cell r="G1098">
            <v>6</v>
          </cell>
          <cell r="H1098">
            <v>0.77</v>
          </cell>
          <cell r="I1098">
            <v>1.0845070422535212E-2</v>
          </cell>
          <cell r="J1098">
            <v>71</v>
          </cell>
          <cell r="K1098">
            <v>5</v>
          </cell>
          <cell r="L1098">
            <v>10</v>
          </cell>
          <cell r="M1098">
            <v>20</v>
          </cell>
          <cell r="N1098">
            <v>30</v>
          </cell>
          <cell r="O1098">
            <v>60</v>
          </cell>
          <cell r="P1098">
            <v>90</v>
          </cell>
        </row>
        <row r="1099">
          <cell r="A1099" t="str">
            <v>HFSHS200x200x12.5</v>
          </cell>
          <cell r="B1099" t="str">
            <v>a=1.0 x t</v>
          </cell>
          <cell r="C1099">
            <v>12.5</v>
          </cell>
          <cell r="D1099"/>
          <cell r="E1099" t="str">
            <v>Jah</v>
          </cell>
          <cell r="F1099">
            <v>2</v>
          </cell>
          <cell r="G1099">
            <v>6</v>
          </cell>
          <cell r="H1099">
            <v>0.76800000000000002</v>
          </cell>
          <cell r="I1099">
            <v>1.0622406639004151E-2</v>
          </cell>
          <cell r="J1099">
            <v>72.3</v>
          </cell>
          <cell r="K1099">
            <v>5</v>
          </cell>
          <cell r="L1099">
            <v>10</v>
          </cell>
          <cell r="M1099">
            <v>20</v>
          </cell>
          <cell r="N1099">
            <v>30</v>
          </cell>
          <cell r="O1099">
            <v>60</v>
          </cell>
          <cell r="P1099">
            <v>90</v>
          </cell>
        </row>
        <row r="1100">
          <cell r="A1100" t="str">
            <v>HFSHS200x200x14.2</v>
          </cell>
          <cell r="B1100" t="str">
            <v>a=1.0 x t</v>
          </cell>
          <cell r="C1100">
            <v>14.2</v>
          </cell>
          <cell r="D1100"/>
          <cell r="E1100"/>
          <cell r="F1100">
            <v>2</v>
          </cell>
          <cell r="G1100">
            <v>10</v>
          </cell>
          <cell r="H1100">
            <v>0.76300000000000001</v>
          </cell>
          <cell r="I1100">
            <v>9.431396786155748E-3</v>
          </cell>
          <cell r="J1100">
            <v>80.900000000000006</v>
          </cell>
          <cell r="K1100">
            <v>5</v>
          </cell>
          <cell r="L1100">
            <v>10</v>
          </cell>
          <cell r="M1100">
            <v>20</v>
          </cell>
          <cell r="N1100">
            <v>30</v>
          </cell>
          <cell r="O1100">
            <v>60</v>
          </cell>
          <cell r="P1100">
            <v>90</v>
          </cell>
        </row>
        <row r="1101">
          <cell r="A1101" t="str">
            <v>HFSHS200x200x16</v>
          </cell>
          <cell r="B1101" t="str">
            <v>a=1.0 x t</v>
          </cell>
          <cell r="C1101">
            <v>16</v>
          </cell>
          <cell r="D1101"/>
          <cell r="E1101" t="str">
            <v>Jah</v>
          </cell>
          <cell r="F1101">
            <v>2</v>
          </cell>
          <cell r="G1101">
            <v>10</v>
          </cell>
          <cell r="H1101">
            <v>0.75900000000000001</v>
          </cell>
          <cell r="I1101">
            <v>8.4053156146179399E-3</v>
          </cell>
          <cell r="J1101">
            <v>90.3</v>
          </cell>
          <cell r="K1101">
            <v>5</v>
          </cell>
          <cell r="L1101">
            <v>10</v>
          </cell>
          <cell r="M1101">
            <v>20</v>
          </cell>
          <cell r="N1101">
            <v>30</v>
          </cell>
          <cell r="O1101">
            <v>60</v>
          </cell>
          <cell r="P1101">
            <v>90</v>
          </cell>
        </row>
        <row r="1102">
          <cell r="A1102" t="str">
            <v>HFSHS220x220x16</v>
          </cell>
          <cell r="B1102" t="str">
            <v>a=1.0 x t</v>
          </cell>
          <cell r="C1102">
            <v>16</v>
          </cell>
          <cell r="D1102"/>
          <cell r="E1102" t="str">
            <v>Jah</v>
          </cell>
          <cell r="F1102">
            <v>2</v>
          </cell>
          <cell r="G1102">
            <v>10</v>
          </cell>
          <cell r="H1102">
            <v>0.83899999999999997</v>
          </cell>
          <cell r="I1102">
            <v>8.3482587064676612E-3</v>
          </cell>
          <cell r="J1102">
            <v>100.5</v>
          </cell>
          <cell r="K1102">
            <v>5</v>
          </cell>
          <cell r="L1102">
            <v>10</v>
          </cell>
          <cell r="M1102">
            <v>20</v>
          </cell>
          <cell r="N1102">
            <v>30</v>
          </cell>
          <cell r="O1102">
            <v>60</v>
          </cell>
          <cell r="P1102">
            <v>90</v>
          </cell>
        </row>
        <row r="1103">
          <cell r="A1103" t="str">
            <v>HFSHS250x250x5</v>
          </cell>
          <cell r="B1103" t="str">
            <v>a=1.0 x t</v>
          </cell>
          <cell r="C1103">
            <v>5</v>
          </cell>
          <cell r="D1103"/>
          <cell r="E1103"/>
          <cell r="F1103">
            <v>3</v>
          </cell>
          <cell r="G1103">
            <v>2</v>
          </cell>
          <cell r="H1103">
            <v>0.98699999999999999</v>
          </cell>
          <cell r="I1103">
            <v>2.5837696335078531E-2</v>
          </cell>
          <cell r="J1103">
            <v>38.200000000000003</v>
          </cell>
          <cell r="K1103">
            <v>10</v>
          </cell>
          <cell r="L1103">
            <v>20</v>
          </cell>
          <cell r="M1103">
            <v>30</v>
          </cell>
          <cell r="N1103">
            <v>40</v>
          </cell>
          <cell r="O1103">
            <v>90</v>
          </cell>
          <cell r="P1103">
            <v>120</v>
          </cell>
        </row>
        <row r="1104">
          <cell r="A1104" t="str">
            <v>HFSHS250x250x6.3</v>
          </cell>
          <cell r="B1104" t="str">
            <v>a=1.0 x t</v>
          </cell>
          <cell r="C1104">
            <v>6.3</v>
          </cell>
          <cell r="D1104"/>
          <cell r="E1104"/>
          <cell r="F1104">
            <v>3</v>
          </cell>
          <cell r="G1104">
            <v>2</v>
          </cell>
          <cell r="H1104">
            <v>0.98399999999999999</v>
          </cell>
          <cell r="I1104">
            <v>2.0542797494780794E-2</v>
          </cell>
          <cell r="J1104">
            <v>47.9</v>
          </cell>
          <cell r="K1104">
            <v>10</v>
          </cell>
          <cell r="L1104">
            <v>20</v>
          </cell>
          <cell r="M1104">
            <v>30</v>
          </cell>
          <cell r="N1104">
            <v>40</v>
          </cell>
          <cell r="O1104">
            <v>90</v>
          </cell>
          <cell r="P1104">
            <v>120</v>
          </cell>
        </row>
        <row r="1105">
          <cell r="A1105" t="str">
            <v>HFSHS250x250x7.1</v>
          </cell>
          <cell r="B1105" t="str">
            <v>a=1.0 x t</v>
          </cell>
          <cell r="C1105">
            <v>7.1</v>
          </cell>
          <cell r="D1105"/>
          <cell r="E1105"/>
          <cell r="F1105">
            <v>3</v>
          </cell>
          <cell r="G1105">
            <v>3</v>
          </cell>
          <cell r="H1105">
            <v>0.98199999999999998</v>
          </cell>
          <cell r="I1105">
            <v>1.8286778398510242E-2</v>
          </cell>
          <cell r="J1105">
            <v>53.7</v>
          </cell>
          <cell r="K1105">
            <v>10</v>
          </cell>
          <cell r="L1105">
            <v>20</v>
          </cell>
          <cell r="M1105">
            <v>30</v>
          </cell>
          <cell r="N1105">
            <v>40</v>
          </cell>
          <cell r="O1105">
            <v>90</v>
          </cell>
          <cell r="P1105">
            <v>120</v>
          </cell>
        </row>
        <row r="1106">
          <cell r="A1106" t="str">
            <v>HFSHS250x250x8</v>
          </cell>
          <cell r="B1106" t="str">
            <v>a=1.0 x t</v>
          </cell>
          <cell r="C1106">
            <v>8</v>
          </cell>
          <cell r="D1106"/>
          <cell r="E1106"/>
          <cell r="F1106">
            <v>3</v>
          </cell>
          <cell r="G1106">
            <v>3</v>
          </cell>
          <cell r="H1106">
            <v>0.97899999999999998</v>
          </cell>
          <cell r="I1106">
            <v>1.6235489220563847E-2</v>
          </cell>
          <cell r="J1106">
            <v>60.3</v>
          </cell>
          <cell r="K1106">
            <v>10</v>
          </cell>
          <cell r="L1106">
            <v>20</v>
          </cell>
          <cell r="M1106">
            <v>30</v>
          </cell>
          <cell r="N1106">
            <v>40</v>
          </cell>
          <cell r="O1106">
            <v>90</v>
          </cell>
          <cell r="P1106">
            <v>120</v>
          </cell>
        </row>
        <row r="1107">
          <cell r="A1107" t="str">
            <v>HFSHS250x250x8.8</v>
          </cell>
          <cell r="B1107" t="str">
            <v>a=1.0 x t</v>
          </cell>
          <cell r="C1107">
            <v>8.8000000000000007</v>
          </cell>
          <cell r="D1107"/>
          <cell r="E1107"/>
          <cell r="F1107">
            <v>3</v>
          </cell>
          <cell r="G1107">
            <v>3</v>
          </cell>
          <cell r="H1107">
            <v>0.97699999999999998</v>
          </cell>
          <cell r="I1107">
            <v>1.4803030303030302E-2</v>
          </cell>
          <cell r="J1107">
            <v>66</v>
          </cell>
          <cell r="K1107">
            <v>10</v>
          </cell>
          <cell r="L1107">
            <v>20</v>
          </cell>
          <cell r="M1107">
            <v>30</v>
          </cell>
          <cell r="N1107">
            <v>40</v>
          </cell>
          <cell r="O1107">
            <v>90</v>
          </cell>
          <cell r="P1107">
            <v>120</v>
          </cell>
        </row>
        <row r="1108">
          <cell r="A1108" t="str">
            <v>HFSHS250x250x10</v>
          </cell>
          <cell r="B1108" t="str">
            <v>a=1.0 x t</v>
          </cell>
          <cell r="C1108">
            <v>10</v>
          </cell>
          <cell r="D1108"/>
          <cell r="E1108"/>
          <cell r="F1108">
            <v>3</v>
          </cell>
          <cell r="G1108">
            <v>6</v>
          </cell>
          <cell r="H1108">
            <v>0.97399999999999998</v>
          </cell>
          <cell r="I1108">
            <v>1.3073825503355705E-2</v>
          </cell>
          <cell r="J1108">
            <v>74.5</v>
          </cell>
          <cell r="K1108">
            <v>10</v>
          </cell>
          <cell r="L1108">
            <v>20</v>
          </cell>
          <cell r="M1108">
            <v>30</v>
          </cell>
          <cell r="N1108">
            <v>40</v>
          </cell>
          <cell r="O1108">
            <v>90</v>
          </cell>
          <cell r="P1108">
            <v>120</v>
          </cell>
        </row>
        <row r="1109">
          <cell r="A1109" t="str">
            <v>HFSHS250x250x12.5</v>
          </cell>
          <cell r="B1109" t="str">
            <v>a=1.0 x t</v>
          </cell>
          <cell r="C1109">
            <v>12.5</v>
          </cell>
          <cell r="D1109"/>
          <cell r="E1109" t="str">
            <v>Jah</v>
          </cell>
          <cell r="F1109">
            <v>3</v>
          </cell>
          <cell r="G1109">
            <v>6</v>
          </cell>
          <cell r="H1109">
            <v>0.96799999999999997</v>
          </cell>
          <cell r="I1109">
            <v>1.0544662309368192E-2</v>
          </cell>
          <cell r="J1109">
            <v>91.8</v>
          </cell>
          <cell r="K1109">
            <v>10</v>
          </cell>
          <cell r="L1109">
            <v>20</v>
          </cell>
          <cell r="M1109">
            <v>30</v>
          </cell>
          <cell r="N1109">
            <v>40</v>
          </cell>
          <cell r="O1109">
            <v>90</v>
          </cell>
          <cell r="P1109">
            <v>120</v>
          </cell>
        </row>
        <row r="1110">
          <cell r="A1110" t="str">
            <v>HFSHS250x250x14.2</v>
          </cell>
          <cell r="B1110" t="str">
            <v>a=1.0 x t</v>
          </cell>
          <cell r="C1110">
            <v>14.2</v>
          </cell>
          <cell r="D1110"/>
          <cell r="E1110"/>
          <cell r="F1110">
            <v>3</v>
          </cell>
          <cell r="G1110">
            <v>10</v>
          </cell>
          <cell r="H1110">
            <v>0.96299999999999997</v>
          </cell>
          <cell r="I1110">
            <v>9.2953667953667961E-3</v>
          </cell>
          <cell r="J1110">
            <v>103.6</v>
          </cell>
          <cell r="K1110">
            <v>10</v>
          </cell>
          <cell r="L1110">
            <v>20</v>
          </cell>
          <cell r="M1110">
            <v>30</v>
          </cell>
          <cell r="N1110">
            <v>40</v>
          </cell>
          <cell r="O1110">
            <v>90</v>
          </cell>
          <cell r="P1110">
            <v>120</v>
          </cell>
        </row>
        <row r="1111">
          <cell r="A1111" t="str">
            <v>HFSHS250x250x16</v>
          </cell>
          <cell r="B1111" t="str">
            <v>a=1.0 x t</v>
          </cell>
          <cell r="C1111">
            <v>16</v>
          </cell>
          <cell r="D1111"/>
          <cell r="E1111" t="str">
            <v>Jah</v>
          </cell>
          <cell r="F1111">
            <v>3</v>
          </cell>
          <cell r="G1111">
            <v>10</v>
          </cell>
          <cell r="H1111">
            <v>0.95899999999999996</v>
          </cell>
          <cell r="I1111">
            <v>8.3102253032928935E-3</v>
          </cell>
          <cell r="J1111">
            <v>115.4</v>
          </cell>
          <cell r="K1111">
            <v>10</v>
          </cell>
          <cell r="L1111">
            <v>20</v>
          </cell>
          <cell r="M1111">
            <v>30</v>
          </cell>
          <cell r="N1111">
            <v>40</v>
          </cell>
          <cell r="O1111">
            <v>90</v>
          </cell>
          <cell r="P1111">
            <v>120</v>
          </cell>
        </row>
        <row r="1112">
          <cell r="A1112" t="str">
            <v>HFSHS300x300x6.3</v>
          </cell>
          <cell r="B1112" t="str">
            <v>a=1.0 x t</v>
          </cell>
          <cell r="C1112">
            <v>6.3</v>
          </cell>
          <cell r="D1112"/>
          <cell r="E1112"/>
          <cell r="F1112">
            <v>3</v>
          </cell>
          <cell r="G1112">
            <v>2</v>
          </cell>
          <cell r="H1112">
            <v>1.18</v>
          </cell>
          <cell r="I1112">
            <v>2.041522491349481E-2</v>
          </cell>
          <cell r="J1112">
            <v>57.8</v>
          </cell>
          <cell r="K1112">
            <v>10</v>
          </cell>
          <cell r="L1112">
            <v>20</v>
          </cell>
          <cell r="M1112">
            <v>30</v>
          </cell>
          <cell r="N1112">
            <v>40</v>
          </cell>
          <cell r="O1112">
            <v>90</v>
          </cell>
          <cell r="P1112">
            <v>120</v>
          </cell>
        </row>
        <row r="1113">
          <cell r="A1113" t="str">
            <v>HFSHS300x300x7.1</v>
          </cell>
          <cell r="B1113" t="str">
            <v>a=1.0 x t</v>
          </cell>
          <cell r="C1113">
            <v>7.1</v>
          </cell>
          <cell r="D1113"/>
          <cell r="E1113"/>
          <cell r="F1113">
            <v>3</v>
          </cell>
          <cell r="G1113">
            <v>3</v>
          </cell>
          <cell r="H1113">
            <v>1.18</v>
          </cell>
          <cell r="I1113">
            <v>1.8209876543209876E-2</v>
          </cell>
          <cell r="J1113">
            <v>64.8</v>
          </cell>
          <cell r="K1113">
            <v>10</v>
          </cell>
          <cell r="L1113">
            <v>20</v>
          </cell>
          <cell r="M1113">
            <v>30</v>
          </cell>
          <cell r="N1113">
            <v>40</v>
          </cell>
          <cell r="O1113">
            <v>90</v>
          </cell>
          <cell r="P1113">
            <v>120</v>
          </cell>
        </row>
        <row r="1114">
          <cell r="A1114" t="str">
            <v>HFSHS300x300x8</v>
          </cell>
          <cell r="B1114" t="str">
            <v>a=1.0 x t</v>
          </cell>
          <cell r="C1114">
            <v>8</v>
          </cell>
          <cell r="D1114"/>
          <cell r="E1114"/>
          <cell r="F1114">
            <v>3</v>
          </cell>
          <cell r="G1114">
            <v>3</v>
          </cell>
          <cell r="H1114">
            <v>1.18</v>
          </cell>
          <cell r="I1114">
            <v>1.620879120879121E-2</v>
          </cell>
          <cell r="J1114">
            <v>72.8</v>
          </cell>
          <cell r="K1114">
            <v>10</v>
          </cell>
          <cell r="L1114">
            <v>20</v>
          </cell>
          <cell r="M1114">
            <v>30</v>
          </cell>
          <cell r="N1114">
            <v>40</v>
          </cell>
          <cell r="O1114">
            <v>90</v>
          </cell>
          <cell r="P1114">
            <v>120</v>
          </cell>
        </row>
        <row r="1115">
          <cell r="A1115" t="str">
            <v>HFSHS300x300x8.8</v>
          </cell>
          <cell r="B1115" t="str">
            <v>a=1.0 x t</v>
          </cell>
          <cell r="C1115">
            <v>8.8000000000000007</v>
          </cell>
          <cell r="D1115"/>
          <cell r="E1115"/>
          <cell r="F1115">
            <v>3</v>
          </cell>
          <cell r="G1115">
            <v>3</v>
          </cell>
          <cell r="H1115">
            <v>1.18</v>
          </cell>
          <cell r="I1115">
            <v>1.4731585518102372E-2</v>
          </cell>
          <cell r="J1115">
            <v>80.099999999999994</v>
          </cell>
          <cell r="K1115">
            <v>10</v>
          </cell>
          <cell r="L1115">
            <v>20</v>
          </cell>
          <cell r="M1115">
            <v>30</v>
          </cell>
          <cell r="N1115">
            <v>40</v>
          </cell>
          <cell r="O1115">
            <v>90</v>
          </cell>
          <cell r="P1115">
            <v>120</v>
          </cell>
        </row>
        <row r="1116">
          <cell r="A1116" t="str">
            <v>HFSHS300x300x10</v>
          </cell>
          <cell r="B1116" t="str">
            <v>a=1.0 x t</v>
          </cell>
          <cell r="C1116">
            <v>10</v>
          </cell>
          <cell r="D1116"/>
          <cell r="E1116"/>
          <cell r="F1116">
            <v>3</v>
          </cell>
          <cell r="G1116">
            <v>6</v>
          </cell>
          <cell r="H1116">
            <v>1.17</v>
          </cell>
          <cell r="I1116">
            <v>1.2956810631229235E-2</v>
          </cell>
          <cell r="J1116">
            <v>90.3</v>
          </cell>
          <cell r="K1116">
            <v>10</v>
          </cell>
          <cell r="L1116">
            <v>20</v>
          </cell>
          <cell r="M1116">
            <v>30</v>
          </cell>
          <cell r="N1116">
            <v>40</v>
          </cell>
          <cell r="O1116">
            <v>90</v>
          </cell>
          <cell r="P1116">
            <v>120</v>
          </cell>
        </row>
        <row r="1117">
          <cell r="A1117" t="str">
            <v>HFSHS300x300x12.5</v>
          </cell>
          <cell r="B1117" t="str">
            <v>a=1.0 x t</v>
          </cell>
          <cell r="C1117">
            <v>12.5</v>
          </cell>
          <cell r="D1117"/>
          <cell r="E1117" t="str">
            <v>Jah</v>
          </cell>
          <cell r="F1117">
            <v>3</v>
          </cell>
          <cell r="G1117">
            <v>6</v>
          </cell>
          <cell r="H1117">
            <v>1.17</v>
          </cell>
          <cell r="I1117">
            <v>1.0493273542600896E-2</v>
          </cell>
          <cell r="J1117">
            <v>111.5</v>
          </cell>
          <cell r="K1117">
            <v>10</v>
          </cell>
          <cell r="L1117">
            <v>20</v>
          </cell>
          <cell r="M1117">
            <v>30</v>
          </cell>
          <cell r="N1117">
            <v>40</v>
          </cell>
          <cell r="O1117">
            <v>90</v>
          </cell>
          <cell r="P1117">
            <v>120</v>
          </cell>
        </row>
        <row r="1118">
          <cell r="A1118" t="str">
            <v>HFSHS300x300x14.2</v>
          </cell>
          <cell r="B1118" t="str">
            <v>a=1.0 x t</v>
          </cell>
          <cell r="C1118">
            <v>14.2</v>
          </cell>
          <cell r="D1118"/>
          <cell r="E1118"/>
          <cell r="F1118">
            <v>3</v>
          </cell>
          <cell r="G1118">
            <v>10</v>
          </cell>
          <cell r="H1118">
            <v>1.1599999999999999</v>
          </cell>
          <cell r="I1118">
            <v>9.2356687898089169E-3</v>
          </cell>
          <cell r="J1118">
            <v>125.6</v>
          </cell>
          <cell r="K1118">
            <v>10</v>
          </cell>
          <cell r="L1118">
            <v>20</v>
          </cell>
          <cell r="M1118">
            <v>30</v>
          </cell>
          <cell r="N1118">
            <v>40</v>
          </cell>
          <cell r="O1118">
            <v>90</v>
          </cell>
          <cell r="P1118">
            <v>120</v>
          </cell>
        </row>
        <row r="1119">
          <cell r="A1119" t="str">
            <v>HFSHS300x300x16</v>
          </cell>
          <cell r="B1119" t="str">
            <v>a=1.0 x t</v>
          </cell>
          <cell r="C1119">
            <v>16</v>
          </cell>
          <cell r="D1119"/>
          <cell r="E1119" t="str">
            <v>Jah</v>
          </cell>
          <cell r="F1119">
            <v>3</v>
          </cell>
          <cell r="G1119">
            <v>10</v>
          </cell>
          <cell r="H1119">
            <v>1.1599999999999999</v>
          </cell>
          <cell r="I1119">
            <v>8.2562277580071168E-3</v>
          </cell>
          <cell r="J1119">
            <v>140.5</v>
          </cell>
          <cell r="K1119">
            <v>10</v>
          </cell>
          <cell r="L1119">
            <v>20</v>
          </cell>
          <cell r="M1119">
            <v>30</v>
          </cell>
          <cell r="N1119">
            <v>40</v>
          </cell>
          <cell r="O1119">
            <v>90</v>
          </cell>
          <cell r="P1119">
            <v>120</v>
          </cell>
        </row>
        <row r="1120">
          <cell r="A1120" t="str">
            <v>HFSHS350x350x8</v>
          </cell>
          <cell r="B1120" t="str">
            <v>a=1.0 x t</v>
          </cell>
          <cell r="C1120">
            <v>8</v>
          </cell>
          <cell r="D1120"/>
          <cell r="E1120"/>
          <cell r="F1120">
            <v>3</v>
          </cell>
          <cell r="G1120">
            <v>3</v>
          </cell>
          <cell r="H1120">
            <v>1.38</v>
          </cell>
          <cell r="I1120">
            <v>1.6121495327102803E-2</v>
          </cell>
          <cell r="J1120">
            <v>85.6</v>
          </cell>
          <cell r="K1120">
            <v>10</v>
          </cell>
          <cell r="L1120">
            <v>20</v>
          </cell>
          <cell r="M1120">
            <v>30</v>
          </cell>
          <cell r="N1120">
            <v>40</v>
          </cell>
          <cell r="O1120">
            <v>90</v>
          </cell>
          <cell r="P1120">
            <v>120</v>
          </cell>
        </row>
        <row r="1121">
          <cell r="A1121" t="str">
            <v>HFSHS350x350x8.8</v>
          </cell>
          <cell r="B1121" t="str">
            <v>a=1.0 x t</v>
          </cell>
          <cell r="C1121">
            <v>8.8000000000000007</v>
          </cell>
          <cell r="D1121"/>
          <cell r="E1121"/>
          <cell r="F1121">
            <v>3</v>
          </cell>
          <cell r="G1121">
            <v>3</v>
          </cell>
          <cell r="H1121">
            <v>1.38</v>
          </cell>
          <cell r="I1121">
            <v>1.4775160599571733E-2</v>
          </cell>
          <cell r="J1121">
            <v>93.4</v>
          </cell>
          <cell r="K1121">
            <v>10</v>
          </cell>
          <cell r="L1121">
            <v>20</v>
          </cell>
          <cell r="M1121">
            <v>30</v>
          </cell>
          <cell r="N1121">
            <v>40</v>
          </cell>
          <cell r="O1121">
            <v>90</v>
          </cell>
          <cell r="P1121">
            <v>120</v>
          </cell>
        </row>
        <row r="1122">
          <cell r="A1122" t="str">
            <v>HFSHS350x350x10</v>
          </cell>
          <cell r="B1122" t="str">
            <v>a=1.0 x t</v>
          </cell>
          <cell r="C1122">
            <v>10</v>
          </cell>
          <cell r="D1122"/>
          <cell r="E1122"/>
          <cell r="F1122">
            <v>3</v>
          </cell>
          <cell r="G1122">
            <v>6</v>
          </cell>
          <cell r="H1122">
            <v>1.37</v>
          </cell>
          <cell r="I1122">
            <v>1.2924528301886793E-2</v>
          </cell>
          <cell r="J1122">
            <v>106</v>
          </cell>
          <cell r="K1122">
            <v>10</v>
          </cell>
          <cell r="L1122">
            <v>20</v>
          </cell>
          <cell r="M1122">
            <v>30</v>
          </cell>
          <cell r="N1122">
            <v>40</v>
          </cell>
          <cell r="O1122">
            <v>90</v>
          </cell>
          <cell r="P1122">
            <v>120</v>
          </cell>
        </row>
        <row r="1123">
          <cell r="A1123" t="str">
            <v>HFSHS350x350x12.5</v>
          </cell>
          <cell r="B1123" t="str">
            <v>a=1.0 x t</v>
          </cell>
          <cell r="C1123">
            <v>12.5</v>
          </cell>
          <cell r="D1123"/>
          <cell r="E1123" t="str">
            <v>Jah</v>
          </cell>
          <cell r="F1123">
            <v>3</v>
          </cell>
          <cell r="G1123">
            <v>6</v>
          </cell>
          <cell r="H1123">
            <v>1.37</v>
          </cell>
          <cell r="I1123">
            <v>1.0450038138825326E-2</v>
          </cell>
          <cell r="J1123">
            <v>131.1</v>
          </cell>
          <cell r="K1123">
            <v>10</v>
          </cell>
          <cell r="L1123">
            <v>20</v>
          </cell>
          <cell r="M1123">
            <v>30</v>
          </cell>
          <cell r="N1123">
            <v>40</v>
          </cell>
          <cell r="O1123">
            <v>90</v>
          </cell>
          <cell r="P1123">
            <v>120</v>
          </cell>
        </row>
        <row r="1124">
          <cell r="A1124" t="str">
            <v>HFSHS350x350x14.2</v>
          </cell>
          <cell r="B1124" t="str">
            <v>a=1.0 x t</v>
          </cell>
          <cell r="C1124">
            <v>14.2</v>
          </cell>
          <cell r="D1124"/>
          <cell r="E1124"/>
          <cell r="F1124">
            <v>3</v>
          </cell>
          <cell r="G1124">
            <v>10</v>
          </cell>
          <cell r="H1124">
            <v>1.36</v>
          </cell>
          <cell r="I1124">
            <v>9.1644204851752016E-3</v>
          </cell>
          <cell r="J1124">
            <v>148.4</v>
          </cell>
          <cell r="K1124">
            <v>10</v>
          </cell>
          <cell r="L1124">
            <v>20</v>
          </cell>
          <cell r="M1124">
            <v>30</v>
          </cell>
          <cell r="N1124">
            <v>40</v>
          </cell>
          <cell r="O1124">
            <v>90</v>
          </cell>
          <cell r="P1124">
            <v>120</v>
          </cell>
        </row>
        <row r="1125">
          <cell r="A1125" t="str">
            <v>HFSHS350x350x16</v>
          </cell>
          <cell r="B1125" t="str">
            <v>a=1.0 x t</v>
          </cell>
          <cell r="C1125">
            <v>16</v>
          </cell>
          <cell r="D1125"/>
          <cell r="E1125" t="str">
            <v>Jah</v>
          </cell>
          <cell r="F1125">
            <v>3</v>
          </cell>
          <cell r="G1125">
            <v>10</v>
          </cell>
          <cell r="H1125">
            <v>1.36</v>
          </cell>
          <cell r="I1125">
            <v>8.2125603864734303E-3</v>
          </cell>
          <cell r="J1125">
            <v>165.6</v>
          </cell>
          <cell r="K1125">
            <v>10</v>
          </cell>
          <cell r="L1125">
            <v>20</v>
          </cell>
          <cell r="M1125">
            <v>30</v>
          </cell>
          <cell r="N1125">
            <v>40</v>
          </cell>
          <cell r="O1125">
            <v>90</v>
          </cell>
          <cell r="P1125">
            <v>120</v>
          </cell>
        </row>
        <row r="1126">
          <cell r="A1126" t="str">
            <v>HFSHS400x400x8</v>
          </cell>
          <cell r="B1126" t="str">
            <v>a=1.0 x t</v>
          </cell>
          <cell r="C1126">
            <v>8</v>
          </cell>
          <cell r="D1126"/>
          <cell r="E1126"/>
          <cell r="F1126">
            <v>3</v>
          </cell>
          <cell r="G1126">
            <v>3</v>
          </cell>
          <cell r="H1126">
            <v>1.58</v>
          </cell>
          <cell r="I1126">
            <v>1.6106014271151887E-2</v>
          </cell>
          <cell r="J1126">
            <v>98.1</v>
          </cell>
          <cell r="K1126">
            <v>10</v>
          </cell>
          <cell r="L1126">
            <v>20</v>
          </cell>
          <cell r="M1126">
            <v>30</v>
          </cell>
          <cell r="N1126">
            <v>40</v>
          </cell>
          <cell r="O1126">
            <v>90</v>
          </cell>
          <cell r="P1126">
            <v>120</v>
          </cell>
        </row>
        <row r="1127">
          <cell r="A1127" t="str">
            <v>HFSHS400x400x8.8</v>
          </cell>
          <cell r="B1127" t="str">
            <v>a=1.0 x t</v>
          </cell>
          <cell r="C1127">
            <v>8.8000000000000007</v>
          </cell>
          <cell r="D1127"/>
          <cell r="E1127"/>
          <cell r="F1127">
            <v>3</v>
          </cell>
          <cell r="G1127">
            <v>3</v>
          </cell>
          <cell r="H1127">
            <v>1.58</v>
          </cell>
          <cell r="I1127">
            <v>1.4697674418604652E-2</v>
          </cell>
          <cell r="J1127">
            <v>107.5</v>
          </cell>
          <cell r="K1127">
            <v>10</v>
          </cell>
          <cell r="L1127">
            <v>20</v>
          </cell>
          <cell r="M1127">
            <v>30</v>
          </cell>
          <cell r="N1127">
            <v>40</v>
          </cell>
          <cell r="O1127">
            <v>90</v>
          </cell>
          <cell r="P1127">
            <v>120</v>
          </cell>
        </row>
        <row r="1128">
          <cell r="A1128" t="str">
            <v>HFSHS400x400x10</v>
          </cell>
          <cell r="B1128" t="str">
            <v>a=1.0 x t</v>
          </cell>
          <cell r="C1128">
            <v>10</v>
          </cell>
          <cell r="D1128"/>
          <cell r="E1128"/>
          <cell r="F1128">
            <v>3</v>
          </cell>
          <cell r="G1128">
            <v>6</v>
          </cell>
          <cell r="H1128">
            <v>1.57</v>
          </cell>
          <cell r="I1128">
            <v>1.2900575184880855E-2</v>
          </cell>
          <cell r="J1128">
            <v>121.7</v>
          </cell>
          <cell r="K1128">
            <v>10</v>
          </cell>
          <cell r="L1128">
            <v>20</v>
          </cell>
          <cell r="M1128">
            <v>30</v>
          </cell>
          <cell r="N1128">
            <v>40</v>
          </cell>
          <cell r="O1128">
            <v>90</v>
          </cell>
          <cell r="P1128">
            <v>120</v>
          </cell>
        </row>
        <row r="1129">
          <cell r="A1129" t="str">
            <v>HFSHS400x400x12.5</v>
          </cell>
          <cell r="B1129" t="str">
            <v>a=1.0 x t</v>
          </cell>
          <cell r="C1129">
            <v>12.5</v>
          </cell>
          <cell r="D1129"/>
          <cell r="E1129" t="str">
            <v>Jah</v>
          </cell>
          <cell r="F1129">
            <v>3</v>
          </cell>
          <cell r="G1129">
            <v>6</v>
          </cell>
          <cell r="H1129">
            <v>1.57</v>
          </cell>
          <cell r="I1129">
            <v>1.0418049104180493E-2</v>
          </cell>
          <cell r="J1129">
            <v>150.69999999999999</v>
          </cell>
          <cell r="K1129">
            <v>10</v>
          </cell>
          <cell r="L1129">
            <v>20</v>
          </cell>
          <cell r="M1129">
            <v>30</v>
          </cell>
          <cell r="N1129">
            <v>40</v>
          </cell>
          <cell r="O1129">
            <v>90</v>
          </cell>
          <cell r="P1129">
            <v>120</v>
          </cell>
        </row>
        <row r="1130">
          <cell r="A1130" t="str">
            <v>HFSHS400x400x14.2</v>
          </cell>
          <cell r="B1130" t="str">
            <v>a=1.0 x t</v>
          </cell>
          <cell r="C1130">
            <v>14.2</v>
          </cell>
          <cell r="D1130"/>
          <cell r="E1130"/>
          <cell r="F1130">
            <v>3</v>
          </cell>
          <cell r="G1130">
            <v>10</v>
          </cell>
          <cell r="H1130">
            <v>1.56</v>
          </cell>
          <cell r="I1130">
            <v>9.1603053435114507E-3</v>
          </cell>
          <cell r="J1130">
            <v>170.3</v>
          </cell>
          <cell r="K1130">
            <v>10</v>
          </cell>
          <cell r="L1130">
            <v>20</v>
          </cell>
          <cell r="M1130">
            <v>30</v>
          </cell>
          <cell r="N1130">
            <v>40</v>
          </cell>
          <cell r="O1130">
            <v>90</v>
          </cell>
          <cell r="P1130">
            <v>120</v>
          </cell>
        </row>
        <row r="1131">
          <cell r="A1131" t="str">
            <v>HFSHS400x400x16</v>
          </cell>
          <cell r="B1131" t="str">
            <v>a=1.0 x t</v>
          </cell>
          <cell r="C1131">
            <v>16</v>
          </cell>
          <cell r="D1131"/>
          <cell r="E1131" t="str">
            <v>Jah</v>
          </cell>
          <cell r="F1131">
            <v>3</v>
          </cell>
          <cell r="G1131">
            <v>10</v>
          </cell>
          <cell r="H1131">
            <v>1.56</v>
          </cell>
          <cell r="I1131">
            <v>8.1761006289308175E-3</v>
          </cell>
          <cell r="J1131">
            <v>190.8</v>
          </cell>
          <cell r="K1131">
            <v>10</v>
          </cell>
          <cell r="L1131">
            <v>20</v>
          </cell>
          <cell r="M1131">
            <v>30</v>
          </cell>
          <cell r="N1131">
            <v>40</v>
          </cell>
          <cell r="O1131">
            <v>90</v>
          </cell>
          <cell r="P1131">
            <v>120</v>
          </cell>
        </row>
        <row r="1132">
          <cell r="A1132" t="str">
            <v>HFSHS400x400x20</v>
          </cell>
          <cell r="B1132" t="str">
            <v>a=1.0 x t</v>
          </cell>
          <cell r="C1132">
            <v>20</v>
          </cell>
          <cell r="D1132"/>
          <cell r="E1132"/>
          <cell r="F1132">
            <v>3</v>
          </cell>
          <cell r="G1132">
            <v>15</v>
          </cell>
          <cell r="H1132">
            <v>1.55</v>
          </cell>
          <cell r="I1132">
            <v>6.5817409766454355E-3</v>
          </cell>
          <cell r="J1132">
            <v>235.5</v>
          </cell>
          <cell r="K1132">
            <v>10</v>
          </cell>
          <cell r="L1132">
            <v>20</v>
          </cell>
          <cell r="M1132">
            <v>30</v>
          </cell>
          <cell r="N1132">
            <v>40</v>
          </cell>
          <cell r="O1132">
            <v>90</v>
          </cell>
          <cell r="P1132">
            <v>120</v>
          </cell>
        </row>
        <row r="1133">
          <cell r="A1133" t="str">
            <v>HL920x344</v>
          </cell>
          <cell r="B1133" t="str">
            <v>a=0.5 x t</v>
          </cell>
          <cell r="C1133">
            <v>19.3</v>
          </cell>
          <cell r="D1133">
            <v>32</v>
          </cell>
          <cell r="E1133"/>
          <cell r="F1133">
            <v>3</v>
          </cell>
          <cell r="G1133"/>
          <cell r="H1133">
            <v>3.4550000000000001</v>
          </cell>
          <cell r="I1133">
            <v>1.0067016317016318E-2</v>
          </cell>
          <cell r="J1133">
            <v>343.2</v>
          </cell>
          <cell r="K1133">
            <v>10</v>
          </cell>
          <cell r="L1133">
            <v>20</v>
          </cell>
          <cell r="M1133">
            <v>30</v>
          </cell>
          <cell r="N1133">
            <v>40</v>
          </cell>
          <cell r="O1133">
            <v>90</v>
          </cell>
          <cell r="P1133">
            <v>120</v>
          </cell>
        </row>
        <row r="1134">
          <cell r="A1134" t="str">
            <v>HL920x368</v>
          </cell>
          <cell r="B1134" t="str">
            <v>a=0.5 x t</v>
          </cell>
          <cell r="C1134">
            <v>20.3</v>
          </cell>
          <cell r="D1134">
            <v>34.299999999999997</v>
          </cell>
          <cell r="E1134"/>
          <cell r="F1134">
            <v>3</v>
          </cell>
          <cell r="G1134"/>
          <cell r="H1134">
            <v>3.4649999999999999</v>
          </cell>
          <cell r="I1134">
            <v>9.4801641586867297E-3</v>
          </cell>
          <cell r="J1134">
            <v>365.5</v>
          </cell>
          <cell r="K1134">
            <v>10</v>
          </cell>
          <cell r="L1134">
            <v>20</v>
          </cell>
          <cell r="M1134">
            <v>30</v>
          </cell>
          <cell r="N1134">
            <v>40</v>
          </cell>
          <cell r="O1134">
            <v>90</v>
          </cell>
          <cell r="P1134">
            <v>120</v>
          </cell>
        </row>
        <row r="1135">
          <cell r="A1135" t="str">
            <v>HL920x390</v>
          </cell>
          <cell r="B1135" t="str">
            <v>a=0.5 x t</v>
          </cell>
          <cell r="C1135">
            <v>21.3</v>
          </cell>
          <cell r="D1135">
            <v>36.6</v>
          </cell>
          <cell r="E1135"/>
          <cell r="F1135">
            <v>3</v>
          </cell>
          <cell r="G1135"/>
          <cell r="H1135">
            <v>3.4769999999999999</v>
          </cell>
          <cell r="I1135">
            <v>8.9613402061855668E-3</v>
          </cell>
          <cell r="J1135">
            <v>388</v>
          </cell>
          <cell r="K1135">
            <v>10</v>
          </cell>
          <cell r="L1135">
            <v>20</v>
          </cell>
          <cell r="M1135">
            <v>30</v>
          </cell>
          <cell r="N1135">
            <v>40</v>
          </cell>
          <cell r="O1135">
            <v>90</v>
          </cell>
          <cell r="P1135">
            <v>120</v>
          </cell>
        </row>
        <row r="1136">
          <cell r="A1136" t="str">
            <v>HL920x420</v>
          </cell>
          <cell r="B1136" t="str">
            <v>a=0.5 x t</v>
          </cell>
          <cell r="C1136">
            <v>22.5</v>
          </cell>
          <cell r="D1136">
            <v>39.9</v>
          </cell>
          <cell r="E1136"/>
          <cell r="F1136">
            <v>3</v>
          </cell>
          <cell r="G1136"/>
          <cell r="H1136">
            <v>3.496</v>
          </cell>
          <cell r="I1136">
            <v>8.3377056999761508E-3</v>
          </cell>
          <cell r="J1136">
            <v>419.3</v>
          </cell>
          <cell r="K1136">
            <v>10</v>
          </cell>
          <cell r="L1136">
            <v>20</v>
          </cell>
          <cell r="M1136">
            <v>30</v>
          </cell>
          <cell r="N1136">
            <v>40</v>
          </cell>
          <cell r="O1136">
            <v>90</v>
          </cell>
          <cell r="P1136">
            <v>120</v>
          </cell>
        </row>
        <row r="1137">
          <cell r="A1137" t="str">
            <v>HL920x449</v>
          </cell>
          <cell r="B1137" t="str">
            <v>a=0.5 x t</v>
          </cell>
          <cell r="C1137">
            <v>24</v>
          </cell>
          <cell r="D1137">
            <v>42.7</v>
          </cell>
          <cell r="E1137"/>
          <cell r="F1137">
            <v>3</v>
          </cell>
          <cell r="G1137"/>
          <cell r="H1137">
            <v>3.5070000000000001</v>
          </cell>
          <cell r="I1137">
            <v>7.8193979933110364E-3</v>
          </cell>
          <cell r="J1137">
            <v>448.5</v>
          </cell>
          <cell r="K1137">
            <v>10</v>
          </cell>
          <cell r="L1137">
            <v>20</v>
          </cell>
          <cell r="M1137">
            <v>30</v>
          </cell>
          <cell r="N1137">
            <v>40</v>
          </cell>
          <cell r="O1137">
            <v>90</v>
          </cell>
          <cell r="P1137">
            <v>120</v>
          </cell>
        </row>
        <row r="1138">
          <cell r="A1138" t="str">
            <v>HL920x491</v>
          </cell>
          <cell r="B1138" t="str">
            <v>a=0.5 x t</v>
          </cell>
          <cell r="C1138">
            <v>25.9</v>
          </cell>
          <cell r="D1138">
            <v>47</v>
          </cell>
          <cell r="E1138"/>
          <cell r="F1138">
            <v>3</v>
          </cell>
          <cell r="G1138"/>
          <cell r="H1138">
            <v>3.5179999999999998</v>
          </cell>
          <cell r="I1138">
            <v>7.1898630696913953E-3</v>
          </cell>
          <cell r="J1138">
            <v>489.3</v>
          </cell>
          <cell r="K1138">
            <v>10</v>
          </cell>
          <cell r="L1138">
            <v>20</v>
          </cell>
          <cell r="M1138">
            <v>30</v>
          </cell>
          <cell r="N1138">
            <v>40</v>
          </cell>
          <cell r="O1138">
            <v>90</v>
          </cell>
          <cell r="P1138">
            <v>120</v>
          </cell>
        </row>
        <row r="1139">
          <cell r="A1139" t="str">
            <v>HL920x537</v>
          </cell>
          <cell r="B1139" t="str">
            <v>a=0.5 x t</v>
          </cell>
          <cell r="C1139">
            <v>28.4</v>
          </cell>
          <cell r="D1139">
            <v>51.1</v>
          </cell>
          <cell r="E1139"/>
          <cell r="F1139">
            <v>3</v>
          </cell>
          <cell r="G1139"/>
          <cell r="H1139">
            <v>3.5409999999999999</v>
          </cell>
          <cell r="I1139">
            <v>6.608809257185517E-3</v>
          </cell>
          <cell r="J1139">
            <v>535.79999999999995</v>
          </cell>
          <cell r="K1139">
            <v>10</v>
          </cell>
          <cell r="L1139">
            <v>20</v>
          </cell>
          <cell r="M1139">
            <v>30</v>
          </cell>
          <cell r="N1139">
            <v>40</v>
          </cell>
          <cell r="O1139">
            <v>90</v>
          </cell>
          <cell r="P1139">
            <v>120</v>
          </cell>
        </row>
        <row r="1140">
          <cell r="A1140" t="str">
            <v>HL920x588</v>
          </cell>
          <cell r="B1140" t="str">
            <v>a=0.5 x t</v>
          </cell>
          <cell r="C1140">
            <v>31</v>
          </cell>
          <cell r="D1140">
            <v>55.9</v>
          </cell>
          <cell r="E1140"/>
          <cell r="F1140">
            <v>3</v>
          </cell>
          <cell r="G1140"/>
          <cell r="H1140">
            <v>3.5630000000000002</v>
          </cell>
          <cell r="I1140">
            <v>6.0667461263408827E-3</v>
          </cell>
          <cell r="J1140">
            <v>587.29999999999995</v>
          </cell>
          <cell r="K1140">
            <v>10</v>
          </cell>
          <cell r="L1140">
            <v>20</v>
          </cell>
          <cell r="M1140">
            <v>30</v>
          </cell>
          <cell r="N1140">
            <v>40</v>
          </cell>
          <cell r="O1140">
            <v>90</v>
          </cell>
          <cell r="P1140">
            <v>120</v>
          </cell>
        </row>
        <row r="1141">
          <cell r="A1141" t="str">
            <v>HL920x656</v>
          </cell>
          <cell r="B1141" t="str">
            <v>a=0.5 x t</v>
          </cell>
          <cell r="C1141">
            <v>34.5</v>
          </cell>
          <cell r="D1141">
            <v>62</v>
          </cell>
          <cell r="E1141"/>
          <cell r="F1141">
            <v>3</v>
          </cell>
          <cell r="G1141"/>
          <cell r="H1141">
            <v>3.5960000000000001</v>
          </cell>
          <cell r="I1141">
            <v>5.4842153423821866E-3</v>
          </cell>
          <cell r="J1141">
            <v>655.7</v>
          </cell>
          <cell r="K1141">
            <v>10</v>
          </cell>
          <cell r="L1141">
            <v>20</v>
          </cell>
          <cell r="M1141">
            <v>30</v>
          </cell>
          <cell r="N1141">
            <v>40</v>
          </cell>
          <cell r="O1141">
            <v>90</v>
          </cell>
          <cell r="P1141">
            <v>120</v>
          </cell>
        </row>
        <row r="1142">
          <cell r="A1142" t="str">
            <v>HL920x725</v>
          </cell>
          <cell r="B1142" t="str">
            <v>a=0.5 x t</v>
          </cell>
          <cell r="C1142">
            <v>38.1</v>
          </cell>
          <cell r="D1142">
            <v>68.099999999999994</v>
          </cell>
          <cell r="E1142"/>
          <cell r="F1142">
            <v>3</v>
          </cell>
          <cell r="G1142"/>
          <cell r="H1142">
            <v>3.625</v>
          </cell>
          <cell r="I1142">
            <v>5.003450655624569E-3</v>
          </cell>
          <cell r="J1142">
            <v>724.5</v>
          </cell>
          <cell r="K1142">
            <v>10</v>
          </cell>
          <cell r="L1142">
            <v>20</v>
          </cell>
          <cell r="M1142">
            <v>30</v>
          </cell>
          <cell r="N1142">
            <v>40</v>
          </cell>
          <cell r="O1142">
            <v>90</v>
          </cell>
          <cell r="P1142">
            <v>120</v>
          </cell>
        </row>
        <row r="1143">
          <cell r="A1143" t="str">
            <v>HL920x787</v>
          </cell>
          <cell r="B1143" t="str">
            <v>a=0.5 x t</v>
          </cell>
          <cell r="C1143">
            <v>40.9</v>
          </cell>
          <cell r="D1143">
            <v>73.900000000000006</v>
          </cell>
          <cell r="E1143"/>
          <cell r="F1143">
            <v>3</v>
          </cell>
          <cell r="G1143"/>
          <cell r="H1143">
            <v>3.6560000000000001</v>
          </cell>
          <cell r="I1143">
            <v>4.6478515128400713E-3</v>
          </cell>
          <cell r="J1143">
            <v>786.6</v>
          </cell>
          <cell r="K1143">
            <v>10</v>
          </cell>
          <cell r="L1143">
            <v>20</v>
          </cell>
          <cell r="M1143">
            <v>30</v>
          </cell>
          <cell r="N1143">
            <v>40</v>
          </cell>
          <cell r="O1143">
            <v>90</v>
          </cell>
          <cell r="P1143">
            <v>120</v>
          </cell>
        </row>
        <row r="1144">
          <cell r="A1144" t="str">
            <v>HL920x970</v>
          </cell>
          <cell r="B1144" t="str">
            <v>a=0.5 x t</v>
          </cell>
          <cell r="C1144">
            <v>50</v>
          </cell>
          <cell r="D1144">
            <v>89.9</v>
          </cell>
          <cell r="E1144"/>
          <cell r="F1144">
            <v>3</v>
          </cell>
          <cell r="G1144"/>
          <cell r="H1144">
            <v>3.7370000000000001</v>
          </cell>
          <cell r="I1144">
            <v>3.8497991140414131E-3</v>
          </cell>
          <cell r="J1144">
            <v>970.7</v>
          </cell>
          <cell r="K1144">
            <v>10</v>
          </cell>
          <cell r="L1144">
            <v>20</v>
          </cell>
          <cell r="M1144">
            <v>30</v>
          </cell>
          <cell r="N1144">
            <v>40</v>
          </cell>
          <cell r="O1144">
            <v>90</v>
          </cell>
          <cell r="P1144">
            <v>120</v>
          </cell>
        </row>
        <row r="1145">
          <cell r="A1145" t="str">
            <v>HL920x1077</v>
          </cell>
          <cell r="B1145" t="str">
            <v>a=0.5 x t</v>
          </cell>
          <cell r="C1145">
            <v>55</v>
          </cell>
          <cell r="D1145">
            <v>99.1</v>
          </cell>
          <cell r="E1145"/>
          <cell r="F1145">
            <v>3</v>
          </cell>
          <cell r="G1145"/>
          <cell r="H1145">
            <v>3.7839999999999998</v>
          </cell>
          <cell r="I1145">
            <v>3.5147687163291845E-3</v>
          </cell>
          <cell r="J1145">
            <v>1076.5999999999999</v>
          </cell>
          <cell r="K1145">
            <v>10</v>
          </cell>
          <cell r="L1145">
            <v>20</v>
          </cell>
          <cell r="M1145">
            <v>30</v>
          </cell>
          <cell r="N1145">
            <v>40</v>
          </cell>
          <cell r="O1145">
            <v>90</v>
          </cell>
          <cell r="P1145">
            <v>120</v>
          </cell>
        </row>
        <row r="1146">
          <cell r="A1146" t="str">
            <v>HL920x1194</v>
          </cell>
          <cell r="B1146" t="str">
            <v>a=0.5 x t</v>
          </cell>
          <cell r="C1146">
            <v>60.5</v>
          </cell>
          <cell r="D1146">
            <v>109</v>
          </cell>
          <cell r="E1146"/>
          <cell r="F1146">
            <v>3</v>
          </cell>
          <cell r="G1146"/>
          <cell r="H1146">
            <v>3.8370000000000002</v>
          </cell>
          <cell r="I1146">
            <v>3.2124916275954453E-3</v>
          </cell>
          <cell r="J1146">
            <v>1194.4000000000001</v>
          </cell>
          <cell r="K1146">
            <v>10</v>
          </cell>
          <cell r="L1146">
            <v>20</v>
          </cell>
          <cell r="M1146">
            <v>30</v>
          </cell>
          <cell r="N1146">
            <v>40</v>
          </cell>
          <cell r="O1146">
            <v>90</v>
          </cell>
          <cell r="P1146">
            <v>120</v>
          </cell>
        </row>
        <row r="1147">
          <cell r="A1147" t="str">
            <v>HL920x1269</v>
          </cell>
          <cell r="B1147" t="str">
            <v>a=0.5 x t</v>
          </cell>
          <cell r="C1147">
            <v>64</v>
          </cell>
          <cell r="D1147">
            <v>115.1</v>
          </cell>
          <cell r="E1147"/>
          <cell r="F1147">
            <v>3</v>
          </cell>
          <cell r="G1147"/>
          <cell r="H1147">
            <v>3.87</v>
          </cell>
          <cell r="I1147">
            <v>3.0496453900709219E-3</v>
          </cell>
          <cell r="J1147">
            <v>1269</v>
          </cell>
          <cell r="K1147">
            <v>10</v>
          </cell>
          <cell r="L1147">
            <v>20</v>
          </cell>
          <cell r="M1147">
            <v>30</v>
          </cell>
          <cell r="N1147">
            <v>40</v>
          </cell>
          <cell r="O1147">
            <v>90</v>
          </cell>
          <cell r="P1147">
            <v>120</v>
          </cell>
        </row>
        <row r="1148">
          <cell r="A1148" t="str">
            <v>HL920x1377</v>
          </cell>
          <cell r="B1148" t="str">
            <v>a=0.5 x t</v>
          </cell>
          <cell r="C1148">
            <v>76.7</v>
          </cell>
          <cell r="D1148">
            <v>115.1</v>
          </cell>
          <cell r="E1148"/>
          <cell r="F1148">
            <v>3</v>
          </cell>
          <cell r="G1148"/>
          <cell r="H1148">
            <v>3.8929999999999998</v>
          </cell>
          <cell r="I1148">
            <v>2.8277765671533375E-3</v>
          </cell>
          <cell r="J1148">
            <v>1376.7</v>
          </cell>
          <cell r="K1148">
            <v>10</v>
          </cell>
          <cell r="L1148">
            <v>20</v>
          </cell>
          <cell r="M1148">
            <v>30</v>
          </cell>
          <cell r="N1148">
            <v>40</v>
          </cell>
          <cell r="O1148">
            <v>90</v>
          </cell>
          <cell r="P1148">
            <v>120</v>
          </cell>
        </row>
        <row r="1149">
          <cell r="A1149" t="str">
            <v>HL1000 AA</v>
          </cell>
          <cell r="B1149" t="str">
            <v>a=0.5 x t</v>
          </cell>
          <cell r="C1149">
            <v>16.5</v>
          </cell>
          <cell r="D1149">
            <v>27.1</v>
          </cell>
          <cell r="E1149"/>
          <cell r="F1149">
            <v>3</v>
          </cell>
          <cell r="G1149"/>
          <cell r="H1149">
            <v>3.4790000000000001</v>
          </cell>
          <cell r="I1149">
            <v>1.1737516869095818E-2</v>
          </cell>
          <cell r="J1149">
            <v>296.39999999999998</v>
          </cell>
          <cell r="K1149">
            <v>10</v>
          </cell>
          <cell r="L1149">
            <v>20</v>
          </cell>
          <cell r="M1149">
            <v>30</v>
          </cell>
          <cell r="N1149">
            <v>40</v>
          </cell>
          <cell r="O1149">
            <v>90</v>
          </cell>
          <cell r="P1149">
            <v>120</v>
          </cell>
        </row>
        <row r="1150">
          <cell r="A1150" t="str">
            <v>HL1000 A</v>
          </cell>
          <cell r="B1150" t="str">
            <v>a=0.5 x t</v>
          </cell>
          <cell r="C1150">
            <v>16.5</v>
          </cell>
          <cell r="D1150">
            <v>31</v>
          </cell>
          <cell r="E1150"/>
          <cell r="F1150">
            <v>3</v>
          </cell>
          <cell r="G1150"/>
          <cell r="H1150">
            <v>3.4950000000000001</v>
          </cell>
          <cell r="I1150">
            <v>1.0891243377999378E-2</v>
          </cell>
          <cell r="J1150">
            <v>320.89999999999998</v>
          </cell>
          <cell r="K1150">
            <v>10</v>
          </cell>
          <cell r="L1150">
            <v>20</v>
          </cell>
          <cell r="M1150">
            <v>30</v>
          </cell>
          <cell r="N1150">
            <v>40</v>
          </cell>
          <cell r="O1150">
            <v>90</v>
          </cell>
          <cell r="P1150">
            <v>120</v>
          </cell>
        </row>
        <row r="1151">
          <cell r="A1151" t="str">
            <v>HL1000 B</v>
          </cell>
          <cell r="B1151" t="str">
            <v>a=0.5 x t</v>
          </cell>
          <cell r="C1151">
            <v>19</v>
          </cell>
          <cell r="D1151">
            <v>36.1</v>
          </cell>
          <cell r="E1151"/>
          <cell r="F1151">
            <v>3</v>
          </cell>
          <cell r="G1151"/>
          <cell r="H1151">
            <v>3.51</v>
          </cell>
          <cell r="I1151">
            <v>9.4583670169765544E-3</v>
          </cell>
          <cell r="J1151">
            <v>371.1</v>
          </cell>
          <cell r="K1151">
            <v>10</v>
          </cell>
          <cell r="L1151">
            <v>20</v>
          </cell>
          <cell r="M1151">
            <v>30</v>
          </cell>
          <cell r="N1151">
            <v>40</v>
          </cell>
          <cell r="O1151">
            <v>90</v>
          </cell>
          <cell r="P1151">
            <v>120</v>
          </cell>
        </row>
        <row r="1152">
          <cell r="A1152" t="str">
            <v>HL1000 M</v>
          </cell>
          <cell r="B1152" t="str">
            <v>a=0.5 x t</v>
          </cell>
          <cell r="C1152">
            <v>21.1</v>
          </cell>
          <cell r="D1152">
            <v>40</v>
          </cell>
          <cell r="E1152"/>
          <cell r="F1152">
            <v>3</v>
          </cell>
          <cell r="G1152"/>
          <cell r="H1152">
            <v>3.53</v>
          </cell>
          <cell r="I1152">
            <v>8.5638039786511393E-3</v>
          </cell>
          <cell r="J1152">
            <v>412.2</v>
          </cell>
          <cell r="K1152">
            <v>10</v>
          </cell>
          <cell r="L1152">
            <v>20</v>
          </cell>
          <cell r="M1152">
            <v>30</v>
          </cell>
          <cell r="N1152">
            <v>40</v>
          </cell>
          <cell r="O1152">
            <v>90</v>
          </cell>
          <cell r="P1152">
            <v>120</v>
          </cell>
        </row>
        <row r="1153">
          <cell r="A1153" t="str">
            <v>HL1000x443</v>
          </cell>
          <cell r="B1153" t="str">
            <v>a=0.5 x t</v>
          </cell>
          <cell r="C1153">
            <v>23.6</v>
          </cell>
          <cell r="D1153">
            <v>41.9</v>
          </cell>
          <cell r="E1153"/>
          <cell r="F1153">
            <v>3</v>
          </cell>
          <cell r="G1153"/>
          <cell r="H1153">
            <v>3.5329999999999999</v>
          </cell>
          <cell r="I1153">
            <v>7.9841807909604521E-3</v>
          </cell>
          <cell r="J1153">
            <v>442.5</v>
          </cell>
          <cell r="K1153">
            <v>10</v>
          </cell>
          <cell r="L1153">
            <v>20</v>
          </cell>
          <cell r="M1153">
            <v>30</v>
          </cell>
          <cell r="N1153">
            <v>40</v>
          </cell>
          <cell r="O1153">
            <v>90</v>
          </cell>
          <cell r="P1153">
            <v>120</v>
          </cell>
        </row>
        <row r="1154">
          <cell r="A1154" t="str">
            <v>HL1000x483</v>
          </cell>
          <cell r="B1154" t="str">
            <v>a=0.5 x t</v>
          </cell>
          <cell r="C1154">
            <v>25.4</v>
          </cell>
          <cell r="D1154">
            <v>46</v>
          </cell>
          <cell r="E1154"/>
          <cell r="F1154">
            <v>3</v>
          </cell>
          <cell r="G1154"/>
          <cell r="H1154">
            <v>3.5539999999999998</v>
          </cell>
          <cell r="I1154">
            <v>7.3597018016152409E-3</v>
          </cell>
          <cell r="J1154">
            <v>482.9</v>
          </cell>
          <cell r="K1154">
            <v>10</v>
          </cell>
          <cell r="L1154">
            <v>20</v>
          </cell>
          <cell r="M1154">
            <v>30</v>
          </cell>
          <cell r="N1154">
            <v>40</v>
          </cell>
          <cell r="O1154">
            <v>90</v>
          </cell>
          <cell r="P1154">
            <v>120</v>
          </cell>
        </row>
        <row r="1155">
          <cell r="A1155" t="str">
            <v>HL1000x539</v>
          </cell>
          <cell r="B1155" t="str">
            <v>a=0.5 x t</v>
          </cell>
          <cell r="C1155">
            <v>28.4</v>
          </cell>
          <cell r="D1155">
            <v>51.1</v>
          </cell>
          <cell r="E1155"/>
          <cell r="F1155">
            <v>3</v>
          </cell>
          <cell r="G1155"/>
          <cell r="H1155">
            <v>3.58</v>
          </cell>
          <cell r="I1155">
            <v>6.6357738646895276E-3</v>
          </cell>
          <cell r="J1155">
            <v>539.5</v>
          </cell>
          <cell r="K1155">
            <v>10</v>
          </cell>
          <cell r="L1155">
            <v>20</v>
          </cell>
          <cell r="M1155">
            <v>30</v>
          </cell>
          <cell r="N1155">
            <v>40</v>
          </cell>
          <cell r="O1155">
            <v>90</v>
          </cell>
          <cell r="P1155">
            <v>120</v>
          </cell>
        </row>
        <row r="1156">
          <cell r="A1156" t="str">
            <v>HL1000x554</v>
          </cell>
          <cell r="B1156" t="str">
            <v>a=0.5 x t</v>
          </cell>
          <cell r="C1156">
            <v>29.5</v>
          </cell>
          <cell r="D1156">
            <v>52</v>
          </cell>
          <cell r="E1156"/>
          <cell r="F1156">
            <v>3</v>
          </cell>
          <cell r="G1156"/>
          <cell r="H1156">
            <v>3.585</v>
          </cell>
          <cell r="I1156">
            <v>6.4699512723335132E-3</v>
          </cell>
          <cell r="J1156">
            <v>554.1</v>
          </cell>
          <cell r="K1156">
            <v>10</v>
          </cell>
          <cell r="L1156">
            <v>20</v>
          </cell>
          <cell r="M1156">
            <v>30</v>
          </cell>
          <cell r="N1156">
            <v>40</v>
          </cell>
          <cell r="O1156">
            <v>90</v>
          </cell>
          <cell r="P1156">
            <v>120</v>
          </cell>
        </row>
        <row r="1157">
          <cell r="A1157" t="str">
            <v>HL1000x591</v>
          </cell>
          <cell r="B1157" t="str">
            <v>a=0.5 x t</v>
          </cell>
          <cell r="C1157">
            <v>31</v>
          </cell>
          <cell r="D1157">
            <v>55.9</v>
          </cell>
          <cell r="E1157"/>
          <cell r="F1157">
            <v>3</v>
          </cell>
          <cell r="G1157"/>
          <cell r="H1157">
            <v>3.6019999999999999</v>
          </cell>
          <cell r="I1157">
            <v>6.0957860890167538E-3</v>
          </cell>
          <cell r="J1157">
            <v>590.9</v>
          </cell>
          <cell r="K1157">
            <v>10</v>
          </cell>
          <cell r="L1157">
            <v>20</v>
          </cell>
          <cell r="M1157">
            <v>30</v>
          </cell>
          <cell r="N1157">
            <v>40</v>
          </cell>
          <cell r="O1157">
            <v>90</v>
          </cell>
          <cell r="P1157">
            <v>120</v>
          </cell>
        </row>
        <row r="1158">
          <cell r="A1158" t="str">
            <v>HL1000x642</v>
          </cell>
          <cell r="B1158" t="str">
            <v>a=0.5 x t</v>
          </cell>
          <cell r="C1158">
            <v>34</v>
          </cell>
          <cell r="D1158">
            <v>60</v>
          </cell>
          <cell r="E1158"/>
          <cell r="F1158">
            <v>3</v>
          </cell>
          <cell r="G1158"/>
          <cell r="H1158">
            <v>3.6240000000000001</v>
          </cell>
          <cell r="I1158">
            <v>5.6466188843876603E-3</v>
          </cell>
          <cell r="J1158">
            <v>641.79999999999995</v>
          </cell>
          <cell r="K1158">
            <v>10</v>
          </cell>
          <cell r="L1158">
            <v>20</v>
          </cell>
          <cell r="M1158">
            <v>30</v>
          </cell>
          <cell r="N1158">
            <v>40</v>
          </cell>
          <cell r="O1158">
            <v>90</v>
          </cell>
          <cell r="P1158">
            <v>120</v>
          </cell>
        </row>
        <row r="1159">
          <cell r="A1159" t="str">
            <v>HL1000x748</v>
          </cell>
          <cell r="B1159" t="str">
            <v>a=0.5 x t</v>
          </cell>
          <cell r="C1159">
            <v>39</v>
          </cell>
          <cell r="D1159">
            <v>70</v>
          </cell>
          <cell r="E1159"/>
          <cell r="F1159">
            <v>3</v>
          </cell>
          <cell r="G1159"/>
          <cell r="H1159">
            <v>3.6739999999999999</v>
          </cell>
          <cell r="I1159">
            <v>4.9091394975948688E-3</v>
          </cell>
          <cell r="J1159">
            <v>748.4</v>
          </cell>
          <cell r="K1159">
            <v>10</v>
          </cell>
          <cell r="L1159">
            <v>20</v>
          </cell>
          <cell r="M1159">
            <v>30</v>
          </cell>
          <cell r="N1159">
            <v>40</v>
          </cell>
          <cell r="O1159">
            <v>90</v>
          </cell>
          <cell r="P1159">
            <v>120</v>
          </cell>
        </row>
        <row r="1160">
          <cell r="A1160" t="str">
            <v>HL1000x883</v>
          </cell>
          <cell r="B1160" t="str">
            <v>a=0.5 x t</v>
          </cell>
          <cell r="C1160">
            <v>45.5</v>
          </cell>
          <cell r="D1160">
            <v>82</v>
          </cell>
          <cell r="E1160"/>
          <cell r="F1160">
            <v>3</v>
          </cell>
          <cell r="G1160"/>
          <cell r="H1160">
            <v>3.7370000000000001</v>
          </cell>
          <cell r="I1160">
            <v>4.2302467738283903E-3</v>
          </cell>
          <cell r="J1160">
            <v>883.4</v>
          </cell>
          <cell r="K1160">
            <v>10</v>
          </cell>
          <cell r="L1160">
            <v>20</v>
          </cell>
          <cell r="M1160">
            <v>30</v>
          </cell>
          <cell r="N1160">
            <v>40</v>
          </cell>
          <cell r="O1160">
            <v>90</v>
          </cell>
          <cell r="P1160">
            <v>120</v>
          </cell>
        </row>
        <row r="1161">
          <cell r="A1161" t="str">
            <v>HL1000x976</v>
          </cell>
          <cell r="B1161" t="str">
            <v>a=0.5 x t</v>
          </cell>
          <cell r="C1161">
            <v>50</v>
          </cell>
          <cell r="D1161">
            <v>89.9</v>
          </cell>
          <cell r="E1161"/>
          <cell r="F1161">
            <v>3</v>
          </cell>
          <cell r="G1161"/>
          <cell r="H1161">
            <v>3.7759999999999998</v>
          </cell>
          <cell r="I1161">
            <v>3.8748075936377627E-3</v>
          </cell>
          <cell r="J1161">
            <v>974.5</v>
          </cell>
          <cell r="K1161">
            <v>10</v>
          </cell>
          <cell r="L1161">
            <v>20</v>
          </cell>
          <cell r="M1161">
            <v>30</v>
          </cell>
          <cell r="N1161">
            <v>40</v>
          </cell>
          <cell r="O1161">
            <v>90</v>
          </cell>
          <cell r="P1161">
            <v>120</v>
          </cell>
        </row>
        <row r="1162">
          <cell r="A1162" t="str">
            <v>HL1100 A</v>
          </cell>
          <cell r="B1162" t="str">
            <v>a=0.5 x t</v>
          </cell>
          <cell r="C1162">
            <v>18</v>
          </cell>
          <cell r="D1162">
            <v>31</v>
          </cell>
          <cell r="E1162"/>
          <cell r="F1162">
            <v>3</v>
          </cell>
          <cell r="G1162"/>
          <cell r="H1162">
            <v>3.6920000000000002</v>
          </cell>
          <cell r="I1162">
            <v>1.0773271082579517E-2</v>
          </cell>
          <cell r="J1162">
            <v>342.7</v>
          </cell>
          <cell r="K1162">
            <v>10</v>
          </cell>
          <cell r="L1162">
            <v>20</v>
          </cell>
          <cell r="M1162">
            <v>30</v>
          </cell>
          <cell r="N1162">
            <v>40</v>
          </cell>
          <cell r="O1162">
            <v>90</v>
          </cell>
          <cell r="P1162">
            <v>120</v>
          </cell>
        </row>
        <row r="1163">
          <cell r="A1163" t="str">
            <v>HL1100 B</v>
          </cell>
          <cell r="B1163" t="str">
            <v>a=0.5 x t</v>
          </cell>
          <cell r="C1163">
            <v>20</v>
          </cell>
          <cell r="D1163">
            <v>36</v>
          </cell>
          <cell r="E1163"/>
          <cell r="F1163">
            <v>3</v>
          </cell>
          <cell r="G1163"/>
          <cell r="H1163">
            <v>3.7080000000000002</v>
          </cell>
          <cell r="I1163">
            <v>9.5052550628044099E-3</v>
          </cell>
          <cell r="J1163">
            <v>390.1</v>
          </cell>
          <cell r="K1163">
            <v>10</v>
          </cell>
          <cell r="L1163">
            <v>20</v>
          </cell>
          <cell r="M1163">
            <v>30</v>
          </cell>
          <cell r="N1163">
            <v>40</v>
          </cell>
          <cell r="O1163">
            <v>90</v>
          </cell>
          <cell r="P1163">
            <v>120</v>
          </cell>
        </row>
        <row r="1164">
          <cell r="A1164" t="str">
            <v>HL1100 M</v>
          </cell>
          <cell r="B1164" t="str">
            <v>a=0.5 x t</v>
          </cell>
          <cell r="C1164">
            <v>22</v>
          </cell>
          <cell r="D1164">
            <v>40</v>
          </cell>
          <cell r="E1164"/>
          <cell r="F1164">
            <v>3</v>
          </cell>
          <cell r="G1164"/>
          <cell r="H1164">
            <v>3.7280000000000002</v>
          </cell>
          <cell r="I1164">
            <v>8.6156690547723597E-3</v>
          </cell>
          <cell r="J1164">
            <v>432.7</v>
          </cell>
          <cell r="K1164">
            <v>10</v>
          </cell>
          <cell r="L1164">
            <v>20</v>
          </cell>
          <cell r="M1164">
            <v>30</v>
          </cell>
          <cell r="N1164">
            <v>40</v>
          </cell>
          <cell r="O1164">
            <v>90</v>
          </cell>
          <cell r="P1164">
            <v>120</v>
          </cell>
        </row>
        <row r="1165">
          <cell r="A1165" t="str">
            <v>HL1100 R</v>
          </cell>
          <cell r="B1165" t="str">
            <v>a=0.5 x t</v>
          </cell>
          <cell r="C1165">
            <v>26</v>
          </cell>
          <cell r="D1165">
            <v>45</v>
          </cell>
          <cell r="E1165"/>
          <cell r="F1165">
            <v>3</v>
          </cell>
          <cell r="G1165"/>
          <cell r="H1165">
            <v>3.7519999999999998</v>
          </cell>
          <cell r="I1165">
            <v>7.5250701965503403E-3</v>
          </cell>
          <cell r="J1165">
            <v>498.6</v>
          </cell>
          <cell r="K1165">
            <v>10</v>
          </cell>
          <cell r="L1165">
            <v>20</v>
          </cell>
          <cell r="M1165">
            <v>30</v>
          </cell>
          <cell r="N1165">
            <v>40</v>
          </cell>
          <cell r="O1165">
            <v>90</v>
          </cell>
          <cell r="P1165">
            <v>120</v>
          </cell>
        </row>
        <row r="1166">
          <cell r="A1166" t="str">
            <v>HL1100x548</v>
          </cell>
          <cell r="B1166" t="str">
            <v>a=0.5 x t</v>
          </cell>
          <cell r="C1166">
            <v>28</v>
          </cell>
          <cell r="D1166">
            <v>50</v>
          </cell>
          <cell r="E1166"/>
          <cell r="F1166">
            <v>3</v>
          </cell>
          <cell r="G1166"/>
          <cell r="H1166">
            <v>3.7759999999999998</v>
          </cell>
          <cell r="I1166">
            <v>6.8879970813571683E-3</v>
          </cell>
          <cell r="J1166">
            <v>548.20000000000005</v>
          </cell>
          <cell r="K1166">
            <v>10</v>
          </cell>
          <cell r="L1166">
            <v>20</v>
          </cell>
          <cell r="M1166">
            <v>30</v>
          </cell>
          <cell r="N1166">
            <v>40</v>
          </cell>
          <cell r="O1166">
            <v>90</v>
          </cell>
          <cell r="P1166">
            <v>120</v>
          </cell>
        </row>
        <row r="1167">
          <cell r="A1167" t="str">
            <v>HL1100x607</v>
          </cell>
          <cell r="B1167" t="str">
            <v>a=0.5 x t</v>
          </cell>
          <cell r="C1167">
            <v>31</v>
          </cell>
          <cell r="D1167">
            <v>55</v>
          </cell>
          <cell r="E1167"/>
          <cell r="F1167">
            <v>3</v>
          </cell>
          <cell r="G1167"/>
          <cell r="H1167">
            <v>3.802</v>
          </cell>
          <cell r="I1167">
            <v>6.2646234964574068E-3</v>
          </cell>
          <cell r="J1167">
            <v>606.9</v>
          </cell>
          <cell r="K1167">
            <v>10</v>
          </cell>
          <cell r="L1167">
            <v>20</v>
          </cell>
          <cell r="M1167">
            <v>30</v>
          </cell>
          <cell r="N1167">
            <v>40</v>
          </cell>
          <cell r="O1167">
            <v>90</v>
          </cell>
          <cell r="P1167">
            <v>120</v>
          </cell>
        </row>
        <row r="1168">
          <cell r="A1168" t="str">
            <v>HP200x43</v>
          </cell>
          <cell r="B1168" t="str">
            <v>a=0.5 x t</v>
          </cell>
          <cell r="C1168">
            <v>11.3</v>
          </cell>
          <cell r="D1168">
            <v>11.3</v>
          </cell>
          <cell r="E1168"/>
          <cell r="F1168">
            <v>2</v>
          </cell>
          <cell r="G1168"/>
          <cell r="H1168">
            <v>1.1850000000000001</v>
          </cell>
          <cell r="I1168">
            <v>2.7882352941176473E-2</v>
          </cell>
          <cell r="J1168">
            <v>42.5</v>
          </cell>
          <cell r="K1168">
            <v>5</v>
          </cell>
          <cell r="L1168">
            <v>10</v>
          </cell>
          <cell r="M1168">
            <v>20</v>
          </cell>
          <cell r="N1168">
            <v>30</v>
          </cell>
          <cell r="O1168">
            <v>60</v>
          </cell>
          <cell r="P1168">
            <v>90</v>
          </cell>
        </row>
        <row r="1169">
          <cell r="A1169" t="str">
            <v>HP200x53</v>
          </cell>
          <cell r="B1169" t="str">
            <v>a=0.5 x t</v>
          </cell>
          <cell r="C1169">
            <v>11.3</v>
          </cell>
          <cell r="D1169">
            <v>11.3</v>
          </cell>
          <cell r="E1169"/>
          <cell r="F1169">
            <v>2</v>
          </cell>
          <cell r="G1169"/>
          <cell r="H1169">
            <v>1.196</v>
          </cell>
          <cell r="I1169">
            <v>2.227188081936685E-2</v>
          </cell>
          <cell r="J1169">
            <v>53.7</v>
          </cell>
          <cell r="K1169">
            <v>5</v>
          </cell>
          <cell r="L1169">
            <v>10</v>
          </cell>
          <cell r="M1169">
            <v>20</v>
          </cell>
          <cell r="N1169">
            <v>30</v>
          </cell>
          <cell r="O1169">
            <v>60</v>
          </cell>
          <cell r="P1169">
            <v>90</v>
          </cell>
        </row>
        <row r="1170">
          <cell r="A1170" t="str">
            <v>HP220x57</v>
          </cell>
          <cell r="B1170" t="str">
            <v>a=0.5 x t</v>
          </cell>
          <cell r="C1170">
            <v>11</v>
          </cell>
          <cell r="D1170">
            <v>11</v>
          </cell>
          <cell r="E1170"/>
          <cell r="F1170">
            <v>2</v>
          </cell>
          <cell r="G1170"/>
          <cell r="H1170">
            <v>1.2649999999999999</v>
          </cell>
          <cell r="I1170">
            <v>2.2115384615384613E-2</v>
          </cell>
          <cell r="J1170">
            <v>57.2</v>
          </cell>
          <cell r="K1170">
            <v>5</v>
          </cell>
          <cell r="L1170">
            <v>10</v>
          </cell>
          <cell r="M1170">
            <v>20</v>
          </cell>
          <cell r="N1170">
            <v>30</v>
          </cell>
          <cell r="O1170">
            <v>60</v>
          </cell>
          <cell r="P1170">
            <v>90</v>
          </cell>
        </row>
        <row r="1171">
          <cell r="A1171" t="str">
            <v>HP260x75</v>
          </cell>
          <cell r="B1171" t="str">
            <v>a=0.5 x t</v>
          </cell>
          <cell r="C1171">
            <v>12</v>
          </cell>
          <cell r="D1171">
            <v>12</v>
          </cell>
          <cell r="E1171"/>
          <cell r="F1171">
            <v>3</v>
          </cell>
          <cell r="G1171"/>
          <cell r="H1171">
            <v>1.4930000000000001</v>
          </cell>
          <cell r="I1171">
            <v>1.990666666666667E-2</v>
          </cell>
          <cell r="J1171">
            <v>75</v>
          </cell>
          <cell r="K1171">
            <v>10</v>
          </cell>
          <cell r="L1171">
            <v>20</v>
          </cell>
          <cell r="M1171">
            <v>30</v>
          </cell>
          <cell r="N1171">
            <v>40</v>
          </cell>
          <cell r="O1171">
            <v>90</v>
          </cell>
          <cell r="P1171">
            <v>120</v>
          </cell>
        </row>
        <row r="1172">
          <cell r="A1172" t="str">
            <v>HP260x87</v>
          </cell>
          <cell r="B1172" t="str">
            <v>a=0.5 x t</v>
          </cell>
          <cell r="C1172">
            <v>14</v>
          </cell>
          <cell r="D1172">
            <v>14</v>
          </cell>
          <cell r="E1172"/>
          <cell r="F1172">
            <v>3</v>
          </cell>
          <cell r="G1172"/>
          <cell r="H1172">
            <v>1.5049999999999999</v>
          </cell>
          <cell r="I1172">
            <v>1.7278989667049369E-2</v>
          </cell>
          <cell r="J1172">
            <v>87.1</v>
          </cell>
          <cell r="K1172">
            <v>10</v>
          </cell>
          <cell r="L1172">
            <v>20</v>
          </cell>
          <cell r="M1172">
            <v>30</v>
          </cell>
          <cell r="N1172">
            <v>40</v>
          </cell>
          <cell r="O1172">
            <v>90</v>
          </cell>
          <cell r="P1172">
            <v>120</v>
          </cell>
        </row>
        <row r="1173">
          <cell r="A1173" t="str">
            <v>HP305x79</v>
          </cell>
          <cell r="B1173" t="str">
            <v>a=0.5 x t</v>
          </cell>
          <cell r="C1173">
            <v>11</v>
          </cell>
          <cell r="D1173">
            <v>11</v>
          </cell>
          <cell r="E1173"/>
          <cell r="F1173">
            <v>3</v>
          </cell>
          <cell r="G1173"/>
          <cell r="H1173">
            <v>1.776</v>
          </cell>
          <cell r="I1173">
            <v>2.2509505703422052E-2</v>
          </cell>
          <cell r="J1173">
            <v>78.900000000000006</v>
          </cell>
          <cell r="K1173">
            <v>10</v>
          </cell>
          <cell r="L1173">
            <v>20</v>
          </cell>
          <cell r="M1173">
            <v>30</v>
          </cell>
          <cell r="N1173">
            <v>40</v>
          </cell>
          <cell r="O1173">
            <v>90</v>
          </cell>
          <cell r="P1173">
            <v>120</v>
          </cell>
        </row>
        <row r="1174">
          <cell r="A1174" t="str">
            <v>HP305x88</v>
          </cell>
          <cell r="B1174" t="str">
            <v>a=0.5 x t</v>
          </cell>
          <cell r="C1174">
            <v>12.4</v>
          </cell>
          <cell r="D1174">
            <v>12.3</v>
          </cell>
          <cell r="E1174"/>
          <cell r="F1174">
            <v>3</v>
          </cell>
          <cell r="G1174"/>
          <cell r="H1174">
            <v>1.784</v>
          </cell>
          <cell r="I1174">
            <v>2.0295790671217291E-2</v>
          </cell>
          <cell r="J1174">
            <v>87.9</v>
          </cell>
          <cell r="K1174">
            <v>10</v>
          </cell>
          <cell r="L1174">
            <v>20</v>
          </cell>
          <cell r="M1174">
            <v>30</v>
          </cell>
          <cell r="N1174">
            <v>40</v>
          </cell>
          <cell r="O1174">
            <v>90</v>
          </cell>
          <cell r="P1174">
            <v>120</v>
          </cell>
        </row>
        <row r="1175">
          <cell r="A1175" t="str">
            <v>HP305x95</v>
          </cell>
          <cell r="B1175" t="str">
            <v>a=0.5 x t</v>
          </cell>
          <cell r="C1175">
            <v>13.3</v>
          </cell>
          <cell r="D1175">
            <v>13.3</v>
          </cell>
          <cell r="E1175"/>
          <cell r="F1175">
            <v>3</v>
          </cell>
          <cell r="G1175"/>
          <cell r="H1175">
            <v>1.79</v>
          </cell>
          <cell r="I1175">
            <v>1.8842105263157896E-2</v>
          </cell>
          <cell r="J1175">
            <v>95</v>
          </cell>
          <cell r="K1175">
            <v>10</v>
          </cell>
          <cell r="L1175">
            <v>20</v>
          </cell>
          <cell r="M1175">
            <v>30</v>
          </cell>
          <cell r="N1175">
            <v>40</v>
          </cell>
          <cell r="O1175">
            <v>90</v>
          </cell>
          <cell r="P1175">
            <v>120</v>
          </cell>
        </row>
        <row r="1176">
          <cell r="A1176" t="str">
            <v>HP305x110</v>
          </cell>
          <cell r="B1176" t="str">
            <v>a=0.5 x t</v>
          </cell>
          <cell r="C1176">
            <v>15.3</v>
          </cell>
          <cell r="D1176">
            <v>15.4</v>
          </cell>
          <cell r="E1176"/>
          <cell r="F1176">
            <v>3</v>
          </cell>
          <cell r="G1176"/>
          <cell r="H1176">
            <v>1.802</v>
          </cell>
          <cell r="I1176">
            <v>1.6396724294813467E-2</v>
          </cell>
          <cell r="J1176">
            <v>109.9</v>
          </cell>
          <cell r="K1176">
            <v>10</v>
          </cell>
          <cell r="L1176">
            <v>20</v>
          </cell>
          <cell r="M1176">
            <v>30</v>
          </cell>
          <cell r="N1176">
            <v>40</v>
          </cell>
          <cell r="O1176">
            <v>90</v>
          </cell>
          <cell r="P1176">
            <v>120</v>
          </cell>
        </row>
        <row r="1177">
          <cell r="A1177" t="str">
            <v>HP305x126</v>
          </cell>
          <cell r="B1177" t="str">
            <v>a=0.5 x t</v>
          </cell>
          <cell r="C1177">
            <v>17.5</v>
          </cell>
          <cell r="D1177">
            <v>17.600000000000001</v>
          </cell>
          <cell r="E1177"/>
          <cell r="F1177">
            <v>3</v>
          </cell>
          <cell r="G1177"/>
          <cell r="H1177">
            <v>1.8149999999999999</v>
          </cell>
          <cell r="I1177">
            <v>1.4359177215189872E-2</v>
          </cell>
          <cell r="J1177">
            <v>126.4</v>
          </cell>
          <cell r="K1177">
            <v>10</v>
          </cell>
          <cell r="L1177">
            <v>20</v>
          </cell>
          <cell r="M1177">
            <v>30</v>
          </cell>
          <cell r="N1177">
            <v>40</v>
          </cell>
          <cell r="O1177">
            <v>90</v>
          </cell>
          <cell r="P1177">
            <v>120</v>
          </cell>
        </row>
        <row r="1178">
          <cell r="A1178" t="str">
            <v>HP305x149</v>
          </cell>
          <cell r="B1178" t="str">
            <v>a=0.5 x t</v>
          </cell>
          <cell r="C1178">
            <v>20.6</v>
          </cell>
          <cell r="D1178">
            <v>20.7</v>
          </cell>
          <cell r="E1178"/>
          <cell r="F1178">
            <v>3</v>
          </cell>
          <cell r="G1178"/>
          <cell r="H1178">
            <v>1.8340000000000001</v>
          </cell>
          <cell r="I1178">
            <v>1.2300469483568076E-2</v>
          </cell>
          <cell r="J1178">
            <v>149.1</v>
          </cell>
          <cell r="K1178">
            <v>10</v>
          </cell>
          <cell r="L1178">
            <v>20</v>
          </cell>
          <cell r="M1178">
            <v>30</v>
          </cell>
          <cell r="N1178">
            <v>40</v>
          </cell>
          <cell r="O1178">
            <v>90</v>
          </cell>
          <cell r="P1178">
            <v>120</v>
          </cell>
        </row>
        <row r="1179">
          <cell r="A1179" t="str">
            <v>HP305x180</v>
          </cell>
          <cell r="B1179" t="str">
            <v>a=0.5 x t</v>
          </cell>
          <cell r="C1179">
            <v>24.8</v>
          </cell>
          <cell r="D1179">
            <v>24.8</v>
          </cell>
          <cell r="E1179"/>
          <cell r="F1179">
            <v>3</v>
          </cell>
          <cell r="G1179"/>
          <cell r="H1179">
            <v>1.857</v>
          </cell>
          <cell r="I1179">
            <v>1.0328142380422692E-2</v>
          </cell>
          <cell r="J1179">
            <v>179.8</v>
          </cell>
          <cell r="K1179">
            <v>10</v>
          </cell>
          <cell r="L1179">
            <v>20</v>
          </cell>
          <cell r="M1179">
            <v>30</v>
          </cell>
          <cell r="N1179">
            <v>40</v>
          </cell>
          <cell r="O1179">
            <v>90</v>
          </cell>
          <cell r="P1179">
            <v>120</v>
          </cell>
        </row>
        <row r="1180">
          <cell r="A1180" t="str">
            <v>HP305x186</v>
          </cell>
          <cell r="B1180" t="str">
            <v>a=0.5 x t</v>
          </cell>
          <cell r="C1180">
            <v>25.5</v>
          </cell>
          <cell r="D1180">
            <v>25.6</v>
          </cell>
          <cell r="E1180"/>
          <cell r="F1180">
            <v>3</v>
          </cell>
          <cell r="G1180"/>
          <cell r="H1180">
            <v>1.863</v>
          </cell>
          <cell r="I1180">
            <v>1.0016129032258065E-2</v>
          </cell>
          <cell r="J1180">
            <v>186</v>
          </cell>
          <cell r="K1180">
            <v>10</v>
          </cell>
          <cell r="L1180">
            <v>20</v>
          </cell>
          <cell r="M1180">
            <v>30</v>
          </cell>
          <cell r="N1180">
            <v>40</v>
          </cell>
          <cell r="O1180">
            <v>90</v>
          </cell>
          <cell r="P1180">
            <v>120</v>
          </cell>
        </row>
        <row r="1181">
          <cell r="A1181" t="str">
            <v>HP305x223</v>
          </cell>
          <cell r="B1181" t="str">
            <v>a=0.5 x t</v>
          </cell>
          <cell r="C1181">
            <v>30.3</v>
          </cell>
          <cell r="D1181">
            <v>30.4</v>
          </cell>
          <cell r="E1181"/>
          <cell r="F1181">
            <v>3</v>
          </cell>
          <cell r="G1181"/>
          <cell r="H1181">
            <v>1.8919999999999999</v>
          </cell>
          <cell r="I1181">
            <v>8.4881112606550024E-3</v>
          </cell>
          <cell r="J1181">
            <v>222.9</v>
          </cell>
          <cell r="K1181">
            <v>10</v>
          </cell>
          <cell r="L1181">
            <v>20</v>
          </cell>
          <cell r="M1181">
            <v>30</v>
          </cell>
          <cell r="N1181">
            <v>40</v>
          </cell>
          <cell r="O1181">
            <v>90</v>
          </cell>
          <cell r="P1181">
            <v>120</v>
          </cell>
        </row>
        <row r="1182">
          <cell r="A1182" t="str">
            <v>HP320x88</v>
          </cell>
          <cell r="B1182" t="str">
            <v>a=0.5 x t</v>
          </cell>
          <cell r="C1182">
            <v>12</v>
          </cell>
          <cell r="D1182">
            <v>12</v>
          </cell>
          <cell r="E1182"/>
          <cell r="F1182">
            <v>3</v>
          </cell>
          <cell r="G1182"/>
          <cell r="H1182">
            <v>1.752</v>
          </cell>
          <cell r="I1182">
            <v>1.9751972942502818E-2</v>
          </cell>
          <cell r="J1182">
            <v>88.7</v>
          </cell>
          <cell r="K1182">
            <v>10</v>
          </cell>
          <cell r="L1182">
            <v>20</v>
          </cell>
          <cell r="M1182">
            <v>30</v>
          </cell>
          <cell r="N1182">
            <v>40</v>
          </cell>
          <cell r="O1182">
            <v>90</v>
          </cell>
          <cell r="P1182">
            <v>120</v>
          </cell>
        </row>
        <row r="1183">
          <cell r="A1183" t="str">
            <v>HP320x103</v>
          </cell>
          <cell r="B1183" t="str">
            <v>a=0.5 x t</v>
          </cell>
          <cell r="C1183">
            <v>14</v>
          </cell>
          <cell r="D1183">
            <v>14</v>
          </cell>
          <cell r="E1183"/>
          <cell r="F1183">
            <v>3</v>
          </cell>
          <cell r="G1183"/>
          <cell r="H1183">
            <v>1.764</v>
          </cell>
          <cell r="I1183">
            <v>1.715953307392996E-2</v>
          </cell>
          <cell r="J1183">
            <v>102.8</v>
          </cell>
          <cell r="K1183">
            <v>10</v>
          </cell>
          <cell r="L1183">
            <v>20</v>
          </cell>
          <cell r="M1183">
            <v>30</v>
          </cell>
          <cell r="N1183">
            <v>40</v>
          </cell>
          <cell r="O1183">
            <v>90</v>
          </cell>
          <cell r="P1183">
            <v>120</v>
          </cell>
        </row>
        <row r="1184">
          <cell r="A1184" t="str">
            <v>HP320x117</v>
          </cell>
          <cell r="B1184" t="str">
            <v>a=0.5 x t</v>
          </cell>
          <cell r="C1184">
            <v>16</v>
          </cell>
          <cell r="D1184">
            <v>16</v>
          </cell>
          <cell r="E1184"/>
          <cell r="F1184">
            <v>3</v>
          </cell>
          <cell r="G1184"/>
          <cell r="H1184">
            <v>1.776</v>
          </cell>
          <cell r="I1184">
            <v>1.5076400679117148E-2</v>
          </cell>
          <cell r="J1184">
            <v>117.8</v>
          </cell>
          <cell r="K1184">
            <v>10</v>
          </cell>
          <cell r="L1184">
            <v>20</v>
          </cell>
          <cell r="M1184">
            <v>30</v>
          </cell>
          <cell r="N1184">
            <v>40</v>
          </cell>
          <cell r="O1184">
            <v>90</v>
          </cell>
          <cell r="P1184">
            <v>120</v>
          </cell>
        </row>
        <row r="1185">
          <cell r="A1185" t="str">
            <v>HP320x147</v>
          </cell>
          <cell r="B1185" t="str">
            <v>a=0.5 x t</v>
          </cell>
          <cell r="C1185">
            <v>20</v>
          </cell>
          <cell r="D1185">
            <v>20</v>
          </cell>
          <cell r="E1185"/>
          <cell r="F1185">
            <v>3</v>
          </cell>
          <cell r="G1185"/>
          <cell r="H1185">
            <v>1.8</v>
          </cell>
          <cell r="I1185">
            <v>1.2261580381471389E-2</v>
          </cell>
          <cell r="J1185">
            <v>146.80000000000001</v>
          </cell>
          <cell r="K1185">
            <v>10</v>
          </cell>
          <cell r="L1185">
            <v>20</v>
          </cell>
          <cell r="M1185">
            <v>30</v>
          </cell>
          <cell r="N1185">
            <v>40</v>
          </cell>
          <cell r="O1185">
            <v>90</v>
          </cell>
          <cell r="P1185">
            <v>120</v>
          </cell>
        </row>
        <row r="1186">
          <cell r="A1186" t="str">
            <v>HP320x184</v>
          </cell>
          <cell r="B1186" t="str">
            <v>a=0.5 x t</v>
          </cell>
          <cell r="C1186">
            <v>25</v>
          </cell>
          <cell r="D1186">
            <v>25</v>
          </cell>
          <cell r="E1186"/>
          <cell r="F1186">
            <v>3</v>
          </cell>
          <cell r="G1186"/>
          <cell r="H1186">
            <v>1.83</v>
          </cell>
          <cell r="I1186">
            <v>9.9186991869918695E-3</v>
          </cell>
          <cell r="J1186">
            <v>184.5</v>
          </cell>
          <cell r="K1186">
            <v>10</v>
          </cell>
          <cell r="L1186">
            <v>20</v>
          </cell>
          <cell r="M1186">
            <v>30</v>
          </cell>
          <cell r="N1186">
            <v>40</v>
          </cell>
          <cell r="O1186">
            <v>90</v>
          </cell>
          <cell r="P1186">
            <v>120</v>
          </cell>
        </row>
        <row r="1187">
          <cell r="A1187" t="str">
            <v>HP360x109</v>
          </cell>
          <cell r="B1187" t="str">
            <v>a=0.5 x t</v>
          </cell>
          <cell r="C1187">
            <v>12.8</v>
          </cell>
          <cell r="D1187">
            <v>12.9</v>
          </cell>
          <cell r="E1187"/>
          <cell r="F1187">
            <v>3</v>
          </cell>
          <cell r="G1187"/>
          <cell r="H1187">
            <v>2.125</v>
          </cell>
          <cell r="I1187">
            <v>1.9477543538038499E-2</v>
          </cell>
          <cell r="J1187">
            <v>109.1</v>
          </cell>
          <cell r="K1187">
            <v>10</v>
          </cell>
          <cell r="L1187">
            <v>20</v>
          </cell>
          <cell r="M1187">
            <v>30</v>
          </cell>
          <cell r="N1187">
            <v>40</v>
          </cell>
          <cell r="O1187">
            <v>90</v>
          </cell>
          <cell r="P1187">
            <v>120</v>
          </cell>
        </row>
        <row r="1188">
          <cell r="A1188" t="str">
            <v>HP360x133</v>
          </cell>
          <cell r="B1188" t="str">
            <v>a=0.5 x t</v>
          </cell>
          <cell r="C1188">
            <v>15.6</v>
          </cell>
          <cell r="D1188">
            <v>15.7</v>
          </cell>
          <cell r="E1188"/>
          <cell r="F1188">
            <v>3</v>
          </cell>
          <cell r="G1188"/>
          <cell r="H1188">
            <v>2.1419999999999999</v>
          </cell>
          <cell r="I1188">
            <v>1.6141672946495857E-2</v>
          </cell>
          <cell r="J1188">
            <v>132.69999999999999</v>
          </cell>
          <cell r="K1188">
            <v>10</v>
          </cell>
          <cell r="L1188">
            <v>20</v>
          </cell>
          <cell r="M1188">
            <v>30</v>
          </cell>
          <cell r="N1188">
            <v>40</v>
          </cell>
          <cell r="O1188">
            <v>90</v>
          </cell>
          <cell r="P1188">
            <v>120</v>
          </cell>
        </row>
        <row r="1189">
          <cell r="A1189" t="str">
            <v>HP360x152</v>
          </cell>
          <cell r="B1189" t="str">
            <v>a=0.5 x t</v>
          </cell>
          <cell r="C1189">
            <v>17.8</v>
          </cell>
          <cell r="D1189">
            <v>17.899999999999999</v>
          </cell>
          <cell r="E1189"/>
          <cell r="F1189">
            <v>3</v>
          </cell>
          <cell r="G1189"/>
          <cell r="H1189">
            <v>2.1549999999999998</v>
          </cell>
          <cell r="I1189">
            <v>1.4149704530531843E-2</v>
          </cell>
          <cell r="J1189">
            <v>152.30000000000001</v>
          </cell>
          <cell r="K1189">
            <v>10</v>
          </cell>
          <cell r="L1189">
            <v>20</v>
          </cell>
          <cell r="M1189">
            <v>30</v>
          </cell>
          <cell r="N1189">
            <v>40</v>
          </cell>
          <cell r="O1189">
            <v>90</v>
          </cell>
          <cell r="P1189">
            <v>120</v>
          </cell>
        </row>
        <row r="1190">
          <cell r="A1190" t="str">
            <v>HP360x174</v>
          </cell>
          <cell r="B1190" t="str">
            <v>a=0.5 x t</v>
          </cell>
          <cell r="C1190">
            <v>20.3</v>
          </cell>
          <cell r="D1190">
            <v>20.399999999999999</v>
          </cell>
          <cell r="E1190"/>
          <cell r="F1190">
            <v>3</v>
          </cell>
          <cell r="G1190"/>
          <cell r="H1190">
            <v>2.17</v>
          </cell>
          <cell r="I1190">
            <v>1.2449799196787147E-2</v>
          </cell>
          <cell r="J1190">
            <v>174.3</v>
          </cell>
          <cell r="K1190">
            <v>10</v>
          </cell>
          <cell r="L1190">
            <v>20</v>
          </cell>
          <cell r="M1190">
            <v>30</v>
          </cell>
          <cell r="N1190">
            <v>40</v>
          </cell>
          <cell r="O1190">
            <v>90</v>
          </cell>
          <cell r="P1190">
            <v>120</v>
          </cell>
        </row>
        <row r="1191">
          <cell r="A1191" t="str">
            <v>HP360x180</v>
          </cell>
          <cell r="B1191" t="str">
            <v>a=0.5 x t</v>
          </cell>
          <cell r="C1191">
            <v>21.1</v>
          </cell>
          <cell r="D1191">
            <v>21.1</v>
          </cell>
          <cell r="E1191"/>
          <cell r="F1191">
            <v>3</v>
          </cell>
          <cell r="G1191"/>
          <cell r="H1191">
            <v>2.173</v>
          </cell>
          <cell r="I1191">
            <v>1.2038781163434903E-2</v>
          </cell>
          <cell r="J1191">
            <v>180.5</v>
          </cell>
          <cell r="K1191">
            <v>10</v>
          </cell>
          <cell r="L1191">
            <v>20</v>
          </cell>
          <cell r="M1191">
            <v>30</v>
          </cell>
          <cell r="N1191">
            <v>40</v>
          </cell>
          <cell r="O1191">
            <v>90</v>
          </cell>
          <cell r="P1191">
            <v>120</v>
          </cell>
        </row>
        <row r="1192">
          <cell r="A1192" t="str">
            <v>HP400x122</v>
          </cell>
          <cell r="B1192" t="str">
            <v>a=0.5 x t</v>
          </cell>
          <cell r="C1192">
            <v>14</v>
          </cell>
          <cell r="D1192">
            <v>14</v>
          </cell>
          <cell r="E1192"/>
          <cell r="F1192">
            <v>3</v>
          </cell>
          <cell r="G1192"/>
          <cell r="H1192">
            <v>2.202</v>
          </cell>
          <cell r="I1192">
            <v>1.7975510204081634E-2</v>
          </cell>
          <cell r="J1192">
            <v>122.5</v>
          </cell>
          <cell r="K1192">
            <v>10</v>
          </cell>
          <cell r="L1192">
            <v>20</v>
          </cell>
          <cell r="M1192">
            <v>30</v>
          </cell>
          <cell r="N1192">
            <v>40</v>
          </cell>
          <cell r="O1192">
            <v>90</v>
          </cell>
          <cell r="P1192">
            <v>120</v>
          </cell>
        </row>
        <row r="1193">
          <cell r="A1193" t="str">
            <v>HP400x140</v>
          </cell>
          <cell r="B1193" t="str">
            <v>a=0.5 x t</v>
          </cell>
          <cell r="C1193">
            <v>16</v>
          </cell>
          <cell r="D1193">
            <v>16</v>
          </cell>
          <cell r="E1193"/>
          <cell r="F1193">
            <v>3</v>
          </cell>
          <cell r="G1193"/>
          <cell r="H1193">
            <v>2.214</v>
          </cell>
          <cell r="I1193">
            <v>1.5758007117437724E-2</v>
          </cell>
          <cell r="J1193">
            <v>140.5</v>
          </cell>
          <cell r="K1193">
            <v>10</v>
          </cell>
          <cell r="L1193">
            <v>20</v>
          </cell>
          <cell r="M1193">
            <v>30</v>
          </cell>
          <cell r="N1193">
            <v>40</v>
          </cell>
          <cell r="O1193">
            <v>90</v>
          </cell>
          <cell r="P1193">
            <v>120</v>
          </cell>
        </row>
        <row r="1194">
          <cell r="A1194" t="str">
            <v>HP400x158</v>
          </cell>
          <cell r="B1194" t="str">
            <v>a=0.5 x t</v>
          </cell>
          <cell r="C1194">
            <v>18</v>
          </cell>
          <cell r="D1194">
            <v>18</v>
          </cell>
          <cell r="E1194"/>
          <cell r="F1194">
            <v>3</v>
          </cell>
          <cell r="G1194"/>
          <cell r="H1194">
            <v>2.226</v>
          </cell>
          <cell r="I1194">
            <v>1.4106463878326996E-2</v>
          </cell>
          <cell r="J1194">
            <v>157.80000000000001</v>
          </cell>
          <cell r="K1194">
            <v>10</v>
          </cell>
          <cell r="L1194">
            <v>20</v>
          </cell>
          <cell r="M1194">
            <v>30</v>
          </cell>
          <cell r="N1194">
            <v>40</v>
          </cell>
          <cell r="O1194">
            <v>90</v>
          </cell>
          <cell r="P1194">
            <v>120</v>
          </cell>
        </row>
        <row r="1195">
          <cell r="A1195" t="str">
            <v>HP400x176</v>
          </cell>
          <cell r="B1195" t="str">
            <v>a=0.5 x t</v>
          </cell>
          <cell r="C1195">
            <v>20</v>
          </cell>
          <cell r="D1195">
            <v>20</v>
          </cell>
          <cell r="E1195"/>
          <cell r="F1195">
            <v>3</v>
          </cell>
          <cell r="G1195"/>
          <cell r="H1195">
            <v>2.238</v>
          </cell>
          <cell r="I1195">
            <v>1.2730375426621159E-2</v>
          </cell>
          <cell r="J1195">
            <v>175.8</v>
          </cell>
          <cell r="K1195">
            <v>10</v>
          </cell>
          <cell r="L1195">
            <v>20</v>
          </cell>
          <cell r="M1195">
            <v>30</v>
          </cell>
          <cell r="N1195">
            <v>40</v>
          </cell>
          <cell r="O1195">
            <v>90</v>
          </cell>
          <cell r="P1195">
            <v>120</v>
          </cell>
        </row>
        <row r="1196">
          <cell r="A1196" t="str">
            <v>HP400x194</v>
          </cell>
          <cell r="B1196" t="str">
            <v>a=0.5 x t</v>
          </cell>
          <cell r="C1196">
            <v>22</v>
          </cell>
          <cell r="D1196">
            <v>22</v>
          </cell>
          <cell r="E1196"/>
          <cell r="F1196">
            <v>3</v>
          </cell>
          <cell r="G1196"/>
          <cell r="H1196">
            <v>2.25</v>
          </cell>
          <cell r="I1196">
            <v>1.1556240369799693E-2</v>
          </cell>
          <cell r="J1196">
            <v>194.7</v>
          </cell>
          <cell r="K1196">
            <v>10</v>
          </cell>
          <cell r="L1196">
            <v>20</v>
          </cell>
          <cell r="M1196">
            <v>30</v>
          </cell>
          <cell r="N1196">
            <v>40</v>
          </cell>
          <cell r="O1196">
            <v>90</v>
          </cell>
          <cell r="P1196">
            <v>120</v>
          </cell>
        </row>
        <row r="1197">
          <cell r="A1197" t="str">
            <v>HP400x213</v>
          </cell>
          <cell r="B1197" t="str">
            <v>a=0.5 x t</v>
          </cell>
          <cell r="C1197">
            <v>24</v>
          </cell>
          <cell r="D1197">
            <v>24</v>
          </cell>
          <cell r="E1197"/>
          <cell r="F1197">
            <v>3</v>
          </cell>
          <cell r="G1197"/>
          <cell r="H1197">
            <v>2.262</v>
          </cell>
          <cell r="I1197">
            <v>1.0634696755994358E-2</v>
          </cell>
          <cell r="J1197">
            <v>212.7</v>
          </cell>
          <cell r="K1197">
            <v>10</v>
          </cell>
          <cell r="L1197">
            <v>20</v>
          </cell>
          <cell r="M1197">
            <v>30</v>
          </cell>
          <cell r="N1197">
            <v>40</v>
          </cell>
          <cell r="O1197">
            <v>90</v>
          </cell>
          <cell r="P1197">
            <v>120</v>
          </cell>
        </row>
        <row r="1198">
          <cell r="A1198" t="str">
            <v>HP400x231</v>
          </cell>
          <cell r="B1198" t="str">
            <v>a=0.5 x t</v>
          </cell>
          <cell r="C1198">
            <v>26</v>
          </cell>
          <cell r="D1198">
            <v>26</v>
          </cell>
          <cell r="E1198"/>
          <cell r="F1198">
            <v>3</v>
          </cell>
          <cell r="G1198"/>
          <cell r="H1198">
            <v>2.274</v>
          </cell>
          <cell r="I1198">
            <v>9.8526863084921999E-3</v>
          </cell>
          <cell r="J1198">
            <v>230.8</v>
          </cell>
          <cell r="K1198">
            <v>10</v>
          </cell>
          <cell r="L1198">
            <v>20</v>
          </cell>
          <cell r="M1198">
            <v>30</v>
          </cell>
          <cell r="N1198">
            <v>40</v>
          </cell>
          <cell r="O1198">
            <v>90</v>
          </cell>
          <cell r="P1198">
            <v>120</v>
          </cell>
        </row>
        <row r="1199">
          <cell r="A1199" t="str">
            <v>IPEAA80</v>
          </cell>
          <cell r="B1199" t="str">
            <v>a=0.5 x t</v>
          </cell>
          <cell r="C1199">
            <v>3.2</v>
          </cell>
          <cell r="D1199">
            <v>4.2</v>
          </cell>
          <cell r="E1199"/>
          <cell r="F1199">
            <v>1</v>
          </cell>
          <cell r="G1199"/>
          <cell r="H1199">
            <v>0.32500000000000001</v>
          </cell>
          <cell r="I1199">
            <v>6.6326530612244902E-2</v>
          </cell>
          <cell r="J1199">
            <v>4.9000000000000004</v>
          </cell>
          <cell r="K1199">
            <v>2</v>
          </cell>
          <cell r="L1199">
            <v>5</v>
          </cell>
          <cell r="M1199">
            <v>10</v>
          </cell>
          <cell r="N1199">
            <v>20</v>
          </cell>
          <cell r="O1199">
            <v>30</v>
          </cell>
          <cell r="P1199">
            <v>60</v>
          </cell>
        </row>
        <row r="1200">
          <cell r="A1200" t="str">
            <v>IPEA80</v>
          </cell>
          <cell r="B1200" t="str">
            <v>a=0.5 x t</v>
          </cell>
          <cell r="C1200">
            <v>3.3</v>
          </cell>
          <cell r="D1200">
            <v>4.2</v>
          </cell>
          <cell r="E1200"/>
          <cell r="F1200">
            <v>1</v>
          </cell>
          <cell r="G1200"/>
          <cell r="H1200">
            <v>0.32500000000000001</v>
          </cell>
          <cell r="I1200">
            <v>6.5000000000000002E-2</v>
          </cell>
          <cell r="J1200">
            <v>5</v>
          </cell>
          <cell r="K1200">
            <v>2</v>
          </cell>
          <cell r="L1200">
            <v>5</v>
          </cell>
          <cell r="M1200">
            <v>10</v>
          </cell>
          <cell r="N1200">
            <v>20</v>
          </cell>
          <cell r="O1200">
            <v>30</v>
          </cell>
          <cell r="P1200">
            <v>60</v>
          </cell>
        </row>
        <row r="1201">
          <cell r="A1201" t="str">
            <v>IPE80</v>
          </cell>
          <cell r="B1201" t="str">
            <v>a=0.5 x t</v>
          </cell>
          <cell r="C1201">
            <v>3.8</v>
          </cell>
          <cell r="D1201">
            <v>5.2</v>
          </cell>
          <cell r="E1201"/>
          <cell r="F1201">
            <v>1</v>
          </cell>
          <cell r="G1201">
            <v>1</v>
          </cell>
          <cell r="H1201">
            <v>0.32800000000000001</v>
          </cell>
          <cell r="I1201">
            <v>5.4666666666666669E-2</v>
          </cell>
          <cell r="J1201">
            <v>6</v>
          </cell>
          <cell r="K1201">
            <v>2</v>
          </cell>
          <cell r="L1201">
            <v>5</v>
          </cell>
          <cell r="M1201">
            <v>10</v>
          </cell>
          <cell r="N1201">
            <v>20</v>
          </cell>
          <cell r="O1201">
            <v>30</v>
          </cell>
          <cell r="P1201">
            <v>60</v>
          </cell>
        </row>
        <row r="1202">
          <cell r="A1202" t="str">
            <v>IPEAA100</v>
          </cell>
          <cell r="B1202" t="str">
            <v>a=0.5 x t</v>
          </cell>
          <cell r="C1202">
            <v>3.6</v>
          </cell>
          <cell r="D1202">
            <v>4.5</v>
          </cell>
          <cell r="E1202"/>
          <cell r="F1202">
            <v>1</v>
          </cell>
          <cell r="G1202"/>
          <cell r="H1202">
            <v>0.39600000000000002</v>
          </cell>
          <cell r="I1202">
            <v>5.8235294117647066E-2</v>
          </cell>
          <cell r="J1202">
            <v>6.8</v>
          </cell>
          <cell r="K1202">
            <v>2</v>
          </cell>
          <cell r="L1202">
            <v>5</v>
          </cell>
          <cell r="M1202">
            <v>10</v>
          </cell>
          <cell r="N1202">
            <v>20</v>
          </cell>
          <cell r="O1202">
            <v>30</v>
          </cell>
          <cell r="P1202">
            <v>60</v>
          </cell>
        </row>
        <row r="1203">
          <cell r="A1203" t="str">
            <v>IPEA100</v>
          </cell>
          <cell r="B1203" t="str">
            <v>a=0.5 x t</v>
          </cell>
          <cell r="C1203">
            <v>3.6</v>
          </cell>
          <cell r="D1203">
            <v>4.7</v>
          </cell>
          <cell r="E1203"/>
          <cell r="F1203">
            <v>1</v>
          </cell>
          <cell r="G1203"/>
          <cell r="H1203">
            <v>0.39700000000000002</v>
          </cell>
          <cell r="I1203">
            <v>5.7536231884057973E-2</v>
          </cell>
          <cell r="J1203">
            <v>6.9</v>
          </cell>
          <cell r="K1203">
            <v>2</v>
          </cell>
          <cell r="L1203">
            <v>5</v>
          </cell>
          <cell r="M1203">
            <v>10</v>
          </cell>
          <cell r="N1203">
            <v>20</v>
          </cell>
          <cell r="O1203">
            <v>30</v>
          </cell>
          <cell r="P1203">
            <v>60</v>
          </cell>
        </row>
        <row r="1204">
          <cell r="A1204" t="str">
            <v>IPE100</v>
          </cell>
          <cell r="B1204" t="str">
            <v>a=0.5 x t</v>
          </cell>
          <cell r="C1204">
            <v>4.0999999999999996</v>
          </cell>
          <cell r="D1204">
            <v>5.7</v>
          </cell>
          <cell r="E1204"/>
          <cell r="F1204">
            <v>1</v>
          </cell>
          <cell r="G1204">
            <v>1</v>
          </cell>
          <cell r="H1204">
            <v>0.4</v>
          </cell>
          <cell r="I1204">
            <v>4.938271604938272E-2</v>
          </cell>
          <cell r="J1204">
            <v>8.1</v>
          </cell>
          <cell r="K1204">
            <v>2</v>
          </cell>
          <cell r="L1204">
            <v>5</v>
          </cell>
          <cell r="M1204">
            <v>10</v>
          </cell>
          <cell r="N1204">
            <v>20</v>
          </cell>
          <cell r="O1204">
            <v>30</v>
          </cell>
          <cell r="P1204">
            <v>60</v>
          </cell>
        </row>
        <row r="1205">
          <cell r="A1205" t="str">
            <v>IPEAA120</v>
          </cell>
          <cell r="B1205" t="str">
            <v>a=0.5 x t</v>
          </cell>
          <cell r="C1205">
            <v>3.8</v>
          </cell>
          <cell r="D1205">
            <v>4.8</v>
          </cell>
          <cell r="E1205"/>
          <cell r="F1205">
            <v>1</v>
          </cell>
          <cell r="G1205"/>
          <cell r="H1205">
            <v>0.47</v>
          </cell>
          <cell r="I1205">
            <v>5.5952380952380948E-2</v>
          </cell>
          <cell r="J1205">
            <v>8.4</v>
          </cell>
          <cell r="K1205">
            <v>2</v>
          </cell>
          <cell r="L1205">
            <v>5</v>
          </cell>
          <cell r="M1205">
            <v>10</v>
          </cell>
          <cell r="N1205">
            <v>20</v>
          </cell>
          <cell r="O1205">
            <v>30</v>
          </cell>
          <cell r="P1205">
            <v>60</v>
          </cell>
        </row>
        <row r="1206">
          <cell r="A1206" t="str">
            <v>IPEA120</v>
          </cell>
          <cell r="B1206" t="str">
            <v>a=0.5 x t</v>
          </cell>
          <cell r="C1206">
            <v>3.8</v>
          </cell>
          <cell r="D1206">
            <v>5.0999999999999996</v>
          </cell>
          <cell r="E1206"/>
          <cell r="F1206">
            <v>1</v>
          </cell>
          <cell r="G1206"/>
          <cell r="H1206">
            <v>0.47199999999999998</v>
          </cell>
          <cell r="I1206">
            <v>5.4252873563218396E-2</v>
          </cell>
          <cell r="J1206">
            <v>8.6999999999999993</v>
          </cell>
          <cell r="K1206">
            <v>2</v>
          </cell>
          <cell r="L1206">
            <v>5</v>
          </cell>
          <cell r="M1206">
            <v>10</v>
          </cell>
          <cell r="N1206">
            <v>20</v>
          </cell>
          <cell r="O1206">
            <v>30</v>
          </cell>
          <cell r="P1206">
            <v>60</v>
          </cell>
        </row>
        <row r="1207">
          <cell r="A1207" t="str">
            <v>IPE120</v>
          </cell>
          <cell r="B1207" t="str">
            <v>a=0.5 x t</v>
          </cell>
          <cell r="C1207">
            <v>4.4000000000000004</v>
          </cell>
          <cell r="D1207">
            <v>6.3</v>
          </cell>
          <cell r="E1207"/>
          <cell r="F1207">
            <v>1</v>
          </cell>
          <cell r="G1207">
            <v>1</v>
          </cell>
          <cell r="H1207">
            <v>0.47499999999999998</v>
          </cell>
          <cell r="I1207">
            <v>4.567307692307692E-2</v>
          </cell>
          <cell r="J1207">
            <v>10.4</v>
          </cell>
          <cell r="K1207">
            <v>2</v>
          </cell>
          <cell r="L1207">
            <v>5</v>
          </cell>
          <cell r="M1207">
            <v>10</v>
          </cell>
          <cell r="N1207">
            <v>20</v>
          </cell>
          <cell r="O1207">
            <v>30</v>
          </cell>
          <cell r="P1207">
            <v>60</v>
          </cell>
        </row>
        <row r="1208">
          <cell r="A1208" t="str">
            <v>IPEAA140</v>
          </cell>
          <cell r="B1208" t="str">
            <v>a=0.5 x t</v>
          </cell>
          <cell r="C1208">
            <v>3.8</v>
          </cell>
          <cell r="D1208">
            <v>5.2</v>
          </cell>
          <cell r="E1208"/>
          <cell r="F1208">
            <v>1</v>
          </cell>
          <cell r="G1208"/>
          <cell r="H1208">
            <v>0.54600000000000004</v>
          </cell>
          <cell r="I1208">
            <v>5.4600000000000003E-2</v>
          </cell>
          <cell r="J1208">
            <v>10</v>
          </cell>
          <cell r="K1208">
            <v>2</v>
          </cell>
          <cell r="L1208">
            <v>5</v>
          </cell>
          <cell r="M1208">
            <v>10</v>
          </cell>
          <cell r="N1208">
            <v>20</v>
          </cell>
          <cell r="O1208">
            <v>30</v>
          </cell>
          <cell r="P1208">
            <v>60</v>
          </cell>
        </row>
        <row r="1209">
          <cell r="A1209" t="str">
            <v>IPEA140</v>
          </cell>
          <cell r="B1209" t="str">
            <v>a=0.5 x t</v>
          </cell>
          <cell r="C1209">
            <v>3.8</v>
          </cell>
          <cell r="D1209">
            <v>5.6</v>
          </cell>
          <cell r="E1209"/>
          <cell r="F1209">
            <v>1</v>
          </cell>
          <cell r="G1209"/>
          <cell r="H1209">
            <v>0.54700000000000004</v>
          </cell>
          <cell r="I1209">
            <v>5.2095238095238097E-2</v>
          </cell>
          <cell r="J1209">
            <v>10.5</v>
          </cell>
          <cell r="K1209">
            <v>2</v>
          </cell>
          <cell r="L1209">
            <v>5</v>
          </cell>
          <cell r="M1209">
            <v>10</v>
          </cell>
          <cell r="N1209">
            <v>20</v>
          </cell>
          <cell r="O1209">
            <v>30</v>
          </cell>
          <cell r="P1209">
            <v>60</v>
          </cell>
        </row>
        <row r="1210">
          <cell r="A1210" t="str">
            <v>IPE140</v>
          </cell>
          <cell r="B1210" t="str">
            <v>a=0.5 x t</v>
          </cell>
          <cell r="C1210">
            <v>4.7</v>
          </cell>
          <cell r="D1210">
            <v>6.9</v>
          </cell>
          <cell r="E1210"/>
          <cell r="F1210">
            <v>1</v>
          </cell>
          <cell r="G1210">
            <v>1</v>
          </cell>
          <cell r="H1210">
            <v>0.55100000000000005</v>
          </cell>
          <cell r="I1210">
            <v>4.2713178294573648E-2</v>
          </cell>
          <cell r="J1210">
            <v>12.9</v>
          </cell>
          <cell r="K1210">
            <v>2</v>
          </cell>
          <cell r="L1210">
            <v>5</v>
          </cell>
          <cell r="M1210">
            <v>10</v>
          </cell>
          <cell r="N1210">
            <v>20</v>
          </cell>
          <cell r="O1210">
            <v>30</v>
          </cell>
          <cell r="P1210">
            <v>60</v>
          </cell>
        </row>
        <row r="1211">
          <cell r="A1211" t="str">
            <v>IPEAA160</v>
          </cell>
          <cell r="B1211" t="str">
            <v>a=0.5 x t</v>
          </cell>
          <cell r="C1211">
            <v>4</v>
          </cell>
          <cell r="D1211">
            <v>5.6</v>
          </cell>
          <cell r="E1211"/>
          <cell r="F1211">
            <v>1</v>
          </cell>
          <cell r="G1211"/>
          <cell r="H1211">
            <v>0.61699999999999999</v>
          </cell>
          <cell r="I1211">
            <v>5.0162601626016254E-2</v>
          </cell>
          <cell r="J1211">
            <v>12.3</v>
          </cell>
          <cell r="K1211">
            <v>2</v>
          </cell>
          <cell r="L1211">
            <v>5</v>
          </cell>
          <cell r="M1211">
            <v>10</v>
          </cell>
          <cell r="N1211">
            <v>20</v>
          </cell>
          <cell r="O1211">
            <v>30</v>
          </cell>
          <cell r="P1211">
            <v>60</v>
          </cell>
        </row>
        <row r="1212">
          <cell r="A1212" t="str">
            <v>IPEA160</v>
          </cell>
          <cell r="B1212" t="str">
            <v>a=0.5 x t</v>
          </cell>
          <cell r="C1212">
            <v>4</v>
          </cell>
          <cell r="D1212">
            <v>5.9</v>
          </cell>
          <cell r="E1212"/>
          <cell r="F1212">
            <v>1</v>
          </cell>
          <cell r="G1212"/>
          <cell r="H1212">
            <v>0.61899999999999999</v>
          </cell>
          <cell r="I1212">
            <v>4.8740157480314961E-2</v>
          </cell>
          <cell r="J1212">
            <v>12.7</v>
          </cell>
          <cell r="K1212">
            <v>2</v>
          </cell>
          <cell r="L1212">
            <v>5</v>
          </cell>
          <cell r="M1212">
            <v>10</v>
          </cell>
          <cell r="N1212">
            <v>20</v>
          </cell>
          <cell r="O1212">
            <v>30</v>
          </cell>
          <cell r="P1212">
            <v>60</v>
          </cell>
        </row>
        <row r="1213">
          <cell r="A1213" t="str">
            <v>IPE160</v>
          </cell>
          <cell r="B1213" t="str">
            <v>a=0.5 x t</v>
          </cell>
          <cell r="C1213">
            <v>5</v>
          </cell>
          <cell r="D1213">
            <v>7.4</v>
          </cell>
          <cell r="E1213"/>
          <cell r="F1213">
            <v>1</v>
          </cell>
          <cell r="G1213">
            <v>2</v>
          </cell>
          <cell r="H1213">
            <v>0.623</v>
          </cell>
          <cell r="I1213">
            <v>3.9430379746835442E-2</v>
          </cell>
          <cell r="J1213">
            <v>15.8</v>
          </cell>
          <cell r="K1213">
            <v>2</v>
          </cell>
          <cell r="L1213">
            <v>5</v>
          </cell>
          <cell r="M1213">
            <v>10</v>
          </cell>
          <cell r="N1213">
            <v>20</v>
          </cell>
          <cell r="O1213">
            <v>30</v>
          </cell>
          <cell r="P1213">
            <v>60</v>
          </cell>
        </row>
        <row r="1214">
          <cell r="A1214" t="str">
            <v>IPEAA180</v>
          </cell>
          <cell r="B1214" t="str">
            <v>a=0.5 x t</v>
          </cell>
          <cell r="C1214">
            <v>4.3</v>
          </cell>
          <cell r="D1214">
            <v>6.2</v>
          </cell>
          <cell r="E1214"/>
          <cell r="F1214">
            <v>1</v>
          </cell>
          <cell r="G1214"/>
          <cell r="H1214">
            <v>0.69299999999999995</v>
          </cell>
          <cell r="I1214">
            <v>4.6510067114093959E-2</v>
          </cell>
          <cell r="J1214">
            <v>14.9</v>
          </cell>
          <cell r="K1214">
            <v>2</v>
          </cell>
          <cell r="L1214">
            <v>5</v>
          </cell>
          <cell r="M1214">
            <v>10</v>
          </cell>
          <cell r="N1214">
            <v>20</v>
          </cell>
          <cell r="O1214">
            <v>30</v>
          </cell>
          <cell r="P1214">
            <v>60</v>
          </cell>
        </row>
        <row r="1215">
          <cell r="A1215" t="str">
            <v>IPEA180</v>
          </cell>
          <cell r="B1215" t="str">
            <v>a=0.5 x t</v>
          </cell>
          <cell r="C1215">
            <v>4.3</v>
          </cell>
          <cell r="D1215">
            <v>6.5</v>
          </cell>
          <cell r="E1215"/>
          <cell r="F1215">
            <v>1</v>
          </cell>
          <cell r="G1215"/>
          <cell r="H1215">
            <v>0.69399999999999995</v>
          </cell>
          <cell r="I1215">
            <v>4.5064935064935058E-2</v>
          </cell>
          <cell r="J1215">
            <v>15.4</v>
          </cell>
          <cell r="K1215">
            <v>2</v>
          </cell>
          <cell r="L1215">
            <v>5</v>
          </cell>
          <cell r="M1215">
            <v>10</v>
          </cell>
          <cell r="N1215">
            <v>20</v>
          </cell>
          <cell r="O1215">
            <v>30</v>
          </cell>
          <cell r="P1215">
            <v>60</v>
          </cell>
        </row>
        <row r="1216">
          <cell r="A1216" t="str">
            <v>IPE180</v>
          </cell>
          <cell r="B1216" t="str">
            <v>a=0.5 x t</v>
          </cell>
          <cell r="C1216">
            <v>5.3</v>
          </cell>
          <cell r="D1216">
            <v>8</v>
          </cell>
          <cell r="E1216"/>
          <cell r="F1216">
            <v>1</v>
          </cell>
          <cell r="G1216">
            <v>2</v>
          </cell>
          <cell r="H1216">
            <v>0.69799999999999995</v>
          </cell>
          <cell r="I1216">
            <v>3.7127659574468085E-2</v>
          </cell>
          <cell r="J1216">
            <v>18.8</v>
          </cell>
          <cell r="K1216">
            <v>2</v>
          </cell>
          <cell r="L1216">
            <v>5</v>
          </cell>
          <cell r="M1216">
            <v>10</v>
          </cell>
          <cell r="N1216">
            <v>20</v>
          </cell>
          <cell r="O1216">
            <v>30</v>
          </cell>
          <cell r="P1216">
            <v>60</v>
          </cell>
        </row>
        <row r="1217">
          <cell r="A1217" t="str">
            <v>IPEO 180</v>
          </cell>
          <cell r="B1217" t="str">
            <v>a=0.5 x t</v>
          </cell>
          <cell r="C1217">
            <v>6</v>
          </cell>
          <cell r="D1217">
            <v>9</v>
          </cell>
          <cell r="E1217"/>
          <cell r="F1217">
            <v>2</v>
          </cell>
          <cell r="G1217"/>
          <cell r="H1217">
            <v>0.70499999999999996</v>
          </cell>
          <cell r="I1217">
            <v>3.3098591549295772E-2</v>
          </cell>
          <cell r="J1217">
            <v>21.3</v>
          </cell>
          <cell r="K1217">
            <v>5</v>
          </cell>
          <cell r="L1217">
            <v>10</v>
          </cell>
          <cell r="M1217">
            <v>20</v>
          </cell>
          <cell r="N1217">
            <v>30</v>
          </cell>
          <cell r="O1217">
            <v>60</v>
          </cell>
          <cell r="P1217">
            <v>90</v>
          </cell>
        </row>
        <row r="1218">
          <cell r="A1218" t="str">
            <v>IPEAA200</v>
          </cell>
          <cell r="B1218" t="str">
            <v>a=0.5 x t</v>
          </cell>
          <cell r="C1218">
            <v>4.5</v>
          </cell>
          <cell r="D1218">
            <v>6.7</v>
          </cell>
          <cell r="E1218"/>
          <cell r="F1218">
            <v>1</v>
          </cell>
          <cell r="G1218"/>
          <cell r="H1218">
            <v>0.76300000000000001</v>
          </cell>
          <cell r="I1218">
            <v>4.2388888888888893E-2</v>
          </cell>
          <cell r="J1218">
            <v>18</v>
          </cell>
          <cell r="K1218">
            <v>2</v>
          </cell>
          <cell r="L1218">
            <v>5</v>
          </cell>
          <cell r="M1218">
            <v>10</v>
          </cell>
          <cell r="N1218">
            <v>20</v>
          </cell>
          <cell r="O1218">
            <v>30</v>
          </cell>
          <cell r="P1218">
            <v>60</v>
          </cell>
        </row>
        <row r="1219">
          <cell r="A1219" t="str">
            <v>IPEA200</v>
          </cell>
          <cell r="B1219" t="str">
            <v>a=0.5 x t</v>
          </cell>
          <cell r="C1219">
            <v>4.5</v>
          </cell>
          <cell r="D1219">
            <v>7</v>
          </cell>
          <cell r="E1219"/>
          <cell r="F1219">
            <v>1</v>
          </cell>
          <cell r="G1219"/>
          <cell r="H1219">
            <v>0.76400000000000001</v>
          </cell>
          <cell r="I1219">
            <v>4.152173913043479E-2</v>
          </cell>
          <cell r="J1219">
            <v>18.399999999999999</v>
          </cell>
          <cell r="K1219">
            <v>2</v>
          </cell>
          <cell r="L1219">
            <v>5</v>
          </cell>
          <cell r="M1219">
            <v>10</v>
          </cell>
          <cell r="N1219">
            <v>20</v>
          </cell>
          <cell r="O1219">
            <v>30</v>
          </cell>
          <cell r="P1219">
            <v>60</v>
          </cell>
        </row>
        <row r="1220">
          <cell r="A1220" t="str">
            <v>IPE200</v>
          </cell>
          <cell r="B1220" t="str">
            <v>a=0.5 x t</v>
          </cell>
          <cell r="C1220">
            <v>5.6</v>
          </cell>
          <cell r="D1220">
            <v>8.5</v>
          </cell>
          <cell r="E1220"/>
          <cell r="F1220">
            <v>2</v>
          </cell>
          <cell r="G1220">
            <v>2</v>
          </cell>
          <cell r="H1220">
            <v>0.76800000000000002</v>
          </cell>
          <cell r="I1220">
            <v>3.4285714285714287E-2</v>
          </cell>
          <cell r="J1220">
            <v>22.4</v>
          </cell>
          <cell r="K1220">
            <v>5</v>
          </cell>
          <cell r="L1220">
            <v>10</v>
          </cell>
          <cell r="M1220">
            <v>20</v>
          </cell>
          <cell r="N1220">
            <v>30</v>
          </cell>
          <cell r="O1220">
            <v>60</v>
          </cell>
          <cell r="P1220">
            <v>90</v>
          </cell>
        </row>
        <row r="1221">
          <cell r="A1221" t="str">
            <v>IPEO 200</v>
          </cell>
          <cell r="B1221" t="str">
            <v>a=0.5 x t</v>
          </cell>
          <cell r="C1221">
            <v>6.2</v>
          </cell>
          <cell r="D1221">
            <v>9.5</v>
          </cell>
          <cell r="E1221"/>
          <cell r="F1221">
            <v>2</v>
          </cell>
          <cell r="G1221"/>
          <cell r="H1221">
            <v>0.77900000000000003</v>
          </cell>
          <cell r="I1221">
            <v>3.1035856573705178E-2</v>
          </cell>
          <cell r="J1221">
            <v>25.1</v>
          </cell>
          <cell r="K1221">
            <v>5</v>
          </cell>
          <cell r="L1221">
            <v>10</v>
          </cell>
          <cell r="M1221">
            <v>20</v>
          </cell>
          <cell r="N1221">
            <v>30</v>
          </cell>
          <cell r="O1221">
            <v>60</v>
          </cell>
          <cell r="P1221">
            <v>90</v>
          </cell>
        </row>
        <row r="1222">
          <cell r="A1222" t="str">
            <v>IPEAA220</v>
          </cell>
          <cell r="B1222" t="str">
            <v>a=0.5 x t</v>
          </cell>
          <cell r="C1222">
            <v>4.7</v>
          </cell>
          <cell r="D1222">
            <v>7.4</v>
          </cell>
          <cell r="E1222"/>
          <cell r="F1222">
            <v>2</v>
          </cell>
          <cell r="G1222"/>
          <cell r="H1222">
            <v>0.84299999999999997</v>
          </cell>
          <cell r="I1222">
            <v>3.9764150943396227E-2</v>
          </cell>
          <cell r="J1222">
            <v>21.2</v>
          </cell>
          <cell r="K1222">
            <v>5</v>
          </cell>
          <cell r="L1222">
            <v>10</v>
          </cell>
          <cell r="M1222">
            <v>20</v>
          </cell>
          <cell r="N1222">
            <v>30</v>
          </cell>
          <cell r="O1222">
            <v>60</v>
          </cell>
          <cell r="P1222">
            <v>90</v>
          </cell>
        </row>
        <row r="1223">
          <cell r="A1223" t="str">
            <v>IPEA220</v>
          </cell>
          <cell r="B1223" t="str">
            <v>a=0.5 x t</v>
          </cell>
          <cell r="C1223">
            <v>5</v>
          </cell>
          <cell r="D1223">
            <v>7.7</v>
          </cell>
          <cell r="E1223"/>
          <cell r="F1223">
            <v>2</v>
          </cell>
          <cell r="G1223"/>
          <cell r="H1223">
            <v>0.84299999999999997</v>
          </cell>
          <cell r="I1223">
            <v>3.7972972972972974E-2</v>
          </cell>
          <cell r="J1223">
            <v>22.2</v>
          </cell>
          <cell r="K1223">
            <v>5</v>
          </cell>
          <cell r="L1223">
            <v>10</v>
          </cell>
          <cell r="M1223">
            <v>20</v>
          </cell>
          <cell r="N1223">
            <v>30</v>
          </cell>
          <cell r="O1223">
            <v>60</v>
          </cell>
          <cell r="P1223">
            <v>90</v>
          </cell>
        </row>
        <row r="1224">
          <cell r="A1224" t="str">
            <v>IPE220</v>
          </cell>
          <cell r="B1224" t="str">
            <v>a=0.5 x t</v>
          </cell>
          <cell r="C1224">
            <v>5.9</v>
          </cell>
          <cell r="D1224">
            <v>9.1999999999999993</v>
          </cell>
          <cell r="E1224"/>
          <cell r="F1224">
            <v>2</v>
          </cell>
          <cell r="G1224">
            <v>2</v>
          </cell>
          <cell r="H1224">
            <v>0.84799999999999998</v>
          </cell>
          <cell r="I1224">
            <v>3.236641221374046E-2</v>
          </cell>
          <cell r="J1224">
            <v>26.2</v>
          </cell>
          <cell r="K1224">
            <v>5</v>
          </cell>
          <cell r="L1224">
            <v>10</v>
          </cell>
          <cell r="M1224">
            <v>20</v>
          </cell>
          <cell r="N1224">
            <v>30</v>
          </cell>
          <cell r="O1224">
            <v>60</v>
          </cell>
          <cell r="P1224">
            <v>90</v>
          </cell>
        </row>
        <row r="1225">
          <cell r="A1225" t="str">
            <v>IPEO220</v>
          </cell>
          <cell r="B1225" t="str">
            <v>a=0.5 x t</v>
          </cell>
          <cell r="C1225">
            <v>6.6</v>
          </cell>
          <cell r="D1225">
            <v>10.199999999999999</v>
          </cell>
          <cell r="E1225"/>
          <cell r="F1225">
            <v>2</v>
          </cell>
          <cell r="G1225"/>
          <cell r="H1225">
            <v>0.85799999999999998</v>
          </cell>
          <cell r="I1225">
            <v>2.9183673469387755E-2</v>
          </cell>
          <cell r="J1225">
            <v>29.4</v>
          </cell>
          <cell r="K1225">
            <v>5</v>
          </cell>
          <cell r="L1225">
            <v>10</v>
          </cell>
          <cell r="M1225">
            <v>20</v>
          </cell>
          <cell r="N1225">
            <v>30</v>
          </cell>
          <cell r="O1225">
            <v>60</v>
          </cell>
          <cell r="P1225">
            <v>90</v>
          </cell>
        </row>
        <row r="1226">
          <cell r="A1226" t="str">
            <v>IPEAA240</v>
          </cell>
          <cell r="B1226" t="str">
            <v>a=0.5 x t</v>
          </cell>
          <cell r="C1226">
            <v>4.8</v>
          </cell>
          <cell r="D1226">
            <v>8</v>
          </cell>
          <cell r="E1226"/>
          <cell r="F1226">
            <v>2</v>
          </cell>
          <cell r="G1226"/>
          <cell r="H1226">
            <v>0.91700000000000004</v>
          </cell>
          <cell r="I1226">
            <v>3.6827309236947797E-2</v>
          </cell>
          <cell r="J1226">
            <v>24.9</v>
          </cell>
          <cell r="K1226">
            <v>5</v>
          </cell>
          <cell r="L1226">
            <v>10</v>
          </cell>
          <cell r="M1226">
            <v>20</v>
          </cell>
          <cell r="N1226">
            <v>30</v>
          </cell>
          <cell r="O1226">
            <v>60</v>
          </cell>
          <cell r="P1226">
            <v>90</v>
          </cell>
        </row>
        <row r="1227">
          <cell r="A1227" t="str">
            <v>IPEA240</v>
          </cell>
          <cell r="B1227" t="str">
            <v>a=0.5 x t</v>
          </cell>
          <cell r="C1227">
            <v>5.2</v>
          </cell>
          <cell r="D1227">
            <v>8.3000000000000007</v>
          </cell>
          <cell r="E1227"/>
          <cell r="F1227">
            <v>2</v>
          </cell>
          <cell r="G1227"/>
          <cell r="H1227">
            <v>0.91800000000000004</v>
          </cell>
          <cell r="I1227">
            <v>3.5172413793103451E-2</v>
          </cell>
          <cell r="J1227">
            <v>26.1</v>
          </cell>
          <cell r="K1227">
            <v>5</v>
          </cell>
          <cell r="L1227">
            <v>10</v>
          </cell>
          <cell r="M1227">
            <v>20</v>
          </cell>
          <cell r="N1227">
            <v>30</v>
          </cell>
          <cell r="O1227">
            <v>60</v>
          </cell>
          <cell r="P1227">
            <v>90</v>
          </cell>
        </row>
        <row r="1228">
          <cell r="A1228" t="str">
            <v>IPE240</v>
          </cell>
          <cell r="B1228" t="str">
            <v>a=0.5 x t</v>
          </cell>
          <cell r="C1228">
            <v>6.2</v>
          </cell>
          <cell r="D1228">
            <v>9.8000000000000007</v>
          </cell>
          <cell r="E1228"/>
          <cell r="F1228">
            <v>2</v>
          </cell>
          <cell r="G1228">
            <v>2</v>
          </cell>
          <cell r="H1228">
            <v>0.92200000000000004</v>
          </cell>
          <cell r="I1228">
            <v>3.0032573289902283E-2</v>
          </cell>
          <cell r="J1228">
            <v>30.7</v>
          </cell>
          <cell r="K1228">
            <v>5</v>
          </cell>
          <cell r="L1228">
            <v>10</v>
          </cell>
          <cell r="M1228">
            <v>20</v>
          </cell>
          <cell r="N1228">
            <v>30</v>
          </cell>
          <cell r="O1228">
            <v>60</v>
          </cell>
          <cell r="P1228">
            <v>90</v>
          </cell>
        </row>
        <row r="1229">
          <cell r="A1229" t="str">
            <v>IPEO240</v>
          </cell>
          <cell r="B1229" t="str">
            <v>a=0.5 x t</v>
          </cell>
          <cell r="C1229">
            <v>7</v>
          </cell>
          <cell r="D1229">
            <v>10.8</v>
          </cell>
          <cell r="E1229"/>
          <cell r="F1229">
            <v>2</v>
          </cell>
          <cell r="G1229"/>
          <cell r="H1229">
            <v>0.93200000000000005</v>
          </cell>
          <cell r="I1229">
            <v>2.7172011661807584E-2</v>
          </cell>
          <cell r="J1229">
            <v>34.299999999999997</v>
          </cell>
          <cell r="K1229">
            <v>5</v>
          </cell>
          <cell r="L1229">
            <v>10</v>
          </cell>
          <cell r="M1229">
            <v>20</v>
          </cell>
          <cell r="N1229">
            <v>30</v>
          </cell>
          <cell r="O1229">
            <v>60</v>
          </cell>
          <cell r="P1229">
            <v>90</v>
          </cell>
        </row>
        <row r="1230">
          <cell r="A1230" t="str">
            <v>IPEA270</v>
          </cell>
          <cell r="B1230" t="str">
            <v>a=0.5 x t</v>
          </cell>
          <cell r="C1230">
            <v>5.5</v>
          </cell>
          <cell r="D1230">
            <v>8.6999999999999993</v>
          </cell>
          <cell r="E1230"/>
          <cell r="F1230">
            <v>2</v>
          </cell>
          <cell r="G1230"/>
          <cell r="H1230">
            <v>1.04</v>
          </cell>
          <cell r="I1230">
            <v>3.3876221498371335E-2</v>
          </cell>
          <cell r="J1230">
            <v>30.7</v>
          </cell>
          <cell r="K1230">
            <v>5</v>
          </cell>
          <cell r="L1230">
            <v>10</v>
          </cell>
          <cell r="M1230">
            <v>20</v>
          </cell>
          <cell r="N1230">
            <v>30</v>
          </cell>
          <cell r="O1230">
            <v>60</v>
          </cell>
          <cell r="P1230">
            <v>90</v>
          </cell>
        </row>
        <row r="1231">
          <cell r="A1231" t="str">
            <v>IPE270</v>
          </cell>
          <cell r="B1231" t="str">
            <v>a=0.5 x t</v>
          </cell>
          <cell r="C1231">
            <v>6.6</v>
          </cell>
          <cell r="D1231">
            <v>10.199999999999999</v>
          </cell>
          <cell r="E1231"/>
          <cell r="F1231">
            <v>2</v>
          </cell>
          <cell r="G1231">
            <v>2</v>
          </cell>
          <cell r="H1231">
            <v>1.0409999999999999</v>
          </cell>
          <cell r="I1231">
            <v>2.8916666666666663E-2</v>
          </cell>
          <cell r="J1231">
            <v>36</v>
          </cell>
          <cell r="K1231">
            <v>5</v>
          </cell>
          <cell r="L1231">
            <v>10</v>
          </cell>
          <cell r="M1231">
            <v>20</v>
          </cell>
          <cell r="N1231">
            <v>30</v>
          </cell>
          <cell r="O1231">
            <v>60</v>
          </cell>
          <cell r="P1231">
            <v>90</v>
          </cell>
        </row>
        <row r="1232">
          <cell r="A1232" t="str">
            <v>IPEO270</v>
          </cell>
          <cell r="B1232" t="str">
            <v>a=0.5 x t</v>
          </cell>
          <cell r="C1232">
            <v>7.5</v>
          </cell>
          <cell r="D1232">
            <v>12.2</v>
          </cell>
          <cell r="E1232"/>
          <cell r="F1232">
            <v>2</v>
          </cell>
          <cell r="G1232"/>
          <cell r="H1232">
            <v>1.0509999999999999</v>
          </cell>
          <cell r="I1232">
            <v>2.4846335697399528E-2</v>
          </cell>
          <cell r="J1232">
            <v>42.3</v>
          </cell>
          <cell r="K1232">
            <v>5</v>
          </cell>
          <cell r="L1232">
            <v>10</v>
          </cell>
          <cell r="M1232">
            <v>20</v>
          </cell>
          <cell r="N1232">
            <v>30</v>
          </cell>
          <cell r="O1232">
            <v>60</v>
          </cell>
          <cell r="P1232">
            <v>90</v>
          </cell>
        </row>
        <row r="1233">
          <cell r="A1233" t="str">
            <v>IPEA300</v>
          </cell>
          <cell r="B1233" t="str">
            <v>a=0.5 x t</v>
          </cell>
          <cell r="C1233">
            <v>6.1</v>
          </cell>
          <cell r="D1233">
            <v>9.1999999999999993</v>
          </cell>
          <cell r="E1233"/>
          <cell r="F1233">
            <v>3</v>
          </cell>
          <cell r="G1233"/>
          <cell r="H1233">
            <v>1.1599999999999999</v>
          </cell>
          <cell r="I1233">
            <v>3.1780821917808219E-2</v>
          </cell>
          <cell r="J1233">
            <v>36.5</v>
          </cell>
          <cell r="K1233">
            <v>10</v>
          </cell>
          <cell r="L1233">
            <v>20</v>
          </cell>
          <cell r="M1233">
            <v>30</v>
          </cell>
          <cell r="N1233">
            <v>40</v>
          </cell>
          <cell r="O1233">
            <v>90</v>
          </cell>
          <cell r="P1233">
            <v>120</v>
          </cell>
        </row>
        <row r="1234">
          <cell r="A1234" t="str">
            <v>IPE300</v>
          </cell>
          <cell r="B1234" t="str">
            <v>a=0.5 x t</v>
          </cell>
          <cell r="C1234">
            <v>7.1</v>
          </cell>
          <cell r="D1234">
            <v>10.7</v>
          </cell>
          <cell r="E1234"/>
          <cell r="F1234">
            <v>3</v>
          </cell>
          <cell r="G1234">
            <v>3</v>
          </cell>
          <cell r="H1234">
            <v>1.1599999999999999</v>
          </cell>
          <cell r="I1234">
            <v>2.7488151658767768E-2</v>
          </cell>
          <cell r="J1234">
            <v>42.2</v>
          </cell>
          <cell r="K1234">
            <v>10</v>
          </cell>
          <cell r="L1234">
            <v>20</v>
          </cell>
          <cell r="M1234">
            <v>30</v>
          </cell>
          <cell r="N1234">
            <v>40</v>
          </cell>
          <cell r="O1234">
            <v>90</v>
          </cell>
          <cell r="P1234">
            <v>120</v>
          </cell>
        </row>
        <row r="1235">
          <cell r="A1235" t="str">
            <v>IPEO300</v>
          </cell>
          <cell r="B1235" t="str">
            <v>a=0.5 x t</v>
          </cell>
          <cell r="C1235">
            <v>8</v>
          </cell>
          <cell r="D1235">
            <v>12.7</v>
          </cell>
          <cell r="E1235"/>
          <cell r="F1235">
            <v>3</v>
          </cell>
          <cell r="G1235"/>
          <cell r="H1235">
            <v>1.1739999999999999</v>
          </cell>
          <cell r="I1235">
            <v>2.381338742393509E-2</v>
          </cell>
          <cell r="J1235">
            <v>49.3</v>
          </cell>
          <cell r="K1235">
            <v>10</v>
          </cell>
          <cell r="L1235">
            <v>20</v>
          </cell>
          <cell r="M1235">
            <v>30</v>
          </cell>
          <cell r="N1235">
            <v>40</v>
          </cell>
          <cell r="O1235">
            <v>90</v>
          </cell>
          <cell r="P1235">
            <v>120</v>
          </cell>
        </row>
        <row r="1236">
          <cell r="A1236" t="str">
            <v>IPEA330</v>
          </cell>
          <cell r="B1236" t="str">
            <v>a=0.5 x t</v>
          </cell>
          <cell r="C1236">
            <v>6.5</v>
          </cell>
          <cell r="D1236">
            <v>10</v>
          </cell>
          <cell r="E1236"/>
          <cell r="F1236">
            <v>3</v>
          </cell>
          <cell r="G1236"/>
          <cell r="H1236">
            <v>1.25</v>
          </cell>
          <cell r="I1236">
            <v>2.9069767441860465E-2</v>
          </cell>
          <cell r="J1236">
            <v>43</v>
          </cell>
          <cell r="K1236">
            <v>10</v>
          </cell>
          <cell r="L1236">
            <v>20</v>
          </cell>
          <cell r="M1236">
            <v>30</v>
          </cell>
          <cell r="N1236">
            <v>40</v>
          </cell>
          <cell r="O1236">
            <v>90</v>
          </cell>
          <cell r="P1236">
            <v>120</v>
          </cell>
        </row>
        <row r="1237">
          <cell r="A1237" t="str">
            <v>IPE330</v>
          </cell>
          <cell r="B1237" t="str">
            <v>a=0.5 x t</v>
          </cell>
          <cell r="C1237">
            <v>7.5</v>
          </cell>
          <cell r="D1237">
            <v>11.5</v>
          </cell>
          <cell r="E1237"/>
          <cell r="F1237">
            <v>3</v>
          </cell>
          <cell r="G1237">
            <v>3</v>
          </cell>
          <cell r="H1237">
            <v>1.254</v>
          </cell>
          <cell r="I1237">
            <v>2.5539714867617108E-2</v>
          </cell>
          <cell r="J1237">
            <v>49.1</v>
          </cell>
          <cell r="K1237">
            <v>10</v>
          </cell>
          <cell r="L1237">
            <v>20</v>
          </cell>
          <cell r="M1237">
            <v>30</v>
          </cell>
          <cell r="N1237">
            <v>40</v>
          </cell>
          <cell r="O1237">
            <v>90</v>
          </cell>
          <cell r="P1237">
            <v>120</v>
          </cell>
        </row>
        <row r="1238">
          <cell r="A1238" t="str">
            <v>IPEO330</v>
          </cell>
          <cell r="B1238" t="str">
            <v>a=0.5 x t</v>
          </cell>
          <cell r="C1238">
            <v>8.5</v>
          </cell>
          <cell r="D1238">
            <v>13.5</v>
          </cell>
          <cell r="E1238"/>
          <cell r="F1238">
            <v>3</v>
          </cell>
          <cell r="G1238"/>
          <cell r="H1238">
            <v>1.268</v>
          </cell>
          <cell r="I1238">
            <v>2.2245614035087721E-2</v>
          </cell>
          <cell r="J1238">
            <v>57</v>
          </cell>
          <cell r="K1238">
            <v>10</v>
          </cell>
          <cell r="L1238">
            <v>20</v>
          </cell>
          <cell r="M1238">
            <v>30</v>
          </cell>
          <cell r="N1238">
            <v>40</v>
          </cell>
          <cell r="O1238">
            <v>90</v>
          </cell>
          <cell r="P1238">
            <v>120</v>
          </cell>
        </row>
        <row r="1239">
          <cell r="A1239" t="str">
            <v>IPEA360</v>
          </cell>
          <cell r="B1239" t="str">
            <v>a=0.5 x t</v>
          </cell>
          <cell r="C1239">
            <v>6.6</v>
          </cell>
          <cell r="D1239">
            <v>11.5</v>
          </cell>
          <cell r="E1239"/>
          <cell r="F1239">
            <v>3</v>
          </cell>
          <cell r="G1239"/>
          <cell r="H1239">
            <v>1.35</v>
          </cell>
          <cell r="I1239">
            <v>2.6892430278884463E-2</v>
          </cell>
          <cell r="J1239">
            <v>50.2</v>
          </cell>
          <cell r="K1239">
            <v>10</v>
          </cell>
          <cell r="L1239">
            <v>20</v>
          </cell>
          <cell r="M1239">
            <v>30</v>
          </cell>
          <cell r="N1239">
            <v>40</v>
          </cell>
          <cell r="O1239">
            <v>90</v>
          </cell>
          <cell r="P1239">
            <v>120</v>
          </cell>
        </row>
        <row r="1240">
          <cell r="A1240" t="str">
            <v>IPE360</v>
          </cell>
          <cell r="B1240" t="str">
            <v>a=0.5 x t</v>
          </cell>
          <cell r="C1240">
            <v>8</v>
          </cell>
          <cell r="D1240">
            <v>12.7</v>
          </cell>
          <cell r="E1240"/>
          <cell r="F1240">
            <v>3</v>
          </cell>
          <cell r="G1240">
            <v>3</v>
          </cell>
          <cell r="H1240">
            <v>1.353</v>
          </cell>
          <cell r="I1240">
            <v>2.369527145359019E-2</v>
          </cell>
          <cell r="J1240">
            <v>57.1</v>
          </cell>
          <cell r="K1240">
            <v>10</v>
          </cell>
          <cell r="L1240">
            <v>20</v>
          </cell>
          <cell r="M1240">
            <v>30</v>
          </cell>
          <cell r="N1240">
            <v>40</v>
          </cell>
          <cell r="O1240">
            <v>90</v>
          </cell>
          <cell r="P1240">
            <v>120</v>
          </cell>
        </row>
        <row r="1241">
          <cell r="A1241" t="str">
            <v>IPEO360</v>
          </cell>
          <cell r="B1241" t="str">
            <v>a=0.5 x t</v>
          </cell>
          <cell r="C1241">
            <v>9.1999999999999993</v>
          </cell>
          <cell r="D1241">
            <v>14.7</v>
          </cell>
          <cell r="E1241"/>
          <cell r="F1241">
            <v>3</v>
          </cell>
          <cell r="G1241"/>
          <cell r="H1241">
            <v>1.367</v>
          </cell>
          <cell r="I1241">
            <v>2.0712121212121213E-2</v>
          </cell>
          <cell r="J1241">
            <v>66</v>
          </cell>
          <cell r="K1241">
            <v>10</v>
          </cell>
          <cell r="L1241">
            <v>20</v>
          </cell>
          <cell r="M1241">
            <v>30</v>
          </cell>
          <cell r="N1241">
            <v>40</v>
          </cell>
          <cell r="O1241">
            <v>90</v>
          </cell>
          <cell r="P1241">
            <v>120</v>
          </cell>
        </row>
        <row r="1242">
          <cell r="A1242" t="str">
            <v>IPEA400</v>
          </cell>
          <cell r="B1242" t="str">
            <v>a=0.5 x t</v>
          </cell>
          <cell r="C1242">
            <v>7</v>
          </cell>
          <cell r="D1242">
            <v>12</v>
          </cell>
          <cell r="E1242"/>
          <cell r="F1242">
            <v>3</v>
          </cell>
          <cell r="G1242"/>
          <cell r="H1242">
            <v>1.46</v>
          </cell>
          <cell r="I1242">
            <v>2.5435540069686412E-2</v>
          </cell>
          <cell r="J1242">
            <v>57.4</v>
          </cell>
          <cell r="K1242">
            <v>10</v>
          </cell>
          <cell r="L1242">
            <v>20</v>
          </cell>
          <cell r="M1242">
            <v>30</v>
          </cell>
          <cell r="N1242">
            <v>40</v>
          </cell>
          <cell r="O1242">
            <v>90</v>
          </cell>
          <cell r="P1242">
            <v>120</v>
          </cell>
        </row>
        <row r="1243">
          <cell r="A1243" t="str">
            <v>IPE400</v>
          </cell>
          <cell r="B1243" t="str">
            <v>a=0.5 x t</v>
          </cell>
          <cell r="C1243">
            <v>8.6</v>
          </cell>
          <cell r="D1243">
            <v>13.5</v>
          </cell>
          <cell r="E1243"/>
          <cell r="F1243">
            <v>3</v>
          </cell>
          <cell r="G1243">
            <v>3</v>
          </cell>
          <cell r="H1243">
            <v>1.4670000000000001</v>
          </cell>
          <cell r="I1243">
            <v>2.2126696832579187E-2</v>
          </cell>
          <cell r="J1243">
            <v>66.3</v>
          </cell>
          <cell r="K1243">
            <v>10</v>
          </cell>
          <cell r="L1243">
            <v>20</v>
          </cell>
          <cell r="M1243">
            <v>30</v>
          </cell>
          <cell r="N1243">
            <v>40</v>
          </cell>
          <cell r="O1243">
            <v>90</v>
          </cell>
          <cell r="P1243">
            <v>120</v>
          </cell>
        </row>
        <row r="1244">
          <cell r="A1244" t="str">
            <v>IPEO400</v>
          </cell>
          <cell r="B1244" t="str">
            <v>a=0.5 x t</v>
          </cell>
          <cell r="C1244">
            <v>9.6999999999999993</v>
          </cell>
          <cell r="D1244">
            <v>15.5</v>
          </cell>
          <cell r="E1244"/>
          <cell r="F1244">
            <v>3</v>
          </cell>
          <cell r="G1244"/>
          <cell r="H1244">
            <v>1.4810000000000001</v>
          </cell>
          <cell r="I1244">
            <v>1.9564068692206078E-2</v>
          </cell>
          <cell r="J1244">
            <v>75.7</v>
          </cell>
          <cell r="K1244">
            <v>10</v>
          </cell>
          <cell r="L1244">
            <v>20</v>
          </cell>
          <cell r="M1244">
            <v>30</v>
          </cell>
          <cell r="N1244">
            <v>40</v>
          </cell>
          <cell r="O1244">
            <v>90</v>
          </cell>
          <cell r="P1244">
            <v>120</v>
          </cell>
        </row>
        <row r="1245">
          <cell r="A1245" t="str">
            <v>IPEV 400</v>
          </cell>
          <cell r="B1245" t="str">
            <v>a=0.5 x t</v>
          </cell>
          <cell r="C1245">
            <v>10.6</v>
          </cell>
          <cell r="D1245">
            <v>17.5</v>
          </cell>
          <cell r="E1245"/>
          <cell r="F1245">
            <v>3</v>
          </cell>
          <cell r="G1245"/>
          <cell r="H1245">
            <v>1.4870000000000001</v>
          </cell>
          <cell r="I1245">
            <v>1.7702380952380952E-2</v>
          </cell>
          <cell r="J1245">
            <v>84</v>
          </cell>
          <cell r="K1245">
            <v>10</v>
          </cell>
          <cell r="L1245">
            <v>20</v>
          </cell>
          <cell r="M1245">
            <v>30</v>
          </cell>
          <cell r="N1245">
            <v>40</v>
          </cell>
          <cell r="O1245">
            <v>90</v>
          </cell>
          <cell r="P1245">
            <v>120</v>
          </cell>
        </row>
        <row r="1246">
          <cell r="A1246" t="str">
            <v>IPEA450</v>
          </cell>
          <cell r="B1246" t="str">
            <v>a=0.5 x t</v>
          </cell>
          <cell r="C1246">
            <v>7.6</v>
          </cell>
          <cell r="D1246">
            <v>13.1</v>
          </cell>
          <cell r="E1246"/>
          <cell r="F1246">
            <v>3</v>
          </cell>
          <cell r="G1246"/>
          <cell r="H1246">
            <v>1.6</v>
          </cell>
          <cell r="I1246">
            <v>2.3809523809523808E-2</v>
          </cell>
          <cell r="J1246">
            <v>67.2</v>
          </cell>
          <cell r="K1246">
            <v>10</v>
          </cell>
          <cell r="L1246">
            <v>20</v>
          </cell>
          <cell r="M1246">
            <v>30</v>
          </cell>
          <cell r="N1246">
            <v>40</v>
          </cell>
          <cell r="O1246">
            <v>90</v>
          </cell>
          <cell r="P1246">
            <v>120</v>
          </cell>
        </row>
        <row r="1247">
          <cell r="A1247" t="str">
            <v>IPE450</v>
          </cell>
          <cell r="B1247" t="str">
            <v>a=0.5 x t</v>
          </cell>
          <cell r="C1247">
            <v>9.4</v>
          </cell>
          <cell r="D1247">
            <v>14.6</v>
          </cell>
          <cell r="E1247"/>
          <cell r="F1247">
            <v>3</v>
          </cell>
          <cell r="G1247">
            <v>3</v>
          </cell>
          <cell r="H1247">
            <v>1.605</v>
          </cell>
          <cell r="I1247">
            <v>2.0682989690721652E-2</v>
          </cell>
          <cell r="J1247">
            <v>77.599999999999994</v>
          </cell>
          <cell r="K1247">
            <v>10</v>
          </cell>
          <cell r="L1247">
            <v>20</v>
          </cell>
          <cell r="M1247">
            <v>30</v>
          </cell>
          <cell r="N1247">
            <v>40</v>
          </cell>
          <cell r="O1247">
            <v>90</v>
          </cell>
          <cell r="P1247">
            <v>120</v>
          </cell>
        </row>
        <row r="1248">
          <cell r="A1248" t="str">
            <v>IPEO450</v>
          </cell>
          <cell r="B1248" t="str">
            <v>a=0.5 x t</v>
          </cell>
          <cell r="C1248">
            <v>11</v>
          </cell>
          <cell r="D1248">
            <v>17.600000000000001</v>
          </cell>
          <cell r="E1248"/>
          <cell r="F1248">
            <v>3</v>
          </cell>
          <cell r="G1248"/>
          <cell r="H1248">
            <v>1.6220000000000001</v>
          </cell>
          <cell r="I1248">
            <v>1.7554112554112555E-2</v>
          </cell>
          <cell r="J1248">
            <v>92.4</v>
          </cell>
          <cell r="K1248">
            <v>10</v>
          </cell>
          <cell r="L1248">
            <v>20</v>
          </cell>
          <cell r="M1248">
            <v>30</v>
          </cell>
          <cell r="N1248">
            <v>40</v>
          </cell>
          <cell r="O1248">
            <v>90</v>
          </cell>
          <cell r="P1248">
            <v>120</v>
          </cell>
        </row>
        <row r="1249">
          <cell r="A1249" t="str">
            <v>IPEV 450</v>
          </cell>
          <cell r="B1249" t="str">
            <v>a=0.5 x t</v>
          </cell>
          <cell r="C1249">
            <v>12.4</v>
          </cell>
          <cell r="D1249">
            <v>19.600000000000001</v>
          </cell>
          <cell r="E1249"/>
          <cell r="F1249">
            <v>3</v>
          </cell>
          <cell r="G1249"/>
          <cell r="H1249">
            <v>1.635</v>
          </cell>
          <cell r="I1249">
            <v>1.5781853281853282E-2</v>
          </cell>
          <cell r="J1249">
            <v>103.6</v>
          </cell>
          <cell r="K1249">
            <v>10</v>
          </cell>
          <cell r="L1249">
            <v>20</v>
          </cell>
          <cell r="M1249">
            <v>30</v>
          </cell>
          <cell r="N1249">
            <v>40</v>
          </cell>
          <cell r="O1249">
            <v>90</v>
          </cell>
          <cell r="P1249">
            <v>120</v>
          </cell>
        </row>
        <row r="1250">
          <cell r="A1250" t="str">
            <v>IPEA500</v>
          </cell>
          <cell r="B1250" t="str">
            <v>a=0.5 x t</v>
          </cell>
          <cell r="C1250">
            <v>8.4</v>
          </cell>
          <cell r="D1250">
            <v>14.5</v>
          </cell>
          <cell r="E1250"/>
          <cell r="F1250">
            <v>3</v>
          </cell>
          <cell r="G1250"/>
          <cell r="H1250">
            <v>1.74</v>
          </cell>
          <cell r="I1250">
            <v>2.1914357682619647E-2</v>
          </cell>
          <cell r="J1250">
            <v>79.400000000000006</v>
          </cell>
          <cell r="K1250">
            <v>10</v>
          </cell>
          <cell r="L1250">
            <v>20</v>
          </cell>
          <cell r="M1250">
            <v>30</v>
          </cell>
          <cell r="N1250">
            <v>40</v>
          </cell>
          <cell r="O1250">
            <v>90</v>
          </cell>
          <cell r="P1250">
            <v>120</v>
          </cell>
        </row>
        <row r="1251">
          <cell r="A1251" t="str">
            <v>IPE500</v>
          </cell>
          <cell r="B1251" t="str">
            <v>a=0.5 x t</v>
          </cell>
          <cell r="C1251">
            <v>10.199999999999999</v>
          </cell>
          <cell r="D1251">
            <v>16</v>
          </cell>
          <cell r="E1251"/>
          <cell r="F1251">
            <v>3</v>
          </cell>
          <cell r="G1251">
            <v>6</v>
          </cell>
          <cell r="H1251">
            <v>1.744</v>
          </cell>
          <cell r="I1251">
            <v>1.9143798024149287E-2</v>
          </cell>
          <cell r="J1251">
            <v>91.1</v>
          </cell>
          <cell r="K1251">
            <v>10</v>
          </cell>
          <cell r="L1251">
            <v>20</v>
          </cell>
          <cell r="M1251">
            <v>30</v>
          </cell>
          <cell r="N1251">
            <v>40</v>
          </cell>
          <cell r="O1251">
            <v>90</v>
          </cell>
          <cell r="P1251">
            <v>120</v>
          </cell>
        </row>
        <row r="1252">
          <cell r="A1252" t="str">
            <v>IPEO500</v>
          </cell>
          <cell r="B1252" t="str">
            <v>a=0.5 x t</v>
          </cell>
          <cell r="C1252">
            <v>12</v>
          </cell>
          <cell r="D1252">
            <v>19</v>
          </cell>
          <cell r="E1252"/>
          <cell r="F1252">
            <v>3</v>
          </cell>
          <cell r="G1252"/>
          <cell r="H1252">
            <v>1.76</v>
          </cell>
          <cell r="I1252">
            <v>1.6402609506057781E-2</v>
          </cell>
          <cell r="J1252">
            <v>107.3</v>
          </cell>
          <cell r="K1252">
            <v>10</v>
          </cell>
          <cell r="L1252">
            <v>20</v>
          </cell>
          <cell r="M1252">
            <v>30</v>
          </cell>
          <cell r="N1252">
            <v>40</v>
          </cell>
          <cell r="O1252">
            <v>90</v>
          </cell>
          <cell r="P1252">
            <v>120</v>
          </cell>
        </row>
        <row r="1253">
          <cell r="A1253" t="str">
            <v>IPEV 500</v>
          </cell>
          <cell r="B1253" t="str">
            <v>a=0.5 x t</v>
          </cell>
          <cell r="C1253">
            <v>14.2</v>
          </cell>
          <cell r="D1253">
            <v>23</v>
          </cell>
          <cell r="E1253"/>
          <cell r="F1253">
            <v>3</v>
          </cell>
          <cell r="G1253"/>
          <cell r="H1253">
            <v>1.78</v>
          </cell>
          <cell r="I1253">
            <v>1.3819875776397515E-2</v>
          </cell>
          <cell r="J1253">
            <v>128.80000000000001</v>
          </cell>
          <cell r="K1253">
            <v>10</v>
          </cell>
          <cell r="L1253">
            <v>20</v>
          </cell>
          <cell r="M1253">
            <v>30</v>
          </cell>
          <cell r="N1253">
            <v>40</v>
          </cell>
          <cell r="O1253">
            <v>90</v>
          </cell>
          <cell r="P1253">
            <v>120</v>
          </cell>
        </row>
        <row r="1254">
          <cell r="A1254" t="str">
            <v>IPEA550</v>
          </cell>
          <cell r="B1254" t="str">
            <v>a=0.5 x t</v>
          </cell>
          <cell r="C1254">
            <v>9</v>
          </cell>
          <cell r="D1254">
            <v>15.7</v>
          </cell>
          <cell r="E1254"/>
          <cell r="F1254">
            <v>3</v>
          </cell>
          <cell r="G1254"/>
          <cell r="H1254">
            <v>1.87</v>
          </cell>
          <cell r="I1254">
            <v>2.0304017372421282E-2</v>
          </cell>
          <cell r="J1254">
            <v>92.1</v>
          </cell>
          <cell r="K1254">
            <v>10</v>
          </cell>
          <cell r="L1254">
            <v>20</v>
          </cell>
          <cell r="M1254">
            <v>30</v>
          </cell>
          <cell r="N1254">
            <v>40</v>
          </cell>
          <cell r="O1254">
            <v>90</v>
          </cell>
          <cell r="P1254">
            <v>120</v>
          </cell>
        </row>
        <row r="1255">
          <cell r="A1255" t="str">
            <v>IPE550</v>
          </cell>
          <cell r="B1255" t="str">
            <v>a=0.5 x t</v>
          </cell>
          <cell r="C1255">
            <v>11.1</v>
          </cell>
          <cell r="D1255">
            <v>17.2</v>
          </cell>
          <cell r="E1255"/>
          <cell r="F1255">
            <v>3</v>
          </cell>
          <cell r="G1255">
            <v>6</v>
          </cell>
          <cell r="H1255">
            <v>1.877</v>
          </cell>
          <cell r="I1255">
            <v>1.7842205323193916E-2</v>
          </cell>
          <cell r="J1255">
            <v>105.2</v>
          </cell>
          <cell r="K1255">
            <v>10</v>
          </cell>
          <cell r="L1255">
            <v>20</v>
          </cell>
          <cell r="M1255">
            <v>30</v>
          </cell>
          <cell r="N1255">
            <v>40</v>
          </cell>
          <cell r="O1255">
            <v>90</v>
          </cell>
          <cell r="P1255">
            <v>120</v>
          </cell>
        </row>
        <row r="1256">
          <cell r="A1256" t="str">
            <v>IPEO550</v>
          </cell>
          <cell r="B1256" t="str">
            <v>a=0.5 x t</v>
          </cell>
          <cell r="C1256">
            <v>12.7</v>
          </cell>
          <cell r="D1256">
            <v>20.2</v>
          </cell>
          <cell r="E1256"/>
          <cell r="F1256">
            <v>3</v>
          </cell>
          <cell r="G1256"/>
          <cell r="H1256">
            <v>1.893</v>
          </cell>
          <cell r="I1256">
            <v>1.5453061224489795E-2</v>
          </cell>
          <cell r="J1256">
            <v>122.5</v>
          </cell>
          <cell r="K1256">
            <v>10</v>
          </cell>
          <cell r="L1256">
            <v>20</v>
          </cell>
          <cell r="M1256">
            <v>30</v>
          </cell>
          <cell r="N1256">
            <v>40</v>
          </cell>
          <cell r="O1256">
            <v>90</v>
          </cell>
          <cell r="P1256">
            <v>120</v>
          </cell>
        </row>
        <row r="1257">
          <cell r="A1257" t="str">
            <v>IPEV550</v>
          </cell>
          <cell r="B1257" t="str">
            <v>a=0.5 x t</v>
          </cell>
          <cell r="C1257">
            <v>17.100000000000001</v>
          </cell>
          <cell r="D1257">
            <v>25.2</v>
          </cell>
          <cell r="E1257"/>
          <cell r="F1257">
            <v>3</v>
          </cell>
          <cell r="G1257"/>
          <cell r="H1257">
            <v>1.921</v>
          </cell>
          <cell r="I1257">
            <v>1.2112232030264817E-2</v>
          </cell>
          <cell r="J1257">
            <v>158.6</v>
          </cell>
          <cell r="K1257">
            <v>10</v>
          </cell>
          <cell r="L1257">
            <v>20</v>
          </cell>
          <cell r="M1257">
            <v>30</v>
          </cell>
          <cell r="N1257">
            <v>40</v>
          </cell>
          <cell r="O1257">
            <v>90</v>
          </cell>
          <cell r="P1257">
            <v>120</v>
          </cell>
        </row>
        <row r="1258">
          <cell r="A1258" t="str">
            <v>IPEA600</v>
          </cell>
          <cell r="B1258" t="str">
            <v>a=0.5 x t</v>
          </cell>
          <cell r="C1258">
            <v>9.8000000000000007</v>
          </cell>
          <cell r="D1258">
            <v>17.5</v>
          </cell>
          <cell r="E1258"/>
          <cell r="F1258">
            <v>3</v>
          </cell>
          <cell r="G1258"/>
          <cell r="H1258">
            <v>2.0099999999999998</v>
          </cell>
          <cell r="I1258">
            <v>1.8697674418604648E-2</v>
          </cell>
          <cell r="J1258">
            <v>107.5</v>
          </cell>
          <cell r="K1258">
            <v>10</v>
          </cell>
          <cell r="L1258">
            <v>20</v>
          </cell>
          <cell r="M1258">
            <v>30</v>
          </cell>
          <cell r="N1258">
            <v>40</v>
          </cell>
          <cell r="O1258">
            <v>90</v>
          </cell>
          <cell r="P1258">
            <v>120</v>
          </cell>
        </row>
        <row r="1259">
          <cell r="A1259" t="str">
            <v>IPE600</v>
          </cell>
          <cell r="B1259" t="str">
            <v>a=0.5 x t</v>
          </cell>
          <cell r="C1259">
            <v>12</v>
          </cell>
          <cell r="D1259">
            <v>19</v>
          </cell>
          <cell r="E1259"/>
          <cell r="F1259">
            <v>3</v>
          </cell>
          <cell r="G1259">
            <v>6</v>
          </cell>
          <cell r="H1259">
            <v>2.0150000000000001</v>
          </cell>
          <cell r="I1259">
            <v>1.6448979591836735E-2</v>
          </cell>
          <cell r="J1259">
            <v>122.5</v>
          </cell>
          <cell r="K1259">
            <v>10</v>
          </cell>
          <cell r="L1259">
            <v>20</v>
          </cell>
          <cell r="M1259">
            <v>30</v>
          </cell>
          <cell r="N1259">
            <v>40</v>
          </cell>
          <cell r="O1259">
            <v>90</v>
          </cell>
          <cell r="P1259">
            <v>120</v>
          </cell>
        </row>
        <row r="1260">
          <cell r="A1260" t="str">
            <v>IPEO600</v>
          </cell>
          <cell r="B1260" t="str">
            <v>a=0.5 x t</v>
          </cell>
          <cell r="C1260">
            <v>15</v>
          </cell>
          <cell r="D1260">
            <v>24</v>
          </cell>
          <cell r="E1260"/>
          <cell r="F1260">
            <v>3</v>
          </cell>
          <cell r="G1260"/>
          <cell r="H1260">
            <v>2.0449999999999999</v>
          </cell>
          <cell r="I1260">
            <v>1.3236245954692557E-2</v>
          </cell>
          <cell r="J1260">
            <v>154.5</v>
          </cell>
          <cell r="K1260">
            <v>10</v>
          </cell>
          <cell r="L1260">
            <v>20</v>
          </cell>
          <cell r="M1260">
            <v>30</v>
          </cell>
          <cell r="N1260">
            <v>40</v>
          </cell>
          <cell r="O1260">
            <v>90</v>
          </cell>
          <cell r="P1260">
            <v>120</v>
          </cell>
        </row>
        <row r="1261">
          <cell r="A1261" t="str">
            <v>IPEV 600</v>
          </cell>
          <cell r="B1261" t="str">
            <v>a=0.5 x t</v>
          </cell>
          <cell r="C1261">
            <v>18</v>
          </cell>
          <cell r="D1261">
            <v>28</v>
          </cell>
          <cell r="E1261"/>
          <cell r="F1261">
            <v>3</v>
          </cell>
          <cell r="G1261"/>
          <cell r="H1261">
            <v>2.0739999999999998</v>
          </cell>
          <cell r="I1261">
            <v>1.1302452316076293E-2</v>
          </cell>
          <cell r="J1261">
            <v>183.5</v>
          </cell>
          <cell r="K1261">
            <v>10</v>
          </cell>
          <cell r="L1261">
            <v>20</v>
          </cell>
          <cell r="M1261">
            <v>30</v>
          </cell>
          <cell r="N1261">
            <v>40</v>
          </cell>
          <cell r="O1261">
            <v>90</v>
          </cell>
          <cell r="P1261">
            <v>120</v>
          </cell>
        </row>
        <row r="1262">
          <cell r="A1262" t="str">
            <v>IPE750x134</v>
          </cell>
          <cell r="B1262" t="str">
            <v>a=0.5 x t</v>
          </cell>
          <cell r="C1262">
            <v>12</v>
          </cell>
          <cell r="D1262">
            <v>15.5</v>
          </cell>
          <cell r="E1262"/>
          <cell r="F1262">
            <v>3</v>
          </cell>
          <cell r="G1262"/>
          <cell r="H1262">
            <v>2.5049999999999999</v>
          </cell>
          <cell r="I1262">
            <v>1.8707991038088123E-2</v>
          </cell>
          <cell r="J1262">
            <v>133.9</v>
          </cell>
          <cell r="K1262">
            <v>10</v>
          </cell>
          <cell r="L1262">
            <v>20</v>
          </cell>
          <cell r="M1262">
            <v>30</v>
          </cell>
          <cell r="N1262">
            <v>40</v>
          </cell>
          <cell r="O1262">
            <v>90</v>
          </cell>
          <cell r="P1262">
            <v>120</v>
          </cell>
        </row>
        <row r="1263">
          <cell r="A1263" t="str">
            <v>IPE750x147</v>
          </cell>
          <cell r="B1263" t="str">
            <v>a=0.5 x t</v>
          </cell>
          <cell r="C1263">
            <v>13.2</v>
          </cell>
          <cell r="D1263">
            <v>17</v>
          </cell>
          <cell r="E1263"/>
          <cell r="F1263">
            <v>3</v>
          </cell>
          <cell r="G1263"/>
          <cell r="H1263">
            <v>2.5099999999999998</v>
          </cell>
          <cell r="I1263">
            <v>1.7051630434782607E-2</v>
          </cell>
          <cell r="J1263">
            <v>147.19999999999999</v>
          </cell>
          <cell r="K1263">
            <v>10</v>
          </cell>
          <cell r="L1263">
            <v>20</v>
          </cell>
          <cell r="M1263">
            <v>30</v>
          </cell>
          <cell r="N1263">
            <v>40</v>
          </cell>
          <cell r="O1263">
            <v>90</v>
          </cell>
          <cell r="P1263">
            <v>120</v>
          </cell>
        </row>
        <row r="1264">
          <cell r="A1264" t="str">
            <v>IPE750x173</v>
          </cell>
          <cell r="B1264" t="str">
            <v>a=0.5 x t</v>
          </cell>
          <cell r="C1264">
            <v>14.4</v>
          </cell>
          <cell r="D1264">
            <v>21.6</v>
          </cell>
          <cell r="E1264"/>
          <cell r="F1264">
            <v>3</v>
          </cell>
          <cell r="G1264"/>
          <cell r="H1264">
            <v>2.5339999999999998</v>
          </cell>
          <cell r="I1264">
            <v>1.4588370754173862E-2</v>
          </cell>
          <cell r="J1264">
            <v>173.7</v>
          </cell>
          <cell r="K1264">
            <v>10</v>
          </cell>
          <cell r="L1264">
            <v>20</v>
          </cell>
          <cell r="M1264">
            <v>30</v>
          </cell>
          <cell r="N1264">
            <v>40</v>
          </cell>
          <cell r="O1264">
            <v>90</v>
          </cell>
          <cell r="P1264">
            <v>120</v>
          </cell>
        </row>
        <row r="1265">
          <cell r="A1265" t="str">
            <v>IPE750x196</v>
          </cell>
          <cell r="B1265" t="str">
            <v>a=0.5 x t</v>
          </cell>
          <cell r="C1265">
            <v>15.6</v>
          </cell>
          <cell r="D1265">
            <v>25.4</v>
          </cell>
          <cell r="E1265"/>
          <cell r="F1265">
            <v>3</v>
          </cell>
          <cell r="G1265"/>
          <cell r="H1265">
            <v>2.552</v>
          </cell>
          <cell r="I1265">
            <v>1.2960893854748603E-2</v>
          </cell>
          <cell r="J1265">
            <v>196.9</v>
          </cell>
          <cell r="K1265">
            <v>10</v>
          </cell>
          <cell r="L1265">
            <v>20</v>
          </cell>
          <cell r="M1265">
            <v>30</v>
          </cell>
          <cell r="N1265">
            <v>40</v>
          </cell>
          <cell r="O1265">
            <v>90</v>
          </cell>
          <cell r="P1265">
            <v>120</v>
          </cell>
        </row>
        <row r="1266">
          <cell r="A1266" t="str">
            <v>IPE750x220</v>
          </cell>
          <cell r="B1266" t="str">
            <v>a=0.5 x t</v>
          </cell>
          <cell r="C1266">
            <v>16.5</v>
          </cell>
          <cell r="D1266">
            <v>30</v>
          </cell>
          <cell r="E1266"/>
          <cell r="F1266">
            <v>3</v>
          </cell>
          <cell r="G1266"/>
          <cell r="H1266">
            <v>2.56</v>
          </cell>
          <cell r="I1266">
            <v>1.162051747616886E-2</v>
          </cell>
          <cell r="J1266">
            <v>220.3</v>
          </cell>
          <cell r="K1266">
            <v>10</v>
          </cell>
          <cell r="L1266">
            <v>20</v>
          </cell>
          <cell r="M1266">
            <v>30</v>
          </cell>
          <cell r="N1266">
            <v>40</v>
          </cell>
          <cell r="O1266">
            <v>90</v>
          </cell>
          <cell r="P1266">
            <v>120</v>
          </cell>
        </row>
        <row r="1267">
          <cell r="A1267" t="str">
            <v>L25x3</v>
          </cell>
          <cell r="B1267" t="str">
            <v>a=0.5 x t</v>
          </cell>
          <cell r="C1267">
            <v>3</v>
          </cell>
          <cell r="D1267"/>
          <cell r="E1267"/>
          <cell r="F1267">
            <v>1</v>
          </cell>
          <cell r="G1267">
            <v>1</v>
          </cell>
          <cell r="H1267">
            <v>9.7000000000000003E-2</v>
          </cell>
          <cell r="I1267">
            <v>8.8181818181818181E-2</v>
          </cell>
          <cell r="J1267">
            <v>1.1000000000000001</v>
          </cell>
          <cell r="K1267">
            <v>2</v>
          </cell>
          <cell r="L1267">
            <v>5</v>
          </cell>
          <cell r="M1267">
            <v>10</v>
          </cell>
          <cell r="N1267">
            <v>20</v>
          </cell>
          <cell r="O1267">
            <v>30</v>
          </cell>
          <cell r="P1267">
            <v>60</v>
          </cell>
        </row>
        <row r="1268">
          <cell r="A1268" t="str">
            <v>L25x4</v>
          </cell>
          <cell r="B1268" t="str">
            <v>a=0.5 x t</v>
          </cell>
          <cell r="C1268">
            <v>4</v>
          </cell>
          <cell r="D1268"/>
          <cell r="E1268"/>
          <cell r="F1268">
            <v>1</v>
          </cell>
          <cell r="G1268">
            <v>1</v>
          </cell>
          <cell r="H1268">
            <v>9.7000000000000003E-2</v>
          </cell>
          <cell r="I1268">
            <v>6.4666666666666664E-2</v>
          </cell>
          <cell r="J1268">
            <v>1.5</v>
          </cell>
          <cell r="K1268">
            <v>2</v>
          </cell>
          <cell r="L1268">
            <v>5</v>
          </cell>
          <cell r="M1268">
            <v>10</v>
          </cell>
          <cell r="N1268">
            <v>20</v>
          </cell>
          <cell r="O1268">
            <v>30</v>
          </cell>
          <cell r="P1268">
            <v>60</v>
          </cell>
        </row>
        <row r="1269">
          <cell r="A1269" t="str">
            <v>L30x3</v>
          </cell>
          <cell r="B1269" t="str">
            <v>a=0.5 x t</v>
          </cell>
          <cell r="C1269">
            <v>3</v>
          </cell>
          <cell r="D1269"/>
          <cell r="E1269"/>
          <cell r="F1269">
            <v>1</v>
          </cell>
          <cell r="G1269">
            <v>1</v>
          </cell>
          <cell r="H1269">
            <v>0.11600000000000001</v>
          </cell>
          <cell r="I1269">
            <v>8.2857142857142865E-2</v>
          </cell>
          <cell r="J1269">
            <v>1.4</v>
          </cell>
          <cell r="K1269">
            <v>2</v>
          </cell>
          <cell r="L1269">
            <v>5</v>
          </cell>
          <cell r="M1269">
            <v>10</v>
          </cell>
          <cell r="N1269">
            <v>20</v>
          </cell>
          <cell r="O1269">
            <v>30</v>
          </cell>
          <cell r="P1269">
            <v>60</v>
          </cell>
        </row>
        <row r="1270">
          <cell r="A1270" t="str">
            <v>L30x4</v>
          </cell>
          <cell r="B1270" t="str">
            <v>a=0.5 x t</v>
          </cell>
          <cell r="C1270">
            <v>4</v>
          </cell>
          <cell r="D1270"/>
          <cell r="E1270"/>
          <cell r="F1270">
            <v>1</v>
          </cell>
          <cell r="G1270">
            <v>1</v>
          </cell>
          <cell r="H1270">
            <v>0.11600000000000001</v>
          </cell>
          <cell r="I1270">
            <v>6.4444444444444443E-2</v>
          </cell>
          <cell r="J1270">
            <v>1.8</v>
          </cell>
          <cell r="K1270">
            <v>2</v>
          </cell>
          <cell r="L1270">
            <v>5</v>
          </cell>
          <cell r="M1270">
            <v>10</v>
          </cell>
          <cell r="N1270">
            <v>20</v>
          </cell>
          <cell r="O1270">
            <v>30</v>
          </cell>
          <cell r="P1270">
            <v>60</v>
          </cell>
        </row>
        <row r="1271">
          <cell r="A1271" t="str">
            <v>L35x4</v>
          </cell>
          <cell r="B1271" t="str">
            <v>a=0.5 x t</v>
          </cell>
          <cell r="C1271">
            <v>4</v>
          </cell>
          <cell r="D1271"/>
          <cell r="E1271"/>
          <cell r="F1271">
            <v>1</v>
          </cell>
          <cell r="G1271">
            <v>1</v>
          </cell>
          <cell r="H1271">
            <v>0.13600000000000001</v>
          </cell>
          <cell r="I1271">
            <v>6.4761904761904771E-2</v>
          </cell>
          <cell r="J1271">
            <v>2.1</v>
          </cell>
          <cell r="K1271">
            <v>2</v>
          </cell>
          <cell r="L1271">
            <v>5</v>
          </cell>
          <cell r="M1271">
            <v>10</v>
          </cell>
          <cell r="N1271">
            <v>20</v>
          </cell>
          <cell r="O1271">
            <v>30</v>
          </cell>
          <cell r="P1271">
            <v>60</v>
          </cell>
        </row>
        <row r="1272">
          <cell r="A1272" t="str">
            <v>L35x5</v>
          </cell>
          <cell r="B1272" t="str">
            <v>a=0.5 x t</v>
          </cell>
          <cell r="C1272">
            <v>5</v>
          </cell>
          <cell r="D1272"/>
          <cell r="E1272"/>
          <cell r="F1272">
            <v>1</v>
          </cell>
          <cell r="G1272">
            <v>1</v>
          </cell>
          <cell r="H1272">
            <v>0.13600000000000001</v>
          </cell>
          <cell r="I1272">
            <v>5.2307692307692312E-2</v>
          </cell>
          <cell r="J1272">
            <v>2.6</v>
          </cell>
          <cell r="K1272">
            <v>2</v>
          </cell>
          <cell r="L1272">
            <v>5</v>
          </cell>
          <cell r="M1272">
            <v>10</v>
          </cell>
          <cell r="N1272">
            <v>20</v>
          </cell>
          <cell r="O1272">
            <v>30</v>
          </cell>
          <cell r="P1272">
            <v>60</v>
          </cell>
        </row>
        <row r="1273">
          <cell r="A1273" t="str">
            <v>L40x4</v>
          </cell>
          <cell r="B1273" t="str">
            <v>a=0.5 x t</v>
          </cell>
          <cell r="C1273">
            <v>4</v>
          </cell>
          <cell r="D1273"/>
          <cell r="E1273"/>
          <cell r="F1273">
            <v>1</v>
          </cell>
          <cell r="G1273">
            <v>1</v>
          </cell>
          <cell r="H1273">
            <v>0.155</v>
          </cell>
          <cell r="I1273">
            <v>6.458333333333334E-2</v>
          </cell>
          <cell r="J1273">
            <v>2.4</v>
          </cell>
          <cell r="K1273">
            <v>2</v>
          </cell>
          <cell r="L1273">
            <v>5</v>
          </cell>
          <cell r="M1273">
            <v>10</v>
          </cell>
          <cell r="N1273">
            <v>20</v>
          </cell>
          <cell r="O1273">
            <v>30</v>
          </cell>
          <cell r="P1273">
            <v>60</v>
          </cell>
        </row>
        <row r="1274">
          <cell r="A1274" t="str">
            <v>L40x5</v>
          </cell>
          <cell r="B1274" t="str">
            <v>a=0.5 x t</v>
          </cell>
          <cell r="C1274">
            <v>5</v>
          </cell>
          <cell r="D1274"/>
          <cell r="E1274"/>
          <cell r="F1274">
            <v>1</v>
          </cell>
          <cell r="G1274">
            <v>1</v>
          </cell>
          <cell r="H1274">
            <v>0.155</v>
          </cell>
          <cell r="I1274">
            <v>5.1666666666666666E-2</v>
          </cell>
          <cell r="J1274">
            <v>3</v>
          </cell>
          <cell r="K1274">
            <v>2</v>
          </cell>
          <cell r="L1274">
            <v>5</v>
          </cell>
          <cell r="M1274">
            <v>10</v>
          </cell>
          <cell r="N1274">
            <v>20</v>
          </cell>
          <cell r="O1274">
            <v>30</v>
          </cell>
          <cell r="P1274">
            <v>60</v>
          </cell>
        </row>
        <row r="1275">
          <cell r="A1275" t="str">
            <v>L40x6</v>
          </cell>
          <cell r="B1275" t="str">
            <v>a=0.5 x t</v>
          </cell>
          <cell r="C1275">
            <v>6</v>
          </cell>
          <cell r="D1275"/>
          <cell r="E1275"/>
          <cell r="F1275">
            <v>1</v>
          </cell>
          <cell r="G1275">
            <v>1</v>
          </cell>
          <cell r="H1275">
            <v>0.155</v>
          </cell>
          <cell r="I1275">
            <v>4.4285714285714282E-2</v>
          </cell>
          <cell r="J1275">
            <v>3.5</v>
          </cell>
          <cell r="K1275">
            <v>2</v>
          </cell>
          <cell r="L1275">
            <v>5</v>
          </cell>
          <cell r="M1275">
            <v>10</v>
          </cell>
          <cell r="N1275">
            <v>20</v>
          </cell>
          <cell r="O1275">
            <v>30</v>
          </cell>
          <cell r="P1275">
            <v>60</v>
          </cell>
        </row>
        <row r="1276">
          <cell r="A1276" t="str">
            <v>L45x3</v>
          </cell>
          <cell r="B1276" t="str">
            <v>a=0.5 x t</v>
          </cell>
          <cell r="C1276">
            <v>3</v>
          </cell>
          <cell r="D1276"/>
          <cell r="E1276"/>
          <cell r="F1276">
            <v>1</v>
          </cell>
          <cell r="G1276">
            <v>1</v>
          </cell>
          <cell r="H1276">
            <v>0.17399999999999999</v>
          </cell>
          <cell r="I1276">
            <v>8.2857142857142851E-2</v>
          </cell>
          <cell r="J1276">
            <v>2.1</v>
          </cell>
          <cell r="K1276">
            <v>2</v>
          </cell>
          <cell r="L1276">
            <v>5</v>
          </cell>
          <cell r="M1276">
            <v>10</v>
          </cell>
          <cell r="N1276">
            <v>20</v>
          </cell>
          <cell r="O1276">
            <v>30</v>
          </cell>
          <cell r="P1276">
            <v>60</v>
          </cell>
        </row>
        <row r="1277">
          <cell r="A1277" t="str">
            <v>L45x4</v>
          </cell>
          <cell r="B1277" t="str">
            <v>a=0.5 x t</v>
          </cell>
          <cell r="C1277">
            <v>4</v>
          </cell>
          <cell r="D1277"/>
          <cell r="E1277"/>
          <cell r="F1277">
            <v>1</v>
          </cell>
          <cell r="G1277">
            <v>1</v>
          </cell>
          <cell r="H1277">
            <v>0.17399999999999999</v>
          </cell>
          <cell r="I1277">
            <v>6.4444444444444429E-2</v>
          </cell>
          <cell r="J1277">
            <v>2.7</v>
          </cell>
          <cell r="K1277">
            <v>2</v>
          </cell>
          <cell r="L1277">
            <v>5</v>
          </cell>
          <cell r="M1277">
            <v>10</v>
          </cell>
          <cell r="N1277">
            <v>20</v>
          </cell>
          <cell r="O1277">
            <v>30</v>
          </cell>
          <cell r="P1277">
            <v>60</v>
          </cell>
        </row>
        <row r="1278">
          <cell r="A1278" t="str">
            <v>L45x4.5</v>
          </cell>
          <cell r="B1278" t="str">
            <v>a=0.5 x t</v>
          </cell>
          <cell r="C1278">
            <v>4.5</v>
          </cell>
          <cell r="D1278"/>
          <cell r="E1278"/>
          <cell r="F1278">
            <v>1</v>
          </cell>
          <cell r="G1278">
            <v>1</v>
          </cell>
          <cell r="H1278">
            <v>0.17399999999999999</v>
          </cell>
          <cell r="I1278">
            <v>5.612903225806451E-2</v>
          </cell>
          <cell r="J1278">
            <v>3.1</v>
          </cell>
          <cell r="K1278">
            <v>2</v>
          </cell>
          <cell r="L1278">
            <v>5</v>
          </cell>
          <cell r="M1278">
            <v>10</v>
          </cell>
          <cell r="N1278">
            <v>20</v>
          </cell>
          <cell r="O1278">
            <v>30</v>
          </cell>
          <cell r="P1278">
            <v>60</v>
          </cell>
        </row>
        <row r="1279">
          <cell r="A1279" t="str">
            <v>L45x5</v>
          </cell>
          <cell r="B1279" t="str">
            <v>a=0.5 x t</v>
          </cell>
          <cell r="C1279">
            <v>5</v>
          </cell>
          <cell r="D1279"/>
          <cell r="E1279"/>
          <cell r="F1279">
            <v>1</v>
          </cell>
          <cell r="G1279">
            <v>1</v>
          </cell>
          <cell r="H1279">
            <v>0.17399999999999999</v>
          </cell>
          <cell r="I1279">
            <v>5.1176470588235289E-2</v>
          </cell>
          <cell r="J1279">
            <v>3.4</v>
          </cell>
          <cell r="K1279">
            <v>2</v>
          </cell>
          <cell r="L1279">
            <v>5</v>
          </cell>
          <cell r="M1279">
            <v>10</v>
          </cell>
          <cell r="N1279">
            <v>20</v>
          </cell>
          <cell r="O1279">
            <v>30</v>
          </cell>
          <cell r="P1279">
            <v>60</v>
          </cell>
        </row>
        <row r="1280">
          <cell r="A1280" t="str">
            <v>L45x6</v>
          </cell>
          <cell r="B1280" t="str">
            <v>a=0.5 x t</v>
          </cell>
          <cell r="C1280">
            <v>6</v>
          </cell>
          <cell r="D1280"/>
          <cell r="E1280"/>
          <cell r="F1280">
            <v>1</v>
          </cell>
          <cell r="G1280">
            <v>1</v>
          </cell>
          <cell r="H1280">
            <v>0.17399999999999999</v>
          </cell>
          <cell r="I1280">
            <v>4.3499999999999997E-2</v>
          </cell>
          <cell r="J1280">
            <v>4</v>
          </cell>
          <cell r="K1280">
            <v>2</v>
          </cell>
          <cell r="L1280">
            <v>5</v>
          </cell>
          <cell r="M1280">
            <v>10</v>
          </cell>
          <cell r="N1280">
            <v>20</v>
          </cell>
          <cell r="O1280">
            <v>30</v>
          </cell>
          <cell r="P1280">
            <v>60</v>
          </cell>
        </row>
        <row r="1281">
          <cell r="A1281" t="str">
            <v>L45x7</v>
          </cell>
          <cell r="B1281" t="str">
            <v>a=0.5 x t</v>
          </cell>
          <cell r="C1281">
            <v>7</v>
          </cell>
          <cell r="D1281"/>
          <cell r="E1281"/>
          <cell r="F1281">
            <v>1</v>
          </cell>
          <cell r="G1281">
            <v>3</v>
          </cell>
          <cell r="H1281">
            <v>0.17399999999999999</v>
          </cell>
          <cell r="I1281">
            <v>3.7826086956521739E-2</v>
          </cell>
          <cell r="J1281">
            <v>4.5999999999999996</v>
          </cell>
          <cell r="K1281">
            <v>2</v>
          </cell>
          <cell r="L1281">
            <v>5</v>
          </cell>
          <cell r="M1281">
            <v>10</v>
          </cell>
          <cell r="N1281">
            <v>20</v>
          </cell>
          <cell r="O1281">
            <v>30</v>
          </cell>
          <cell r="P1281">
            <v>60</v>
          </cell>
        </row>
        <row r="1282">
          <cell r="A1282" t="str">
            <v>L50x4</v>
          </cell>
          <cell r="B1282" t="str">
            <v>a=0.5 x t</v>
          </cell>
          <cell r="C1282">
            <v>4</v>
          </cell>
          <cell r="D1282"/>
          <cell r="E1282"/>
          <cell r="F1282">
            <v>1</v>
          </cell>
          <cell r="G1282">
            <v>1</v>
          </cell>
          <cell r="H1282">
            <v>0.19400000000000001</v>
          </cell>
          <cell r="I1282">
            <v>6.2580645161290319E-2</v>
          </cell>
          <cell r="J1282">
            <v>3.1</v>
          </cell>
          <cell r="K1282">
            <v>2</v>
          </cell>
          <cell r="L1282">
            <v>5</v>
          </cell>
          <cell r="M1282">
            <v>10</v>
          </cell>
          <cell r="N1282">
            <v>20</v>
          </cell>
          <cell r="O1282">
            <v>30</v>
          </cell>
          <cell r="P1282">
            <v>60</v>
          </cell>
        </row>
        <row r="1283">
          <cell r="A1283" t="str">
            <v>L50x5</v>
          </cell>
          <cell r="B1283" t="str">
            <v>a=0.5 x t</v>
          </cell>
          <cell r="C1283">
            <v>5</v>
          </cell>
          <cell r="D1283"/>
          <cell r="E1283"/>
          <cell r="F1283">
            <v>1</v>
          </cell>
          <cell r="G1283">
            <v>1</v>
          </cell>
          <cell r="H1283">
            <v>0.19400000000000001</v>
          </cell>
          <cell r="I1283">
            <v>5.105263157894737E-2</v>
          </cell>
          <cell r="J1283">
            <v>3.8</v>
          </cell>
          <cell r="K1283">
            <v>2</v>
          </cell>
          <cell r="L1283">
            <v>5</v>
          </cell>
          <cell r="M1283">
            <v>10</v>
          </cell>
          <cell r="N1283">
            <v>20</v>
          </cell>
          <cell r="O1283">
            <v>30</v>
          </cell>
          <cell r="P1283">
            <v>60</v>
          </cell>
        </row>
        <row r="1284">
          <cell r="A1284" t="str">
            <v>L50x30x5</v>
          </cell>
          <cell r="B1284" t="str">
            <v>a=0.5 x t</v>
          </cell>
          <cell r="C1284">
            <v>5</v>
          </cell>
          <cell r="D1284"/>
          <cell r="E1284"/>
          <cell r="F1284">
            <v>1</v>
          </cell>
          <cell r="G1284">
            <v>1</v>
          </cell>
          <cell r="H1284">
            <v>0.16</v>
          </cell>
          <cell r="I1284">
            <v>5.3333333333333337E-2</v>
          </cell>
          <cell r="J1284">
            <v>3</v>
          </cell>
          <cell r="K1284">
            <v>2</v>
          </cell>
          <cell r="L1284">
            <v>5</v>
          </cell>
          <cell r="M1284">
            <v>10</v>
          </cell>
          <cell r="N1284">
            <v>20</v>
          </cell>
          <cell r="O1284">
            <v>30</v>
          </cell>
          <cell r="P1284">
            <v>60</v>
          </cell>
        </row>
        <row r="1285">
          <cell r="A1285" t="str">
            <v>L50x6</v>
          </cell>
          <cell r="B1285" t="str">
            <v>a=0.5 x t</v>
          </cell>
          <cell r="C1285">
            <v>6</v>
          </cell>
          <cell r="D1285"/>
          <cell r="E1285"/>
          <cell r="F1285">
            <v>1</v>
          </cell>
          <cell r="G1285">
            <v>1</v>
          </cell>
          <cell r="H1285">
            <v>0.19400000000000001</v>
          </cell>
          <cell r="I1285">
            <v>4.3111111111111114E-2</v>
          </cell>
          <cell r="J1285">
            <v>4.5</v>
          </cell>
          <cell r="K1285">
            <v>2</v>
          </cell>
          <cell r="L1285">
            <v>5</v>
          </cell>
          <cell r="M1285">
            <v>10</v>
          </cell>
          <cell r="N1285">
            <v>20</v>
          </cell>
          <cell r="O1285">
            <v>30</v>
          </cell>
          <cell r="P1285">
            <v>60</v>
          </cell>
        </row>
        <row r="1286">
          <cell r="A1286" t="str">
            <v>L50x7</v>
          </cell>
          <cell r="B1286" t="str">
            <v>a=0.5 x t</v>
          </cell>
          <cell r="C1286">
            <v>7</v>
          </cell>
          <cell r="D1286"/>
          <cell r="E1286"/>
          <cell r="F1286">
            <v>1</v>
          </cell>
          <cell r="G1286">
            <v>2</v>
          </cell>
          <cell r="H1286">
            <v>0.19400000000000001</v>
          </cell>
          <cell r="I1286">
            <v>3.8039215686274511E-2</v>
          </cell>
          <cell r="J1286">
            <v>5.0999999999999996</v>
          </cell>
          <cell r="K1286">
            <v>2</v>
          </cell>
          <cell r="L1286">
            <v>5</v>
          </cell>
          <cell r="M1286">
            <v>10</v>
          </cell>
          <cell r="N1286">
            <v>20</v>
          </cell>
          <cell r="O1286">
            <v>30</v>
          </cell>
          <cell r="P1286">
            <v>60</v>
          </cell>
        </row>
        <row r="1287">
          <cell r="A1287" t="str">
            <v>L50x8</v>
          </cell>
          <cell r="B1287" t="str">
            <v>a=0.5 x t</v>
          </cell>
          <cell r="C1287">
            <v>8</v>
          </cell>
          <cell r="D1287"/>
          <cell r="E1287"/>
          <cell r="F1287">
            <v>1</v>
          </cell>
          <cell r="G1287">
            <v>2</v>
          </cell>
          <cell r="H1287">
            <v>0.19400000000000001</v>
          </cell>
          <cell r="I1287">
            <v>3.3448275862068964E-2</v>
          </cell>
          <cell r="J1287">
            <v>5.8</v>
          </cell>
          <cell r="K1287">
            <v>2</v>
          </cell>
          <cell r="L1287">
            <v>5</v>
          </cell>
          <cell r="M1287">
            <v>10</v>
          </cell>
          <cell r="N1287">
            <v>20</v>
          </cell>
          <cell r="O1287">
            <v>30</v>
          </cell>
          <cell r="P1287">
            <v>60</v>
          </cell>
        </row>
        <row r="1288">
          <cell r="A1288" t="str">
            <v>L50x9</v>
          </cell>
          <cell r="B1288" t="str">
            <v>a=0.5 x t</v>
          </cell>
          <cell r="C1288">
            <v>9</v>
          </cell>
          <cell r="D1288"/>
          <cell r="E1288"/>
          <cell r="F1288">
            <v>1</v>
          </cell>
          <cell r="G1288">
            <v>2</v>
          </cell>
          <cell r="H1288">
            <v>0.19400000000000001</v>
          </cell>
          <cell r="I1288">
            <v>2.9846153846153849E-2</v>
          </cell>
          <cell r="J1288">
            <v>6.5</v>
          </cell>
          <cell r="K1288">
            <v>2</v>
          </cell>
          <cell r="L1288">
            <v>5</v>
          </cell>
          <cell r="M1288">
            <v>10</v>
          </cell>
          <cell r="N1288">
            <v>20</v>
          </cell>
          <cell r="O1288">
            <v>30</v>
          </cell>
          <cell r="P1288">
            <v>60</v>
          </cell>
        </row>
        <row r="1289">
          <cell r="A1289" t="str">
            <v>L55x4</v>
          </cell>
          <cell r="B1289" t="str">
            <v>a=0.5 x t</v>
          </cell>
          <cell r="C1289">
            <v>4</v>
          </cell>
          <cell r="D1289"/>
          <cell r="E1289"/>
          <cell r="F1289">
            <v>1</v>
          </cell>
          <cell r="G1289">
            <v>1</v>
          </cell>
          <cell r="H1289">
            <v>0.21299999999999999</v>
          </cell>
          <cell r="I1289">
            <v>6.2647058823529417E-2</v>
          </cell>
          <cell r="J1289">
            <v>3.4</v>
          </cell>
          <cell r="K1289">
            <v>2</v>
          </cell>
          <cell r="L1289">
            <v>5</v>
          </cell>
          <cell r="M1289">
            <v>10</v>
          </cell>
          <cell r="N1289">
            <v>20</v>
          </cell>
          <cell r="O1289">
            <v>30</v>
          </cell>
          <cell r="P1289">
            <v>60</v>
          </cell>
        </row>
        <row r="1290">
          <cell r="A1290" t="str">
            <v>L55x5</v>
          </cell>
          <cell r="B1290" t="str">
            <v>a=0.5 x t</v>
          </cell>
          <cell r="C1290">
            <v>5</v>
          </cell>
          <cell r="D1290"/>
          <cell r="E1290"/>
          <cell r="F1290">
            <v>1</v>
          </cell>
          <cell r="G1290">
            <v>1</v>
          </cell>
          <cell r="H1290">
            <v>0.21299999999999999</v>
          </cell>
          <cell r="I1290">
            <v>5.0714285714285712E-2</v>
          </cell>
          <cell r="J1290">
            <v>4.2</v>
          </cell>
          <cell r="K1290">
            <v>2</v>
          </cell>
          <cell r="L1290">
            <v>5</v>
          </cell>
          <cell r="M1290">
            <v>10</v>
          </cell>
          <cell r="N1290">
            <v>20</v>
          </cell>
          <cell r="O1290">
            <v>30</v>
          </cell>
          <cell r="P1290">
            <v>60</v>
          </cell>
        </row>
        <row r="1291">
          <cell r="A1291" t="str">
            <v>L55x6</v>
          </cell>
          <cell r="B1291" t="str">
            <v>a=0.5 x t</v>
          </cell>
          <cell r="C1291">
            <v>6</v>
          </cell>
          <cell r="D1291"/>
          <cell r="E1291"/>
          <cell r="F1291">
            <v>1</v>
          </cell>
          <cell r="G1291">
            <v>1</v>
          </cell>
          <cell r="H1291">
            <v>0.21299999999999999</v>
          </cell>
          <cell r="I1291">
            <v>4.2599999999999999E-2</v>
          </cell>
          <cell r="J1291">
            <v>5</v>
          </cell>
          <cell r="K1291">
            <v>2</v>
          </cell>
          <cell r="L1291">
            <v>5</v>
          </cell>
          <cell r="M1291">
            <v>10</v>
          </cell>
          <cell r="N1291">
            <v>20</v>
          </cell>
          <cell r="O1291">
            <v>30</v>
          </cell>
          <cell r="P1291">
            <v>60</v>
          </cell>
        </row>
        <row r="1292">
          <cell r="A1292" t="str">
            <v>L60x4</v>
          </cell>
          <cell r="B1292" t="str">
            <v>a=0.5 x t</v>
          </cell>
          <cell r="C1292">
            <v>4</v>
          </cell>
          <cell r="D1292"/>
          <cell r="E1292"/>
          <cell r="F1292">
            <v>1</v>
          </cell>
          <cell r="G1292">
            <v>1</v>
          </cell>
          <cell r="H1292">
            <v>0.23300000000000001</v>
          </cell>
          <cell r="I1292">
            <v>6.2972972972972968E-2</v>
          </cell>
          <cell r="J1292">
            <v>3.7</v>
          </cell>
          <cell r="K1292">
            <v>2</v>
          </cell>
          <cell r="L1292">
            <v>5</v>
          </cell>
          <cell r="M1292">
            <v>10</v>
          </cell>
          <cell r="N1292">
            <v>20</v>
          </cell>
          <cell r="O1292">
            <v>30</v>
          </cell>
          <cell r="P1292">
            <v>60</v>
          </cell>
        </row>
        <row r="1293">
          <cell r="A1293" t="str">
            <v>L60x5</v>
          </cell>
          <cell r="B1293" t="str">
            <v>a=0.5 x t</v>
          </cell>
          <cell r="C1293">
            <v>5</v>
          </cell>
          <cell r="D1293"/>
          <cell r="E1293"/>
          <cell r="F1293">
            <v>1</v>
          </cell>
          <cell r="G1293">
            <v>1</v>
          </cell>
          <cell r="H1293">
            <v>0.23300000000000001</v>
          </cell>
          <cell r="I1293">
            <v>5.0652173913043483E-2</v>
          </cell>
          <cell r="J1293">
            <v>4.5999999999999996</v>
          </cell>
          <cell r="K1293">
            <v>2</v>
          </cell>
          <cell r="L1293">
            <v>5</v>
          </cell>
          <cell r="M1293">
            <v>10</v>
          </cell>
          <cell r="N1293">
            <v>20</v>
          </cell>
          <cell r="O1293">
            <v>30</v>
          </cell>
          <cell r="P1293">
            <v>60</v>
          </cell>
        </row>
        <row r="1294">
          <cell r="A1294" t="str">
            <v>L60x6</v>
          </cell>
          <cell r="B1294" t="str">
            <v>a=0.5 x t</v>
          </cell>
          <cell r="C1294">
            <v>6</v>
          </cell>
          <cell r="D1294"/>
          <cell r="E1294"/>
          <cell r="F1294">
            <v>1</v>
          </cell>
          <cell r="G1294">
            <v>1</v>
          </cell>
          <cell r="H1294">
            <v>0.23300000000000001</v>
          </cell>
          <cell r="I1294">
            <v>4.3148148148148151E-2</v>
          </cell>
          <cell r="J1294">
            <v>5.4</v>
          </cell>
          <cell r="K1294">
            <v>2</v>
          </cell>
          <cell r="L1294">
            <v>5</v>
          </cell>
          <cell r="M1294">
            <v>10</v>
          </cell>
          <cell r="N1294">
            <v>20</v>
          </cell>
          <cell r="O1294">
            <v>30</v>
          </cell>
          <cell r="P1294">
            <v>60</v>
          </cell>
        </row>
        <row r="1295">
          <cell r="A1295" t="str">
            <v>L60x7</v>
          </cell>
          <cell r="B1295" t="str">
            <v>a=0.5 x t</v>
          </cell>
          <cell r="C1295">
            <v>7</v>
          </cell>
          <cell r="D1295"/>
          <cell r="E1295"/>
          <cell r="F1295">
            <v>1</v>
          </cell>
          <cell r="G1295">
            <v>2</v>
          </cell>
          <cell r="H1295">
            <v>0.23300000000000001</v>
          </cell>
          <cell r="I1295">
            <v>3.6984126984126987E-2</v>
          </cell>
          <cell r="J1295">
            <v>6.3</v>
          </cell>
          <cell r="K1295">
            <v>2</v>
          </cell>
          <cell r="L1295">
            <v>5</v>
          </cell>
          <cell r="M1295">
            <v>10</v>
          </cell>
          <cell r="N1295">
            <v>20</v>
          </cell>
          <cell r="O1295">
            <v>30</v>
          </cell>
          <cell r="P1295">
            <v>60</v>
          </cell>
        </row>
        <row r="1296">
          <cell r="A1296" t="str">
            <v>L60x8</v>
          </cell>
          <cell r="B1296" t="str">
            <v>a=0.5 x t</v>
          </cell>
          <cell r="C1296">
            <v>8</v>
          </cell>
          <cell r="D1296"/>
          <cell r="E1296"/>
          <cell r="F1296">
            <v>1</v>
          </cell>
          <cell r="G1296">
            <v>2</v>
          </cell>
          <cell r="H1296">
            <v>0.23300000000000001</v>
          </cell>
          <cell r="I1296">
            <v>3.2816901408450706E-2</v>
          </cell>
          <cell r="J1296">
            <v>7.1</v>
          </cell>
          <cell r="K1296">
            <v>2</v>
          </cell>
          <cell r="L1296">
            <v>5</v>
          </cell>
          <cell r="M1296">
            <v>10</v>
          </cell>
          <cell r="N1296">
            <v>20</v>
          </cell>
          <cell r="O1296">
            <v>30</v>
          </cell>
          <cell r="P1296">
            <v>60</v>
          </cell>
        </row>
        <row r="1297">
          <cell r="A1297" t="str">
            <v>L60x10</v>
          </cell>
          <cell r="B1297" t="str">
            <v>a=0.5 x t</v>
          </cell>
          <cell r="C1297">
            <v>10</v>
          </cell>
          <cell r="D1297"/>
          <cell r="E1297"/>
          <cell r="F1297">
            <v>1</v>
          </cell>
          <cell r="G1297">
            <v>2</v>
          </cell>
          <cell r="H1297">
            <v>0.23300000000000001</v>
          </cell>
          <cell r="I1297">
            <v>2.6781609195402303E-2</v>
          </cell>
          <cell r="J1297">
            <v>8.6999999999999993</v>
          </cell>
          <cell r="K1297">
            <v>2</v>
          </cell>
          <cell r="L1297">
            <v>5</v>
          </cell>
          <cell r="M1297">
            <v>10</v>
          </cell>
          <cell r="N1297">
            <v>20</v>
          </cell>
          <cell r="O1297">
            <v>30</v>
          </cell>
          <cell r="P1297">
            <v>60</v>
          </cell>
        </row>
        <row r="1298">
          <cell r="A1298" t="str">
            <v>L60x40x5</v>
          </cell>
          <cell r="B1298" t="str">
            <v>a=0.5 x t</v>
          </cell>
          <cell r="C1298">
            <v>5</v>
          </cell>
          <cell r="D1298"/>
          <cell r="E1298"/>
          <cell r="F1298">
            <v>1</v>
          </cell>
          <cell r="G1298">
            <v>1</v>
          </cell>
          <cell r="H1298">
            <v>0.2</v>
          </cell>
          <cell r="I1298">
            <v>5.2631578947368425E-2</v>
          </cell>
          <cell r="J1298">
            <v>3.8</v>
          </cell>
          <cell r="K1298">
            <v>2</v>
          </cell>
          <cell r="L1298">
            <v>5</v>
          </cell>
          <cell r="M1298">
            <v>10</v>
          </cell>
          <cell r="N1298">
            <v>20</v>
          </cell>
          <cell r="O1298">
            <v>30</v>
          </cell>
          <cell r="P1298">
            <v>60</v>
          </cell>
        </row>
        <row r="1299">
          <cell r="A1299" t="str">
            <v>L63x5</v>
          </cell>
          <cell r="B1299" t="str">
            <v>a=0.5 x t</v>
          </cell>
          <cell r="C1299">
            <v>5</v>
          </cell>
          <cell r="D1299"/>
          <cell r="E1299"/>
          <cell r="F1299">
            <v>1</v>
          </cell>
          <cell r="G1299">
            <v>1</v>
          </cell>
          <cell r="H1299">
            <v>0.24399999999999999</v>
          </cell>
          <cell r="I1299">
            <v>5.0833333333333335E-2</v>
          </cell>
          <cell r="J1299">
            <v>4.8</v>
          </cell>
          <cell r="K1299">
            <v>2</v>
          </cell>
          <cell r="L1299">
            <v>5</v>
          </cell>
          <cell r="M1299">
            <v>10</v>
          </cell>
          <cell r="N1299">
            <v>20</v>
          </cell>
          <cell r="O1299">
            <v>30</v>
          </cell>
          <cell r="P1299">
            <v>60</v>
          </cell>
        </row>
        <row r="1300">
          <cell r="A1300" t="str">
            <v>L63x6</v>
          </cell>
          <cell r="B1300" t="str">
            <v>a=0.5 x t</v>
          </cell>
          <cell r="C1300">
            <v>6</v>
          </cell>
          <cell r="D1300"/>
          <cell r="E1300"/>
          <cell r="F1300">
            <v>1</v>
          </cell>
          <cell r="G1300">
            <v>1</v>
          </cell>
          <cell r="H1300">
            <v>0.24399999999999999</v>
          </cell>
          <cell r="I1300">
            <v>4.2807017543859648E-2</v>
          </cell>
          <cell r="J1300">
            <v>5.7</v>
          </cell>
          <cell r="K1300">
            <v>2</v>
          </cell>
          <cell r="L1300">
            <v>5</v>
          </cell>
          <cell r="M1300">
            <v>10</v>
          </cell>
          <cell r="N1300">
            <v>20</v>
          </cell>
          <cell r="O1300">
            <v>30</v>
          </cell>
          <cell r="P1300">
            <v>60</v>
          </cell>
        </row>
        <row r="1301">
          <cell r="A1301" t="str">
            <v>L63x6.5</v>
          </cell>
          <cell r="B1301" t="str">
            <v>a=0.5 x t</v>
          </cell>
          <cell r="C1301">
            <v>6.5</v>
          </cell>
          <cell r="D1301"/>
          <cell r="E1301"/>
          <cell r="F1301">
            <v>1</v>
          </cell>
          <cell r="G1301">
            <v>1</v>
          </cell>
          <cell r="H1301">
            <v>0.24399999999999999</v>
          </cell>
          <cell r="I1301">
            <v>3.9354838709677417E-2</v>
          </cell>
          <cell r="J1301">
            <v>6.2</v>
          </cell>
          <cell r="K1301">
            <v>2</v>
          </cell>
          <cell r="L1301">
            <v>5</v>
          </cell>
          <cell r="M1301">
            <v>10</v>
          </cell>
          <cell r="N1301">
            <v>20</v>
          </cell>
          <cell r="O1301">
            <v>30</v>
          </cell>
          <cell r="P1301">
            <v>60</v>
          </cell>
        </row>
        <row r="1302">
          <cell r="A1302" t="str">
            <v>L65x4</v>
          </cell>
          <cell r="B1302" t="str">
            <v>a=0.5 x t</v>
          </cell>
          <cell r="C1302">
            <v>4</v>
          </cell>
          <cell r="D1302"/>
          <cell r="E1302"/>
          <cell r="F1302">
            <v>1</v>
          </cell>
          <cell r="G1302">
            <v>1</v>
          </cell>
          <cell r="H1302">
            <v>0.252</v>
          </cell>
          <cell r="I1302">
            <v>6.3E-2</v>
          </cell>
          <cell r="J1302">
            <v>4</v>
          </cell>
          <cell r="K1302">
            <v>2</v>
          </cell>
          <cell r="L1302">
            <v>5</v>
          </cell>
          <cell r="M1302">
            <v>10</v>
          </cell>
          <cell r="N1302">
            <v>20</v>
          </cell>
          <cell r="O1302">
            <v>30</v>
          </cell>
          <cell r="P1302">
            <v>60</v>
          </cell>
        </row>
        <row r="1303">
          <cell r="A1303" t="str">
            <v>L65x5</v>
          </cell>
          <cell r="B1303" t="str">
            <v>a=0.5 x t</v>
          </cell>
          <cell r="C1303">
            <v>5</v>
          </cell>
          <cell r="D1303"/>
          <cell r="E1303"/>
          <cell r="F1303">
            <v>1</v>
          </cell>
          <cell r="G1303">
            <v>1</v>
          </cell>
          <cell r="H1303">
            <v>0.252</v>
          </cell>
          <cell r="I1303">
            <v>5.04E-2</v>
          </cell>
          <cell r="J1303">
            <v>5</v>
          </cell>
          <cell r="K1303">
            <v>2</v>
          </cell>
          <cell r="L1303">
            <v>5</v>
          </cell>
          <cell r="M1303">
            <v>10</v>
          </cell>
          <cell r="N1303">
            <v>20</v>
          </cell>
          <cell r="O1303">
            <v>30</v>
          </cell>
          <cell r="P1303">
            <v>60</v>
          </cell>
        </row>
        <row r="1304">
          <cell r="A1304" t="str">
            <v>L65x6</v>
          </cell>
          <cell r="B1304" t="str">
            <v>a=0.5 x t</v>
          </cell>
          <cell r="C1304">
            <v>6</v>
          </cell>
          <cell r="D1304"/>
          <cell r="E1304"/>
          <cell r="F1304">
            <v>1</v>
          </cell>
          <cell r="G1304">
            <v>1</v>
          </cell>
          <cell r="H1304">
            <v>0.252</v>
          </cell>
          <cell r="I1304">
            <v>4.2711864406779661E-2</v>
          </cell>
          <cell r="J1304">
            <v>5.9</v>
          </cell>
          <cell r="K1304">
            <v>2</v>
          </cell>
          <cell r="L1304">
            <v>5</v>
          </cell>
          <cell r="M1304">
            <v>10</v>
          </cell>
          <cell r="N1304">
            <v>20</v>
          </cell>
          <cell r="O1304">
            <v>30</v>
          </cell>
          <cell r="P1304">
            <v>60</v>
          </cell>
        </row>
        <row r="1305">
          <cell r="A1305" t="str">
            <v>L65x7</v>
          </cell>
          <cell r="B1305" t="str">
            <v>a=0.5 x t</v>
          </cell>
          <cell r="C1305">
            <v>7</v>
          </cell>
          <cell r="D1305"/>
          <cell r="E1305"/>
          <cell r="F1305">
            <v>1</v>
          </cell>
          <cell r="G1305">
            <v>2</v>
          </cell>
          <cell r="H1305">
            <v>0.252</v>
          </cell>
          <cell r="I1305">
            <v>3.7058823529411769E-2</v>
          </cell>
          <cell r="J1305">
            <v>6.8</v>
          </cell>
          <cell r="K1305">
            <v>2</v>
          </cell>
          <cell r="L1305">
            <v>5</v>
          </cell>
          <cell r="M1305">
            <v>10</v>
          </cell>
          <cell r="N1305">
            <v>20</v>
          </cell>
          <cell r="O1305">
            <v>30</v>
          </cell>
          <cell r="P1305">
            <v>60</v>
          </cell>
        </row>
        <row r="1306">
          <cell r="A1306" t="str">
            <v>L65x8</v>
          </cell>
          <cell r="B1306" t="str">
            <v>a=0.5 x t</v>
          </cell>
          <cell r="C1306">
            <v>8</v>
          </cell>
          <cell r="D1306"/>
          <cell r="E1306"/>
          <cell r="F1306">
            <v>1</v>
          </cell>
          <cell r="G1306">
            <v>2</v>
          </cell>
          <cell r="H1306">
            <v>0.252</v>
          </cell>
          <cell r="I1306">
            <v>3.272727272727273E-2</v>
          </cell>
          <cell r="J1306">
            <v>7.7</v>
          </cell>
          <cell r="K1306">
            <v>2</v>
          </cell>
          <cell r="L1306">
            <v>5</v>
          </cell>
          <cell r="M1306">
            <v>10</v>
          </cell>
          <cell r="N1306">
            <v>20</v>
          </cell>
          <cell r="O1306">
            <v>30</v>
          </cell>
          <cell r="P1306">
            <v>60</v>
          </cell>
        </row>
        <row r="1307">
          <cell r="A1307" t="str">
            <v>L65x9</v>
          </cell>
          <cell r="B1307" t="str">
            <v>a=0.5 x t</v>
          </cell>
          <cell r="C1307">
            <v>9</v>
          </cell>
          <cell r="D1307"/>
          <cell r="E1307"/>
          <cell r="F1307">
            <v>1</v>
          </cell>
          <cell r="G1307">
            <v>2</v>
          </cell>
          <cell r="H1307">
            <v>0.252</v>
          </cell>
          <cell r="I1307">
            <v>2.9302325581395349E-2</v>
          </cell>
          <cell r="J1307">
            <v>8.6</v>
          </cell>
          <cell r="K1307">
            <v>2</v>
          </cell>
          <cell r="L1307">
            <v>5</v>
          </cell>
          <cell r="M1307">
            <v>10</v>
          </cell>
          <cell r="N1307">
            <v>20</v>
          </cell>
          <cell r="O1307">
            <v>30</v>
          </cell>
          <cell r="P1307">
            <v>60</v>
          </cell>
        </row>
        <row r="1308">
          <cell r="A1308" t="str">
            <v>L65x10</v>
          </cell>
          <cell r="B1308" t="str">
            <v>a=0.5 x t</v>
          </cell>
          <cell r="C1308">
            <v>10</v>
          </cell>
          <cell r="D1308"/>
          <cell r="E1308"/>
          <cell r="F1308">
            <v>1</v>
          </cell>
          <cell r="G1308">
            <v>2</v>
          </cell>
          <cell r="H1308">
            <v>0.252</v>
          </cell>
          <cell r="I1308">
            <v>2.6526315789473686E-2</v>
          </cell>
          <cell r="J1308">
            <v>9.5</v>
          </cell>
          <cell r="K1308">
            <v>2</v>
          </cell>
          <cell r="L1308">
            <v>5</v>
          </cell>
          <cell r="M1308">
            <v>10</v>
          </cell>
          <cell r="N1308">
            <v>20</v>
          </cell>
          <cell r="O1308">
            <v>30</v>
          </cell>
          <cell r="P1308">
            <v>60</v>
          </cell>
        </row>
        <row r="1309">
          <cell r="A1309" t="str">
            <v>L65x11</v>
          </cell>
          <cell r="B1309" t="str">
            <v>a=0.5 x t</v>
          </cell>
          <cell r="C1309">
            <v>11</v>
          </cell>
          <cell r="D1309"/>
          <cell r="E1309"/>
          <cell r="F1309">
            <v>1</v>
          </cell>
          <cell r="G1309">
            <v>2</v>
          </cell>
          <cell r="H1309">
            <v>0.252</v>
          </cell>
          <cell r="I1309">
            <v>2.4230769230769229E-2</v>
          </cell>
          <cell r="J1309">
            <v>10.4</v>
          </cell>
          <cell r="K1309">
            <v>2</v>
          </cell>
          <cell r="L1309">
            <v>5</v>
          </cell>
          <cell r="M1309">
            <v>10</v>
          </cell>
          <cell r="N1309">
            <v>20</v>
          </cell>
          <cell r="O1309">
            <v>30</v>
          </cell>
          <cell r="P1309">
            <v>60</v>
          </cell>
        </row>
        <row r="1310">
          <cell r="A1310" t="str">
            <v>L70x5</v>
          </cell>
          <cell r="B1310" t="str">
            <v>a=0.5 x t</v>
          </cell>
          <cell r="C1310">
            <v>5</v>
          </cell>
          <cell r="D1310"/>
          <cell r="E1310"/>
          <cell r="F1310">
            <v>1</v>
          </cell>
          <cell r="G1310">
            <v>1</v>
          </cell>
          <cell r="H1310">
            <v>0.27200000000000002</v>
          </cell>
          <cell r="I1310">
            <v>5.0370370370370371E-2</v>
          </cell>
          <cell r="J1310">
            <v>5.4</v>
          </cell>
          <cell r="K1310">
            <v>2</v>
          </cell>
          <cell r="L1310">
            <v>5</v>
          </cell>
          <cell r="M1310">
            <v>10</v>
          </cell>
          <cell r="N1310">
            <v>20</v>
          </cell>
          <cell r="O1310">
            <v>30</v>
          </cell>
          <cell r="P1310">
            <v>60</v>
          </cell>
        </row>
        <row r="1311">
          <cell r="A1311" t="str">
            <v>L70x6</v>
          </cell>
          <cell r="B1311" t="str">
            <v>a=0.5 x t</v>
          </cell>
          <cell r="C1311">
            <v>6</v>
          </cell>
          <cell r="D1311"/>
          <cell r="E1311"/>
          <cell r="F1311">
            <v>1</v>
          </cell>
          <cell r="G1311">
            <v>1</v>
          </cell>
          <cell r="H1311">
            <v>0.27200000000000002</v>
          </cell>
          <cell r="I1311">
            <v>4.2500000000000003E-2</v>
          </cell>
          <cell r="J1311">
            <v>6.4</v>
          </cell>
          <cell r="K1311">
            <v>2</v>
          </cell>
          <cell r="L1311">
            <v>5</v>
          </cell>
          <cell r="M1311">
            <v>10</v>
          </cell>
          <cell r="N1311">
            <v>20</v>
          </cell>
          <cell r="O1311">
            <v>30</v>
          </cell>
          <cell r="P1311">
            <v>60</v>
          </cell>
        </row>
        <row r="1312">
          <cell r="A1312" t="str">
            <v>L70x7</v>
          </cell>
          <cell r="B1312" t="str">
            <v>a=0.5 x t</v>
          </cell>
          <cell r="C1312">
            <v>7</v>
          </cell>
          <cell r="D1312"/>
          <cell r="E1312"/>
          <cell r="F1312">
            <v>1</v>
          </cell>
          <cell r="G1312">
            <v>2</v>
          </cell>
          <cell r="H1312">
            <v>0.27200000000000002</v>
          </cell>
          <cell r="I1312">
            <v>3.6756756756756756E-2</v>
          </cell>
          <cell r="J1312">
            <v>7.4</v>
          </cell>
          <cell r="K1312">
            <v>2</v>
          </cell>
          <cell r="L1312">
            <v>5</v>
          </cell>
          <cell r="M1312">
            <v>10</v>
          </cell>
          <cell r="N1312">
            <v>20</v>
          </cell>
          <cell r="O1312">
            <v>30</v>
          </cell>
          <cell r="P1312">
            <v>60</v>
          </cell>
        </row>
        <row r="1313">
          <cell r="A1313" t="str">
            <v>L70x8</v>
          </cell>
          <cell r="B1313" t="str">
            <v>a=0.5 x t</v>
          </cell>
          <cell r="C1313">
            <v>8</v>
          </cell>
          <cell r="D1313"/>
          <cell r="E1313"/>
          <cell r="F1313">
            <v>1</v>
          </cell>
          <cell r="G1313">
            <v>2</v>
          </cell>
          <cell r="H1313">
            <v>0.27200000000000002</v>
          </cell>
          <cell r="I1313">
            <v>3.2380952380952385E-2</v>
          </cell>
          <cell r="J1313">
            <v>8.4</v>
          </cell>
          <cell r="K1313">
            <v>2</v>
          </cell>
          <cell r="L1313">
            <v>5</v>
          </cell>
          <cell r="M1313">
            <v>10</v>
          </cell>
          <cell r="N1313">
            <v>20</v>
          </cell>
          <cell r="O1313">
            <v>30</v>
          </cell>
          <cell r="P1313">
            <v>60</v>
          </cell>
        </row>
        <row r="1314">
          <cell r="A1314" t="str">
            <v>L70x9</v>
          </cell>
          <cell r="B1314" t="str">
            <v>a=0.5 x t</v>
          </cell>
          <cell r="C1314">
            <v>9</v>
          </cell>
          <cell r="D1314"/>
          <cell r="E1314"/>
          <cell r="F1314">
            <v>1</v>
          </cell>
          <cell r="G1314">
            <v>2</v>
          </cell>
          <cell r="H1314">
            <v>0.27200000000000002</v>
          </cell>
          <cell r="I1314">
            <v>2.9247311827956989E-2</v>
          </cell>
          <cell r="J1314">
            <v>9.3000000000000007</v>
          </cell>
          <cell r="K1314">
            <v>2</v>
          </cell>
          <cell r="L1314">
            <v>5</v>
          </cell>
          <cell r="M1314">
            <v>10</v>
          </cell>
          <cell r="N1314">
            <v>20</v>
          </cell>
          <cell r="O1314">
            <v>30</v>
          </cell>
          <cell r="P1314">
            <v>60</v>
          </cell>
        </row>
        <row r="1315">
          <cell r="A1315" t="str">
            <v>L70x10</v>
          </cell>
          <cell r="B1315" t="str">
            <v>a=0.5 x t</v>
          </cell>
          <cell r="C1315">
            <v>10</v>
          </cell>
          <cell r="D1315"/>
          <cell r="E1315"/>
          <cell r="F1315">
            <v>1</v>
          </cell>
          <cell r="G1315">
            <v>2</v>
          </cell>
          <cell r="H1315">
            <v>0.27200000000000002</v>
          </cell>
          <cell r="I1315">
            <v>2.6407766990291261E-2</v>
          </cell>
          <cell r="J1315">
            <v>10.3</v>
          </cell>
          <cell r="K1315">
            <v>2</v>
          </cell>
          <cell r="L1315">
            <v>5</v>
          </cell>
          <cell r="M1315">
            <v>10</v>
          </cell>
          <cell r="N1315">
            <v>20</v>
          </cell>
          <cell r="O1315">
            <v>30</v>
          </cell>
          <cell r="P1315">
            <v>60</v>
          </cell>
        </row>
        <row r="1316">
          <cell r="A1316" t="str">
            <v>L75x4</v>
          </cell>
          <cell r="B1316" t="str">
            <v>a=0.5 x t</v>
          </cell>
          <cell r="C1316">
            <v>4</v>
          </cell>
          <cell r="D1316"/>
          <cell r="E1316"/>
          <cell r="F1316">
            <v>1</v>
          </cell>
          <cell r="G1316">
            <v>1</v>
          </cell>
          <cell r="H1316">
            <v>0.29199999999999998</v>
          </cell>
          <cell r="I1316">
            <v>6.2127659574468079E-2</v>
          </cell>
          <cell r="J1316">
            <v>4.7</v>
          </cell>
          <cell r="K1316">
            <v>2</v>
          </cell>
          <cell r="L1316">
            <v>5</v>
          </cell>
          <cell r="M1316">
            <v>10</v>
          </cell>
          <cell r="N1316">
            <v>20</v>
          </cell>
          <cell r="O1316">
            <v>30</v>
          </cell>
          <cell r="P1316">
            <v>60</v>
          </cell>
        </row>
        <row r="1317">
          <cell r="A1317" t="str">
            <v>L75x5</v>
          </cell>
          <cell r="B1317" t="str">
            <v>a=0.5 x t</v>
          </cell>
          <cell r="C1317">
            <v>5</v>
          </cell>
          <cell r="D1317"/>
          <cell r="E1317"/>
          <cell r="F1317">
            <v>1</v>
          </cell>
          <cell r="G1317">
            <v>1</v>
          </cell>
          <cell r="H1317">
            <v>0.29199999999999998</v>
          </cell>
          <cell r="I1317">
            <v>5.0344827586206897E-2</v>
          </cell>
          <cell r="J1317">
            <v>5.8</v>
          </cell>
          <cell r="K1317">
            <v>2</v>
          </cell>
          <cell r="L1317">
            <v>5</v>
          </cell>
          <cell r="M1317">
            <v>10</v>
          </cell>
          <cell r="N1317">
            <v>20</v>
          </cell>
          <cell r="O1317">
            <v>30</v>
          </cell>
          <cell r="P1317">
            <v>60</v>
          </cell>
        </row>
        <row r="1318">
          <cell r="A1318" t="str">
            <v>L75x6</v>
          </cell>
          <cell r="B1318" t="str">
            <v>a=0.5 x t</v>
          </cell>
          <cell r="C1318">
            <v>6</v>
          </cell>
          <cell r="D1318"/>
          <cell r="E1318"/>
          <cell r="F1318">
            <v>1</v>
          </cell>
          <cell r="G1318">
            <v>1</v>
          </cell>
          <cell r="H1318">
            <v>0.29199999999999998</v>
          </cell>
          <cell r="I1318">
            <v>4.2318840579710137E-2</v>
          </cell>
          <cell r="J1318">
            <v>6.9</v>
          </cell>
          <cell r="K1318">
            <v>2</v>
          </cell>
          <cell r="L1318">
            <v>5</v>
          </cell>
          <cell r="M1318">
            <v>10</v>
          </cell>
          <cell r="N1318">
            <v>20</v>
          </cell>
          <cell r="O1318">
            <v>30</v>
          </cell>
          <cell r="P1318">
            <v>60</v>
          </cell>
        </row>
        <row r="1319">
          <cell r="A1319" t="str">
            <v>L75x7</v>
          </cell>
          <cell r="B1319" t="str">
            <v>a=0.5 x t</v>
          </cell>
          <cell r="C1319">
            <v>7</v>
          </cell>
          <cell r="D1319"/>
          <cell r="E1319"/>
          <cell r="F1319">
            <v>1</v>
          </cell>
          <cell r="G1319">
            <v>2</v>
          </cell>
          <cell r="H1319">
            <v>0.29199999999999998</v>
          </cell>
          <cell r="I1319">
            <v>3.6962025316455691E-2</v>
          </cell>
          <cell r="J1319">
            <v>7.9</v>
          </cell>
          <cell r="K1319">
            <v>2</v>
          </cell>
          <cell r="L1319">
            <v>5</v>
          </cell>
          <cell r="M1319">
            <v>10</v>
          </cell>
          <cell r="N1319">
            <v>20</v>
          </cell>
          <cell r="O1319">
            <v>30</v>
          </cell>
          <cell r="P1319">
            <v>60</v>
          </cell>
        </row>
        <row r="1320">
          <cell r="A1320" t="str">
            <v>L75x8</v>
          </cell>
          <cell r="B1320" t="str">
            <v>a=0.5 x t</v>
          </cell>
          <cell r="C1320">
            <v>8</v>
          </cell>
          <cell r="D1320"/>
          <cell r="E1320"/>
          <cell r="F1320">
            <v>1</v>
          </cell>
          <cell r="G1320">
            <v>2</v>
          </cell>
          <cell r="H1320">
            <v>0.29199999999999998</v>
          </cell>
          <cell r="I1320">
            <v>3.2808988764044943E-2</v>
          </cell>
          <cell r="J1320">
            <v>8.9</v>
          </cell>
          <cell r="K1320">
            <v>2</v>
          </cell>
          <cell r="L1320">
            <v>5</v>
          </cell>
          <cell r="M1320">
            <v>10</v>
          </cell>
          <cell r="N1320">
            <v>20</v>
          </cell>
          <cell r="O1320">
            <v>30</v>
          </cell>
          <cell r="P1320">
            <v>60</v>
          </cell>
        </row>
        <row r="1321">
          <cell r="A1321" t="str">
            <v>L75x9</v>
          </cell>
          <cell r="B1321" t="str">
            <v>a=0.5 x t</v>
          </cell>
          <cell r="C1321">
            <v>9</v>
          </cell>
          <cell r="D1321"/>
          <cell r="E1321"/>
          <cell r="F1321">
            <v>1</v>
          </cell>
          <cell r="G1321">
            <v>2</v>
          </cell>
          <cell r="H1321">
            <v>0.29199999999999998</v>
          </cell>
          <cell r="I1321">
            <v>2.9199999999999997E-2</v>
          </cell>
          <cell r="J1321">
            <v>10</v>
          </cell>
          <cell r="K1321">
            <v>2</v>
          </cell>
          <cell r="L1321">
            <v>5</v>
          </cell>
          <cell r="M1321">
            <v>10</v>
          </cell>
          <cell r="N1321">
            <v>20</v>
          </cell>
          <cell r="O1321">
            <v>30</v>
          </cell>
          <cell r="P1321">
            <v>60</v>
          </cell>
        </row>
        <row r="1322">
          <cell r="A1322" t="str">
            <v>L75x10</v>
          </cell>
          <cell r="B1322" t="str">
            <v>a=0.5 x t</v>
          </cell>
          <cell r="C1322">
            <v>10</v>
          </cell>
          <cell r="D1322"/>
          <cell r="E1322"/>
          <cell r="F1322">
            <v>1</v>
          </cell>
          <cell r="G1322">
            <v>2</v>
          </cell>
          <cell r="H1322">
            <v>0.29199999999999998</v>
          </cell>
          <cell r="I1322">
            <v>2.6306306306306305E-2</v>
          </cell>
          <cell r="J1322">
            <v>11.1</v>
          </cell>
          <cell r="K1322">
            <v>2</v>
          </cell>
          <cell r="L1322">
            <v>5</v>
          </cell>
          <cell r="M1322">
            <v>10</v>
          </cell>
          <cell r="N1322">
            <v>20</v>
          </cell>
          <cell r="O1322">
            <v>30</v>
          </cell>
          <cell r="P1322">
            <v>60</v>
          </cell>
        </row>
        <row r="1323">
          <cell r="A1323" t="str">
            <v>L80x5</v>
          </cell>
          <cell r="B1323" t="str">
            <v>a=0.5 x t</v>
          </cell>
          <cell r="C1323">
            <v>5</v>
          </cell>
          <cell r="D1323"/>
          <cell r="E1323"/>
          <cell r="F1323">
            <v>1</v>
          </cell>
          <cell r="G1323">
            <v>2</v>
          </cell>
          <cell r="H1323">
            <v>0.311</v>
          </cell>
          <cell r="I1323">
            <v>5.0161290322580647E-2</v>
          </cell>
          <cell r="J1323">
            <v>6.2</v>
          </cell>
          <cell r="K1323">
            <v>2</v>
          </cell>
          <cell r="L1323">
            <v>5</v>
          </cell>
          <cell r="M1323">
            <v>10</v>
          </cell>
          <cell r="N1323">
            <v>20</v>
          </cell>
          <cell r="O1323">
            <v>30</v>
          </cell>
          <cell r="P1323">
            <v>60</v>
          </cell>
        </row>
        <row r="1324">
          <cell r="A1324" t="str">
            <v>L80x6</v>
          </cell>
          <cell r="B1324" t="str">
            <v>a=0.5 x t</v>
          </cell>
          <cell r="C1324">
            <v>6</v>
          </cell>
          <cell r="D1324"/>
          <cell r="E1324"/>
          <cell r="F1324">
            <v>1</v>
          </cell>
          <cell r="G1324">
            <v>2</v>
          </cell>
          <cell r="H1324">
            <v>0.311</v>
          </cell>
          <cell r="I1324">
            <v>4.2602739726027399E-2</v>
          </cell>
          <cell r="J1324">
            <v>7.3</v>
          </cell>
          <cell r="K1324">
            <v>2</v>
          </cell>
          <cell r="L1324">
            <v>5</v>
          </cell>
          <cell r="M1324">
            <v>10</v>
          </cell>
          <cell r="N1324">
            <v>20</v>
          </cell>
          <cell r="O1324">
            <v>30</v>
          </cell>
          <cell r="P1324">
            <v>60</v>
          </cell>
        </row>
        <row r="1325">
          <cell r="A1325" t="str">
            <v>L80x7</v>
          </cell>
          <cell r="B1325" t="str">
            <v>a=0.5 x t</v>
          </cell>
          <cell r="C1325">
            <v>7</v>
          </cell>
          <cell r="D1325"/>
          <cell r="E1325"/>
          <cell r="F1325">
            <v>1</v>
          </cell>
          <cell r="G1325">
            <v>2</v>
          </cell>
          <cell r="H1325">
            <v>0.311</v>
          </cell>
          <cell r="I1325">
            <v>3.6588235294117644E-2</v>
          </cell>
          <cell r="J1325">
            <v>8.5</v>
          </cell>
          <cell r="K1325">
            <v>2</v>
          </cell>
          <cell r="L1325">
            <v>5</v>
          </cell>
          <cell r="M1325">
            <v>10</v>
          </cell>
          <cell r="N1325">
            <v>20</v>
          </cell>
          <cell r="O1325">
            <v>30</v>
          </cell>
          <cell r="P1325">
            <v>60</v>
          </cell>
        </row>
        <row r="1326">
          <cell r="A1326" t="str">
            <v>L80x8</v>
          </cell>
          <cell r="B1326" t="str">
            <v>a=0.5 x t</v>
          </cell>
          <cell r="C1326">
            <v>8</v>
          </cell>
          <cell r="D1326"/>
          <cell r="E1326"/>
          <cell r="F1326">
            <v>1</v>
          </cell>
          <cell r="G1326">
            <v>2</v>
          </cell>
          <cell r="H1326">
            <v>0.311</v>
          </cell>
          <cell r="I1326">
            <v>3.2061855670103098E-2</v>
          </cell>
          <cell r="J1326">
            <v>9.6999999999999993</v>
          </cell>
          <cell r="K1326">
            <v>2</v>
          </cell>
          <cell r="L1326">
            <v>5</v>
          </cell>
          <cell r="M1326">
            <v>10</v>
          </cell>
          <cell r="N1326">
            <v>20</v>
          </cell>
          <cell r="O1326">
            <v>30</v>
          </cell>
          <cell r="P1326">
            <v>60</v>
          </cell>
        </row>
        <row r="1327">
          <cell r="A1327" t="str">
            <v>L80x9</v>
          </cell>
          <cell r="B1327" t="str">
            <v>a=0.5 x t</v>
          </cell>
          <cell r="C1327">
            <v>9</v>
          </cell>
          <cell r="D1327"/>
          <cell r="E1327"/>
          <cell r="F1327">
            <v>1</v>
          </cell>
          <cell r="G1327">
            <v>2</v>
          </cell>
          <cell r="H1327">
            <v>0.311</v>
          </cell>
          <cell r="I1327">
            <v>2.8796296296296296E-2</v>
          </cell>
          <cell r="J1327">
            <v>10.8</v>
          </cell>
          <cell r="K1327">
            <v>2</v>
          </cell>
          <cell r="L1327">
            <v>5</v>
          </cell>
          <cell r="M1327">
            <v>10</v>
          </cell>
          <cell r="N1327">
            <v>20</v>
          </cell>
          <cell r="O1327">
            <v>30</v>
          </cell>
          <cell r="P1327">
            <v>60</v>
          </cell>
        </row>
        <row r="1328">
          <cell r="A1328" t="str">
            <v>L80x10</v>
          </cell>
          <cell r="B1328" t="str">
            <v>a=0.5 x t</v>
          </cell>
          <cell r="C1328">
            <v>10</v>
          </cell>
          <cell r="D1328"/>
          <cell r="E1328"/>
          <cell r="F1328">
            <v>1</v>
          </cell>
          <cell r="G1328">
            <v>2</v>
          </cell>
          <cell r="H1328">
            <v>0.311</v>
          </cell>
          <cell r="I1328">
            <v>2.6134453781512603E-2</v>
          </cell>
          <cell r="J1328">
            <v>11.9</v>
          </cell>
          <cell r="K1328">
            <v>2</v>
          </cell>
          <cell r="L1328">
            <v>5</v>
          </cell>
          <cell r="M1328">
            <v>10</v>
          </cell>
          <cell r="N1328">
            <v>20</v>
          </cell>
          <cell r="O1328">
            <v>30</v>
          </cell>
          <cell r="P1328">
            <v>60</v>
          </cell>
        </row>
        <row r="1329">
          <cell r="A1329" t="str">
            <v>L90x5</v>
          </cell>
          <cell r="B1329" t="str">
            <v>a=0.5 x t</v>
          </cell>
          <cell r="C1329">
            <v>5</v>
          </cell>
          <cell r="D1329"/>
          <cell r="E1329"/>
          <cell r="F1329">
            <v>1</v>
          </cell>
          <cell r="G1329">
            <v>1</v>
          </cell>
          <cell r="H1329">
            <v>0.35099999999999998</v>
          </cell>
          <cell r="I1329">
            <v>5.0142857142857142E-2</v>
          </cell>
          <cell r="J1329">
            <v>7</v>
          </cell>
          <cell r="K1329">
            <v>2</v>
          </cell>
          <cell r="L1329">
            <v>5</v>
          </cell>
          <cell r="M1329">
            <v>10</v>
          </cell>
          <cell r="N1329">
            <v>20</v>
          </cell>
          <cell r="O1329">
            <v>30</v>
          </cell>
          <cell r="P1329">
            <v>60</v>
          </cell>
        </row>
        <row r="1330">
          <cell r="A1330" t="str">
            <v>L90x6</v>
          </cell>
          <cell r="B1330" t="str">
            <v>a=0.5 x t</v>
          </cell>
          <cell r="C1330">
            <v>6</v>
          </cell>
          <cell r="D1330"/>
          <cell r="E1330"/>
          <cell r="F1330">
            <v>1</v>
          </cell>
          <cell r="G1330">
            <v>1</v>
          </cell>
          <cell r="H1330">
            <v>0.35099999999999998</v>
          </cell>
          <cell r="I1330">
            <v>4.2289156626506015E-2</v>
          </cell>
          <cell r="J1330">
            <v>8.3000000000000007</v>
          </cell>
          <cell r="K1330">
            <v>2</v>
          </cell>
          <cell r="L1330">
            <v>5</v>
          </cell>
          <cell r="M1330">
            <v>10</v>
          </cell>
          <cell r="N1330">
            <v>20</v>
          </cell>
          <cell r="O1330">
            <v>30</v>
          </cell>
          <cell r="P1330">
            <v>60</v>
          </cell>
        </row>
        <row r="1331">
          <cell r="A1331" t="str">
            <v>L90x7</v>
          </cell>
          <cell r="B1331" t="str">
            <v>a=0.5 x t</v>
          </cell>
          <cell r="C1331">
            <v>7</v>
          </cell>
          <cell r="D1331"/>
          <cell r="E1331"/>
          <cell r="F1331">
            <v>1</v>
          </cell>
          <cell r="G1331">
            <v>2</v>
          </cell>
          <cell r="H1331">
            <v>0.35099999999999998</v>
          </cell>
          <cell r="I1331">
            <v>3.6562499999999998E-2</v>
          </cell>
          <cell r="J1331">
            <v>9.6</v>
          </cell>
          <cell r="K1331">
            <v>2</v>
          </cell>
          <cell r="L1331">
            <v>5</v>
          </cell>
          <cell r="M1331">
            <v>10</v>
          </cell>
          <cell r="N1331">
            <v>20</v>
          </cell>
          <cell r="O1331">
            <v>30</v>
          </cell>
          <cell r="P1331">
            <v>60</v>
          </cell>
        </row>
        <row r="1332">
          <cell r="A1332" t="str">
            <v>L90x8</v>
          </cell>
          <cell r="B1332" t="str">
            <v>a=0.5 x t</v>
          </cell>
          <cell r="C1332">
            <v>8</v>
          </cell>
          <cell r="D1332"/>
          <cell r="E1332"/>
          <cell r="F1332">
            <v>1</v>
          </cell>
          <cell r="G1332">
            <v>2</v>
          </cell>
          <cell r="H1332">
            <v>0.35099999999999998</v>
          </cell>
          <cell r="I1332">
            <v>3.2201834862385322E-2</v>
          </cell>
          <cell r="J1332">
            <v>10.9</v>
          </cell>
          <cell r="K1332">
            <v>2</v>
          </cell>
          <cell r="L1332">
            <v>5</v>
          </cell>
          <cell r="M1332">
            <v>10</v>
          </cell>
          <cell r="N1332">
            <v>20</v>
          </cell>
          <cell r="O1332">
            <v>30</v>
          </cell>
          <cell r="P1332">
            <v>60</v>
          </cell>
        </row>
        <row r="1333">
          <cell r="A1333" t="str">
            <v>L90x9</v>
          </cell>
          <cell r="B1333" t="str">
            <v>a=0.5 x t</v>
          </cell>
          <cell r="C1333">
            <v>9</v>
          </cell>
          <cell r="D1333"/>
          <cell r="E1333"/>
          <cell r="F1333">
            <v>1</v>
          </cell>
          <cell r="G1333">
            <v>2</v>
          </cell>
          <cell r="H1333">
            <v>0.35099999999999998</v>
          </cell>
          <cell r="I1333">
            <v>2.8770491803278689E-2</v>
          </cell>
          <cell r="J1333">
            <v>12.2</v>
          </cell>
          <cell r="K1333">
            <v>2</v>
          </cell>
          <cell r="L1333">
            <v>5</v>
          </cell>
          <cell r="M1333">
            <v>10</v>
          </cell>
          <cell r="N1333">
            <v>20</v>
          </cell>
          <cell r="O1333">
            <v>30</v>
          </cell>
          <cell r="P1333">
            <v>60</v>
          </cell>
        </row>
        <row r="1334">
          <cell r="A1334" t="str">
            <v>L90x10</v>
          </cell>
          <cell r="B1334" t="str">
            <v>a=0.5 x t</v>
          </cell>
          <cell r="C1334">
            <v>10</v>
          </cell>
          <cell r="D1334"/>
          <cell r="E1334"/>
          <cell r="F1334">
            <v>1</v>
          </cell>
          <cell r="G1334">
            <v>2</v>
          </cell>
          <cell r="H1334">
            <v>0.35099999999999998</v>
          </cell>
          <cell r="I1334">
            <v>2.6194029850746266E-2</v>
          </cell>
          <cell r="J1334">
            <v>13.4</v>
          </cell>
          <cell r="K1334">
            <v>2</v>
          </cell>
          <cell r="L1334">
            <v>5</v>
          </cell>
          <cell r="M1334">
            <v>10</v>
          </cell>
          <cell r="N1334">
            <v>20</v>
          </cell>
          <cell r="O1334">
            <v>30</v>
          </cell>
          <cell r="P1334">
            <v>60</v>
          </cell>
        </row>
        <row r="1335">
          <cell r="A1335" t="str">
            <v>L90x11</v>
          </cell>
          <cell r="B1335" t="str">
            <v>a=0.5 x t</v>
          </cell>
          <cell r="C1335">
            <v>11</v>
          </cell>
          <cell r="D1335"/>
          <cell r="E1335"/>
          <cell r="F1335">
            <v>1</v>
          </cell>
          <cell r="G1335">
            <v>2</v>
          </cell>
          <cell r="H1335">
            <v>0.35099999999999998</v>
          </cell>
          <cell r="I1335">
            <v>2.3877551020408162E-2</v>
          </cell>
          <cell r="J1335">
            <v>14.7</v>
          </cell>
          <cell r="K1335">
            <v>2</v>
          </cell>
          <cell r="L1335">
            <v>5</v>
          </cell>
          <cell r="M1335">
            <v>10</v>
          </cell>
          <cell r="N1335">
            <v>20</v>
          </cell>
          <cell r="O1335">
            <v>30</v>
          </cell>
          <cell r="P1335">
            <v>60</v>
          </cell>
        </row>
        <row r="1336">
          <cell r="A1336" t="str">
            <v>L90x16</v>
          </cell>
          <cell r="B1336" t="str">
            <v>a=0.5 x t</v>
          </cell>
          <cell r="C1336">
            <v>16</v>
          </cell>
          <cell r="D1336"/>
          <cell r="E1336" t="str">
            <v>Jah</v>
          </cell>
          <cell r="F1336">
            <v>2</v>
          </cell>
          <cell r="G1336">
            <v>2</v>
          </cell>
          <cell r="H1336">
            <v>0.35099999999999998</v>
          </cell>
          <cell r="I1336">
            <v>1.6956521739130433E-2</v>
          </cell>
          <cell r="J1336">
            <v>20.7</v>
          </cell>
          <cell r="K1336">
            <v>5</v>
          </cell>
          <cell r="L1336">
            <v>10</v>
          </cell>
          <cell r="M1336">
            <v>20</v>
          </cell>
          <cell r="N1336">
            <v>30</v>
          </cell>
          <cell r="O1336">
            <v>60</v>
          </cell>
          <cell r="P1336">
            <v>90</v>
          </cell>
        </row>
        <row r="1337">
          <cell r="A1337" t="str">
            <v>L100x6</v>
          </cell>
          <cell r="B1337" t="str">
            <v>a=0.5 x t</v>
          </cell>
          <cell r="C1337">
            <v>6</v>
          </cell>
          <cell r="D1337"/>
          <cell r="E1337"/>
          <cell r="F1337">
            <v>1</v>
          </cell>
          <cell r="G1337">
            <v>1</v>
          </cell>
          <cell r="H1337">
            <v>0.39</v>
          </cell>
          <cell r="I1337">
            <v>4.1935483870967738E-2</v>
          </cell>
          <cell r="J1337">
            <v>9.3000000000000007</v>
          </cell>
          <cell r="K1337">
            <v>2</v>
          </cell>
          <cell r="L1337">
            <v>5</v>
          </cell>
          <cell r="M1337">
            <v>10</v>
          </cell>
          <cell r="N1337">
            <v>20</v>
          </cell>
          <cell r="O1337">
            <v>30</v>
          </cell>
          <cell r="P1337">
            <v>60</v>
          </cell>
        </row>
        <row r="1338">
          <cell r="A1338" t="str">
            <v>L100x7</v>
          </cell>
          <cell r="B1338" t="str">
            <v>a=0.5 x t</v>
          </cell>
          <cell r="C1338">
            <v>7</v>
          </cell>
          <cell r="D1338"/>
          <cell r="E1338"/>
          <cell r="F1338">
            <v>1</v>
          </cell>
          <cell r="G1338">
            <v>2</v>
          </cell>
          <cell r="H1338">
            <v>0.39</v>
          </cell>
          <cell r="I1338">
            <v>3.6111111111111108E-2</v>
          </cell>
          <cell r="J1338">
            <v>10.8</v>
          </cell>
          <cell r="K1338">
            <v>2</v>
          </cell>
          <cell r="L1338">
            <v>5</v>
          </cell>
          <cell r="M1338">
            <v>10</v>
          </cell>
          <cell r="N1338">
            <v>20</v>
          </cell>
          <cell r="O1338">
            <v>30</v>
          </cell>
          <cell r="P1338">
            <v>60</v>
          </cell>
        </row>
        <row r="1339">
          <cell r="A1339" t="str">
            <v>L100x8</v>
          </cell>
          <cell r="B1339" t="str">
            <v>a=0.5 x t</v>
          </cell>
          <cell r="C1339">
            <v>8</v>
          </cell>
          <cell r="D1339"/>
          <cell r="E1339"/>
          <cell r="F1339">
            <v>1</v>
          </cell>
          <cell r="G1339">
            <v>2</v>
          </cell>
          <cell r="H1339">
            <v>0.39</v>
          </cell>
          <cell r="I1339">
            <v>3.1967213114754103E-2</v>
          </cell>
          <cell r="J1339">
            <v>12.2</v>
          </cell>
          <cell r="K1339">
            <v>2</v>
          </cell>
          <cell r="L1339">
            <v>5</v>
          </cell>
          <cell r="M1339">
            <v>10</v>
          </cell>
          <cell r="N1339">
            <v>20</v>
          </cell>
          <cell r="O1339">
            <v>30</v>
          </cell>
          <cell r="P1339">
            <v>60</v>
          </cell>
        </row>
        <row r="1340">
          <cell r="A1340" t="str">
            <v>L100x9</v>
          </cell>
          <cell r="B1340" t="str">
            <v>a=0.5 x t</v>
          </cell>
          <cell r="C1340">
            <v>9</v>
          </cell>
          <cell r="D1340"/>
          <cell r="E1340"/>
          <cell r="F1340">
            <v>1</v>
          </cell>
          <cell r="G1340">
            <v>2</v>
          </cell>
          <cell r="H1340">
            <v>0.39</v>
          </cell>
          <cell r="I1340">
            <v>2.8676470588235296E-2</v>
          </cell>
          <cell r="J1340">
            <v>13.6</v>
          </cell>
          <cell r="K1340">
            <v>2</v>
          </cell>
          <cell r="L1340">
            <v>5</v>
          </cell>
          <cell r="M1340">
            <v>10</v>
          </cell>
          <cell r="N1340">
            <v>20</v>
          </cell>
          <cell r="O1340">
            <v>30</v>
          </cell>
          <cell r="P1340">
            <v>60</v>
          </cell>
        </row>
        <row r="1341">
          <cell r="A1341" t="str">
            <v>L100x10</v>
          </cell>
          <cell r="B1341" t="str">
            <v>a=0.5 x t</v>
          </cell>
          <cell r="C1341">
            <v>10</v>
          </cell>
          <cell r="D1341"/>
          <cell r="E1341"/>
          <cell r="F1341">
            <v>1</v>
          </cell>
          <cell r="G1341">
            <v>2</v>
          </cell>
          <cell r="H1341">
            <v>0.39</v>
          </cell>
          <cell r="I1341">
            <v>2.5827814569536426E-2</v>
          </cell>
          <cell r="J1341">
            <v>15.1</v>
          </cell>
          <cell r="K1341">
            <v>2</v>
          </cell>
          <cell r="L1341">
            <v>5</v>
          </cell>
          <cell r="M1341">
            <v>10</v>
          </cell>
          <cell r="N1341">
            <v>20</v>
          </cell>
          <cell r="O1341">
            <v>30</v>
          </cell>
          <cell r="P1341">
            <v>60</v>
          </cell>
        </row>
        <row r="1342">
          <cell r="A1342" t="str">
            <v>L100x11</v>
          </cell>
          <cell r="B1342" t="str">
            <v>a=0.5 x t</v>
          </cell>
          <cell r="C1342">
            <v>11</v>
          </cell>
          <cell r="D1342"/>
          <cell r="E1342"/>
          <cell r="F1342">
            <v>1</v>
          </cell>
          <cell r="G1342">
            <v>2</v>
          </cell>
          <cell r="H1342">
            <v>0.39</v>
          </cell>
          <cell r="I1342">
            <v>2.3780487804878053E-2</v>
          </cell>
          <cell r="J1342">
            <v>16.399999999999999</v>
          </cell>
          <cell r="K1342">
            <v>2</v>
          </cell>
          <cell r="L1342">
            <v>5</v>
          </cell>
          <cell r="M1342">
            <v>10</v>
          </cell>
          <cell r="N1342">
            <v>20</v>
          </cell>
          <cell r="O1342">
            <v>30</v>
          </cell>
          <cell r="P1342">
            <v>60</v>
          </cell>
        </row>
        <row r="1343">
          <cell r="A1343" t="str">
            <v>L100x12</v>
          </cell>
          <cell r="B1343" t="str">
            <v>a=0.5 x t</v>
          </cell>
          <cell r="C1343">
            <v>12</v>
          </cell>
          <cell r="D1343"/>
          <cell r="E1343" t="str">
            <v>Jah</v>
          </cell>
          <cell r="F1343">
            <v>1</v>
          </cell>
          <cell r="G1343">
            <v>2</v>
          </cell>
          <cell r="H1343">
            <v>0.39</v>
          </cell>
          <cell r="I1343">
            <v>2.1910112359550562E-2</v>
          </cell>
          <cell r="J1343">
            <v>17.8</v>
          </cell>
          <cell r="K1343">
            <v>2</v>
          </cell>
          <cell r="L1343">
            <v>5</v>
          </cell>
          <cell r="M1343">
            <v>10</v>
          </cell>
          <cell r="N1343">
            <v>20</v>
          </cell>
          <cell r="O1343">
            <v>30</v>
          </cell>
          <cell r="P1343">
            <v>60</v>
          </cell>
        </row>
        <row r="1344">
          <cell r="A1344" t="str">
            <v>L100x14</v>
          </cell>
          <cell r="B1344" t="str">
            <v>a=0.5 x t</v>
          </cell>
          <cell r="C1344">
            <v>14</v>
          </cell>
          <cell r="D1344"/>
          <cell r="E1344"/>
          <cell r="F1344">
            <v>2</v>
          </cell>
          <cell r="G1344">
            <v>2</v>
          </cell>
          <cell r="H1344">
            <v>0.39</v>
          </cell>
          <cell r="I1344">
            <v>1.8932038834951457E-2</v>
          </cell>
          <cell r="J1344">
            <v>20.6</v>
          </cell>
          <cell r="K1344">
            <v>5</v>
          </cell>
          <cell r="L1344">
            <v>10</v>
          </cell>
          <cell r="M1344">
            <v>20</v>
          </cell>
          <cell r="N1344">
            <v>30</v>
          </cell>
          <cell r="O1344">
            <v>60</v>
          </cell>
          <cell r="P1344">
            <v>90</v>
          </cell>
        </row>
        <row r="1345">
          <cell r="A1345" t="str">
            <v>L100x16</v>
          </cell>
          <cell r="B1345" t="str">
            <v>a=0.5 x t</v>
          </cell>
          <cell r="C1345">
            <v>16</v>
          </cell>
          <cell r="D1345"/>
          <cell r="E1345" t="str">
            <v>Jah</v>
          </cell>
          <cell r="F1345">
            <v>2</v>
          </cell>
          <cell r="G1345">
            <v>2</v>
          </cell>
          <cell r="H1345">
            <v>0.39</v>
          </cell>
          <cell r="I1345">
            <v>1.6810344827586209E-2</v>
          </cell>
          <cell r="J1345">
            <v>23.2</v>
          </cell>
          <cell r="K1345">
            <v>5</v>
          </cell>
          <cell r="L1345">
            <v>10</v>
          </cell>
          <cell r="M1345">
            <v>20</v>
          </cell>
          <cell r="N1345">
            <v>30</v>
          </cell>
          <cell r="O1345">
            <v>60</v>
          </cell>
          <cell r="P1345">
            <v>90</v>
          </cell>
        </row>
        <row r="1346">
          <cell r="A1346" t="str">
            <v>L110x6</v>
          </cell>
          <cell r="B1346" t="str">
            <v>a=0.5 x t</v>
          </cell>
          <cell r="C1346">
            <v>6</v>
          </cell>
          <cell r="D1346"/>
          <cell r="E1346"/>
          <cell r="F1346">
            <v>1</v>
          </cell>
          <cell r="G1346">
            <v>1</v>
          </cell>
          <cell r="H1346">
            <v>0.42899999999999999</v>
          </cell>
          <cell r="I1346">
            <v>4.2058823529411767E-2</v>
          </cell>
          <cell r="J1346">
            <v>10.199999999999999</v>
          </cell>
          <cell r="K1346">
            <v>2</v>
          </cell>
          <cell r="L1346">
            <v>5</v>
          </cell>
          <cell r="M1346">
            <v>10</v>
          </cell>
          <cell r="N1346">
            <v>20</v>
          </cell>
          <cell r="O1346">
            <v>30</v>
          </cell>
          <cell r="P1346">
            <v>60</v>
          </cell>
        </row>
        <row r="1347">
          <cell r="A1347" t="str">
            <v>L110x7</v>
          </cell>
          <cell r="B1347" t="str">
            <v>a=0.5 x t</v>
          </cell>
          <cell r="C1347">
            <v>7</v>
          </cell>
          <cell r="D1347"/>
          <cell r="E1347"/>
          <cell r="F1347">
            <v>1</v>
          </cell>
          <cell r="G1347">
            <v>2</v>
          </cell>
          <cell r="H1347">
            <v>0.42899999999999999</v>
          </cell>
          <cell r="I1347">
            <v>3.6050420168067226E-2</v>
          </cell>
          <cell r="J1347">
            <v>11.9</v>
          </cell>
          <cell r="K1347">
            <v>2</v>
          </cell>
          <cell r="L1347">
            <v>5</v>
          </cell>
          <cell r="M1347">
            <v>10</v>
          </cell>
          <cell r="N1347">
            <v>20</v>
          </cell>
          <cell r="O1347">
            <v>30</v>
          </cell>
          <cell r="P1347">
            <v>60</v>
          </cell>
        </row>
        <row r="1348">
          <cell r="A1348" t="str">
            <v>L110x8</v>
          </cell>
          <cell r="B1348" t="str">
            <v>a=0.5 x t</v>
          </cell>
          <cell r="C1348">
            <v>8</v>
          </cell>
          <cell r="D1348"/>
          <cell r="E1348"/>
          <cell r="F1348">
            <v>1</v>
          </cell>
          <cell r="G1348">
            <v>2</v>
          </cell>
          <cell r="H1348">
            <v>0.42899999999999999</v>
          </cell>
          <cell r="I1348">
            <v>3.2014925373134329E-2</v>
          </cell>
          <cell r="J1348">
            <v>13.4</v>
          </cell>
          <cell r="K1348">
            <v>2</v>
          </cell>
          <cell r="L1348">
            <v>5</v>
          </cell>
          <cell r="M1348">
            <v>10</v>
          </cell>
          <cell r="N1348">
            <v>20</v>
          </cell>
          <cell r="O1348">
            <v>30</v>
          </cell>
          <cell r="P1348">
            <v>60</v>
          </cell>
        </row>
        <row r="1349">
          <cell r="A1349" t="str">
            <v>L110x9</v>
          </cell>
          <cell r="B1349" t="str">
            <v>a=0.5 x t</v>
          </cell>
          <cell r="C1349">
            <v>9</v>
          </cell>
          <cell r="D1349"/>
          <cell r="E1349"/>
          <cell r="F1349">
            <v>1</v>
          </cell>
          <cell r="G1349">
            <v>2</v>
          </cell>
          <cell r="H1349">
            <v>0.42899999999999999</v>
          </cell>
          <cell r="I1349">
            <v>2.86E-2</v>
          </cell>
          <cell r="J1349">
            <v>15</v>
          </cell>
          <cell r="K1349">
            <v>2</v>
          </cell>
          <cell r="L1349">
            <v>5</v>
          </cell>
          <cell r="M1349">
            <v>10</v>
          </cell>
          <cell r="N1349">
            <v>20</v>
          </cell>
          <cell r="O1349">
            <v>30</v>
          </cell>
          <cell r="P1349">
            <v>60</v>
          </cell>
        </row>
        <row r="1350">
          <cell r="A1350" t="str">
            <v>L110x10</v>
          </cell>
          <cell r="B1350" t="str">
            <v>a=0.5 x t</v>
          </cell>
          <cell r="C1350">
            <v>10</v>
          </cell>
          <cell r="D1350"/>
          <cell r="E1350"/>
          <cell r="F1350">
            <v>1</v>
          </cell>
          <cell r="G1350">
            <v>2</v>
          </cell>
          <cell r="H1350">
            <v>0.42899999999999999</v>
          </cell>
          <cell r="I1350">
            <v>2.5843373493975901E-2</v>
          </cell>
          <cell r="J1350">
            <v>16.600000000000001</v>
          </cell>
          <cell r="K1350">
            <v>2</v>
          </cell>
          <cell r="L1350">
            <v>5</v>
          </cell>
          <cell r="M1350">
            <v>10</v>
          </cell>
          <cell r="N1350">
            <v>20</v>
          </cell>
          <cell r="O1350">
            <v>30</v>
          </cell>
          <cell r="P1350">
            <v>60</v>
          </cell>
        </row>
        <row r="1351">
          <cell r="A1351" t="str">
            <v>L110x11</v>
          </cell>
          <cell r="B1351" t="str">
            <v>a=0.5 x t</v>
          </cell>
          <cell r="C1351">
            <v>11</v>
          </cell>
          <cell r="D1351"/>
          <cell r="E1351"/>
          <cell r="F1351">
            <v>1</v>
          </cell>
          <cell r="G1351">
            <v>2</v>
          </cell>
          <cell r="H1351">
            <v>0.42899999999999999</v>
          </cell>
          <cell r="I1351">
            <v>2.3571428571428573E-2</v>
          </cell>
          <cell r="J1351">
            <v>18.2</v>
          </cell>
          <cell r="K1351">
            <v>2</v>
          </cell>
          <cell r="L1351">
            <v>5</v>
          </cell>
          <cell r="M1351">
            <v>10</v>
          </cell>
          <cell r="N1351">
            <v>20</v>
          </cell>
          <cell r="O1351">
            <v>30</v>
          </cell>
          <cell r="P1351">
            <v>60</v>
          </cell>
        </row>
        <row r="1352">
          <cell r="A1352" t="str">
            <v>L110x12</v>
          </cell>
          <cell r="B1352" t="str">
            <v>a=0.5 x t</v>
          </cell>
          <cell r="C1352">
            <v>12</v>
          </cell>
          <cell r="D1352"/>
          <cell r="E1352" t="str">
            <v>Jah</v>
          </cell>
          <cell r="F1352">
            <v>1</v>
          </cell>
          <cell r="G1352">
            <v>2</v>
          </cell>
          <cell r="H1352">
            <v>0.42899999999999999</v>
          </cell>
          <cell r="I1352">
            <v>2.1776649746192894E-2</v>
          </cell>
          <cell r="J1352">
            <v>19.7</v>
          </cell>
          <cell r="K1352">
            <v>2</v>
          </cell>
          <cell r="L1352">
            <v>5</v>
          </cell>
          <cell r="M1352">
            <v>10</v>
          </cell>
          <cell r="N1352">
            <v>20</v>
          </cell>
          <cell r="O1352">
            <v>30</v>
          </cell>
          <cell r="P1352">
            <v>60</v>
          </cell>
        </row>
        <row r="1353">
          <cell r="A1353" t="str">
            <v>L120x7</v>
          </cell>
          <cell r="B1353" t="str">
            <v>a=0.5 x t</v>
          </cell>
          <cell r="C1353">
            <v>7</v>
          </cell>
          <cell r="D1353"/>
          <cell r="E1353"/>
          <cell r="F1353">
            <v>1</v>
          </cell>
          <cell r="G1353">
            <v>2</v>
          </cell>
          <cell r="H1353">
            <v>0.46899999999999997</v>
          </cell>
          <cell r="I1353">
            <v>3.6076923076923076E-2</v>
          </cell>
          <cell r="J1353">
            <v>13</v>
          </cell>
          <cell r="K1353">
            <v>2</v>
          </cell>
          <cell r="L1353">
            <v>5</v>
          </cell>
          <cell r="M1353">
            <v>10</v>
          </cell>
          <cell r="N1353">
            <v>20</v>
          </cell>
          <cell r="O1353">
            <v>30</v>
          </cell>
          <cell r="P1353">
            <v>60</v>
          </cell>
        </row>
        <row r="1354">
          <cell r="A1354" t="str">
            <v>L120x8</v>
          </cell>
          <cell r="B1354" t="str">
            <v>a=0.5 x t</v>
          </cell>
          <cell r="C1354">
            <v>8</v>
          </cell>
          <cell r="D1354"/>
          <cell r="E1354"/>
          <cell r="F1354">
            <v>1</v>
          </cell>
          <cell r="G1354">
            <v>2</v>
          </cell>
          <cell r="H1354">
            <v>0.46899999999999997</v>
          </cell>
          <cell r="I1354">
            <v>3.1904761904761901E-2</v>
          </cell>
          <cell r="J1354">
            <v>14.7</v>
          </cell>
          <cell r="K1354">
            <v>2</v>
          </cell>
          <cell r="L1354">
            <v>5</v>
          </cell>
          <cell r="M1354">
            <v>10</v>
          </cell>
          <cell r="N1354">
            <v>20</v>
          </cell>
          <cell r="O1354">
            <v>30</v>
          </cell>
          <cell r="P1354">
            <v>60</v>
          </cell>
        </row>
        <row r="1355">
          <cell r="A1355" t="str">
            <v>L120x9</v>
          </cell>
          <cell r="B1355" t="str">
            <v>a=0.5 x t</v>
          </cell>
          <cell r="C1355">
            <v>9</v>
          </cell>
          <cell r="D1355"/>
          <cell r="E1355"/>
          <cell r="F1355">
            <v>1</v>
          </cell>
          <cell r="G1355">
            <v>2</v>
          </cell>
          <cell r="H1355">
            <v>0.46899999999999997</v>
          </cell>
          <cell r="I1355">
            <v>2.8424242424242421E-2</v>
          </cell>
          <cell r="J1355">
            <v>16.5</v>
          </cell>
          <cell r="K1355">
            <v>2</v>
          </cell>
          <cell r="L1355">
            <v>5</v>
          </cell>
          <cell r="M1355">
            <v>10</v>
          </cell>
          <cell r="N1355">
            <v>20</v>
          </cell>
          <cell r="O1355">
            <v>30</v>
          </cell>
          <cell r="P1355">
            <v>60</v>
          </cell>
        </row>
        <row r="1356">
          <cell r="A1356" t="str">
            <v>L120x10</v>
          </cell>
          <cell r="B1356" t="str">
            <v>a=0.5 x t</v>
          </cell>
          <cell r="C1356">
            <v>10</v>
          </cell>
          <cell r="D1356"/>
          <cell r="E1356"/>
          <cell r="F1356">
            <v>1</v>
          </cell>
          <cell r="G1356">
            <v>2</v>
          </cell>
          <cell r="H1356">
            <v>0.46899999999999997</v>
          </cell>
          <cell r="I1356">
            <v>2.576923076923077E-2</v>
          </cell>
          <cell r="J1356">
            <v>18.2</v>
          </cell>
          <cell r="K1356">
            <v>2</v>
          </cell>
          <cell r="L1356">
            <v>5</v>
          </cell>
          <cell r="M1356">
            <v>10</v>
          </cell>
          <cell r="N1356">
            <v>20</v>
          </cell>
          <cell r="O1356">
            <v>30</v>
          </cell>
          <cell r="P1356">
            <v>60</v>
          </cell>
        </row>
        <row r="1357">
          <cell r="A1357" t="str">
            <v>L120x11</v>
          </cell>
          <cell r="B1357" t="str">
            <v>a=0.5 x t</v>
          </cell>
          <cell r="C1357">
            <v>11</v>
          </cell>
          <cell r="D1357"/>
          <cell r="E1357"/>
          <cell r="F1357">
            <v>1</v>
          </cell>
          <cell r="G1357">
            <v>2</v>
          </cell>
          <cell r="H1357">
            <v>0.46899999999999997</v>
          </cell>
          <cell r="I1357">
            <v>2.3567839195979899E-2</v>
          </cell>
          <cell r="J1357">
            <v>19.899999999999999</v>
          </cell>
          <cell r="K1357">
            <v>2</v>
          </cell>
          <cell r="L1357">
            <v>5</v>
          </cell>
          <cell r="M1357">
            <v>10</v>
          </cell>
          <cell r="N1357">
            <v>20</v>
          </cell>
          <cell r="O1357">
            <v>30</v>
          </cell>
          <cell r="P1357">
            <v>60</v>
          </cell>
        </row>
        <row r="1358">
          <cell r="A1358" t="str">
            <v>L120x12</v>
          </cell>
          <cell r="B1358" t="str">
            <v>a=0.5 x t</v>
          </cell>
          <cell r="C1358">
            <v>12</v>
          </cell>
          <cell r="D1358"/>
          <cell r="E1358" t="str">
            <v>Jah</v>
          </cell>
          <cell r="F1358">
            <v>2</v>
          </cell>
          <cell r="G1358">
            <v>2</v>
          </cell>
          <cell r="H1358">
            <v>0.46899999999999997</v>
          </cell>
          <cell r="I1358">
            <v>2.1712962962962962E-2</v>
          </cell>
          <cell r="J1358">
            <v>21.6</v>
          </cell>
          <cell r="K1358">
            <v>5</v>
          </cell>
          <cell r="L1358">
            <v>10</v>
          </cell>
          <cell r="M1358">
            <v>20</v>
          </cell>
          <cell r="N1358">
            <v>30</v>
          </cell>
          <cell r="O1358">
            <v>60</v>
          </cell>
          <cell r="P1358">
            <v>90</v>
          </cell>
        </row>
        <row r="1359">
          <cell r="A1359" t="str">
            <v>L120x13</v>
          </cell>
          <cell r="B1359" t="str">
            <v>a=0.5 x t</v>
          </cell>
          <cell r="C1359">
            <v>13</v>
          </cell>
          <cell r="D1359"/>
          <cell r="E1359"/>
          <cell r="F1359">
            <v>2</v>
          </cell>
          <cell r="G1359">
            <v>2</v>
          </cell>
          <cell r="H1359">
            <v>0.46899999999999997</v>
          </cell>
          <cell r="I1359">
            <v>2.0128755364806863E-2</v>
          </cell>
          <cell r="J1359">
            <v>23.3</v>
          </cell>
          <cell r="K1359">
            <v>5</v>
          </cell>
          <cell r="L1359">
            <v>10</v>
          </cell>
          <cell r="M1359">
            <v>20</v>
          </cell>
          <cell r="N1359">
            <v>30</v>
          </cell>
          <cell r="O1359">
            <v>60</v>
          </cell>
          <cell r="P1359">
            <v>90</v>
          </cell>
        </row>
        <row r="1360">
          <cell r="A1360" t="str">
            <v>L120x14</v>
          </cell>
          <cell r="B1360" t="str">
            <v>a=0.5 x t</v>
          </cell>
          <cell r="C1360">
            <v>14</v>
          </cell>
          <cell r="D1360"/>
          <cell r="E1360"/>
          <cell r="F1360">
            <v>2</v>
          </cell>
          <cell r="G1360">
            <v>2</v>
          </cell>
          <cell r="H1360">
            <v>0.46899999999999997</v>
          </cell>
          <cell r="I1360">
            <v>1.8759999999999999E-2</v>
          </cell>
          <cell r="J1360">
            <v>25</v>
          </cell>
          <cell r="K1360">
            <v>5</v>
          </cell>
          <cell r="L1360">
            <v>10</v>
          </cell>
          <cell r="M1360">
            <v>20</v>
          </cell>
          <cell r="N1360">
            <v>30</v>
          </cell>
          <cell r="O1360">
            <v>60</v>
          </cell>
          <cell r="P1360">
            <v>90</v>
          </cell>
        </row>
        <row r="1361">
          <cell r="A1361" t="str">
            <v>L120x15</v>
          </cell>
          <cell r="B1361" t="str">
            <v>a=0.5 x t</v>
          </cell>
          <cell r="C1361">
            <v>15</v>
          </cell>
          <cell r="D1361"/>
          <cell r="E1361"/>
          <cell r="F1361">
            <v>2</v>
          </cell>
          <cell r="G1361">
            <v>2</v>
          </cell>
          <cell r="H1361">
            <v>0.46899999999999997</v>
          </cell>
          <cell r="I1361">
            <v>1.7631578947368418E-2</v>
          </cell>
          <cell r="J1361">
            <v>26.6</v>
          </cell>
          <cell r="K1361">
            <v>5</v>
          </cell>
          <cell r="L1361">
            <v>10</v>
          </cell>
          <cell r="M1361">
            <v>20</v>
          </cell>
          <cell r="N1361">
            <v>30</v>
          </cell>
          <cell r="O1361">
            <v>60</v>
          </cell>
          <cell r="P1361">
            <v>90</v>
          </cell>
        </row>
        <row r="1362">
          <cell r="A1362" t="str">
            <v>L120x16</v>
          </cell>
          <cell r="B1362" t="str">
            <v>a=0.5 x t</v>
          </cell>
          <cell r="C1362">
            <v>16</v>
          </cell>
          <cell r="D1362"/>
          <cell r="E1362" t="str">
            <v>Jah</v>
          </cell>
          <cell r="F1362">
            <v>2</v>
          </cell>
          <cell r="G1362">
            <v>2</v>
          </cell>
          <cell r="H1362">
            <v>0.46899999999999997</v>
          </cell>
          <cell r="I1362">
            <v>1.6572438162544167E-2</v>
          </cell>
          <cell r="J1362">
            <v>28.3</v>
          </cell>
          <cell r="K1362">
            <v>5</v>
          </cell>
          <cell r="L1362">
            <v>10</v>
          </cell>
          <cell r="M1362">
            <v>20</v>
          </cell>
          <cell r="N1362">
            <v>30</v>
          </cell>
          <cell r="O1362">
            <v>60</v>
          </cell>
          <cell r="P1362">
            <v>90</v>
          </cell>
        </row>
        <row r="1363">
          <cell r="A1363" t="str">
            <v>L130x8</v>
          </cell>
          <cell r="B1363" t="str">
            <v>a=0.5 x t</v>
          </cell>
          <cell r="C1363">
            <v>8</v>
          </cell>
          <cell r="D1363"/>
          <cell r="E1363"/>
          <cell r="F1363">
            <v>1</v>
          </cell>
          <cell r="G1363">
            <v>2</v>
          </cell>
          <cell r="H1363">
            <v>0.50800000000000001</v>
          </cell>
          <cell r="I1363">
            <v>3.175E-2</v>
          </cell>
          <cell r="J1363">
            <v>16</v>
          </cell>
          <cell r="K1363">
            <v>2</v>
          </cell>
          <cell r="L1363">
            <v>5</v>
          </cell>
          <cell r="M1363">
            <v>10</v>
          </cell>
          <cell r="N1363">
            <v>20</v>
          </cell>
          <cell r="O1363">
            <v>30</v>
          </cell>
          <cell r="P1363">
            <v>60</v>
          </cell>
        </row>
        <row r="1364">
          <cell r="A1364" t="str">
            <v>L130x9</v>
          </cell>
          <cell r="B1364" t="str">
            <v>a=0.5 x t</v>
          </cell>
          <cell r="C1364">
            <v>9</v>
          </cell>
          <cell r="D1364"/>
          <cell r="E1364"/>
          <cell r="F1364">
            <v>1</v>
          </cell>
          <cell r="G1364">
            <v>2</v>
          </cell>
          <cell r="H1364">
            <v>0.50800000000000001</v>
          </cell>
          <cell r="I1364">
            <v>2.8379888268156427E-2</v>
          </cell>
          <cell r="J1364">
            <v>17.899999999999999</v>
          </cell>
          <cell r="K1364">
            <v>2</v>
          </cell>
          <cell r="L1364">
            <v>5</v>
          </cell>
          <cell r="M1364">
            <v>10</v>
          </cell>
          <cell r="N1364">
            <v>20</v>
          </cell>
          <cell r="O1364">
            <v>30</v>
          </cell>
          <cell r="P1364">
            <v>60</v>
          </cell>
        </row>
        <row r="1365">
          <cell r="A1365" t="str">
            <v>L130x10</v>
          </cell>
          <cell r="B1365" t="str">
            <v>a=0.5 x t</v>
          </cell>
          <cell r="C1365">
            <v>10</v>
          </cell>
          <cell r="D1365"/>
          <cell r="E1365"/>
          <cell r="F1365">
            <v>1</v>
          </cell>
          <cell r="G1365">
            <v>2</v>
          </cell>
          <cell r="H1365">
            <v>0.50800000000000001</v>
          </cell>
          <cell r="I1365">
            <v>2.5656565656565655E-2</v>
          </cell>
          <cell r="J1365">
            <v>19.8</v>
          </cell>
          <cell r="K1365">
            <v>2</v>
          </cell>
          <cell r="L1365">
            <v>5</v>
          </cell>
          <cell r="M1365">
            <v>10</v>
          </cell>
          <cell r="N1365">
            <v>20</v>
          </cell>
          <cell r="O1365">
            <v>30</v>
          </cell>
          <cell r="P1365">
            <v>60</v>
          </cell>
        </row>
        <row r="1366">
          <cell r="A1366" t="str">
            <v>L130x11</v>
          </cell>
          <cell r="B1366" t="str">
            <v>a=0.5 x t</v>
          </cell>
          <cell r="C1366">
            <v>11</v>
          </cell>
          <cell r="D1366"/>
          <cell r="E1366"/>
          <cell r="F1366">
            <v>2</v>
          </cell>
          <cell r="G1366">
            <v>2</v>
          </cell>
          <cell r="H1366">
            <v>0.50800000000000001</v>
          </cell>
          <cell r="I1366">
            <v>2.3410138248847929E-2</v>
          </cell>
          <cell r="J1366">
            <v>21.7</v>
          </cell>
          <cell r="K1366">
            <v>5</v>
          </cell>
          <cell r="L1366">
            <v>10</v>
          </cell>
          <cell r="M1366">
            <v>20</v>
          </cell>
          <cell r="N1366">
            <v>30</v>
          </cell>
          <cell r="O1366">
            <v>60</v>
          </cell>
          <cell r="P1366">
            <v>90</v>
          </cell>
        </row>
        <row r="1367">
          <cell r="A1367" t="str">
            <v>L130x12</v>
          </cell>
          <cell r="B1367" t="str">
            <v>a=0.5 x t</v>
          </cell>
          <cell r="C1367">
            <v>12</v>
          </cell>
          <cell r="D1367"/>
          <cell r="E1367" t="str">
            <v>Jah</v>
          </cell>
          <cell r="F1367">
            <v>2</v>
          </cell>
          <cell r="G1367">
            <v>2</v>
          </cell>
          <cell r="H1367">
            <v>0.50800000000000001</v>
          </cell>
          <cell r="I1367">
            <v>2.1617021276595746E-2</v>
          </cell>
          <cell r="J1367">
            <v>23.5</v>
          </cell>
          <cell r="K1367">
            <v>5</v>
          </cell>
          <cell r="L1367">
            <v>10</v>
          </cell>
          <cell r="M1367">
            <v>20</v>
          </cell>
          <cell r="N1367">
            <v>30</v>
          </cell>
          <cell r="O1367">
            <v>60</v>
          </cell>
          <cell r="P1367">
            <v>90</v>
          </cell>
        </row>
        <row r="1368">
          <cell r="A1368" t="str">
            <v>L130x13</v>
          </cell>
          <cell r="B1368" t="str">
            <v>a=0.5 x t</v>
          </cell>
          <cell r="C1368">
            <v>13</v>
          </cell>
          <cell r="D1368"/>
          <cell r="E1368"/>
          <cell r="F1368">
            <v>2</v>
          </cell>
          <cell r="G1368">
            <v>2</v>
          </cell>
          <cell r="H1368">
            <v>0.50800000000000001</v>
          </cell>
          <cell r="I1368">
            <v>0.02</v>
          </cell>
          <cell r="J1368">
            <v>25.4</v>
          </cell>
          <cell r="K1368">
            <v>5</v>
          </cell>
          <cell r="L1368">
            <v>10</v>
          </cell>
          <cell r="M1368">
            <v>20</v>
          </cell>
          <cell r="N1368">
            <v>30</v>
          </cell>
          <cell r="O1368">
            <v>60</v>
          </cell>
          <cell r="P1368">
            <v>90</v>
          </cell>
        </row>
        <row r="1369">
          <cell r="A1369" t="str">
            <v>L130x14</v>
          </cell>
          <cell r="B1369" t="str">
            <v>a=0.5 x t</v>
          </cell>
          <cell r="C1369">
            <v>14</v>
          </cell>
          <cell r="D1369"/>
          <cell r="E1369"/>
          <cell r="F1369">
            <v>2</v>
          </cell>
          <cell r="G1369">
            <v>2</v>
          </cell>
          <cell r="H1369">
            <v>0.50800000000000001</v>
          </cell>
          <cell r="I1369">
            <v>1.8676470588235294E-2</v>
          </cell>
          <cell r="J1369">
            <v>27.2</v>
          </cell>
          <cell r="K1369">
            <v>5</v>
          </cell>
          <cell r="L1369">
            <v>10</v>
          </cell>
          <cell r="M1369">
            <v>20</v>
          </cell>
          <cell r="N1369">
            <v>30</v>
          </cell>
          <cell r="O1369">
            <v>60</v>
          </cell>
          <cell r="P1369">
            <v>90</v>
          </cell>
        </row>
        <row r="1370">
          <cell r="A1370" t="str">
            <v>L130x15</v>
          </cell>
          <cell r="B1370" t="str">
            <v>a=0.5 x t</v>
          </cell>
          <cell r="C1370">
            <v>15</v>
          </cell>
          <cell r="D1370"/>
          <cell r="E1370"/>
          <cell r="F1370">
            <v>2</v>
          </cell>
          <cell r="G1370">
            <v>2</v>
          </cell>
          <cell r="H1370">
            <v>0.50800000000000001</v>
          </cell>
          <cell r="I1370">
            <v>1.7517241379310346E-2</v>
          </cell>
          <cell r="J1370">
            <v>29</v>
          </cell>
          <cell r="K1370">
            <v>5</v>
          </cell>
          <cell r="L1370">
            <v>10</v>
          </cell>
          <cell r="M1370">
            <v>20</v>
          </cell>
          <cell r="N1370">
            <v>30</v>
          </cell>
          <cell r="O1370">
            <v>60</v>
          </cell>
          <cell r="P1370">
            <v>90</v>
          </cell>
        </row>
        <row r="1371">
          <cell r="A1371" t="str">
            <v>L130x16</v>
          </cell>
          <cell r="B1371" t="str">
            <v>a=0.5 x t</v>
          </cell>
          <cell r="C1371">
            <v>16</v>
          </cell>
          <cell r="D1371"/>
          <cell r="E1371" t="str">
            <v>Jah</v>
          </cell>
          <cell r="F1371">
            <v>2</v>
          </cell>
          <cell r="G1371">
            <v>2</v>
          </cell>
          <cell r="H1371">
            <v>0.50800000000000001</v>
          </cell>
          <cell r="I1371">
            <v>1.6440129449838189E-2</v>
          </cell>
          <cell r="J1371">
            <v>30.9</v>
          </cell>
          <cell r="K1371">
            <v>5</v>
          </cell>
          <cell r="L1371">
            <v>10</v>
          </cell>
          <cell r="M1371">
            <v>20</v>
          </cell>
          <cell r="N1371">
            <v>30</v>
          </cell>
          <cell r="O1371">
            <v>60</v>
          </cell>
          <cell r="P1371">
            <v>90</v>
          </cell>
        </row>
        <row r="1372">
          <cell r="A1372" t="str">
            <v>L140x9</v>
          </cell>
          <cell r="B1372" t="str">
            <v>a=0.5 x t</v>
          </cell>
          <cell r="C1372">
            <v>9</v>
          </cell>
          <cell r="D1372"/>
          <cell r="E1372"/>
          <cell r="F1372">
            <v>1</v>
          </cell>
          <cell r="G1372">
            <v>2</v>
          </cell>
          <cell r="H1372">
            <v>0.54700000000000004</v>
          </cell>
          <cell r="I1372">
            <v>2.8341968911917099E-2</v>
          </cell>
          <cell r="J1372">
            <v>19.3</v>
          </cell>
          <cell r="K1372">
            <v>2</v>
          </cell>
          <cell r="L1372">
            <v>5</v>
          </cell>
          <cell r="M1372">
            <v>10</v>
          </cell>
          <cell r="N1372">
            <v>20</v>
          </cell>
          <cell r="O1372">
            <v>30</v>
          </cell>
          <cell r="P1372">
            <v>60</v>
          </cell>
        </row>
        <row r="1373">
          <cell r="A1373" t="str">
            <v>L140x10</v>
          </cell>
          <cell r="B1373" t="str">
            <v>a=0.5 x t</v>
          </cell>
          <cell r="C1373">
            <v>10</v>
          </cell>
          <cell r="D1373"/>
          <cell r="E1373"/>
          <cell r="F1373">
            <v>2</v>
          </cell>
          <cell r="G1373">
            <v>2</v>
          </cell>
          <cell r="H1373">
            <v>0.54700000000000004</v>
          </cell>
          <cell r="I1373">
            <v>2.5560747663551407E-2</v>
          </cell>
          <cell r="J1373">
            <v>21.4</v>
          </cell>
          <cell r="K1373">
            <v>5</v>
          </cell>
          <cell r="L1373">
            <v>10</v>
          </cell>
          <cell r="M1373">
            <v>20</v>
          </cell>
          <cell r="N1373">
            <v>30</v>
          </cell>
          <cell r="O1373">
            <v>60</v>
          </cell>
          <cell r="P1373">
            <v>90</v>
          </cell>
        </row>
        <row r="1374">
          <cell r="A1374" t="str">
            <v>L140x11</v>
          </cell>
          <cell r="B1374" t="str">
            <v>a=0.5 x t</v>
          </cell>
          <cell r="C1374">
            <v>11</v>
          </cell>
          <cell r="D1374"/>
          <cell r="E1374"/>
          <cell r="F1374">
            <v>2</v>
          </cell>
          <cell r="G1374">
            <v>2</v>
          </cell>
          <cell r="H1374">
            <v>0.54700000000000004</v>
          </cell>
          <cell r="I1374">
            <v>2.3376068376068378E-2</v>
          </cell>
          <cell r="J1374">
            <v>23.4</v>
          </cell>
          <cell r="K1374">
            <v>5</v>
          </cell>
          <cell r="L1374">
            <v>10</v>
          </cell>
          <cell r="M1374">
            <v>20</v>
          </cell>
          <cell r="N1374">
            <v>30</v>
          </cell>
          <cell r="O1374">
            <v>60</v>
          </cell>
          <cell r="P1374">
            <v>90</v>
          </cell>
        </row>
        <row r="1375">
          <cell r="A1375" t="str">
            <v>L140x12</v>
          </cell>
          <cell r="B1375" t="str">
            <v>a=0.5 x t</v>
          </cell>
          <cell r="C1375">
            <v>12</v>
          </cell>
          <cell r="D1375"/>
          <cell r="E1375" t="str">
            <v>Jah</v>
          </cell>
          <cell r="F1375">
            <v>2</v>
          </cell>
          <cell r="G1375">
            <v>2</v>
          </cell>
          <cell r="H1375">
            <v>0.54700000000000004</v>
          </cell>
          <cell r="I1375">
            <v>2.1535433070866146E-2</v>
          </cell>
          <cell r="J1375">
            <v>25.4</v>
          </cell>
          <cell r="K1375">
            <v>5</v>
          </cell>
          <cell r="L1375">
            <v>10</v>
          </cell>
          <cell r="M1375">
            <v>20</v>
          </cell>
          <cell r="N1375">
            <v>30</v>
          </cell>
          <cell r="O1375">
            <v>60</v>
          </cell>
          <cell r="P1375">
            <v>90</v>
          </cell>
        </row>
        <row r="1376">
          <cell r="A1376" t="str">
            <v>L140x13</v>
          </cell>
          <cell r="B1376" t="str">
            <v>a=0.5 x t</v>
          </cell>
          <cell r="C1376">
            <v>13</v>
          </cell>
          <cell r="D1376"/>
          <cell r="E1376"/>
          <cell r="F1376">
            <v>2</v>
          </cell>
          <cell r="G1376">
            <v>2</v>
          </cell>
          <cell r="H1376">
            <v>0.54700000000000004</v>
          </cell>
          <cell r="I1376">
            <v>1.9890909090909091E-2</v>
          </cell>
          <cell r="J1376">
            <v>27.5</v>
          </cell>
          <cell r="K1376">
            <v>5</v>
          </cell>
          <cell r="L1376">
            <v>10</v>
          </cell>
          <cell r="M1376">
            <v>20</v>
          </cell>
          <cell r="N1376">
            <v>30</v>
          </cell>
          <cell r="O1376">
            <v>60</v>
          </cell>
          <cell r="P1376">
            <v>90</v>
          </cell>
        </row>
        <row r="1377">
          <cell r="A1377" t="str">
            <v>L140x14</v>
          </cell>
          <cell r="B1377" t="str">
            <v>a=0.5 x t</v>
          </cell>
          <cell r="C1377">
            <v>14</v>
          </cell>
          <cell r="D1377"/>
          <cell r="E1377"/>
          <cell r="F1377">
            <v>2</v>
          </cell>
          <cell r="G1377">
            <v>2</v>
          </cell>
          <cell r="H1377">
            <v>0.54700000000000004</v>
          </cell>
          <cell r="I1377">
            <v>1.860544217687075E-2</v>
          </cell>
          <cell r="J1377">
            <v>29.4</v>
          </cell>
          <cell r="K1377">
            <v>5</v>
          </cell>
          <cell r="L1377">
            <v>10</v>
          </cell>
          <cell r="M1377">
            <v>20</v>
          </cell>
          <cell r="N1377">
            <v>30</v>
          </cell>
          <cell r="O1377">
            <v>60</v>
          </cell>
          <cell r="P1377">
            <v>90</v>
          </cell>
        </row>
        <row r="1378">
          <cell r="A1378" t="str">
            <v>L140x15</v>
          </cell>
          <cell r="B1378" t="str">
            <v>a=0.5 x t</v>
          </cell>
          <cell r="C1378">
            <v>15</v>
          </cell>
          <cell r="D1378"/>
          <cell r="E1378"/>
          <cell r="F1378">
            <v>2</v>
          </cell>
          <cell r="G1378">
            <v>2</v>
          </cell>
          <cell r="H1378">
            <v>0.54700000000000004</v>
          </cell>
          <cell r="I1378">
            <v>1.7420382165605097E-2</v>
          </cell>
          <cell r="J1378">
            <v>31.4</v>
          </cell>
          <cell r="K1378">
            <v>5</v>
          </cell>
          <cell r="L1378">
            <v>10</v>
          </cell>
          <cell r="M1378">
            <v>20</v>
          </cell>
          <cell r="N1378">
            <v>30</v>
          </cell>
          <cell r="O1378">
            <v>60</v>
          </cell>
          <cell r="P1378">
            <v>90</v>
          </cell>
        </row>
        <row r="1379">
          <cell r="A1379" t="str">
            <v>L140x16</v>
          </cell>
          <cell r="B1379" t="str">
            <v>a=0.5 x t</v>
          </cell>
          <cell r="C1379">
            <v>16</v>
          </cell>
          <cell r="D1379"/>
          <cell r="E1379" t="str">
            <v>Jah</v>
          </cell>
          <cell r="F1379">
            <v>2</v>
          </cell>
          <cell r="G1379">
            <v>2</v>
          </cell>
          <cell r="H1379">
            <v>0.54700000000000004</v>
          </cell>
          <cell r="I1379">
            <v>1.6377245508982039E-2</v>
          </cell>
          <cell r="J1379">
            <v>33.4</v>
          </cell>
          <cell r="K1379">
            <v>5</v>
          </cell>
          <cell r="L1379">
            <v>10</v>
          </cell>
          <cell r="M1379">
            <v>20</v>
          </cell>
          <cell r="N1379">
            <v>30</v>
          </cell>
          <cell r="O1379">
            <v>60</v>
          </cell>
          <cell r="P1379">
            <v>90</v>
          </cell>
        </row>
        <row r="1380">
          <cell r="A1380" t="str">
            <v>L150x10</v>
          </cell>
          <cell r="B1380" t="str">
            <v>a=0.5 x t</v>
          </cell>
          <cell r="C1380">
            <v>10</v>
          </cell>
          <cell r="D1380"/>
          <cell r="E1380"/>
          <cell r="F1380">
            <v>2</v>
          </cell>
          <cell r="G1380">
            <v>2</v>
          </cell>
          <cell r="H1380">
            <v>0.58599999999999997</v>
          </cell>
          <cell r="I1380">
            <v>2.5478260869565218E-2</v>
          </cell>
          <cell r="J1380">
            <v>23</v>
          </cell>
          <cell r="K1380">
            <v>5</v>
          </cell>
          <cell r="L1380">
            <v>10</v>
          </cell>
          <cell r="M1380">
            <v>20</v>
          </cell>
          <cell r="N1380">
            <v>30</v>
          </cell>
          <cell r="O1380">
            <v>60</v>
          </cell>
          <cell r="P1380">
            <v>90</v>
          </cell>
        </row>
        <row r="1381">
          <cell r="A1381" t="str">
            <v>L150x12</v>
          </cell>
          <cell r="B1381" t="str">
            <v>a=0.5 x t</v>
          </cell>
          <cell r="C1381">
            <v>12</v>
          </cell>
          <cell r="D1381"/>
          <cell r="E1381" t="str">
            <v>Jah</v>
          </cell>
          <cell r="F1381">
            <v>2</v>
          </cell>
          <cell r="G1381">
            <v>2</v>
          </cell>
          <cell r="H1381">
            <v>0.58599999999999997</v>
          </cell>
          <cell r="I1381">
            <v>2.1465201465201464E-2</v>
          </cell>
          <cell r="J1381">
            <v>27.3</v>
          </cell>
          <cell r="K1381">
            <v>5</v>
          </cell>
          <cell r="L1381">
            <v>10</v>
          </cell>
          <cell r="M1381">
            <v>20</v>
          </cell>
          <cell r="N1381">
            <v>30</v>
          </cell>
          <cell r="O1381">
            <v>60</v>
          </cell>
          <cell r="P1381">
            <v>90</v>
          </cell>
        </row>
        <row r="1382">
          <cell r="A1382" t="str">
            <v>L150x13</v>
          </cell>
          <cell r="B1382" t="str">
            <v>a=0.5 x t</v>
          </cell>
          <cell r="C1382">
            <v>13</v>
          </cell>
          <cell r="D1382"/>
          <cell r="E1382"/>
          <cell r="F1382">
            <v>2</v>
          </cell>
          <cell r="G1382">
            <v>2</v>
          </cell>
          <cell r="H1382">
            <v>0.58599999999999997</v>
          </cell>
          <cell r="I1382">
            <v>1.9864406779661017E-2</v>
          </cell>
          <cell r="J1382">
            <v>29.5</v>
          </cell>
          <cell r="K1382">
            <v>5</v>
          </cell>
          <cell r="L1382">
            <v>10</v>
          </cell>
          <cell r="M1382">
            <v>20</v>
          </cell>
          <cell r="N1382">
            <v>30</v>
          </cell>
          <cell r="O1382">
            <v>60</v>
          </cell>
          <cell r="P1382">
            <v>90</v>
          </cell>
        </row>
        <row r="1383">
          <cell r="A1383" t="str">
            <v>L150x14</v>
          </cell>
          <cell r="B1383" t="str">
            <v>a=0.5 x t</v>
          </cell>
          <cell r="C1383">
            <v>14</v>
          </cell>
          <cell r="D1383"/>
          <cell r="E1383"/>
          <cell r="F1383">
            <v>2</v>
          </cell>
          <cell r="G1383">
            <v>2</v>
          </cell>
          <cell r="H1383">
            <v>0.58599999999999997</v>
          </cell>
          <cell r="I1383">
            <v>1.8544303797468353E-2</v>
          </cell>
          <cell r="J1383">
            <v>31.6</v>
          </cell>
          <cell r="K1383">
            <v>5</v>
          </cell>
          <cell r="L1383">
            <v>10</v>
          </cell>
          <cell r="M1383">
            <v>20</v>
          </cell>
          <cell r="N1383">
            <v>30</v>
          </cell>
          <cell r="O1383">
            <v>60</v>
          </cell>
          <cell r="P1383">
            <v>90</v>
          </cell>
        </row>
        <row r="1384">
          <cell r="A1384" t="str">
            <v>L150x15</v>
          </cell>
          <cell r="B1384" t="str">
            <v>a=0.5 x t</v>
          </cell>
          <cell r="C1384">
            <v>15</v>
          </cell>
          <cell r="D1384"/>
          <cell r="E1384"/>
          <cell r="F1384">
            <v>2</v>
          </cell>
          <cell r="G1384">
            <v>2</v>
          </cell>
          <cell r="H1384">
            <v>0.58599999999999997</v>
          </cell>
          <cell r="I1384">
            <v>1.7337278106508876E-2</v>
          </cell>
          <cell r="J1384">
            <v>33.799999999999997</v>
          </cell>
          <cell r="K1384">
            <v>5</v>
          </cell>
          <cell r="L1384">
            <v>10</v>
          </cell>
          <cell r="M1384">
            <v>20</v>
          </cell>
          <cell r="N1384">
            <v>30</v>
          </cell>
          <cell r="O1384">
            <v>60</v>
          </cell>
          <cell r="P1384">
            <v>90</v>
          </cell>
        </row>
        <row r="1385">
          <cell r="A1385" t="str">
            <v>L150x16</v>
          </cell>
          <cell r="B1385" t="str">
            <v>a=0.5 x t</v>
          </cell>
          <cell r="C1385">
            <v>16</v>
          </cell>
          <cell r="D1385"/>
          <cell r="E1385" t="str">
            <v>Jah</v>
          </cell>
          <cell r="F1385">
            <v>2</v>
          </cell>
          <cell r="G1385">
            <v>2</v>
          </cell>
          <cell r="H1385">
            <v>0.58599999999999997</v>
          </cell>
          <cell r="I1385">
            <v>1.6323119777158775E-2</v>
          </cell>
          <cell r="J1385">
            <v>35.9</v>
          </cell>
          <cell r="K1385">
            <v>5</v>
          </cell>
          <cell r="L1385">
            <v>10</v>
          </cell>
          <cell r="M1385">
            <v>20</v>
          </cell>
          <cell r="N1385">
            <v>30</v>
          </cell>
          <cell r="O1385">
            <v>60</v>
          </cell>
          <cell r="P1385">
            <v>90</v>
          </cell>
        </row>
        <row r="1386">
          <cell r="A1386" t="str">
            <v>L150x18</v>
          </cell>
          <cell r="B1386" t="str">
            <v>a=0.5 x t</v>
          </cell>
          <cell r="C1386">
            <v>18</v>
          </cell>
          <cell r="D1386"/>
          <cell r="E1386"/>
          <cell r="F1386">
            <v>2</v>
          </cell>
          <cell r="G1386">
            <v>2</v>
          </cell>
          <cell r="H1386">
            <v>0.58599999999999997</v>
          </cell>
          <cell r="I1386">
            <v>1.465E-2</v>
          </cell>
          <cell r="J1386">
            <v>40</v>
          </cell>
          <cell r="K1386">
            <v>5</v>
          </cell>
          <cell r="L1386">
            <v>10</v>
          </cell>
          <cell r="M1386">
            <v>20</v>
          </cell>
          <cell r="N1386">
            <v>30</v>
          </cell>
          <cell r="O1386">
            <v>60</v>
          </cell>
          <cell r="P1386">
            <v>90</v>
          </cell>
        </row>
        <row r="1387">
          <cell r="A1387" t="str">
            <v>L150x20</v>
          </cell>
          <cell r="B1387" t="str">
            <v>a=0.5 x t</v>
          </cell>
          <cell r="C1387">
            <v>20</v>
          </cell>
          <cell r="D1387"/>
          <cell r="E1387"/>
          <cell r="F1387">
            <v>2</v>
          </cell>
          <cell r="G1387">
            <v>2</v>
          </cell>
          <cell r="H1387">
            <v>0.58599999999999997</v>
          </cell>
          <cell r="I1387">
            <v>1.3257918552036197E-2</v>
          </cell>
          <cell r="J1387">
            <v>44.2</v>
          </cell>
          <cell r="K1387">
            <v>5</v>
          </cell>
          <cell r="L1387">
            <v>10</v>
          </cell>
          <cell r="M1387">
            <v>20</v>
          </cell>
          <cell r="N1387">
            <v>30</v>
          </cell>
          <cell r="O1387">
            <v>60</v>
          </cell>
          <cell r="P1387">
            <v>90</v>
          </cell>
        </row>
        <row r="1388">
          <cell r="A1388" t="str">
            <v>L160x14</v>
          </cell>
          <cell r="B1388" t="str">
            <v>a=0.5 x t</v>
          </cell>
          <cell r="C1388">
            <v>14</v>
          </cell>
          <cell r="D1388"/>
          <cell r="E1388"/>
          <cell r="F1388">
            <v>2</v>
          </cell>
          <cell r="G1388">
            <v>2</v>
          </cell>
          <cell r="H1388">
            <v>0.625</v>
          </cell>
          <cell r="I1388">
            <v>1.8436578171091445E-2</v>
          </cell>
          <cell r="J1388">
            <v>33.9</v>
          </cell>
          <cell r="K1388">
            <v>5</v>
          </cell>
          <cell r="L1388">
            <v>10</v>
          </cell>
          <cell r="M1388">
            <v>20</v>
          </cell>
          <cell r="N1388">
            <v>30</v>
          </cell>
          <cell r="O1388">
            <v>60</v>
          </cell>
          <cell r="P1388">
            <v>90</v>
          </cell>
        </row>
        <row r="1389">
          <cell r="A1389" t="str">
            <v>L160x15</v>
          </cell>
          <cell r="B1389" t="str">
            <v>a=0.5 x t</v>
          </cell>
          <cell r="C1389">
            <v>15</v>
          </cell>
          <cell r="D1389"/>
          <cell r="E1389"/>
          <cell r="F1389">
            <v>2</v>
          </cell>
          <cell r="G1389">
            <v>2</v>
          </cell>
          <cell r="H1389">
            <v>0.625</v>
          </cell>
          <cell r="I1389">
            <v>1.7265193370165743E-2</v>
          </cell>
          <cell r="J1389">
            <v>36.200000000000003</v>
          </cell>
          <cell r="K1389">
            <v>5</v>
          </cell>
          <cell r="L1389">
            <v>10</v>
          </cell>
          <cell r="M1389">
            <v>20</v>
          </cell>
          <cell r="N1389">
            <v>30</v>
          </cell>
          <cell r="O1389">
            <v>60</v>
          </cell>
          <cell r="P1389">
            <v>90</v>
          </cell>
        </row>
        <row r="1390">
          <cell r="A1390" t="str">
            <v>L160x16</v>
          </cell>
          <cell r="B1390" t="str">
            <v>a=0.5 x t</v>
          </cell>
          <cell r="C1390">
            <v>16</v>
          </cell>
          <cell r="D1390"/>
          <cell r="E1390" t="str">
            <v>Jah</v>
          </cell>
          <cell r="F1390">
            <v>2</v>
          </cell>
          <cell r="G1390">
            <v>2</v>
          </cell>
          <cell r="H1390">
            <v>0.625</v>
          </cell>
          <cell r="I1390">
            <v>1.6233766233766232E-2</v>
          </cell>
          <cell r="J1390">
            <v>38.5</v>
          </cell>
          <cell r="K1390">
            <v>5</v>
          </cell>
          <cell r="L1390">
            <v>10</v>
          </cell>
          <cell r="M1390">
            <v>20</v>
          </cell>
          <cell r="N1390">
            <v>30</v>
          </cell>
          <cell r="O1390">
            <v>60</v>
          </cell>
          <cell r="P1390">
            <v>90</v>
          </cell>
        </row>
        <row r="1391">
          <cell r="A1391" t="str">
            <v>L160x17</v>
          </cell>
          <cell r="B1391" t="str">
            <v>a=0.5 x t</v>
          </cell>
          <cell r="C1391">
            <v>17</v>
          </cell>
          <cell r="D1391"/>
          <cell r="E1391"/>
          <cell r="F1391">
            <v>2</v>
          </cell>
          <cell r="G1391">
            <v>2</v>
          </cell>
          <cell r="H1391">
            <v>0.625</v>
          </cell>
          <cell r="I1391">
            <v>1.5356265356265355E-2</v>
          </cell>
          <cell r="J1391">
            <v>40.700000000000003</v>
          </cell>
          <cell r="K1391">
            <v>5</v>
          </cell>
          <cell r="L1391">
            <v>10</v>
          </cell>
          <cell r="M1391">
            <v>20</v>
          </cell>
          <cell r="N1391">
            <v>30</v>
          </cell>
          <cell r="O1391">
            <v>60</v>
          </cell>
          <cell r="P1391">
            <v>90</v>
          </cell>
        </row>
        <row r="1392">
          <cell r="A1392" t="str">
            <v>L160x18</v>
          </cell>
          <cell r="B1392" t="str">
            <v>a=0.5 x t</v>
          </cell>
          <cell r="C1392">
            <v>18</v>
          </cell>
          <cell r="D1392"/>
          <cell r="E1392"/>
          <cell r="F1392">
            <v>2</v>
          </cell>
          <cell r="G1392">
            <v>2</v>
          </cell>
          <cell r="H1392">
            <v>0.625</v>
          </cell>
          <cell r="I1392">
            <v>1.456876456876457E-2</v>
          </cell>
          <cell r="J1392">
            <v>42.9</v>
          </cell>
          <cell r="K1392">
            <v>5</v>
          </cell>
          <cell r="L1392">
            <v>10</v>
          </cell>
          <cell r="M1392">
            <v>20</v>
          </cell>
          <cell r="N1392">
            <v>30</v>
          </cell>
          <cell r="O1392">
            <v>60</v>
          </cell>
          <cell r="P1392">
            <v>90</v>
          </cell>
        </row>
        <row r="1393">
          <cell r="A1393" t="str">
            <v>L160x19</v>
          </cell>
          <cell r="B1393" t="str">
            <v>a=0.5 x t</v>
          </cell>
          <cell r="C1393">
            <v>19</v>
          </cell>
          <cell r="D1393"/>
          <cell r="E1393"/>
          <cell r="F1393">
            <v>2</v>
          </cell>
          <cell r="G1393">
            <v>2</v>
          </cell>
          <cell r="H1393">
            <v>0.625</v>
          </cell>
          <cell r="I1393">
            <v>1.3858093126385808E-2</v>
          </cell>
          <cell r="J1393">
            <v>45.1</v>
          </cell>
          <cell r="K1393">
            <v>5</v>
          </cell>
          <cell r="L1393">
            <v>10</v>
          </cell>
          <cell r="M1393">
            <v>20</v>
          </cell>
          <cell r="N1393">
            <v>30</v>
          </cell>
          <cell r="O1393">
            <v>60</v>
          </cell>
          <cell r="P1393">
            <v>90</v>
          </cell>
        </row>
        <row r="1394">
          <cell r="A1394" t="str">
            <v>L180x13</v>
          </cell>
          <cell r="B1394" t="str">
            <v>a=0.5 x t</v>
          </cell>
          <cell r="C1394">
            <v>13</v>
          </cell>
          <cell r="D1394"/>
          <cell r="E1394"/>
          <cell r="F1394">
            <v>2</v>
          </cell>
          <cell r="G1394">
            <v>2</v>
          </cell>
          <cell r="H1394">
            <v>0.70499999999999996</v>
          </cell>
          <cell r="I1394">
            <v>1.9747899159663861E-2</v>
          </cell>
          <cell r="J1394">
            <v>35.700000000000003</v>
          </cell>
          <cell r="K1394">
            <v>5</v>
          </cell>
          <cell r="L1394">
            <v>10</v>
          </cell>
          <cell r="M1394">
            <v>20</v>
          </cell>
          <cell r="N1394">
            <v>30</v>
          </cell>
          <cell r="O1394">
            <v>60</v>
          </cell>
          <cell r="P1394">
            <v>90</v>
          </cell>
        </row>
        <row r="1395">
          <cell r="A1395" t="str">
            <v>L180x14</v>
          </cell>
          <cell r="B1395" t="str">
            <v>a=0.5 x t</v>
          </cell>
          <cell r="C1395">
            <v>14</v>
          </cell>
          <cell r="D1395"/>
          <cell r="E1395"/>
          <cell r="F1395">
            <v>2</v>
          </cell>
          <cell r="G1395">
            <v>2</v>
          </cell>
          <cell r="H1395">
            <v>0.70499999999999996</v>
          </cell>
          <cell r="I1395">
            <v>1.8407310704960836E-2</v>
          </cell>
          <cell r="J1395">
            <v>38.299999999999997</v>
          </cell>
          <cell r="K1395">
            <v>5</v>
          </cell>
          <cell r="L1395">
            <v>10</v>
          </cell>
          <cell r="M1395">
            <v>20</v>
          </cell>
          <cell r="N1395">
            <v>30</v>
          </cell>
          <cell r="O1395">
            <v>60</v>
          </cell>
          <cell r="P1395">
            <v>90</v>
          </cell>
        </row>
        <row r="1396">
          <cell r="A1396" t="str">
            <v>L180x15</v>
          </cell>
          <cell r="B1396" t="str">
            <v>a=0.5 x t</v>
          </cell>
          <cell r="C1396">
            <v>15</v>
          </cell>
          <cell r="D1396"/>
          <cell r="E1396"/>
          <cell r="F1396">
            <v>2</v>
          </cell>
          <cell r="G1396">
            <v>2</v>
          </cell>
          <cell r="H1396">
            <v>0.70499999999999996</v>
          </cell>
          <cell r="I1396">
            <v>1.7237163814180927E-2</v>
          </cell>
          <cell r="J1396">
            <v>40.9</v>
          </cell>
          <cell r="K1396">
            <v>5</v>
          </cell>
          <cell r="L1396">
            <v>10</v>
          </cell>
          <cell r="M1396">
            <v>20</v>
          </cell>
          <cell r="N1396">
            <v>30</v>
          </cell>
          <cell r="O1396">
            <v>60</v>
          </cell>
          <cell r="P1396">
            <v>90</v>
          </cell>
        </row>
        <row r="1397">
          <cell r="A1397" t="str">
            <v>L180x16</v>
          </cell>
          <cell r="B1397" t="str">
            <v>a=0.5 x t</v>
          </cell>
          <cell r="C1397">
            <v>16</v>
          </cell>
          <cell r="D1397"/>
          <cell r="E1397" t="str">
            <v>Jah</v>
          </cell>
          <cell r="F1397">
            <v>2</v>
          </cell>
          <cell r="G1397">
            <v>2</v>
          </cell>
          <cell r="H1397">
            <v>0.70499999999999996</v>
          </cell>
          <cell r="I1397">
            <v>1.6206896551724137E-2</v>
          </cell>
          <cell r="J1397">
            <v>43.5</v>
          </cell>
          <cell r="K1397">
            <v>5</v>
          </cell>
          <cell r="L1397">
            <v>10</v>
          </cell>
          <cell r="M1397">
            <v>20</v>
          </cell>
          <cell r="N1397">
            <v>30</v>
          </cell>
          <cell r="O1397">
            <v>60</v>
          </cell>
          <cell r="P1397">
            <v>90</v>
          </cell>
        </row>
        <row r="1398">
          <cell r="A1398" t="str">
            <v>L180x17</v>
          </cell>
          <cell r="B1398" t="str">
            <v>a=0.5 x t</v>
          </cell>
          <cell r="C1398">
            <v>17</v>
          </cell>
          <cell r="D1398"/>
          <cell r="E1398"/>
          <cell r="F1398">
            <v>2</v>
          </cell>
          <cell r="G1398">
            <v>2</v>
          </cell>
          <cell r="H1398">
            <v>0.70499999999999996</v>
          </cell>
          <cell r="I1398">
            <v>1.529284164859002E-2</v>
          </cell>
          <cell r="J1398">
            <v>46.1</v>
          </cell>
          <cell r="K1398">
            <v>5</v>
          </cell>
          <cell r="L1398">
            <v>10</v>
          </cell>
          <cell r="M1398">
            <v>20</v>
          </cell>
          <cell r="N1398">
            <v>30</v>
          </cell>
          <cell r="O1398">
            <v>60</v>
          </cell>
          <cell r="P1398">
            <v>90</v>
          </cell>
        </row>
        <row r="1399">
          <cell r="A1399" t="str">
            <v>L180x18</v>
          </cell>
          <cell r="B1399" t="str">
            <v>a=0.5 x t</v>
          </cell>
          <cell r="C1399">
            <v>18</v>
          </cell>
          <cell r="D1399"/>
          <cell r="E1399"/>
          <cell r="F1399">
            <v>2</v>
          </cell>
          <cell r="G1399">
            <v>2</v>
          </cell>
          <cell r="H1399">
            <v>0.70499999999999996</v>
          </cell>
          <cell r="I1399">
            <v>1.4506172839506172E-2</v>
          </cell>
          <cell r="J1399">
            <v>48.6</v>
          </cell>
          <cell r="K1399">
            <v>5</v>
          </cell>
          <cell r="L1399">
            <v>10</v>
          </cell>
          <cell r="M1399">
            <v>20</v>
          </cell>
          <cell r="N1399">
            <v>30</v>
          </cell>
          <cell r="O1399">
            <v>60</v>
          </cell>
          <cell r="P1399">
            <v>90</v>
          </cell>
        </row>
        <row r="1400">
          <cell r="A1400" t="str">
            <v>L180x19</v>
          </cell>
          <cell r="B1400" t="str">
            <v>a=0.5 x t</v>
          </cell>
          <cell r="C1400">
            <v>19</v>
          </cell>
          <cell r="D1400"/>
          <cell r="E1400"/>
          <cell r="F1400">
            <v>2</v>
          </cell>
          <cell r="G1400">
            <v>2</v>
          </cell>
          <cell r="H1400">
            <v>0.70499999999999996</v>
          </cell>
          <cell r="I1400">
            <v>1.3796477495107632E-2</v>
          </cell>
          <cell r="J1400">
            <v>51.1</v>
          </cell>
          <cell r="K1400">
            <v>5</v>
          </cell>
          <cell r="L1400">
            <v>10</v>
          </cell>
          <cell r="M1400">
            <v>20</v>
          </cell>
          <cell r="N1400">
            <v>30</v>
          </cell>
          <cell r="O1400">
            <v>60</v>
          </cell>
          <cell r="P1400">
            <v>90</v>
          </cell>
        </row>
        <row r="1401">
          <cell r="A1401" t="str">
            <v>L180x20</v>
          </cell>
          <cell r="B1401" t="str">
            <v>a=0.5 x t</v>
          </cell>
          <cell r="C1401">
            <v>20</v>
          </cell>
          <cell r="D1401"/>
          <cell r="E1401"/>
          <cell r="F1401">
            <v>2</v>
          </cell>
          <cell r="G1401">
            <v>2</v>
          </cell>
          <cell r="H1401">
            <v>0.71</v>
          </cell>
          <cell r="I1401">
            <v>1.3221601489757913E-2</v>
          </cell>
          <cell r="J1401">
            <v>53.7</v>
          </cell>
          <cell r="K1401">
            <v>5</v>
          </cell>
          <cell r="L1401">
            <v>10</v>
          </cell>
          <cell r="M1401">
            <v>20</v>
          </cell>
          <cell r="N1401">
            <v>30</v>
          </cell>
          <cell r="O1401">
            <v>60</v>
          </cell>
          <cell r="P1401">
            <v>90</v>
          </cell>
        </row>
        <row r="1402">
          <cell r="A1402" t="str">
            <v>L200x13</v>
          </cell>
          <cell r="B1402" t="str">
            <v>a=0.5 x t</v>
          </cell>
          <cell r="C1402">
            <v>13</v>
          </cell>
          <cell r="D1402"/>
          <cell r="E1402"/>
          <cell r="F1402">
            <v>2</v>
          </cell>
          <cell r="G1402">
            <v>2</v>
          </cell>
          <cell r="H1402">
            <v>0.78500000000000003</v>
          </cell>
          <cell r="I1402">
            <v>1.9723618090452262E-2</v>
          </cell>
          <cell r="J1402">
            <v>39.799999999999997</v>
          </cell>
          <cell r="K1402">
            <v>5</v>
          </cell>
          <cell r="L1402">
            <v>10</v>
          </cell>
          <cell r="M1402">
            <v>20</v>
          </cell>
          <cell r="N1402">
            <v>30</v>
          </cell>
          <cell r="O1402">
            <v>60</v>
          </cell>
          <cell r="P1402">
            <v>90</v>
          </cell>
        </row>
        <row r="1403">
          <cell r="A1403" t="str">
            <v>L200x15</v>
          </cell>
          <cell r="B1403" t="str">
            <v>a=0.5 x t</v>
          </cell>
          <cell r="C1403">
            <v>15</v>
          </cell>
          <cell r="D1403"/>
          <cell r="E1403"/>
          <cell r="F1403">
            <v>2</v>
          </cell>
          <cell r="G1403">
            <v>2</v>
          </cell>
          <cell r="H1403">
            <v>0.78500000000000003</v>
          </cell>
          <cell r="I1403">
            <v>1.7214912280701756E-2</v>
          </cell>
          <cell r="J1403">
            <v>45.6</v>
          </cell>
          <cell r="K1403">
            <v>5</v>
          </cell>
          <cell r="L1403">
            <v>10</v>
          </cell>
          <cell r="M1403">
            <v>20</v>
          </cell>
          <cell r="N1403">
            <v>30</v>
          </cell>
          <cell r="O1403">
            <v>60</v>
          </cell>
          <cell r="P1403">
            <v>90</v>
          </cell>
        </row>
        <row r="1404">
          <cell r="A1404" t="str">
            <v>L200x16</v>
          </cell>
          <cell r="B1404" t="str">
            <v>a=0.5 x t</v>
          </cell>
          <cell r="C1404">
            <v>16</v>
          </cell>
          <cell r="D1404"/>
          <cell r="E1404" t="str">
            <v>Jah</v>
          </cell>
          <cell r="F1404">
            <v>2</v>
          </cell>
          <cell r="G1404">
            <v>2</v>
          </cell>
          <cell r="H1404">
            <v>0.78500000000000003</v>
          </cell>
          <cell r="I1404">
            <v>1.6185567010309279E-2</v>
          </cell>
          <cell r="J1404">
            <v>48.5</v>
          </cell>
          <cell r="K1404">
            <v>5</v>
          </cell>
          <cell r="L1404">
            <v>10</v>
          </cell>
          <cell r="M1404">
            <v>20</v>
          </cell>
          <cell r="N1404">
            <v>30</v>
          </cell>
          <cell r="O1404">
            <v>60</v>
          </cell>
          <cell r="P1404">
            <v>90</v>
          </cell>
        </row>
        <row r="1405">
          <cell r="A1405" t="str">
            <v>L200x17</v>
          </cell>
          <cell r="B1405" t="str">
            <v>a=0.5 x t</v>
          </cell>
          <cell r="C1405">
            <v>17</v>
          </cell>
          <cell r="D1405"/>
          <cell r="E1405"/>
          <cell r="F1405">
            <v>2</v>
          </cell>
          <cell r="G1405">
            <v>2</v>
          </cell>
          <cell r="H1405">
            <v>0.78500000000000003</v>
          </cell>
          <cell r="I1405">
            <v>1.5272373540856032E-2</v>
          </cell>
          <cell r="J1405">
            <v>51.4</v>
          </cell>
          <cell r="K1405">
            <v>5</v>
          </cell>
          <cell r="L1405">
            <v>10</v>
          </cell>
          <cell r="M1405">
            <v>20</v>
          </cell>
          <cell r="N1405">
            <v>30</v>
          </cell>
          <cell r="O1405">
            <v>60</v>
          </cell>
          <cell r="P1405">
            <v>90</v>
          </cell>
        </row>
        <row r="1406">
          <cell r="A1406" t="str">
            <v>L200x18</v>
          </cell>
          <cell r="B1406" t="str">
            <v>a=0.5 x t</v>
          </cell>
          <cell r="C1406">
            <v>18</v>
          </cell>
          <cell r="D1406"/>
          <cell r="E1406"/>
          <cell r="F1406">
            <v>2</v>
          </cell>
          <cell r="G1406">
            <v>2</v>
          </cell>
          <cell r="H1406">
            <v>0.78500000000000003</v>
          </cell>
          <cell r="I1406">
            <v>1.4483394833948339E-2</v>
          </cell>
          <cell r="J1406">
            <v>54.2</v>
          </cell>
          <cell r="K1406">
            <v>5</v>
          </cell>
          <cell r="L1406">
            <v>10</v>
          </cell>
          <cell r="M1406">
            <v>20</v>
          </cell>
          <cell r="N1406">
            <v>30</v>
          </cell>
          <cell r="O1406">
            <v>60</v>
          </cell>
          <cell r="P1406">
            <v>90</v>
          </cell>
        </row>
        <row r="1407">
          <cell r="A1407" t="str">
            <v>L200x19</v>
          </cell>
          <cell r="B1407" t="str">
            <v>a=0.5 x t</v>
          </cell>
          <cell r="C1407">
            <v>19</v>
          </cell>
          <cell r="D1407"/>
          <cell r="E1407"/>
          <cell r="F1407">
            <v>2</v>
          </cell>
          <cell r="G1407">
            <v>2</v>
          </cell>
          <cell r="H1407">
            <v>0.78500000000000003</v>
          </cell>
          <cell r="I1407">
            <v>1.3747810858143607E-2</v>
          </cell>
          <cell r="J1407">
            <v>57.1</v>
          </cell>
          <cell r="K1407">
            <v>5</v>
          </cell>
          <cell r="L1407">
            <v>10</v>
          </cell>
          <cell r="M1407">
            <v>20</v>
          </cell>
          <cell r="N1407">
            <v>30</v>
          </cell>
          <cell r="O1407">
            <v>60</v>
          </cell>
          <cell r="P1407">
            <v>90</v>
          </cell>
        </row>
        <row r="1408">
          <cell r="A1408" t="str">
            <v>L200x20</v>
          </cell>
          <cell r="B1408" t="str">
            <v>a=0.5 x t</v>
          </cell>
          <cell r="C1408">
            <v>20</v>
          </cell>
          <cell r="D1408"/>
          <cell r="E1408"/>
          <cell r="F1408">
            <v>2</v>
          </cell>
          <cell r="G1408">
            <v>2</v>
          </cell>
          <cell r="H1408">
            <v>0.78500000000000003</v>
          </cell>
          <cell r="I1408">
            <v>1.310517529215359E-2</v>
          </cell>
          <cell r="J1408">
            <v>59.9</v>
          </cell>
          <cell r="K1408">
            <v>5</v>
          </cell>
          <cell r="L1408">
            <v>10</v>
          </cell>
          <cell r="M1408">
            <v>20</v>
          </cell>
          <cell r="N1408">
            <v>30</v>
          </cell>
          <cell r="O1408">
            <v>60</v>
          </cell>
          <cell r="P1408">
            <v>90</v>
          </cell>
        </row>
        <row r="1409">
          <cell r="A1409" t="str">
            <v>L200x21</v>
          </cell>
          <cell r="B1409" t="str">
            <v>a=0.5 x t</v>
          </cell>
          <cell r="C1409">
            <v>21</v>
          </cell>
          <cell r="D1409"/>
          <cell r="E1409"/>
          <cell r="F1409">
            <v>2</v>
          </cell>
          <cell r="G1409">
            <v>2</v>
          </cell>
          <cell r="H1409">
            <v>0.78500000000000003</v>
          </cell>
          <cell r="I1409">
            <v>1.251993620414673E-2</v>
          </cell>
          <cell r="J1409">
            <v>62.7</v>
          </cell>
          <cell r="K1409">
            <v>5</v>
          </cell>
          <cell r="L1409">
            <v>10</v>
          </cell>
          <cell r="M1409">
            <v>20</v>
          </cell>
          <cell r="N1409">
            <v>30</v>
          </cell>
          <cell r="O1409">
            <v>60</v>
          </cell>
          <cell r="P1409">
            <v>90</v>
          </cell>
        </row>
        <row r="1410">
          <cell r="A1410" t="str">
            <v>L200x22</v>
          </cell>
          <cell r="B1410" t="str">
            <v>a=0.5 x t</v>
          </cell>
          <cell r="C1410">
            <v>22</v>
          </cell>
          <cell r="D1410"/>
          <cell r="E1410"/>
          <cell r="F1410">
            <v>2</v>
          </cell>
          <cell r="G1410">
            <v>2</v>
          </cell>
          <cell r="H1410">
            <v>0.78500000000000003</v>
          </cell>
          <cell r="I1410">
            <v>1.1984732824427481E-2</v>
          </cell>
          <cell r="J1410">
            <v>65.5</v>
          </cell>
          <cell r="K1410">
            <v>5</v>
          </cell>
          <cell r="L1410">
            <v>10</v>
          </cell>
          <cell r="M1410">
            <v>20</v>
          </cell>
          <cell r="N1410">
            <v>30</v>
          </cell>
          <cell r="O1410">
            <v>60</v>
          </cell>
          <cell r="P1410">
            <v>90</v>
          </cell>
        </row>
        <row r="1411">
          <cell r="A1411" t="str">
            <v>L200x23</v>
          </cell>
          <cell r="B1411" t="str">
            <v>a=0.5 x t</v>
          </cell>
          <cell r="C1411">
            <v>23</v>
          </cell>
          <cell r="D1411"/>
          <cell r="E1411"/>
          <cell r="F1411">
            <v>2</v>
          </cell>
          <cell r="G1411">
            <v>2</v>
          </cell>
          <cell r="H1411">
            <v>0.78500000000000003</v>
          </cell>
          <cell r="I1411">
            <v>1.1476608187134502E-2</v>
          </cell>
          <cell r="J1411">
            <v>68.400000000000006</v>
          </cell>
          <cell r="K1411">
            <v>5</v>
          </cell>
          <cell r="L1411">
            <v>10</v>
          </cell>
          <cell r="M1411">
            <v>20</v>
          </cell>
          <cell r="N1411">
            <v>30</v>
          </cell>
          <cell r="O1411">
            <v>60</v>
          </cell>
          <cell r="P1411">
            <v>90</v>
          </cell>
        </row>
        <row r="1412">
          <cell r="A1412" t="str">
            <v>L200x24</v>
          </cell>
          <cell r="B1412" t="str">
            <v>a=0.5 x t</v>
          </cell>
          <cell r="C1412">
            <v>24</v>
          </cell>
          <cell r="D1412"/>
          <cell r="E1412"/>
          <cell r="F1412">
            <v>2</v>
          </cell>
          <cell r="G1412">
            <v>2</v>
          </cell>
          <cell r="H1412">
            <v>0.78500000000000003</v>
          </cell>
          <cell r="I1412">
            <v>1.1040787623066105E-2</v>
          </cell>
          <cell r="J1412">
            <v>71.099999999999994</v>
          </cell>
          <cell r="K1412">
            <v>5</v>
          </cell>
          <cell r="L1412">
            <v>10</v>
          </cell>
          <cell r="M1412">
            <v>20</v>
          </cell>
          <cell r="N1412">
            <v>30</v>
          </cell>
          <cell r="O1412">
            <v>60</v>
          </cell>
          <cell r="P1412">
            <v>90</v>
          </cell>
        </row>
        <row r="1413">
          <cell r="A1413" t="str">
            <v>L200x25</v>
          </cell>
          <cell r="B1413" t="str">
            <v>a=0.5 x t</v>
          </cell>
          <cell r="C1413">
            <v>25</v>
          </cell>
          <cell r="D1413"/>
          <cell r="E1413"/>
          <cell r="F1413">
            <v>2</v>
          </cell>
          <cell r="G1413">
            <v>2</v>
          </cell>
          <cell r="H1413">
            <v>0.78500000000000003</v>
          </cell>
          <cell r="I1413">
            <v>1.0622462787550744E-2</v>
          </cell>
          <cell r="J1413">
            <v>73.900000000000006</v>
          </cell>
          <cell r="K1413">
            <v>5</v>
          </cell>
          <cell r="L1413">
            <v>10</v>
          </cell>
          <cell r="M1413">
            <v>20</v>
          </cell>
          <cell r="N1413">
            <v>30</v>
          </cell>
          <cell r="O1413">
            <v>60</v>
          </cell>
          <cell r="P1413">
            <v>90</v>
          </cell>
        </row>
        <row r="1414">
          <cell r="A1414" t="str">
            <v>L200x26</v>
          </cell>
          <cell r="B1414" t="str">
            <v>a=0.5 x t</v>
          </cell>
          <cell r="C1414">
            <v>26</v>
          </cell>
          <cell r="D1414"/>
          <cell r="E1414"/>
          <cell r="F1414">
            <v>2</v>
          </cell>
          <cell r="G1414">
            <v>2</v>
          </cell>
          <cell r="H1414">
            <v>0.78500000000000003</v>
          </cell>
          <cell r="I1414">
            <v>1.024804177545692E-2</v>
          </cell>
          <cell r="J1414">
            <v>76.599999999999994</v>
          </cell>
          <cell r="K1414">
            <v>5</v>
          </cell>
          <cell r="L1414">
            <v>10</v>
          </cell>
          <cell r="M1414">
            <v>20</v>
          </cell>
          <cell r="N1414">
            <v>30</v>
          </cell>
          <cell r="O1414">
            <v>60</v>
          </cell>
          <cell r="P1414">
            <v>90</v>
          </cell>
        </row>
        <row r="1415">
          <cell r="A1415" t="str">
            <v>L200x28</v>
          </cell>
          <cell r="B1415" t="str">
            <v>a=0.5 x t</v>
          </cell>
          <cell r="C1415">
            <v>28</v>
          </cell>
          <cell r="D1415"/>
          <cell r="E1415"/>
          <cell r="F1415">
            <v>2</v>
          </cell>
          <cell r="G1415">
            <v>2</v>
          </cell>
          <cell r="H1415">
            <v>0.78500000000000003</v>
          </cell>
          <cell r="I1415">
            <v>9.5266990291262132E-3</v>
          </cell>
          <cell r="J1415">
            <v>82.4</v>
          </cell>
          <cell r="K1415">
            <v>5</v>
          </cell>
          <cell r="L1415">
            <v>10</v>
          </cell>
          <cell r="M1415">
            <v>20</v>
          </cell>
          <cell r="N1415">
            <v>30</v>
          </cell>
          <cell r="O1415">
            <v>60</v>
          </cell>
          <cell r="P1415">
            <v>90</v>
          </cell>
        </row>
        <row r="1416">
          <cell r="A1416" t="str">
            <v>L250x17</v>
          </cell>
          <cell r="B1416" t="str">
            <v>a=0.5 x t</v>
          </cell>
          <cell r="C1416">
            <v>17</v>
          </cell>
          <cell r="D1416"/>
          <cell r="E1416"/>
          <cell r="F1416">
            <v>3</v>
          </cell>
          <cell r="G1416">
            <v>2</v>
          </cell>
          <cell r="H1416">
            <v>0.98</v>
          </cell>
          <cell r="I1416">
            <v>1.5217391304347825E-2</v>
          </cell>
          <cell r="J1416">
            <v>64.400000000000006</v>
          </cell>
          <cell r="K1416">
            <v>10</v>
          </cell>
          <cell r="L1416">
            <v>20</v>
          </cell>
          <cell r="M1416">
            <v>30</v>
          </cell>
          <cell r="N1416">
            <v>40</v>
          </cell>
          <cell r="O1416">
            <v>90</v>
          </cell>
          <cell r="P1416">
            <v>120</v>
          </cell>
        </row>
        <row r="1417">
          <cell r="A1417" t="str">
            <v>L250x18</v>
          </cell>
          <cell r="B1417" t="str">
            <v>a=0.5 x t</v>
          </cell>
          <cell r="C1417">
            <v>18</v>
          </cell>
          <cell r="D1417"/>
          <cell r="E1417"/>
          <cell r="F1417">
            <v>3</v>
          </cell>
          <cell r="G1417">
            <v>2</v>
          </cell>
          <cell r="H1417">
            <v>0.98</v>
          </cell>
          <cell r="I1417">
            <v>1.4390602055800294E-2</v>
          </cell>
          <cell r="J1417">
            <v>68.099999999999994</v>
          </cell>
          <cell r="K1417">
            <v>10</v>
          </cell>
          <cell r="L1417">
            <v>20</v>
          </cell>
          <cell r="M1417">
            <v>30</v>
          </cell>
          <cell r="N1417">
            <v>40</v>
          </cell>
          <cell r="O1417">
            <v>90</v>
          </cell>
          <cell r="P1417">
            <v>120</v>
          </cell>
        </row>
        <row r="1418">
          <cell r="A1418" t="str">
            <v>L250x19</v>
          </cell>
          <cell r="B1418" t="str">
            <v>a=0.5 x t</v>
          </cell>
          <cell r="C1418">
            <v>19</v>
          </cell>
          <cell r="D1418"/>
          <cell r="E1418"/>
          <cell r="F1418">
            <v>3</v>
          </cell>
          <cell r="G1418">
            <v>2</v>
          </cell>
          <cell r="H1418">
            <v>0.98</v>
          </cell>
          <cell r="I1418">
            <v>1.3668061366806136E-2</v>
          </cell>
          <cell r="J1418">
            <v>71.7</v>
          </cell>
          <cell r="K1418">
            <v>10</v>
          </cell>
          <cell r="L1418">
            <v>20</v>
          </cell>
          <cell r="M1418">
            <v>30</v>
          </cell>
          <cell r="N1418">
            <v>40</v>
          </cell>
          <cell r="O1418">
            <v>90</v>
          </cell>
          <cell r="P1418">
            <v>120</v>
          </cell>
        </row>
        <row r="1419">
          <cell r="A1419" t="str">
            <v>L250x20</v>
          </cell>
          <cell r="B1419" t="str">
            <v>a=0.5 x t</v>
          </cell>
          <cell r="C1419">
            <v>20</v>
          </cell>
          <cell r="D1419"/>
          <cell r="E1419"/>
          <cell r="F1419">
            <v>3</v>
          </cell>
          <cell r="G1419">
            <v>2</v>
          </cell>
          <cell r="H1419">
            <v>0.98</v>
          </cell>
          <cell r="I1419">
            <v>1.29973474801061E-2</v>
          </cell>
          <cell r="J1419">
            <v>75.400000000000006</v>
          </cell>
          <cell r="K1419">
            <v>10</v>
          </cell>
          <cell r="L1419">
            <v>20</v>
          </cell>
          <cell r="M1419">
            <v>30</v>
          </cell>
          <cell r="N1419">
            <v>40</v>
          </cell>
          <cell r="O1419">
            <v>90</v>
          </cell>
          <cell r="P1419">
            <v>120</v>
          </cell>
        </row>
        <row r="1420">
          <cell r="A1420" t="str">
            <v>L250x21</v>
          </cell>
          <cell r="B1420" t="str">
            <v>a=0.5 x t</v>
          </cell>
          <cell r="C1420">
            <v>21</v>
          </cell>
          <cell r="D1420"/>
          <cell r="E1420"/>
          <cell r="F1420">
            <v>3</v>
          </cell>
          <cell r="G1420">
            <v>2</v>
          </cell>
          <cell r="H1420">
            <v>0.98</v>
          </cell>
          <cell r="I1420">
            <v>1.240506329113924E-2</v>
          </cell>
          <cell r="J1420">
            <v>79</v>
          </cell>
          <cell r="K1420">
            <v>10</v>
          </cell>
          <cell r="L1420">
            <v>20</v>
          </cell>
          <cell r="M1420">
            <v>30</v>
          </cell>
          <cell r="N1420">
            <v>40</v>
          </cell>
          <cell r="O1420">
            <v>90</v>
          </cell>
          <cell r="P1420">
            <v>120</v>
          </cell>
        </row>
        <row r="1421">
          <cell r="A1421" t="str">
            <v>L250x22</v>
          </cell>
          <cell r="B1421" t="str">
            <v>a=0.5 x t</v>
          </cell>
          <cell r="C1421">
            <v>22</v>
          </cell>
          <cell r="D1421"/>
          <cell r="E1421"/>
          <cell r="F1421">
            <v>3</v>
          </cell>
          <cell r="G1421">
            <v>2</v>
          </cell>
          <cell r="H1421">
            <v>0.98</v>
          </cell>
          <cell r="I1421">
            <v>1.1878787878787879E-2</v>
          </cell>
          <cell r="J1421">
            <v>82.5</v>
          </cell>
          <cell r="K1421">
            <v>10</v>
          </cell>
          <cell r="L1421">
            <v>20</v>
          </cell>
          <cell r="M1421">
            <v>30</v>
          </cell>
          <cell r="N1421">
            <v>40</v>
          </cell>
          <cell r="O1421">
            <v>90</v>
          </cell>
          <cell r="P1421">
            <v>120</v>
          </cell>
        </row>
        <row r="1422">
          <cell r="A1422" t="str">
            <v>L250x23</v>
          </cell>
          <cell r="B1422" t="str">
            <v>a=0.5 x t</v>
          </cell>
          <cell r="C1422">
            <v>23</v>
          </cell>
          <cell r="D1422"/>
          <cell r="E1422"/>
          <cell r="F1422">
            <v>3</v>
          </cell>
          <cell r="G1422">
            <v>2</v>
          </cell>
          <cell r="H1422">
            <v>0.98</v>
          </cell>
          <cell r="I1422">
            <v>1.1382113821138212E-2</v>
          </cell>
          <cell r="J1422">
            <v>86.1</v>
          </cell>
          <cell r="K1422">
            <v>10</v>
          </cell>
          <cell r="L1422">
            <v>20</v>
          </cell>
          <cell r="M1422">
            <v>30</v>
          </cell>
          <cell r="N1422">
            <v>40</v>
          </cell>
          <cell r="O1422">
            <v>90</v>
          </cell>
          <cell r="P1422">
            <v>120</v>
          </cell>
        </row>
        <row r="1423">
          <cell r="A1423" t="str">
            <v>L250x24</v>
          </cell>
          <cell r="B1423" t="str">
            <v>a=0.5 x t</v>
          </cell>
          <cell r="C1423">
            <v>24</v>
          </cell>
          <cell r="D1423"/>
          <cell r="E1423"/>
          <cell r="F1423">
            <v>3</v>
          </cell>
          <cell r="G1423">
            <v>2</v>
          </cell>
          <cell r="H1423">
            <v>0.98</v>
          </cell>
          <cell r="I1423">
            <v>1.0937500000000001E-2</v>
          </cell>
          <cell r="J1423">
            <v>89.6</v>
          </cell>
          <cell r="K1423">
            <v>10</v>
          </cell>
          <cell r="L1423">
            <v>20</v>
          </cell>
          <cell r="M1423">
            <v>30</v>
          </cell>
          <cell r="N1423">
            <v>40</v>
          </cell>
          <cell r="O1423">
            <v>90</v>
          </cell>
          <cell r="P1423">
            <v>120</v>
          </cell>
        </row>
        <row r="1424">
          <cell r="A1424" t="str">
            <v>L250x25</v>
          </cell>
          <cell r="B1424" t="str">
            <v>a=0.5 x t</v>
          </cell>
          <cell r="C1424">
            <v>25</v>
          </cell>
          <cell r="D1424"/>
          <cell r="E1424"/>
          <cell r="F1424">
            <v>3</v>
          </cell>
          <cell r="G1424">
            <v>2</v>
          </cell>
          <cell r="H1424">
            <v>0.98</v>
          </cell>
          <cell r="I1424">
            <v>1.0515021459227468E-2</v>
          </cell>
          <cell r="J1424">
            <v>93.2</v>
          </cell>
          <cell r="K1424">
            <v>10</v>
          </cell>
          <cell r="L1424">
            <v>20</v>
          </cell>
          <cell r="M1424">
            <v>30</v>
          </cell>
          <cell r="N1424">
            <v>40</v>
          </cell>
          <cell r="O1424">
            <v>90</v>
          </cell>
          <cell r="P1424">
            <v>120</v>
          </cell>
        </row>
        <row r="1425">
          <cell r="A1425" t="str">
            <v>L250x26</v>
          </cell>
          <cell r="B1425" t="str">
            <v>a=0.5 x t</v>
          </cell>
          <cell r="C1425">
            <v>26</v>
          </cell>
          <cell r="D1425"/>
          <cell r="E1425"/>
          <cell r="F1425">
            <v>3</v>
          </cell>
          <cell r="G1425">
            <v>2</v>
          </cell>
          <cell r="H1425">
            <v>0.98</v>
          </cell>
          <cell r="I1425">
            <v>1.013443640124095E-2</v>
          </cell>
          <cell r="J1425">
            <v>96.7</v>
          </cell>
          <cell r="K1425">
            <v>10</v>
          </cell>
          <cell r="L1425">
            <v>20</v>
          </cell>
          <cell r="M1425">
            <v>30</v>
          </cell>
          <cell r="N1425">
            <v>40</v>
          </cell>
          <cell r="O1425">
            <v>90</v>
          </cell>
          <cell r="P1425">
            <v>120</v>
          </cell>
        </row>
        <row r="1426">
          <cell r="A1426" t="str">
            <v>L250x27</v>
          </cell>
          <cell r="B1426" t="str">
            <v>a=0.5 x t</v>
          </cell>
          <cell r="C1426">
            <v>27</v>
          </cell>
          <cell r="D1426"/>
          <cell r="E1426"/>
          <cell r="F1426">
            <v>3</v>
          </cell>
          <cell r="G1426">
            <v>2</v>
          </cell>
          <cell r="H1426">
            <v>0.98</v>
          </cell>
          <cell r="I1426">
            <v>9.780439121756487E-3</v>
          </cell>
          <cell r="J1426">
            <v>100.2</v>
          </cell>
          <cell r="K1426">
            <v>10</v>
          </cell>
          <cell r="L1426">
            <v>20</v>
          </cell>
          <cell r="M1426">
            <v>30</v>
          </cell>
          <cell r="N1426">
            <v>40</v>
          </cell>
          <cell r="O1426">
            <v>90</v>
          </cell>
          <cell r="P1426">
            <v>120</v>
          </cell>
        </row>
        <row r="1427">
          <cell r="A1427" t="str">
            <v>L250x28</v>
          </cell>
          <cell r="B1427" t="str">
            <v>a=0.5 x t</v>
          </cell>
          <cell r="C1427">
            <v>28</v>
          </cell>
          <cell r="D1427"/>
          <cell r="E1427"/>
          <cell r="F1427">
            <v>3</v>
          </cell>
          <cell r="G1427">
            <v>2</v>
          </cell>
          <cell r="H1427">
            <v>0.98</v>
          </cell>
          <cell r="I1427">
            <v>9.3869731800766271E-3</v>
          </cell>
          <cell r="J1427">
            <v>104.4</v>
          </cell>
          <cell r="K1427">
            <v>10</v>
          </cell>
          <cell r="L1427">
            <v>20</v>
          </cell>
          <cell r="M1427">
            <v>30</v>
          </cell>
          <cell r="N1427">
            <v>40</v>
          </cell>
          <cell r="O1427">
            <v>90</v>
          </cell>
          <cell r="P1427">
            <v>120</v>
          </cell>
        </row>
        <row r="1428">
          <cell r="A1428" t="str">
            <v>L250x29</v>
          </cell>
          <cell r="B1428" t="str">
            <v>a=0.5 x t</v>
          </cell>
          <cell r="C1428">
            <v>29</v>
          </cell>
          <cell r="D1428"/>
          <cell r="E1428"/>
          <cell r="F1428">
            <v>3</v>
          </cell>
          <cell r="G1428">
            <v>2</v>
          </cell>
          <cell r="H1428">
            <v>0.98</v>
          </cell>
          <cell r="I1428">
            <v>9.1417910447761184E-3</v>
          </cell>
          <cell r="J1428">
            <v>107.2</v>
          </cell>
          <cell r="K1428">
            <v>10</v>
          </cell>
          <cell r="L1428">
            <v>20</v>
          </cell>
          <cell r="M1428">
            <v>30</v>
          </cell>
          <cell r="N1428">
            <v>40</v>
          </cell>
          <cell r="O1428">
            <v>90</v>
          </cell>
          <cell r="P1428">
            <v>120</v>
          </cell>
        </row>
        <row r="1429">
          <cell r="A1429" t="str">
            <v>L250x30</v>
          </cell>
          <cell r="B1429" t="str">
            <v>a=0.5 x t</v>
          </cell>
          <cell r="C1429">
            <v>30</v>
          </cell>
          <cell r="D1429"/>
          <cell r="E1429"/>
          <cell r="F1429">
            <v>3</v>
          </cell>
          <cell r="G1429">
            <v>2</v>
          </cell>
          <cell r="H1429">
            <v>0.98</v>
          </cell>
          <cell r="I1429">
            <v>8.8527551942186086E-3</v>
          </cell>
          <cell r="J1429">
            <v>110.7</v>
          </cell>
          <cell r="K1429">
            <v>10</v>
          </cell>
          <cell r="L1429">
            <v>20</v>
          </cell>
          <cell r="M1429">
            <v>30</v>
          </cell>
          <cell r="N1429">
            <v>40</v>
          </cell>
          <cell r="O1429">
            <v>90</v>
          </cell>
          <cell r="P1429">
            <v>120</v>
          </cell>
        </row>
        <row r="1430">
          <cell r="A1430" t="str">
            <v>L250x31</v>
          </cell>
          <cell r="B1430" t="str">
            <v>a=0.5 x t</v>
          </cell>
          <cell r="C1430">
            <v>31</v>
          </cell>
          <cell r="D1430"/>
          <cell r="E1430"/>
          <cell r="F1430">
            <v>3</v>
          </cell>
          <cell r="G1430">
            <v>2</v>
          </cell>
          <cell r="H1430">
            <v>0.98</v>
          </cell>
          <cell r="I1430">
            <v>8.5889570552147246E-3</v>
          </cell>
          <cell r="J1430">
            <v>114.1</v>
          </cell>
          <cell r="K1430">
            <v>10</v>
          </cell>
          <cell r="L1430">
            <v>20</v>
          </cell>
          <cell r="M1430">
            <v>30</v>
          </cell>
          <cell r="N1430">
            <v>40</v>
          </cell>
          <cell r="O1430">
            <v>90</v>
          </cell>
          <cell r="P1430">
            <v>120</v>
          </cell>
        </row>
        <row r="1431">
          <cell r="A1431" t="str">
            <v>L250x32</v>
          </cell>
          <cell r="B1431" t="str">
            <v>a=0.5 x t</v>
          </cell>
          <cell r="C1431">
            <v>32</v>
          </cell>
          <cell r="D1431"/>
          <cell r="E1431"/>
          <cell r="F1431">
            <v>3</v>
          </cell>
          <cell r="G1431">
            <v>2</v>
          </cell>
          <cell r="H1431">
            <v>0.98</v>
          </cell>
          <cell r="I1431">
            <v>8.3404255319148926E-3</v>
          </cell>
          <cell r="J1431">
            <v>117.5</v>
          </cell>
          <cell r="K1431">
            <v>10</v>
          </cell>
          <cell r="L1431">
            <v>20</v>
          </cell>
          <cell r="M1431">
            <v>30</v>
          </cell>
          <cell r="N1431">
            <v>40</v>
          </cell>
          <cell r="O1431">
            <v>90</v>
          </cell>
          <cell r="P1431">
            <v>120</v>
          </cell>
        </row>
        <row r="1432">
          <cell r="A1432" t="str">
            <v>L250x33</v>
          </cell>
          <cell r="B1432" t="str">
            <v>a=0.5 x t</v>
          </cell>
          <cell r="C1432">
            <v>33</v>
          </cell>
          <cell r="D1432"/>
          <cell r="E1432"/>
          <cell r="F1432">
            <v>3</v>
          </cell>
          <cell r="G1432">
            <v>2</v>
          </cell>
          <cell r="H1432">
            <v>0.98</v>
          </cell>
          <cell r="I1432">
            <v>8.0991735537190076E-3</v>
          </cell>
          <cell r="J1432">
            <v>121</v>
          </cell>
          <cell r="K1432">
            <v>10</v>
          </cell>
          <cell r="L1432">
            <v>20</v>
          </cell>
          <cell r="M1432">
            <v>30</v>
          </cell>
          <cell r="N1432">
            <v>40</v>
          </cell>
          <cell r="O1432">
            <v>90</v>
          </cell>
          <cell r="P1432">
            <v>120</v>
          </cell>
        </row>
        <row r="1433">
          <cell r="A1433" t="str">
            <v>L250x34</v>
          </cell>
          <cell r="B1433" t="str">
            <v>a=0.5 x t</v>
          </cell>
          <cell r="C1433">
            <v>34</v>
          </cell>
          <cell r="D1433"/>
          <cell r="E1433"/>
          <cell r="F1433">
            <v>3</v>
          </cell>
          <cell r="G1433">
            <v>2</v>
          </cell>
          <cell r="H1433">
            <v>0.98</v>
          </cell>
          <cell r="I1433">
            <v>7.8841512469831048E-3</v>
          </cell>
          <cell r="J1433">
            <v>124.3</v>
          </cell>
          <cell r="K1433">
            <v>10</v>
          </cell>
          <cell r="L1433">
            <v>20</v>
          </cell>
          <cell r="M1433">
            <v>30</v>
          </cell>
          <cell r="N1433">
            <v>40</v>
          </cell>
          <cell r="O1433">
            <v>90</v>
          </cell>
          <cell r="P1433">
            <v>120</v>
          </cell>
        </row>
        <row r="1434">
          <cell r="A1434" t="str">
            <v>L250x35</v>
          </cell>
          <cell r="B1434" t="str">
            <v>a=0.5 x t</v>
          </cell>
          <cell r="C1434">
            <v>35</v>
          </cell>
          <cell r="D1434"/>
          <cell r="E1434"/>
          <cell r="F1434">
            <v>3</v>
          </cell>
          <cell r="G1434">
            <v>2</v>
          </cell>
          <cell r="H1434">
            <v>0.98</v>
          </cell>
          <cell r="I1434">
            <v>7.6742364917776031E-3</v>
          </cell>
          <cell r="J1434">
            <v>127.7</v>
          </cell>
          <cell r="K1434">
            <v>10</v>
          </cell>
          <cell r="L1434">
            <v>20</v>
          </cell>
          <cell r="M1434">
            <v>30</v>
          </cell>
          <cell r="N1434">
            <v>40</v>
          </cell>
          <cell r="O1434">
            <v>90</v>
          </cell>
          <cell r="P1434">
            <v>120</v>
          </cell>
        </row>
        <row r="1435">
          <cell r="A1435" t="str">
            <v>L300x25</v>
          </cell>
          <cell r="B1435" t="str">
            <v>a=0.5 x t</v>
          </cell>
          <cell r="C1435">
            <v>25</v>
          </cell>
          <cell r="D1435"/>
          <cell r="E1435"/>
          <cell r="F1435">
            <v>3</v>
          </cell>
          <cell r="G1435">
            <v>2</v>
          </cell>
          <cell r="H1435">
            <v>1.17</v>
          </cell>
          <cell r="I1435">
            <v>1.044642857142857E-2</v>
          </cell>
          <cell r="J1435">
            <v>112</v>
          </cell>
          <cell r="K1435">
            <v>10</v>
          </cell>
          <cell r="L1435">
            <v>20</v>
          </cell>
          <cell r="M1435">
            <v>30</v>
          </cell>
          <cell r="N1435">
            <v>40</v>
          </cell>
          <cell r="O1435">
            <v>90</v>
          </cell>
          <cell r="P1435">
            <v>120</v>
          </cell>
        </row>
        <row r="1436">
          <cell r="A1436" t="str">
            <v>L300x26</v>
          </cell>
          <cell r="B1436" t="str">
            <v>a=0.5 x t</v>
          </cell>
          <cell r="C1436">
            <v>26</v>
          </cell>
          <cell r="D1436"/>
          <cell r="E1436"/>
          <cell r="F1436">
            <v>3</v>
          </cell>
          <cell r="G1436">
            <v>2</v>
          </cell>
          <cell r="H1436">
            <v>1.17</v>
          </cell>
          <cell r="I1436">
            <v>1.0060189165950129E-2</v>
          </cell>
          <cell r="J1436">
            <v>116.3</v>
          </cell>
          <cell r="K1436">
            <v>10</v>
          </cell>
          <cell r="L1436">
            <v>20</v>
          </cell>
          <cell r="M1436">
            <v>30</v>
          </cell>
          <cell r="N1436">
            <v>40</v>
          </cell>
          <cell r="O1436">
            <v>90</v>
          </cell>
          <cell r="P1436">
            <v>120</v>
          </cell>
        </row>
        <row r="1437">
          <cell r="A1437" t="str">
            <v>L300x27</v>
          </cell>
          <cell r="B1437" t="str">
            <v>a=0.5 x t</v>
          </cell>
          <cell r="C1437">
            <v>27</v>
          </cell>
          <cell r="D1437"/>
          <cell r="E1437"/>
          <cell r="F1437">
            <v>3</v>
          </cell>
          <cell r="G1437">
            <v>2</v>
          </cell>
          <cell r="H1437">
            <v>1.17</v>
          </cell>
          <cell r="I1437">
            <v>9.6934548467274232E-3</v>
          </cell>
          <cell r="J1437">
            <v>120.7</v>
          </cell>
          <cell r="K1437">
            <v>10</v>
          </cell>
          <cell r="L1437">
            <v>20</v>
          </cell>
          <cell r="M1437">
            <v>30</v>
          </cell>
          <cell r="N1437">
            <v>40</v>
          </cell>
          <cell r="O1437">
            <v>90</v>
          </cell>
          <cell r="P1437">
            <v>120</v>
          </cell>
        </row>
        <row r="1438">
          <cell r="A1438" t="str">
            <v>L300x28</v>
          </cell>
          <cell r="B1438" t="str">
            <v>a=0.5 x t</v>
          </cell>
          <cell r="C1438">
            <v>28</v>
          </cell>
          <cell r="D1438"/>
          <cell r="E1438"/>
          <cell r="F1438">
            <v>3</v>
          </cell>
          <cell r="G1438">
            <v>2</v>
          </cell>
          <cell r="H1438">
            <v>1.17</v>
          </cell>
          <cell r="I1438">
            <v>9.3674939951961557E-3</v>
          </cell>
          <cell r="J1438">
            <v>124.9</v>
          </cell>
          <cell r="K1438">
            <v>10</v>
          </cell>
          <cell r="L1438">
            <v>20</v>
          </cell>
          <cell r="M1438">
            <v>30</v>
          </cell>
          <cell r="N1438">
            <v>40</v>
          </cell>
          <cell r="O1438">
            <v>90</v>
          </cell>
          <cell r="P1438">
            <v>120</v>
          </cell>
        </row>
        <row r="1439">
          <cell r="A1439" t="str">
            <v>L300x29</v>
          </cell>
          <cell r="B1439" t="str">
            <v>a=0.5 x t</v>
          </cell>
          <cell r="C1439">
            <v>29</v>
          </cell>
          <cell r="D1439"/>
          <cell r="E1439"/>
          <cell r="F1439">
            <v>3</v>
          </cell>
          <cell r="G1439">
            <v>2</v>
          </cell>
          <cell r="H1439">
            <v>1.17</v>
          </cell>
          <cell r="I1439">
            <v>9.0557275541795663E-3</v>
          </cell>
          <cell r="J1439">
            <v>129.19999999999999</v>
          </cell>
          <cell r="K1439">
            <v>10</v>
          </cell>
          <cell r="L1439">
            <v>20</v>
          </cell>
          <cell r="M1439">
            <v>30</v>
          </cell>
          <cell r="N1439">
            <v>40</v>
          </cell>
          <cell r="O1439">
            <v>90</v>
          </cell>
          <cell r="P1439">
            <v>120</v>
          </cell>
        </row>
        <row r="1440">
          <cell r="A1440" t="str">
            <v>L300x30</v>
          </cell>
          <cell r="B1440" t="str">
            <v>a=0.5 x t</v>
          </cell>
          <cell r="C1440">
            <v>30</v>
          </cell>
          <cell r="D1440"/>
          <cell r="E1440"/>
          <cell r="F1440">
            <v>3</v>
          </cell>
          <cell r="G1440">
            <v>2</v>
          </cell>
          <cell r="H1440">
            <v>1.17</v>
          </cell>
          <cell r="I1440">
            <v>8.7706146926536718E-3</v>
          </cell>
          <cell r="J1440">
            <v>133.4</v>
          </cell>
          <cell r="K1440">
            <v>10</v>
          </cell>
          <cell r="L1440">
            <v>20</v>
          </cell>
          <cell r="M1440">
            <v>30</v>
          </cell>
          <cell r="N1440">
            <v>40</v>
          </cell>
          <cell r="O1440">
            <v>90</v>
          </cell>
          <cell r="P1440">
            <v>120</v>
          </cell>
        </row>
        <row r="1441">
          <cell r="A1441" t="str">
            <v>L300x31</v>
          </cell>
          <cell r="B1441" t="str">
            <v>a=0.5 x t</v>
          </cell>
          <cell r="C1441">
            <v>31</v>
          </cell>
          <cell r="D1441"/>
          <cell r="E1441"/>
          <cell r="F1441">
            <v>3</v>
          </cell>
          <cell r="G1441">
            <v>2</v>
          </cell>
          <cell r="H1441">
            <v>1.17</v>
          </cell>
          <cell r="I1441">
            <v>8.4967320261437919E-3</v>
          </cell>
          <cell r="J1441">
            <v>137.69999999999999</v>
          </cell>
          <cell r="K1441">
            <v>10</v>
          </cell>
          <cell r="L1441">
            <v>20</v>
          </cell>
          <cell r="M1441">
            <v>30</v>
          </cell>
          <cell r="N1441">
            <v>40</v>
          </cell>
          <cell r="O1441">
            <v>90</v>
          </cell>
          <cell r="P1441">
            <v>120</v>
          </cell>
        </row>
        <row r="1442">
          <cell r="A1442" t="str">
            <v>L300x32</v>
          </cell>
          <cell r="B1442" t="str">
            <v>a=0.5 x t</v>
          </cell>
          <cell r="C1442">
            <v>32</v>
          </cell>
          <cell r="D1442"/>
          <cell r="E1442"/>
          <cell r="F1442">
            <v>3</v>
          </cell>
          <cell r="G1442">
            <v>2</v>
          </cell>
          <cell r="H1442">
            <v>1.17</v>
          </cell>
          <cell r="I1442">
            <v>8.2510578279266569E-3</v>
          </cell>
          <cell r="J1442">
            <v>141.80000000000001</v>
          </cell>
          <cell r="K1442">
            <v>10</v>
          </cell>
          <cell r="L1442">
            <v>20</v>
          </cell>
          <cell r="M1442">
            <v>30</v>
          </cell>
          <cell r="N1442">
            <v>40</v>
          </cell>
          <cell r="O1442">
            <v>90</v>
          </cell>
          <cell r="P1442">
            <v>120</v>
          </cell>
        </row>
        <row r="1443">
          <cell r="A1443" t="str">
            <v>L300x33</v>
          </cell>
          <cell r="B1443" t="str">
            <v>a=0.5 x t</v>
          </cell>
          <cell r="C1443">
            <v>33</v>
          </cell>
          <cell r="D1443"/>
          <cell r="E1443"/>
          <cell r="F1443">
            <v>3</v>
          </cell>
          <cell r="G1443">
            <v>2</v>
          </cell>
          <cell r="H1443">
            <v>1.17</v>
          </cell>
          <cell r="I1443">
            <v>8.0082135523613963E-3</v>
          </cell>
          <cell r="J1443">
            <v>146.1</v>
          </cell>
          <cell r="K1443">
            <v>10</v>
          </cell>
          <cell r="L1443">
            <v>20</v>
          </cell>
          <cell r="M1443">
            <v>30</v>
          </cell>
          <cell r="N1443">
            <v>40</v>
          </cell>
          <cell r="O1443">
            <v>90</v>
          </cell>
          <cell r="P1443">
            <v>120</v>
          </cell>
        </row>
        <row r="1444">
          <cell r="A1444" t="str">
            <v>L300x34</v>
          </cell>
          <cell r="B1444" t="str">
            <v>a=0.5 x t</v>
          </cell>
          <cell r="C1444">
            <v>34</v>
          </cell>
          <cell r="D1444"/>
          <cell r="E1444"/>
          <cell r="F1444">
            <v>3</v>
          </cell>
          <cell r="G1444">
            <v>2</v>
          </cell>
          <cell r="H1444">
            <v>1.17</v>
          </cell>
          <cell r="I1444">
            <v>7.7896138482023971E-3</v>
          </cell>
          <cell r="J1444">
            <v>150.19999999999999</v>
          </cell>
          <cell r="K1444">
            <v>10</v>
          </cell>
          <cell r="L1444">
            <v>20</v>
          </cell>
          <cell r="M1444">
            <v>30</v>
          </cell>
          <cell r="N1444">
            <v>40</v>
          </cell>
          <cell r="O1444">
            <v>90</v>
          </cell>
          <cell r="P1444">
            <v>120</v>
          </cell>
        </row>
        <row r="1445">
          <cell r="A1445" t="str">
            <v>L300x35</v>
          </cell>
          <cell r="B1445" t="str">
            <v>a=0.5 x t</v>
          </cell>
          <cell r="C1445">
            <v>35</v>
          </cell>
          <cell r="D1445"/>
          <cell r="E1445"/>
          <cell r="F1445">
            <v>3</v>
          </cell>
          <cell r="G1445">
            <v>2</v>
          </cell>
          <cell r="H1445">
            <v>1.17</v>
          </cell>
          <cell r="I1445">
            <v>7.5777202072538855E-3</v>
          </cell>
          <cell r="J1445">
            <v>154.4</v>
          </cell>
          <cell r="K1445">
            <v>10</v>
          </cell>
          <cell r="L1445">
            <v>20</v>
          </cell>
          <cell r="M1445">
            <v>30</v>
          </cell>
          <cell r="N1445">
            <v>40</v>
          </cell>
          <cell r="O1445">
            <v>90</v>
          </cell>
          <cell r="P1445">
            <v>120</v>
          </cell>
        </row>
        <row r="1446">
          <cell r="A1446" t="str">
            <v>L75x50x6</v>
          </cell>
          <cell r="B1446" t="str">
            <v>a=0.5 x t</v>
          </cell>
          <cell r="C1446">
            <v>6</v>
          </cell>
          <cell r="D1446"/>
          <cell r="E1446"/>
          <cell r="F1446">
            <v>1</v>
          </cell>
          <cell r="G1446">
            <v>1</v>
          </cell>
          <cell r="H1446">
            <v>0.24399999999999999</v>
          </cell>
          <cell r="I1446">
            <v>4.3571428571428573E-2</v>
          </cell>
          <cell r="J1446">
            <v>5.6</v>
          </cell>
          <cell r="K1446">
            <v>2</v>
          </cell>
          <cell r="L1446">
            <v>5</v>
          </cell>
          <cell r="M1446">
            <v>10</v>
          </cell>
          <cell r="N1446">
            <v>20</v>
          </cell>
          <cell r="O1446">
            <v>30</v>
          </cell>
          <cell r="P1446">
            <v>60</v>
          </cell>
        </row>
        <row r="1447">
          <cell r="A1447" t="str">
            <v>L80x40x6</v>
          </cell>
          <cell r="B1447" t="str">
            <v>a=0.5 x t</v>
          </cell>
          <cell r="C1447">
            <v>6</v>
          </cell>
          <cell r="D1447"/>
          <cell r="E1447"/>
          <cell r="F1447">
            <v>1</v>
          </cell>
          <cell r="G1447">
            <v>1</v>
          </cell>
          <cell r="H1447">
            <v>0.23</v>
          </cell>
          <cell r="I1447">
            <v>4.2592592592592592E-2</v>
          </cell>
          <cell r="J1447">
            <v>5.4</v>
          </cell>
          <cell r="K1447">
            <v>2</v>
          </cell>
          <cell r="L1447">
            <v>5</v>
          </cell>
          <cell r="M1447">
            <v>10</v>
          </cell>
          <cell r="N1447">
            <v>20</v>
          </cell>
          <cell r="O1447">
            <v>30</v>
          </cell>
          <cell r="P1447">
            <v>60</v>
          </cell>
        </row>
        <row r="1448">
          <cell r="A1448" t="str">
            <v>L80x65x8</v>
          </cell>
          <cell r="B1448" t="str">
            <v>a=0.5 x t</v>
          </cell>
          <cell r="C1448">
            <v>8</v>
          </cell>
          <cell r="D1448"/>
          <cell r="E1448"/>
          <cell r="F1448">
            <v>1</v>
          </cell>
          <cell r="G1448">
            <v>2</v>
          </cell>
          <cell r="H1448">
            <v>0.28000000000000003</v>
          </cell>
          <cell r="I1448">
            <v>3.2558139534883727E-2</v>
          </cell>
          <cell r="J1448">
            <v>8.6</v>
          </cell>
          <cell r="K1448">
            <v>2</v>
          </cell>
          <cell r="L1448">
            <v>5</v>
          </cell>
          <cell r="M1448">
            <v>10</v>
          </cell>
          <cell r="N1448">
            <v>20</v>
          </cell>
          <cell r="O1448">
            <v>30</v>
          </cell>
          <cell r="P1448">
            <v>60</v>
          </cell>
        </row>
        <row r="1449">
          <cell r="A1449" t="str">
            <v>L100x50x10</v>
          </cell>
          <cell r="B1449" t="str">
            <v>a=0.5 x t</v>
          </cell>
          <cell r="C1449">
            <v>10</v>
          </cell>
          <cell r="D1449"/>
          <cell r="E1449"/>
          <cell r="F1449">
            <v>1</v>
          </cell>
          <cell r="G1449">
            <v>2</v>
          </cell>
          <cell r="H1449">
            <v>0.29599999999999999</v>
          </cell>
          <cell r="I1449">
            <v>2.6666666666666665E-2</v>
          </cell>
          <cell r="J1449">
            <v>11.1</v>
          </cell>
          <cell r="K1449">
            <v>2</v>
          </cell>
          <cell r="L1449">
            <v>5</v>
          </cell>
          <cell r="M1449">
            <v>10</v>
          </cell>
          <cell r="N1449">
            <v>20</v>
          </cell>
          <cell r="O1449">
            <v>30</v>
          </cell>
          <cell r="P1449">
            <v>60</v>
          </cell>
        </row>
        <row r="1450">
          <cell r="A1450" t="str">
            <v>L100x50x12</v>
          </cell>
          <cell r="B1450" t="str">
            <v>a=0.5 x t</v>
          </cell>
          <cell r="C1450">
            <v>12</v>
          </cell>
          <cell r="D1450"/>
          <cell r="E1450" t="str">
            <v>Jah</v>
          </cell>
          <cell r="F1450">
            <v>1</v>
          </cell>
          <cell r="G1450">
            <v>2</v>
          </cell>
          <cell r="H1450">
            <v>0.32</v>
          </cell>
          <cell r="I1450">
            <v>2.4427480916030534E-2</v>
          </cell>
          <cell r="J1450">
            <v>13.1</v>
          </cell>
          <cell r="K1450">
            <v>2</v>
          </cell>
          <cell r="L1450">
            <v>5</v>
          </cell>
          <cell r="M1450">
            <v>10</v>
          </cell>
          <cell r="N1450">
            <v>20</v>
          </cell>
          <cell r="O1450">
            <v>30</v>
          </cell>
          <cell r="P1450">
            <v>60</v>
          </cell>
        </row>
        <row r="1451">
          <cell r="A1451" t="str">
            <v>L100x65x7</v>
          </cell>
          <cell r="B1451" t="str">
            <v>a=0.5 x t</v>
          </cell>
          <cell r="C1451">
            <v>7</v>
          </cell>
          <cell r="D1451"/>
          <cell r="E1451"/>
          <cell r="F1451">
            <v>1</v>
          </cell>
          <cell r="G1451">
            <v>2</v>
          </cell>
          <cell r="H1451">
            <v>0.32100000000000001</v>
          </cell>
          <cell r="I1451">
            <v>3.6477272727272726E-2</v>
          </cell>
          <cell r="J1451">
            <v>8.8000000000000007</v>
          </cell>
          <cell r="K1451">
            <v>2</v>
          </cell>
          <cell r="L1451">
            <v>5</v>
          </cell>
          <cell r="M1451">
            <v>10</v>
          </cell>
          <cell r="N1451">
            <v>20</v>
          </cell>
          <cell r="O1451">
            <v>30</v>
          </cell>
          <cell r="P1451">
            <v>60</v>
          </cell>
        </row>
        <row r="1452">
          <cell r="A1452" t="str">
            <v>L100x65x8</v>
          </cell>
          <cell r="B1452" t="str">
            <v>a=0.5 x t</v>
          </cell>
          <cell r="C1452">
            <v>8</v>
          </cell>
          <cell r="D1452"/>
          <cell r="E1452"/>
          <cell r="F1452">
            <v>1</v>
          </cell>
          <cell r="G1452">
            <v>2</v>
          </cell>
          <cell r="H1452">
            <v>0.32100000000000001</v>
          </cell>
          <cell r="I1452">
            <v>3.2100000000000004E-2</v>
          </cell>
          <cell r="J1452">
            <v>10</v>
          </cell>
          <cell r="K1452">
            <v>2</v>
          </cell>
          <cell r="L1452">
            <v>5</v>
          </cell>
          <cell r="M1452">
            <v>10</v>
          </cell>
          <cell r="N1452">
            <v>20</v>
          </cell>
          <cell r="O1452">
            <v>30</v>
          </cell>
          <cell r="P1452">
            <v>60</v>
          </cell>
        </row>
        <row r="1453">
          <cell r="A1453" t="str">
            <v>L100x65x9</v>
          </cell>
          <cell r="B1453" t="str">
            <v>a=0.5 x t</v>
          </cell>
          <cell r="C1453">
            <v>9</v>
          </cell>
          <cell r="D1453"/>
          <cell r="E1453"/>
          <cell r="F1453">
            <v>1</v>
          </cell>
          <cell r="G1453">
            <v>2</v>
          </cell>
          <cell r="H1453">
            <v>0.32100000000000001</v>
          </cell>
          <cell r="I1453">
            <v>2.8918918918918922E-2</v>
          </cell>
          <cell r="J1453">
            <v>11.1</v>
          </cell>
          <cell r="K1453">
            <v>2</v>
          </cell>
          <cell r="L1453">
            <v>5</v>
          </cell>
          <cell r="M1453">
            <v>10</v>
          </cell>
          <cell r="N1453">
            <v>20</v>
          </cell>
          <cell r="O1453">
            <v>30</v>
          </cell>
          <cell r="P1453">
            <v>60</v>
          </cell>
        </row>
        <row r="1454">
          <cell r="A1454" t="str">
            <v>L100x65x10</v>
          </cell>
          <cell r="B1454" t="str">
            <v>a=0.5 x t</v>
          </cell>
          <cell r="C1454">
            <v>10</v>
          </cell>
          <cell r="D1454"/>
          <cell r="E1454"/>
          <cell r="F1454">
            <v>1</v>
          </cell>
          <cell r="G1454">
            <v>2</v>
          </cell>
          <cell r="H1454">
            <v>0.32100000000000001</v>
          </cell>
          <cell r="I1454">
            <v>2.6311475409836069E-2</v>
          </cell>
          <cell r="J1454">
            <v>12.2</v>
          </cell>
          <cell r="K1454">
            <v>2</v>
          </cell>
          <cell r="L1454">
            <v>5</v>
          </cell>
          <cell r="M1454">
            <v>10</v>
          </cell>
          <cell r="N1454">
            <v>20</v>
          </cell>
          <cell r="O1454">
            <v>30</v>
          </cell>
          <cell r="P1454">
            <v>60</v>
          </cell>
        </row>
        <row r="1455">
          <cell r="A1455" t="str">
            <v>L100x65x12</v>
          </cell>
          <cell r="B1455" t="str">
            <v>a=0.5 x t</v>
          </cell>
          <cell r="C1455">
            <v>12</v>
          </cell>
          <cell r="D1455"/>
          <cell r="E1455" t="str">
            <v>Jah</v>
          </cell>
          <cell r="F1455">
            <v>1</v>
          </cell>
          <cell r="G1455">
            <v>2</v>
          </cell>
          <cell r="H1455">
            <v>0.32100000000000001</v>
          </cell>
          <cell r="I1455">
            <v>2.213793103448276E-2</v>
          </cell>
          <cell r="J1455">
            <v>14.5</v>
          </cell>
          <cell r="K1455">
            <v>2</v>
          </cell>
          <cell r="L1455">
            <v>5</v>
          </cell>
          <cell r="M1455">
            <v>10</v>
          </cell>
          <cell r="N1455">
            <v>20</v>
          </cell>
          <cell r="O1455">
            <v>30</v>
          </cell>
          <cell r="P1455">
            <v>60</v>
          </cell>
        </row>
        <row r="1456">
          <cell r="A1456" t="str">
            <v>L100x75x9</v>
          </cell>
          <cell r="B1456" t="str">
            <v>a=0.5 x t</v>
          </cell>
          <cell r="C1456">
            <v>9</v>
          </cell>
          <cell r="D1456"/>
          <cell r="E1456"/>
          <cell r="F1456">
            <v>1</v>
          </cell>
          <cell r="G1456">
            <v>2</v>
          </cell>
          <cell r="H1456">
            <v>0.34</v>
          </cell>
          <cell r="I1456">
            <v>2.8813559322033899E-2</v>
          </cell>
          <cell r="J1456">
            <v>11.8</v>
          </cell>
          <cell r="K1456">
            <v>2</v>
          </cell>
          <cell r="L1456">
            <v>5</v>
          </cell>
          <cell r="M1456">
            <v>10</v>
          </cell>
          <cell r="N1456">
            <v>20</v>
          </cell>
          <cell r="O1456">
            <v>30</v>
          </cell>
          <cell r="P1456">
            <v>60</v>
          </cell>
        </row>
        <row r="1457">
          <cell r="A1457" t="str">
            <v>L110x70x10</v>
          </cell>
          <cell r="B1457" t="str">
            <v>a=0.5 x t</v>
          </cell>
          <cell r="C1457">
            <v>10</v>
          </cell>
          <cell r="D1457"/>
          <cell r="E1457"/>
          <cell r="F1457">
            <v>1</v>
          </cell>
          <cell r="G1457">
            <v>2</v>
          </cell>
          <cell r="H1457">
            <v>0.35099999999999998</v>
          </cell>
          <cell r="I1457">
            <v>2.6194029850746266E-2</v>
          </cell>
          <cell r="J1457">
            <v>13.4</v>
          </cell>
          <cell r="K1457">
            <v>2</v>
          </cell>
          <cell r="L1457">
            <v>5</v>
          </cell>
          <cell r="M1457">
            <v>10</v>
          </cell>
          <cell r="N1457">
            <v>20</v>
          </cell>
          <cell r="O1457">
            <v>30</v>
          </cell>
          <cell r="P1457">
            <v>60</v>
          </cell>
        </row>
        <row r="1458">
          <cell r="A1458" t="str">
            <v>L110x70x12</v>
          </cell>
          <cell r="B1458" t="str">
            <v>a=0.5 x t</v>
          </cell>
          <cell r="C1458">
            <v>12</v>
          </cell>
          <cell r="D1458"/>
          <cell r="E1458" t="str">
            <v>Jah</v>
          </cell>
          <cell r="F1458">
            <v>1</v>
          </cell>
          <cell r="G1458">
            <v>2</v>
          </cell>
          <cell r="H1458">
            <v>0.35099999999999998</v>
          </cell>
          <cell r="I1458">
            <v>2.2075471698113205E-2</v>
          </cell>
          <cell r="J1458">
            <v>15.9</v>
          </cell>
          <cell r="K1458">
            <v>2</v>
          </cell>
          <cell r="L1458">
            <v>5</v>
          </cell>
          <cell r="M1458">
            <v>10</v>
          </cell>
          <cell r="N1458">
            <v>20</v>
          </cell>
          <cell r="O1458">
            <v>30</v>
          </cell>
          <cell r="P1458">
            <v>60</v>
          </cell>
        </row>
        <row r="1459">
          <cell r="A1459" t="str">
            <v>L120x80x8</v>
          </cell>
          <cell r="B1459" t="str">
            <v>a=0.5 x t</v>
          </cell>
          <cell r="C1459">
            <v>8</v>
          </cell>
          <cell r="D1459"/>
          <cell r="E1459"/>
          <cell r="F1459">
            <v>1</v>
          </cell>
          <cell r="G1459">
            <v>2</v>
          </cell>
          <cell r="H1459">
            <v>0.39100000000000001</v>
          </cell>
          <cell r="I1459">
            <v>3.2049180327868854E-2</v>
          </cell>
          <cell r="J1459">
            <v>12.2</v>
          </cell>
          <cell r="K1459">
            <v>2</v>
          </cell>
          <cell r="L1459">
            <v>5</v>
          </cell>
          <cell r="M1459">
            <v>10</v>
          </cell>
          <cell r="N1459">
            <v>20</v>
          </cell>
          <cell r="O1459">
            <v>30</v>
          </cell>
          <cell r="P1459">
            <v>60</v>
          </cell>
        </row>
        <row r="1460">
          <cell r="A1460" t="str">
            <v>L120x80x10</v>
          </cell>
          <cell r="B1460" t="str">
            <v>a=0.5 x t</v>
          </cell>
          <cell r="C1460">
            <v>10</v>
          </cell>
          <cell r="D1460"/>
          <cell r="E1460"/>
          <cell r="F1460">
            <v>1</v>
          </cell>
          <cell r="G1460">
            <v>2</v>
          </cell>
          <cell r="H1460">
            <v>0.39100000000000001</v>
          </cell>
          <cell r="I1460">
            <v>2.6066666666666669E-2</v>
          </cell>
          <cell r="J1460">
            <v>15</v>
          </cell>
          <cell r="K1460">
            <v>2</v>
          </cell>
          <cell r="L1460">
            <v>5</v>
          </cell>
          <cell r="M1460">
            <v>10</v>
          </cell>
          <cell r="N1460">
            <v>20</v>
          </cell>
          <cell r="O1460">
            <v>30</v>
          </cell>
          <cell r="P1460">
            <v>60</v>
          </cell>
        </row>
        <row r="1461">
          <cell r="A1461" t="str">
            <v>L120x80x12</v>
          </cell>
          <cell r="B1461" t="str">
            <v>a=0.5 x t</v>
          </cell>
          <cell r="C1461">
            <v>12</v>
          </cell>
          <cell r="D1461"/>
          <cell r="E1461" t="str">
            <v>Jah</v>
          </cell>
          <cell r="F1461">
            <v>1</v>
          </cell>
          <cell r="G1461">
            <v>2</v>
          </cell>
          <cell r="H1461">
            <v>0.39100000000000001</v>
          </cell>
          <cell r="I1461">
            <v>2.196629213483146E-2</v>
          </cell>
          <cell r="J1461">
            <v>17.8</v>
          </cell>
          <cell r="K1461">
            <v>2</v>
          </cell>
          <cell r="L1461">
            <v>5</v>
          </cell>
          <cell r="M1461">
            <v>10</v>
          </cell>
          <cell r="N1461">
            <v>20</v>
          </cell>
          <cell r="O1461">
            <v>30</v>
          </cell>
          <cell r="P1461">
            <v>60</v>
          </cell>
        </row>
        <row r="1462">
          <cell r="A1462" t="str">
            <v>L130x65x8</v>
          </cell>
          <cell r="B1462" t="str">
            <v>a=0.5 x t</v>
          </cell>
          <cell r="C1462">
            <v>8</v>
          </cell>
          <cell r="D1462"/>
          <cell r="E1462"/>
          <cell r="F1462">
            <v>1</v>
          </cell>
          <cell r="G1462">
            <v>2</v>
          </cell>
          <cell r="H1462">
            <v>0.38100000000000001</v>
          </cell>
          <cell r="I1462">
            <v>3.2288135593220336E-2</v>
          </cell>
          <cell r="J1462">
            <v>11.8</v>
          </cell>
          <cell r="K1462">
            <v>2</v>
          </cell>
          <cell r="L1462">
            <v>5</v>
          </cell>
          <cell r="M1462">
            <v>10</v>
          </cell>
          <cell r="N1462">
            <v>20</v>
          </cell>
          <cell r="O1462">
            <v>30</v>
          </cell>
          <cell r="P1462">
            <v>60</v>
          </cell>
        </row>
        <row r="1463">
          <cell r="A1463" t="str">
            <v>L130x65x10</v>
          </cell>
          <cell r="B1463" t="str">
            <v>a=0.5 x t</v>
          </cell>
          <cell r="C1463">
            <v>10</v>
          </cell>
          <cell r="D1463"/>
          <cell r="E1463" t="str">
            <v>Jah</v>
          </cell>
          <cell r="F1463">
            <v>1</v>
          </cell>
          <cell r="G1463">
            <v>2</v>
          </cell>
          <cell r="H1463">
            <v>0.38100000000000001</v>
          </cell>
          <cell r="I1463">
            <v>2.6095890410958906E-2</v>
          </cell>
          <cell r="J1463">
            <v>14.6</v>
          </cell>
          <cell r="K1463">
            <v>2</v>
          </cell>
          <cell r="L1463">
            <v>5</v>
          </cell>
          <cell r="M1463">
            <v>10</v>
          </cell>
          <cell r="N1463">
            <v>20</v>
          </cell>
          <cell r="O1463">
            <v>30</v>
          </cell>
          <cell r="P1463">
            <v>60</v>
          </cell>
        </row>
        <row r="1464">
          <cell r="A1464" t="str">
            <v>L130x65x12</v>
          </cell>
          <cell r="B1464" t="str">
            <v>a=0.5 x t</v>
          </cell>
          <cell r="C1464">
            <v>12</v>
          </cell>
          <cell r="D1464"/>
          <cell r="E1464" t="str">
            <v>Jah</v>
          </cell>
          <cell r="F1464">
            <v>1</v>
          </cell>
          <cell r="G1464">
            <v>2</v>
          </cell>
          <cell r="H1464">
            <v>0.38100000000000001</v>
          </cell>
          <cell r="I1464">
            <v>2.2023121387283236E-2</v>
          </cell>
          <cell r="J1464">
            <v>17.3</v>
          </cell>
          <cell r="K1464">
            <v>2</v>
          </cell>
          <cell r="L1464">
            <v>5</v>
          </cell>
          <cell r="M1464">
            <v>10</v>
          </cell>
          <cell r="N1464">
            <v>20</v>
          </cell>
          <cell r="O1464">
            <v>30</v>
          </cell>
          <cell r="P1464">
            <v>60</v>
          </cell>
        </row>
        <row r="1465">
          <cell r="A1465" t="str">
            <v>L130x75x10</v>
          </cell>
          <cell r="B1465" t="str">
            <v>a=0.5 x t</v>
          </cell>
          <cell r="C1465">
            <v>10</v>
          </cell>
          <cell r="D1465"/>
          <cell r="E1465" t="str">
            <v>Jah</v>
          </cell>
          <cell r="F1465">
            <v>1</v>
          </cell>
          <cell r="G1465">
            <v>2</v>
          </cell>
          <cell r="H1465">
            <v>0.38100000000000001</v>
          </cell>
          <cell r="I1465">
            <v>2.4423076923076922E-2</v>
          </cell>
          <cell r="J1465">
            <v>15.6</v>
          </cell>
          <cell r="K1465">
            <v>2</v>
          </cell>
          <cell r="L1465">
            <v>5</v>
          </cell>
          <cell r="M1465">
            <v>10</v>
          </cell>
          <cell r="N1465">
            <v>20</v>
          </cell>
          <cell r="O1465">
            <v>30</v>
          </cell>
          <cell r="P1465">
            <v>60</v>
          </cell>
        </row>
        <row r="1466">
          <cell r="A1466" t="str">
            <v>L130x85x10</v>
          </cell>
          <cell r="B1466" t="str">
            <v>a=0.5 x t</v>
          </cell>
          <cell r="C1466">
            <v>10</v>
          </cell>
          <cell r="D1466"/>
          <cell r="E1466"/>
          <cell r="F1466">
            <v>1</v>
          </cell>
          <cell r="G1466">
            <v>2</v>
          </cell>
          <cell r="H1466">
            <v>0.43099999999999999</v>
          </cell>
          <cell r="I1466">
            <v>2.69375E-2</v>
          </cell>
          <cell r="J1466">
            <v>16</v>
          </cell>
          <cell r="K1466">
            <v>2</v>
          </cell>
          <cell r="L1466">
            <v>5</v>
          </cell>
          <cell r="M1466">
            <v>10</v>
          </cell>
          <cell r="N1466">
            <v>20</v>
          </cell>
          <cell r="O1466">
            <v>30</v>
          </cell>
          <cell r="P1466">
            <v>60</v>
          </cell>
        </row>
        <row r="1467">
          <cell r="A1467" t="str">
            <v>L130x90x10</v>
          </cell>
          <cell r="B1467" t="str">
            <v>a=0.5 x t</v>
          </cell>
          <cell r="C1467">
            <v>10</v>
          </cell>
          <cell r="D1467"/>
          <cell r="E1467"/>
          <cell r="F1467">
            <v>1</v>
          </cell>
          <cell r="G1467">
            <v>2</v>
          </cell>
          <cell r="H1467">
            <v>0.43099999999999999</v>
          </cell>
          <cell r="I1467">
            <v>2.5963855421686746E-2</v>
          </cell>
          <cell r="J1467">
            <v>16.600000000000001</v>
          </cell>
          <cell r="K1467">
            <v>2</v>
          </cell>
          <cell r="L1467">
            <v>5</v>
          </cell>
          <cell r="M1467">
            <v>10</v>
          </cell>
          <cell r="N1467">
            <v>20</v>
          </cell>
          <cell r="O1467">
            <v>30</v>
          </cell>
          <cell r="P1467">
            <v>60</v>
          </cell>
        </row>
        <row r="1468">
          <cell r="A1468" t="str">
            <v>L130x90x12</v>
          </cell>
          <cell r="B1468" t="str">
            <v>a=0.5 x t</v>
          </cell>
          <cell r="C1468">
            <v>12</v>
          </cell>
          <cell r="D1468"/>
          <cell r="E1468" t="str">
            <v>Jah</v>
          </cell>
          <cell r="F1468">
            <v>1</v>
          </cell>
          <cell r="G1468">
            <v>2</v>
          </cell>
          <cell r="H1468">
            <v>0.43</v>
          </cell>
          <cell r="I1468">
            <v>2.1827411167512689E-2</v>
          </cell>
          <cell r="J1468">
            <v>19.7</v>
          </cell>
          <cell r="K1468">
            <v>2</v>
          </cell>
          <cell r="L1468">
            <v>5</v>
          </cell>
          <cell r="M1468">
            <v>10</v>
          </cell>
          <cell r="N1468">
            <v>20</v>
          </cell>
          <cell r="O1468">
            <v>30</v>
          </cell>
          <cell r="P1468">
            <v>60</v>
          </cell>
        </row>
        <row r="1469">
          <cell r="A1469" t="str">
            <v>L130x90x14</v>
          </cell>
          <cell r="B1469" t="str">
            <v>a=0.5 x t</v>
          </cell>
          <cell r="C1469">
            <v>14</v>
          </cell>
          <cell r="D1469"/>
          <cell r="E1469"/>
          <cell r="F1469">
            <v>2</v>
          </cell>
          <cell r="G1469">
            <v>2</v>
          </cell>
          <cell r="H1469">
            <v>0.43099999999999999</v>
          </cell>
          <cell r="I1469">
            <v>1.8903508771929825E-2</v>
          </cell>
          <cell r="J1469">
            <v>22.8</v>
          </cell>
          <cell r="K1469">
            <v>5</v>
          </cell>
          <cell r="L1469">
            <v>10</v>
          </cell>
          <cell r="M1469">
            <v>20</v>
          </cell>
          <cell r="N1469">
            <v>30</v>
          </cell>
          <cell r="O1469">
            <v>60</v>
          </cell>
          <cell r="P1469">
            <v>90</v>
          </cell>
        </row>
        <row r="1470">
          <cell r="A1470" t="str">
            <v>L140x90x8</v>
          </cell>
          <cell r="B1470" t="str">
            <v>a=0.5 x t</v>
          </cell>
          <cell r="C1470">
            <v>8</v>
          </cell>
          <cell r="D1470"/>
          <cell r="E1470"/>
          <cell r="F1470">
            <v>1</v>
          </cell>
          <cell r="G1470">
            <v>2</v>
          </cell>
          <cell r="H1470">
            <v>0.45100000000000001</v>
          </cell>
          <cell r="I1470">
            <v>3.1985815602836878E-2</v>
          </cell>
          <cell r="J1470">
            <v>14.1</v>
          </cell>
          <cell r="K1470">
            <v>2</v>
          </cell>
          <cell r="L1470">
            <v>5</v>
          </cell>
          <cell r="M1470">
            <v>10</v>
          </cell>
          <cell r="N1470">
            <v>20</v>
          </cell>
          <cell r="O1470">
            <v>30</v>
          </cell>
          <cell r="P1470">
            <v>60</v>
          </cell>
        </row>
        <row r="1471">
          <cell r="A1471" t="str">
            <v>L140x90x10</v>
          </cell>
          <cell r="B1471" t="str">
            <v>a=0.5 x t</v>
          </cell>
          <cell r="C1471">
            <v>10</v>
          </cell>
          <cell r="D1471"/>
          <cell r="E1471"/>
          <cell r="F1471">
            <v>1</v>
          </cell>
          <cell r="G1471">
            <v>2</v>
          </cell>
          <cell r="H1471">
            <v>0.45100000000000001</v>
          </cell>
          <cell r="I1471">
            <v>2.6069364161849712E-2</v>
          </cell>
          <cell r="J1471">
            <v>17.3</v>
          </cell>
          <cell r="K1471">
            <v>2</v>
          </cell>
          <cell r="L1471">
            <v>5</v>
          </cell>
          <cell r="M1471">
            <v>10</v>
          </cell>
          <cell r="N1471">
            <v>20</v>
          </cell>
          <cell r="O1471">
            <v>30</v>
          </cell>
          <cell r="P1471">
            <v>60</v>
          </cell>
        </row>
        <row r="1472">
          <cell r="A1472" t="str">
            <v>L140x90x12</v>
          </cell>
          <cell r="B1472" t="str">
            <v>a=0.5 x t</v>
          </cell>
          <cell r="C1472">
            <v>12</v>
          </cell>
          <cell r="D1472"/>
          <cell r="E1472" t="str">
            <v>Jah</v>
          </cell>
          <cell r="F1472">
            <v>2</v>
          </cell>
          <cell r="G1472">
            <v>2</v>
          </cell>
          <cell r="H1472">
            <v>0.45100000000000001</v>
          </cell>
          <cell r="I1472">
            <v>2.1893203883495145E-2</v>
          </cell>
          <cell r="J1472">
            <v>20.6</v>
          </cell>
          <cell r="K1472">
            <v>5</v>
          </cell>
          <cell r="L1472">
            <v>10</v>
          </cell>
          <cell r="M1472">
            <v>20</v>
          </cell>
          <cell r="N1472">
            <v>30</v>
          </cell>
          <cell r="O1472">
            <v>60</v>
          </cell>
          <cell r="P1472">
            <v>90</v>
          </cell>
        </row>
        <row r="1473">
          <cell r="A1473" t="str">
            <v>L140x90x14</v>
          </cell>
          <cell r="B1473" t="str">
            <v>a=0.5 x t</v>
          </cell>
          <cell r="C1473">
            <v>14</v>
          </cell>
          <cell r="D1473"/>
          <cell r="E1473"/>
          <cell r="F1473">
            <v>2</v>
          </cell>
          <cell r="G1473">
            <v>2</v>
          </cell>
          <cell r="H1473">
            <v>0.45100000000000001</v>
          </cell>
          <cell r="I1473">
            <v>1.8870292887029291E-2</v>
          </cell>
          <cell r="J1473">
            <v>23.9</v>
          </cell>
          <cell r="K1473">
            <v>5</v>
          </cell>
          <cell r="L1473">
            <v>10</v>
          </cell>
          <cell r="M1473">
            <v>20</v>
          </cell>
          <cell r="N1473">
            <v>30</v>
          </cell>
          <cell r="O1473">
            <v>60</v>
          </cell>
          <cell r="P1473">
            <v>90</v>
          </cell>
        </row>
        <row r="1474">
          <cell r="A1474" t="str">
            <v>L100x50x6</v>
          </cell>
          <cell r="B1474" t="str">
            <v>a=0.5 x t</v>
          </cell>
          <cell r="C1474">
            <v>6</v>
          </cell>
          <cell r="D1474"/>
          <cell r="E1474"/>
          <cell r="F1474">
            <v>1</v>
          </cell>
          <cell r="G1474">
            <v>1</v>
          </cell>
          <cell r="H1474">
            <v>0.29299999999999998</v>
          </cell>
          <cell r="I1474">
            <v>4.3088235294117642E-2</v>
          </cell>
          <cell r="J1474">
            <v>6.8</v>
          </cell>
          <cell r="K1474">
            <v>2</v>
          </cell>
          <cell r="L1474">
            <v>5</v>
          </cell>
          <cell r="M1474">
            <v>10</v>
          </cell>
          <cell r="N1474">
            <v>20</v>
          </cell>
          <cell r="O1474">
            <v>30</v>
          </cell>
          <cell r="P1474">
            <v>60</v>
          </cell>
        </row>
        <row r="1475">
          <cell r="A1475" t="str">
            <v>L150x75x9</v>
          </cell>
          <cell r="B1475" t="str">
            <v>a=0.5 x t</v>
          </cell>
          <cell r="C1475">
            <v>9</v>
          </cell>
          <cell r="D1475"/>
          <cell r="E1475"/>
          <cell r="F1475">
            <v>1</v>
          </cell>
          <cell r="G1475">
            <v>2</v>
          </cell>
          <cell r="H1475">
            <v>0.44</v>
          </cell>
          <cell r="I1475">
            <v>2.8571428571428571E-2</v>
          </cell>
          <cell r="J1475">
            <v>15.4</v>
          </cell>
          <cell r="K1475">
            <v>2</v>
          </cell>
          <cell r="L1475">
            <v>5</v>
          </cell>
          <cell r="M1475">
            <v>10</v>
          </cell>
          <cell r="N1475">
            <v>20</v>
          </cell>
          <cell r="O1475">
            <v>30</v>
          </cell>
          <cell r="P1475">
            <v>60</v>
          </cell>
        </row>
        <row r="1476">
          <cell r="A1476" t="str">
            <v>L150x75x10</v>
          </cell>
          <cell r="B1476" t="str">
            <v>a=0.5 x t</v>
          </cell>
          <cell r="C1476">
            <v>10</v>
          </cell>
          <cell r="D1476"/>
          <cell r="E1476"/>
          <cell r="F1476">
            <v>1</v>
          </cell>
          <cell r="G1476">
            <v>2</v>
          </cell>
          <cell r="H1476">
            <v>0.44</v>
          </cell>
          <cell r="I1476">
            <v>2.5882352941176471E-2</v>
          </cell>
          <cell r="J1476">
            <v>17</v>
          </cell>
          <cell r="K1476">
            <v>2</v>
          </cell>
          <cell r="L1476">
            <v>5</v>
          </cell>
          <cell r="M1476">
            <v>10</v>
          </cell>
          <cell r="N1476">
            <v>20</v>
          </cell>
          <cell r="O1476">
            <v>30</v>
          </cell>
          <cell r="P1476">
            <v>60</v>
          </cell>
        </row>
        <row r="1477">
          <cell r="A1477" t="str">
            <v>L150x75x11</v>
          </cell>
          <cell r="B1477" t="str">
            <v>a=0.5 x t</v>
          </cell>
          <cell r="C1477">
            <v>11</v>
          </cell>
          <cell r="D1477"/>
          <cell r="E1477"/>
          <cell r="F1477">
            <v>1</v>
          </cell>
          <cell r="G1477">
            <v>2</v>
          </cell>
          <cell r="H1477">
            <v>0.441</v>
          </cell>
          <cell r="I1477">
            <v>2.3837837837837838E-2</v>
          </cell>
          <cell r="J1477">
            <v>18.5</v>
          </cell>
          <cell r="K1477">
            <v>2</v>
          </cell>
          <cell r="L1477">
            <v>5</v>
          </cell>
          <cell r="M1477">
            <v>10</v>
          </cell>
          <cell r="N1477">
            <v>20</v>
          </cell>
          <cell r="O1477">
            <v>30</v>
          </cell>
          <cell r="P1477">
            <v>60</v>
          </cell>
        </row>
        <row r="1478">
          <cell r="A1478" t="str">
            <v>L150x75x15</v>
          </cell>
          <cell r="B1478" t="str">
            <v>a=0.5 x t</v>
          </cell>
          <cell r="C1478">
            <v>15</v>
          </cell>
          <cell r="D1478"/>
          <cell r="E1478"/>
          <cell r="F1478">
            <v>1</v>
          </cell>
          <cell r="G1478">
            <v>2</v>
          </cell>
          <cell r="H1478">
            <v>0.44</v>
          </cell>
          <cell r="I1478">
            <v>1.7741935483870968E-2</v>
          </cell>
          <cell r="J1478">
            <v>24.8</v>
          </cell>
          <cell r="K1478">
            <v>2</v>
          </cell>
          <cell r="L1478">
            <v>5</v>
          </cell>
          <cell r="M1478">
            <v>10</v>
          </cell>
          <cell r="N1478">
            <v>20</v>
          </cell>
          <cell r="O1478">
            <v>30</v>
          </cell>
          <cell r="P1478">
            <v>60</v>
          </cell>
        </row>
        <row r="1479">
          <cell r="A1479" t="str">
            <v>L150x90x10</v>
          </cell>
          <cell r="B1479" t="str">
            <v>a=0.5 x t</v>
          </cell>
          <cell r="C1479">
            <v>10</v>
          </cell>
          <cell r="D1479"/>
          <cell r="E1479"/>
          <cell r="F1479">
            <v>1</v>
          </cell>
          <cell r="G1479">
            <v>2</v>
          </cell>
          <cell r="H1479">
            <v>0.47</v>
          </cell>
          <cell r="I1479">
            <v>2.5824175824175823E-2</v>
          </cell>
          <cell r="J1479">
            <v>18.2</v>
          </cell>
          <cell r="K1479">
            <v>2</v>
          </cell>
          <cell r="L1479">
            <v>5</v>
          </cell>
          <cell r="M1479">
            <v>10</v>
          </cell>
          <cell r="N1479">
            <v>20</v>
          </cell>
          <cell r="O1479">
            <v>30</v>
          </cell>
          <cell r="P1479">
            <v>60</v>
          </cell>
        </row>
        <row r="1480">
          <cell r="A1480" t="str">
            <v>L150x90x11</v>
          </cell>
          <cell r="B1480" t="str">
            <v>a=0.5 x t</v>
          </cell>
          <cell r="C1480">
            <v>11</v>
          </cell>
          <cell r="D1480"/>
          <cell r="E1480"/>
          <cell r="F1480">
            <v>1</v>
          </cell>
          <cell r="G1480">
            <v>2</v>
          </cell>
          <cell r="H1480">
            <v>0.47</v>
          </cell>
          <cell r="I1480">
            <v>2.3618090452261306E-2</v>
          </cell>
          <cell r="J1480">
            <v>19.899999999999999</v>
          </cell>
          <cell r="K1480">
            <v>2</v>
          </cell>
          <cell r="L1480">
            <v>5</v>
          </cell>
          <cell r="M1480">
            <v>10</v>
          </cell>
          <cell r="N1480">
            <v>20</v>
          </cell>
          <cell r="O1480">
            <v>30</v>
          </cell>
          <cell r="P1480">
            <v>60</v>
          </cell>
        </row>
        <row r="1481">
          <cell r="A1481" t="str">
            <v>L150x90x12</v>
          </cell>
          <cell r="B1481" t="str">
            <v>a=0.5 x t</v>
          </cell>
          <cell r="C1481">
            <v>12</v>
          </cell>
          <cell r="D1481"/>
          <cell r="E1481" t="str">
            <v>Jah</v>
          </cell>
          <cell r="F1481">
            <v>2</v>
          </cell>
          <cell r="G1481">
            <v>2</v>
          </cell>
          <cell r="H1481">
            <v>0.46800000000000003</v>
          </cell>
          <cell r="I1481">
            <v>2.1767441860465118E-2</v>
          </cell>
          <cell r="J1481">
            <v>21.5</v>
          </cell>
          <cell r="K1481">
            <v>5</v>
          </cell>
          <cell r="L1481">
            <v>10</v>
          </cell>
          <cell r="M1481">
            <v>20</v>
          </cell>
          <cell r="N1481">
            <v>30</v>
          </cell>
          <cell r="O1481">
            <v>60</v>
          </cell>
          <cell r="P1481">
            <v>90</v>
          </cell>
        </row>
        <row r="1482">
          <cell r="A1482" t="str">
            <v>L150x100x10</v>
          </cell>
          <cell r="B1482" t="str">
            <v>a=0.5 x t</v>
          </cell>
          <cell r="C1482">
            <v>10</v>
          </cell>
          <cell r="D1482"/>
          <cell r="E1482"/>
          <cell r="F1482">
            <v>1</v>
          </cell>
          <cell r="G1482">
            <v>2</v>
          </cell>
          <cell r="H1482">
            <v>0.48899999999999999</v>
          </cell>
          <cell r="I1482">
            <v>2.5736842105263159E-2</v>
          </cell>
          <cell r="J1482">
            <v>19</v>
          </cell>
          <cell r="K1482">
            <v>2</v>
          </cell>
          <cell r="L1482">
            <v>5</v>
          </cell>
          <cell r="M1482">
            <v>10</v>
          </cell>
          <cell r="N1482">
            <v>20</v>
          </cell>
          <cell r="O1482">
            <v>30</v>
          </cell>
          <cell r="P1482">
            <v>60</v>
          </cell>
        </row>
        <row r="1483">
          <cell r="A1483" t="str">
            <v>L150x100x12</v>
          </cell>
          <cell r="B1483" t="str">
            <v>a=0.5 x t</v>
          </cell>
          <cell r="C1483">
            <v>12</v>
          </cell>
          <cell r="D1483"/>
          <cell r="E1483" t="str">
            <v>Jah</v>
          </cell>
          <cell r="F1483">
            <v>2</v>
          </cell>
          <cell r="G1483">
            <v>2</v>
          </cell>
          <cell r="H1483">
            <v>0.48799999999999999</v>
          </cell>
          <cell r="I1483">
            <v>2.1785714285714287E-2</v>
          </cell>
          <cell r="J1483">
            <v>22.4</v>
          </cell>
          <cell r="K1483">
            <v>5</v>
          </cell>
          <cell r="L1483">
            <v>10</v>
          </cell>
          <cell r="M1483">
            <v>20</v>
          </cell>
          <cell r="N1483">
            <v>30</v>
          </cell>
          <cell r="O1483">
            <v>60</v>
          </cell>
          <cell r="P1483">
            <v>90</v>
          </cell>
        </row>
        <row r="1484">
          <cell r="A1484" t="str">
            <v>L150x100x14</v>
          </cell>
          <cell r="B1484" t="str">
            <v>a=0.5 x t</v>
          </cell>
          <cell r="C1484">
            <v>14</v>
          </cell>
          <cell r="D1484"/>
          <cell r="E1484"/>
          <cell r="F1484">
            <v>2</v>
          </cell>
          <cell r="G1484">
            <v>2</v>
          </cell>
          <cell r="H1484">
            <v>0.48899999999999999</v>
          </cell>
          <cell r="I1484">
            <v>1.8735632183908044E-2</v>
          </cell>
          <cell r="J1484">
            <v>26.1</v>
          </cell>
          <cell r="K1484">
            <v>5</v>
          </cell>
          <cell r="L1484">
            <v>10</v>
          </cell>
          <cell r="M1484">
            <v>20</v>
          </cell>
          <cell r="N1484">
            <v>30</v>
          </cell>
          <cell r="O1484">
            <v>60</v>
          </cell>
          <cell r="P1484">
            <v>90</v>
          </cell>
        </row>
        <row r="1485">
          <cell r="A1485" t="str">
            <v>L180x90x12</v>
          </cell>
          <cell r="B1485" t="str">
            <v>a=0.5 x t</v>
          </cell>
          <cell r="C1485">
            <v>12</v>
          </cell>
          <cell r="D1485"/>
          <cell r="E1485" t="str">
            <v>Jah</v>
          </cell>
          <cell r="F1485">
            <v>2</v>
          </cell>
          <cell r="G1485">
            <v>2</v>
          </cell>
          <cell r="H1485">
            <v>0.52800000000000002</v>
          </cell>
          <cell r="I1485">
            <v>2.1551020408163268E-2</v>
          </cell>
          <cell r="J1485">
            <v>24.5</v>
          </cell>
          <cell r="K1485">
            <v>5</v>
          </cell>
          <cell r="L1485">
            <v>10</v>
          </cell>
          <cell r="M1485">
            <v>20</v>
          </cell>
          <cell r="N1485">
            <v>30</v>
          </cell>
          <cell r="O1485">
            <v>60</v>
          </cell>
          <cell r="P1485">
            <v>90</v>
          </cell>
        </row>
        <row r="1486">
          <cell r="A1486" t="str">
            <v>L200x100x10</v>
          </cell>
          <cell r="B1486" t="str">
            <v>a=0.5 x t</v>
          </cell>
          <cell r="C1486">
            <v>10</v>
          </cell>
          <cell r="D1486"/>
          <cell r="E1486"/>
          <cell r="F1486">
            <v>3</v>
          </cell>
          <cell r="G1486">
            <v>2</v>
          </cell>
          <cell r="H1486">
            <v>0.58699999999999997</v>
          </cell>
          <cell r="I1486">
            <v>2.5633187772925763E-2</v>
          </cell>
          <cell r="J1486">
            <v>22.9</v>
          </cell>
          <cell r="K1486">
            <v>10</v>
          </cell>
          <cell r="L1486">
            <v>20</v>
          </cell>
          <cell r="M1486">
            <v>30</v>
          </cell>
          <cell r="N1486">
            <v>40</v>
          </cell>
          <cell r="O1486">
            <v>90</v>
          </cell>
          <cell r="P1486">
            <v>120</v>
          </cell>
        </row>
        <row r="1487">
          <cell r="A1487" t="str">
            <v>L200x100x12</v>
          </cell>
          <cell r="B1487" t="str">
            <v>a=0.5 x t</v>
          </cell>
          <cell r="C1487">
            <v>12</v>
          </cell>
          <cell r="D1487"/>
          <cell r="E1487" t="str">
            <v>Jah</v>
          </cell>
          <cell r="F1487">
            <v>3</v>
          </cell>
          <cell r="G1487">
            <v>2</v>
          </cell>
          <cell r="H1487">
            <v>0.58699999999999997</v>
          </cell>
          <cell r="I1487">
            <v>2.1501831501831499E-2</v>
          </cell>
          <cell r="J1487">
            <v>27.3</v>
          </cell>
          <cell r="K1487">
            <v>10</v>
          </cell>
          <cell r="L1487">
            <v>20</v>
          </cell>
          <cell r="M1487">
            <v>30</v>
          </cell>
          <cell r="N1487">
            <v>40</v>
          </cell>
          <cell r="O1487">
            <v>90</v>
          </cell>
          <cell r="P1487">
            <v>120</v>
          </cell>
        </row>
        <row r="1488">
          <cell r="A1488" t="str">
            <v>L200x100x14</v>
          </cell>
          <cell r="B1488" t="str">
            <v>a=0.5 x t</v>
          </cell>
          <cell r="C1488">
            <v>14</v>
          </cell>
          <cell r="D1488"/>
          <cell r="E1488"/>
          <cell r="F1488">
            <v>3</v>
          </cell>
          <cell r="G1488">
            <v>2</v>
          </cell>
          <cell r="H1488">
            <v>0.58699999999999997</v>
          </cell>
          <cell r="I1488">
            <v>1.8575949367088607E-2</v>
          </cell>
          <cell r="J1488">
            <v>31.6</v>
          </cell>
          <cell r="K1488">
            <v>10</v>
          </cell>
          <cell r="L1488">
            <v>20</v>
          </cell>
          <cell r="M1488">
            <v>30</v>
          </cell>
          <cell r="N1488">
            <v>40</v>
          </cell>
          <cell r="O1488">
            <v>90</v>
          </cell>
          <cell r="P1488">
            <v>120</v>
          </cell>
        </row>
        <row r="1489">
          <cell r="A1489" t="str">
            <v>L200x100x15</v>
          </cell>
          <cell r="B1489" t="str">
            <v>a=0.5 x t</v>
          </cell>
          <cell r="C1489">
            <v>15</v>
          </cell>
          <cell r="D1489"/>
          <cell r="E1489"/>
          <cell r="F1489">
            <v>3</v>
          </cell>
          <cell r="G1489">
            <v>2</v>
          </cell>
          <cell r="H1489">
            <v>0.58699999999999997</v>
          </cell>
          <cell r="I1489">
            <v>1.7366863905325443E-2</v>
          </cell>
          <cell r="J1489">
            <v>33.799999999999997</v>
          </cell>
          <cell r="K1489">
            <v>10</v>
          </cell>
          <cell r="L1489">
            <v>20</v>
          </cell>
          <cell r="M1489">
            <v>30</v>
          </cell>
          <cell r="N1489">
            <v>40</v>
          </cell>
          <cell r="O1489">
            <v>90</v>
          </cell>
          <cell r="P1489">
            <v>120</v>
          </cell>
        </row>
        <row r="1490">
          <cell r="A1490" t="str">
            <v>L200x100x16</v>
          </cell>
          <cell r="B1490" t="str">
            <v>a=0.5 x t</v>
          </cell>
          <cell r="C1490">
            <v>16</v>
          </cell>
          <cell r="D1490"/>
          <cell r="E1490" t="str">
            <v>Jah</v>
          </cell>
          <cell r="F1490">
            <v>3</v>
          </cell>
          <cell r="G1490">
            <v>2</v>
          </cell>
          <cell r="H1490">
            <v>0.58699999999999997</v>
          </cell>
          <cell r="I1490">
            <v>1.6350974930362118E-2</v>
          </cell>
          <cell r="J1490">
            <v>35.9</v>
          </cell>
          <cell r="K1490">
            <v>10</v>
          </cell>
          <cell r="L1490">
            <v>20</v>
          </cell>
          <cell r="M1490">
            <v>30</v>
          </cell>
          <cell r="N1490">
            <v>40</v>
          </cell>
          <cell r="O1490">
            <v>90</v>
          </cell>
          <cell r="P1490">
            <v>120</v>
          </cell>
        </row>
        <row r="1491">
          <cell r="A1491" t="str">
            <v>L250x90x16</v>
          </cell>
          <cell r="B1491" t="str">
            <v>a=0.5 x t</v>
          </cell>
          <cell r="C1491">
            <v>16</v>
          </cell>
          <cell r="D1491"/>
          <cell r="E1491" t="str">
            <v>Jah</v>
          </cell>
          <cell r="F1491">
            <v>3</v>
          </cell>
          <cell r="G1491">
            <v>2</v>
          </cell>
          <cell r="H1491">
            <v>0.66500000000000004</v>
          </cell>
          <cell r="I1491">
            <v>1.6259168704156481E-2</v>
          </cell>
          <cell r="J1491">
            <v>40.9</v>
          </cell>
          <cell r="K1491">
            <v>10</v>
          </cell>
          <cell r="L1491">
            <v>20</v>
          </cell>
          <cell r="M1491">
            <v>30</v>
          </cell>
          <cell r="N1491">
            <v>40</v>
          </cell>
          <cell r="O1491">
            <v>90</v>
          </cell>
          <cell r="P1491">
            <v>120</v>
          </cell>
        </row>
        <row r="1492">
          <cell r="A1492" t="str">
            <v>U40x20x4</v>
          </cell>
          <cell r="B1492" t="str">
            <v>a=0.5 x t</v>
          </cell>
          <cell r="C1492">
            <v>4</v>
          </cell>
          <cell r="D1492">
            <v>4.4000000000000004</v>
          </cell>
          <cell r="E1492"/>
          <cell r="F1492">
            <v>1</v>
          </cell>
          <cell r="G1492">
            <v>1</v>
          </cell>
          <cell r="H1492">
            <v>8.7999999999999995E-2</v>
          </cell>
          <cell r="I1492">
            <v>3.8938053097345132E-2</v>
          </cell>
          <cell r="J1492">
            <v>2.2599999999999998</v>
          </cell>
          <cell r="K1492">
            <v>2</v>
          </cell>
          <cell r="L1492">
            <v>5</v>
          </cell>
          <cell r="M1492">
            <v>10</v>
          </cell>
          <cell r="N1492">
            <v>20</v>
          </cell>
          <cell r="O1492">
            <v>30</v>
          </cell>
          <cell r="P1492">
            <v>60</v>
          </cell>
        </row>
        <row r="1493">
          <cell r="A1493" t="str">
            <v>U40x20x5</v>
          </cell>
          <cell r="B1493" t="str">
            <v>a=0.5 x t</v>
          </cell>
          <cell r="C1493">
            <v>5</v>
          </cell>
          <cell r="D1493">
            <v>5.5</v>
          </cell>
          <cell r="E1493"/>
          <cell r="F1493">
            <v>1</v>
          </cell>
          <cell r="G1493">
            <v>1</v>
          </cell>
          <cell r="H1493">
            <v>0.14199999999999999</v>
          </cell>
          <cell r="I1493">
            <v>4.8965517241379306E-2</v>
          </cell>
          <cell r="J1493">
            <v>2.9</v>
          </cell>
          <cell r="K1493">
            <v>2</v>
          </cell>
          <cell r="L1493">
            <v>5</v>
          </cell>
          <cell r="M1493">
            <v>10</v>
          </cell>
          <cell r="N1493">
            <v>20</v>
          </cell>
          <cell r="O1493">
            <v>30</v>
          </cell>
          <cell r="P1493">
            <v>60</v>
          </cell>
        </row>
        <row r="1494">
          <cell r="A1494" t="str">
            <v>U50x25x5</v>
          </cell>
          <cell r="B1494" t="str">
            <v>a=0.5 x t</v>
          </cell>
          <cell r="C1494">
            <v>5</v>
          </cell>
          <cell r="D1494">
            <v>6</v>
          </cell>
          <cell r="E1494"/>
          <cell r="F1494">
            <v>1</v>
          </cell>
          <cell r="G1494">
            <v>1</v>
          </cell>
          <cell r="H1494">
            <v>0.18099999999999999</v>
          </cell>
          <cell r="I1494">
            <v>4.6410256410256409E-2</v>
          </cell>
          <cell r="J1494">
            <v>3.9</v>
          </cell>
          <cell r="K1494">
            <v>2</v>
          </cell>
          <cell r="L1494">
            <v>5</v>
          </cell>
          <cell r="M1494">
            <v>10</v>
          </cell>
          <cell r="N1494">
            <v>20</v>
          </cell>
          <cell r="O1494">
            <v>30</v>
          </cell>
          <cell r="P1494">
            <v>60</v>
          </cell>
        </row>
        <row r="1495">
          <cell r="A1495" t="str">
            <v>U60x30x6</v>
          </cell>
          <cell r="B1495" t="str">
            <v>a=0.5 x t</v>
          </cell>
          <cell r="C1495">
            <v>6</v>
          </cell>
          <cell r="D1495">
            <v>6</v>
          </cell>
          <cell r="E1495"/>
          <cell r="F1495">
            <v>1</v>
          </cell>
          <cell r="G1495">
            <v>1</v>
          </cell>
          <cell r="H1495">
            <v>0.218</v>
          </cell>
          <cell r="I1495">
            <v>4.1923076923076924E-2</v>
          </cell>
          <cell r="J1495">
            <v>5.2</v>
          </cell>
          <cell r="K1495">
            <v>2</v>
          </cell>
          <cell r="L1495">
            <v>5</v>
          </cell>
          <cell r="M1495">
            <v>10</v>
          </cell>
          <cell r="N1495">
            <v>20</v>
          </cell>
          <cell r="O1495">
            <v>30</v>
          </cell>
          <cell r="P1495">
            <v>60</v>
          </cell>
        </row>
        <row r="1496">
          <cell r="A1496" t="str">
            <v>U65x42x5.5</v>
          </cell>
          <cell r="B1496" t="str">
            <v>a=0.5 x t</v>
          </cell>
          <cell r="C1496">
            <v>5.5</v>
          </cell>
          <cell r="D1496">
            <v>7.5</v>
          </cell>
          <cell r="E1496"/>
          <cell r="F1496">
            <v>1</v>
          </cell>
          <cell r="G1496">
            <v>1</v>
          </cell>
          <cell r="H1496">
            <v>0.27300000000000002</v>
          </cell>
          <cell r="I1496">
            <v>3.8450704225352114E-2</v>
          </cell>
          <cell r="J1496">
            <v>7.1</v>
          </cell>
          <cell r="K1496">
            <v>2</v>
          </cell>
          <cell r="L1496">
            <v>5</v>
          </cell>
          <cell r="M1496">
            <v>10</v>
          </cell>
          <cell r="N1496">
            <v>20</v>
          </cell>
          <cell r="O1496">
            <v>30</v>
          </cell>
          <cell r="P1496">
            <v>60</v>
          </cell>
        </row>
        <row r="1497">
          <cell r="A1497" t="str">
            <v>UPE80</v>
          </cell>
          <cell r="B1497" t="str">
            <v>a=0.5 x t</v>
          </cell>
          <cell r="C1497">
            <v>4</v>
          </cell>
          <cell r="D1497">
            <v>7</v>
          </cell>
          <cell r="E1497"/>
          <cell r="F1497">
            <v>1</v>
          </cell>
          <cell r="G1497">
            <v>1</v>
          </cell>
          <cell r="H1497">
            <v>0.34339999999999998</v>
          </cell>
          <cell r="I1497">
            <v>4.346835443037974E-2</v>
          </cell>
          <cell r="J1497">
            <v>7.9</v>
          </cell>
          <cell r="K1497">
            <v>2</v>
          </cell>
          <cell r="L1497">
            <v>5</v>
          </cell>
          <cell r="M1497">
            <v>10</v>
          </cell>
          <cell r="N1497">
            <v>20</v>
          </cell>
          <cell r="O1497">
            <v>30</v>
          </cell>
          <cell r="P1497">
            <v>60</v>
          </cell>
        </row>
        <row r="1498">
          <cell r="A1498" t="str">
            <v>UPE100</v>
          </cell>
          <cell r="B1498" t="str">
            <v>a=0.5 x t</v>
          </cell>
          <cell r="C1498">
            <v>4.5</v>
          </cell>
          <cell r="D1498">
            <v>7.5</v>
          </cell>
          <cell r="E1498"/>
          <cell r="F1498">
            <v>1</v>
          </cell>
          <cell r="G1498">
            <v>1</v>
          </cell>
          <cell r="H1498">
            <v>0.40200000000000002</v>
          </cell>
          <cell r="I1498">
            <v>4.1020408163265305E-2</v>
          </cell>
          <cell r="J1498">
            <v>9.8000000000000007</v>
          </cell>
          <cell r="K1498">
            <v>2</v>
          </cell>
          <cell r="L1498">
            <v>5</v>
          </cell>
          <cell r="M1498">
            <v>10</v>
          </cell>
          <cell r="N1498">
            <v>20</v>
          </cell>
          <cell r="O1498">
            <v>30</v>
          </cell>
          <cell r="P1498">
            <v>60</v>
          </cell>
        </row>
        <row r="1499">
          <cell r="A1499" t="str">
            <v>UPE120</v>
          </cell>
          <cell r="B1499" t="str">
            <v>a=0.5 x t</v>
          </cell>
          <cell r="C1499">
            <v>5</v>
          </cell>
          <cell r="D1499">
            <v>8</v>
          </cell>
          <cell r="E1499"/>
          <cell r="F1499">
            <v>1</v>
          </cell>
          <cell r="G1499">
            <v>1</v>
          </cell>
          <cell r="H1499">
            <v>0.46</v>
          </cell>
          <cell r="I1499">
            <v>3.8016528925619839E-2</v>
          </cell>
          <cell r="J1499">
            <v>12.1</v>
          </cell>
          <cell r="K1499">
            <v>2</v>
          </cell>
          <cell r="L1499">
            <v>5</v>
          </cell>
          <cell r="M1499">
            <v>10</v>
          </cell>
          <cell r="N1499">
            <v>20</v>
          </cell>
          <cell r="O1499">
            <v>30</v>
          </cell>
          <cell r="P1499">
            <v>60</v>
          </cell>
        </row>
        <row r="1500">
          <cell r="A1500" t="str">
            <v>UPE140</v>
          </cell>
          <cell r="B1500" t="str">
            <v>a=0.5 x t</v>
          </cell>
          <cell r="C1500">
            <v>5</v>
          </cell>
          <cell r="D1500">
            <v>9</v>
          </cell>
          <cell r="E1500"/>
          <cell r="F1500">
            <v>1</v>
          </cell>
          <cell r="G1500">
            <v>2</v>
          </cell>
          <cell r="H1500">
            <v>0.52</v>
          </cell>
          <cell r="I1500">
            <v>3.6111111111111115E-2</v>
          </cell>
          <cell r="J1500">
            <v>14.4</v>
          </cell>
          <cell r="K1500">
            <v>2</v>
          </cell>
          <cell r="L1500">
            <v>5</v>
          </cell>
          <cell r="M1500">
            <v>10</v>
          </cell>
          <cell r="N1500">
            <v>20</v>
          </cell>
          <cell r="O1500">
            <v>30</v>
          </cell>
          <cell r="P1500">
            <v>60</v>
          </cell>
        </row>
        <row r="1501">
          <cell r="A1501" t="str">
            <v>UPE160</v>
          </cell>
          <cell r="B1501" t="str">
            <v>a=0.5 x t</v>
          </cell>
          <cell r="C1501">
            <v>5.5</v>
          </cell>
          <cell r="D1501">
            <v>9.5</v>
          </cell>
          <cell r="E1501"/>
          <cell r="F1501">
            <v>1</v>
          </cell>
          <cell r="G1501">
            <v>2</v>
          </cell>
          <cell r="H1501">
            <v>0.57899999999999996</v>
          </cell>
          <cell r="I1501">
            <v>3.4058823529411759E-2</v>
          </cell>
          <cell r="J1501">
            <v>17</v>
          </cell>
          <cell r="K1501">
            <v>2</v>
          </cell>
          <cell r="L1501">
            <v>5</v>
          </cell>
          <cell r="M1501">
            <v>10</v>
          </cell>
          <cell r="N1501">
            <v>20</v>
          </cell>
          <cell r="O1501">
            <v>30</v>
          </cell>
          <cell r="P1501">
            <v>60</v>
          </cell>
        </row>
        <row r="1502">
          <cell r="A1502" t="str">
            <v>UPE180</v>
          </cell>
          <cell r="B1502" t="str">
            <v>a=0.5 x t</v>
          </cell>
          <cell r="C1502">
            <v>5.5</v>
          </cell>
          <cell r="D1502">
            <v>10.5</v>
          </cell>
          <cell r="E1502"/>
          <cell r="F1502">
            <v>1</v>
          </cell>
          <cell r="G1502">
            <v>2</v>
          </cell>
          <cell r="H1502">
            <v>0.63900000000000001</v>
          </cell>
          <cell r="I1502">
            <v>3.2436548223350258E-2</v>
          </cell>
          <cell r="J1502">
            <v>19.7</v>
          </cell>
          <cell r="K1502">
            <v>2</v>
          </cell>
          <cell r="L1502">
            <v>5</v>
          </cell>
          <cell r="M1502">
            <v>10</v>
          </cell>
          <cell r="N1502">
            <v>20</v>
          </cell>
          <cell r="O1502">
            <v>30</v>
          </cell>
          <cell r="P1502">
            <v>60</v>
          </cell>
        </row>
        <row r="1503">
          <cell r="A1503" t="str">
            <v>UPE200</v>
          </cell>
          <cell r="B1503" t="str">
            <v>a=0.5 x t</v>
          </cell>
          <cell r="C1503">
            <v>6</v>
          </cell>
          <cell r="D1503">
            <v>11</v>
          </cell>
          <cell r="E1503"/>
          <cell r="F1503">
            <v>2</v>
          </cell>
          <cell r="G1503">
            <v>2</v>
          </cell>
          <cell r="H1503">
            <v>0.69699999999999995</v>
          </cell>
          <cell r="I1503">
            <v>3.0570175438596487E-2</v>
          </cell>
          <cell r="J1503">
            <v>22.8</v>
          </cell>
          <cell r="K1503">
            <v>5</v>
          </cell>
          <cell r="L1503">
            <v>10</v>
          </cell>
          <cell r="M1503">
            <v>20</v>
          </cell>
          <cell r="N1503">
            <v>30</v>
          </cell>
          <cell r="O1503">
            <v>60</v>
          </cell>
          <cell r="P1503">
            <v>90</v>
          </cell>
        </row>
        <row r="1504">
          <cell r="A1504" t="str">
            <v>UPE220</v>
          </cell>
          <cell r="B1504" t="str">
            <v>a=0.5 x t</v>
          </cell>
          <cell r="C1504">
            <v>6.5</v>
          </cell>
          <cell r="D1504">
            <v>12</v>
          </cell>
          <cell r="E1504"/>
          <cell r="F1504">
            <v>2</v>
          </cell>
          <cell r="G1504">
            <v>2</v>
          </cell>
          <cell r="H1504">
            <v>0.75600000000000001</v>
          </cell>
          <cell r="I1504">
            <v>2.8421052631578948E-2</v>
          </cell>
          <cell r="J1504">
            <v>26.6</v>
          </cell>
          <cell r="K1504">
            <v>5</v>
          </cell>
          <cell r="L1504">
            <v>10</v>
          </cell>
          <cell r="M1504">
            <v>20</v>
          </cell>
          <cell r="N1504">
            <v>30</v>
          </cell>
          <cell r="O1504">
            <v>60</v>
          </cell>
          <cell r="P1504">
            <v>90</v>
          </cell>
        </row>
        <row r="1505">
          <cell r="A1505" t="str">
            <v>UPE240</v>
          </cell>
          <cell r="B1505" t="str">
            <v>a=0.5 x t</v>
          </cell>
          <cell r="C1505">
            <v>7</v>
          </cell>
          <cell r="D1505">
            <v>12.5</v>
          </cell>
          <cell r="E1505"/>
          <cell r="F1505">
            <v>2</v>
          </cell>
          <cell r="G1505">
            <v>3</v>
          </cell>
          <cell r="H1505">
            <v>0.81299999999999994</v>
          </cell>
          <cell r="I1505">
            <v>2.6920529801324502E-2</v>
          </cell>
          <cell r="J1505">
            <v>30.2</v>
          </cell>
          <cell r="K1505">
            <v>5</v>
          </cell>
          <cell r="L1505">
            <v>10</v>
          </cell>
          <cell r="M1505">
            <v>20</v>
          </cell>
          <cell r="N1505">
            <v>30</v>
          </cell>
          <cell r="O1505">
            <v>60</v>
          </cell>
          <cell r="P1505">
            <v>90</v>
          </cell>
        </row>
        <row r="1506">
          <cell r="A1506" t="str">
            <v>UPE270</v>
          </cell>
          <cell r="B1506" t="str">
            <v>a=0.5 x t</v>
          </cell>
          <cell r="C1506">
            <v>7.5</v>
          </cell>
          <cell r="D1506">
            <v>13.5</v>
          </cell>
          <cell r="E1506"/>
          <cell r="F1506">
            <v>2</v>
          </cell>
          <cell r="G1506">
            <v>3</v>
          </cell>
          <cell r="H1506">
            <v>0.89200000000000002</v>
          </cell>
          <cell r="I1506">
            <v>2.5340909090909091E-2</v>
          </cell>
          <cell r="J1506">
            <v>35.200000000000003</v>
          </cell>
          <cell r="K1506">
            <v>5</v>
          </cell>
          <cell r="L1506">
            <v>10</v>
          </cell>
          <cell r="M1506">
            <v>20</v>
          </cell>
          <cell r="N1506">
            <v>30</v>
          </cell>
          <cell r="O1506">
            <v>60</v>
          </cell>
          <cell r="P1506">
            <v>90</v>
          </cell>
        </row>
        <row r="1507">
          <cell r="A1507" t="str">
            <v>UPE300</v>
          </cell>
          <cell r="B1507" t="str">
            <v>a=0.5 x t</v>
          </cell>
          <cell r="C1507">
            <v>9.5</v>
          </cell>
          <cell r="D1507">
            <v>15</v>
          </cell>
          <cell r="E1507"/>
          <cell r="F1507">
            <v>3</v>
          </cell>
          <cell r="G1507">
            <v>6</v>
          </cell>
          <cell r="H1507">
            <v>0.96799999999999997</v>
          </cell>
          <cell r="I1507">
            <v>2.1801801801801801E-2</v>
          </cell>
          <cell r="J1507">
            <v>44.4</v>
          </cell>
          <cell r="K1507">
            <v>10</v>
          </cell>
          <cell r="L1507">
            <v>20</v>
          </cell>
          <cell r="M1507">
            <v>30</v>
          </cell>
          <cell r="N1507">
            <v>40</v>
          </cell>
          <cell r="O1507">
            <v>90</v>
          </cell>
          <cell r="P1507">
            <v>120</v>
          </cell>
        </row>
        <row r="1508">
          <cell r="A1508" t="str">
            <v>UPE330</v>
          </cell>
          <cell r="B1508" t="str">
            <v>a=0.5 x t</v>
          </cell>
          <cell r="C1508">
            <v>11</v>
          </cell>
          <cell r="D1508">
            <v>16</v>
          </cell>
          <cell r="E1508"/>
          <cell r="F1508">
            <v>3</v>
          </cell>
          <cell r="G1508">
            <v>6</v>
          </cell>
          <cell r="H1508">
            <v>1.0429999999999999</v>
          </cell>
          <cell r="I1508">
            <v>1.9605263157894733E-2</v>
          </cell>
          <cell r="J1508">
            <v>53.2</v>
          </cell>
          <cell r="K1508">
            <v>10</v>
          </cell>
          <cell r="L1508">
            <v>20</v>
          </cell>
          <cell r="M1508">
            <v>30</v>
          </cell>
          <cell r="N1508">
            <v>40</v>
          </cell>
          <cell r="O1508">
            <v>90</v>
          </cell>
          <cell r="P1508">
            <v>120</v>
          </cell>
        </row>
        <row r="1509">
          <cell r="A1509" t="str">
            <v>UPE360</v>
          </cell>
          <cell r="B1509" t="str">
            <v>a=0.5 x t</v>
          </cell>
          <cell r="C1509">
            <v>12</v>
          </cell>
          <cell r="D1509">
            <v>17</v>
          </cell>
          <cell r="E1509"/>
          <cell r="F1509">
            <v>3</v>
          </cell>
          <cell r="G1509">
            <v>6</v>
          </cell>
          <cell r="H1509">
            <v>1.121</v>
          </cell>
          <cell r="I1509">
            <v>1.8316993464052286E-2</v>
          </cell>
          <cell r="J1509">
            <v>61.2</v>
          </cell>
          <cell r="K1509">
            <v>10</v>
          </cell>
          <cell r="L1509">
            <v>20</v>
          </cell>
          <cell r="M1509">
            <v>30</v>
          </cell>
          <cell r="N1509">
            <v>40</v>
          </cell>
          <cell r="O1509">
            <v>90</v>
          </cell>
          <cell r="P1509">
            <v>120</v>
          </cell>
        </row>
        <row r="1510">
          <cell r="A1510" t="str">
            <v>UPE400</v>
          </cell>
          <cell r="B1510" t="str">
            <v>a=0.5 x t</v>
          </cell>
          <cell r="C1510">
            <v>13.5</v>
          </cell>
          <cell r="D1510">
            <v>18</v>
          </cell>
          <cell r="E1510"/>
          <cell r="F1510">
            <v>3</v>
          </cell>
          <cell r="G1510">
            <v>10</v>
          </cell>
          <cell r="H1510">
            <v>1.218</v>
          </cell>
          <cell r="I1510">
            <v>1.6893203883495148E-2</v>
          </cell>
          <cell r="J1510">
            <v>72.099999999999994</v>
          </cell>
          <cell r="K1510">
            <v>10</v>
          </cell>
          <cell r="L1510">
            <v>20</v>
          </cell>
          <cell r="M1510">
            <v>30</v>
          </cell>
          <cell r="N1510">
            <v>40</v>
          </cell>
          <cell r="O1510">
            <v>90</v>
          </cell>
          <cell r="P1510">
            <v>120</v>
          </cell>
        </row>
        <row r="1511">
          <cell r="A1511" t="str">
            <v>UNP50</v>
          </cell>
          <cell r="B1511" t="str">
            <v>a=0.5 x t</v>
          </cell>
          <cell r="C1511">
            <v>5</v>
          </cell>
          <cell r="D1511">
            <v>7</v>
          </cell>
          <cell r="E1511"/>
          <cell r="F1511">
            <v>1</v>
          </cell>
          <cell r="G1511">
            <v>2</v>
          </cell>
          <cell r="H1511">
            <v>0.23200000000000001</v>
          </cell>
          <cell r="I1511">
            <v>4.1428571428571433E-2</v>
          </cell>
          <cell r="J1511">
            <v>5.6</v>
          </cell>
          <cell r="K1511">
            <v>2</v>
          </cell>
          <cell r="L1511">
            <v>5</v>
          </cell>
          <cell r="M1511">
            <v>10</v>
          </cell>
          <cell r="N1511">
            <v>20</v>
          </cell>
          <cell r="O1511">
            <v>30</v>
          </cell>
          <cell r="P1511">
            <v>60</v>
          </cell>
        </row>
        <row r="1512">
          <cell r="A1512" t="str">
            <v>UNP65</v>
          </cell>
          <cell r="B1512" t="str">
            <v>a=0.5 x t</v>
          </cell>
          <cell r="C1512">
            <v>5.5</v>
          </cell>
          <cell r="D1512">
            <v>7.5</v>
          </cell>
          <cell r="E1512"/>
          <cell r="F1512">
            <v>1</v>
          </cell>
          <cell r="G1512">
            <v>2</v>
          </cell>
          <cell r="H1512">
            <v>0.72729999999999995</v>
          </cell>
          <cell r="I1512">
            <v>0.10243661971830986</v>
          </cell>
          <cell r="J1512">
            <v>7.1</v>
          </cell>
          <cell r="K1512">
            <v>2</v>
          </cell>
          <cell r="L1512">
            <v>5</v>
          </cell>
          <cell r="M1512">
            <v>10</v>
          </cell>
          <cell r="N1512">
            <v>20</v>
          </cell>
          <cell r="O1512">
            <v>30</v>
          </cell>
          <cell r="P1512">
            <v>60</v>
          </cell>
        </row>
        <row r="1513">
          <cell r="A1513" t="str">
            <v>UNP80</v>
          </cell>
          <cell r="B1513" t="str">
            <v>a=0.5 x t</v>
          </cell>
          <cell r="C1513">
            <v>6</v>
          </cell>
          <cell r="D1513">
            <v>8</v>
          </cell>
          <cell r="E1513"/>
          <cell r="F1513">
            <v>1</v>
          </cell>
          <cell r="G1513">
            <v>2</v>
          </cell>
          <cell r="H1513">
            <v>0.312</v>
          </cell>
          <cell r="I1513">
            <v>3.6279069767441864E-2</v>
          </cell>
          <cell r="J1513">
            <v>8.6</v>
          </cell>
          <cell r="K1513">
            <v>2</v>
          </cell>
          <cell r="L1513">
            <v>5</v>
          </cell>
          <cell r="M1513">
            <v>10</v>
          </cell>
          <cell r="N1513">
            <v>20</v>
          </cell>
          <cell r="O1513">
            <v>30</v>
          </cell>
          <cell r="P1513">
            <v>60</v>
          </cell>
        </row>
        <row r="1514">
          <cell r="A1514" t="str">
            <v>UNP100</v>
          </cell>
          <cell r="B1514" t="str">
            <v>a=0.5 x t</v>
          </cell>
          <cell r="C1514">
            <v>6</v>
          </cell>
          <cell r="D1514">
            <v>8.5</v>
          </cell>
          <cell r="E1514"/>
          <cell r="F1514">
            <v>1</v>
          </cell>
          <cell r="G1514">
            <v>2</v>
          </cell>
          <cell r="H1514">
            <v>0.372</v>
          </cell>
          <cell r="I1514">
            <v>3.509433962264151E-2</v>
          </cell>
          <cell r="J1514">
            <v>10.6</v>
          </cell>
          <cell r="K1514">
            <v>2</v>
          </cell>
          <cell r="L1514">
            <v>5</v>
          </cell>
          <cell r="M1514">
            <v>10</v>
          </cell>
          <cell r="N1514">
            <v>20</v>
          </cell>
          <cell r="O1514">
            <v>30</v>
          </cell>
          <cell r="P1514">
            <v>60</v>
          </cell>
        </row>
        <row r="1515">
          <cell r="A1515" t="str">
            <v>UNP120</v>
          </cell>
          <cell r="B1515" t="str">
            <v>a=0.5 x t</v>
          </cell>
          <cell r="C1515">
            <v>7</v>
          </cell>
          <cell r="D1515">
            <v>9</v>
          </cell>
          <cell r="E1515"/>
          <cell r="F1515">
            <v>1</v>
          </cell>
          <cell r="G1515">
            <v>2</v>
          </cell>
          <cell r="H1515">
            <v>0.434</v>
          </cell>
          <cell r="I1515">
            <v>3.2631578947368421E-2</v>
          </cell>
          <cell r="J1515">
            <v>13.3</v>
          </cell>
          <cell r="K1515">
            <v>2</v>
          </cell>
          <cell r="L1515">
            <v>5</v>
          </cell>
          <cell r="M1515">
            <v>10</v>
          </cell>
          <cell r="N1515">
            <v>20</v>
          </cell>
          <cell r="O1515">
            <v>30</v>
          </cell>
          <cell r="P1515">
            <v>60</v>
          </cell>
        </row>
        <row r="1516">
          <cell r="A1516" t="str">
            <v>UNP140</v>
          </cell>
          <cell r="B1516" t="str">
            <v>a=0.5 x t</v>
          </cell>
          <cell r="C1516">
            <v>7</v>
          </cell>
          <cell r="D1516">
            <v>10</v>
          </cell>
          <cell r="E1516"/>
          <cell r="F1516">
            <v>1</v>
          </cell>
          <cell r="G1516">
            <v>2</v>
          </cell>
          <cell r="H1516">
            <v>0.48899999999999999</v>
          </cell>
          <cell r="I1516">
            <v>3.0562499999999999E-2</v>
          </cell>
          <cell r="J1516">
            <v>16</v>
          </cell>
          <cell r="K1516">
            <v>2</v>
          </cell>
          <cell r="L1516">
            <v>5</v>
          </cell>
          <cell r="M1516">
            <v>10</v>
          </cell>
          <cell r="N1516">
            <v>20</v>
          </cell>
          <cell r="O1516">
            <v>30</v>
          </cell>
          <cell r="P1516">
            <v>60</v>
          </cell>
        </row>
        <row r="1517">
          <cell r="A1517" t="str">
            <v>UNP160</v>
          </cell>
          <cell r="B1517" t="str">
            <v>a=0.5 x t</v>
          </cell>
          <cell r="C1517">
            <v>7.5</v>
          </cell>
          <cell r="D1517">
            <v>10.5</v>
          </cell>
          <cell r="E1517"/>
          <cell r="F1517">
            <v>1</v>
          </cell>
          <cell r="G1517">
            <v>2</v>
          </cell>
          <cell r="H1517">
            <v>0.54600000000000004</v>
          </cell>
          <cell r="I1517">
            <v>2.9042553191489361E-2</v>
          </cell>
          <cell r="J1517">
            <v>18.8</v>
          </cell>
          <cell r="K1517">
            <v>2</v>
          </cell>
          <cell r="L1517">
            <v>5</v>
          </cell>
          <cell r="M1517">
            <v>10</v>
          </cell>
          <cell r="N1517">
            <v>20</v>
          </cell>
          <cell r="O1517">
            <v>30</v>
          </cell>
          <cell r="P1517">
            <v>60</v>
          </cell>
        </row>
        <row r="1518">
          <cell r="A1518" t="str">
            <v>UNP180</v>
          </cell>
          <cell r="B1518" t="str">
            <v>a=0.5 x t</v>
          </cell>
          <cell r="C1518">
            <v>8</v>
          </cell>
          <cell r="D1518">
            <v>11</v>
          </cell>
          <cell r="E1518"/>
          <cell r="F1518">
            <v>2</v>
          </cell>
          <cell r="G1518">
            <v>3</v>
          </cell>
          <cell r="H1518">
            <v>0.61099999999999999</v>
          </cell>
          <cell r="I1518">
            <v>2.7772727272727272E-2</v>
          </cell>
          <cell r="J1518">
            <v>22</v>
          </cell>
          <cell r="K1518">
            <v>5</v>
          </cell>
          <cell r="L1518">
            <v>10</v>
          </cell>
          <cell r="M1518">
            <v>20</v>
          </cell>
          <cell r="N1518">
            <v>30</v>
          </cell>
          <cell r="O1518">
            <v>60</v>
          </cell>
          <cell r="P1518">
            <v>90</v>
          </cell>
        </row>
        <row r="1519">
          <cell r="A1519" t="str">
            <v>UNP200</v>
          </cell>
          <cell r="B1519" t="str">
            <v>a=0.5 x t</v>
          </cell>
          <cell r="C1519">
            <v>8.5</v>
          </cell>
          <cell r="D1519">
            <v>11.5</v>
          </cell>
          <cell r="E1519"/>
          <cell r="F1519">
            <v>2</v>
          </cell>
          <cell r="G1519">
            <v>3</v>
          </cell>
          <cell r="H1519">
            <v>0.66100000000000003</v>
          </cell>
          <cell r="I1519">
            <v>2.6126482213438735E-2</v>
          </cell>
          <cell r="J1519">
            <v>25.3</v>
          </cell>
          <cell r="K1519">
            <v>5</v>
          </cell>
          <cell r="L1519">
            <v>10</v>
          </cell>
          <cell r="M1519">
            <v>20</v>
          </cell>
          <cell r="N1519">
            <v>30</v>
          </cell>
          <cell r="O1519">
            <v>60</v>
          </cell>
          <cell r="P1519">
            <v>90</v>
          </cell>
        </row>
        <row r="1520">
          <cell r="A1520" t="str">
            <v>UNP220</v>
          </cell>
          <cell r="B1520" t="str">
            <v>a=0.5 x t</v>
          </cell>
          <cell r="C1520">
            <v>9</v>
          </cell>
          <cell r="D1520">
            <v>12.5</v>
          </cell>
          <cell r="E1520"/>
          <cell r="F1520">
            <v>2</v>
          </cell>
          <cell r="G1520">
            <v>3</v>
          </cell>
          <cell r="H1520">
            <v>0.71799999999999997</v>
          </cell>
          <cell r="I1520">
            <v>2.4421768707482992E-2</v>
          </cell>
          <cell r="J1520">
            <v>29.4</v>
          </cell>
          <cell r="K1520">
            <v>5</v>
          </cell>
          <cell r="L1520">
            <v>10</v>
          </cell>
          <cell r="M1520">
            <v>20</v>
          </cell>
          <cell r="N1520">
            <v>30</v>
          </cell>
          <cell r="O1520">
            <v>60</v>
          </cell>
          <cell r="P1520">
            <v>90</v>
          </cell>
        </row>
        <row r="1521">
          <cell r="A1521" t="str">
            <v>UNP240</v>
          </cell>
          <cell r="B1521" t="str">
            <v>a=0.5 x t</v>
          </cell>
          <cell r="C1521">
            <v>9.5</v>
          </cell>
          <cell r="D1521">
            <v>13</v>
          </cell>
          <cell r="E1521"/>
          <cell r="F1521">
            <v>2</v>
          </cell>
          <cell r="G1521">
            <v>3</v>
          </cell>
          <cell r="H1521">
            <v>0.77500000000000002</v>
          </cell>
          <cell r="I1521">
            <v>2.3343373493975902E-2</v>
          </cell>
          <cell r="J1521">
            <v>33.200000000000003</v>
          </cell>
          <cell r="K1521">
            <v>5</v>
          </cell>
          <cell r="L1521">
            <v>10</v>
          </cell>
          <cell r="M1521">
            <v>20</v>
          </cell>
          <cell r="N1521">
            <v>30</v>
          </cell>
          <cell r="O1521">
            <v>60</v>
          </cell>
          <cell r="P1521">
            <v>90</v>
          </cell>
        </row>
        <row r="1522">
          <cell r="A1522" t="str">
            <v>UNP260</v>
          </cell>
          <cell r="B1522" t="str">
            <v>a=0.5 x t</v>
          </cell>
          <cell r="C1522">
            <v>10</v>
          </cell>
          <cell r="D1522">
            <v>14</v>
          </cell>
          <cell r="E1522"/>
          <cell r="F1522">
            <v>2</v>
          </cell>
          <cell r="G1522">
            <v>6</v>
          </cell>
          <cell r="H1522">
            <v>0.83399999999999996</v>
          </cell>
          <cell r="I1522">
            <v>2.200527704485488E-2</v>
          </cell>
          <cell r="J1522">
            <v>37.9</v>
          </cell>
          <cell r="K1522">
            <v>5</v>
          </cell>
          <cell r="L1522">
            <v>10</v>
          </cell>
          <cell r="M1522">
            <v>20</v>
          </cell>
          <cell r="N1522">
            <v>30</v>
          </cell>
          <cell r="O1522">
            <v>60</v>
          </cell>
          <cell r="P1522">
            <v>90</v>
          </cell>
        </row>
        <row r="1523">
          <cell r="A1523" t="str">
            <v>UNP280</v>
          </cell>
          <cell r="B1523" t="str">
            <v>a=0.5 x t</v>
          </cell>
          <cell r="C1523">
            <v>10</v>
          </cell>
          <cell r="D1523">
            <v>15</v>
          </cell>
          <cell r="E1523"/>
          <cell r="F1523">
            <v>2</v>
          </cell>
          <cell r="G1523">
            <v>6</v>
          </cell>
          <cell r="H1523">
            <v>0.89</v>
          </cell>
          <cell r="I1523">
            <v>2.1291866028708136E-2</v>
          </cell>
          <cell r="J1523">
            <v>41.8</v>
          </cell>
          <cell r="K1523">
            <v>5</v>
          </cell>
          <cell r="L1523">
            <v>10</v>
          </cell>
          <cell r="M1523">
            <v>20</v>
          </cell>
          <cell r="N1523">
            <v>30</v>
          </cell>
          <cell r="O1523">
            <v>60</v>
          </cell>
          <cell r="P1523">
            <v>90</v>
          </cell>
        </row>
        <row r="1524">
          <cell r="A1524" t="str">
            <v>UNP300</v>
          </cell>
          <cell r="B1524" t="str">
            <v>a=0.5 x t</v>
          </cell>
          <cell r="C1524">
            <v>10</v>
          </cell>
          <cell r="D1524">
            <v>16</v>
          </cell>
          <cell r="E1524"/>
          <cell r="F1524">
            <v>3</v>
          </cell>
          <cell r="G1524">
            <v>6</v>
          </cell>
          <cell r="H1524">
            <v>0.95</v>
          </cell>
          <cell r="I1524">
            <v>2.056277056277056E-2</v>
          </cell>
          <cell r="J1524">
            <v>46.2</v>
          </cell>
          <cell r="K1524">
            <v>10</v>
          </cell>
          <cell r="L1524">
            <v>20</v>
          </cell>
          <cell r="M1524">
            <v>30</v>
          </cell>
          <cell r="N1524">
            <v>40</v>
          </cell>
          <cell r="O1524">
            <v>90</v>
          </cell>
          <cell r="P1524">
            <v>120</v>
          </cell>
        </row>
        <row r="1525">
          <cell r="A1525" t="str">
            <v>UNP320</v>
          </cell>
          <cell r="B1525" t="str">
            <v>a=0.5 x t</v>
          </cell>
          <cell r="C1525">
            <v>14</v>
          </cell>
          <cell r="D1525">
            <v>17.5</v>
          </cell>
          <cell r="E1525"/>
          <cell r="F1525">
            <v>3</v>
          </cell>
          <cell r="G1525">
            <v>10</v>
          </cell>
          <cell r="H1525">
            <v>0.98199999999999998</v>
          </cell>
          <cell r="I1525">
            <v>1.6504201680672268E-2</v>
          </cell>
          <cell r="J1525">
            <v>59.5</v>
          </cell>
          <cell r="K1525">
            <v>10</v>
          </cell>
          <cell r="L1525">
            <v>20</v>
          </cell>
          <cell r="M1525">
            <v>30</v>
          </cell>
          <cell r="N1525">
            <v>40</v>
          </cell>
          <cell r="O1525">
            <v>90</v>
          </cell>
          <cell r="P1525">
            <v>120</v>
          </cell>
        </row>
        <row r="1526">
          <cell r="A1526" t="str">
            <v>UNP350</v>
          </cell>
          <cell r="B1526" t="str">
            <v>a=0.5 x t</v>
          </cell>
          <cell r="C1526">
            <v>14</v>
          </cell>
          <cell r="D1526">
            <v>16</v>
          </cell>
          <cell r="E1526"/>
          <cell r="F1526">
            <v>3</v>
          </cell>
          <cell r="G1526">
            <v>10</v>
          </cell>
          <cell r="H1526">
            <v>1.0469999999999999</v>
          </cell>
          <cell r="I1526">
            <v>1.7248764415156506E-2</v>
          </cell>
          <cell r="J1526">
            <v>60.7</v>
          </cell>
          <cell r="K1526">
            <v>10</v>
          </cell>
          <cell r="L1526">
            <v>20</v>
          </cell>
          <cell r="M1526">
            <v>30</v>
          </cell>
          <cell r="N1526">
            <v>40</v>
          </cell>
          <cell r="O1526">
            <v>90</v>
          </cell>
          <cell r="P1526">
            <v>120</v>
          </cell>
        </row>
        <row r="1527">
          <cell r="A1527" t="str">
            <v>UNP380</v>
          </cell>
          <cell r="B1527" t="str">
            <v>a=0.5 x t</v>
          </cell>
          <cell r="C1527">
            <v>13.5</v>
          </cell>
          <cell r="D1527">
            <v>16</v>
          </cell>
          <cell r="E1527"/>
          <cell r="F1527">
            <v>3</v>
          </cell>
          <cell r="G1527">
            <v>10</v>
          </cell>
          <cell r="H1527">
            <v>1.1100000000000001</v>
          </cell>
          <cell r="I1527">
            <v>1.7591125198098259E-2</v>
          </cell>
          <cell r="J1527">
            <v>63.1</v>
          </cell>
          <cell r="K1527">
            <v>10</v>
          </cell>
          <cell r="L1527">
            <v>20</v>
          </cell>
          <cell r="M1527">
            <v>30</v>
          </cell>
          <cell r="N1527">
            <v>40</v>
          </cell>
          <cell r="O1527">
            <v>90</v>
          </cell>
          <cell r="P1527">
            <v>120</v>
          </cell>
        </row>
        <row r="1528">
          <cell r="A1528" t="str">
            <v>UNP400</v>
          </cell>
          <cell r="B1528" t="str">
            <v>a=0.5 x t</v>
          </cell>
          <cell r="C1528">
            <v>14</v>
          </cell>
          <cell r="D1528">
            <v>18</v>
          </cell>
          <cell r="E1528"/>
          <cell r="F1528">
            <v>3</v>
          </cell>
          <cell r="G1528">
            <v>10</v>
          </cell>
          <cell r="H1528">
            <v>1.1819999999999999</v>
          </cell>
          <cell r="I1528">
            <v>1.6462395543175488E-2</v>
          </cell>
          <cell r="J1528">
            <v>71.8</v>
          </cell>
          <cell r="K1528">
            <v>10</v>
          </cell>
          <cell r="L1528">
            <v>20</v>
          </cell>
          <cell r="M1528">
            <v>30</v>
          </cell>
          <cell r="N1528">
            <v>40</v>
          </cell>
          <cell r="O1528">
            <v>90</v>
          </cell>
          <cell r="P1528">
            <v>120</v>
          </cell>
        </row>
        <row r="1529">
          <cell r="A1529" t="str">
            <v>T20</v>
          </cell>
          <cell r="B1529" t="str">
            <v>a=0.5 x t</v>
          </cell>
          <cell r="C1529">
            <v>3</v>
          </cell>
          <cell r="D1529">
            <v>3</v>
          </cell>
          <cell r="E1529"/>
          <cell r="F1529">
            <v>1</v>
          </cell>
          <cell r="G1529">
            <v>1</v>
          </cell>
          <cell r="H1529">
            <v>7.4999999999999997E-2</v>
          </cell>
          <cell r="I1529">
            <v>8.3333333333333329E-2</v>
          </cell>
          <cell r="J1529">
            <v>0.9</v>
          </cell>
          <cell r="K1529">
            <v>2</v>
          </cell>
          <cell r="L1529">
            <v>5</v>
          </cell>
          <cell r="M1529">
            <v>10</v>
          </cell>
          <cell r="N1529">
            <v>20</v>
          </cell>
          <cell r="O1529">
            <v>30</v>
          </cell>
          <cell r="P1529">
            <v>60</v>
          </cell>
        </row>
        <row r="1530">
          <cell r="A1530" t="str">
            <v>T25</v>
          </cell>
          <cell r="B1530" t="str">
            <v>a=0.5 x t</v>
          </cell>
          <cell r="C1530">
            <v>3.5</v>
          </cell>
          <cell r="D1530">
            <v>3.5</v>
          </cell>
          <cell r="E1530"/>
          <cell r="F1530">
            <v>1</v>
          </cell>
          <cell r="G1530">
            <v>1</v>
          </cell>
          <cell r="H1530">
            <v>9.4E-2</v>
          </cell>
          <cell r="I1530">
            <v>7.2307692307692309E-2</v>
          </cell>
          <cell r="J1530">
            <v>1.3</v>
          </cell>
          <cell r="K1530">
            <v>2</v>
          </cell>
          <cell r="L1530">
            <v>5</v>
          </cell>
          <cell r="M1530">
            <v>10</v>
          </cell>
          <cell r="N1530">
            <v>20</v>
          </cell>
          <cell r="O1530">
            <v>30</v>
          </cell>
          <cell r="P1530">
            <v>60</v>
          </cell>
        </row>
        <row r="1531">
          <cell r="A1531" t="str">
            <v>T30</v>
          </cell>
          <cell r="B1531" t="str">
            <v>a=0.5 x t</v>
          </cell>
          <cell r="C1531">
            <v>4</v>
          </cell>
          <cell r="D1531">
            <v>4</v>
          </cell>
          <cell r="E1531"/>
          <cell r="F1531">
            <v>1</v>
          </cell>
          <cell r="G1531">
            <v>1</v>
          </cell>
          <cell r="H1531">
            <v>0.113</v>
          </cell>
          <cell r="I1531">
            <v>6.277777777777778E-2</v>
          </cell>
          <cell r="J1531">
            <v>1.8</v>
          </cell>
          <cell r="K1531">
            <v>2</v>
          </cell>
          <cell r="L1531">
            <v>5</v>
          </cell>
          <cell r="M1531">
            <v>10</v>
          </cell>
          <cell r="N1531">
            <v>20</v>
          </cell>
          <cell r="O1531">
            <v>30</v>
          </cell>
          <cell r="P1531">
            <v>60</v>
          </cell>
        </row>
        <row r="1532">
          <cell r="A1532" t="str">
            <v>T35</v>
          </cell>
          <cell r="B1532" t="str">
            <v>a=0.5 x t</v>
          </cell>
          <cell r="C1532">
            <v>4.5</v>
          </cell>
          <cell r="D1532">
            <v>4.5</v>
          </cell>
          <cell r="E1532"/>
          <cell r="F1532">
            <v>1</v>
          </cell>
          <cell r="G1532">
            <v>1</v>
          </cell>
          <cell r="H1532">
            <v>0.13200000000000001</v>
          </cell>
          <cell r="I1532">
            <v>5.7391304347826091E-2</v>
          </cell>
          <cell r="J1532">
            <v>2.2999999999999998</v>
          </cell>
          <cell r="K1532">
            <v>2</v>
          </cell>
          <cell r="L1532">
            <v>5</v>
          </cell>
          <cell r="M1532">
            <v>10</v>
          </cell>
          <cell r="N1532">
            <v>20</v>
          </cell>
          <cell r="O1532">
            <v>30</v>
          </cell>
          <cell r="P1532">
            <v>60</v>
          </cell>
        </row>
        <row r="1533">
          <cell r="A1533" t="str">
            <v>T40</v>
          </cell>
          <cell r="B1533" t="str">
            <v>a=0.5 x t</v>
          </cell>
          <cell r="C1533">
            <v>5</v>
          </cell>
          <cell r="D1533">
            <v>5</v>
          </cell>
          <cell r="E1533"/>
          <cell r="F1533">
            <v>1</v>
          </cell>
          <cell r="G1533">
            <v>1</v>
          </cell>
          <cell r="H1533">
            <v>0.151</v>
          </cell>
          <cell r="I1533">
            <v>5.0333333333333334E-2</v>
          </cell>
          <cell r="J1533">
            <v>3</v>
          </cell>
          <cell r="K1533">
            <v>2</v>
          </cell>
          <cell r="L1533">
            <v>5</v>
          </cell>
          <cell r="M1533">
            <v>10</v>
          </cell>
          <cell r="N1533">
            <v>20</v>
          </cell>
          <cell r="O1533">
            <v>30</v>
          </cell>
          <cell r="P1533">
            <v>60</v>
          </cell>
        </row>
        <row r="1534">
          <cell r="A1534" t="str">
            <v>T50</v>
          </cell>
          <cell r="B1534" t="str">
            <v>a=0.5 x t</v>
          </cell>
          <cell r="C1534">
            <v>6</v>
          </cell>
          <cell r="D1534">
            <v>6</v>
          </cell>
          <cell r="E1534"/>
          <cell r="F1534">
            <v>1</v>
          </cell>
          <cell r="G1534">
            <v>1</v>
          </cell>
          <cell r="H1534">
            <v>0.189</v>
          </cell>
          <cell r="I1534">
            <v>4.2954545454545454E-2</v>
          </cell>
          <cell r="J1534">
            <v>4.4000000000000004</v>
          </cell>
          <cell r="K1534">
            <v>2</v>
          </cell>
          <cell r="L1534">
            <v>5</v>
          </cell>
          <cell r="M1534">
            <v>10</v>
          </cell>
          <cell r="N1534">
            <v>20</v>
          </cell>
          <cell r="O1534">
            <v>30</v>
          </cell>
          <cell r="P1534">
            <v>60</v>
          </cell>
        </row>
        <row r="1535">
          <cell r="A1535" t="str">
            <v>T60</v>
          </cell>
          <cell r="B1535" t="str">
            <v>a=0.5 x t</v>
          </cell>
          <cell r="C1535">
            <v>7</v>
          </cell>
          <cell r="D1535">
            <v>7</v>
          </cell>
          <cell r="E1535"/>
          <cell r="F1535">
            <v>1</v>
          </cell>
          <cell r="G1535">
            <v>1</v>
          </cell>
          <cell r="H1535">
            <v>0.22700000000000001</v>
          </cell>
          <cell r="I1535">
            <v>3.6612903225806452E-2</v>
          </cell>
          <cell r="J1535">
            <v>6.2</v>
          </cell>
          <cell r="K1535">
            <v>2</v>
          </cell>
          <cell r="L1535">
            <v>5</v>
          </cell>
          <cell r="M1535">
            <v>10</v>
          </cell>
          <cell r="N1535">
            <v>20</v>
          </cell>
          <cell r="O1535">
            <v>30</v>
          </cell>
          <cell r="P1535">
            <v>60</v>
          </cell>
        </row>
        <row r="1536">
          <cell r="A1536" t="str">
            <v>T70</v>
          </cell>
          <cell r="B1536" t="str">
            <v>a=0.5 x t</v>
          </cell>
          <cell r="C1536">
            <v>8</v>
          </cell>
          <cell r="D1536">
            <v>8</v>
          </cell>
          <cell r="E1536"/>
          <cell r="F1536">
            <v>1</v>
          </cell>
          <cell r="G1536">
            <v>2</v>
          </cell>
          <cell r="H1536">
            <v>0.26500000000000001</v>
          </cell>
          <cell r="I1536">
            <v>3.1927710843373494E-2</v>
          </cell>
          <cell r="J1536">
            <v>8.3000000000000007</v>
          </cell>
          <cell r="K1536">
            <v>2</v>
          </cell>
          <cell r="L1536">
            <v>5</v>
          </cell>
          <cell r="M1536">
            <v>10</v>
          </cell>
          <cell r="N1536">
            <v>20</v>
          </cell>
          <cell r="O1536">
            <v>30</v>
          </cell>
          <cell r="P1536">
            <v>60</v>
          </cell>
        </row>
        <row r="1537">
          <cell r="A1537" t="str">
            <v>T80</v>
          </cell>
          <cell r="B1537" t="str">
            <v>a=0.5 x t</v>
          </cell>
          <cell r="C1537">
            <v>9</v>
          </cell>
          <cell r="D1537">
            <v>9</v>
          </cell>
          <cell r="E1537"/>
          <cell r="F1537">
            <v>1</v>
          </cell>
          <cell r="G1537">
            <v>2</v>
          </cell>
          <cell r="H1537">
            <v>0.30299999999999999</v>
          </cell>
          <cell r="I1537">
            <v>2.8317757009345794E-2</v>
          </cell>
          <cell r="J1537">
            <v>10.7</v>
          </cell>
          <cell r="K1537">
            <v>2</v>
          </cell>
          <cell r="L1537">
            <v>5</v>
          </cell>
          <cell r="M1537">
            <v>10</v>
          </cell>
          <cell r="N1537">
            <v>20</v>
          </cell>
          <cell r="O1537">
            <v>30</v>
          </cell>
          <cell r="P1537">
            <v>60</v>
          </cell>
        </row>
        <row r="1538">
          <cell r="A1538" t="str">
            <v>T100</v>
          </cell>
          <cell r="B1538" t="str">
            <v>a=0.5 x t</v>
          </cell>
          <cell r="C1538">
            <v>11</v>
          </cell>
          <cell r="D1538">
            <v>11</v>
          </cell>
          <cell r="E1538"/>
          <cell r="F1538">
            <v>1</v>
          </cell>
          <cell r="G1538">
            <v>2</v>
          </cell>
          <cell r="H1538">
            <v>0.379</v>
          </cell>
          <cell r="I1538">
            <v>2.3109756097560979E-2</v>
          </cell>
          <cell r="J1538">
            <v>16.399999999999999</v>
          </cell>
          <cell r="K1538">
            <v>2</v>
          </cell>
          <cell r="L1538">
            <v>5</v>
          </cell>
          <cell r="M1538">
            <v>10</v>
          </cell>
          <cell r="N1538">
            <v>20</v>
          </cell>
          <cell r="O1538">
            <v>30</v>
          </cell>
          <cell r="P1538">
            <v>60</v>
          </cell>
        </row>
        <row r="1539">
          <cell r="A1539" t="str">
            <v>T120</v>
          </cell>
          <cell r="B1539" t="str">
            <v>a=0.5 x t</v>
          </cell>
          <cell r="C1539">
            <v>13</v>
          </cell>
          <cell r="D1539">
            <v>13</v>
          </cell>
          <cell r="E1539"/>
          <cell r="F1539">
            <v>1</v>
          </cell>
          <cell r="G1539">
            <v>2</v>
          </cell>
          <cell r="H1539">
            <v>0.45600000000000002</v>
          </cell>
          <cell r="I1539">
            <v>1.9655172413793106E-2</v>
          </cell>
          <cell r="J1539">
            <v>23.2</v>
          </cell>
          <cell r="K1539">
            <v>2</v>
          </cell>
          <cell r="L1539">
            <v>5</v>
          </cell>
          <cell r="M1539">
            <v>10</v>
          </cell>
          <cell r="N1539">
            <v>20</v>
          </cell>
          <cell r="O1539">
            <v>30</v>
          </cell>
          <cell r="P1539">
            <v>60</v>
          </cell>
        </row>
        <row r="1540">
          <cell r="A1540" t="str">
            <v>T140</v>
          </cell>
          <cell r="B1540" t="str">
            <v>a=0.5 x t</v>
          </cell>
          <cell r="C1540">
            <v>15</v>
          </cell>
          <cell r="D1540">
            <v>15</v>
          </cell>
          <cell r="E1540"/>
          <cell r="F1540">
            <v>2</v>
          </cell>
          <cell r="G1540">
            <v>2</v>
          </cell>
          <cell r="H1540">
            <v>0.53100000000000003</v>
          </cell>
          <cell r="I1540">
            <v>1.6964856230031949E-2</v>
          </cell>
          <cell r="J1540">
            <v>31.3</v>
          </cell>
          <cell r="K1540">
            <v>5</v>
          </cell>
          <cell r="L1540">
            <v>10</v>
          </cell>
          <cell r="M1540">
            <v>20</v>
          </cell>
          <cell r="N1540">
            <v>30</v>
          </cell>
          <cell r="O1540">
            <v>60</v>
          </cell>
          <cell r="P1540">
            <v>90</v>
          </cell>
        </row>
        <row r="1541">
          <cell r="A1541" t="str">
            <v>50x30</v>
          </cell>
          <cell r="B1541" t="str">
            <v>a=0.5 x t</v>
          </cell>
          <cell r="C1541">
            <v>30</v>
          </cell>
          <cell r="D1541"/>
          <cell r="E1541"/>
          <cell r="F1541">
            <v>1</v>
          </cell>
          <cell r="G1541">
            <v>1</v>
          </cell>
          <cell r="H1541">
            <v>0.16</v>
          </cell>
          <cell r="I1541">
            <v>1.3559322033898305E-2</v>
          </cell>
          <cell r="J1541">
            <v>11.8</v>
          </cell>
          <cell r="K1541">
            <v>2</v>
          </cell>
          <cell r="L1541">
            <v>5</v>
          </cell>
          <cell r="M1541">
            <v>10</v>
          </cell>
          <cell r="N1541">
            <v>20</v>
          </cell>
          <cell r="O1541">
            <v>30</v>
          </cell>
          <cell r="P1541">
            <v>60</v>
          </cell>
        </row>
      </sheetData>
      <sheetData sheetId="2"/>
      <sheetData sheetId="3"/>
      <sheetData sheetId="4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Oksana M" id="{1140A2A6-9DA7-4C75-B3E2-427BC07B7930}" userId="6aeec5c14f3adcc6" providerId="Windows Live"/>
  <person displayName="Oksana Mostovštšikova" id="{42DFB89E-8A98-450E-96CC-891ED64ECCDB}" userId="Oksana Mostovštšikova" providerId="None"/>
  <person displayName="Oksana Pavlova" id="{3A71836D-35FC-49AE-B047-BB10C0042FD6}" userId="S::oksana.pavlova@maru.ee::5eb9ea20-3d6a-4a11-8067-ac336f9b1038" providerId="AD"/>
</personList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AU2" dT="2022-03-14T08:54:45.84" personId="{1140A2A6-9DA7-4C75-B3E2-427BC07B7930}" id="{36229238-CA13-4B76-B895-191CE44F252A}">
    <text>Muudata koos. Erandis ainult muuta!!!</text>
  </threadedComment>
  <threadedComment ref="AF6" dT="2022-03-10T13:21:13.57" personId="{1140A2A6-9DA7-4C75-B3E2-427BC07B7930}" id="{9A16F476-92A4-4617-9179-A324CD2F5B41}">
    <text>Faasimine-20 min/jm;
välalõike, käsipl-5 min/jm.</text>
  </threadedComment>
  <threadedComment ref="AH6" dT="2022-03-10T13:15:01.09" personId="{1140A2A6-9DA7-4C75-B3E2-427BC07B7930}" id="{A66F8036-8EE0-45C3-992A-3B5FBD164B25}">
    <text>Ettevalmistus</text>
  </threadedComment>
  <threadedComment ref="AK6" dT="2022-03-11T11:27:39.81" personId="{1140A2A6-9DA7-4C75-B3E2-427BC07B7930}" id="{36398D14-1C0B-4FEF-86DC-E1AEEA65C65C}">
    <text>Keevitus - makroses - 10 min/jm</text>
  </threadedComment>
  <threadedComment ref="BA6" dT="2020-01-20T15:08:08.66" personId="{42DFB89E-8A98-450E-96CC-891ED64ECCDB}" id="{C26BD28E-03CF-446C-ADED-4DC937817AB4}">
    <text>Preparation grade P3</text>
  </threadedComment>
  <threadedComment ref="Y7" dT="2022-03-10T12:26:50.21" personId="{1140A2A6-9DA7-4C75-B3E2-427BC07B7930}" id="{AA12C11F-AAC7-442B-949C-2544555FFFA2}">
    <text>Alamkoostu kontroll???</text>
  </threadedComment>
  <threadedComment ref="AS11" dT="2022-09-20T07:54:26.54" personId="{3A71836D-35FC-49AE-B047-BB10C0042FD6}" id="{95A5653E-7EA2-4177-BF09-B2FA7B529EF4}">
    <text xml:space="preserve">Materiali kasum
</text>
  </threadedComment>
  <threadedComment ref="AS16" dT="2022-09-20T07:54:26.54" personId="{3A71836D-35FC-49AE-B047-BB10C0042FD6}" id="{4D80C12D-9AF4-46EC-984A-816CB2FAE032}">
    <text xml:space="preserve">Materiali kasum
</text>
  </threadedComment>
  <threadedComment ref="AG22" dT="2025-01-03T09:24:34.55" personId="{3A71836D-35FC-49AE-B047-BB10C0042FD6}" id="{89361EFC-0E1F-4BF5-B096-5CBB965F403E}">
    <text>Alates pl35-lisaaeg avade tegemiseks</text>
  </threadedComment>
  <threadedComment ref="AK22" dT="2025-01-02T09:41:32.42" personId="{3A71836D-35FC-49AE-B047-BB10C0042FD6}" id="{9B2605FB-84F6-4CC7-ADCC-2B18C50D8904}">
    <text>Põkkimiste läbimiteaev plaatidele pl5-pl100</text>
  </threadedComment>
  <threadedComment ref="AG23" dT="2025-01-03T09:24:34.55" personId="{3A71836D-35FC-49AE-B047-BB10C0042FD6}" id="{318434D1-41EB-4498-A28F-C9A67C882F1B}">
    <text>Alates pl35-lisaaeg avade tegemiseks</text>
  </threadedComment>
  <threadedComment ref="AG24" dT="2025-01-03T09:24:34.55" personId="{3A71836D-35FC-49AE-B047-BB10C0042FD6}" id="{C436C45D-8660-406F-B281-49964E067CC8}">
    <text>Alates pl35-lisaaeg avade tegemiseks</text>
  </threadedComment>
  <threadedComment ref="AG25" dT="2025-01-03T09:24:34.55" personId="{3A71836D-35FC-49AE-B047-BB10C0042FD6}" id="{FD876CDF-69B8-422B-8772-59829AA886ED}">
    <text>Alates pl35-lisaaeg avade tegemiseks</text>
  </threadedComment>
  <threadedComment ref="AG26" dT="2025-01-03T09:24:34.55" personId="{3A71836D-35FC-49AE-B047-BB10C0042FD6}" id="{49D7EC1B-CA0D-4221-99A7-29819685947B}">
    <text>Alates pl35-lisaaeg avade tegemiseks</text>
  </threadedComment>
  <threadedComment ref="AG27" dT="2025-01-03T09:24:34.55" personId="{3A71836D-35FC-49AE-B047-BB10C0042FD6}" id="{223456DF-C253-4CB3-9DB9-5F609709C047}">
    <text>Alates pl35-lisaaeg avade tegemiseks</text>
  </threadedComment>
  <threadedComment ref="AG28" dT="2025-01-03T09:24:34.55" personId="{3A71836D-35FC-49AE-B047-BB10C0042FD6}" id="{17A15277-FF63-43E5-9835-1B4F0F49181E}">
    <text>Alates pl35-lisaaeg avade tegemiseks</text>
  </threadedComment>
  <threadedComment ref="AG29" dT="2025-01-03T09:24:34.55" personId="{3A71836D-35FC-49AE-B047-BB10C0042FD6}" id="{16805C95-2868-4991-9099-C1585E3FAEA8}">
    <text>Alates pl35-lisaaeg avade tegemiseks</text>
  </threadedComment>
  <threadedComment ref="AG30" dT="2025-01-03T09:24:34.55" personId="{3A71836D-35FC-49AE-B047-BB10C0042FD6}" id="{D0AB8641-5510-439D-AAFA-31FA5ADE3F39}">
    <text>Alates pl35-lisaaeg avade tegemiseks</text>
  </threadedComment>
  <threadedComment ref="AG31" dT="2025-01-03T09:24:34.55" personId="{3A71836D-35FC-49AE-B047-BB10C0042FD6}" id="{2612A058-3201-4CF9-B98F-CFBB9C1B27C5}">
    <text>Alates pl35-lisaaeg avade tegemiseks</text>
  </threadedComment>
  <threadedComment ref="AK32" dT="2022-07-06T08:03:41.99" personId="{3A71836D-35FC-49AE-B047-BB10C0042FD6}" id="{C7092419-FA61-4F86-927B-735FB5770AB2}">
    <text>profiili tüüp 1 või 2 (vaata "abifalis")</text>
  </threadedComment>
  <threadedComment ref="AK33" dT="2022-07-06T08:03:41.99" personId="{3A71836D-35FC-49AE-B047-BB10C0042FD6}" id="{F3D529B2-7B03-49B8-837B-55E470266A0C}">
    <text>profiili tüüp 1 või 2 (vaata "abifalis")</text>
  </threadedComment>
  <threadedComment ref="AG34" dT="2025-01-03T09:24:34.55" personId="{3A71836D-35FC-49AE-B047-BB10C0042FD6}" id="{7E08ACB4-2297-4088-BBF9-92670884A0F0}">
    <text>Alates pl35-lisaaeg avade tegemiseks</text>
  </threadedComment>
  <threadedComment ref="AG39" dT="2025-01-03T09:24:34.55" personId="{3A71836D-35FC-49AE-B047-BB10C0042FD6}" id="{56A666BF-A85F-48BC-BE96-AD59534BB063}">
    <text>Alates pl35-lisaaeg avade tegemiseks</text>
  </threadedComment>
  <threadedComment ref="AK39" dT="2025-01-02T09:41:32.42" personId="{3A71836D-35FC-49AE-B047-BB10C0042FD6}" id="{22D28F93-B763-43C3-A4B4-0E13D005EB05}">
    <text>Põkkimiste läbimiteaev plaatidele pl5-pl100</text>
  </threadedComment>
  <threadedComment ref="AG40" dT="2025-01-03T09:24:34.55" personId="{3A71836D-35FC-49AE-B047-BB10C0042FD6}" id="{E33B9454-E1AD-4101-8EF8-CAA7E6B34E8C}">
    <text>Alates pl35-lisaaeg avade tegemiseks</text>
  </threadedComment>
  <threadedComment ref="AG45" dT="2025-01-03T09:24:34.55" personId="{3A71836D-35FC-49AE-B047-BB10C0042FD6}" id="{589AC605-5350-462F-A5F5-D1F9FB08A370}">
    <text>Alates pl35-lisaaeg avade tegemiseks</text>
  </threadedComment>
  <threadedComment ref="AK45" dT="2025-01-02T09:41:32.42" personId="{3A71836D-35FC-49AE-B047-BB10C0042FD6}" id="{C25178ED-9617-437E-9B38-7A995AB4C803}">
    <text>Põkkimiste läbimiteaev plaatidele pl5-pl100</text>
  </threadedComment>
  <threadedComment ref="AG46" dT="2025-01-03T09:24:34.55" personId="{3A71836D-35FC-49AE-B047-BB10C0042FD6}" id="{03C08745-927A-4D22-9354-FDA49F6FCDD9}">
    <text>Alates pl35-lisaaeg avade tegemiseks</text>
  </threadedComment>
  <threadedComment ref="AG47" dT="2025-01-03T09:24:34.55" personId="{3A71836D-35FC-49AE-B047-BB10C0042FD6}" id="{20918665-C1D1-4529-88BC-A57CC08AF615}">
    <text>Alates pl35-lisaaeg avade tegemiseks</text>
  </threadedComment>
  <threadedComment ref="AG48" dT="2025-01-03T09:24:34.55" personId="{3A71836D-35FC-49AE-B047-BB10C0042FD6}" id="{367153C0-8CA7-4A84-84CC-6A60C5C219E1}">
    <text>Alates pl35-lisaaeg avade tegemiseks</text>
  </threadedComment>
  <threadedComment ref="AG49" dT="2025-01-03T09:24:34.55" personId="{3A71836D-35FC-49AE-B047-BB10C0042FD6}" id="{995E1696-464D-476B-A38A-0A754E011F2C}">
    <text>Alates pl35-lisaaeg avade tegemiseks</text>
  </threadedComment>
  <threadedComment ref="AG50" dT="2025-01-03T09:24:34.55" personId="{3A71836D-35FC-49AE-B047-BB10C0042FD6}" id="{5B7CFB3A-E0AB-4709-8759-F7210B319B83}">
    <text>Alates pl35-lisaaeg avade tegemiseks</text>
  </threadedComment>
  <threadedComment ref="AG51" dT="2025-01-03T09:24:34.55" personId="{3A71836D-35FC-49AE-B047-BB10C0042FD6}" id="{455826A4-9552-4D47-A661-44AC9145AB1F}">
    <text>Alates pl35-lisaaeg avade tegemiseks</text>
  </threadedComment>
  <threadedComment ref="AG52" dT="2025-01-03T09:24:34.55" personId="{3A71836D-35FC-49AE-B047-BB10C0042FD6}" id="{CE8BB80C-0872-422B-8A66-5D92BD841E17}">
    <text>Alates pl35-lisaaeg avade tegemiseks</text>
  </threadedComment>
  <threadedComment ref="AK53" dT="2022-07-06T08:03:41.99" personId="{3A71836D-35FC-49AE-B047-BB10C0042FD6}" id="{1D2E484F-EBC0-4D1C-BC0C-309C46DD80B1}">
    <text>profiili tüüp 1 või 2 (vaata "abifalis")</text>
  </threadedComment>
  <threadedComment ref="AG54" dT="2025-01-03T09:24:34.55" personId="{3A71836D-35FC-49AE-B047-BB10C0042FD6}" id="{71F5C677-351A-4B53-8F41-D73C8D0C267E}">
    <text>Alates pl35-lisaaeg avade tegemiseks</text>
  </threadedComment>
  <threadedComment ref="AK55" dT="2022-07-06T08:03:41.99" personId="{3A71836D-35FC-49AE-B047-BB10C0042FD6}" id="{F179B6B6-4185-4B9B-910C-8A43C8D63256}">
    <text>profiili tüüp 1 või 2 (vaata "abifalis")</text>
  </threadedComment>
  <threadedComment ref="AG60" dT="2025-01-03T09:24:34.55" personId="{3A71836D-35FC-49AE-B047-BB10C0042FD6}" id="{D9A86088-F91D-42C6-9E6E-4339A311B8FF}">
    <text>Alates pl35-lisaaeg avade tegemiseks</text>
  </threadedComment>
  <threadedComment ref="AK60" dT="2025-01-02T09:41:32.42" personId="{3A71836D-35FC-49AE-B047-BB10C0042FD6}" id="{9841940D-9D67-4392-BF4F-CF92039D1C56}">
    <text>Põkkimiste läbimiteaev plaatidele pl5-pl100</text>
  </threadedComment>
  <threadedComment ref="AG61" dT="2025-01-03T09:24:34.55" personId="{3A71836D-35FC-49AE-B047-BB10C0042FD6}" id="{E127799D-4174-4B89-8727-1BF0804F7083}">
    <text>Alates pl35-lisaaeg avade tegemiseks</text>
  </threadedComment>
  <threadedComment ref="AG62" dT="2025-01-03T09:24:34.55" personId="{3A71836D-35FC-49AE-B047-BB10C0042FD6}" id="{9DB7FA75-5AAC-4A52-BD10-82439F3A25F8}">
    <text>Alates pl35-lisaaeg avade tegemiseks</text>
  </threadedComment>
  <threadedComment ref="AG63" dT="2025-01-03T09:24:34.55" personId="{3A71836D-35FC-49AE-B047-BB10C0042FD6}" id="{3E679C1D-1739-453A-8244-AB2212B3FABD}">
    <text>Alates pl35-lisaaeg avade tegemiseks</text>
  </threadedComment>
  <threadedComment ref="AG64" dT="2025-01-03T09:24:34.55" personId="{3A71836D-35FC-49AE-B047-BB10C0042FD6}" id="{56526F6E-3EA2-4DFE-8685-D13292434E28}">
    <text>Alates pl35-lisaaeg avade tegemiseks</text>
  </threadedComment>
  <threadedComment ref="AG65" dT="2025-01-03T09:24:34.55" personId="{3A71836D-35FC-49AE-B047-BB10C0042FD6}" id="{EF691E8B-B846-486A-B7D9-7E04B0FB82E4}">
    <text>Alates pl35-lisaaeg avade tegemiseks</text>
  </threadedComment>
  <threadedComment ref="AK66" dT="2022-07-06T08:03:41.99" personId="{3A71836D-35FC-49AE-B047-BB10C0042FD6}" id="{01EE551C-7341-4C52-8E35-5424F3ED1910}">
    <text>profiili tüüp 1 või 2 (vaata "abifalis")</text>
  </threadedComment>
  <threadedComment ref="AG67" dT="2025-01-03T09:24:34.55" personId="{3A71836D-35FC-49AE-B047-BB10C0042FD6}" id="{2228AB00-8A78-41D7-ADEC-A91DA0097FBC}">
    <text>Alates pl35-lisaaeg avade tegemiseks</text>
  </threadedComment>
  <threadedComment ref="AG68" dT="2025-01-03T09:24:34.55" personId="{3A71836D-35FC-49AE-B047-BB10C0042FD6}" id="{B8243CE4-A48E-4A54-B46B-3E264B1D609C}">
    <text>Alates pl35-lisaaeg avade tegemiseks</text>
  </threadedComment>
  <threadedComment ref="AG69" dT="2025-01-03T09:24:34.55" personId="{3A71836D-35FC-49AE-B047-BB10C0042FD6}" id="{A810FE58-0EDC-444C-B850-3BCEDC952287}">
    <text>Alates pl35-lisaaeg avade tegemiseks</text>
  </threadedComment>
  <threadedComment ref="AK70" dT="2022-07-06T08:03:41.99" personId="{3A71836D-35FC-49AE-B047-BB10C0042FD6}" id="{E4641F26-AD64-4A9C-8B8B-F094CB36FEA0}">
    <text>profiili tüüp 1 või 2 (vaata "abifalis")</text>
  </threadedComment>
  <threadedComment ref="AK71" dT="2022-07-06T08:03:41.99" personId="{3A71836D-35FC-49AE-B047-BB10C0042FD6}" id="{D2A6A6BB-B757-4EC6-A29F-B769DD638710}">
    <text>profiili tüüp 1 või 2 (vaata "abifalis")</text>
  </threadedComment>
  <threadedComment ref="AG72" dT="2025-01-03T09:24:34.55" personId="{3A71836D-35FC-49AE-B047-BB10C0042FD6}" id="{04B44046-00BA-4311-8236-5E5C3FAA5A7D}">
    <text>Alates pl35-lisaaeg avade tegemiseks</text>
  </threadedComment>
  <threadedComment ref="AG73" dT="2025-01-03T09:24:34.55" personId="{3A71836D-35FC-49AE-B047-BB10C0042FD6}" id="{B6E50EB4-FB08-4E76-A464-7D62DA7C7702}">
    <text>Alates pl35-lisaaeg avade tegemiseks</text>
  </threadedComment>
  <threadedComment ref="AG78" dT="2025-01-03T09:24:34.55" personId="{3A71836D-35FC-49AE-B047-BB10C0042FD6}" id="{BC08EBA2-865C-4967-8E24-992604BE19AD}">
    <text>Alates pl35-lisaaeg avade tegemiseks</text>
  </threadedComment>
  <threadedComment ref="AK78" dT="2025-01-02T09:41:32.42" personId="{3A71836D-35FC-49AE-B047-BB10C0042FD6}" id="{ACA7DFBB-8122-4B41-81A9-9950D3D21EEE}">
    <text>Põkkimiste läbimiteaev plaatidele pl5-pl100</text>
  </threadedComment>
  <threadedComment ref="AG79" dT="2025-01-03T09:24:34.55" personId="{3A71836D-35FC-49AE-B047-BB10C0042FD6}" id="{F49C0646-DC1D-438D-8112-333D915E38DE}">
    <text>Alates pl35-lisaaeg avade tegemiseks</text>
  </threadedComment>
  <threadedComment ref="AG80" dT="2025-01-03T09:24:34.55" personId="{3A71836D-35FC-49AE-B047-BB10C0042FD6}" id="{2658CE27-6A67-4F05-B8D5-E6D3D892CB7D}">
    <text>Alates pl35-lisaaeg avade tegemiseks</text>
  </threadedComment>
  <threadedComment ref="AG81" dT="2025-01-03T09:24:34.55" personId="{3A71836D-35FC-49AE-B047-BB10C0042FD6}" id="{D86DFB63-144B-417A-B97B-AF650A85F158}">
    <text>Alates pl35-lisaaeg avade tegemiseks</text>
  </threadedComment>
  <threadedComment ref="AG82" dT="2025-01-03T09:24:34.55" personId="{3A71836D-35FC-49AE-B047-BB10C0042FD6}" id="{316C569C-66EE-43D5-954F-C751844E09FA}">
    <text>Alates pl35-lisaaeg avade tegemiseks</text>
  </threadedComment>
  <threadedComment ref="AG83" dT="2025-01-03T09:24:34.55" personId="{3A71836D-35FC-49AE-B047-BB10C0042FD6}" id="{8DDA36F3-0DFE-475D-A36E-D9182A99874B}">
    <text>Alates pl35-lisaaeg avade tegemiseks</text>
  </threadedComment>
  <threadedComment ref="AG84" dT="2025-01-03T09:24:34.55" personId="{3A71836D-35FC-49AE-B047-BB10C0042FD6}" id="{6B40C1FB-4C44-4E4D-8695-CFDAE6D6F2E7}">
    <text>Alates pl35-lisaaeg avade tegemiseks</text>
  </threadedComment>
  <threadedComment ref="AG85" dT="2025-01-03T09:24:34.55" personId="{3A71836D-35FC-49AE-B047-BB10C0042FD6}" id="{E4B235DC-5ED5-4DBA-86B2-C4EE8D1A6AB7}">
    <text>Alates pl35-lisaaeg avade tegemiseks</text>
  </threadedComment>
  <threadedComment ref="AG86" dT="2025-01-03T09:24:34.55" personId="{3A71836D-35FC-49AE-B047-BB10C0042FD6}" id="{D7878019-9BBD-4788-A303-FA052F6BCCA7}">
    <text>Alates pl35-lisaaeg avade tegemiseks</text>
  </threadedComment>
  <threadedComment ref="AG87" dT="2025-01-03T09:24:34.55" personId="{3A71836D-35FC-49AE-B047-BB10C0042FD6}" id="{5425886D-309E-462B-9778-FE8B5489C0EA}">
    <text>Alates pl35-lisaaeg avade tegemiseks</text>
  </threadedComment>
  <threadedComment ref="AG88" dT="2025-01-03T09:24:34.55" personId="{3A71836D-35FC-49AE-B047-BB10C0042FD6}" id="{CFAB857F-4CF8-4109-A7CB-1BF4B3877116}">
    <text>Alates pl35-lisaaeg avade tegemiseks</text>
  </threadedComment>
  <threadedComment ref="AK89" dT="2022-07-06T08:03:41.99" personId="{3A71836D-35FC-49AE-B047-BB10C0042FD6}" id="{23B483F7-45CB-4D1E-9116-7D8548C8D662}">
    <text>profiili tüüp 1 või 2 (vaata "abifalis")</text>
  </threadedComment>
  <threadedComment ref="AK90" dT="2022-07-06T08:03:41.99" personId="{3A71836D-35FC-49AE-B047-BB10C0042FD6}" id="{0C5F9AEA-3A39-403E-A309-44B46EBBE347}">
    <text>profiili tüüp 1 või 2 (vaata "abifalis")</text>
  </threadedComment>
  <threadedComment ref="AG91" dT="2025-01-03T09:24:34.55" personId="{3A71836D-35FC-49AE-B047-BB10C0042FD6}" id="{E0210963-3C13-4E46-B5AC-701B7DC3DD0A}">
    <text>Alates pl35-lisaaeg avade tegemiseks</text>
  </threadedComment>
  <threadedComment ref="AG92" dT="2025-01-03T09:24:34.55" personId="{3A71836D-35FC-49AE-B047-BB10C0042FD6}" id="{4ABD93D7-870C-4E7B-B8ED-DD685E874826}">
    <text>Alates pl35-lisaaeg avade tegemiseks</text>
  </threadedComment>
  <threadedComment ref="AG93" dT="2025-01-03T09:24:34.55" personId="{3A71836D-35FC-49AE-B047-BB10C0042FD6}" id="{2461BC5A-A305-49A5-A3D1-A6FBEEC1326E}">
    <text>Alates pl35-lisaaeg avade tegemiseks</text>
  </threadedComment>
  <threadedComment ref="AG96" dT="2025-01-03T09:24:34.55" personId="{3A71836D-35FC-49AE-B047-BB10C0042FD6}" id="{C2E9BD68-218F-4D3B-8159-683E25E8F60E}">
    <text>Alates pl35-lisaaeg avade tegemiseks</text>
  </threadedComment>
  <threadedComment ref="AK96" dT="2025-01-02T09:41:32.42" personId="{3A71836D-35FC-49AE-B047-BB10C0042FD6}" id="{2702E1B0-E4ED-4185-8C20-8F75B55D9F1A}">
    <text>Põkkimiste läbimiteaev plaatidele pl5-pl100</text>
  </threadedComment>
  <threadedComment ref="AG97" dT="2025-01-03T09:24:34.55" personId="{3A71836D-35FC-49AE-B047-BB10C0042FD6}" id="{FF2FBD3C-728D-46B2-97FA-B539E8A421D1}">
    <text>Alates pl35-lisaaeg avade tegemiseks</text>
  </threadedComment>
  <threadedComment ref="AG98" dT="2025-01-03T09:24:34.55" personId="{3A71836D-35FC-49AE-B047-BB10C0042FD6}" id="{D7D59EEC-EF27-403B-A78F-7518AD6B84FE}">
    <text>Alates pl35-lisaaeg avade tegemiseks</text>
  </threadedComment>
  <threadedComment ref="AG99" dT="2025-01-03T09:24:34.55" personId="{3A71836D-35FC-49AE-B047-BB10C0042FD6}" id="{74B42CA2-6818-462C-9E95-C176CF0E8077}">
    <text>Alates pl35-lisaaeg avade tegemiseks</text>
  </threadedComment>
  <threadedComment ref="AG100" dT="2025-01-03T09:24:34.55" personId="{3A71836D-35FC-49AE-B047-BB10C0042FD6}" id="{62993E3B-52E0-4911-854B-ECD993AC7BED}">
    <text>Alates pl35-lisaaeg avade tegemiseks</text>
  </threadedComment>
  <threadedComment ref="AG101" dT="2025-01-03T09:24:34.55" personId="{3A71836D-35FC-49AE-B047-BB10C0042FD6}" id="{F297B50B-4A1F-4E6B-8BDE-B04E30678DA7}">
    <text>Alates pl35-lisaaeg avade tegemiseks</text>
  </threadedComment>
  <threadedComment ref="AK102" dT="2022-07-06T08:03:41.99" personId="{3A71836D-35FC-49AE-B047-BB10C0042FD6}" id="{4C8865BE-13EB-4952-9481-B01EB6259F94}">
    <text>profiili tüüp 1 või 2 (vaata "abifalis")</text>
  </threadedComment>
  <threadedComment ref="AG103" dT="2025-01-03T09:24:34.55" personId="{3A71836D-35FC-49AE-B047-BB10C0042FD6}" id="{46CE5998-03CF-4BD3-AA1F-155CD11051A5}">
    <text>Alates pl35-lisaaeg avade tegemiseks</text>
  </threadedComment>
  <threadedComment ref="AG104" dT="2025-01-03T09:24:34.55" personId="{3A71836D-35FC-49AE-B047-BB10C0042FD6}" id="{6C2D7CD8-7166-4ED1-A05D-54DE94D332C9}">
    <text>Alates pl35-lisaaeg avade tegemiseks</text>
  </threadedComment>
  <threadedComment ref="AG107" dT="2025-01-03T09:24:34.55" personId="{3A71836D-35FC-49AE-B047-BB10C0042FD6}" id="{910AC8B7-8EA9-4EB2-AA49-9C6B7C4857CF}">
    <text>Alates pl35-lisaaeg avade tegemiseks</text>
  </threadedComment>
  <threadedComment ref="AK107" dT="2025-01-02T09:41:32.42" personId="{3A71836D-35FC-49AE-B047-BB10C0042FD6}" id="{8E178F00-D5D9-4874-9B93-A962F64A9B17}">
    <text>Põkkimiste läbimiteaev plaatidele pl5-pl100</text>
  </threadedComment>
  <threadedComment ref="AG108" dT="2025-01-03T09:24:34.55" personId="{3A71836D-35FC-49AE-B047-BB10C0042FD6}" id="{5DF78FB3-8F85-4C34-A209-98AB74385EC2}">
    <text>Alates pl35-lisaaeg avade tegemiseks</text>
  </threadedComment>
  <threadedComment ref="AG109" dT="2025-01-03T09:24:34.55" personId="{3A71836D-35FC-49AE-B047-BB10C0042FD6}" id="{1528A955-6BB4-4F3A-8B03-08F976B25487}">
    <text>Alates pl35-lisaaeg avade tegemiseks</text>
  </threadedComment>
  <threadedComment ref="AG110" dT="2025-01-03T09:24:34.55" personId="{3A71836D-35FC-49AE-B047-BB10C0042FD6}" id="{78B05685-72FC-43BD-BF1E-66716F4CF8C7}">
    <text>Alates pl35-lisaaeg avade tegemiseks</text>
  </threadedComment>
  <threadedComment ref="AK111" dT="2022-07-06T08:03:41.99" personId="{3A71836D-35FC-49AE-B047-BB10C0042FD6}" id="{05BD32C1-AC30-4081-9486-8071440E6431}">
    <text>profiili tüüp 1 või 2 (vaata "abifalis")</text>
  </threadedComment>
  <threadedComment ref="AK112" dT="2022-07-06T08:03:41.99" personId="{3A71836D-35FC-49AE-B047-BB10C0042FD6}" id="{E5E6E210-3256-423C-BC8D-F90647200DF0}">
    <text>profiili tüüp 1 või 2 (vaata "abifalis")</text>
  </threadedComment>
  <threadedComment ref="AG113" dT="2025-01-03T09:24:34.55" personId="{3A71836D-35FC-49AE-B047-BB10C0042FD6}" id="{F2ABF7A0-00DD-4195-B426-B25356CD8D58}">
    <text>Alates pl35-lisaaeg avade tegemiseks</text>
  </threadedComment>
  <threadedComment ref="AG114" dT="2025-01-03T09:24:34.55" personId="{3A71836D-35FC-49AE-B047-BB10C0042FD6}" id="{02943ACA-1325-4BE7-9F96-F272EEA35785}">
    <text>Alates pl35-lisaaeg avade tegemiseks</text>
  </threadedComment>
  <threadedComment ref="AK115" dT="2022-07-06T08:03:41.99" personId="{3A71836D-35FC-49AE-B047-BB10C0042FD6}" id="{570284CC-8496-4AE8-BCA1-0CF896F53D98}">
    <text>profiili tüüp 1 või 2 (vaata "abifalis")</text>
  </threadedComment>
  <threadedComment ref="AG116" dT="2025-01-03T09:24:34.55" personId="{3A71836D-35FC-49AE-B047-BB10C0042FD6}" id="{0D27DD75-7CBD-45AE-A3C8-27BF35904AB5}">
    <text>Alates pl35-lisaaeg avade tegemiseks</text>
  </threadedComment>
  <threadedComment ref="AG117" dT="2025-01-03T09:24:34.55" personId="{3A71836D-35FC-49AE-B047-BB10C0042FD6}" id="{0A180255-3027-4CE2-9C40-78449A338C47}">
    <text>Alates pl35-lisaaeg avade tegemiseks</text>
  </threadedComment>
  <threadedComment ref="AG118" dT="2025-01-03T09:24:34.55" personId="{3A71836D-35FC-49AE-B047-BB10C0042FD6}" id="{1E54A928-ABBB-45E2-B93C-03EC0D03F571}">
    <text>Alates pl35-lisaaeg avade tegemiseks</text>
  </threadedComment>
  <threadedComment ref="AK119" dT="2022-07-06T08:03:41.99" personId="{3A71836D-35FC-49AE-B047-BB10C0042FD6}" id="{E0FE2E3B-1D67-47E3-B8B2-47464011F122}">
    <text>profiili tüüp 1 või 2 (vaata "abifalis")</text>
  </threadedComment>
  <threadedComment ref="AK120" dT="2022-07-06T08:03:41.99" personId="{3A71836D-35FC-49AE-B047-BB10C0042FD6}" id="{3CD40906-656B-4386-B8A3-D9EEF7D76135}">
    <text>profiili tüüp 1 või 2 (vaata "abifalis")</text>
  </threadedComment>
  <threadedComment ref="AG121" dT="2025-01-03T09:24:34.55" personId="{3A71836D-35FC-49AE-B047-BB10C0042FD6}" id="{C2389DDC-FE2C-471B-BA45-57E084C01908}">
    <text>Alates pl35-lisaaeg avade tegemiseks</text>
  </threadedComment>
  <threadedComment ref="AG122" dT="2025-01-03T09:24:34.55" personId="{3A71836D-35FC-49AE-B047-BB10C0042FD6}" id="{0A6A7F4F-E180-4BDD-8B34-1A4934254EAA}">
    <text>Alates pl35-lisaaeg avade tegemiseks</text>
  </threadedComment>
  <threadedComment ref="AG125" dT="2025-01-03T09:24:34.55" personId="{3A71836D-35FC-49AE-B047-BB10C0042FD6}" id="{9E9713F3-007A-4ED2-9B54-30A2FE18EF07}">
    <text>Alates pl35-lisaaeg avade tegemiseks</text>
  </threadedComment>
  <threadedComment ref="AK126" dT="2022-07-06T08:03:41.99" personId="{3A71836D-35FC-49AE-B047-BB10C0042FD6}" id="{C00270FF-E9B2-492F-BA50-14F44D6C5535}">
    <text>profiili tüüp 1 või 2 (vaata "abifalis")</text>
  </threadedComment>
  <threadedComment ref="AS129" dT="2022-09-20T07:54:26.54" personId="{3A71836D-35FC-49AE-B047-BB10C0042FD6}" id="{4C33A03D-2A3D-4AAE-921A-00669BC1962B}">
    <text xml:space="preserve">Materiali kasum
</text>
  </threadedComment>
  <threadedComment ref="AG134" dT="2025-01-03T09:24:34.55" personId="{3A71836D-35FC-49AE-B047-BB10C0042FD6}" id="{AA38BEE3-62BD-49E9-A01A-350EB13243CE}">
    <text>Alates pl35-lisaaeg avade tegemiseks</text>
  </threadedComment>
  <threadedComment ref="AK134" dT="2025-01-02T09:41:32.42" personId="{3A71836D-35FC-49AE-B047-BB10C0042FD6}" id="{81836E9C-59EF-4B6E-A722-119FD6B162FC}">
    <text>Põkkimiste läbimiteaev plaatidele pl5-pl100</text>
  </threadedComment>
  <threadedComment ref="AG135" dT="2025-01-03T09:24:34.55" personId="{3A71836D-35FC-49AE-B047-BB10C0042FD6}" id="{F571C582-EAA8-42E4-9E9A-B11DB966D754}">
    <text>Alates pl35-lisaaeg avade tegemiseks</text>
  </threadedComment>
  <threadedComment ref="AG136" dT="2025-01-03T09:24:34.55" personId="{3A71836D-35FC-49AE-B047-BB10C0042FD6}" id="{0798FF24-988E-4084-A9CE-8228345A8084}">
    <text>Alates pl35-lisaaeg avade tegemiseks</text>
  </threadedComment>
  <threadedComment ref="AG137" dT="2025-01-03T09:24:34.55" personId="{3A71836D-35FC-49AE-B047-BB10C0042FD6}" id="{F9110794-F0B9-4F82-8EF7-355AA192BEA0}">
    <text>Alates pl35-lisaaeg avade tegemiseks</text>
  </threadedComment>
  <threadedComment ref="AG138" dT="2025-01-03T09:24:34.55" personId="{3A71836D-35FC-49AE-B047-BB10C0042FD6}" id="{6DFF6886-5824-4879-9077-3292D9723497}">
    <text>Alates pl35-lisapuurumine</text>
  </threadedComment>
  <threadedComment ref="AK139" dT="2022-07-06T08:03:41.99" personId="{3A71836D-35FC-49AE-B047-BB10C0042FD6}" id="{65F0A796-868A-4FC4-9ECD-7AD7D5113493}">
    <text>profiili tüüp 1 või 2 (vaata "abifalis")</text>
  </threadedComment>
  <threadedComment ref="AG140" dT="2025-01-03T09:24:34.55" personId="{3A71836D-35FC-49AE-B047-BB10C0042FD6}" id="{CBA01E39-7DE0-4625-B167-278B71B79FC4}">
    <text>Alates pl35-lisaaeg avade tegemiseks</text>
  </threadedComment>
  <threadedComment ref="AG144" dT="2025-01-03T09:24:34.55" personId="{3A71836D-35FC-49AE-B047-BB10C0042FD6}" id="{110845A8-7D63-4B47-8A8D-170A0B100D2E}">
    <text>Alates pl35-lisaaeg avade tegemiseks</text>
  </threadedComment>
  <threadedComment ref="AK144" dT="2025-01-02T09:41:32.42" personId="{3A71836D-35FC-49AE-B047-BB10C0042FD6}" id="{0836FD99-7C5D-449F-897A-88D9F69BEFC2}">
    <text>Põkkimiste läbimiteaev plaatidele pl5-pl100</text>
  </threadedComment>
  <threadedComment ref="AG145" dT="2025-01-03T09:24:34.55" personId="{3A71836D-35FC-49AE-B047-BB10C0042FD6}" id="{5975E3E6-1F88-4528-936E-A66A5B21637F}">
    <text>Alates pl35-lisaaeg avade tegemiseks</text>
  </threadedComment>
  <threadedComment ref="AG146" dT="2025-01-03T09:24:34.55" personId="{3A71836D-35FC-49AE-B047-BB10C0042FD6}" id="{0D3E6E09-FDD7-4A9B-9C5B-1E8B480C05F8}">
    <text>Alates pl35-lisaaeg avade tegemiseks</text>
  </threadedComment>
  <threadedComment ref="AK147" dT="2022-07-06T08:03:41.99" personId="{3A71836D-35FC-49AE-B047-BB10C0042FD6}" id="{15992175-9752-42C9-993B-2B65E2796B8E}">
    <text>profiili tüüp 1 või 2 (vaata "abifalis")</text>
  </threadedComment>
  <threadedComment ref="AG148" dT="2025-01-03T09:24:34.55" personId="{3A71836D-35FC-49AE-B047-BB10C0042FD6}" id="{6549DCFD-015B-4C68-9A87-B310EBFB1B99}">
    <text>Alates pl35-lisaaeg avade tegemiseks</text>
  </threadedComment>
  <threadedComment ref="AK149" dT="2022-07-06T08:03:41.99" personId="{3A71836D-35FC-49AE-B047-BB10C0042FD6}" id="{C9E0F03F-1EB5-48F1-825D-62820E134AB7}">
    <text>profiili tüüp 1 või 2 (vaata "abifalis")</text>
  </threadedComment>
  <threadedComment ref="AG153" dT="2025-01-03T09:24:34.55" personId="{3A71836D-35FC-49AE-B047-BB10C0042FD6}" id="{868B7147-0984-41B8-9BB3-1B1D66E03337}">
    <text>Alates pl35-lisaaeg avade tegemiseks</text>
  </threadedComment>
  <threadedComment ref="AK153" dT="2025-01-02T09:41:32.42" personId="{3A71836D-35FC-49AE-B047-BB10C0042FD6}" id="{082A8F75-A148-412E-8D98-FA247D19E0EA}">
    <text>Põkkimiste läbimiteaev plaatidele pl5-pl100</text>
  </threadedComment>
  <threadedComment ref="AG154" dT="2025-01-03T09:24:34.55" personId="{3A71836D-35FC-49AE-B047-BB10C0042FD6}" id="{BEB067F7-743E-4E1F-889A-535778DDEB6B}">
    <text>Alates pl35-lisaaeg avade tegemiseks</text>
  </threadedComment>
  <threadedComment ref="AG155" dT="2025-01-03T09:24:34.55" personId="{3A71836D-35FC-49AE-B047-BB10C0042FD6}" id="{E423AF73-54E9-4EFB-AFB7-AC346B9DEC09}">
    <text>Alates pl35-lisaaeg avade tegemiseks</text>
  </threadedComment>
  <threadedComment ref="AK156" dT="2022-07-06T08:03:41.99" personId="{3A71836D-35FC-49AE-B047-BB10C0042FD6}" id="{17B04460-1FC6-4580-9A44-5F8EE9314FEB}">
    <text>profiili tüüp 1 või 2 (vaata "abifalis")</text>
  </threadedComment>
  <threadedComment ref="AK157" dT="2022-07-06T08:03:41.99" personId="{3A71836D-35FC-49AE-B047-BB10C0042FD6}" id="{AA616AB6-9569-4F4A-B1AC-2B3865C518A3}">
    <text>profiili tüüp 1 või 2 (vaata "abifalis")</text>
  </threadedComment>
  <threadedComment ref="AG158" dT="2025-01-03T09:24:34.55" personId="{3A71836D-35FC-49AE-B047-BB10C0042FD6}" id="{2F7DE7B8-B197-480F-8320-2EC324C1BCE0}">
    <text>Alates pl35-lisaaeg avade tegemiseks</text>
  </threadedComment>
  <threadedComment ref="AG159" dT="2025-01-03T09:24:34.55" personId="{3A71836D-35FC-49AE-B047-BB10C0042FD6}" id="{B8081559-1558-43D9-8963-5165267A098E}">
    <text>Alates pl35-lisaaeg avade tegemiseks</text>
  </threadedComment>
  <threadedComment ref="AS163" dT="2022-09-20T07:54:26.54" personId="{3A71836D-35FC-49AE-B047-BB10C0042FD6}" id="{73879E84-7256-4D71-9158-146AD981E286}">
    <text xml:space="preserve">Materiali kasum
</text>
  </threadedComment>
  <threadedComment ref="AK168" dT="2022-07-06T08:03:41.99" personId="{3A71836D-35FC-49AE-B047-BB10C0042FD6}" id="{C1AB5087-B4A9-43B1-B30E-D7DED712B3D0}">
    <text>profiili tüüp 1 või 2 (vaata "abifalis")</text>
  </threadedComment>
  <threadedComment ref="AG169" dT="2025-01-03T09:24:34.55" personId="{3A71836D-35FC-49AE-B047-BB10C0042FD6}" id="{6808D478-979A-4A6D-86D3-A3E0A12E78E6}">
    <text>Alates pl35-lisaaeg avade tegemiseks</text>
  </threadedComment>
  <threadedComment ref="AG170" dT="2025-01-03T09:24:34.55" personId="{3A71836D-35FC-49AE-B047-BB10C0042FD6}" id="{C2C72D0B-2B1F-47DC-8616-C81AC3BFAB06}">
    <text>Alates pl35-lisaaeg avade tegemiseks</text>
  </threadedComment>
  <threadedComment ref="AG171" dT="2025-01-03T09:24:34.55" personId="{3A71836D-35FC-49AE-B047-BB10C0042FD6}" id="{12FFD887-6B98-42BB-B3EA-C1783223569D}">
    <text>Alates pl35-lisaaeg avade tegemiseks</text>
  </threadedComment>
  <threadedComment ref="AG172" dT="2025-01-03T09:24:34.55" personId="{3A71836D-35FC-49AE-B047-BB10C0042FD6}" id="{2B12F4A2-34FD-4DCD-ABE8-8CEBBC6A651D}">
    <text>Alates pl35-lisaaeg avade tegemiseks</text>
  </threadedComment>
  <threadedComment ref="AK175" dT="2022-07-06T08:03:41.99" personId="{3A71836D-35FC-49AE-B047-BB10C0042FD6}" id="{2A170C79-BF2B-41CE-896F-6467E0B3392F}">
    <text>profiili tüüp 1 või 2 (vaata "abifalis")</text>
  </threadedComment>
  <threadedComment ref="AG176" dT="2025-01-03T09:24:34.55" personId="{3A71836D-35FC-49AE-B047-BB10C0042FD6}" id="{E239EDD3-B935-4120-83CF-497232C6B11C}">
    <text>Alates pl35-lisaaeg avade tegemiseks</text>
  </threadedComment>
  <threadedComment ref="AG177" dT="2025-01-03T09:24:34.55" personId="{3A71836D-35FC-49AE-B047-BB10C0042FD6}" id="{3F830CCC-EEC1-441A-A0A6-57637589A493}">
    <text>Alates pl35-lisaaeg avade tegemiseks</text>
  </threadedComment>
  <threadedComment ref="AG178" dT="2025-01-03T09:24:34.55" personId="{3A71836D-35FC-49AE-B047-BB10C0042FD6}" id="{AE9C22AA-ADA5-4153-850D-449156547DE1}">
    <text>Alates pl35-lisaaeg avade tegemiseks</text>
  </threadedComment>
  <threadedComment ref="AG179" dT="2025-01-03T09:24:34.55" personId="{3A71836D-35FC-49AE-B047-BB10C0042FD6}" id="{FF2A35A7-EB55-4B6F-91F3-36775E0B4B43}">
    <text>Alates pl35-lisaaeg avade tegemiseks</text>
  </threadedComment>
  <threadedComment ref="AG180" dT="2025-01-03T09:24:34.55" personId="{3A71836D-35FC-49AE-B047-BB10C0042FD6}" id="{2717DBE5-9FE8-4887-BD58-3B16210ADBE0}">
    <text>Alates pl35-lisaaeg avade tegemiseks</text>
  </threadedComment>
  <threadedComment ref="AG181" dT="2025-01-03T09:24:34.55" personId="{3A71836D-35FC-49AE-B047-BB10C0042FD6}" id="{653DE156-497D-41CB-A18B-AEF597B702BF}">
    <text>Alates pl35-lisaaeg avade tegemiseks</text>
  </threadedComment>
  <threadedComment ref="AK182" dT="2022-07-06T08:03:41.99" personId="{3A71836D-35FC-49AE-B047-BB10C0042FD6}" id="{E15A40DE-347E-4EEA-9DFB-434EE166F96A}">
    <text>profiili tüüp 1 või 2 (vaata "abifalis")</text>
  </threadedComment>
  <threadedComment ref="AG183" dT="2025-01-03T09:24:34.55" personId="{3A71836D-35FC-49AE-B047-BB10C0042FD6}" id="{3D476DD3-98CB-4C69-81C6-D7FB3762845E}">
    <text>Alates pl35-lisaaeg avade tegemiseks</text>
  </threadedComment>
  <threadedComment ref="AK184" dT="2022-07-06T08:03:41.99" personId="{3A71836D-35FC-49AE-B047-BB10C0042FD6}" id="{3D66E184-1758-4055-856A-B3EDEC43C90D}">
    <text>profiili tüüp 1 või 2 (vaata "abifalis")</text>
  </threadedComment>
  <threadedComment ref="AK185" dT="2022-07-06T08:03:41.99" personId="{3A71836D-35FC-49AE-B047-BB10C0042FD6}" id="{45634E2C-6433-4A9F-86FA-46112E700579}">
    <text>profiili tüüp 1 või 2 (vaata "abifalis")</text>
  </threadedComment>
  <threadedComment ref="AG186" dT="2025-01-03T09:24:34.55" personId="{3A71836D-35FC-49AE-B047-BB10C0042FD6}" id="{8D82899E-CC1C-4CBB-9197-AF8049BC2862}">
    <text>Alates pl35-lisaaeg avade tegemiseks</text>
  </threadedComment>
  <threadedComment ref="AK190" dT="2022-07-06T08:03:41.99" personId="{3A71836D-35FC-49AE-B047-BB10C0042FD6}" id="{D722A8D2-9472-44B1-AC73-187BE0809169}">
    <text>vaata "abifalis"</text>
  </threadedComment>
  <threadedComment ref="AG191" dT="2025-01-03T09:24:34.55" personId="{3A71836D-35FC-49AE-B047-BB10C0042FD6}" id="{20E22477-638B-4C55-AEA0-BBCE7ECB9FF0}">
    <text>Alates pl35-lisaaeg avade tegemiseks</text>
  </threadedComment>
  <threadedComment ref="AG192" dT="2025-01-03T09:24:34.55" personId="{3A71836D-35FC-49AE-B047-BB10C0042FD6}" id="{85A0DB1E-1E8C-482C-9F71-505D58D86448}">
    <text>Alates pl35-lisaaeg avade tegemiseks</text>
  </threadedComment>
  <threadedComment ref="AG193" dT="2025-01-03T09:24:34.55" personId="{3A71836D-35FC-49AE-B047-BB10C0042FD6}" id="{7648F147-3394-4EA7-8DA7-CFC8593A1CA4}">
    <text>Alates pl35-lisaaeg avade tegemiseks</text>
  </threadedComment>
  <threadedComment ref="AG194" dT="2025-01-03T09:24:34.55" personId="{3A71836D-35FC-49AE-B047-BB10C0042FD6}" id="{E1686EBA-D8C7-4798-BFD1-A312D594031C}">
    <text>Alates pl35-lisaaeg avade tegemiseks</text>
  </threadedComment>
  <threadedComment ref="AG195" dT="2025-01-03T09:24:34.55" personId="{3A71836D-35FC-49AE-B047-BB10C0042FD6}" id="{C8F25215-5A0D-49D1-99FC-1164883B4746}">
    <text>Alates pl35-lisaaeg avade tegemiseks</text>
  </threadedComment>
  <threadedComment ref="AK196" dT="2022-07-06T08:03:41.99" personId="{3A71836D-35FC-49AE-B047-BB10C0042FD6}" id="{1D8664D4-2E0A-4862-B7BB-EF4C48FACBD4}">
    <text>profiili tüüp 1 või 2 (vaata "abifalis")</text>
  </threadedComment>
  <threadedComment ref="AK197" dT="2022-07-06T08:03:41.99" personId="{3A71836D-35FC-49AE-B047-BB10C0042FD6}" id="{3A7AB2F0-F168-4C2A-8923-B61F06DED436}">
    <text>profiili tüüp 1 või 2 (vaata "abifalis")</text>
  </threadedComment>
  <threadedComment ref="AG198" dT="2025-01-03T09:24:34.55" personId="{3A71836D-35FC-49AE-B047-BB10C0042FD6}" id="{A328F559-D02A-4C8A-A2DE-31FB39CE594A}">
    <text>Alates pl35-lisaaeg avade tegemiseks</text>
  </threadedComment>
  <threadedComment ref="AK201" dT="2022-07-06T08:03:41.99" personId="{3A71836D-35FC-49AE-B047-BB10C0042FD6}" id="{5BE46FDD-70F7-4D92-AC20-2D3054E8CB37}">
    <text>profiili tüüp 1 või 2 (vaata "abifalis")</text>
  </threadedComment>
  <threadedComment ref="AG202" dT="2025-01-03T09:24:34.55" personId="{3A71836D-35FC-49AE-B047-BB10C0042FD6}" id="{5D2F7A46-0D1F-4CD6-9114-C92E3C8ADE81}">
    <text>Alates pl35-lisaaeg avade tegemiseks</text>
  </threadedComment>
  <threadedComment ref="AG203" dT="2025-01-03T09:24:34.55" personId="{3A71836D-35FC-49AE-B047-BB10C0042FD6}" id="{C2538421-F07F-498B-BCCD-629719DFB7BA}">
    <text>Alates pl35-lisaaeg avade tegemiseks</text>
  </threadedComment>
  <threadedComment ref="AK204" dT="2022-07-06T08:03:41.99" personId="{3A71836D-35FC-49AE-B047-BB10C0042FD6}" id="{5087EF1D-9142-4B89-9323-4B4273E29F6E}">
    <text>profiili tüüp 1 või 2 (vaata "abifalis")</text>
  </threadedComment>
  <threadedComment ref="AK205" dT="2022-07-06T08:03:41.99" personId="{3A71836D-35FC-49AE-B047-BB10C0042FD6}" id="{D4D354D4-09C1-49F9-BA57-AD2DA531AD7D}">
    <text>profiili tüüp 1 või 2 (vaata "abifalis")</text>
  </threadedComment>
  <threadedComment ref="AK208" dT="2022-07-06T08:03:41.99" personId="{3A71836D-35FC-49AE-B047-BB10C0042FD6}" id="{EEE74C7C-B2BA-4147-8102-6A73EAEAF0AB}">
    <text>profiili tüüp 1 või 2 (vaata "abifalis")</text>
  </threadedComment>
  <threadedComment ref="AG209" dT="2025-01-03T09:24:34.55" personId="{3A71836D-35FC-49AE-B047-BB10C0042FD6}" id="{13D3DA2C-9BAD-412A-A552-6FFB1C9B1693}">
    <text>Alates pl35-lisaaeg avade tegemiseks</text>
  </threadedComment>
  <threadedComment ref="AG210" dT="2025-01-03T09:24:34.55" personId="{3A71836D-35FC-49AE-B047-BB10C0042FD6}" id="{49F0A20D-B07A-4DB2-97D8-8E6865F181BC}">
    <text>Alates pl35-lisaaeg avade tegemiseks</text>
  </threadedComment>
  <threadedComment ref="AG211" dT="2025-01-03T09:24:34.55" personId="{3A71836D-35FC-49AE-B047-BB10C0042FD6}" id="{8EF3281A-CEEB-4640-879F-5C9D820F3C2C}">
    <text>Alates pl35-lisaaeg avade tegemiseks</text>
  </threadedComment>
  <threadedComment ref="AG212" dT="2025-01-03T09:24:34.55" personId="{3A71836D-35FC-49AE-B047-BB10C0042FD6}" id="{4D6FE16B-7D91-4593-8F9B-29327C3C7795}">
    <text>Alates pl35-lisaaeg avade tegemiseks</text>
  </threadedComment>
  <threadedComment ref="AG213" dT="2025-01-03T09:24:34.55" personId="{3A71836D-35FC-49AE-B047-BB10C0042FD6}" id="{EC32DD9F-723D-4D3D-814F-C67B0AC508FD}">
    <text>Alates pl35-lisaaeg avade tegemiseks</text>
  </threadedComment>
  <threadedComment ref="AG214" dT="2025-01-03T09:24:34.55" personId="{3A71836D-35FC-49AE-B047-BB10C0042FD6}" id="{88735D9A-3075-4153-9D52-F93AD2E22807}">
    <text>Alates pl35-lisaaeg avade tegemiseks</text>
  </threadedComment>
  <threadedComment ref="AK215" dT="2022-07-06T08:03:41.99" personId="{3A71836D-35FC-49AE-B047-BB10C0042FD6}" id="{FDC0670D-AA4C-4309-A791-ACEA7EEDC3DA}">
    <text>profiili tüüp 1 või 2 (vaata "abifalis")</text>
  </threadedComment>
  <threadedComment ref="AG216" dT="2025-01-03T09:24:34.55" personId="{3A71836D-35FC-49AE-B047-BB10C0042FD6}" id="{D52C3180-6A38-4A4F-B6FD-24A64BA07C15}">
    <text>Alates pl35-lisaaeg avade tegemiseks</text>
  </threadedComment>
  <threadedComment ref="AK219" dT="2022-07-06T08:03:41.99" personId="{3A71836D-35FC-49AE-B047-BB10C0042FD6}" id="{46A649D1-1268-4A98-84C8-3DCE00636675}">
    <text>profiili tüüp 1 või 2 (vaata "abifalis")</text>
  </threadedComment>
  <threadedComment ref="AG220" dT="2025-01-03T09:24:34.55" personId="{3A71836D-35FC-49AE-B047-BB10C0042FD6}" id="{A7374539-62AE-4E5A-A52E-1C1365F08574}">
    <text>Alates pl35-lisaaeg avade tegemiseks</text>
  </threadedComment>
  <threadedComment ref="AG221" dT="2025-01-03T09:24:34.55" personId="{3A71836D-35FC-49AE-B047-BB10C0042FD6}" id="{F6EB9EB0-851B-49CC-936E-E96C73D9FB9A}">
    <text>Alates pl35-lisaaeg avade tegemiseks</text>
  </threadedComment>
  <threadedComment ref="AK224" dT="2022-07-06T08:03:41.99" personId="{3A71836D-35FC-49AE-B047-BB10C0042FD6}" id="{FC93E039-6B91-4937-AA57-7F693BEE4D13}">
    <text>profiili tüüp 1 või 2 (vaata "abifalis")</text>
  </threadedComment>
  <threadedComment ref="AG225" dT="2025-01-03T09:24:34.55" personId="{3A71836D-35FC-49AE-B047-BB10C0042FD6}" id="{F864EF8F-592A-4265-BC26-85ADA4A2B857}">
    <text>Alates pl35-lisaaeg avade tegemiseks</text>
  </threadedComment>
  <threadedComment ref="AG226" dT="2025-01-03T09:24:34.55" personId="{3A71836D-35FC-49AE-B047-BB10C0042FD6}" id="{6FBA95F2-43FA-48C6-9A60-3A4628E728A3}">
    <text>Alates pl35-lisaaeg avade tegemiseks</text>
  </threadedComment>
  <threadedComment ref="AG227" dT="2025-01-03T09:24:34.55" personId="{3A71836D-35FC-49AE-B047-BB10C0042FD6}" id="{A0E00B53-0B94-4825-9478-22863E8345AB}">
    <text>Alates pl35-lisaaeg avade tegemiseks</text>
  </threadedComment>
  <threadedComment ref="AG228" dT="2025-01-03T09:24:34.55" personId="{3A71836D-35FC-49AE-B047-BB10C0042FD6}" id="{95FFCA75-F3BD-4477-B5CC-5E1A179A4EF9}">
    <text>Alates pl35-lisaaeg avade tegemiseks</text>
  </threadedComment>
  <threadedComment ref="AK231" dT="2022-07-06T08:03:41.99" personId="{3A71836D-35FC-49AE-B047-BB10C0042FD6}" id="{0EEF2656-ABCA-400C-B537-D723AFEFD37B}">
    <text>profiili tüüp 1 või 2 (vaata "abifalis")</text>
  </threadedComment>
  <threadedComment ref="AG232" dT="2025-01-03T09:24:34.55" personId="{3A71836D-35FC-49AE-B047-BB10C0042FD6}" id="{AD6C318B-BA22-4DE5-997E-662ACD21530B}">
    <text>Alates pl35-lisaaeg avade tegemiseks</text>
  </threadedComment>
  <threadedComment ref="AG233" dT="2025-01-03T09:24:34.55" personId="{3A71836D-35FC-49AE-B047-BB10C0042FD6}" id="{7EAAEF2E-7A12-472A-9876-A20C0BF29205}">
    <text>Alates pl35-lisaaeg avade tegemiseks</text>
  </threadedComment>
  <threadedComment ref="AG234" dT="2025-01-03T09:24:34.55" personId="{3A71836D-35FC-49AE-B047-BB10C0042FD6}" id="{4A71F6D1-5B78-4FEB-A448-037E2C5B289C}">
    <text>Alates pl35-lisaaeg avade tegemiseks</text>
  </threadedComment>
  <threadedComment ref="AK235" dT="2022-07-06T08:03:41.99" personId="{3A71836D-35FC-49AE-B047-BB10C0042FD6}" id="{C8C1B230-D4C0-4DBC-9AAB-C9255B335512}">
    <text>profiili tüüp 1 või 2 (vaata "abifalis")</text>
  </threadedComment>
  <threadedComment ref="AK236" dT="2022-07-06T08:03:41.99" personId="{3A71836D-35FC-49AE-B047-BB10C0042FD6}" id="{46451A6F-12D7-4044-BDEF-37F3C2BF5DD7}">
    <text>profiili tüüp 1 või 2 (vaata "abifalis")</text>
  </threadedComment>
  <threadedComment ref="AG237" dT="2025-01-03T09:24:34.55" personId="{3A71836D-35FC-49AE-B047-BB10C0042FD6}" id="{690EFA14-4996-4496-BF35-3C775EC1852C}">
    <text>Alates pl35-lisaaeg avade tegemiseks</text>
  </threadedComment>
  <threadedComment ref="AK240" dT="2022-07-06T08:03:41.99" personId="{3A71836D-35FC-49AE-B047-BB10C0042FD6}" id="{ED873411-72E3-4B60-B8B5-A65058672B87}">
    <text>profiili tüüp 1 või 2 (vaata "abifalis")</text>
  </threadedComment>
  <threadedComment ref="AK241" dT="2022-07-06T08:03:41.99" personId="{3A71836D-35FC-49AE-B047-BB10C0042FD6}" id="{4F678685-3FB7-4F4C-9FC9-796D6FC5DA93}">
    <text>profiili tüüp 1 või 2 (vaata "abifalis")</text>
  </threadedComment>
  <threadedComment ref="AK242" dT="2022-07-06T08:03:41.99" personId="{3A71836D-35FC-49AE-B047-BB10C0042FD6}" id="{BC71F5D1-2975-4311-A02B-B57B10F1DCF8}">
    <text>profiili tüüp 1 või 2 (vaata "abifalis")</text>
  </threadedComment>
  <threadedComment ref="AG243" dT="2025-01-03T09:24:34.55" personId="{3A71836D-35FC-49AE-B047-BB10C0042FD6}" id="{7CB064A0-AD00-4DAC-BE1C-D0E7C67A691C}">
    <text>Alates pl35-lisaaeg avade tegemiseks</text>
  </threadedComment>
  <threadedComment ref="AG244" dT="2025-01-03T09:24:34.55" personId="{3A71836D-35FC-49AE-B047-BB10C0042FD6}" id="{0DD76A23-FFD0-464F-B71F-D409B662071D}">
    <text>Alates pl35-lisaaeg avade tegemiseks</text>
  </threadedComment>
  <threadedComment ref="AK245" dT="2022-07-06T08:03:41.99" personId="{3A71836D-35FC-49AE-B047-BB10C0042FD6}" id="{AEC6FD41-F4DA-48F8-8812-F98979D84812}">
    <text>profiili tüüp 1 või 2 (vaata "abifalis")</text>
  </threadedComment>
  <threadedComment ref="AG246" dT="2025-01-03T09:24:34.55" personId="{3A71836D-35FC-49AE-B047-BB10C0042FD6}" id="{23FF2ECE-6746-4F2D-81FB-5E918DE7182D}">
    <text>Alates pl35-lisaaeg avade tegemiseks</text>
  </threadedComment>
  <threadedComment ref="AG247" dT="2025-01-03T09:24:34.55" personId="{3A71836D-35FC-49AE-B047-BB10C0042FD6}" id="{93F95069-8626-4AC3-B4EB-D155CFDC0E31}">
    <text>Alates pl35-lisaaeg avade tegemiseks</text>
  </threadedComment>
  <threadedComment ref="AK250" dT="2022-07-06T08:03:41.99" personId="{3A71836D-35FC-49AE-B047-BB10C0042FD6}" id="{C4836D8D-8BA7-45C9-A73E-01308895A3B2}">
    <text>profiili tüüp 1 või 2 (vaata "abifalis")</text>
  </threadedComment>
  <threadedComment ref="AG251" dT="2025-01-03T09:24:34.55" personId="{3A71836D-35FC-49AE-B047-BB10C0042FD6}" id="{C4C08960-0564-4827-A064-231D93A8F0E9}">
    <text>Alates pl35-lisaaeg avade tegemiseks</text>
  </threadedComment>
  <threadedComment ref="AK252" dT="2022-07-06T08:03:41.99" personId="{3A71836D-35FC-49AE-B047-BB10C0042FD6}" id="{36F30E95-8276-475E-BB7D-00F85B67B5FA}">
    <text>profiili tüüp 1 või 2 (vaata "abifalis")</text>
  </threadedComment>
  <threadedComment ref="AG253" dT="2025-01-03T09:24:34.55" personId="{3A71836D-35FC-49AE-B047-BB10C0042FD6}" id="{9E4A623E-5C1F-4157-95DE-AE4FB172EB2E}">
    <text>Alates pl35-lisaaeg avade tegemiseks</text>
  </threadedComment>
  <threadedComment ref="AK254" dT="2022-07-06T08:03:41.99" personId="{3A71836D-35FC-49AE-B047-BB10C0042FD6}" id="{2A5B7202-1F05-436E-9CA4-ACA3316682AB}">
    <text>profiili tüüp 1 või 2 (vaata "abifalis")</text>
  </threadedComment>
  <threadedComment ref="AG255" dT="2025-01-03T09:24:34.55" personId="{3A71836D-35FC-49AE-B047-BB10C0042FD6}" id="{A9711888-9518-455B-90ED-C82DADD348E9}">
    <text>Alates pl35-lisaaeg avade tegemiseks</text>
  </threadedComment>
  <threadedComment ref="AG256" dT="2025-01-03T09:24:34.55" personId="{3A71836D-35FC-49AE-B047-BB10C0042FD6}" id="{8F8C600E-6981-4A00-9758-68B3D1DF2E91}">
    <text>Alates pl35-lisaaeg avade tegemiseks</text>
  </threadedComment>
  <threadedComment ref="AK259" dT="2022-07-06T08:03:41.99" personId="{3A71836D-35FC-49AE-B047-BB10C0042FD6}" id="{CC731A67-B930-4AC5-94B7-3A82A922192C}">
    <text>profiili tüüp 1 või 2 (vaata "abifalis")</text>
  </threadedComment>
  <threadedComment ref="AK260" dT="2022-07-06T08:03:41.99" personId="{3A71836D-35FC-49AE-B047-BB10C0042FD6}" id="{BABF8204-9673-4F6D-A96A-FC0E591F71FD}">
    <text>profiili tüüp 1 või 2 (vaata "abifalis")</text>
  </threadedComment>
  <threadedComment ref="AK261" dT="2022-07-06T08:03:41.99" personId="{3A71836D-35FC-49AE-B047-BB10C0042FD6}" id="{A80ADAED-57F3-46EE-A9C7-5C69E46BE7B7}">
    <text>profiili tüüp 1 või 2 (vaata "abifalis")</text>
  </threadedComment>
  <threadedComment ref="AG262" dT="2025-01-03T09:24:34.55" personId="{3A71836D-35FC-49AE-B047-BB10C0042FD6}" id="{0F0D6CC1-9648-45D7-AC38-9D1BFFFF75E9}">
    <text>Alates pl35-lisaaeg avade tegemiseks</text>
  </threadedComment>
  <threadedComment ref="AG263" dT="2025-01-03T09:24:34.55" personId="{3A71836D-35FC-49AE-B047-BB10C0042FD6}" id="{83490EB6-844C-4B6A-AB89-F68017F38387}">
    <text>Alates pl35-lisaaeg avade tegemiseks</text>
  </threadedComment>
  <threadedComment ref="AG264" dT="2025-01-03T09:24:34.55" personId="{3A71836D-35FC-49AE-B047-BB10C0042FD6}" id="{76823968-3495-44DD-B828-6DA5F596DD6D}">
    <text>Alates pl35-lisaaeg avade tegemiseks</text>
  </threadedComment>
  <threadedComment ref="AK267" dT="2022-07-06T08:03:41.99" personId="{3A71836D-35FC-49AE-B047-BB10C0042FD6}" id="{5FA3AA81-8D34-43C4-A7EA-C8D4CC96D67D}">
    <text>profiili tüüp 1 või 2 (vaata "abifalis")</text>
  </threadedComment>
  <threadedComment ref="AS270" dT="2022-09-20T07:54:26.54" personId="{3A71836D-35FC-49AE-B047-BB10C0042FD6}" id="{BC3793A0-940A-4308-A50B-C5B6600C592D}">
    <text xml:space="preserve">Materiali kasum
</text>
  </threadedComment>
  <threadedComment ref="AK275" dT="2022-07-06T08:03:41.99" personId="{3A71836D-35FC-49AE-B047-BB10C0042FD6}" id="{1F0EFB37-EC8D-4A9A-AAC5-AE537C641BDB}">
    <text>profiili tüüp 1 või 2 (vaata "abifalis")</text>
  </threadedComment>
  <threadedComment ref="AG276" dT="2025-01-03T09:24:34.55" personId="{3A71836D-35FC-49AE-B047-BB10C0042FD6}" id="{AD9E3AE5-3A02-4D4C-A397-EAB2B856B069}">
    <text>Alates pl35-lisaaeg avade tegemiseks</text>
  </threadedComment>
  <threadedComment ref="AG277" dT="2025-01-03T09:24:34.55" personId="{3A71836D-35FC-49AE-B047-BB10C0042FD6}" id="{835B284A-D507-447E-9147-A28EB98D86AC}">
    <text>Alates pl35-lisaaeg avade tegemiseks</text>
  </threadedComment>
  <threadedComment ref="AG278" dT="2025-01-03T09:24:34.55" personId="{3A71836D-35FC-49AE-B047-BB10C0042FD6}" id="{28D4FEFD-FDB4-41CF-BA66-150400264C68}">
    <text>Alates pl35-lisaaeg avade tegemiseks</text>
  </threadedComment>
  <threadedComment ref="AK281" dT="2022-07-06T08:03:41.99" personId="{3A71836D-35FC-49AE-B047-BB10C0042FD6}" id="{FA65BDDA-BAE4-4E49-AC7A-E4D30380F30B}">
    <text>profiili tüüp 1 või 2 (vaata "abifalis")</text>
  </threadedComment>
  <threadedComment ref="AG282" dT="2025-01-03T09:24:34.55" personId="{3A71836D-35FC-49AE-B047-BB10C0042FD6}" id="{EFE946ED-6514-43FE-8D06-36B5AC452ECC}">
    <text>Alates pl35-lisaaeg avade tegemiseks</text>
  </threadedComment>
  <threadedComment ref="AG283" dT="2025-01-03T09:24:34.55" personId="{3A71836D-35FC-49AE-B047-BB10C0042FD6}" id="{0C69ADFD-A61A-4F65-9DA7-9566AE02F53C}">
    <text>Alates pl35-lisaaeg avade tegemiseks</text>
  </threadedComment>
  <threadedComment ref="AG284" dT="2025-01-03T09:24:34.55" personId="{3A71836D-35FC-49AE-B047-BB10C0042FD6}" id="{EEB51B51-0C87-4F0F-A4E4-C7E537D2ED34}">
    <text>Alates pl35-lisaaeg avade tegemiseks</text>
  </threadedComment>
  <threadedComment ref="AK287" dT="2022-07-06T08:03:41.99" personId="{3A71836D-35FC-49AE-B047-BB10C0042FD6}" id="{3725F829-D210-4C35-8A06-5F86BEA6F03F}">
    <text>profiili tüüp 1 või 2 (vaata "abifalis")</text>
  </threadedComment>
  <threadedComment ref="AG288" dT="2025-01-03T09:24:34.55" personId="{3A71836D-35FC-49AE-B047-BB10C0042FD6}" id="{D9D21C96-2968-40EE-ACAD-AFF4D433AD91}">
    <text>Alates pl35-lisaaeg avade tegemiseks</text>
  </threadedComment>
  <threadedComment ref="AG289" dT="2025-01-03T09:24:34.55" personId="{3A71836D-35FC-49AE-B047-BB10C0042FD6}" id="{C286044B-70CA-4F7A-82E0-7078D1B2AE26}">
    <text>Alates pl35-lisaaeg avade tegemiseks</text>
  </threadedComment>
  <threadedComment ref="AG290" dT="2025-01-03T09:24:34.55" personId="{3A71836D-35FC-49AE-B047-BB10C0042FD6}" id="{F63CB691-9556-4493-B3B2-937038EC1CFD}">
    <text>Alates pl35-lisaaeg avade tegemiseks</text>
  </threadedComment>
  <threadedComment ref="AK293" dT="2022-07-06T08:03:41.99" personId="{3A71836D-35FC-49AE-B047-BB10C0042FD6}" id="{5A950EC7-F44C-49E5-8176-B99BD1996B36}">
    <text>profiili tüüp 1 või 2 (vaata "abifalis")</text>
  </threadedComment>
  <threadedComment ref="AG294" dT="2025-01-03T09:24:34.55" personId="{3A71836D-35FC-49AE-B047-BB10C0042FD6}" id="{68F714A2-FA5A-4110-BAFC-AD5464EE6E9E}">
    <text>Alates pl35-lisaaeg avade tegemiseks</text>
  </threadedComment>
  <threadedComment ref="AG295" dT="2025-01-03T09:24:34.55" personId="{3A71836D-35FC-49AE-B047-BB10C0042FD6}" id="{1D858924-D15A-4F66-96C0-8CB24B9A21A6}">
    <text>Alates pl35-lisaaeg avade tegemiseks</text>
  </threadedComment>
  <threadedComment ref="AG296" dT="2025-01-03T09:24:34.55" personId="{3A71836D-35FC-49AE-B047-BB10C0042FD6}" id="{168E60D2-2C5B-4EAB-ADB7-22FD949A530E}">
    <text>Alates pl35-lisaaeg avade tegemiseks</text>
  </threadedComment>
  <threadedComment ref="AK299" dT="2022-07-06T08:03:41.99" personId="{3A71836D-35FC-49AE-B047-BB10C0042FD6}" id="{42A16C8E-3C3F-4E90-8A20-E63513ECA3DE}">
    <text>profiili tüüp 1 või 2 (vaata "abifalis")</text>
  </threadedComment>
  <threadedComment ref="AG300" dT="2025-01-03T09:24:34.55" personId="{3A71836D-35FC-49AE-B047-BB10C0042FD6}" id="{98EFD4CC-F2F4-47E6-A7A8-DF7C4CC27268}">
    <text>Alates pl35-lisaaeg avade tegemiseks</text>
  </threadedComment>
  <threadedComment ref="AG301" dT="2025-01-03T09:24:34.55" personId="{3A71836D-35FC-49AE-B047-BB10C0042FD6}" id="{F60C1012-1C37-41FB-85BC-4DC40E930467}">
    <text>Alates pl35-lisaaeg avade tegemiseks</text>
  </threadedComment>
  <threadedComment ref="AG302" dT="2025-01-03T09:24:34.55" personId="{3A71836D-35FC-49AE-B047-BB10C0042FD6}" id="{A3B26A07-5ABE-4206-88A0-2EBB48D4DACC}">
    <text>Alates pl35-lisaaeg avade tegemiseks</text>
  </threadedComment>
  <threadedComment ref="AK305" dT="2022-07-06T08:03:41.99" personId="{3A71836D-35FC-49AE-B047-BB10C0042FD6}" id="{54B5EFE1-E789-4974-ABA2-CE11D77856B4}">
    <text>vaata "abifalis"</text>
  </threadedComment>
  <threadedComment ref="AG306" dT="2025-01-03T09:24:34.55" personId="{3A71836D-35FC-49AE-B047-BB10C0042FD6}" id="{84797C59-78EF-436D-90FB-AD765DB5EE12}">
    <text>Alates pl35-lisaaeg avade tegemiseks</text>
  </threadedComment>
  <threadedComment ref="AG307" dT="2025-01-03T09:24:34.55" personId="{3A71836D-35FC-49AE-B047-BB10C0042FD6}" id="{C28F041B-8DB3-4DC0-8B6D-FFAE8BBBC666}">
    <text>Alates pl35-lisaaeg avade tegemiseks</text>
  </threadedComment>
  <threadedComment ref="AG308" dT="2025-01-03T09:24:34.55" personId="{3A71836D-35FC-49AE-B047-BB10C0042FD6}" id="{CBD47F86-FC23-46CE-A7FE-594CE3804E2C}">
    <text>Alates pl35-lisaaeg avade tegemiseks</text>
  </threadedComment>
  <threadedComment ref="AG309" dT="2025-01-03T09:24:34.55" personId="{3A71836D-35FC-49AE-B047-BB10C0042FD6}" id="{42607B2A-5509-4844-9BF8-ED8B81C59DF1}">
    <text>Alates pl35-lisaaeg avade tegemiseks</text>
  </threadedComment>
  <threadedComment ref="AG310" dT="2025-01-03T09:24:34.55" personId="{3A71836D-35FC-49AE-B047-BB10C0042FD6}" id="{D4448153-2FC2-4EB6-B272-4DFFEDAE0036}">
    <text>Alates pl35-lisaaeg avade tegemiseks</text>
  </threadedComment>
  <threadedComment ref="AK313" dT="2022-07-06T08:03:41.99" personId="{3A71836D-35FC-49AE-B047-BB10C0042FD6}" id="{BA7B5562-1C82-4A2A-88A6-740E530BBE47}">
    <text>vaata "abifalis"</text>
  </threadedComment>
  <threadedComment ref="AG314" dT="2025-01-03T09:24:34.55" personId="{3A71836D-35FC-49AE-B047-BB10C0042FD6}" id="{0B2DD2BF-2B33-4130-AA54-01FFE8016EF8}">
    <text>Alates pl35-lisaaeg avade tegemiseks</text>
  </threadedComment>
  <threadedComment ref="AG315" dT="2025-01-03T09:24:34.55" personId="{3A71836D-35FC-49AE-B047-BB10C0042FD6}" id="{F92A9491-8B3B-4944-B80A-748170408C8D}">
    <text>Alates pl35-lisaaeg avade tegemiseks</text>
  </threadedComment>
  <threadedComment ref="AG316" dT="2025-01-03T09:24:34.55" personId="{3A71836D-35FC-49AE-B047-BB10C0042FD6}" id="{3BD97A1A-9CA8-4FE1-B11F-E611263A82BC}">
    <text>Alates pl35-lisaaeg avade tegemiseks</text>
  </threadedComment>
  <threadedComment ref="AK319" dT="2022-07-06T08:03:41.99" personId="{3A71836D-35FC-49AE-B047-BB10C0042FD6}" id="{ADE08C38-B314-4EBE-9A2F-0EB300EEBF74}">
    <text>vaata "abifalis"</text>
  </threadedComment>
  <threadedComment ref="AG320" dT="2025-01-03T09:24:34.55" personId="{3A71836D-35FC-49AE-B047-BB10C0042FD6}" id="{3524853A-0F46-48AF-BB28-234240A1B37C}">
    <text>Alates pl35-lisaaeg avade tegemiseks</text>
  </threadedComment>
  <threadedComment ref="AG321" dT="2025-01-03T09:24:34.55" personId="{3A71836D-35FC-49AE-B047-BB10C0042FD6}" id="{A624A43E-36B0-4A88-97FE-793448C269ED}">
    <text>Alates pl35-lisaaeg avade tegemiseks</text>
  </threadedComment>
  <threadedComment ref="AG322" dT="2025-01-03T09:24:34.55" personId="{3A71836D-35FC-49AE-B047-BB10C0042FD6}" id="{0F7DA99B-29A6-4676-BE3D-AF9620E8520E}">
    <text>Alates pl35-lisaaeg avade tegemiseks</text>
  </threadedComment>
  <threadedComment ref="AK325" dT="2022-07-06T08:03:41.99" personId="{3A71836D-35FC-49AE-B047-BB10C0042FD6}" id="{C19B044E-61C8-4079-A4C2-7F0976487E0F}">
    <text>vaata "abifalis"</text>
  </threadedComment>
  <threadedComment ref="AG326" dT="2025-01-03T09:24:34.55" personId="{3A71836D-35FC-49AE-B047-BB10C0042FD6}" id="{C1D7B34E-594C-497E-9E12-62F83A10C5A3}">
    <text>Alates pl35-lisaaeg avade tegemiseks</text>
  </threadedComment>
  <threadedComment ref="AG327" dT="2025-01-03T09:24:34.55" personId="{3A71836D-35FC-49AE-B047-BB10C0042FD6}" id="{6BE8BE70-261A-460B-8352-2ABEE1A45505}">
    <text>Alates pl35-lisaaeg avade tegemiseks</text>
  </threadedComment>
  <threadedComment ref="AG328" dT="2025-01-03T09:24:34.55" personId="{3A71836D-35FC-49AE-B047-BB10C0042FD6}" id="{8A02F154-4066-47C2-AB39-832F97733F7B}">
    <text>Alates pl35-lisaaeg avade tegemiseks</text>
  </threadedComment>
  <threadedComment ref="AK332" dT="2022-07-06T08:03:41.99" personId="{3A71836D-35FC-49AE-B047-BB10C0042FD6}" id="{D752DBDA-23E1-4447-972C-FDFA5252BDB9}">
    <text>profiili tüüp 1 või 2 (vaata "abifalis")</text>
  </threadedComment>
  <threadedComment ref="AG333" dT="2025-01-03T09:24:34.55" personId="{3A71836D-35FC-49AE-B047-BB10C0042FD6}" id="{ADCC51C4-5FA4-4D91-90DC-58BA3F31152D}">
    <text>Alates pl35-lisaaeg avade tegemiseks</text>
  </threadedComment>
  <threadedComment ref="AG334" dT="2025-01-03T09:24:34.55" personId="{3A71836D-35FC-49AE-B047-BB10C0042FD6}" id="{0886DE89-504E-4033-A70F-910FB67ED42B}">
    <text>Alates pl35-lisaaeg avade tegemiseks</text>
  </threadedComment>
  <threadedComment ref="AG335" dT="2025-01-03T09:24:34.55" personId="{3A71836D-35FC-49AE-B047-BB10C0042FD6}" id="{AEAC5C02-BEF0-4471-A1AA-0A086F3275D2}">
    <text>Alates pl35-lisaaeg avade tegemiseks</text>
  </threadedComment>
  <threadedComment ref="AK339" dT="2022-07-06T08:03:41.99" personId="{3A71836D-35FC-49AE-B047-BB10C0042FD6}" id="{8CB84007-9EAB-4D70-A9AF-207F273120B6}">
    <text>profiili tüüp 1 või 2 (vaata "abifalis")</text>
  </threadedComment>
  <threadedComment ref="AG340" dT="2025-01-03T09:24:34.55" personId="{3A71836D-35FC-49AE-B047-BB10C0042FD6}" id="{0D181F7A-39E7-408F-B0E8-1D8D0EE428A8}">
    <text>Alates pl35-lisaaeg avade tegemiseks</text>
  </threadedComment>
  <threadedComment ref="AG341" dT="2025-01-03T09:24:34.55" personId="{3A71836D-35FC-49AE-B047-BB10C0042FD6}" id="{55C74932-E35F-431F-A03F-AC3CDEB372B4}">
    <text>Alates pl35-lisaaeg avade tegemiseks</text>
  </threadedComment>
  <threadedComment ref="AG342" dT="2025-01-03T09:24:34.55" personId="{3A71836D-35FC-49AE-B047-BB10C0042FD6}" id="{2F6F8BB1-6A83-4EA4-BA6C-28896B927679}">
    <text>Alates pl35-lisaaeg avade tegemiseks</text>
  </threadedComment>
  <threadedComment ref="AK345" dT="2022-07-06T08:03:41.99" personId="{3A71836D-35FC-49AE-B047-BB10C0042FD6}" id="{263348F5-0378-42AA-AA45-5CA5B1096470}">
    <text>profiili tüüp 1 või 2 (vaata "abifalis")</text>
  </threadedComment>
  <threadedComment ref="AG346" dT="2025-01-03T09:24:34.55" personId="{3A71836D-35FC-49AE-B047-BB10C0042FD6}" id="{ABF2EA3F-8B92-4101-A20B-1DC3E22B33E5}">
    <text>Alates pl35-lisaaeg avade tegemiseks</text>
  </threadedComment>
  <threadedComment ref="AG347" dT="2025-01-03T09:24:34.55" personId="{3A71836D-35FC-49AE-B047-BB10C0042FD6}" id="{43AF7297-BD64-43C3-8B20-9AF121312F5D}">
    <text>Alates pl35-lisaaeg avade tegemiseks</text>
  </threadedComment>
  <threadedComment ref="AG348" dT="2025-01-03T09:24:34.55" personId="{3A71836D-35FC-49AE-B047-BB10C0042FD6}" id="{B7434638-BF63-4186-A9BE-32AB2EF8F83E}">
    <text>Alates pl35-lisaaeg avade tegemiseks</text>
  </threadedComment>
  <threadedComment ref="AK351" dT="2022-07-06T08:03:41.99" personId="{3A71836D-35FC-49AE-B047-BB10C0042FD6}" id="{1B2BE353-1833-403F-B150-741ED493EA96}">
    <text>vaata "abifalis"</text>
  </threadedComment>
  <threadedComment ref="AG352" dT="2025-01-03T09:24:34.55" personId="{3A71836D-35FC-49AE-B047-BB10C0042FD6}" id="{A98771F8-D7E6-4F0B-9B9D-3CBC4A3899D7}">
    <text>Alates pl35-lisaaeg avade tegemiseks</text>
  </threadedComment>
  <threadedComment ref="AG353" dT="2025-01-03T09:24:34.55" personId="{3A71836D-35FC-49AE-B047-BB10C0042FD6}" id="{6241BFD1-687E-4B5D-BCE0-EBB5A448AEFB}">
    <text>Alates pl35-lisaaeg avade tegemiseks</text>
  </threadedComment>
  <threadedComment ref="AG354" dT="2025-01-03T09:24:34.55" personId="{3A71836D-35FC-49AE-B047-BB10C0042FD6}" id="{924FE798-D3FF-4138-9768-5E75CA3153D5}">
    <text>Alates pl35-lisaaeg avade tegemiseks</text>
  </threadedComment>
  <threadedComment ref="AG355" dT="2025-01-03T09:24:34.55" personId="{3A71836D-35FC-49AE-B047-BB10C0042FD6}" id="{D900A130-B0C9-40AA-AF84-D4CFED0A140C}">
    <text>Alates pl35-lisaaeg avade tegemiseks</text>
  </threadedComment>
  <threadedComment ref="AK358" dT="2022-07-06T08:03:41.99" personId="{3A71836D-35FC-49AE-B047-BB10C0042FD6}" id="{DC2C90BD-AB8C-44BA-91E0-857F6591A149}">
    <text>vaata "abifalis"</text>
  </threadedComment>
  <threadedComment ref="AG359" dT="2025-01-03T09:24:34.55" personId="{3A71836D-35FC-49AE-B047-BB10C0042FD6}" id="{579F32EB-719C-4648-9327-B2931781CEFB}">
    <text>Alates pl35-lisaaeg avade tegemiseks</text>
  </threadedComment>
  <threadedComment ref="AG360" dT="2025-01-03T09:24:34.55" personId="{3A71836D-35FC-49AE-B047-BB10C0042FD6}" id="{8788B6E1-6FDC-4EEB-A36D-F24CC4136282}">
    <text>Alates pl35-lisaaeg avade tegemiseks</text>
  </threadedComment>
  <threadedComment ref="AG361" dT="2025-01-03T09:24:34.55" personId="{3A71836D-35FC-49AE-B047-BB10C0042FD6}" id="{5AADC32F-9960-4D5A-8AA5-7E0424E78AD5}">
    <text>Alates pl35-lisaaeg avade tegemiseks</text>
  </threadedComment>
  <threadedComment ref="AK364" dT="2022-07-06T08:03:41.99" personId="{3A71836D-35FC-49AE-B047-BB10C0042FD6}" id="{63B05AFB-3309-4F19-8FBA-ADE56C907BF1}">
    <text>vaata "abifalis"</text>
  </threadedComment>
  <threadedComment ref="AG365" dT="2025-01-03T09:24:34.55" personId="{3A71836D-35FC-49AE-B047-BB10C0042FD6}" id="{7740FCE8-2251-438B-A407-CFD9D0DE94D5}">
    <text>Alates pl35-lisaaeg avade tegemiseks</text>
  </threadedComment>
  <threadedComment ref="AG366" dT="2025-01-03T09:24:34.55" personId="{3A71836D-35FC-49AE-B047-BB10C0042FD6}" id="{77D78BF1-AC4A-476D-8729-118F85D628CE}">
    <text>Alates pl35-lisaaeg avade tegemiseks</text>
  </threadedComment>
  <threadedComment ref="AG367" dT="2025-01-03T09:24:34.55" personId="{3A71836D-35FC-49AE-B047-BB10C0042FD6}" id="{108E26D6-71E8-4677-BF7E-21587FFBCF80}">
    <text>Alates pl35-lisaaeg avade tegemiseks</text>
  </threadedComment>
  <threadedComment ref="AK370" dT="2022-07-06T08:03:41.99" personId="{3A71836D-35FC-49AE-B047-BB10C0042FD6}" id="{53E361E3-2EB0-4D2D-81F2-8698ED6C9217}">
    <text>vaata "abifalis"</text>
  </threadedComment>
  <threadedComment ref="AG371" dT="2025-01-03T09:24:34.55" personId="{3A71836D-35FC-49AE-B047-BB10C0042FD6}" id="{DA320A1C-B88B-4E47-BB38-01EB7B0E83DE}">
    <text>Alates pl35-lisaaeg avade tegemiseks</text>
  </threadedComment>
  <threadedComment ref="AG372" dT="2025-01-03T09:24:34.55" personId="{3A71836D-35FC-49AE-B047-BB10C0042FD6}" id="{61FBBCB9-0769-4FCC-BDBC-8E85FF5CB066}">
    <text>Alates pl35-lisaaeg avade tegemiseks</text>
  </threadedComment>
  <threadedComment ref="AG373" dT="2025-01-03T09:24:34.55" personId="{3A71836D-35FC-49AE-B047-BB10C0042FD6}" id="{B7177EFC-9CF9-4B28-8678-480603B6DB67}">
    <text>Alates pl35-lisaaeg avade tegemiseks</text>
  </threadedComment>
  <threadedComment ref="AG376" dT="2025-01-03T09:24:34.55" personId="{3A71836D-35FC-49AE-B047-BB10C0042FD6}" id="{D3EF4175-3450-4637-BF6F-CE0D0DD41A83}">
    <text>Alates pl35-lisaaeg avade tegemiseks</text>
  </threadedComment>
  <threadedComment ref="AG377" dT="2025-01-03T09:24:34.55" personId="{3A71836D-35FC-49AE-B047-BB10C0042FD6}" id="{FA6C0816-5A41-4B26-8692-AC7A933EBD1F}">
    <text>Alates pl35-lisaaeg avade tegemiseks</text>
  </threadedComment>
  <threadedComment ref="AS379" dT="2022-09-20T07:54:26.54" personId="{3A71836D-35FC-49AE-B047-BB10C0042FD6}" id="{4F3BFDA3-57DC-434C-AB37-DFF9E9B4881B}">
    <text xml:space="preserve">Materiali kasum
</text>
  </threadedComment>
  <threadedComment ref="AK384" dT="2022-07-06T08:03:41.99" personId="{3A71836D-35FC-49AE-B047-BB10C0042FD6}" id="{B07DD88C-3C0B-42B7-B442-2BFAF6D432AC}">
    <text>profiili tüüp 1 või 2 (vaata "abifalis")</text>
  </threadedComment>
  <threadedComment ref="AK387" dT="2022-07-06T08:03:41.99" personId="{3A71836D-35FC-49AE-B047-BB10C0042FD6}" id="{A764E58D-3BA9-4995-8EBA-A2ACE5573960}">
    <text>profiili tüüp 1 või 2 (vaata "abifalis")</text>
  </threadedComment>
  <threadedComment ref="AG388" dT="2025-01-03T09:24:34.55" personId="{3A71836D-35FC-49AE-B047-BB10C0042FD6}" id="{5998B13C-BCDF-4F8B-8D89-A13DFC9CFFBF}">
    <text>Alates pl35-lisaaeg avade tegemiseks</text>
  </threadedComment>
  <threadedComment ref="AG389" dT="2025-01-03T09:24:34.55" personId="{3A71836D-35FC-49AE-B047-BB10C0042FD6}" id="{378EF97C-B827-4F1E-890F-0D3E18884567}">
    <text>Alates pl35-lisaaeg avade tegemiseks</text>
  </threadedComment>
  <threadedComment ref="AK392" dT="2022-07-06T08:03:41.99" personId="{3A71836D-35FC-49AE-B047-BB10C0042FD6}" id="{B193831D-F98A-4AE7-A2DF-9419893DF6FE}">
    <text>profiili tüüp 1 või 2 (vaata "abifalis")</text>
  </threadedComment>
  <threadedComment ref="AG393" dT="2025-01-03T09:24:34.55" personId="{3A71836D-35FC-49AE-B047-BB10C0042FD6}" id="{1C767034-8AA9-495B-81BC-80EB20D30075}">
    <text>Alates pl35-lisaaeg avade tegemiseks</text>
  </threadedComment>
  <threadedComment ref="AG394" dT="2025-01-03T09:24:34.55" personId="{3A71836D-35FC-49AE-B047-BB10C0042FD6}" id="{0C37A3C8-BE91-4CEE-90BD-D24B13DDA43D}">
    <text>Alates pl35-lisaaeg avade tegemiseks</text>
  </threadedComment>
  <threadedComment ref="AG395" dT="2025-01-03T09:24:34.55" personId="{3A71836D-35FC-49AE-B047-BB10C0042FD6}" id="{E82FD8F4-3661-4474-9995-DA2546CAE975}">
    <text>Alates pl35-lisaaeg avade tegemiseks</text>
  </threadedComment>
  <threadedComment ref="AK398" dT="2022-07-06T08:03:41.99" personId="{3A71836D-35FC-49AE-B047-BB10C0042FD6}" id="{66C1EB3C-A537-4D0A-9F6F-9F84F9398B07}">
    <text>profiili tüüp 1 või 2 (vaata "abifalis")</text>
  </threadedComment>
  <threadedComment ref="AG399" dT="2025-01-03T09:24:34.55" personId="{3A71836D-35FC-49AE-B047-BB10C0042FD6}" id="{AE1D05FE-D014-4CAD-BFA8-8FA232E23553}">
    <text>Alates pl35-lisaaeg avade tegemiseks</text>
  </threadedComment>
  <threadedComment ref="AG400" dT="2025-01-03T09:24:34.55" personId="{3A71836D-35FC-49AE-B047-BB10C0042FD6}" id="{9B4E3D85-A77C-438A-8789-B9017BC791B3}">
    <text>Alates pl35-lisaaeg avade tegemiseks</text>
  </threadedComment>
  <threadedComment ref="AG401" dT="2025-01-03T09:24:34.55" personId="{3A71836D-35FC-49AE-B047-BB10C0042FD6}" id="{2EECDEDA-8E84-4C4E-A7CB-F29AC838B191}">
    <text>Alates pl35-lisaaeg avade tegemiseks</text>
  </threadedComment>
  <threadedComment ref="AK404" dT="2022-07-06T08:03:41.99" personId="{3A71836D-35FC-49AE-B047-BB10C0042FD6}" id="{CBBDB459-D103-4313-A198-EA0122644576}">
    <text>profiili tüüp 1 või 2 (vaata "abifalis")</text>
  </threadedComment>
  <threadedComment ref="AG405" dT="2025-01-03T09:24:34.55" personId="{3A71836D-35FC-49AE-B047-BB10C0042FD6}" id="{F79A04F1-DBA1-4F78-BB76-3E184EC47418}">
    <text>Alates pl35-lisaaeg avade tegemiseks</text>
  </threadedComment>
  <threadedComment ref="AG406" dT="2025-01-03T09:24:34.55" personId="{3A71836D-35FC-49AE-B047-BB10C0042FD6}" id="{5D6CB8A6-E9B8-475E-935D-1A12BBDF07C7}">
    <text>Alates pl35-lisaaeg avade tegemiseks</text>
  </threadedComment>
  <threadedComment ref="AG407" dT="2025-01-03T09:24:34.55" personId="{3A71836D-35FC-49AE-B047-BB10C0042FD6}" id="{64FAEAD3-0E6D-4A08-8D2F-0DDE563C9C65}">
    <text>Alates pl35-lisaaeg avade tegemiseks</text>
  </threadedComment>
  <threadedComment ref="AK410" dT="2022-07-06T08:03:41.99" personId="{3A71836D-35FC-49AE-B047-BB10C0042FD6}" id="{7D24521F-3511-4A58-B40D-00262D239B12}">
    <text>profiili tüüp 1 või 2 (vaata "abifalis")</text>
  </threadedComment>
  <threadedComment ref="AG411" dT="2025-01-03T09:24:34.55" personId="{3A71836D-35FC-49AE-B047-BB10C0042FD6}" id="{ED593666-212B-4566-AFA8-43011103C46A}">
    <text>Alates pl35-lisaaeg avade tegemiseks</text>
  </threadedComment>
  <threadedComment ref="AG412" dT="2025-01-03T09:24:34.55" personId="{3A71836D-35FC-49AE-B047-BB10C0042FD6}" id="{2190C583-2265-4435-92FC-E8DFF6AED21D}">
    <text>Alates pl35-lisaaeg avade tegemiseks</text>
  </threadedComment>
  <threadedComment ref="AG413" dT="2025-01-03T09:24:34.55" personId="{3A71836D-35FC-49AE-B047-BB10C0042FD6}" id="{12AC8B4E-E3B7-4525-9198-4AA2691AACB8}">
    <text>Alates pl35-lisaaeg avade tegemiseks</text>
  </threadedComment>
  <threadedComment ref="AS416" dT="2022-09-20T07:54:26.54" personId="{3A71836D-35FC-49AE-B047-BB10C0042FD6}" id="{E0918649-48BD-4E4E-B1C4-7F87755DD23B}">
    <text xml:space="preserve">Materiali kasum
</text>
  </threadedComment>
  <threadedComment ref="AS428" dT="2022-09-20T07:54:26.54" personId="{3A71836D-35FC-49AE-B047-BB10C0042FD6}" id="{9E327EA7-D0BC-45A5-A1EC-36EC48A12724}">
    <text xml:space="preserve">Materiali kasum
</text>
  </threadedComment>
  <threadedComment ref="AG433" dT="2025-01-03T09:24:34.55" personId="{3A71836D-35FC-49AE-B047-BB10C0042FD6}" id="{B5B98F79-ACEE-4601-A385-2866D6F6319F}">
    <text>Alates pl35-lisaaeg avade tegemiseks</text>
  </threadedComment>
  <threadedComment ref="AG434" dT="2025-01-03T09:24:34.55" personId="{3A71836D-35FC-49AE-B047-BB10C0042FD6}" id="{FCCAAF91-F22A-46CA-8EF7-B7FD1A3B9DC1}">
    <text>Alates pl35-lisaaeg avade tegemiseks</text>
  </threadedComment>
  <threadedComment ref="AG435" dT="2025-01-03T09:24:34.55" personId="{3A71836D-35FC-49AE-B047-BB10C0042FD6}" id="{5F8CC0D2-250E-45DF-944D-62ECA9C6CB58}">
    <text>Alates pl35-lisaaeg avade tegemiseks</text>
  </threadedComment>
  <threadedComment ref="AG436" dT="2025-01-03T09:24:34.55" personId="{3A71836D-35FC-49AE-B047-BB10C0042FD6}" id="{D24572A4-F056-41E4-9704-D9A0F0AD15BF}">
    <text>Alates pl35-lisaaeg avade tegemiseks</text>
  </threadedComment>
  <threadedComment ref="AG437" dT="2025-01-03T09:24:34.55" personId="{3A71836D-35FC-49AE-B047-BB10C0042FD6}" id="{5201D35E-5ADC-433D-9F76-001D91B25AB8}">
    <text>Alates pl35-lisaaeg avade tegemiseks</text>
  </threadedComment>
  <threadedComment ref="AG438" dT="2025-01-03T09:24:34.55" personId="{3A71836D-35FC-49AE-B047-BB10C0042FD6}" id="{69EBEC23-2654-4B2A-BAF3-356274EAE3C6}">
    <text>Alates pl35-lisaaeg avade tegemiseks</text>
  </threadedComment>
  <threadedComment ref="AG439" dT="2025-01-03T09:24:34.55" personId="{3A71836D-35FC-49AE-B047-BB10C0042FD6}" id="{C670469E-9E7B-4D8E-BBF7-579FB089FA95}">
    <text>Alates pl35-lisaaeg avade tegemiseks</text>
  </threadedComment>
  <threadedComment ref="AG440" dT="2025-01-03T09:24:34.55" personId="{3A71836D-35FC-49AE-B047-BB10C0042FD6}" id="{CB43AD5A-909B-434F-AAF0-FC257BB7ACEA}">
    <text>Alates pl35-lisaaeg avade tegemiseks</text>
  </threadedComment>
  <threadedComment ref="AG441" dT="2025-01-03T09:24:34.55" personId="{3A71836D-35FC-49AE-B047-BB10C0042FD6}" id="{862ABDE0-7D79-42D1-B953-FD976E55CD68}">
    <text>Alates pl35-lisaaeg avade tegemiseks</text>
  </threadedComment>
  <threadedComment ref="AG444" dT="2025-01-03T09:24:34.55" personId="{3A71836D-35FC-49AE-B047-BB10C0042FD6}" id="{9A454692-7EA3-4836-AD76-02A0213E433C}">
    <text>Alates pl35-lisaaeg avade tegemiseks</text>
  </threadedComment>
  <threadedComment ref="AK445" dT="2022-07-06T08:03:41.99" personId="{3A71836D-35FC-49AE-B047-BB10C0042FD6}" id="{8FE96153-FE4C-4E7E-8CEC-9075F6DB0EA3}">
    <text>profiili tüüp 1 või 2 (vaata "abifalis")</text>
  </threadedComment>
  <threadedComment ref="AG448" dT="2025-01-03T09:24:34.55" personId="{3A71836D-35FC-49AE-B047-BB10C0042FD6}" id="{C25AE59B-C364-410B-ABF4-E066AF02C960}">
    <text>Alates pl35-lisaaeg avade tegemiseks</text>
  </threadedComment>
  <threadedComment ref="AK449" dT="2022-07-06T08:03:41.99" personId="{3A71836D-35FC-49AE-B047-BB10C0042FD6}" id="{17DC39C4-557E-4844-8390-4159B516589B}">
    <text>profiili tüüp 1 või 2 (vaata "abifalis")</text>
  </threadedComment>
  <threadedComment ref="AG452" dT="2025-01-03T09:24:34.55" personId="{3A71836D-35FC-49AE-B047-BB10C0042FD6}" id="{E24A81D2-1054-4439-A10A-AA42E6F33281}">
    <text>Alates pl35-lisaaeg avade tegemiseks</text>
  </threadedComment>
  <threadedComment ref="AK453" dT="2022-07-06T08:03:41.99" personId="{3A71836D-35FC-49AE-B047-BB10C0042FD6}" id="{6EBCD608-9F2F-44C0-93B9-EB7577CAAB02}">
    <text>profiili tüüp 1 või 2 (vaata "abifalis")</text>
  </threadedComment>
  <threadedComment ref="AG457" dT="2025-01-03T09:24:34.55" personId="{3A71836D-35FC-49AE-B047-BB10C0042FD6}" id="{1784F17B-6E29-4368-A9E3-44B882E604EC}">
    <text>Alates pl35-lisaaeg avade tegemiseks</text>
  </threadedComment>
  <threadedComment ref="AG458" dT="2025-01-03T09:24:34.55" personId="{3A71836D-35FC-49AE-B047-BB10C0042FD6}" id="{765C2F71-AE4F-4A22-B0EA-16440475E6AB}">
    <text>Alates pl35-lisaaeg avade tegemiseks</text>
  </threadedComment>
  <threadedComment ref="AG461" dT="2025-01-03T09:24:34.55" personId="{3A71836D-35FC-49AE-B047-BB10C0042FD6}" id="{E3CAF279-E207-4061-9F3F-FFDE0453A893}">
    <text>Alates pl35-lisaaeg avade tegemiseks</text>
  </threadedComment>
  <threadedComment ref="AG464" dT="2025-01-03T09:24:34.55" personId="{3A71836D-35FC-49AE-B047-BB10C0042FD6}" id="{05A8F5A1-4DEC-4DD6-B509-E4DEF2463F6B}">
    <text>Alates pl35-lisaaeg avade tegemiseks</text>
  </threadedComment>
  <threadedComment ref="AG465" dT="2025-01-03T09:24:34.55" personId="{3A71836D-35FC-49AE-B047-BB10C0042FD6}" id="{E31D4A2F-29EA-4547-96C4-3AB95096E010}">
    <text>Alates pl35-lisaaeg avade tegemiseks</text>
  </threadedComment>
  <threadedComment ref="AG466" dT="2025-01-03T09:24:34.55" personId="{3A71836D-35FC-49AE-B047-BB10C0042FD6}" id="{6CE0E1FB-FF80-430F-AAA8-C82BCE95E72E}">
    <text>Alates pl35-lisaaeg avade tegemiseks</text>
  </threadedComment>
  <threadedComment ref="AG467" dT="2025-01-03T09:24:34.55" personId="{3A71836D-35FC-49AE-B047-BB10C0042FD6}" id="{35D5BC99-A9AB-4CE9-89E0-6402CD4992AE}">
    <text>Alates pl35-lisaaeg avade tegemiseks</text>
  </threadedComment>
  <threadedComment ref="AG468" dT="2025-01-03T09:24:34.55" personId="{3A71836D-35FC-49AE-B047-BB10C0042FD6}" id="{B55A3B61-DA4C-496E-8D3C-94F27F7F3827}">
    <text>Alates pl35-lisaaeg avade tegemiseks</text>
  </threadedComment>
</ThreadedComment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microsoft.com/office/2017/10/relationships/threadedComment" Target="../threadedComments/threadedComment1.xml"/><Relationship Id="rId3" Type="http://schemas.openxmlformats.org/officeDocument/2006/relationships/vmlDrawing" Target="../drawings/vmlDrawing1.vml"/><Relationship Id="rId7" Type="http://schemas.openxmlformats.org/officeDocument/2006/relationships/comments" Target="../comments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F2"/>
  <sheetViews>
    <sheetView workbookViewId="0"/>
  </sheetViews>
  <sheetFormatPr defaultRowHeight="14.3" x14ac:dyDescent="0.25"/>
  <cols>
    <col min="1" max="1" width="6.375" bestFit="1" customWidth="1"/>
    <col min="2" max="2" width="5" bestFit="1" customWidth="1"/>
    <col min="3" max="3" width="5.375" bestFit="1" customWidth="1"/>
    <col min="4" max="4" width="4" bestFit="1" customWidth="1"/>
    <col min="5" max="5" width="7.75" bestFit="1" customWidth="1"/>
    <col min="6" max="6" width="8.875" bestFit="1" customWidth="1"/>
    <col min="7" max="7" width="11.125" customWidth="1"/>
  </cols>
  <sheetData>
    <row r="1" spans="1:6" x14ac:dyDescent="0.25">
      <c r="A1" s="49" t="s">
        <v>331</v>
      </c>
      <c r="B1" s="49" t="s">
        <v>332</v>
      </c>
      <c r="C1" s="49" t="s">
        <v>333</v>
      </c>
      <c r="D1" s="49" t="s">
        <v>334</v>
      </c>
      <c r="E1" s="49" t="s">
        <v>335</v>
      </c>
      <c r="F1" s="49" t="s">
        <v>336</v>
      </c>
    </row>
    <row r="2" spans="1:6" x14ac:dyDescent="0.25">
      <c r="A2" t="s">
        <v>405</v>
      </c>
      <c r="B2">
        <v>31.3</v>
      </c>
      <c r="C2">
        <v>0.56000000000000005</v>
      </c>
      <c r="D2">
        <v>140</v>
      </c>
      <c r="E2" t="s">
        <v>493</v>
      </c>
      <c r="F2" t="s">
        <v>492</v>
      </c>
    </row>
  </sheetData>
  <dataConsolidate link="1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Leht1">
    <tabColor rgb="FFE698B9"/>
  </sheetPr>
  <dimension ref="A1:CD468"/>
  <sheetViews>
    <sheetView tabSelected="1" topLeftCell="K1" zoomScale="90" zoomScaleNormal="90" workbookViewId="0">
      <pane ySplit="7" topLeftCell="A8" activePane="bottomLeft" state="frozen"/>
      <selection pane="bottomLeft" activeCell="BA15" sqref="BA15"/>
    </sheetView>
  </sheetViews>
  <sheetFormatPr defaultColWidth="9.125" defaultRowHeight="14.3" x14ac:dyDescent="0.25"/>
  <cols>
    <col min="1" max="1" width="10.125" style="142" customWidth="1"/>
    <col min="2" max="2" width="10.625" style="142" customWidth="1"/>
    <col min="3" max="3" width="12" style="73" customWidth="1"/>
    <col min="4" max="4" width="7" style="143" customWidth="1"/>
    <col min="5" max="5" width="2.875" style="143" customWidth="1"/>
    <col min="6" max="6" width="24.75" style="85" customWidth="1"/>
    <col min="7" max="7" width="10.125" style="73" customWidth="1"/>
    <col min="8" max="8" width="7.625" style="144" bestFit="1" customWidth="1"/>
    <col min="9" max="9" width="4.75" style="85" customWidth="1"/>
    <col min="10" max="10" width="9.375" style="144" customWidth="1"/>
    <col min="11" max="11" width="8.75" style="144" bestFit="1" customWidth="1"/>
    <col min="12" max="12" width="10.25" style="144" bestFit="1" customWidth="1"/>
    <col min="13" max="13" width="13.125" style="85" bestFit="1" customWidth="1"/>
    <col min="14" max="14" width="3" style="85" hidden="1" customWidth="1"/>
    <col min="15" max="15" width="3" style="145" hidden="1" customWidth="1"/>
    <col min="16" max="16" width="3.625" style="85" customWidth="1"/>
    <col min="17" max="17" width="6" style="85" customWidth="1"/>
    <col min="18" max="19" width="3.625" style="145" hidden="1" customWidth="1"/>
    <col min="20" max="20" width="4.375" style="145" hidden="1" customWidth="1"/>
    <col min="21" max="22" width="3.625" style="145" hidden="1" customWidth="1"/>
    <col min="23" max="23" width="3.125" style="85" customWidth="1"/>
    <col min="24" max="25" width="3.75" style="85" customWidth="1"/>
    <col min="26" max="26" width="3" style="145" hidden="1" customWidth="1"/>
    <col min="27" max="27" width="3.75" style="85" bestFit="1" customWidth="1"/>
    <col min="28" max="28" width="4.625" style="85" customWidth="1"/>
    <col min="29" max="29" width="7.125" style="77" customWidth="1"/>
    <col min="30" max="30" width="5.25" style="77" customWidth="1"/>
    <col min="31" max="31" width="6" style="77" customWidth="1"/>
    <col min="32" max="32" width="7" style="77" customWidth="1"/>
    <col min="33" max="33" width="9" style="77" customWidth="1"/>
    <col min="34" max="34" width="7.625" style="77" customWidth="1"/>
    <col min="35" max="35" width="8.125" style="77" bestFit="1" customWidth="1"/>
    <col min="36" max="36" width="9" style="50" customWidth="1"/>
    <col min="37" max="37" width="7" style="50" customWidth="1"/>
    <col min="38" max="38" width="7.375" style="50" customWidth="1"/>
    <col min="39" max="39" width="8.75" style="50" bestFit="1" customWidth="1"/>
    <col min="40" max="40" width="9" style="50" customWidth="1"/>
    <col min="41" max="41" width="8.125" style="50" customWidth="1"/>
    <col min="42" max="42" width="10.75" style="77" customWidth="1"/>
    <col min="43" max="43" width="7.375" style="77" customWidth="1"/>
    <col min="44" max="44" width="10.875" style="77" customWidth="1"/>
    <col min="45" max="45" width="6.25" style="77" customWidth="1"/>
    <col min="46" max="46" width="11.375" style="77" customWidth="1"/>
    <col min="47" max="47" width="14.125" style="77" customWidth="1"/>
    <col min="48" max="48" width="7.875" style="77" customWidth="1"/>
    <col min="49" max="49" width="11.75" style="77" customWidth="1"/>
    <col min="50" max="50" width="10.625" style="77" customWidth="1"/>
    <col min="51" max="51" width="12.25" style="77" customWidth="1"/>
    <col min="52" max="52" width="10.75" style="77" customWidth="1"/>
    <col min="53" max="53" width="11.75" style="182" customWidth="1"/>
    <col min="54" max="54" width="15.25" style="182" customWidth="1"/>
    <col min="55" max="55" width="14" style="77" customWidth="1"/>
    <col min="56" max="56" width="12.625" style="77" customWidth="1"/>
    <col min="57" max="57" width="11.625" style="77" bestFit="1" customWidth="1"/>
    <col min="58" max="58" width="11.875" style="77" bestFit="1" customWidth="1"/>
    <col min="59" max="59" width="11.875" style="77" customWidth="1"/>
    <col min="60" max="60" width="15.625" style="77" bestFit="1" customWidth="1"/>
    <col min="61" max="61" width="13" style="77" customWidth="1"/>
    <col min="62" max="62" width="18.625" style="77" bestFit="1" customWidth="1"/>
    <col min="63" max="63" width="6" style="77" bestFit="1" customWidth="1"/>
    <col min="64" max="64" width="8.625" style="77" bestFit="1" customWidth="1"/>
    <col min="65" max="70" width="6" style="77" bestFit="1" customWidth="1"/>
    <col min="71" max="75" width="7" style="77" bestFit="1" customWidth="1"/>
    <col min="76" max="76" width="7.625" style="77" bestFit="1" customWidth="1"/>
    <col min="77" max="81" width="7" style="77" bestFit="1" customWidth="1"/>
    <col min="82" max="16384" width="9.125" style="77"/>
  </cols>
  <sheetData>
    <row r="1" spans="1:82" ht="33.799999999999997" customHeight="1" thickBot="1" x14ac:dyDescent="0.3">
      <c r="A1" s="71"/>
      <c r="B1" s="72"/>
      <c r="D1" s="74" t="s">
        <v>0</v>
      </c>
      <c r="E1" s="75"/>
      <c r="F1" s="76" t="s">
        <v>499</v>
      </c>
      <c r="H1" s="73"/>
      <c r="I1" s="73"/>
      <c r="J1" s="393" t="s">
        <v>1</v>
      </c>
      <c r="K1" s="394"/>
      <c r="L1" s="117"/>
      <c r="M1" s="73"/>
      <c r="N1" s="77"/>
      <c r="O1" s="73"/>
      <c r="P1" s="73"/>
      <c r="Q1" s="73"/>
      <c r="R1" s="73"/>
      <c r="S1" s="73"/>
      <c r="T1" s="73"/>
      <c r="U1" s="73"/>
      <c r="V1" s="73"/>
      <c r="W1" s="73"/>
      <c r="X1" s="388" t="s">
        <v>2</v>
      </c>
      <c r="Y1" s="389"/>
      <c r="Z1" s="73"/>
      <c r="AA1" s="399" t="s">
        <v>3</v>
      </c>
      <c r="AB1" s="78" t="s">
        <v>4</v>
      </c>
      <c r="AC1" s="170" t="s">
        <v>5</v>
      </c>
      <c r="AD1" s="174" t="s">
        <v>6</v>
      </c>
      <c r="AE1" s="174" t="s">
        <v>7</v>
      </c>
      <c r="AF1" s="175" t="s">
        <v>8</v>
      </c>
      <c r="AG1" s="175" t="s">
        <v>9</v>
      </c>
      <c r="AH1" s="176" t="s">
        <v>10</v>
      </c>
      <c r="AI1" s="176" t="s">
        <v>320</v>
      </c>
      <c r="AJ1" s="351" t="s">
        <v>449</v>
      </c>
      <c r="AK1" s="177" t="s">
        <v>11</v>
      </c>
      <c r="AL1" s="390" t="s">
        <v>12</v>
      </c>
      <c r="AP1" s="50"/>
      <c r="AQ1" s="50"/>
      <c r="AR1" s="172"/>
      <c r="AT1" s="386" t="s">
        <v>13</v>
      </c>
      <c r="AU1" s="79" t="s">
        <v>14</v>
      </c>
      <c r="AV1" s="80" t="s">
        <v>15</v>
      </c>
      <c r="AW1" s="81" t="s">
        <v>16</v>
      </c>
      <c r="AX1" s="82" t="s">
        <v>321</v>
      </c>
      <c r="AY1" s="82" t="s">
        <v>330</v>
      </c>
      <c r="AZ1" s="252"/>
      <c r="BA1" s="252"/>
      <c r="BB1" s="190" t="s">
        <v>17</v>
      </c>
      <c r="BC1" s="190" t="s">
        <v>327</v>
      </c>
      <c r="BD1" s="77" t="s">
        <v>329</v>
      </c>
      <c r="BH1" s="83"/>
      <c r="BI1" s="83"/>
      <c r="BJ1" s="83"/>
      <c r="BK1" s="83"/>
      <c r="BL1" s="83"/>
      <c r="BM1" s="83"/>
      <c r="BN1" s="83"/>
      <c r="BO1" s="83"/>
      <c r="BP1" s="83"/>
      <c r="BQ1" s="83"/>
      <c r="BR1" s="83"/>
      <c r="BS1" s="83"/>
      <c r="BT1" s="83"/>
      <c r="BU1" s="83"/>
      <c r="BV1" s="83"/>
      <c r="BW1" s="83"/>
      <c r="BX1" s="83"/>
      <c r="BY1" s="83"/>
      <c r="BZ1" s="83"/>
      <c r="CA1" s="83"/>
      <c r="CB1" s="83"/>
      <c r="CC1" s="83"/>
      <c r="CD1" s="83"/>
    </row>
    <row r="2" spans="1:82" ht="18.7" customHeight="1" thickBot="1" x14ac:dyDescent="0.3">
      <c r="A2" s="72"/>
      <c r="B2" s="72"/>
      <c r="C2" s="84"/>
      <c r="D2" s="74" t="s">
        <v>18</v>
      </c>
      <c r="E2" s="84"/>
      <c r="F2" s="76" t="s">
        <v>501</v>
      </c>
      <c r="H2" s="73"/>
      <c r="I2" s="73"/>
      <c r="J2" s="395" t="s">
        <v>19</v>
      </c>
      <c r="K2" s="396"/>
      <c r="L2" s="73"/>
      <c r="N2" s="77"/>
      <c r="O2" s="73"/>
      <c r="P2" s="73"/>
      <c r="Q2" s="73"/>
      <c r="R2" s="73"/>
      <c r="S2" s="73"/>
      <c r="T2" s="73"/>
      <c r="U2" s="73"/>
      <c r="V2" s="73"/>
      <c r="W2" s="73"/>
      <c r="X2" s="388"/>
      <c r="Y2" s="389"/>
      <c r="Z2" s="73"/>
      <c r="AA2" s="399"/>
      <c r="AB2" s="86">
        <v>0</v>
      </c>
      <c r="AC2" s="171">
        <v>9</v>
      </c>
      <c r="AD2" s="178">
        <v>13</v>
      </c>
      <c r="AE2" s="178">
        <v>15.5</v>
      </c>
      <c r="AF2" s="179">
        <v>15.5</v>
      </c>
      <c r="AG2" s="179">
        <v>18.5</v>
      </c>
      <c r="AH2" s="180">
        <v>18.5</v>
      </c>
      <c r="AI2" s="180">
        <v>21.5</v>
      </c>
      <c r="AJ2" s="352">
        <v>20</v>
      </c>
      <c r="AK2" s="181">
        <v>0.72</v>
      </c>
      <c r="AL2" s="390"/>
      <c r="AP2" s="50"/>
      <c r="AQ2" s="50"/>
      <c r="AR2" s="172"/>
      <c r="AT2" s="386"/>
      <c r="AU2" s="230">
        <v>1.1000000000000001</v>
      </c>
      <c r="AV2" s="87">
        <v>1.1000000000000001</v>
      </c>
      <c r="AW2" s="88">
        <v>1.3</v>
      </c>
      <c r="AX2" s="89">
        <v>1.1499999999999999</v>
      </c>
      <c r="AY2" s="89"/>
      <c r="AZ2" s="252"/>
      <c r="BA2" s="252"/>
      <c r="BB2" s="191">
        <v>1.1000000000000001</v>
      </c>
      <c r="BH2" s="83"/>
      <c r="BI2" s="83"/>
      <c r="BJ2" s="83"/>
      <c r="BK2" s="83"/>
      <c r="BL2" s="83"/>
      <c r="BM2" s="83"/>
      <c r="BN2" s="83"/>
      <c r="BO2" s="83"/>
      <c r="BP2" s="83"/>
      <c r="BQ2" s="83"/>
      <c r="BR2" s="83"/>
      <c r="BS2" s="83"/>
      <c r="BT2" s="83"/>
      <c r="BU2" s="83"/>
      <c r="BV2" s="83"/>
      <c r="BW2" s="83"/>
      <c r="BX2" s="83"/>
      <c r="BY2" s="83"/>
      <c r="BZ2" s="83"/>
      <c r="CA2" s="83"/>
      <c r="CB2" s="83"/>
      <c r="CC2" s="83"/>
      <c r="CD2" s="83"/>
    </row>
    <row r="3" spans="1:82" ht="20.25" customHeight="1" thickBot="1" x14ac:dyDescent="0.3">
      <c r="A3" s="72"/>
      <c r="B3" s="72"/>
      <c r="C3" s="90"/>
      <c r="D3" s="74" t="s">
        <v>20</v>
      </c>
      <c r="E3" s="94"/>
      <c r="F3" s="76"/>
      <c r="H3" s="73"/>
      <c r="I3" s="73"/>
      <c r="J3" s="397" t="s">
        <v>21</v>
      </c>
      <c r="K3" s="398"/>
      <c r="L3" s="73"/>
      <c r="N3" s="73"/>
      <c r="O3" s="73"/>
      <c r="P3" s="73"/>
      <c r="Q3" s="73"/>
      <c r="R3" s="73"/>
      <c r="S3" s="73"/>
      <c r="T3" s="73"/>
      <c r="U3" s="73"/>
      <c r="V3" s="73"/>
      <c r="W3" s="73"/>
      <c r="X3" s="73"/>
      <c r="Y3" s="73"/>
      <c r="Z3" s="73"/>
      <c r="AA3" s="73"/>
      <c r="AB3" s="73"/>
      <c r="AC3" s="387" t="s">
        <v>22</v>
      </c>
      <c r="AD3" s="387"/>
      <c r="AE3" s="387"/>
      <c r="AF3" s="387"/>
      <c r="AG3" s="387"/>
      <c r="AH3" s="387"/>
      <c r="AI3" s="387"/>
      <c r="AJ3" s="387"/>
      <c r="AL3" s="207"/>
      <c r="AP3" s="385" t="s">
        <v>539</v>
      </c>
      <c r="AQ3" s="50"/>
      <c r="AR3" s="172"/>
      <c r="AS3" s="249"/>
      <c r="AU3" s="91"/>
      <c r="AY3" s="251"/>
      <c r="AZ3" s="252"/>
      <c r="BA3" s="252"/>
      <c r="BB3" s="183">
        <v>850</v>
      </c>
      <c r="BC3" s="92">
        <v>2040</v>
      </c>
      <c r="BD3" s="92">
        <v>2450</v>
      </c>
      <c r="BF3" s="51" t="s">
        <v>23</v>
      </c>
      <c r="BH3" s="83"/>
      <c r="BI3" s="249" t="e">
        <f>#REF!+#REF!+#REF!+#REF!</f>
        <v>#REF!</v>
      </c>
      <c r="BK3" s="83"/>
      <c r="BL3" s="83"/>
      <c r="BM3" s="83"/>
      <c r="BN3" s="83"/>
      <c r="BO3" s="83"/>
      <c r="BP3" s="83"/>
      <c r="BQ3" s="83"/>
      <c r="BR3" s="83"/>
      <c r="BS3" s="83"/>
      <c r="BT3" s="83"/>
      <c r="BU3" s="83"/>
      <c r="BV3" s="83"/>
      <c r="BW3" s="83"/>
      <c r="BX3" s="83"/>
      <c r="BY3" s="83"/>
      <c r="BZ3" s="83"/>
      <c r="CA3" s="83"/>
      <c r="CB3" s="83"/>
      <c r="CC3" s="83"/>
      <c r="CD3" s="83"/>
    </row>
    <row r="4" spans="1:82" ht="14.95" thickBot="1" x14ac:dyDescent="0.3">
      <c r="A4" s="93"/>
      <c r="B4" s="93"/>
      <c r="C4" s="94"/>
      <c r="D4" s="74" t="s">
        <v>24</v>
      </c>
      <c r="E4" s="94"/>
      <c r="F4" s="206" t="s">
        <v>501</v>
      </c>
      <c r="H4" s="73"/>
      <c r="I4" s="73"/>
      <c r="J4" s="391" t="s">
        <v>25</v>
      </c>
      <c r="K4" s="392"/>
      <c r="L4" s="160"/>
      <c r="M4" s="73"/>
      <c r="N4" s="73"/>
      <c r="O4" s="73"/>
      <c r="P4" s="73"/>
      <c r="Q4" s="73"/>
      <c r="R4" s="73"/>
      <c r="S4" s="73"/>
      <c r="T4" s="73"/>
      <c r="U4" s="73"/>
      <c r="V4" s="73"/>
      <c r="W4" s="73"/>
      <c r="X4" s="73"/>
      <c r="Y4" s="73"/>
      <c r="Z4" s="73"/>
      <c r="AA4" s="73"/>
      <c r="AB4" s="73"/>
      <c r="AF4" s="77" t="s">
        <v>26</v>
      </c>
      <c r="AK4" s="77" t="s">
        <v>26</v>
      </c>
      <c r="AP4" s="50"/>
      <c r="AQ4" s="50"/>
      <c r="AV4" s="72" t="s">
        <v>27</v>
      </c>
      <c r="AY4" s="251"/>
      <c r="AZ4" s="252"/>
      <c r="BA4" s="252"/>
      <c r="BB4" s="184">
        <f>BB3*BB8*$BB$2</f>
        <v>0</v>
      </c>
      <c r="BC4" s="52">
        <f>BC3*BC8*$BB$2</f>
        <v>0</v>
      </c>
      <c r="BD4" s="52">
        <f>BD3*BD8*$BB$2</f>
        <v>0</v>
      </c>
      <c r="BE4" s="52"/>
      <c r="BH4" s="83"/>
      <c r="BI4" s="83"/>
      <c r="BJ4" s="83"/>
      <c r="BK4" s="83"/>
      <c r="BL4" s="83"/>
      <c r="BM4" s="83"/>
      <c r="BN4" s="83"/>
      <c r="BO4" s="83"/>
      <c r="BP4" s="83"/>
      <c r="BQ4" s="83"/>
      <c r="BR4" s="83"/>
      <c r="BS4" s="83"/>
      <c r="BT4" s="83"/>
      <c r="BU4" s="83"/>
      <c r="BV4" s="83"/>
      <c r="BW4" s="83"/>
      <c r="BX4" s="83"/>
      <c r="BY4" s="83"/>
      <c r="BZ4" s="83"/>
      <c r="CA4" s="83"/>
      <c r="CB4" s="83"/>
      <c r="CC4" s="83"/>
      <c r="CD4" s="83"/>
    </row>
    <row r="5" spans="1:82" x14ac:dyDescent="0.25">
      <c r="A5" s="93"/>
      <c r="B5" s="247">
        <f>C8</f>
        <v>0.62426443376121421</v>
      </c>
      <c r="C5" s="246" t="s">
        <v>319</v>
      </c>
      <c r="D5" s="94"/>
      <c r="E5" s="94"/>
      <c r="F5" s="205" t="s">
        <v>28</v>
      </c>
      <c r="H5" s="73"/>
      <c r="I5" s="73"/>
      <c r="J5" s="73"/>
      <c r="K5" s="73"/>
      <c r="L5" s="73"/>
      <c r="M5" s="73"/>
      <c r="N5" s="73"/>
      <c r="O5" s="73"/>
      <c r="P5" s="73"/>
      <c r="Q5" s="73"/>
      <c r="R5" s="73"/>
      <c r="S5" s="73"/>
      <c r="T5" s="73"/>
      <c r="U5" s="73"/>
      <c r="V5" s="73"/>
      <c r="W5" s="73"/>
      <c r="X5" s="73"/>
      <c r="Y5" s="73"/>
      <c r="Z5" s="73"/>
      <c r="AA5" s="73"/>
      <c r="AB5" s="73"/>
      <c r="AC5" s="72"/>
      <c r="AD5" s="72"/>
      <c r="AE5" s="72"/>
      <c r="AF5" s="72" t="s">
        <v>29</v>
      </c>
      <c r="AG5" s="72"/>
      <c r="AH5" s="72"/>
      <c r="AI5" s="72"/>
      <c r="AK5" s="72">
        <v>10</v>
      </c>
      <c r="AN5" s="95"/>
      <c r="AP5" s="50"/>
      <c r="AQ5" s="50"/>
      <c r="AR5" s="50"/>
      <c r="AT5" s="53"/>
      <c r="AV5" s="50">
        <v>0.03</v>
      </c>
      <c r="AY5" s="251"/>
      <c r="AZ5" s="251"/>
      <c r="BA5" s="251">
        <v>4.5</v>
      </c>
      <c r="BB5" s="185" t="s">
        <v>30</v>
      </c>
      <c r="BC5" s="55" t="s">
        <v>30</v>
      </c>
      <c r="BD5" s="55" t="s">
        <v>30</v>
      </c>
      <c r="BE5" s="56" t="s">
        <v>31</v>
      </c>
      <c r="BF5" s="56"/>
      <c r="BG5" s="56" t="s">
        <v>31</v>
      </c>
      <c r="BH5" s="83"/>
      <c r="BI5" s="83"/>
      <c r="BJ5" s="83"/>
      <c r="BK5" s="83"/>
      <c r="BL5" s="83"/>
      <c r="BM5" s="83"/>
      <c r="BN5" s="83"/>
      <c r="BO5" s="83"/>
      <c r="BP5" s="83"/>
      <c r="BQ5" s="83"/>
      <c r="BR5" s="83"/>
      <c r="BS5" s="83"/>
      <c r="BT5" s="83"/>
      <c r="BU5" s="83"/>
      <c r="BV5" s="83"/>
      <c r="BW5" s="83"/>
      <c r="BX5" s="83"/>
      <c r="BY5" s="83"/>
      <c r="BZ5" s="83"/>
      <c r="CA5" s="83"/>
      <c r="CB5" s="83"/>
      <c r="CC5" s="83"/>
      <c r="CD5" s="83"/>
    </row>
    <row r="6" spans="1:82" s="105" customFormat="1" ht="117.7" customHeight="1" x14ac:dyDescent="0.25">
      <c r="A6" s="96" t="s">
        <v>32</v>
      </c>
      <c r="B6" s="97" t="s">
        <v>33</v>
      </c>
      <c r="C6" s="97" t="s">
        <v>34</v>
      </c>
      <c r="D6" s="97" t="s">
        <v>35</v>
      </c>
      <c r="E6" s="97" t="s">
        <v>36</v>
      </c>
      <c r="F6" s="96" t="s">
        <v>37</v>
      </c>
      <c r="G6" s="96" t="s">
        <v>38</v>
      </c>
      <c r="H6" s="96" t="s">
        <v>39</v>
      </c>
      <c r="I6" s="96" t="s">
        <v>40</v>
      </c>
      <c r="J6" s="96" t="s">
        <v>41</v>
      </c>
      <c r="K6" s="96" t="s">
        <v>42</v>
      </c>
      <c r="L6" s="96" t="s">
        <v>43</v>
      </c>
      <c r="M6" s="96" t="s">
        <v>44</v>
      </c>
      <c r="N6" s="96">
        <v>14</v>
      </c>
      <c r="O6" s="96">
        <v>15</v>
      </c>
      <c r="P6" s="96" t="s">
        <v>45</v>
      </c>
      <c r="Q6" s="163" t="s">
        <v>46</v>
      </c>
      <c r="R6" s="96">
        <v>18</v>
      </c>
      <c r="S6" s="96">
        <v>19</v>
      </c>
      <c r="T6" s="96">
        <v>20</v>
      </c>
      <c r="U6" s="96">
        <v>21</v>
      </c>
      <c r="V6" s="96">
        <v>22</v>
      </c>
      <c r="W6" s="96">
        <v>23</v>
      </c>
      <c r="X6" s="96">
        <v>24</v>
      </c>
      <c r="Y6" s="98" t="s">
        <v>47</v>
      </c>
      <c r="Z6" s="96">
        <v>26</v>
      </c>
      <c r="AA6" s="96">
        <v>27</v>
      </c>
      <c r="AB6" s="96">
        <v>28</v>
      </c>
      <c r="AC6" s="97" t="s">
        <v>388</v>
      </c>
      <c r="AD6" s="97" t="s">
        <v>472</v>
      </c>
      <c r="AE6" s="97" t="s">
        <v>48</v>
      </c>
      <c r="AF6" s="97" t="s">
        <v>49</v>
      </c>
      <c r="AG6" s="97" t="s">
        <v>50</v>
      </c>
      <c r="AH6" s="99" t="s">
        <v>51</v>
      </c>
      <c r="AI6" s="99" t="s">
        <v>52</v>
      </c>
      <c r="AJ6" s="164" t="s">
        <v>53</v>
      </c>
      <c r="AK6" s="100" t="s">
        <v>54</v>
      </c>
      <c r="AL6" s="101" t="s">
        <v>55</v>
      </c>
      <c r="AM6" s="97" t="s">
        <v>56</v>
      </c>
      <c r="AN6" s="97" t="s">
        <v>57</v>
      </c>
      <c r="AO6" s="97" t="s">
        <v>58</v>
      </c>
      <c r="AP6" s="147" t="s">
        <v>59</v>
      </c>
      <c r="AQ6" s="97" t="s">
        <v>60</v>
      </c>
      <c r="AR6" s="102" t="s">
        <v>61</v>
      </c>
      <c r="AS6" s="97" t="s">
        <v>62</v>
      </c>
      <c r="AT6" s="97" t="s">
        <v>63</v>
      </c>
      <c r="AU6" s="97" t="s">
        <v>64</v>
      </c>
      <c r="AV6" s="97" t="s">
        <v>65</v>
      </c>
      <c r="AW6" s="97" t="s">
        <v>66</v>
      </c>
      <c r="AX6" s="97" t="s">
        <v>67</v>
      </c>
      <c r="AY6" s="253" t="s">
        <v>68</v>
      </c>
      <c r="AZ6" s="254" t="s">
        <v>69</v>
      </c>
      <c r="BA6" s="193" t="s">
        <v>392</v>
      </c>
      <c r="BB6" s="186" t="s">
        <v>70</v>
      </c>
      <c r="BC6" s="250" t="s">
        <v>338</v>
      </c>
      <c r="BD6" s="250" t="s">
        <v>328</v>
      </c>
      <c r="BE6" s="103" t="s">
        <v>71</v>
      </c>
      <c r="BF6" s="51" t="s">
        <v>72</v>
      </c>
      <c r="BG6" s="104" t="s">
        <v>73</v>
      </c>
      <c r="BH6" s="83"/>
      <c r="BI6" s="83"/>
      <c r="BJ6" s="83"/>
      <c r="BK6" s="83"/>
      <c r="BL6" s="83"/>
      <c r="BM6" s="83"/>
      <c r="BN6" s="83"/>
      <c r="BO6" s="83"/>
      <c r="BP6" s="83"/>
      <c r="BQ6" s="83"/>
      <c r="BR6" s="83"/>
      <c r="BS6" s="83"/>
      <c r="BT6" s="83"/>
      <c r="BU6" s="83"/>
      <c r="BV6" s="83"/>
      <c r="BW6" s="83"/>
      <c r="BX6" s="83"/>
      <c r="BY6" s="83"/>
      <c r="BZ6" s="83"/>
      <c r="CA6" s="83"/>
      <c r="CB6" s="83"/>
      <c r="CC6" s="83"/>
      <c r="CD6" s="83"/>
    </row>
    <row r="7" spans="1:82" s="200" customFormat="1" ht="16.5" customHeight="1" x14ac:dyDescent="0.25">
      <c r="A7" s="194">
        <f>B7/L7</f>
        <v>211626.93791800001</v>
      </c>
      <c r="B7" s="195">
        <f>B$11</f>
        <v>211626.93791800001</v>
      </c>
      <c r="C7" s="194"/>
      <c r="D7" s="194"/>
      <c r="E7" s="194"/>
      <c r="F7" s="196"/>
      <c r="G7" s="196"/>
      <c r="H7" s="194"/>
      <c r="I7" s="194"/>
      <c r="J7" s="194"/>
      <c r="K7" s="194"/>
      <c r="L7" s="195">
        <v>1</v>
      </c>
      <c r="M7" s="195">
        <f>M$11</f>
        <v>3355.8101610000003</v>
      </c>
      <c r="N7" s="195"/>
      <c r="O7" s="195"/>
      <c r="P7" s="197"/>
      <c r="Q7" s="195"/>
      <c r="R7" s="195"/>
      <c r="S7" s="195"/>
      <c r="T7" s="195"/>
      <c r="U7" s="195"/>
      <c r="V7" s="195"/>
      <c r="W7" s="197"/>
      <c r="X7" s="198"/>
      <c r="Y7" s="199">
        <v>1</v>
      </c>
      <c r="Z7" s="199"/>
      <c r="AB7" s="199"/>
      <c r="AC7" s="195">
        <f>AC$11</f>
        <v>465.7605447925369</v>
      </c>
      <c r="AD7" s="195">
        <f>AD$11</f>
        <v>2.4624000000000001</v>
      </c>
      <c r="AE7" s="195">
        <f>AE$11</f>
        <v>212.63333333333333</v>
      </c>
      <c r="AF7" s="195">
        <f>AF$11</f>
        <v>332.68299999999999</v>
      </c>
      <c r="AG7" s="195">
        <f>AG$11</f>
        <v>106.91666666666666</v>
      </c>
      <c r="AH7" s="201">
        <f>SUM(AC7:AG7)</f>
        <v>1120.4559447925369</v>
      </c>
      <c r="AI7" s="201">
        <f>AI$11</f>
        <v>984.0526666666666</v>
      </c>
      <c r="AJ7" s="195">
        <f>AJ$11</f>
        <v>13507.947999999999</v>
      </c>
      <c r="AK7" s="201">
        <f>AJ7*10/60</f>
        <v>2251.3246666666664</v>
      </c>
      <c r="AL7" s="202">
        <f>AH7+AI7+AK7</f>
        <v>4355.8332781258705</v>
      </c>
      <c r="AM7" s="195">
        <f>B7/AL7</f>
        <v>48.584719479679919</v>
      </c>
      <c r="AN7" s="195">
        <f>AL7*46</f>
        <v>200368.33079379005</v>
      </c>
      <c r="AO7" s="203">
        <f>AN7/B7</f>
        <v>0.94679974470654404</v>
      </c>
      <c r="AP7" s="203">
        <f>AR7/B7</f>
        <v>1.1750168600169766</v>
      </c>
      <c r="AQ7" s="195"/>
      <c r="AR7" s="195">
        <f>AR$11</f>
        <v>248665.220087416</v>
      </c>
      <c r="AS7" s="195"/>
      <c r="AT7" s="195"/>
      <c r="AU7" s="195">
        <f t="shared" ref="AU7:AW7" si="0">AU$11</f>
        <v>67116.20322000001</v>
      </c>
      <c r="AV7" s="195">
        <f t="shared" si="0"/>
        <v>6348.8081375399997</v>
      </c>
      <c r="AW7" s="195">
        <f t="shared" si="0"/>
        <v>273833.34215133009</v>
      </c>
      <c r="AX7" s="195"/>
      <c r="AY7" s="195">
        <f>AY$11</f>
        <v>574748.41846262082</v>
      </c>
      <c r="AZ7" s="130">
        <f>AY7/B7</f>
        <v>2.7158566112472933</v>
      </c>
      <c r="BB7" s="195">
        <f t="shared" ref="BB7:BD7" si="1">BB$11</f>
        <v>10.289988500372223</v>
      </c>
      <c r="BC7" s="195">
        <f t="shared" si="1"/>
        <v>0</v>
      </c>
      <c r="BD7" s="195">
        <f t="shared" si="1"/>
        <v>0</v>
      </c>
      <c r="BE7" s="202">
        <f>SUM(BB4:BD4)</f>
        <v>0</v>
      </c>
      <c r="BF7" s="58">
        <f>3*5*8*firmakulu*1.1</f>
        <v>0</v>
      </c>
      <c r="BG7" s="202">
        <f>AY7+BE7+BF7</f>
        <v>574748.41846262082</v>
      </c>
    </row>
    <row r="8" spans="1:82" s="64" customFormat="1" ht="14.95" x14ac:dyDescent="0.25">
      <c r="A8" s="144"/>
      <c r="B8" s="160">
        <f>SUMIF(F10:F975,"leht*",B10:B975)</f>
        <v>132111.17056799991</v>
      </c>
      <c r="C8" s="204">
        <f>B8/B7</f>
        <v>0.62426443376121421</v>
      </c>
      <c r="D8" s="161" t="s">
        <v>74</v>
      </c>
      <c r="E8" s="276"/>
      <c r="F8" s="50"/>
      <c r="G8" s="277"/>
      <c r="H8" s="110"/>
      <c r="I8" s="111"/>
      <c r="J8" s="110"/>
      <c r="K8" s="110"/>
      <c r="L8" s="50"/>
      <c r="M8" s="112"/>
      <c r="N8" s="106"/>
      <c r="O8" s="113"/>
      <c r="P8" s="106"/>
      <c r="Q8" s="106"/>
      <c r="R8" s="113"/>
      <c r="S8" s="113"/>
      <c r="T8" s="113"/>
      <c r="U8" s="113"/>
      <c r="V8" s="113"/>
      <c r="W8" s="106"/>
      <c r="X8" s="83"/>
      <c r="Y8" s="50"/>
      <c r="Z8" s="59"/>
      <c r="AA8" s="50"/>
      <c r="AB8" s="50"/>
      <c r="AC8" s="114"/>
      <c r="AD8" s="114"/>
      <c r="AE8" s="114"/>
      <c r="AF8" s="114"/>
      <c r="AG8" s="114"/>
      <c r="AH8" s="60"/>
      <c r="AI8" s="60"/>
      <c r="AJ8" s="60"/>
      <c r="AK8" s="60">
        <f>AI7+AK7</f>
        <v>3235.3773333333329</v>
      </c>
      <c r="AL8" s="60">
        <f>AL7-AH7</f>
        <v>3235.3773333333338</v>
      </c>
      <c r="AM8" s="60"/>
      <c r="AN8" s="60"/>
      <c r="AO8" s="61"/>
      <c r="AP8" s="50"/>
      <c r="AQ8" s="50"/>
      <c r="AR8" s="53"/>
      <c r="AT8" s="115"/>
      <c r="AU8" s="62"/>
      <c r="AV8" s="62"/>
      <c r="AW8" s="62"/>
      <c r="AX8" s="65"/>
      <c r="AY8" s="57"/>
      <c r="AZ8" s="189" t="s">
        <v>75</v>
      </c>
      <c r="BA8" s="189"/>
      <c r="BB8" s="187"/>
      <c r="BC8" s="63"/>
      <c r="BD8" s="63"/>
      <c r="BE8" s="57">
        <f>SUM(BB8:BD8)</f>
        <v>0</v>
      </c>
      <c r="BF8" s="57"/>
      <c r="BG8" s="53"/>
      <c r="BH8" s="50"/>
      <c r="BI8" s="50"/>
      <c r="BJ8" s="50"/>
      <c r="BK8" s="50"/>
      <c r="BL8" s="50"/>
      <c r="BM8" s="50"/>
      <c r="BN8" s="50"/>
      <c r="BO8" s="50"/>
      <c r="BP8" s="50"/>
      <c r="BQ8" s="50"/>
      <c r="BR8" s="50"/>
      <c r="BS8" s="50"/>
      <c r="BT8" s="50"/>
      <c r="BU8" s="50"/>
    </row>
    <row r="9" spans="1:82" s="64" customFormat="1" ht="14.95" x14ac:dyDescent="0.25">
      <c r="A9" s="144"/>
      <c r="B9" s="160"/>
      <c r="C9" s="162"/>
      <c r="D9" s="161"/>
      <c r="E9" s="161"/>
      <c r="F9" s="161"/>
      <c r="G9" s="161"/>
      <c r="H9" s="161"/>
      <c r="I9" s="161"/>
      <c r="J9" s="110"/>
      <c r="K9" s="110"/>
      <c r="M9" s="112"/>
      <c r="N9" s="106"/>
      <c r="O9" s="113"/>
      <c r="P9" s="106"/>
      <c r="Q9" s="106"/>
      <c r="R9" s="113"/>
      <c r="S9" s="113"/>
      <c r="T9" s="113"/>
      <c r="U9" s="113"/>
      <c r="V9" s="113"/>
      <c r="W9" s="106"/>
      <c r="X9" s="83"/>
      <c r="Y9" s="50"/>
      <c r="Z9" s="59"/>
      <c r="AA9" s="50"/>
      <c r="AB9" s="50"/>
      <c r="AC9" s="114"/>
      <c r="AD9" s="114"/>
      <c r="AE9" s="114"/>
      <c r="AF9" s="114"/>
      <c r="AG9" s="114"/>
      <c r="AH9" s="60"/>
      <c r="AI9" s="60"/>
      <c r="AJ9" s="60"/>
      <c r="AK9" s="60"/>
      <c r="AL9" s="60"/>
      <c r="AM9" s="60"/>
      <c r="AN9" s="60"/>
      <c r="AO9" s="61"/>
      <c r="AP9" s="50"/>
      <c r="AQ9" s="50"/>
      <c r="AT9" s="115"/>
      <c r="AV9" s="62"/>
      <c r="AW9" s="62"/>
      <c r="AX9" s="65"/>
      <c r="AY9" s="57"/>
      <c r="AZ9" s="109"/>
      <c r="BA9" s="189"/>
      <c r="BB9" s="188"/>
      <c r="BC9" s="57"/>
      <c r="BD9" s="57"/>
      <c r="BE9" s="57"/>
      <c r="BF9" s="57"/>
      <c r="BG9" s="53"/>
      <c r="BH9" s="50"/>
      <c r="BI9" s="50"/>
      <c r="BJ9" s="50"/>
      <c r="BK9" s="50"/>
      <c r="BL9" s="50"/>
      <c r="BM9" s="50"/>
      <c r="BN9" s="50"/>
      <c r="BO9" s="50"/>
      <c r="BP9" s="50"/>
      <c r="BQ9" s="50"/>
      <c r="BR9" s="50"/>
      <c r="BS9" s="50"/>
      <c r="BT9" s="50"/>
      <c r="BU9" s="50"/>
    </row>
    <row r="10" spans="1:82" s="50" customFormat="1" ht="15.8" thickBot="1" x14ac:dyDescent="0.3">
      <c r="A10" s="116"/>
      <c r="B10" s="116"/>
      <c r="C10" s="116"/>
      <c r="D10" s="117"/>
      <c r="E10" s="117"/>
      <c r="F10" s="117"/>
      <c r="G10" s="117"/>
      <c r="H10" s="117"/>
      <c r="I10" s="117"/>
      <c r="J10" s="119"/>
      <c r="K10" s="119"/>
      <c r="L10" s="119"/>
      <c r="M10" s="112"/>
      <c r="N10" s="118"/>
      <c r="O10" s="120"/>
      <c r="P10" s="118"/>
      <c r="Q10" s="118"/>
      <c r="R10" s="120"/>
      <c r="S10" s="120"/>
      <c r="T10" s="120"/>
      <c r="U10" s="120"/>
      <c r="V10" s="120"/>
      <c r="W10" s="118"/>
      <c r="X10" s="118"/>
      <c r="Y10" s="118"/>
      <c r="Z10" s="120"/>
      <c r="AA10" s="118"/>
      <c r="AB10" s="118"/>
      <c r="AD10" s="83"/>
      <c r="AE10" s="83"/>
      <c r="AF10" s="114"/>
      <c r="AG10" s="114"/>
      <c r="AH10" s="83">
        <f>B11/AH11</f>
        <v>188.87573304560829</v>
      </c>
      <c r="AI10" s="83">
        <f>B11/AI11</f>
        <v>215.05651586195592</v>
      </c>
      <c r="AJ10" s="60">
        <f>$B$11/AJ11</f>
        <v>15.666845765026638</v>
      </c>
      <c r="AK10" s="60">
        <f>$B$11/AK11</f>
        <v>94.001074590159817</v>
      </c>
      <c r="AL10" s="60"/>
      <c r="AM10" s="60"/>
      <c r="AN10" s="66"/>
      <c r="AO10" s="83"/>
      <c r="AP10" s="62"/>
      <c r="AQ10" s="62"/>
      <c r="AR10" s="62"/>
      <c r="AS10" s="62"/>
      <c r="AT10" s="62"/>
      <c r="AU10" s="57">
        <f>AU11/B11</f>
        <v>0.31714395095583631</v>
      </c>
      <c r="AV10" s="62"/>
      <c r="AW10" s="62"/>
      <c r="AX10" s="62"/>
      <c r="AY10" s="62"/>
      <c r="AZ10" s="62"/>
      <c r="BA10" s="192"/>
      <c r="BB10" s="188"/>
      <c r="BC10" s="57"/>
      <c r="BD10" s="57"/>
      <c r="BE10" s="57"/>
      <c r="BF10" s="57"/>
    </row>
    <row r="11" spans="1:82" s="50" customFormat="1" ht="15.8" thickBot="1" x14ac:dyDescent="0.3">
      <c r="A11" s="122">
        <f>B11/L11</f>
        <v>211626.93791800001</v>
      </c>
      <c r="B11" s="122">
        <f>B$428+B$416+B$379+B$270+B$163+B$129+B$16</f>
        <v>211626.93791800001</v>
      </c>
      <c r="C11" s="123"/>
      <c r="D11" s="123" t="s">
        <v>76</v>
      </c>
      <c r="E11" s="123"/>
      <c r="F11" s="124"/>
      <c r="G11" s="177" t="s">
        <v>449</v>
      </c>
      <c r="H11" s="125">
        <v>100</v>
      </c>
      <c r="I11" s="126" t="s">
        <v>77</v>
      </c>
      <c r="J11" s="125">
        <v>100</v>
      </c>
      <c r="K11" s="125">
        <v>1</v>
      </c>
      <c r="L11" s="125">
        <f>$L$7*$K$11</f>
        <v>1</v>
      </c>
      <c r="M11" s="122">
        <f>M$428+M$416+M$379+M$270+M$163+M$129+M$16</f>
        <v>3355.8101610000003</v>
      </c>
      <c r="N11" s="118"/>
      <c r="O11" s="120"/>
      <c r="P11" s="118"/>
      <c r="Q11" s="126"/>
      <c r="R11" s="126"/>
      <c r="S11" s="126"/>
      <c r="T11" s="126"/>
      <c r="U11" s="126"/>
      <c r="V11" s="126"/>
      <c r="W11" s="118"/>
      <c r="X11" s="126"/>
      <c r="Y11" s="126">
        <v>2</v>
      </c>
      <c r="Z11" s="126"/>
      <c r="AA11" s="126"/>
      <c r="AB11" s="126"/>
      <c r="AC11" s="122">
        <f>AC$428+AC$416+AC$379+AC$270+AC$163+AC$129+AC$16</f>
        <v>465.7605447925369</v>
      </c>
      <c r="AD11" s="122">
        <f>AD$428+AD$416+AD$379+AD$270+AD$163+AD$129+AD$16</f>
        <v>2.4624000000000001</v>
      </c>
      <c r="AE11" s="122">
        <f>AE$428+AE$416+AE$379+AE$270+AE$163+AE$129+AE$16</f>
        <v>212.63333333333333</v>
      </c>
      <c r="AF11" s="122">
        <f>AF$428+AF$416+AF$379+AF$270+AF$163+AF$129+AF$16</f>
        <v>332.68299999999999</v>
      </c>
      <c r="AG11" s="122">
        <f>AG$428+AG$416+AG$379+AG$270+AG$163+AG$129+AG$16</f>
        <v>106.91666666666666</v>
      </c>
      <c r="AH11" s="107">
        <f>SUM(AC11:AG11)</f>
        <v>1120.4559447925369</v>
      </c>
      <c r="AI11" s="107">
        <f>AI$428+AI$416+AI$379+AI$270+AI$163+AI$129+AI$16</f>
        <v>984.0526666666666</v>
      </c>
      <c r="AJ11" s="122">
        <f>AJ$428+AJ$416+AJ$379+AJ$270+AJ$163+AJ$129+AJ$16</f>
        <v>13507.947999999999</v>
      </c>
      <c r="AK11" s="107">
        <f>AJ11*10/60</f>
        <v>2251.3246666666664</v>
      </c>
      <c r="AL11" s="169">
        <f>AH11+AI11+AK11</f>
        <v>4355.8332781258705</v>
      </c>
      <c r="AM11" s="173">
        <f>B11/AL11</f>
        <v>48.584719479679919</v>
      </c>
      <c r="AN11" s="127">
        <f>AL11*46</f>
        <v>200368.33079379005</v>
      </c>
      <c r="AO11" s="248">
        <f>AN11/B11</f>
        <v>0.94679974470654404</v>
      </c>
      <c r="AP11" s="248">
        <f>AR11/B11</f>
        <v>1.1750168600169766</v>
      </c>
      <c r="AQ11" s="67"/>
      <c r="AR11" s="248">
        <f>AR$428+AR$416+AR$379+AR$270+AR$163+AR$129+AR$16</f>
        <v>248665.220087416</v>
      </c>
      <c r="AS11" s="167">
        <f>$AU$2</f>
        <v>1.1000000000000001</v>
      </c>
      <c r="AT11" s="128">
        <f>HLOOKUP(G11,$AB$1:$AK$2,2,FALSE)</f>
        <v>20</v>
      </c>
      <c r="AU11" s="166">
        <f>IF(AND(G11="HDG"),B11*AT11,M11*AT11)</f>
        <v>67116.20322000001</v>
      </c>
      <c r="AV11" s="68">
        <f>B11*pakendus</f>
        <v>6348.8081375399997</v>
      </c>
      <c r="AW11" s="248">
        <f>(AN11+AU11+AV11)</f>
        <v>273833.34215133009</v>
      </c>
      <c r="AX11" s="129">
        <f>$AV$2</f>
        <v>1.1000000000000001</v>
      </c>
      <c r="AY11" s="108">
        <f>(AR11*AS11)+(AW11*AX11)</f>
        <v>574748.41846262082</v>
      </c>
      <c r="AZ11" s="130">
        <f>ROUND(AY11/B11,3)</f>
        <v>2.7160000000000002</v>
      </c>
      <c r="BA11" s="192"/>
      <c r="BB11" s="248">
        <f>BB$379+BB$270+BB$163+BB$129+BB$16</f>
        <v>10.289988500372223</v>
      </c>
      <c r="BC11" s="248">
        <f>BC$379+BC$270+BC$163+BC$129+BC$16</f>
        <v>0</v>
      </c>
      <c r="BD11" s="248">
        <f>BD$379+BD$270+BD$163+BD$129+BD$16</f>
        <v>0</v>
      </c>
      <c r="BE11" s="57"/>
      <c r="BF11" s="57"/>
    </row>
    <row r="12" spans="1:82" s="54" customFormat="1" ht="14.95" x14ac:dyDescent="0.25">
      <c r="A12" s="116"/>
      <c r="B12" s="160">
        <f>SUMIF(F11:F204,"leht*",B11:B204)-B13</f>
        <v>31892.943889999966</v>
      </c>
      <c r="C12" s="255">
        <f>B12/B11</f>
        <v>0.15070361176022715</v>
      </c>
      <c r="D12" s="161" t="s">
        <v>74</v>
      </c>
      <c r="E12" s="117"/>
      <c r="F12" s="118"/>
      <c r="G12" s="117"/>
      <c r="H12" s="119"/>
      <c r="I12" s="118"/>
      <c r="J12" s="119"/>
      <c r="K12" s="119"/>
      <c r="L12" s="119"/>
      <c r="N12" s="50"/>
      <c r="O12" s="59"/>
      <c r="P12" s="118"/>
      <c r="Q12" s="118"/>
      <c r="R12" s="120"/>
      <c r="S12" s="120"/>
      <c r="T12" s="120"/>
      <c r="U12" s="120"/>
      <c r="V12" s="120"/>
      <c r="W12" s="118"/>
      <c r="X12" s="118"/>
      <c r="Y12" s="118"/>
      <c r="Z12" s="120"/>
      <c r="AA12" s="118"/>
      <c r="AB12" s="118"/>
      <c r="AC12" s="116"/>
      <c r="AD12" s="83"/>
      <c r="AE12" s="132"/>
      <c r="AF12" s="132"/>
      <c r="AG12" s="83"/>
      <c r="AH12" s="83"/>
      <c r="AI12" s="112"/>
      <c r="AJ12" s="60"/>
      <c r="AK12" s="64"/>
      <c r="AL12" s="50"/>
      <c r="AM12" s="50"/>
      <c r="AN12" s="50"/>
      <c r="AO12" s="50"/>
      <c r="AP12" s="50"/>
      <c r="AQ12" s="50"/>
      <c r="AR12" s="50"/>
      <c r="AT12" s="60"/>
      <c r="AU12" s="57"/>
      <c r="AV12" s="62"/>
      <c r="AW12" s="62"/>
      <c r="AX12" s="65"/>
      <c r="AY12" s="65"/>
      <c r="AZ12" s="65"/>
      <c r="BA12" s="192"/>
      <c r="BB12" s="188"/>
      <c r="BC12" s="57"/>
      <c r="BD12" s="57"/>
      <c r="BE12" s="57"/>
      <c r="BF12" s="57"/>
      <c r="BG12" s="50"/>
      <c r="BH12" s="50"/>
      <c r="BI12" s="50"/>
      <c r="BJ12" s="50"/>
      <c r="BK12" s="50"/>
      <c r="BL12" s="50"/>
      <c r="BM12" s="50"/>
      <c r="BN12" s="50"/>
      <c r="BO12" s="50"/>
    </row>
    <row r="13" spans="1:82" s="54" customFormat="1" ht="14.95" x14ac:dyDescent="0.25">
      <c r="A13" s="116"/>
      <c r="B13" s="160">
        <f>SUMIF(C15:C268,"wq*",B15:B268)</f>
        <v>82579.64029000001</v>
      </c>
      <c r="C13" s="255"/>
      <c r="D13" s="161"/>
      <c r="E13" s="117"/>
      <c r="F13" s="118"/>
      <c r="G13" s="117"/>
      <c r="H13" s="119"/>
      <c r="I13" s="118"/>
      <c r="J13" s="119"/>
      <c r="K13" s="119"/>
      <c r="L13" s="119"/>
      <c r="N13" s="50"/>
      <c r="O13" s="59"/>
      <c r="P13" s="118"/>
      <c r="Q13" s="118"/>
      <c r="R13" s="120"/>
      <c r="S13" s="120"/>
      <c r="T13" s="120"/>
      <c r="U13" s="120"/>
      <c r="V13" s="120"/>
      <c r="W13" s="118"/>
      <c r="X13" s="118"/>
      <c r="Y13" s="118"/>
      <c r="Z13" s="120"/>
      <c r="AA13" s="118"/>
      <c r="AB13" s="118"/>
      <c r="AC13" s="116"/>
      <c r="AD13" s="83"/>
      <c r="AE13" s="132"/>
      <c r="AF13" s="132"/>
      <c r="AG13" s="83"/>
      <c r="AH13" s="83"/>
      <c r="AI13" s="112"/>
      <c r="AJ13" s="60"/>
      <c r="AK13" s="64"/>
      <c r="AL13" s="50"/>
      <c r="AM13" s="50"/>
      <c r="AN13" s="50"/>
      <c r="AO13" s="50"/>
      <c r="AP13" s="50"/>
      <c r="AQ13" s="50"/>
      <c r="AR13" s="50"/>
      <c r="AT13" s="60"/>
      <c r="AU13" s="57"/>
      <c r="AV13" s="62"/>
      <c r="AW13" s="62"/>
      <c r="AX13" s="65"/>
      <c r="AY13" s="65"/>
      <c r="AZ13" s="65"/>
      <c r="BA13" s="192"/>
      <c r="BB13" s="188"/>
      <c r="BC13" s="57"/>
      <c r="BD13" s="57"/>
      <c r="BE13" s="57"/>
      <c r="BF13" s="57"/>
      <c r="BG13" s="50"/>
      <c r="BH13" s="50"/>
      <c r="BI13" s="50"/>
      <c r="BJ13" s="50"/>
      <c r="BK13" s="50"/>
      <c r="BL13" s="50"/>
      <c r="BM13" s="50"/>
      <c r="BN13" s="50"/>
      <c r="BO13" s="50"/>
    </row>
    <row r="14" spans="1:82" customFormat="1" ht="14.95" x14ac:dyDescent="0.25"/>
    <row r="15" spans="1:82" s="50" customFormat="1" ht="15.8" thickBot="1" x14ac:dyDescent="0.3">
      <c r="A15" s="116"/>
      <c r="B15" s="116"/>
      <c r="C15" s="116"/>
      <c r="D15" s="117"/>
      <c r="E15" s="117"/>
      <c r="F15" s="139"/>
      <c r="G15" s="117"/>
      <c r="H15" s="117"/>
      <c r="I15" s="117"/>
      <c r="J15" s="117"/>
      <c r="K15" s="117"/>
      <c r="L15" s="117"/>
      <c r="M15" s="117"/>
      <c r="N15" s="117"/>
      <c r="O15" s="117"/>
      <c r="P15" s="117"/>
      <c r="Q15" s="117"/>
      <c r="R15" s="117"/>
      <c r="S15" s="117"/>
      <c r="T15" s="117"/>
      <c r="U15" s="117"/>
      <c r="V15" s="117"/>
      <c r="W15" s="117"/>
      <c r="X15" s="117"/>
      <c r="Y15" s="117"/>
      <c r="Z15" s="117"/>
      <c r="AA15" s="117"/>
      <c r="AB15" s="117"/>
      <c r="AC15" s="117"/>
      <c r="AD15" s="117"/>
      <c r="AE15" s="117"/>
      <c r="AF15" s="117"/>
      <c r="AG15" s="117"/>
      <c r="AH15" s="117"/>
      <c r="AI15" s="117"/>
      <c r="AJ15" s="117"/>
      <c r="AK15" s="117"/>
      <c r="AL15" s="117"/>
      <c r="AM15" s="117"/>
      <c r="AN15" s="117"/>
      <c r="AO15" s="117"/>
      <c r="AP15" s="117"/>
      <c r="AQ15" s="117"/>
      <c r="AR15" s="117"/>
      <c r="AS15" s="117"/>
      <c r="AT15" s="117"/>
      <c r="AU15" s="117"/>
      <c r="AV15" s="117"/>
      <c r="AW15" s="117"/>
      <c r="AX15" s="117" t="s">
        <v>419</v>
      </c>
      <c r="AY15" s="346">
        <f>AY16+BA15*$AV$2</f>
        <v>240534.50897050113</v>
      </c>
      <c r="AZ15" s="345">
        <f>AY15/B16</f>
        <v>3.0782402836061302</v>
      </c>
      <c r="BA15" s="373">
        <f>BA16*46</f>
        <v>7970.2911999999997</v>
      </c>
      <c r="BB15" s="188"/>
      <c r="BC15" s="57"/>
      <c r="BD15" s="57"/>
      <c r="BE15" s="131"/>
      <c r="BF15" s="57"/>
      <c r="BG15" s="57"/>
      <c r="BH15" s="57"/>
      <c r="BI15" s="83"/>
    </row>
    <row r="16" spans="1:82" s="50" customFormat="1" ht="15.8" thickBot="1" x14ac:dyDescent="0.3">
      <c r="A16" s="153">
        <f>B16/L16</f>
        <v>78140.264179999998</v>
      </c>
      <c r="B16" s="153">
        <f>B$124+B$106+B$95+B$77+B$59+B$44+B$21</f>
        <v>78140.264179999998</v>
      </c>
      <c r="C16" s="154"/>
      <c r="D16" s="154" t="s">
        <v>76</v>
      </c>
      <c r="E16" s="154"/>
      <c r="F16" s="155" t="s">
        <v>386</v>
      </c>
      <c r="G16" s="177" t="s">
        <v>449</v>
      </c>
      <c r="H16" s="156">
        <v>150</v>
      </c>
      <c r="I16" s="157" t="s">
        <v>77</v>
      </c>
      <c r="J16" s="156">
        <v>7500</v>
      </c>
      <c r="K16" s="156">
        <v>1</v>
      </c>
      <c r="L16" s="156">
        <f>$L$11*$K$16</f>
        <v>1</v>
      </c>
      <c r="M16" s="153">
        <f>M$124+M$106+M$95+M$77+M$59+M$44+M$21</f>
        <v>779.92154000000005</v>
      </c>
      <c r="N16" s="157"/>
      <c r="O16" s="157"/>
      <c r="P16" s="157"/>
      <c r="Q16" s="157"/>
      <c r="R16" s="157"/>
      <c r="S16" s="157"/>
      <c r="T16" s="157"/>
      <c r="U16" s="157"/>
      <c r="V16" s="157"/>
      <c r="W16" s="157"/>
      <c r="X16" s="157"/>
      <c r="Y16" s="157">
        <v>3</v>
      </c>
      <c r="Z16" s="157"/>
      <c r="AA16" s="157"/>
      <c r="AB16" s="157"/>
      <c r="AC16" s="153">
        <f>AC$124+AC$106+AC$95+AC$77+AC$59+AC$44+AC$21</f>
        <v>176.63774682539685</v>
      </c>
      <c r="AD16" s="153">
        <f>AD$124+AD$106+AD$95+AD$77+AD$59+AD$44+AD$21</f>
        <v>0</v>
      </c>
      <c r="AE16" s="153">
        <f>AE$124+AE$106+AE$95+AE$77+AE$59+AE$44+AE$21</f>
        <v>44.4</v>
      </c>
      <c r="AF16" s="153">
        <f>AF$124+AF$106+AF$95+AF$77+AF$59+AF$44+AF$21</f>
        <v>225.31200000000001</v>
      </c>
      <c r="AG16" s="153">
        <f>AG$124+AG$106+AG$95+AG$77+AG$59+AG$44+AG$21</f>
        <v>61.533333333333331</v>
      </c>
      <c r="AH16" s="107">
        <f>SUM(AC16:AG16)</f>
        <v>507.88308015873019</v>
      </c>
      <c r="AI16" s="107">
        <f>AI$124+AI$106+AI$95+AI$77+AI$59+AI$44+AI$21</f>
        <v>261.33333333333337</v>
      </c>
      <c r="AJ16" s="153">
        <f>AJ$124+AJ$106+AJ$95+AJ$77+AJ$59+AJ$44+AJ$21</f>
        <v>6536.9</v>
      </c>
      <c r="AK16" s="107">
        <f>AJ16*10/60</f>
        <v>1089.4833333333333</v>
      </c>
      <c r="AL16" s="133">
        <f>AH16+AI16+AK16</f>
        <v>1858.6997468253969</v>
      </c>
      <c r="AM16" s="173">
        <f>B16/AL16</f>
        <v>42.040283436558923</v>
      </c>
      <c r="AN16" s="158">
        <f>AL16*46</f>
        <v>85500.18835396826</v>
      </c>
      <c r="AO16" s="159">
        <f>AN16/B16</f>
        <v>1.0941886267112473</v>
      </c>
      <c r="AP16" s="159">
        <f>AR16/B16</f>
        <v>1.3725909206205607</v>
      </c>
      <c r="AQ16" s="67"/>
      <c r="AR16" s="159">
        <f>AR$124+AR$106+AR$95+AR$77+AR$59+AR$44+AR$21</f>
        <v>107254.61714836002</v>
      </c>
      <c r="AS16" s="168">
        <f>$AU$2</f>
        <v>1.1000000000000001</v>
      </c>
      <c r="AT16" s="128">
        <f>HLOOKUP(G16,$AB$1:$AK$2,2,FALSE)</f>
        <v>20</v>
      </c>
      <c r="AU16" s="166">
        <f>IF(AND(G16="HDG"),B16*AT16,M16*AT16)</f>
        <v>15598.430800000002</v>
      </c>
      <c r="AV16" s="68">
        <f>B16*pakendus</f>
        <v>2344.2079254</v>
      </c>
      <c r="AW16" s="159">
        <f>(AN16+AU16+AV16)+AU15</f>
        <v>103442.82707936826</v>
      </c>
      <c r="AX16" s="129">
        <f>$AV$2</f>
        <v>1.1000000000000001</v>
      </c>
      <c r="AY16" s="108">
        <f>(AR16*AS16)+(AW16*AX16)</f>
        <v>231767.18865050114</v>
      </c>
      <c r="AZ16" s="130">
        <f>ROUND(AY16/B16,3)</f>
        <v>2.9660000000000002</v>
      </c>
      <c r="BA16" s="159">
        <f>BA$456+BA$443+BA$432+BA$124+BA$106+BA$95+BA$77+BA$59+BA$44+BA$21</f>
        <v>173.2672</v>
      </c>
      <c r="BB16" s="159">
        <f>B16/20000</f>
        <v>3.907013209</v>
      </c>
      <c r="BC16" s="57"/>
      <c r="BD16" s="57"/>
      <c r="BE16" s="57"/>
      <c r="BF16" s="57"/>
      <c r="BG16" s="57"/>
      <c r="BH16" s="57"/>
      <c r="BI16" s="83"/>
    </row>
    <row r="17" spans="1:70" s="50" customFormat="1" ht="14.95" x14ac:dyDescent="0.25">
      <c r="A17" s="116"/>
      <c r="B17" s="160">
        <f>SUMIF(F3:F162,"leht*",B3:B162)</f>
        <v>108252.69162999999</v>
      </c>
      <c r="C17" s="255">
        <f>B17/B16</f>
        <v>1.3853637784053878</v>
      </c>
      <c r="D17" s="161" t="s">
        <v>74</v>
      </c>
      <c r="E17" s="117"/>
      <c r="F17" s="118"/>
      <c r="G17" s="117"/>
      <c r="H17" s="119"/>
      <c r="I17" s="118"/>
      <c r="J17" s="119"/>
      <c r="K17" s="116"/>
      <c r="L17" s="119"/>
      <c r="M17" s="112"/>
      <c r="N17" s="118"/>
      <c r="O17" s="118"/>
      <c r="P17" s="118"/>
      <c r="Q17" s="118"/>
      <c r="R17" s="118"/>
      <c r="S17" s="118"/>
      <c r="T17" s="118"/>
      <c r="U17" s="118"/>
      <c r="V17" s="118"/>
      <c r="W17" s="118"/>
      <c r="X17" s="118"/>
      <c r="Y17" s="118"/>
      <c r="Z17" s="118"/>
      <c r="AA17" s="118"/>
      <c r="AB17" s="118"/>
      <c r="AD17" s="83"/>
      <c r="AE17" s="83"/>
      <c r="AF17" s="114"/>
      <c r="AG17" s="114"/>
      <c r="AH17" s="83"/>
      <c r="AI17" s="83"/>
      <c r="AJ17" s="83"/>
      <c r="AK17" s="83"/>
      <c r="AL17" s="83"/>
      <c r="AM17" s="60"/>
      <c r="AN17" s="66"/>
      <c r="AO17" s="61"/>
      <c r="AP17" s="62"/>
      <c r="AQ17" s="62"/>
      <c r="AT17" s="60"/>
      <c r="AU17" s="77"/>
      <c r="AV17" s="77"/>
      <c r="AW17" s="77"/>
      <c r="AX17" s="121"/>
      <c r="AY17" s="77"/>
      <c r="AZ17" s="77"/>
      <c r="BA17" s="192"/>
      <c r="BB17" s="188"/>
      <c r="BC17" s="57"/>
      <c r="BD17" s="57"/>
      <c r="BE17" s="131"/>
      <c r="BF17" s="57"/>
      <c r="BG17" s="57"/>
      <c r="BH17" s="57"/>
      <c r="BI17" s="57"/>
      <c r="BJ17" s="57"/>
      <c r="BK17" s="83"/>
      <c r="BL17" s="109"/>
      <c r="BN17" s="57"/>
      <c r="BO17" s="60"/>
    </row>
    <row r="18" spans="1:70" s="50" customFormat="1" ht="14.95" x14ac:dyDescent="0.25">
      <c r="A18" s="116"/>
      <c r="B18" s="160"/>
      <c r="C18" s="255"/>
      <c r="D18" s="161"/>
      <c r="E18" s="117"/>
      <c r="F18" s="355"/>
      <c r="G18" s="117"/>
      <c r="H18" s="119"/>
      <c r="I18" s="118"/>
      <c r="J18" s="119"/>
      <c r="K18" s="119"/>
      <c r="L18" s="119"/>
      <c r="M18" s="112"/>
      <c r="N18" s="118"/>
      <c r="O18" s="118"/>
      <c r="P18" s="118"/>
      <c r="Q18" s="118"/>
      <c r="R18" s="118"/>
      <c r="S18" s="118"/>
      <c r="T18" s="118"/>
      <c r="U18" s="118"/>
      <c r="V18" s="118"/>
      <c r="W18" s="118"/>
      <c r="X18" s="118"/>
      <c r="Y18" s="118"/>
      <c r="Z18" s="118"/>
      <c r="AA18" s="118"/>
      <c r="AB18" s="118"/>
      <c r="AD18" s="83"/>
      <c r="AE18" s="83"/>
      <c r="AF18" s="114"/>
      <c r="AG18" s="114"/>
      <c r="AH18" s="83"/>
      <c r="AI18" s="83"/>
      <c r="AJ18" s="83"/>
      <c r="AK18" s="83"/>
      <c r="AL18" s="83"/>
      <c r="AM18" s="60"/>
      <c r="AN18" s="66"/>
      <c r="AO18" s="61"/>
      <c r="AP18" s="62"/>
      <c r="AQ18" s="62"/>
      <c r="AT18" s="60"/>
      <c r="AU18" s="77"/>
      <c r="AV18" s="77"/>
      <c r="AW18" s="77"/>
      <c r="AX18" s="121"/>
      <c r="AY18" s="77"/>
      <c r="AZ18" s="77"/>
      <c r="BA18" s="192"/>
      <c r="BB18" s="57"/>
      <c r="BC18" s="57"/>
      <c r="BD18" s="57"/>
      <c r="BE18" s="131"/>
      <c r="BF18" s="57"/>
      <c r="BG18" s="57"/>
      <c r="BH18" s="57"/>
      <c r="BI18" s="57"/>
      <c r="BJ18" s="57"/>
      <c r="BK18" s="83"/>
      <c r="BL18" s="109"/>
      <c r="BN18" s="57"/>
      <c r="BO18" s="60"/>
    </row>
    <row r="19" spans="1:70" s="50" customFormat="1" ht="14.95" x14ac:dyDescent="0.25">
      <c r="A19" s="116"/>
      <c r="B19" s="160"/>
      <c r="C19" s="255"/>
      <c r="D19" s="161"/>
      <c r="E19" s="117"/>
      <c r="F19" s="356" t="s">
        <v>452</v>
      </c>
      <c r="G19" s="117"/>
      <c r="H19" s="119"/>
      <c r="I19" s="118"/>
      <c r="J19" s="119"/>
      <c r="K19" s="119"/>
      <c r="L19" s="119"/>
      <c r="M19" s="112"/>
      <c r="N19" s="118"/>
      <c r="O19" s="118"/>
      <c r="P19" s="118"/>
      <c r="Q19" s="118"/>
      <c r="R19" s="118"/>
      <c r="S19" s="118"/>
      <c r="T19" s="118"/>
      <c r="U19" s="118"/>
      <c r="V19" s="118"/>
      <c r="W19" s="118"/>
      <c r="X19" s="118"/>
      <c r="Y19" s="118"/>
      <c r="Z19" s="118"/>
      <c r="AA19" s="118"/>
      <c r="AB19" s="118"/>
      <c r="AD19" s="83"/>
      <c r="AE19" s="83"/>
      <c r="AF19" s="114"/>
      <c r="AG19" s="114"/>
      <c r="AH19" s="83"/>
      <c r="AI19" s="83"/>
      <c r="AJ19" s="83"/>
      <c r="AK19" s="83"/>
      <c r="AL19" s="83"/>
      <c r="AM19" s="60"/>
      <c r="AN19" s="66"/>
      <c r="AO19" s="61"/>
      <c r="AP19" s="62"/>
      <c r="AQ19" s="62"/>
      <c r="AT19" s="60"/>
      <c r="AU19" s="77"/>
      <c r="AV19" s="77"/>
      <c r="AW19" s="77"/>
      <c r="AX19" s="121"/>
      <c r="AY19" s="77"/>
      <c r="AZ19" s="77"/>
      <c r="BA19" s="192"/>
      <c r="BB19" s="57"/>
      <c r="BC19" s="57"/>
      <c r="BD19" s="57"/>
      <c r="BE19" s="131"/>
      <c r="BF19" s="57"/>
      <c r="BG19" s="57"/>
      <c r="BH19" s="57"/>
      <c r="BI19" s="57"/>
      <c r="BJ19" s="57"/>
      <c r="BK19" s="83"/>
      <c r="BL19" s="109"/>
      <c r="BN19" s="57"/>
      <c r="BO19" s="60"/>
    </row>
    <row r="20" spans="1:70" customFormat="1" ht="15.8" x14ac:dyDescent="0.25">
      <c r="B20" s="22"/>
      <c r="F20" s="296" t="s">
        <v>478</v>
      </c>
      <c r="M20" s="282"/>
      <c r="AD20" s="328" t="s">
        <v>393</v>
      </c>
      <c r="AS20" s="50"/>
      <c r="AT20" s="62"/>
      <c r="AU20" s="62"/>
      <c r="AV20" s="62"/>
      <c r="AW20" s="62"/>
      <c r="AX20" s="62"/>
      <c r="AY20" s="62"/>
      <c r="AZ20" s="77"/>
      <c r="BA20" s="192"/>
      <c r="BB20" s="283"/>
      <c r="BC20" s="62"/>
      <c r="BD20" s="284"/>
      <c r="BE20" s="131"/>
    </row>
    <row r="21" spans="1:70" s="50" customFormat="1" ht="14.95" x14ac:dyDescent="0.25">
      <c r="A21" s="148">
        <f>B21/L21</f>
        <v>8997.6522349999996</v>
      </c>
      <c r="B21" s="285">
        <f>SUM(B34,B33,B32,B31,B30,B29,B28,B27,B26,B25,B24,B23,B22,0)+B$38</f>
        <v>35990.608939999998</v>
      </c>
      <c r="C21" s="286">
        <f>(SUM(B24:B25)/B21)</f>
        <v>0.13487027152255793</v>
      </c>
      <c r="D21" s="149" t="s">
        <v>76</v>
      </c>
      <c r="E21" s="149"/>
      <c r="F21" s="357" t="s">
        <v>450</v>
      </c>
      <c r="G21" s="177" t="str">
        <f>$G$16</f>
        <v>C3VH</v>
      </c>
      <c r="H21" s="150">
        <v>160</v>
      </c>
      <c r="I21" s="151" t="s">
        <v>77</v>
      </c>
      <c r="J21" s="150">
        <f>J22</f>
        <v>11420</v>
      </c>
      <c r="K21" s="134">
        <v>4</v>
      </c>
      <c r="L21" s="150">
        <f>$L$16*$K$21</f>
        <v>4</v>
      </c>
      <c r="M21" s="148">
        <f>SUM(M34,M33,M32,M31,M30,M29,M28,M27,M26,M25,M24,M23,M22,0)+M$38</f>
        <v>274.84584000000001</v>
      </c>
      <c r="N21" s="151"/>
      <c r="O21" s="151"/>
      <c r="P21" s="151"/>
      <c r="Q21" s="151"/>
      <c r="R21" s="120"/>
      <c r="S21" s="120"/>
      <c r="T21" s="120"/>
      <c r="U21" s="120"/>
      <c r="V21" s="120"/>
      <c r="W21" s="118"/>
      <c r="X21" s="118" t="s">
        <v>78</v>
      </c>
      <c r="Y21" s="151">
        <v>4</v>
      </c>
      <c r="Z21" s="151"/>
      <c r="AA21" s="151"/>
      <c r="AB21" s="151"/>
      <c r="AC21" s="148">
        <f>SUM(AC34,AC33,AC32,AC31,AC30,AC29,AC28,AC27,AC26,AC25,AC24,AC23,AC22,0)+AC$38</f>
        <v>24.85885714285714</v>
      </c>
      <c r="AD21" s="148">
        <f>SUM(AD34,AD33,AD32,AD31,AD30,AD29,AD28,AD27,AD26,AD25,AD24,AD23,AD22,0)+AD$38</f>
        <v>0</v>
      </c>
      <c r="AE21" s="148">
        <f>SUM(AE34,AE33,AE32,AE31,AE30,AE29,AE28,AE27,AE26,AE25,AE24,AE23,AE22,0)+AE$38</f>
        <v>3</v>
      </c>
      <c r="AF21" s="148">
        <f>SUM(AF34,AF33,AF32,AF31,AF30,AF29,AF28,AF27,AF26,AF25,AF24,AF23,AF22,0)+AF$38</f>
        <v>101.16266666666667</v>
      </c>
      <c r="AG21" s="148">
        <f>SUM(AG34,AG33,AG32,AG31,AG30,AG29,AG28,AG27,AG26,AG25,AG24,AG23,AG22,0)+AG$38</f>
        <v>28.733333333333334</v>
      </c>
      <c r="AH21" s="107">
        <f>SUM(AC21:AG21)</f>
        <v>157.75485714285713</v>
      </c>
      <c r="AI21" s="107">
        <f>SUM(AI34,AI33,AI32,AI31,AI30,AI29,AI28,AI27,AI26,AI25,AI24,AI23,AI22,0)+AI$38</f>
        <v>51.933333333333337</v>
      </c>
      <c r="AJ21" s="148">
        <f>SUM(AJ34,AJ33,AJ32,AJ31,AJ30,AJ29,AJ28,AJ27,AJ26,AJ25,AJ24,AJ23,AJ22,0)+AJ$38</f>
        <v>1560.8880000000001</v>
      </c>
      <c r="AK21" s="107">
        <f>AJ21*10/60</f>
        <v>260.14800000000002</v>
      </c>
      <c r="AL21" s="148">
        <f>AH21+AI21+AK21</f>
        <v>469.8361904761905</v>
      </c>
      <c r="AM21" s="288">
        <f>B21/AL21</f>
        <v>76.602462027292177</v>
      </c>
      <c r="AN21" s="148">
        <f>AL21*46</f>
        <v>21612.464761904761</v>
      </c>
      <c r="AO21" s="148">
        <f>AN21/B21</f>
        <v>0.6005028922387764</v>
      </c>
      <c r="AP21" s="148">
        <f>AR21/B21</f>
        <v>1.7196462328675457</v>
      </c>
      <c r="AQ21" s="67"/>
      <c r="AR21" s="148">
        <f>SUM(AR34,AR33,AR32,AR31,AR30,AR29,AR28,AR27,AR26,AR25,AR24,AR23,AR22,0)+AR$38</f>
        <v>61891.115082280012</v>
      </c>
      <c r="AT21" s="62"/>
      <c r="AU21" s="62"/>
      <c r="AV21" s="62"/>
      <c r="AW21" s="62"/>
      <c r="AX21" s="62"/>
      <c r="AY21" s="62"/>
      <c r="AZ21" s="77"/>
      <c r="BA21" s="148">
        <f>SUM(BA26,BA25,BA24,BA23,BA22,0)</f>
        <v>18.304000000000002</v>
      </c>
      <c r="BB21" s="283"/>
      <c r="BC21" s="62"/>
      <c r="BD21" s="289"/>
      <c r="BF21" s="19"/>
      <c r="BG21" s="57"/>
      <c r="BH21" s="57"/>
      <c r="BI21" s="57"/>
      <c r="BJ21" s="57"/>
      <c r="BK21" s="60"/>
    </row>
    <row r="22" spans="1:70" s="50" customFormat="1" ht="14.95" x14ac:dyDescent="0.25">
      <c r="A22" s="116">
        <f>H22*J22*(RIGHT(F22,2))*7.85/(10^6)</f>
        <v>2290.4808499999999</v>
      </c>
      <c r="B22" s="116">
        <f t="shared" ref="B22:B25" si="2">A22*L22</f>
        <v>9161.9233999999997</v>
      </c>
      <c r="C22" s="118" t="s">
        <v>345</v>
      </c>
      <c r="D22" s="117" t="s">
        <v>76</v>
      </c>
      <c r="E22" s="290"/>
      <c r="F22" s="355" t="s">
        <v>91</v>
      </c>
      <c r="G22" s="117" t="s">
        <v>83</v>
      </c>
      <c r="H22" s="119">
        <v>730</v>
      </c>
      <c r="I22" s="118" t="s">
        <v>77</v>
      </c>
      <c r="J22" s="119">
        <v>11420</v>
      </c>
      <c r="K22" s="119">
        <v>1</v>
      </c>
      <c r="L22" s="119">
        <f>K$22*L$21</f>
        <v>4</v>
      </c>
      <c r="M22" s="116">
        <f t="shared" ref="M22:M25" si="3">2*H22*J22/10^6*L22</f>
        <v>66.692800000000005</v>
      </c>
      <c r="N22" s="118" t="s">
        <v>84</v>
      </c>
      <c r="P22" s="118"/>
      <c r="Q22" s="294">
        <f>8+5</f>
        <v>13</v>
      </c>
      <c r="R22" s="118"/>
      <c r="S22" s="118"/>
      <c r="T22" s="118"/>
      <c r="U22" s="118"/>
      <c r="V22" s="118"/>
      <c r="W22" s="118"/>
      <c r="X22" s="118"/>
      <c r="Y22" s="118"/>
      <c r="Z22" s="118"/>
      <c r="AA22" s="118"/>
      <c r="AB22" s="118" t="s">
        <v>78</v>
      </c>
      <c r="AC22" s="136">
        <f>((((H22+J22)*2/1000)*L22*(5/(VLOOKUP(F22,[2]Plasmalõikus!$A$7:$E$46,2,FALSE)/1000*60)))+(Q22*L22*(5*(VLOOKUP(F22,[2]Plasmalõikus!$A$7:$E$48,3,FALSE))/60/60)))</f>
        <v>10.444444444444445</v>
      </c>
      <c r="AD22" s="353"/>
      <c r="AE22" s="136"/>
      <c r="AF22" s="137">
        <f>(H22*2+J22*4)*20/60/1000*L22</f>
        <v>62.853333333333339</v>
      </c>
      <c r="AG22" s="137">
        <f t="shared" ref="AG22:AG24" si="4">IF(VALUE(MID(F22,SEARCH(" ",F22)+1,LEN(F22)))&lt;35,0,IF(VALUE(MID(F22,SEARCH(" ",F22)+1,LEN(F22)))&lt;40,3,IF(VALUE(MID(F22,SEARCH(" ",F22)+1,LEN(F22)))&lt;50,4,IF(VALUE(MID(F22,SEARCH(" ",F22)+1,LEN(F22)))&lt;60,5,IF(VALUE(MID(F22,SEARCH(" ",F22)+1,LEN(F22)))&lt;70,6,IF(VALUE(MID(F22,SEARCH(" ",F22)+1,LEN(F22)))&lt;80,7,IF(VALUE(MID(F22,SEARCH(" ",F22)+1,LEN(F22)))&lt;90,8,IF(VALUE(MID(F22,SEARCH(" ",F22)+1,LEN(F22)))&lt;100,9,10))))))))/60*Q22*L22</f>
        <v>2.6</v>
      </c>
      <c r="AH22" s="136"/>
      <c r="AI22" s="132">
        <f t="shared" ref="AI22:AI25" si="5">AL22*L22/60</f>
        <v>4</v>
      </c>
      <c r="AJ22" s="70">
        <f>(J22*4*AK22)*L22/1000</f>
        <v>365.44</v>
      </c>
      <c r="AK22" s="69">
        <v>2</v>
      </c>
      <c r="AL22" s="165" t="str">
        <f>IF(AND(J22&gt;0,J22&lt;2999),"20",IF(AND(J22&gt;0,J22&lt;5999),"30",IF(AND(J22&gt;0,J22&lt;7999),"40",IF(AND(J22&gt;0,J22&lt;11999),"60",IF(AND(J22&gt;0,J22&lt;14999),"120",IF(AND(J22&gt;0,J22&lt;17999),"180",IF(AND(J22&gt;0,J22&lt;22000),"360","error")))))))</f>
        <v>60</v>
      </c>
      <c r="AP22" s="146">
        <f>(VLOOKUP(F22,Terasehind!$A$2:$B$171,2,FALSE))</f>
        <v>1.37</v>
      </c>
      <c r="AQ22" s="50">
        <f>(VLOOKUP(F22,Terasehind!$A$2:$C$171,3,FALSE))</f>
        <v>1.1000000000000001</v>
      </c>
      <c r="AR22" s="138">
        <f t="shared" ref="AR22:AR23" si="6">AP22*AQ22*B22</f>
        <v>13807.018563800002</v>
      </c>
      <c r="AT22" s="62"/>
      <c r="AU22" s="62"/>
      <c r="AV22" s="62"/>
      <c r="AW22" s="62"/>
      <c r="AX22" s="62"/>
      <c r="AY22" s="62"/>
      <c r="AZ22" s="77"/>
      <c r="BA22" s="188"/>
      <c r="BB22" s="283"/>
      <c r="BC22" s="62"/>
      <c r="BD22" s="284"/>
      <c r="BE22" s="131"/>
      <c r="BF22"/>
      <c r="BG22" s="57"/>
      <c r="BH22" s="57"/>
      <c r="BI22" s="57"/>
      <c r="BJ22" s="57"/>
      <c r="BK22" s="57"/>
      <c r="BL22" s="109"/>
      <c r="BM22" s="109"/>
      <c r="BN22" s="109"/>
      <c r="BO22" s="83"/>
      <c r="BQ22" s="83"/>
      <c r="BR22" s="83"/>
    </row>
    <row r="23" spans="1:70" s="50" customFormat="1" ht="14.95" x14ac:dyDescent="0.25">
      <c r="A23" s="116">
        <f t="shared" ref="A23:A25" si="7">H23*J23*(RIGHT(F23,2))*7.85/(10^6)</f>
        <v>1882.587</v>
      </c>
      <c r="B23" s="116">
        <f t="shared" si="2"/>
        <v>15060.696</v>
      </c>
      <c r="C23" s="118" t="s">
        <v>345</v>
      </c>
      <c r="D23" s="117" t="s">
        <v>81</v>
      </c>
      <c r="E23" s="117"/>
      <c r="F23" s="355" t="s">
        <v>91</v>
      </c>
      <c r="G23" s="117" t="s">
        <v>83</v>
      </c>
      <c r="H23" s="119">
        <v>600</v>
      </c>
      <c r="I23" s="118" t="s">
        <v>77</v>
      </c>
      <c r="J23" s="119">
        <f>J22</f>
        <v>11420</v>
      </c>
      <c r="K23" s="119">
        <v>2</v>
      </c>
      <c r="L23" s="119">
        <f>K$23*L$21</f>
        <v>8</v>
      </c>
      <c r="M23" s="116">
        <f t="shared" si="3"/>
        <v>109.63200000000001</v>
      </c>
      <c r="N23" s="118" t="s">
        <v>84</v>
      </c>
      <c r="P23" s="118"/>
      <c r="Q23" s="135">
        <f>8+8</f>
        <v>16</v>
      </c>
      <c r="R23" s="118"/>
      <c r="S23" s="118"/>
      <c r="T23" s="118"/>
      <c r="U23" s="118"/>
      <c r="V23" s="118"/>
      <c r="W23" s="118"/>
      <c r="X23" s="118"/>
      <c r="Y23" s="118"/>
      <c r="Z23" s="118"/>
      <c r="AA23" s="118"/>
      <c r="AB23" s="118" t="s">
        <v>78</v>
      </c>
      <c r="AC23" s="327"/>
      <c r="AD23" s="353"/>
      <c r="AE23" s="136"/>
      <c r="AF23" s="137">
        <f>(H23*2)*20/60/1000*L23</f>
        <v>3.2</v>
      </c>
      <c r="AG23" s="137">
        <f t="shared" si="4"/>
        <v>6.4</v>
      </c>
      <c r="AH23" s="136"/>
      <c r="AI23" s="132">
        <f t="shared" si="5"/>
        <v>8</v>
      </c>
      <c r="AJ23" s="70"/>
      <c r="AL23" s="165" t="str">
        <f t="shared" ref="AL23" si="8">IF(AND(J23&gt;0,J23&lt;2999),"20",IF(AND(J23&gt;0,J23&lt;5999),"30",IF(AND(J23&gt;0,J23&lt;7999),"40",IF(AND(J23&gt;0,J23&lt;11999),"60",IF(AND(J23&gt;0,J23&lt;14999),"120",IF(AND(J23&gt;0,J23&lt;17999),"180",IF(AND(J23&gt;0,J23&lt;22000),"360","error")))))))</f>
        <v>60</v>
      </c>
      <c r="AN23" s="66"/>
      <c r="AP23" s="146">
        <f>(VLOOKUP(F23,Terasehind!$A$2:$B$171,2,FALSE))</f>
        <v>1.37</v>
      </c>
      <c r="AQ23" s="50">
        <f>(VLOOKUP(F23,Terasehind!$A$2:$C$171,3,FALSE))</f>
        <v>1.1000000000000001</v>
      </c>
      <c r="AR23" s="138">
        <f t="shared" si="6"/>
        <v>22696.468872000005</v>
      </c>
      <c r="AT23" s="62"/>
      <c r="AU23" s="62"/>
      <c r="AV23" s="62"/>
      <c r="AW23" s="62"/>
      <c r="AX23" s="57"/>
      <c r="AY23" s="62"/>
      <c r="AZ23" s="77"/>
      <c r="BA23" s="188">
        <f t="shared" ref="BA23:BA26" si="9">(H23*2+J23*2)*2*2/60/1000*L23</f>
        <v>12.821333333333333</v>
      </c>
      <c r="BB23" s="283"/>
      <c r="BC23" s="62"/>
      <c r="BD23" s="284"/>
      <c r="BE23" s="131"/>
      <c r="BF23"/>
      <c r="BG23" s="57"/>
      <c r="BH23" s="57"/>
      <c r="BI23" s="57"/>
      <c r="BJ23" s="57"/>
      <c r="BK23" s="57"/>
      <c r="BL23" s="109"/>
      <c r="BM23" s="109"/>
      <c r="BN23" s="109"/>
      <c r="BO23" s="83"/>
      <c r="BQ23" s="83"/>
      <c r="BR23" s="83"/>
    </row>
    <row r="24" spans="1:70" s="50" customFormat="1" ht="14.95" x14ac:dyDescent="0.25">
      <c r="A24" s="116">
        <f t="shared" si="7"/>
        <v>884.91480000000001</v>
      </c>
      <c r="B24" s="116">
        <f t="shared" si="2"/>
        <v>3539.6592000000001</v>
      </c>
      <c r="C24" s="118" t="s">
        <v>346</v>
      </c>
      <c r="D24" s="117" t="s">
        <v>85</v>
      </c>
      <c r="E24" s="117"/>
      <c r="F24" s="355" t="s">
        <v>387</v>
      </c>
      <c r="G24" s="117" t="s">
        <v>83</v>
      </c>
      <c r="H24" s="119">
        <v>1220</v>
      </c>
      <c r="I24" s="118" t="s">
        <v>77</v>
      </c>
      <c r="J24" s="119">
        <v>1320</v>
      </c>
      <c r="K24" s="119">
        <v>1</v>
      </c>
      <c r="L24" s="119">
        <f>K$24*L$21</f>
        <v>4</v>
      </c>
      <c r="M24" s="116">
        <f t="shared" si="3"/>
        <v>12.8832</v>
      </c>
      <c r="N24" s="118" t="s">
        <v>84</v>
      </c>
      <c r="P24" s="118"/>
      <c r="Q24" s="135">
        <v>12</v>
      </c>
      <c r="R24" s="118"/>
      <c r="S24" s="118"/>
      <c r="T24" s="118"/>
      <c r="U24" s="118"/>
      <c r="V24" s="118"/>
      <c r="W24" s="118"/>
      <c r="X24" s="118"/>
      <c r="Y24" s="118"/>
      <c r="Z24" s="118"/>
      <c r="AA24" s="118"/>
      <c r="AB24" s="118" t="s">
        <v>78</v>
      </c>
      <c r="AC24" s="327"/>
      <c r="AD24" s="353"/>
      <c r="AE24" s="136"/>
      <c r="AF24" s="137"/>
      <c r="AG24" s="137">
        <f t="shared" si="4"/>
        <v>5.6</v>
      </c>
      <c r="AH24" s="136"/>
      <c r="AI24" s="132">
        <f t="shared" si="5"/>
        <v>0.13333333333333333</v>
      </c>
      <c r="AJ24" s="70">
        <f>(H22*2*AK24+H23*4*AK24)*L24/1000</f>
        <v>185.28</v>
      </c>
      <c r="AK24" s="50">
        <v>12</v>
      </c>
      <c r="AL24" s="69" t="str">
        <f>IF(AND(Q24&gt;0,A24&lt;3),"10",IF(AND(Q24&gt;0,A24&lt;10),"15",IF(AND(Q24&gt;0,A24&lt;20),"20",IF(AND(Q24&gt;0,A24&lt;500),"30",IF(AND(Q24=0,A24&lt;3),"2",IF(AND(Q24=0,A24&lt;10),"5",IF(AND(Q24=0,A24&lt;20),"10",IF(AND(Q24=0,A24&lt;500),"20","2"))))))))</f>
        <v>2</v>
      </c>
      <c r="AN24" s="66"/>
      <c r="AP24" s="146">
        <f>(VLOOKUP(F24,Terasehind!$A$2:$B$171,2,FALSE))</f>
        <v>1.37</v>
      </c>
      <c r="AQ24" s="50">
        <f>(VLOOKUP(F24,Terasehind!$A$2:$C$171,3,FALSE))</f>
        <v>3.1</v>
      </c>
      <c r="AR24" s="138">
        <f>AP24*AQ24*B24</f>
        <v>15032.932622400003</v>
      </c>
      <c r="AT24" s="62"/>
      <c r="AU24" s="62"/>
      <c r="AV24" s="62"/>
      <c r="AW24" s="62"/>
      <c r="AX24" s="62"/>
      <c r="AY24" s="62"/>
      <c r="AZ24" s="77"/>
      <c r="BA24" s="188">
        <f t="shared" si="9"/>
        <v>1.3546666666666667</v>
      </c>
      <c r="BB24" s="283"/>
      <c r="BC24" s="62"/>
      <c r="BD24" s="284"/>
      <c r="BE24" s="131"/>
      <c r="BF24"/>
      <c r="BG24" s="57"/>
      <c r="BH24" s="57"/>
      <c r="BI24" s="57"/>
      <c r="BJ24" s="57"/>
      <c r="BK24" s="57"/>
      <c r="BL24" s="109"/>
      <c r="BM24" s="109"/>
      <c r="BN24" s="109"/>
      <c r="BO24" s="83"/>
      <c r="BQ24" s="83"/>
      <c r="BR24" s="83"/>
    </row>
    <row r="25" spans="1:70" s="50" customFormat="1" ht="14.95" x14ac:dyDescent="0.25">
      <c r="A25" s="116">
        <f t="shared" si="7"/>
        <v>82.15025</v>
      </c>
      <c r="B25" s="116">
        <f t="shared" si="2"/>
        <v>1314.404</v>
      </c>
      <c r="C25" s="118" t="s">
        <v>383</v>
      </c>
      <c r="D25" s="117" t="s">
        <v>88</v>
      </c>
      <c r="E25" s="117"/>
      <c r="F25" s="355" t="s">
        <v>91</v>
      </c>
      <c r="G25" s="117" t="s">
        <v>83</v>
      </c>
      <c r="H25" s="119">
        <v>230</v>
      </c>
      <c r="I25" s="118" t="s">
        <v>77</v>
      </c>
      <c r="J25" s="119">
        <v>1300</v>
      </c>
      <c r="K25" s="119">
        <v>4</v>
      </c>
      <c r="L25" s="119">
        <f>K$25*L$21</f>
        <v>16</v>
      </c>
      <c r="M25" s="116">
        <f t="shared" si="3"/>
        <v>9.5679999999999996</v>
      </c>
      <c r="N25" s="118" t="s">
        <v>84</v>
      </c>
      <c r="P25" s="118"/>
      <c r="Q25" s="135"/>
      <c r="R25" s="118"/>
      <c r="S25" s="118"/>
      <c r="T25" s="118"/>
      <c r="U25" s="118"/>
      <c r="V25" s="118"/>
      <c r="W25" s="118"/>
      <c r="X25" s="118"/>
      <c r="Y25" s="118"/>
      <c r="Z25" s="118"/>
      <c r="AA25" s="118"/>
      <c r="AB25" s="118" t="s">
        <v>78</v>
      </c>
      <c r="AC25" s="327"/>
      <c r="AD25" s="353"/>
      <c r="AE25" s="136"/>
      <c r="AF25" s="137"/>
      <c r="AG25" s="137">
        <f>IF(VALUE(MID(F25,SEARCH(" ",F25)+1,LEN(F25)))&lt;35,0,IF(VALUE(MID(F25,SEARCH(" ",F25)+1,LEN(F25)))&lt;40,3,IF(VALUE(MID(F25,SEARCH(" ",F25)+1,LEN(F25)))&lt;50,4,IF(VALUE(MID(F25,SEARCH(" ",F25)+1,LEN(F25)))&lt;60,5,IF(VALUE(MID(F25,SEARCH(" ",F25)+1,LEN(F25)))&lt;70,6,IF(VALUE(MID(F25,SEARCH(" ",F25)+1,LEN(F25)))&lt;80,7,IF(VALUE(MID(F25,SEARCH(" ",F25)+1,LEN(F25)))&lt;90,8,IF(VALUE(MID(F25,SEARCH(" ",F25)+1,LEN(F25)))&lt;100,9,10))))))))/60*Q25*L25</f>
        <v>0</v>
      </c>
      <c r="AH25" s="136"/>
      <c r="AI25" s="132">
        <f t="shared" si="5"/>
        <v>5.333333333333333</v>
      </c>
      <c r="AJ25" s="70">
        <f>(H25*2*AK25+J25*2*AK25)*L25/1000</f>
        <v>293.76</v>
      </c>
      <c r="AK25" s="50">
        <v>6</v>
      </c>
      <c r="AL25" s="69" t="str">
        <f>IF(AND(Q25&gt;0,A25&lt;3),"10",IF(AND(Q25&gt;0,A25&lt;10),"15",IF(AND(Q25&gt;0,A25&lt;20),"20",IF(AND(Q25&gt;0,A25&lt;500),"30",IF(AND(Q25=0,A25&lt;3),"2",IF(AND(Q25=0,A25&lt;10),"5",IF(AND(Q25=0,A25&lt;20),"10",IF(AND(Q25=0,A25&lt;500),"20","2"))))))))</f>
        <v>20</v>
      </c>
      <c r="AN25" s="66"/>
      <c r="AP25" s="146">
        <f>(VLOOKUP(F25,Terasehind!$A$2:$B$171,2,FALSE))</f>
        <v>1.37</v>
      </c>
      <c r="AQ25" s="50">
        <f>(VLOOKUP(F25,Terasehind!$A$2:$C$171,3,FALSE))</f>
        <v>1.1000000000000001</v>
      </c>
      <c r="AR25" s="138">
        <f t="shared" ref="AR25" si="10">AP25*AQ25*B25</f>
        <v>1980.8068280000005</v>
      </c>
      <c r="AT25" s="62"/>
      <c r="AU25" s="62"/>
      <c r="AV25" s="62"/>
      <c r="AW25" s="62"/>
      <c r="AX25" s="62"/>
      <c r="AY25" s="62"/>
      <c r="AZ25" s="77"/>
      <c r="BA25" s="188">
        <f t="shared" si="9"/>
        <v>3.2639999999999998</v>
      </c>
      <c r="BB25" s="283"/>
      <c r="BC25" s="62"/>
      <c r="BD25" s="284"/>
      <c r="BE25" s="131"/>
      <c r="BF25"/>
      <c r="BG25" s="57"/>
      <c r="BH25" s="57"/>
      <c r="BI25" s="57"/>
      <c r="BJ25" s="57"/>
      <c r="BK25" s="57"/>
      <c r="BL25" s="109"/>
      <c r="BM25" s="109"/>
      <c r="BN25" s="109"/>
      <c r="BO25" s="83"/>
      <c r="BQ25" s="83"/>
      <c r="BR25" s="83"/>
    </row>
    <row r="26" spans="1:70" s="50" customFormat="1" ht="16.5" customHeight="1" x14ac:dyDescent="0.25">
      <c r="A26" s="116">
        <f>H26*J26*(RIGHT(F26,2))*7.85/(10^6)</f>
        <v>10.738799999999999</v>
      </c>
      <c r="B26" s="116">
        <f>A26*L26</f>
        <v>85.910399999999996</v>
      </c>
      <c r="C26" s="118" t="s">
        <v>382</v>
      </c>
      <c r="D26" s="117" t="s">
        <v>340</v>
      </c>
      <c r="E26" s="117"/>
      <c r="F26" s="355" t="s">
        <v>82</v>
      </c>
      <c r="G26" s="117" t="s">
        <v>83</v>
      </c>
      <c r="H26" s="119">
        <v>240</v>
      </c>
      <c r="I26" s="118" t="s">
        <v>77</v>
      </c>
      <c r="J26" s="119">
        <v>570</v>
      </c>
      <c r="K26" s="119">
        <v>2</v>
      </c>
      <c r="L26" s="119">
        <f>K$26*L$21</f>
        <v>8</v>
      </c>
      <c r="M26" s="116">
        <f>2*H26*J26/10^6*L26</f>
        <v>2.1888000000000001</v>
      </c>
      <c r="N26" s="118" t="s">
        <v>84</v>
      </c>
      <c r="P26" s="118"/>
      <c r="Q26" s="141">
        <v>10</v>
      </c>
      <c r="R26" s="118"/>
      <c r="S26" s="118"/>
      <c r="T26" s="118"/>
      <c r="U26" s="118"/>
      <c r="V26" s="118"/>
      <c r="W26" s="118"/>
      <c r="X26" s="118"/>
      <c r="Y26" s="118"/>
      <c r="Z26" s="118"/>
      <c r="AA26" s="118"/>
      <c r="AB26" s="118" t="s">
        <v>78</v>
      </c>
      <c r="AC26" s="136">
        <f>((((H26+J26)*2/1000)*L26*(5/(VLOOKUP(F26,[2]Plasmalõikus!$A$7:$E$46,2,FALSE)/1000*60)))+(Q26*L26*(5*(VLOOKUP(F26,[2]Plasmalõikus!$A$7:$E$48,3,FALSE))/60/60)))</f>
        <v>1.3208888888888888</v>
      </c>
      <c r="AD26" s="353"/>
      <c r="AE26" s="136"/>
      <c r="AF26" s="137"/>
      <c r="AG26" s="137">
        <f>IF(VALUE(MID(F26,SEARCH(" ",F26)+1,LEN(F26)))&lt;35,0,IF(VALUE(MID(F26,SEARCH(" ",F26)+1,LEN(F26)))&lt;40,3,IF(VALUE(MID(F26,SEARCH(" ",F26)+1,LEN(F26)))&lt;50,4,IF(VALUE(MID(F26,SEARCH(" ",F26)+1,LEN(F26)))&lt;60,5,IF(VALUE(MID(F26,SEARCH(" ",F26)+1,LEN(F26)))&lt;70,6,IF(VALUE(MID(F26,SEARCH(" ",F26)+1,LEN(F26)))&lt;80,7,IF(VALUE(MID(F26,SEARCH(" ",F26)+1,LEN(F26)))&lt;90,8,IF(VALUE(MID(F26,SEARCH(" ",F26)+1,LEN(F26)))&lt;100,9,10))))))))/60*Q26*L26</f>
        <v>0</v>
      </c>
      <c r="AH26" s="136"/>
      <c r="AI26" s="132">
        <f t="shared" ref="AI26:AI31" si="11">AL26*L26/60</f>
        <v>2.6666666666666665</v>
      </c>
      <c r="AJ26" s="70">
        <f>(H26/2*2*AK26+J26*2*AK26)*L26/1000</f>
        <v>33.119999999999997</v>
      </c>
      <c r="AK26" s="50">
        <v>3</v>
      </c>
      <c r="AL26" s="69" t="str">
        <f>IF(AND(Q26&gt;0,A26&lt;3),"10",IF(AND(Q26&gt;0,A26&lt;10),"15",IF(AND(Q26&gt;0,A26&lt;20),"20",IF(AND(Q26&gt;0,A26&lt;500),"30",IF(AND(Q26=0,A26&lt;3),"2",IF(AND(Q26=0,A26&lt;10),"5",IF(AND(Q26=0,A26&lt;20),"10",IF(AND(Q26=0,A26&lt;500),"20","2"))))))))</f>
        <v>20</v>
      </c>
      <c r="AN26" s="66"/>
      <c r="AP26" s="146">
        <f>(VLOOKUP(F26,Terasehind!$A$2:$B$171,2,FALSE))</f>
        <v>0.92</v>
      </c>
      <c r="AQ26" s="50">
        <f>(VLOOKUP(F26,Terasehind!$A$2:$C$171,3,FALSE))</f>
        <v>1.1000000000000001</v>
      </c>
      <c r="AR26" s="138">
        <f>AP26*AQ26*B26</f>
        <v>86.941324800000018</v>
      </c>
      <c r="AT26" s="62"/>
      <c r="AU26" s="62"/>
      <c r="AV26" s="62"/>
      <c r="AW26" s="62"/>
      <c r="AX26" s="62"/>
      <c r="AY26" s="62"/>
      <c r="AZ26" s="77"/>
      <c r="BA26" s="188">
        <f t="shared" si="9"/>
        <v>0.86399999999999999</v>
      </c>
      <c r="BB26" s="189"/>
      <c r="BC26" s="57"/>
      <c r="BD26" s="57"/>
      <c r="BE26" s="57"/>
      <c r="BF26" s="57"/>
      <c r="BG26" s="57"/>
      <c r="BJ26" s="57"/>
      <c r="BK26" s="57"/>
      <c r="BM26" s="109"/>
      <c r="BN26" s="83"/>
      <c r="BP26" s="83"/>
      <c r="BQ26" s="83"/>
    </row>
    <row r="27" spans="1:70" s="50" customFormat="1" ht="14.95" x14ac:dyDescent="0.25">
      <c r="A27" s="133">
        <f>H27*J27*(RIGHT(F27,2))*7.85/(10^6)*0</f>
        <v>0</v>
      </c>
      <c r="B27" s="340">
        <f t="shared" ref="B27:B29" si="12">A27*L27</f>
        <v>0</v>
      </c>
      <c r="C27" s="141" t="s">
        <v>451</v>
      </c>
      <c r="D27" s="341" t="s">
        <v>341</v>
      </c>
      <c r="E27" s="342"/>
      <c r="F27" s="358" t="s">
        <v>421</v>
      </c>
      <c r="G27" s="341" t="s">
        <v>83</v>
      </c>
      <c r="H27" s="134">
        <v>580</v>
      </c>
      <c r="I27" s="141" t="s">
        <v>77</v>
      </c>
      <c r="J27" s="134">
        <v>420</v>
      </c>
      <c r="K27" s="134">
        <v>2</v>
      </c>
      <c r="L27" s="134">
        <f>K$27*L$21</f>
        <v>8</v>
      </c>
      <c r="M27" s="133">
        <f>2*H27*J27/10^6*L27*0</f>
        <v>0</v>
      </c>
      <c r="N27" s="118" t="s">
        <v>84</v>
      </c>
      <c r="P27" s="118"/>
      <c r="Q27" s="294"/>
      <c r="R27" s="118"/>
      <c r="S27" s="118"/>
      <c r="T27" s="118"/>
      <c r="U27" s="118"/>
      <c r="V27" s="118"/>
      <c r="W27" s="118"/>
      <c r="X27" s="118"/>
      <c r="Y27" s="118"/>
      <c r="Z27" s="118"/>
      <c r="AA27" s="118"/>
      <c r="AB27" s="118" t="s">
        <v>78</v>
      </c>
      <c r="AC27" s="136"/>
      <c r="AD27" s="136"/>
      <c r="AE27" s="136"/>
      <c r="AF27" s="137"/>
      <c r="AG27" s="137"/>
      <c r="AH27" s="136"/>
      <c r="AI27" s="132">
        <f t="shared" si="11"/>
        <v>2.6666666666666665</v>
      </c>
      <c r="AJ27" s="70">
        <f>(H27*6*AK27)*L27/1000</f>
        <v>27.84</v>
      </c>
      <c r="AK27" s="50">
        <v>1</v>
      </c>
      <c r="AL27" s="165" t="str">
        <f>IF(AND(J27&gt;0,J27&lt;2999),"20",IF(AND(J27&gt;0,J27&lt;5999),"30",IF(AND(J27&gt;0,J27&lt;7999),"40",IF(AND(J27&gt;0,J27&lt;11999),"60",IF(AND(J27&gt;0,J27&lt;14999),"120",IF(AND(J27&gt;0,J27&lt;17999),"180",IF(AND(J27&gt;0,J27&lt;22000),"360","error")))))))</f>
        <v>20</v>
      </c>
      <c r="AP27" s="146">
        <v>1</v>
      </c>
      <c r="AQ27" s="50">
        <v>1.1000000000000001</v>
      </c>
      <c r="AR27" s="138">
        <f t="shared" ref="AR27:AR30" si="13">AP27*AQ27*B27</f>
        <v>0</v>
      </c>
      <c r="AT27" s="62"/>
      <c r="AU27" s="62"/>
      <c r="AV27" s="62"/>
      <c r="AW27" s="62"/>
      <c r="AX27" s="62"/>
      <c r="AY27" s="62"/>
      <c r="AZ27" s="77"/>
      <c r="BA27" s="188"/>
      <c r="BB27" s="283"/>
      <c r="BC27" s="62"/>
      <c r="BD27" s="284"/>
      <c r="BE27" s="131"/>
      <c r="BF27"/>
      <c r="BG27" s="57"/>
      <c r="BH27" s="57"/>
      <c r="BI27" s="57"/>
      <c r="BJ27" s="57"/>
      <c r="BK27" s="57"/>
      <c r="BL27" s="109"/>
      <c r="BM27" s="109"/>
      <c r="BN27" s="109"/>
      <c r="BO27" s="83"/>
      <c r="BQ27" s="83"/>
      <c r="BR27" s="83"/>
    </row>
    <row r="28" spans="1:70" s="50" customFormat="1" ht="14.95" x14ac:dyDescent="0.25">
      <c r="A28" s="116">
        <f t="shared" ref="A28:A30" si="14">H28*J28*(RIGHT(F28,2))*7.85/(10^6)</f>
        <v>465.31659999999999</v>
      </c>
      <c r="B28" s="116">
        <f t="shared" si="12"/>
        <v>1861.2664</v>
      </c>
      <c r="C28" s="118"/>
      <c r="D28" s="117" t="s">
        <v>342</v>
      </c>
      <c r="E28" s="117"/>
      <c r="F28" s="355" t="s">
        <v>91</v>
      </c>
      <c r="G28" s="117" t="s">
        <v>83</v>
      </c>
      <c r="H28" s="119">
        <v>730</v>
      </c>
      <c r="I28" s="118" t="s">
        <v>77</v>
      </c>
      <c r="J28" s="119">
        <v>2320</v>
      </c>
      <c r="K28" s="119">
        <v>1</v>
      </c>
      <c r="L28" s="119">
        <f>K$28*L$21</f>
        <v>4</v>
      </c>
      <c r="M28" s="116">
        <f t="shared" ref="M28:M30" si="15">2*H28*J28/10^6*L28</f>
        <v>13.5488</v>
      </c>
      <c r="N28" s="118" t="s">
        <v>84</v>
      </c>
      <c r="P28" s="118"/>
      <c r="Q28" s="135"/>
      <c r="R28" s="118"/>
      <c r="S28" s="118"/>
      <c r="T28" s="118"/>
      <c r="U28" s="118"/>
      <c r="V28" s="118"/>
      <c r="W28" s="118"/>
      <c r="X28" s="118"/>
      <c r="Y28" s="118"/>
      <c r="Z28" s="118"/>
      <c r="AA28" s="118"/>
      <c r="AB28" s="118" t="s">
        <v>78</v>
      </c>
      <c r="AC28" s="327"/>
      <c r="AD28" s="353"/>
      <c r="AE28" s="136"/>
      <c r="AF28" s="137">
        <f>(H28*2+J28*2)*20/60/1000*L28</f>
        <v>8.1333333333333329</v>
      </c>
      <c r="AG28" s="137">
        <f>IF(VALUE(MID(F28,SEARCH(" ",F28)+1,LEN(F28)))&lt;35,0,IF(VALUE(MID(F28,SEARCH(" ",F28)+1,LEN(F28)))&lt;40,3,IF(VALUE(MID(F28,SEARCH(" ",F28)+1,LEN(F28)))&lt;50,4,IF(VALUE(MID(F28,SEARCH(" ",F28)+1,LEN(F28)))&lt;60,5,IF(VALUE(MID(F28,SEARCH(" ",F28)+1,LEN(F28)))&lt;70,6,IF(VALUE(MID(F28,SEARCH(" ",F28)+1,LEN(F28)))&lt;80,7,IF(VALUE(MID(F28,SEARCH(" ",F28)+1,LEN(F28)))&lt;90,8,IF(VALUE(MID(F28,SEARCH(" ",F28)+1,LEN(F28)))&lt;100,9,10))))))))/60*Q28*L28</f>
        <v>0</v>
      </c>
      <c r="AH28" s="136"/>
      <c r="AI28" s="132">
        <f t="shared" si="11"/>
        <v>1.3333333333333333</v>
      </c>
      <c r="AJ28" s="70">
        <f>(H28*2*AK28+J28*2*AK28)*L28/1000</f>
        <v>146.4</v>
      </c>
      <c r="AK28" s="50">
        <v>6</v>
      </c>
      <c r="AL28" s="69" t="str">
        <f>IF(AND(Q28&gt;0,A28&lt;3),"10",IF(AND(Q28&gt;0,A28&lt;10),"15",IF(AND(Q28&gt;0,A28&lt;20),"20",IF(AND(Q28&gt;0,A28&lt;500),"30",IF(AND(Q28=0,A28&lt;3),"2",IF(AND(Q28=0,A28&lt;10),"5",IF(AND(Q28=0,A28&lt;20),"10",IF(AND(Q28=0,A28&lt;500),"20","2"))))))))</f>
        <v>20</v>
      </c>
      <c r="AN28" s="66"/>
      <c r="AP28" s="146">
        <f>(VLOOKUP(F28,Terasehind!$A$2:$B$171,2,FALSE))</f>
        <v>1.37</v>
      </c>
      <c r="AQ28" s="50">
        <f>(VLOOKUP(F28,Terasehind!$A$2:$C$171,3,FALSE))</f>
        <v>1.1000000000000001</v>
      </c>
      <c r="AR28" s="138">
        <f t="shared" si="13"/>
        <v>2804.9284648000007</v>
      </c>
      <c r="AT28" s="62"/>
      <c r="AU28" s="62"/>
      <c r="AV28" s="62"/>
      <c r="AW28" s="62"/>
      <c r="AX28" s="62"/>
      <c r="AY28" s="62"/>
      <c r="AZ28" s="77"/>
      <c r="BA28" s="188">
        <f t="shared" ref="BA28:BA32" si="16">(H28*2+J28*2)*2*2/60/1000*L28</f>
        <v>1.6266666666666667</v>
      </c>
      <c r="BB28" s="283"/>
      <c r="BC28" s="62"/>
      <c r="BD28" s="284"/>
      <c r="BE28" s="131"/>
      <c r="BF28"/>
      <c r="BG28" s="57"/>
      <c r="BH28" s="57"/>
      <c r="BI28" s="57"/>
      <c r="BJ28" s="57"/>
      <c r="BK28" s="57"/>
      <c r="BL28" s="109"/>
      <c r="BM28" s="109"/>
      <c r="BN28" s="109"/>
      <c r="BO28" s="83"/>
      <c r="BQ28" s="83"/>
      <c r="BR28" s="83"/>
    </row>
    <row r="29" spans="1:70" s="50" customFormat="1" ht="14.95" x14ac:dyDescent="0.25">
      <c r="A29" s="116">
        <f t="shared" si="14"/>
        <v>270.76612499999999</v>
      </c>
      <c r="B29" s="116">
        <f t="shared" si="12"/>
        <v>1083.0645</v>
      </c>
      <c r="C29" s="118"/>
      <c r="D29" s="117" t="s">
        <v>343</v>
      </c>
      <c r="E29" s="117"/>
      <c r="F29" s="355" t="s">
        <v>90</v>
      </c>
      <c r="G29" s="117" t="s">
        <v>83</v>
      </c>
      <c r="H29" s="119">
        <v>730</v>
      </c>
      <c r="I29" s="118" t="s">
        <v>77</v>
      </c>
      <c r="J29" s="119">
        <v>1890</v>
      </c>
      <c r="K29" s="119">
        <v>1</v>
      </c>
      <c r="L29" s="119">
        <f>K$29*L$21</f>
        <v>4</v>
      </c>
      <c r="M29" s="116">
        <f t="shared" si="15"/>
        <v>11.037599999999999</v>
      </c>
      <c r="N29" s="118" t="s">
        <v>84</v>
      </c>
      <c r="P29" s="118"/>
      <c r="Q29" s="135"/>
      <c r="R29" s="118"/>
      <c r="S29" s="118"/>
      <c r="T29" s="118"/>
      <c r="U29" s="118"/>
      <c r="V29" s="118"/>
      <c r="W29" s="118"/>
      <c r="X29" s="118"/>
      <c r="Y29" s="118"/>
      <c r="Z29" s="118"/>
      <c r="AA29" s="118"/>
      <c r="AB29" s="118" t="s">
        <v>78</v>
      </c>
      <c r="AC29" s="136">
        <f>((((H29+J29)*2/1000)*L29*(5/(VLOOKUP(F29,[2]Plasmalõikus!$A$7:$E$46,2,FALSE)/1000*60)))+(Q29*L29*(5*(VLOOKUP(F29,[2]Plasmalõikus!$A$7:$E$48,3,FALSE))/60/60)))</f>
        <v>1.2476190476190476</v>
      </c>
      <c r="AD29" s="353"/>
      <c r="AE29" s="136"/>
      <c r="AF29" s="137">
        <f>(H29*2+J29*2)*20/60/1000*L29</f>
        <v>6.9866666666666672</v>
      </c>
      <c r="AG29" s="137">
        <f>IF(VALUE(MID(F29,SEARCH(" ",F29)+1,LEN(F29)))&lt;35,0,IF(VALUE(MID(F29,SEARCH(" ",F29)+1,LEN(F29)))&lt;40,3,IF(VALUE(MID(F29,SEARCH(" ",F29)+1,LEN(F29)))&lt;50,4,IF(VALUE(MID(F29,SEARCH(" ",F29)+1,LEN(F29)))&lt;60,5,IF(VALUE(MID(F29,SEARCH(" ",F29)+1,LEN(F29)))&lt;70,6,IF(VALUE(MID(F29,SEARCH(" ",F29)+1,LEN(F29)))&lt;80,7,IF(VALUE(MID(F29,SEARCH(" ",F29)+1,LEN(F29)))&lt;90,8,IF(VALUE(MID(F29,SEARCH(" ",F29)+1,LEN(F29)))&lt;100,9,10))))))))/60*Q29*L29</f>
        <v>0</v>
      </c>
      <c r="AH29" s="136"/>
      <c r="AI29" s="132">
        <f t="shared" si="11"/>
        <v>1.3333333333333333</v>
      </c>
      <c r="AJ29" s="70">
        <f>(H29*2*AK29+J29*2*AK29)*L29/1000</f>
        <v>62.88</v>
      </c>
      <c r="AK29" s="50">
        <v>3</v>
      </c>
      <c r="AL29" s="69" t="str">
        <f>IF(AND(Q29&gt;0,A29&lt;3),"10",IF(AND(Q29&gt;0,A29&lt;10),"15",IF(AND(Q29&gt;0,A29&lt;20),"20",IF(AND(Q29&gt;0,A29&lt;500),"30",IF(AND(Q29=0,A29&lt;3),"2",IF(AND(Q29=0,A29&lt;10),"5",IF(AND(Q29=0,A29&lt;20),"10",IF(AND(Q29=0,A29&lt;500),"20","2"))))))))</f>
        <v>20</v>
      </c>
      <c r="AN29" s="66"/>
      <c r="AP29" s="146">
        <f>(VLOOKUP(F29,Terasehind!$A$2:$B$171,2,FALSE))</f>
        <v>0.92</v>
      </c>
      <c r="AQ29" s="50">
        <f>(VLOOKUP(F29,Terasehind!$A$2:$C$171,3,FALSE))</f>
        <v>1.1000000000000001</v>
      </c>
      <c r="AR29" s="138">
        <f t="shared" si="13"/>
        <v>1096.0612740000001</v>
      </c>
      <c r="AT29" s="62"/>
      <c r="AU29" s="62"/>
      <c r="AV29" s="62"/>
      <c r="AW29" s="62"/>
      <c r="AX29" s="62"/>
      <c r="AY29" s="62"/>
      <c r="AZ29" s="77"/>
      <c r="BA29" s="188">
        <f t="shared" si="16"/>
        <v>1.3973333333333333</v>
      </c>
      <c r="BB29" s="283"/>
      <c r="BC29" s="62"/>
      <c r="BD29" s="284"/>
      <c r="BE29" s="131"/>
      <c r="BF29"/>
      <c r="BG29" s="57"/>
      <c r="BH29" s="57"/>
      <c r="BI29" s="57"/>
      <c r="BJ29" s="57"/>
      <c r="BK29" s="57"/>
      <c r="BL29" s="109"/>
      <c r="BM29" s="109"/>
      <c r="BN29" s="109"/>
      <c r="BO29" s="83"/>
      <c r="BQ29" s="83"/>
      <c r="BR29" s="83"/>
    </row>
    <row r="30" spans="1:70" s="50" customFormat="1" ht="14.95" x14ac:dyDescent="0.25">
      <c r="A30" s="116">
        <f t="shared" si="14"/>
        <v>239.11727999999999</v>
      </c>
      <c r="B30" s="116">
        <f>A30*L30</f>
        <v>1912.93824</v>
      </c>
      <c r="C30" s="118"/>
      <c r="D30" s="117" t="s">
        <v>344</v>
      </c>
      <c r="E30" s="117"/>
      <c r="F30" s="355" t="s">
        <v>89</v>
      </c>
      <c r="G30" s="117" t="s">
        <v>83</v>
      </c>
      <c r="H30" s="119">
        <v>668</v>
      </c>
      <c r="I30" s="118" t="s">
        <v>77</v>
      </c>
      <c r="J30" s="119">
        <v>1520</v>
      </c>
      <c r="K30" s="119">
        <v>2</v>
      </c>
      <c r="L30" s="119">
        <f>K$30*L$21</f>
        <v>8</v>
      </c>
      <c r="M30" s="116">
        <f t="shared" si="15"/>
        <v>16.245760000000001</v>
      </c>
      <c r="N30" s="118" t="s">
        <v>84</v>
      </c>
      <c r="P30" s="118"/>
      <c r="Q30" s="135"/>
      <c r="R30" s="118"/>
      <c r="S30" s="118"/>
      <c r="T30" s="118"/>
      <c r="U30" s="118"/>
      <c r="V30" s="118"/>
      <c r="W30" s="118"/>
      <c r="X30" s="118"/>
      <c r="Y30" s="118"/>
      <c r="Z30" s="118"/>
      <c r="AA30" s="118"/>
      <c r="AB30" s="118" t="s">
        <v>78</v>
      </c>
      <c r="AC30" s="136">
        <f>((((H30+J30)*2/1000)*L30*(5/(VLOOKUP(F30,[2]Plasmalõikus!$A$7:$E$46,2,FALSE)/1000*60)))+(Q30*L30*(5*(VLOOKUP(F30,[2]Plasmalõikus!$A$7:$E$48,3,FALSE))/60/60)))</f>
        <v>2.4311111111111114</v>
      </c>
      <c r="AD30" s="353"/>
      <c r="AE30" s="136"/>
      <c r="AF30" s="137">
        <f>(H30*2+J30*2)*20/60/1000*L30</f>
        <v>11.669333333333334</v>
      </c>
      <c r="AG30" s="137">
        <f>IF(VALUE(MID(F30,SEARCH(" ",F30)+1,LEN(F30)))&lt;35,0,IF(VALUE(MID(F30,SEARCH(" ",F30)+1,LEN(F30)))&lt;40,3,IF(VALUE(MID(F30,SEARCH(" ",F30)+1,LEN(F30)))&lt;50,4,IF(VALUE(MID(F30,SEARCH(" ",F30)+1,LEN(F30)))&lt;60,5,IF(VALUE(MID(F30,SEARCH(" ",F30)+1,LEN(F30)))&lt;70,6,IF(VALUE(MID(F30,SEARCH(" ",F30)+1,LEN(F30)))&lt;80,7,IF(VALUE(MID(F30,SEARCH(" ",F30)+1,LEN(F30)))&lt;90,8,IF(VALUE(MID(F30,SEARCH(" ",F30)+1,LEN(F30)))&lt;100,9,10))))))))/60*Q30*L30</f>
        <v>0</v>
      </c>
      <c r="AH30" s="136"/>
      <c r="AI30" s="132">
        <f t="shared" si="11"/>
        <v>2.6666666666666665</v>
      </c>
      <c r="AJ30" s="70">
        <f>(H30*2*AK30+J30*2*AK30)*L30/1000</f>
        <v>210.048</v>
      </c>
      <c r="AK30" s="50">
        <v>6</v>
      </c>
      <c r="AL30" s="69" t="str">
        <f>IF(AND(Q30&gt;0,A30&lt;3),"10",IF(AND(Q30&gt;0,A30&lt;10),"15",IF(AND(Q30&gt;0,A30&lt;20),"20",IF(AND(Q30&gt;0,A30&lt;500),"30",IF(AND(Q30=0,A30&lt;3),"2",IF(AND(Q30=0,A30&lt;10),"5",IF(AND(Q30=0,A30&lt;20),"10",IF(AND(Q30=0,A30&lt;500),"20","2"))))))))</f>
        <v>20</v>
      </c>
      <c r="AN30" s="66"/>
      <c r="AP30" s="146">
        <f>(VLOOKUP(F30,Terasehind!$A$2:$B$171,2,FALSE))</f>
        <v>0.92</v>
      </c>
      <c r="AQ30" s="50">
        <f>(VLOOKUP(F30,Terasehind!$A$2:$C$171,3,FALSE))</f>
        <v>1.1000000000000001</v>
      </c>
      <c r="AR30" s="138">
        <f t="shared" si="13"/>
        <v>1935.8934988800004</v>
      </c>
      <c r="AT30" s="62"/>
      <c r="AU30" s="62"/>
      <c r="AV30" s="62"/>
      <c r="AW30" s="62"/>
      <c r="AX30" s="62"/>
      <c r="AY30" s="62"/>
      <c r="AZ30" s="77"/>
      <c r="BA30" s="188">
        <f t="shared" si="16"/>
        <v>2.3338666666666668</v>
      </c>
      <c r="BB30" s="283"/>
      <c r="BC30" s="62"/>
      <c r="BD30" s="284"/>
      <c r="BE30" s="131"/>
      <c r="BF30"/>
      <c r="BG30" s="57"/>
      <c r="BH30" s="57"/>
      <c r="BI30" s="57"/>
      <c r="BJ30" s="57"/>
      <c r="BK30" s="57"/>
      <c r="BL30" s="109"/>
      <c r="BM30" s="109"/>
      <c r="BN30" s="109"/>
      <c r="BO30" s="83"/>
      <c r="BQ30" s="83"/>
      <c r="BR30" s="83"/>
    </row>
    <row r="31" spans="1:70" s="50" customFormat="1" ht="16.5" customHeight="1" x14ac:dyDescent="0.25">
      <c r="A31" s="116">
        <f>H31*J31*(RIGHT(F31,2))*7.85/(10^6)</f>
        <v>10.738799999999999</v>
      </c>
      <c r="B31" s="116">
        <f>A31*L31</f>
        <v>171.82079999999999</v>
      </c>
      <c r="C31" s="118" t="s">
        <v>382</v>
      </c>
      <c r="D31" s="117" t="s">
        <v>463</v>
      </c>
      <c r="E31" s="117"/>
      <c r="F31" s="355" t="s">
        <v>82</v>
      </c>
      <c r="G31" s="117" t="s">
        <v>83</v>
      </c>
      <c r="H31" s="119">
        <v>240</v>
      </c>
      <c r="I31" s="118" t="s">
        <v>77</v>
      </c>
      <c r="J31" s="119">
        <v>570</v>
      </c>
      <c r="K31" s="119">
        <v>4</v>
      </c>
      <c r="L31" s="119">
        <f>K$31*L$21</f>
        <v>16</v>
      </c>
      <c r="M31" s="116">
        <f>2*H31*J31/10^6*L31</f>
        <v>4.3776000000000002</v>
      </c>
      <c r="N31" s="118" t="s">
        <v>84</v>
      </c>
      <c r="P31" s="118"/>
      <c r="Q31" s="141">
        <v>10</v>
      </c>
      <c r="R31" s="118"/>
      <c r="S31" s="118"/>
      <c r="T31" s="118"/>
      <c r="U31" s="118"/>
      <c r="V31" s="118"/>
      <c r="W31" s="118"/>
      <c r="X31" s="118"/>
      <c r="Y31" s="118"/>
      <c r="Z31" s="118"/>
      <c r="AA31" s="118"/>
      <c r="AB31" s="118" t="s">
        <v>78</v>
      </c>
      <c r="AC31" s="136">
        <f>((((H31+J31)*2/1000)*L31*(5/(VLOOKUP(F31,[2]Plasmalõikus!$A$7:$E$46,2,FALSE)/1000*60)))+(Q31*L31*(5*(VLOOKUP(F31,[2]Plasmalõikus!$A$7:$E$48,3,FALSE))/60/60)))</f>
        <v>2.6417777777777776</v>
      </c>
      <c r="AD31" s="353"/>
      <c r="AE31" s="136"/>
      <c r="AF31" s="137"/>
      <c r="AG31" s="137">
        <f>IF(VALUE(MID(F31,SEARCH(" ",F31)+1,LEN(F31)))&lt;35,0,IF(VALUE(MID(F31,SEARCH(" ",F31)+1,LEN(F31)))&lt;40,3,IF(VALUE(MID(F31,SEARCH(" ",F31)+1,LEN(F31)))&lt;50,4,IF(VALUE(MID(F31,SEARCH(" ",F31)+1,LEN(F31)))&lt;60,5,IF(VALUE(MID(F31,SEARCH(" ",F31)+1,LEN(F31)))&lt;70,6,IF(VALUE(MID(F31,SEARCH(" ",F31)+1,LEN(F31)))&lt;80,7,IF(VALUE(MID(F31,SEARCH(" ",F31)+1,LEN(F31)))&lt;90,8,IF(VALUE(MID(F31,SEARCH(" ",F31)+1,LEN(F31)))&lt;100,9,10))))))))/60*Q31*L31</f>
        <v>0</v>
      </c>
      <c r="AH31" s="136"/>
      <c r="AI31" s="132">
        <f t="shared" si="11"/>
        <v>5.333333333333333</v>
      </c>
      <c r="AJ31" s="70">
        <f>(H31/2*2*AK31+J31*2*AK31)*L31/1000</f>
        <v>132.47999999999999</v>
      </c>
      <c r="AK31" s="50">
        <v>6</v>
      </c>
      <c r="AL31" s="165" t="str">
        <f>IF(AND(Q31&gt;0,A31&lt;3),"10",IF(AND(Q31&gt;0,A31&lt;10),"15",IF(AND(Q31&gt;0,A31&lt;20),"20",IF(AND(Q31&gt;0,A31&lt;500),"30",IF(AND(Q31=0,A31&lt;3),"2",IF(AND(Q31=0,A31&lt;10),"5",IF(AND(Q31=0,A31&lt;20),"10",IF(AND(Q31=0,A31&lt;500),"20","2"))))))))</f>
        <v>20</v>
      </c>
      <c r="AN31" s="66"/>
      <c r="AP31" s="146">
        <f>(VLOOKUP(F31,Terasehind!$A$2:$B$171,2,FALSE))</f>
        <v>0.92</v>
      </c>
      <c r="AQ31" s="50">
        <f>(VLOOKUP(F31,Terasehind!$A$2:$C$171,3,FALSE))</f>
        <v>1.1000000000000001</v>
      </c>
      <c r="AR31" s="138">
        <f>AP31*AQ31*B31</f>
        <v>173.88264960000004</v>
      </c>
      <c r="AT31" s="62"/>
      <c r="AU31" s="62"/>
      <c r="AV31" s="62"/>
      <c r="AW31" s="62"/>
      <c r="AX31" s="62"/>
      <c r="AY31" s="62"/>
      <c r="AZ31" s="77"/>
      <c r="BA31" s="188">
        <f t="shared" si="16"/>
        <v>1.728</v>
      </c>
      <c r="BB31" s="189"/>
      <c r="BC31" s="57"/>
      <c r="BD31" s="57"/>
      <c r="BE31" s="57"/>
      <c r="BF31" s="57"/>
      <c r="BG31" s="57"/>
      <c r="BJ31" s="57"/>
      <c r="BK31" s="57"/>
      <c r="BM31" s="109"/>
      <c r="BN31" s="83"/>
      <c r="BP31" s="83"/>
      <c r="BQ31" s="83"/>
    </row>
    <row r="32" spans="1:70" s="50" customFormat="1" ht="14.95" x14ac:dyDescent="0.25">
      <c r="A32" s="116">
        <f xml:space="preserve"> 33.8*J32/10^3</f>
        <v>29.067999999999998</v>
      </c>
      <c r="B32" s="116">
        <f>A32*L32</f>
        <v>232.54399999999998</v>
      </c>
      <c r="C32" s="117"/>
      <c r="D32" s="117" t="s">
        <v>464</v>
      </c>
      <c r="E32" s="117"/>
      <c r="F32" s="355" t="s">
        <v>391</v>
      </c>
      <c r="G32" s="140" t="s">
        <v>83</v>
      </c>
      <c r="H32" s="119">
        <v>150</v>
      </c>
      <c r="I32" s="118" t="s">
        <v>77</v>
      </c>
      <c r="J32" s="119">
        <v>860</v>
      </c>
      <c r="K32" s="50">
        <v>2</v>
      </c>
      <c r="L32" s="119">
        <f>K$32*L$21</f>
        <v>8</v>
      </c>
      <c r="M32" s="131">
        <f xml:space="preserve"> 0.586*J32*L32/10^3</f>
        <v>4.0316799999999997</v>
      </c>
      <c r="N32" s="118"/>
      <c r="O32" s="118"/>
      <c r="P32" s="118" t="s">
        <v>78</v>
      </c>
      <c r="Q32" s="135">
        <v>4</v>
      </c>
      <c r="R32" s="118"/>
      <c r="S32" s="118"/>
      <c r="T32" s="118"/>
      <c r="U32" s="118"/>
      <c r="V32" s="118"/>
      <c r="W32" s="118"/>
      <c r="Y32" s="118"/>
      <c r="Z32" s="118"/>
      <c r="AA32" s="118"/>
      <c r="AB32" s="118" t="s">
        <v>78</v>
      </c>
      <c r="AC32" s="116"/>
      <c r="AD32" s="83"/>
      <c r="AE32" s="136"/>
      <c r="AF32" s="137"/>
      <c r="AG32" s="132">
        <f>Q32*L32*0.5/60+L32*0.5/60</f>
        <v>0.33333333333333331</v>
      </c>
      <c r="AH32" s="83"/>
      <c r="AI32" s="132">
        <f>AL32*L32/60</f>
        <v>0.66666666666666663</v>
      </c>
      <c r="AJ32" s="70">
        <f>(H32*2*AK32)*2*L32/1000</f>
        <v>9.6</v>
      </c>
      <c r="AK32" s="50">
        <f>(VLOOKUP(F32,[2]Koostamine!$A$12:$P$1612,7,FALSE))</f>
        <v>2</v>
      </c>
      <c r="AL32" s="69">
        <f>VLOOKUP(F32,[2]Koostamine!$A$12:$P$1612,IF(J32&lt;1499,11,IF(J32&lt;2999,12,IF(J32&lt;5999,13,IF(J32&lt;9999,14,IF(J32&lt;12999,15,IF(J32&gt;13000,16)))))),FALSE)</f>
        <v>5</v>
      </c>
      <c r="AP32" s="146">
        <f>(VLOOKUP(F32,Terasehind!$A$2:$B$171,2,FALSE))</f>
        <v>1</v>
      </c>
      <c r="AQ32" s="50">
        <f>(VLOOKUP(F32,Terasehind!$A$2:$C$171,3,FALSE))</f>
        <v>1.1000000000000001</v>
      </c>
      <c r="AR32" s="138">
        <f>AP32*AQ32*B32</f>
        <v>255.79840000000002</v>
      </c>
      <c r="AT32" s="62"/>
      <c r="AU32" s="62"/>
      <c r="AV32" s="62"/>
      <c r="AW32" s="62"/>
      <c r="AX32" s="62"/>
      <c r="AY32" s="62"/>
      <c r="AZ32"/>
      <c r="BA32" s="188">
        <f t="shared" si="16"/>
        <v>1.0773333333333333</v>
      </c>
      <c r="BB32" s="189"/>
      <c r="BC32" s="57"/>
      <c r="BD32" s="57"/>
      <c r="BE32" s="57"/>
      <c r="BF32" s="57"/>
      <c r="BG32" s="57"/>
      <c r="BH32" s="57"/>
      <c r="BI32" s="57"/>
      <c r="BJ32" s="60"/>
      <c r="BK32" s="57"/>
      <c r="BL32" s="60"/>
      <c r="BM32" s="83"/>
      <c r="BO32" s="109"/>
    </row>
    <row r="33" spans="1:70" s="50" customFormat="1" ht="14.95" x14ac:dyDescent="0.25">
      <c r="A33" s="116">
        <f xml:space="preserve"> 11.3*J33/10^3</f>
        <v>26.780999999999999</v>
      </c>
      <c r="B33" s="116">
        <f>A33*L33</f>
        <v>321.37199999999996</v>
      </c>
      <c r="C33" s="295"/>
      <c r="D33" s="117" t="s">
        <v>465</v>
      </c>
      <c r="E33" s="117"/>
      <c r="F33" s="355" t="s">
        <v>461</v>
      </c>
      <c r="G33" s="140" t="s">
        <v>79</v>
      </c>
      <c r="H33" s="119">
        <v>150</v>
      </c>
      <c r="I33" s="118" t="s">
        <v>77</v>
      </c>
      <c r="J33" s="119">
        <v>2370</v>
      </c>
      <c r="K33" s="119">
        <v>3</v>
      </c>
      <c r="L33" s="119">
        <f>K$33*L$21</f>
        <v>12</v>
      </c>
      <c r="M33" s="131">
        <f xml:space="preserve"> 0.49*J33*L33/10^3</f>
        <v>13.935599999999999</v>
      </c>
      <c r="N33" s="118"/>
      <c r="O33" s="118"/>
      <c r="P33" s="118" t="s">
        <v>78</v>
      </c>
      <c r="Q33" s="135"/>
      <c r="R33" s="118"/>
      <c r="S33" s="118"/>
      <c r="T33" s="118"/>
      <c r="U33" s="118"/>
      <c r="V33" s="118"/>
      <c r="W33" s="118"/>
      <c r="Y33" s="118"/>
      <c r="Z33" s="118"/>
      <c r="AA33" s="118"/>
      <c r="AB33" s="118" t="s">
        <v>78</v>
      </c>
      <c r="AC33" s="136"/>
      <c r="AD33" s="83"/>
      <c r="AE33" s="136">
        <f t="shared" ref="AE33" si="17">(H33/20/60)*2*L33</f>
        <v>3</v>
      </c>
      <c r="AF33" s="137"/>
      <c r="AG33" s="132">
        <f>L33*5/60</f>
        <v>1</v>
      </c>
      <c r="AH33" s="83"/>
      <c r="AI33" s="132">
        <f t="shared" ref="AI33:AI34" si="18">AL33*L33/60</f>
        <v>1</v>
      </c>
      <c r="AJ33" s="70">
        <f>(J33*2*AK33)*1/2*L33/1000+(H33*4*AK33)*2*L33/1000</f>
        <v>42.84</v>
      </c>
      <c r="AK33" s="50">
        <f>(VLOOKUP(F33,[2]Koostamine!$A$12:$P$1612,7,FALSE))</f>
        <v>1</v>
      </c>
      <c r="AL33" s="69">
        <f>VLOOKUP(F33,[2]Koostamine!$A$12:$P$1612,IF(J33&lt;1499,11,IF(J33&lt;2999,12,IF(J33&lt;5999,13,IF(J33&lt;9999,14,IF(J33&lt;12999,15,IF(J33&gt;13000,16)))))),FALSE)</f>
        <v>5</v>
      </c>
      <c r="AP33" s="146">
        <f>(VLOOKUP(F33,Terasehind!$A$2:$B$171,2,FALSE))</f>
        <v>0.92</v>
      </c>
      <c r="AQ33" s="50">
        <f>(VLOOKUP(F33,Terasehind!$A$2:$C$171,3,FALSE))</f>
        <v>1.1000000000000001</v>
      </c>
      <c r="AR33" s="138">
        <f t="shared" ref="AR33" si="19">AP33*AQ33*B33</f>
        <v>325.22846400000003</v>
      </c>
      <c r="AT33" s="60"/>
      <c r="AU33" s="77"/>
      <c r="AV33" s="77"/>
      <c r="AW33" s="77"/>
      <c r="AX33" s="121"/>
      <c r="AY33" s="77"/>
      <c r="AZ33" s="77"/>
      <c r="BA33" s="188">
        <f>(H33*6*2+J33*8)*2/60/1000*L33</f>
        <v>8.3039999999999985</v>
      </c>
      <c r="BB33" s="283"/>
      <c r="BC33" s="62"/>
      <c r="BD33" s="284"/>
      <c r="BE33" s="131"/>
      <c r="BF33"/>
      <c r="BG33" s="57"/>
      <c r="BH33" s="57"/>
      <c r="BI33" s="57"/>
      <c r="BJ33" s="57"/>
      <c r="BK33" s="57"/>
      <c r="BL33" s="60"/>
      <c r="BM33" s="57"/>
      <c r="BN33" s="60"/>
      <c r="BO33" s="83"/>
      <c r="BQ33" s="109"/>
    </row>
    <row r="34" spans="1:70" s="50" customFormat="1" ht="14.95" x14ac:dyDescent="0.25">
      <c r="A34" s="116">
        <f t="shared" ref="A34" si="20">H34*J34*(RIGHT(F34,2))*7.85/(10^6)</f>
        <v>0.58875</v>
      </c>
      <c r="B34" s="116">
        <f t="shared" ref="B34" si="21">A34*L34</f>
        <v>14.129999999999999</v>
      </c>
      <c r="C34" s="118" t="s">
        <v>346</v>
      </c>
      <c r="D34" s="117" t="s">
        <v>466</v>
      </c>
      <c r="E34" s="117"/>
      <c r="F34" s="355" t="s">
        <v>324</v>
      </c>
      <c r="G34" s="117" t="s">
        <v>83</v>
      </c>
      <c r="H34" s="119">
        <v>150</v>
      </c>
      <c r="I34" s="118" t="s">
        <v>77</v>
      </c>
      <c r="J34" s="119">
        <v>100</v>
      </c>
      <c r="K34" s="119">
        <v>6</v>
      </c>
      <c r="L34" s="119">
        <f>K$34*L$21</f>
        <v>24</v>
      </c>
      <c r="M34" s="116">
        <f t="shared" ref="M34" si="22">2*H34*J34/10^6*L34</f>
        <v>0.72</v>
      </c>
      <c r="N34" s="118" t="s">
        <v>84</v>
      </c>
      <c r="P34" s="118"/>
      <c r="Q34" s="135"/>
      <c r="R34" s="118"/>
      <c r="S34" s="118"/>
      <c r="T34" s="118"/>
      <c r="U34" s="118"/>
      <c r="V34" s="118"/>
      <c r="W34" s="118"/>
      <c r="X34" s="118"/>
      <c r="Y34" s="118"/>
      <c r="Z34" s="118"/>
      <c r="AA34" s="118"/>
      <c r="AB34" s="118" t="s">
        <v>78</v>
      </c>
      <c r="AC34" s="136">
        <f>((((H34+J34)*2/1000)*L34*(5/(VLOOKUP(F34,[2]Plasmalõikus!$A$7:$E$46,2,FALSE)/1000*60)))+(Q34*L34*(5*(VLOOKUP(F34,[2]Plasmalõikus!$A$7:$E$48,3,FALSE))/60/60)))</f>
        <v>0.27777777777777779</v>
      </c>
      <c r="AD34" s="353"/>
      <c r="AE34" s="136"/>
      <c r="AF34" s="137"/>
      <c r="AG34" s="137">
        <f t="shared" ref="AG34" si="23">IF(VALUE(MID(F34,SEARCH(" ",F34)+1,LEN(F34)))&lt;35,0,IF(VALUE(MID(F34,SEARCH(" ",F34)+1,LEN(F34)))&lt;40,3,IF(VALUE(MID(F34,SEARCH(" ",F34)+1,LEN(F34)))&lt;50,4,IF(VALUE(MID(F34,SEARCH(" ",F34)+1,LEN(F34)))&lt;60,5,IF(VALUE(MID(F34,SEARCH(" ",F34)+1,LEN(F34)))&lt;70,6,IF(VALUE(MID(F34,SEARCH(" ",F34)+1,LEN(F34)))&lt;80,7,IF(VALUE(MID(F34,SEARCH(" ",F34)+1,LEN(F34)))&lt;90,8,IF(VALUE(MID(F34,SEARCH(" ",F34)+1,LEN(F34)))&lt;100,9,10))))))))/60*Q34*L34</f>
        <v>0</v>
      </c>
      <c r="AH34" s="136"/>
      <c r="AI34" s="132">
        <f t="shared" si="18"/>
        <v>0.8</v>
      </c>
      <c r="AJ34" s="70"/>
      <c r="AK34" s="50">
        <v>3</v>
      </c>
      <c r="AL34" s="69" t="str">
        <f>IF(AND(Q34&gt;0,A34&lt;3),"10",IF(AND(Q34&gt;0,A34&lt;10),"15",IF(AND(Q34&gt;0,A34&lt;20),"20",IF(AND(Q34&gt;0,A34&lt;500),"30",IF(AND(Q34=0,A34&lt;3),"2",IF(AND(Q34=0,A34&lt;10),"5",IF(AND(Q34=0,A34&lt;20),"10",IF(AND(Q34=0,A34&lt;500),"20","2"))))))))</f>
        <v>2</v>
      </c>
      <c r="AN34" s="66"/>
      <c r="AP34" s="146">
        <f>(VLOOKUP(F34,Terasehind!$A$2:$B$171,2,FALSE))</f>
        <v>0.92</v>
      </c>
      <c r="AQ34" s="50">
        <f>(VLOOKUP(F34,Terasehind!$A$2:$C$171,3,FALSE))</f>
        <v>1.1000000000000001</v>
      </c>
      <c r="AR34" s="138">
        <f>AP34*AQ34*B34</f>
        <v>14.299560000000003</v>
      </c>
      <c r="AT34" s="62"/>
      <c r="AU34" s="62"/>
      <c r="AV34" s="62"/>
      <c r="AW34" s="62"/>
      <c r="AX34" s="62"/>
      <c r="AY34" s="62"/>
      <c r="AZ34" s="77"/>
      <c r="BA34" s="188">
        <f t="shared" ref="BA34" si="24">(H34*2+J34*2)*2*2/60/1000*L34</f>
        <v>0.8</v>
      </c>
      <c r="BB34" s="283"/>
      <c r="BC34" s="62"/>
      <c r="BD34" s="284"/>
      <c r="BE34" s="131"/>
      <c r="BF34"/>
      <c r="BG34" s="57"/>
      <c r="BH34" s="57"/>
      <c r="BI34" s="57"/>
      <c r="BJ34" s="57"/>
      <c r="BK34" s="57"/>
      <c r="BL34" s="109"/>
      <c r="BM34" s="109"/>
      <c r="BN34" s="109"/>
      <c r="BO34" s="83"/>
      <c r="BQ34" s="83"/>
      <c r="BR34" s="83"/>
    </row>
    <row r="36" spans="1:70" s="50" customFormat="1" ht="16.5" customHeight="1" x14ac:dyDescent="0.25">
      <c r="A36" s="116"/>
      <c r="B36" s="116"/>
      <c r="C36" s="118"/>
      <c r="D36" s="117"/>
      <c r="E36" s="117"/>
      <c r="F36" s="355"/>
      <c r="G36" s="117"/>
      <c r="H36" s="119"/>
      <c r="I36" s="118"/>
      <c r="J36" s="119"/>
      <c r="K36" s="119"/>
      <c r="L36" s="119"/>
      <c r="M36" s="116"/>
      <c r="N36" s="118"/>
      <c r="P36" s="118"/>
      <c r="Q36" s="118"/>
      <c r="R36" s="118"/>
      <c r="S36" s="118"/>
      <c r="T36" s="118"/>
      <c r="U36" s="118"/>
      <c r="V36" s="118"/>
      <c r="W36" s="118"/>
      <c r="X36" s="118"/>
      <c r="Y36" s="118"/>
      <c r="Z36" s="118"/>
      <c r="AA36" s="118"/>
      <c r="AB36" s="118"/>
      <c r="AC36" s="118"/>
      <c r="AD36" s="118"/>
      <c r="AE36" s="118"/>
      <c r="AF36" s="118"/>
      <c r="AG36" s="118"/>
      <c r="AH36" s="118"/>
      <c r="AI36" s="118"/>
      <c r="AJ36" s="118"/>
      <c r="AK36" s="118"/>
      <c r="AL36" s="118"/>
      <c r="AM36" s="118"/>
      <c r="AN36" s="66"/>
      <c r="AP36" s="146"/>
      <c r="AR36" s="138"/>
      <c r="AT36" s="62"/>
      <c r="AU36" s="62"/>
      <c r="AV36" s="62"/>
      <c r="AW36" s="62"/>
      <c r="AX36" s="62"/>
      <c r="AY36" s="62"/>
      <c r="AZ36" s="77"/>
      <c r="BA36" s="57"/>
      <c r="BB36" s="109"/>
      <c r="BC36" s="57"/>
      <c r="BD36" s="57"/>
      <c r="BE36" s="57"/>
      <c r="BF36" s="57"/>
      <c r="BG36" s="57"/>
      <c r="BJ36" s="57"/>
      <c r="BK36" s="57"/>
      <c r="BM36" s="109"/>
      <c r="BN36" s="83"/>
      <c r="BP36" s="83"/>
      <c r="BQ36" s="83"/>
    </row>
    <row r="37" spans="1:70" s="50" customFormat="1" ht="16.5" customHeight="1" x14ac:dyDescent="0.25">
      <c r="A37" s="116"/>
      <c r="B37" s="116"/>
      <c r="C37" s="118"/>
      <c r="D37" s="117"/>
      <c r="E37" s="117"/>
      <c r="F37" s="355"/>
      <c r="G37" s="117"/>
      <c r="H37" s="119"/>
      <c r="I37" s="118"/>
      <c r="J37" s="119"/>
      <c r="K37" s="119"/>
      <c r="L37" s="119"/>
      <c r="M37" s="116"/>
      <c r="N37" s="118"/>
      <c r="P37" s="118"/>
      <c r="Q37" s="118"/>
      <c r="R37" s="118"/>
      <c r="S37" s="118"/>
      <c r="T37" s="118"/>
      <c r="U37" s="118"/>
      <c r="V37" s="118"/>
      <c r="W37" s="118"/>
      <c r="X37" s="118"/>
      <c r="Y37" s="118"/>
      <c r="Z37" s="118"/>
      <c r="AA37" s="118"/>
      <c r="AB37" s="118"/>
      <c r="AC37" s="118"/>
      <c r="AD37" s="328" t="s">
        <v>393</v>
      </c>
      <c r="AE37" s="118"/>
      <c r="AF37" s="118"/>
      <c r="AG37" s="118"/>
      <c r="AH37" s="118"/>
      <c r="AI37" s="118"/>
      <c r="AJ37" s="118"/>
      <c r="AK37" s="118"/>
      <c r="AL37" s="118"/>
      <c r="AM37" s="118"/>
      <c r="AN37" s="66"/>
      <c r="AP37" s="146"/>
      <c r="AR37" s="138"/>
      <c r="AT37" s="62"/>
      <c r="AU37" s="62"/>
      <c r="AV37" s="62"/>
      <c r="AW37" s="62"/>
      <c r="AX37" s="62"/>
      <c r="AY37" s="62"/>
      <c r="AZ37" s="77"/>
      <c r="BA37" s="57"/>
      <c r="BB37" s="109"/>
      <c r="BC37" s="57"/>
      <c r="BD37" s="57"/>
      <c r="BE37" s="57"/>
      <c r="BF37" s="57"/>
      <c r="BG37" s="57"/>
      <c r="BJ37" s="57"/>
      <c r="BK37" s="57"/>
      <c r="BM37" s="109"/>
      <c r="BN37" s="83"/>
      <c r="BP37" s="83"/>
      <c r="BQ37" s="83"/>
    </row>
    <row r="38" spans="1:70" s="50" customFormat="1" ht="14.95" x14ac:dyDescent="0.25">
      <c r="A38" s="336">
        <f>B38/L38</f>
        <v>76.930000000000007</v>
      </c>
      <c r="B38" s="337">
        <f>SUM(B40,B39,0)</f>
        <v>1230.8800000000001</v>
      </c>
      <c r="C38" s="338"/>
      <c r="D38" s="339" t="s">
        <v>76</v>
      </c>
      <c r="E38" s="339"/>
      <c r="F38" s="359" t="s">
        <v>421</v>
      </c>
      <c r="G38" s="177" t="str">
        <f>$G$16</f>
        <v>C3VH</v>
      </c>
      <c r="H38" s="293">
        <v>160</v>
      </c>
      <c r="I38" s="291" t="s">
        <v>77</v>
      </c>
      <c r="J38" s="293">
        <f>J39</f>
        <v>400</v>
      </c>
      <c r="K38" s="134">
        <v>4</v>
      </c>
      <c r="L38" s="293">
        <f>$L$21*$K$38</f>
        <v>16</v>
      </c>
      <c r="M38" s="336">
        <f>SUM(M40,M39,0)</f>
        <v>9.984</v>
      </c>
      <c r="N38" s="291"/>
      <c r="O38" s="291"/>
      <c r="P38" s="291"/>
      <c r="Q38" s="291"/>
      <c r="R38" s="120"/>
      <c r="S38" s="120"/>
      <c r="T38" s="120"/>
      <c r="U38" s="120"/>
      <c r="V38" s="120"/>
      <c r="W38" s="118"/>
      <c r="X38" s="118"/>
      <c r="Y38" s="291">
        <v>5</v>
      </c>
      <c r="Z38" s="291"/>
      <c r="AA38" s="291"/>
      <c r="AB38" s="291"/>
      <c r="AC38" s="336">
        <f>SUM(AC40,AC39,0)</f>
        <v>6.4952380952380953</v>
      </c>
      <c r="AD38" s="336">
        <f>SUM(AD40,AD39,0)</f>
        <v>0</v>
      </c>
      <c r="AE38" s="336">
        <f>SUM(AE40,AE39,0)</f>
        <v>0</v>
      </c>
      <c r="AF38" s="336">
        <f>SUM(AF40,AF39,0)</f>
        <v>8.32</v>
      </c>
      <c r="AG38" s="336">
        <f>SUM(AG40,AG39,0)</f>
        <v>12.8</v>
      </c>
      <c r="AH38" s="107">
        <f>SUM(AC38:AG38)</f>
        <v>27.615238095238098</v>
      </c>
      <c r="AI38" s="107">
        <f>SUM(AI40,AI39,0)</f>
        <v>16</v>
      </c>
      <c r="AJ38" s="336">
        <f>SUM(AJ40,AJ39,0)</f>
        <v>51.2</v>
      </c>
      <c r="AK38" s="107">
        <f>AJ38*10/60</f>
        <v>8.5333333333333332</v>
      </c>
      <c r="AL38" s="336">
        <f>AH38+AI38+AK38</f>
        <v>52.148571428571429</v>
      </c>
      <c r="AM38" s="288">
        <f>B38/AL38</f>
        <v>23.603331141792683</v>
      </c>
      <c r="AN38" s="336">
        <f>AL38*46</f>
        <v>2398.8342857142857</v>
      </c>
      <c r="AO38" s="336">
        <f>AN38/B38</f>
        <v>1.9488774581716215</v>
      </c>
      <c r="AP38" s="336">
        <f>AR38/B38</f>
        <v>1.3655714285714289</v>
      </c>
      <c r="AQ38" s="67"/>
      <c r="AR38" s="336">
        <f>SUM(AR40,AR39,0)</f>
        <v>1680.8545600000004</v>
      </c>
      <c r="AT38" s="62"/>
      <c r="AU38" s="62"/>
      <c r="AV38" s="62"/>
      <c r="AW38" s="62"/>
      <c r="AX38" s="62"/>
      <c r="AY38" s="62"/>
      <c r="AZ38" s="77"/>
      <c r="BA38" s="336">
        <f>SUM(BA40,BA39,0)</f>
        <v>3.3706666666666667</v>
      </c>
      <c r="BB38" s="283"/>
      <c r="BC38" s="62"/>
      <c r="BD38" s="289"/>
      <c r="BF38" s="19"/>
      <c r="BG38" s="57"/>
      <c r="BH38" s="57"/>
      <c r="BI38" s="57"/>
      <c r="BJ38" s="57"/>
      <c r="BK38" s="60"/>
    </row>
    <row r="39" spans="1:70" s="50" customFormat="1" ht="14.95" x14ac:dyDescent="0.25">
      <c r="A39" s="116">
        <f>H39*J39*(RIGHT(F39,2))*7.85/(10^6)</f>
        <v>21.98</v>
      </c>
      <c r="B39" s="116">
        <f t="shared" ref="B39:B40" si="25">A39*L39</f>
        <v>351.68</v>
      </c>
      <c r="C39" s="118" t="s">
        <v>345</v>
      </c>
      <c r="D39" s="117" t="s">
        <v>76</v>
      </c>
      <c r="E39" s="290"/>
      <c r="F39" s="355" t="s">
        <v>90</v>
      </c>
      <c r="G39" s="117" t="s">
        <v>83</v>
      </c>
      <c r="H39" s="119">
        <v>280</v>
      </c>
      <c r="I39" s="118" t="s">
        <v>77</v>
      </c>
      <c r="J39" s="119">
        <v>400</v>
      </c>
      <c r="K39" s="119">
        <v>1</v>
      </c>
      <c r="L39" s="119">
        <f>K$39*L$38</f>
        <v>16</v>
      </c>
      <c r="M39" s="116">
        <f t="shared" ref="M39:M40" si="26">2*H39*J39/10^6*L39</f>
        <v>3.5840000000000001</v>
      </c>
      <c r="N39" s="118" t="s">
        <v>84</v>
      </c>
      <c r="P39" s="118"/>
      <c r="Q39" s="294">
        <f>8+5</f>
        <v>13</v>
      </c>
      <c r="R39" s="118"/>
      <c r="S39" s="118"/>
      <c r="T39" s="118"/>
      <c r="U39" s="118"/>
      <c r="V39" s="118"/>
      <c r="W39" s="118"/>
      <c r="X39" s="118"/>
      <c r="Y39" s="118"/>
      <c r="Z39" s="118"/>
      <c r="AA39" s="118"/>
      <c r="AB39" s="118" t="s">
        <v>78</v>
      </c>
      <c r="AC39" s="136">
        <f>((((H39+J39)*2/1000)*L39*(5/(VLOOKUP(F39,[2]Plasmalõikus!$A$7:$E$46,2,FALSE)/1000*60)))+(Q39*L39*(5*(VLOOKUP(F39,[2]Plasmalõikus!$A$7:$E$48,3,FALSE))/60/60)))</f>
        <v>6.4952380952380953</v>
      </c>
      <c r="AD39" s="353"/>
      <c r="AE39" s="136"/>
      <c r="AF39" s="137">
        <f>(H39*2)*20/60/1000*L39</f>
        <v>2.9866666666666664</v>
      </c>
      <c r="AG39" s="137">
        <f t="shared" ref="AG39:AG40" si="27">IF(VALUE(MID(F39,SEARCH(" ",F39)+1,LEN(F39)))&lt;35,0,IF(VALUE(MID(F39,SEARCH(" ",F39)+1,LEN(F39)))&lt;40,3,IF(VALUE(MID(F39,SEARCH(" ",F39)+1,LEN(F39)))&lt;50,4,IF(VALUE(MID(F39,SEARCH(" ",F39)+1,LEN(F39)))&lt;60,5,IF(VALUE(MID(F39,SEARCH(" ",F39)+1,LEN(F39)))&lt;70,6,IF(VALUE(MID(F39,SEARCH(" ",F39)+1,LEN(F39)))&lt;80,7,IF(VALUE(MID(F39,SEARCH(" ",F39)+1,LEN(F39)))&lt;90,8,IF(VALUE(MID(F39,SEARCH(" ",F39)+1,LEN(F39)))&lt;100,9,10))))))))/60*Q39*L39</f>
        <v>0</v>
      </c>
      <c r="AH39" s="136"/>
      <c r="AI39" s="132">
        <f t="shared" ref="AI39:AI40" si="28">AL39*L39/60</f>
        <v>5.333333333333333</v>
      </c>
      <c r="AJ39" s="70">
        <f>(J39*4*AK39)*L39/1000</f>
        <v>51.2</v>
      </c>
      <c r="AK39" s="69">
        <v>2</v>
      </c>
      <c r="AL39" s="165" t="str">
        <f>IF(AND(J39&gt;0,J39&lt;2999),"20",IF(AND(J39&gt;0,J39&lt;5999),"30",IF(AND(J39&gt;0,J39&lt;7999),"40",IF(AND(J39&gt;0,J39&lt;11999),"60",IF(AND(J39&gt;0,J39&lt;14999),"120",IF(AND(J39&gt;0,J39&lt;17999),"180",IF(AND(J39&gt;0,J39&lt;22000),"360","error")))))))</f>
        <v>20</v>
      </c>
      <c r="AP39" s="146">
        <f>(VLOOKUP(F39,Terasehind!$A$2:$B$171,2,FALSE))</f>
        <v>0.92</v>
      </c>
      <c r="AQ39" s="50">
        <f>(VLOOKUP(F39,Terasehind!$A$2:$C$171,3,FALSE))</f>
        <v>1.1000000000000001</v>
      </c>
      <c r="AR39" s="138">
        <f t="shared" ref="AR39:AR40" si="29">AP39*AQ39*B39</f>
        <v>355.90016000000008</v>
      </c>
      <c r="AT39" s="62"/>
      <c r="AU39" s="62"/>
      <c r="AV39" s="62"/>
      <c r="AW39" s="62"/>
      <c r="AX39" s="62"/>
      <c r="AY39" s="62"/>
      <c r="AZ39" s="77"/>
      <c r="BA39" s="188">
        <f>(H39*2)*2*2/60/1000*L39</f>
        <v>0.59733333333333338</v>
      </c>
      <c r="BB39" s="283"/>
      <c r="BC39" s="62"/>
      <c r="BD39" s="284"/>
      <c r="BE39" s="131"/>
      <c r="BF39"/>
      <c r="BG39" s="57"/>
      <c r="BH39" s="57"/>
      <c r="BI39" s="57"/>
      <c r="BJ39" s="57"/>
      <c r="BK39" s="57"/>
      <c r="BL39" s="109"/>
      <c r="BM39" s="109"/>
      <c r="BN39" s="109"/>
      <c r="BO39" s="83"/>
      <c r="BQ39" s="83"/>
      <c r="BR39" s="83"/>
    </row>
    <row r="40" spans="1:70" s="50" customFormat="1" ht="14.95" x14ac:dyDescent="0.25">
      <c r="A40" s="116">
        <f t="shared" ref="A40" si="30">H40*J40*(RIGHT(F40,2))*7.85/(10^6)</f>
        <v>27.475000000000001</v>
      </c>
      <c r="B40" s="116">
        <f t="shared" si="25"/>
        <v>879.2</v>
      </c>
      <c r="C40" s="118" t="s">
        <v>345</v>
      </c>
      <c r="D40" s="117" t="s">
        <v>81</v>
      </c>
      <c r="E40" s="117"/>
      <c r="F40" s="355" t="s">
        <v>91</v>
      </c>
      <c r="G40" s="117" t="s">
        <v>83</v>
      </c>
      <c r="H40" s="119">
        <v>250</v>
      </c>
      <c r="I40" s="118" t="s">
        <v>77</v>
      </c>
      <c r="J40" s="119">
        <f>J39</f>
        <v>400</v>
      </c>
      <c r="K40" s="119">
        <v>2</v>
      </c>
      <c r="L40" s="119">
        <f>K$40*L$38</f>
        <v>32</v>
      </c>
      <c r="M40" s="116">
        <f t="shared" si="26"/>
        <v>6.4</v>
      </c>
      <c r="N40" s="118" t="s">
        <v>84</v>
      </c>
      <c r="P40" s="118"/>
      <c r="Q40" s="135">
        <v>8</v>
      </c>
      <c r="R40" s="118"/>
      <c r="S40" s="118"/>
      <c r="T40" s="118"/>
      <c r="U40" s="118"/>
      <c r="V40" s="118"/>
      <c r="W40" s="118"/>
      <c r="X40" s="118"/>
      <c r="Y40" s="118"/>
      <c r="Z40" s="118"/>
      <c r="AA40" s="118"/>
      <c r="AB40" s="118" t="s">
        <v>78</v>
      </c>
      <c r="AC40" s="327"/>
      <c r="AD40" s="353"/>
      <c r="AE40" s="136"/>
      <c r="AF40" s="137">
        <f>(H40*2)*20/60/1000*L40</f>
        <v>5.333333333333333</v>
      </c>
      <c r="AG40" s="137">
        <f t="shared" si="27"/>
        <v>12.8</v>
      </c>
      <c r="AH40" s="136"/>
      <c r="AI40" s="132">
        <f t="shared" si="28"/>
        <v>10.666666666666666</v>
      </c>
      <c r="AJ40" s="70"/>
      <c r="AL40" s="165" t="str">
        <f t="shared" ref="AL40" si="31">IF(AND(J40&gt;0,J40&lt;2999),"20",IF(AND(J40&gt;0,J40&lt;5999),"30",IF(AND(J40&gt;0,J40&lt;7999),"40",IF(AND(J40&gt;0,J40&lt;11999),"60",IF(AND(J40&gt;0,J40&lt;14999),"120",IF(AND(J40&gt;0,J40&lt;17999),"180",IF(AND(J40&gt;0,J40&lt;22000),"360","error")))))))</f>
        <v>20</v>
      </c>
      <c r="AN40" s="66"/>
      <c r="AP40" s="146">
        <f>(VLOOKUP(F40,Terasehind!$A$2:$B$171,2,FALSE))</f>
        <v>1.37</v>
      </c>
      <c r="AQ40" s="50">
        <f>(VLOOKUP(F40,Terasehind!$A$2:$C$171,3,FALSE))</f>
        <v>1.1000000000000001</v>
      </c>
      <c r="AR40" s="138">
        <f t="shared" si="29"/>
        <v>1324.9544000000003</v>
      </c>
      <c r="AT40" s="62"/>
      <c r="AU40" s="62"/>
      <c r="AV40" s="62"/>
      <c r="AW40" s="62"/>
      <c r="AX40" s="57"/>
      <c r="AY40" s="62"/>
      <c r="AZ40" s="77"/>
      <c r="BA40" s="188">
        <f t="shared" ref="BA40" si="32">(H40*2+J40*2)*2*2/60/1000*L40</f>
        <v>2.7733333333333334</v>
      </c>
      <c r="BB40" s="283"/>
      <c r="BC40" s="62"/>
      <c r="BD40" s="284"/>
      <c r="BE40" s="131"/>
      <c r="BF40"/>
      <c r="BG40" s="57"/>
      <c r="BH40" s="57"/>
      <c r="BI40" s="57"/>
      <c r="BJ40" s="57"/>
      <c r="BK40" s="57"/>
      <c r="BL40" s="109"/>
      <c r="BM40" s="109"/>
      <c r="BN40" s="109"/>
      <c r="BO40" s="83"/>
      <c r="BQ40" s="83"/>
      <c r="BR40" s="83"/>
    </row>
    <row r="41" spans="1:70" customFormat="1" ht="14.95" x14ac:dyDescent="0.25">
      <c r="F41" s="30"/>
    </row>
    <row r="42" spans="1:70" s="50" customFormat="1" ht="14.95" x14ac:dyDescent="0.25">
      <c r="A42" s="116"/>
      <c r="B42" s="160"/>
      <c r="C42" s="255"/>
      <c r="D42" s="161"/>
      <c r="E42" s="117"/>
      <c r="F42" s="356" t="s">
        <v>453</v>
      </c>
      <c r="G42" s="117"/>
      <c r="H42" s="119"/>
      <c r="I42" s="118"/>
      <c r="J42" s="119"/>
      <c r="K42" s="119"/>
      <c r="L42" s="119"/>
      <c r="M42" s="112"/>
      <c r="N42" s="118"/>
      <c r="O42" s="118"/>
      <c r="P42" s="118"/>
      <c r="Q42" s="118"/>
      <c r="R42" s="118"/>
      <c r="S42" s="118"/>
      <c r="T42" s="118"/>
      <c r="U42" s="118"/>
      <c r="V42" s="118"/>
      <c r="W42" s="118"/>
      <c r="X42" s="118"/>
      <c r="Y42" s="118"/>
      <c r="Z42" s="118"/>
      <c r="AA42" s="118"/>
      <c r="AB42" s="118"/>
      <c r="AD42" s="83"/>
      <c r="AE42" s="83"/>
      <c r="AF42" s="114"/>
      <c r="AG42" s="114"/>
      <c r="AH42" s="83"/>
      <c r="AI42" s="83"/>
      <c r="AJ42" s="83"/>
      <c r="AK42" s="83"/>
      <c r="AL42" s="83"/>
      <c r="AM42" s="60"/>
      <c r="AN42" s="66"/>
      <c r="AO42" s="61"/>
      <c r="AP42" s="62"/>
      <c r="AQ42" s="62"/>
      <c r="AT42" s="60"/>
      <c r="AU42" s="77"/>
      <c r="AV42" s="77"/>
      <c r="AW42" s="77"/>
      <c r="AX42" s="121"/>
      <c r="AY42" s="77"/>
      <c r="AZ42" s="77"/>
      <c r="BA42" s="192"/>
      <c r="BB42" s="57"/>
      <c r="BC42" s="57"/>
      <c r="BD42" s="57"/>
      <c r="BE42" s="131"/>
      <c r="BF42" s="57"/>
      <c r="BG42" s="57"/>
      <c r="BH42" s="57"/>
      <c r="BI42" s="57"/>
      <c r="BJ42" s="57"/>
      <c r="BK42" s="83"/>
      <c r="BL42" s="109"/>
      <c r="BN42" s="57"/>
      <c r="BO42" s="60"/>
    </row>
    <row r="43" spans="1:70" customFormat="1" ht="15.8" x14ac:dyDescent="0.25">
      <c r="B43" s="22"/>
      <c r="F43" s="296"/>
      <c r="M43" s="282"/>
      <c r="AD43" s="328" t="s">
        <v>393</v>
      </c>
      <c r="AS43" s="50"/>
      <c r="AT43" s="62"/>
      <c r="AU43" s="62"/>
      <c r="AV43" s="62"/>
      <c r="AW43" s="62"/>
      <c r="AX43" s="62"/>
      <c r="AY43" s="62"/>
      <c r="AZ43" s="77"/>
      <c r="BA43" s="192"/>
      <c r="BB43" s="283"/>
      <c r="BC43" s="62"/>
      <c r="BD43" s="284"/>
      <c r="BE43" s="131"/>
    </row>
    <row r="44" spans="1:70" s="50" customFormat="1" ht="14.95" x14ac:dyDescent="0.25">
      <c r="A44" s="148">
        <f>B44/L44</f>
        <v>1371.4453600000002</v>
      </c>
      <c r="B44" s="285">
        <f>SUM(B55,B54,B53,B52,B51,B50,B49,B48,B47,B46,B45,0)</f>
        <v>5485.7814400000007</v>
      </c>
      <c r="C44" s="286">
        <f>(SUM(B49:B51)/B44)</f>
        <v>3.8292812482153854E-2</v>
      </c>
      <c r="D44" s="149" t="s">
        <v>76</v>
      </c>
      <c r="E44" s="149"/>
      <c r="F44" s="357" t="s">
        <v>410</v>
      </c>
      <c r="G44" s="177" t="str">
        <f>$G$16</f>
        <v>C3VH</v>
      </c>
      <c r="H44" s="150">
        <v>160</v>
      </c>
      <c r="I44" s="151" t="s">
        <v>77</v>
      </c>
      <c r="J44" s="150">
        <v>12742</v>
      </c>
      <c r="K44" s="134">
        <v>4</v>
      </c>
      <c r="L44" s="150">
        <f>$L$16*$K$44</f>
        <v>4</v>
      </c>
      <c r="M44" s="148">
        <f>SUM(M55,M54,M53,M52,M51,M50,M49,M48,M47,M46,M45,0)</f>
        <v>138.90520000000001</v>
      </c>
      <c r="N44" s="151"/>
      <c r="O44" s="151"/>
      <c r="P44" s="151"/>
      <c r="Q44" s="151"/>
      <c r="R44" s="120"/>
      <c r="S44" s="120"/>
      <c r="T44" s="120"/>
      <c r="U44" s="120"/>
      <c r="V44" s="120"/>
      <c r="W44" s="118"/>
      <c r="X44" s="118" t="s">
        <v>78</v>
      </c>
      <c r="Y44" s="151">
        <v>4</v>
      </c>
      <c r="Z44" s="151"/>
      <c r="AA44" s="151"/>
      <c r="AB44" s="151"/>
      <c r="AC44" s="148">
        <f>SUM(AC55,AC54,AC53,AC52,AC51,AC50,AC49,AC48,AC47,AC46,AC45,0)</f>
        <v>18.14375873015873</v>
      </c>
      <c r="AD44" s="148">
        <f>SUM(AD55,AD54,AD53,AD52,AD51,AD50,AD49,AD48,AD47,AD46,AD45,0)</f>
        <v>0</v>
      </c>
      <c r="AE44" s="148">
        <f>SUM(AE55,AE54,AE53,AE52,AE51,AE50,AE49,AE48,AE47,AE46,AE45,0)</f>
        <v>3.9333333333333331</v>
      </c>
      <c r="AF44" s="148">
        <f>SUM(AF55,AF54,AF53,AF52,AF51,AF50,AF49,AF48,AF47,AF46,AF45,0)</f>
        <v>20.58666666666667</v>
      </c>
      <c r="AG44" s="148">
        <f>SUM(AG55,AG54,AG53,AG52,AG51,AG50,AG49,AG48,AG47,AG46,AG45,0)</f>
        <v>0.79999999999999993</v>
      </c>
      <c r="AH44" s="107">
        <f>SUM(AC44:AG44)</f>
        <v>43.46375873015873</v>
      </c>
      <c r="AI44" s="107">
        <f>SUM(AI55,AI54,AI53,AI52,AI51,AI50,AI49,AI48,AI47,AI46,AI45,0)</f>
        <v>38.533333333333331</v>
      </c>
      <c r="AJ44" s="148">
        <f>SUM(AJ55,AJ54,AJ53,AJ52,AJ51,AJ50,AJ49,AJ48,AJ47,AJ46,AJ45,0)</f>
        <v>385.76</v>
      </c>
      <c r="AK44" s="107">
        <f>AJ44*10/60</f>
        <v>64.293333333333337</v>
      </c>
      <c r="AL44" s="148">
        <f>AH44+AI44+AK44</f>
        <v>146.29042539682541</v>
      </c>
      <c r="AM44" s="288">
        <f>B44/AL44</f>
        <v>37.499251404316752</v>
      </c>
      <c r="AN44" s="148">
        <f>AL44*46</f>
        <v>6729.359568253969</v>
      </c>
      <c r="AO44" s="148">
        <f>AN44/B44</f>
        <v>1.2266911545520793</v>
      </c>
      <c r="AP44" s="148">
        <f>AR44/B44</f>
        <v>1.0157761941897563</v>
      </c>
      <c r="AQ44" s="67"/>
      <c r="AR44" s="148">
        <f>SUM(AR55,AR54,AR53,AR52,AR51,AR50,AR49,AR48,AR47,AR46,AR45,0)</f>
        <v>5572.3261932800015</v>
      </c>
      <c r="AT44" s="62"/>
      <c r="AU44" s="62"/>
      <c r="AV44" s="62"/>
      <c r="AW44" s="62"/>
      <c r="AX44" s="62"/>
      <c r="AY44" s="62"/>
      <c r="AZ44" s="77"/>
      <c r="BA44" s="148">
        <f>SUM(BA55,BA54,BA53,BA52,BA51,BA50,BA49,BA48,BA47,BA46,BA45,0)</f>
        <v>32.578133333333334</v>
      </c>
      <c r="BB44" s="283"/>
      <c r="BC44" s="62"/>
      <c r="BD44" s="289"/>
      <c r="BF44" s="19"/>
      <c r="BG44" s="57"/>
      <c r="BH44" s="57"/>
      <c r="BI44" s="57"/>
      <c r="BJ44" s="57"/>
      <c r="BK44" s="60"/>
    </row>
    <row r="45" spans="1:70" s="50" customFormat="1" ht="14.95" x14ac:dyDescent="0.25">
      <c r="A45" s="319">
        <f>H45*J45*(RIGHT(F45,2))*7.85/(10^6)</f>
        <v>546.36</v>
      </c>
      <c r="B45" s="319">
        <f t="shared" ref="B45:B51" si="33">A45*L45</f>
        <v>2185.44</v>
      </c>
      <c r="C45" s="322" t="s">
        <v>345</v>
      </c>
      <c r="D45" s="321" t="s">
        <v>76</v>
      </c>
      <c r="E45" s="331"/>
      <c r="F45" s="360" t="s">
        <v>82</v>
      </c>
      <c r="G45" s="321" t="s">
        <v>83</v>
      </c>
      <c r="H45" s="324">
        <v>580</v>
      </c>
      <c r="I45" s="322" t="s">
        <v>77</v>
      </c>
      <c r="J45" s="324">
        <v>12000</v>
      </c>
      <c r="K45" s="324">
        <v>1</v>
      </c>
      <c r="L45" s="324">
        <f>K$45*L$44</f>
        <v>4</v>
      </c>
      <c r="M45" s="319">
        <f t="shared" ref="M45:M51" si="34">2*H45*J45/10^6*L45</f>
        <v>55.68</v>
      </c>
      <c r="N45" s="118" t="s">
        <v>84</v>
      </c>
      <c r="P45" s="118"/>
      <c r="Q45" s="294">
        <f>8+5</f>
        <v>13</v>
      </c>
      <c r="R45" s="118"/>
      <c r="S45" s="118"/>
      <c r="T45" s="118"/>
      <c r="U45" s="118"/>
      <c r="V45" s="118"/>
      <c r="W45" s="118"/>
      <c r="X45" s="118"/>
      <c r="Y45" s="118"/>
      <c r="Z45" s="118"/>
      <c r="AA45" s="118"/>
      <c r="AB45" s="118" t="s">
        <v>78</v>
      </c>
      <c r="AC45" s="136">
        <f>((((H45+J45)*2/1000)*L45*(5/(VLOOKUP(F45,[2]Plasmalõikus!$A$7:$E$46,2,FALSE)/1000*60)))+(Q45*L45*(5*(VLOOKUP(F45,[2]Plasmalõikus!$A$7:$E$48,3,FALSE))/60/60)))</f>
        <v>3.9324444444444442</v>
      </c>
      <c r="AD45" s="353"/>
      <c r="AE45" s="136"/>
      <c r="AF45" s="137">
        <f>(H45*2)*20/60/1000*L45</f>
        <v>1.5466666666666666</v>
      </c>
      <c r="AG45" s="137">
        <f t="shared" ref="AG45:AG49" si="35">IF(VALUE(MID(F45,SEARCH(" ",F45)+1,LEN(F45)))&lt;35,0,IF(VALUE(MID(F45,SEARCH(" ",F45)+1,LEN(F45)))&lt;40,3,IF(VALUE(MID(F45,SEARCH(" ",F45)+1,LEN(F45)))&lt;50,4,IF(VALUE(MID(F45,SEARCH(" ",F45)+1,LEN(F45)))&lt;60,5,IF(VALUE(MID(F45,SEARCH(" ",F45)+1,LEN(F45)))&lt;70,6,IF(VALUE(MID(F45,SEARCH(" ",F45)+1,LEN(F45)))&lt;80,7,IF(VALUE(MID(F45,SEARCH(" ",F45)+1,LEN(F45)))&lt;90,8,IF(VALUE(MID(F45,SEARCH(" ",F45)+1,LEN(F45)))&lt;100,9,10))))))))/60*Q45*L45</f>
        <v>0</v>
      </c>
      <c r="AH45" s="136"/>
      <c r="AI45" s="132">
        <f t="shared" ref="AI45:AI51" si="36">AL45*L45/60</f>
        <v>8</v>
      </c>
      <c r="AJ45" s="70">
        <f>(J45*4*AK45)*L45/1000</f>
        <v>192</v>
      </c>
      <c r="AK45" s="69">
        <v>1</v>
      </c>
      <c r="AL45" s="165" t="str">
        <f>IF(AND(J45&gt;0,J45&lt;2999),"20",IF(AND(J45&gt;0,J45&lt;5999),"30",IF(AND(J45&gt;0,J45&lt;7999),"40",IF(AND(J45&gt;0,J45&lt;11999),"60",IF(AND(J45&gt;0,J45&lt;14999),"120",IF(AND(J45&gt;0,J45&lt;17999),"180",IF(AND(J45&gt;0,J45&lt;22000),"360","error")))))))</f>
        <v>120</v>
      </c>
      <c r="AP45" s="146">
        <f>(VLOOKUP(F45,Terasehind!$A$2:$B$171,2,FALSE))</f>
        <v>0.92</v>
      </c>
      <c r="AQ45" s="50">
        <f>(VLOOKUP(F45,Terasehind!$A$2:$C$171,3,FALSE))</f>
        <v>1.1000000000000001</v>
      </c>
      <c r="AR45" s="138">
        <f t="shared" ref="AR45:AR47" si="37">AP45*AQ45*B45</f>
        <v>2211.6652800000006</v>
      </c>
      <c r="AT45" s="62"/>
      <c r="AU45" s="62"/>
      <c r="AV45" s="62"/>
      <c r="AW45" s="62"/>
      <c r="AX45" s="62"/>
      <c r="AY45" s="62"/>
      <c r="AZ45" s="77"/>
      <c r="BA45" s="188"/>
      <c r="BB45" s="283"/>
      <c r="BC45" s="62"/>
      <c r="BD45" s="284"/>
      <c r="BE45" s="131"/>
      <c r="BF45"/>
      <c r="BG45" s="57"/>
      <c r="BH45" s="57"/>
      <c r="BI45" s="57"/>
      <c r="BJ45" s="57"/>
      <c r="BK45" s="57"/>
      <c r="BL45" s="109"/>
      <c r="BM45" s="109"/>
      <c r="BN45" s="109"/>
      <c r="BO45" s="83"/>
      <c r="BQ45" s="83"/>
      <c r="BR45" s="83"/>
    </row>
    <row r="46" spans="1:70" s="50" customFormat="1" ht="14.95" x14ac:dyDescent="0.25">
      <c r="A46" s="319">
        <f>H46*J46*(RIGHT(F46,2))*7.85/(10^6)</f>
        <v>33.783259999999999</v>
      </c>
      <c r="B46" s="319">
        <f t="shared" ref="B46" si="38">A46*L46</f>
        <v>135.13303999999999</v>
      </c>
      <c r="C46" s="322" t="s">
        <v>345</v>
      </c>
      <c r="D46" s="321" t="s">
        <v>76</v>
      </c>
      <c r="E46" s="331"/>
      <c r="F46" s="360" t="s">
        <v>82</v>
      </c>
      <c r="G46" s="321" t="s">
        <v>83</v>
      </c>
      <c r="H46" s="324">
        <v>580</v>
      </c>
      <c r="I46" s="322" t="s">
        <v>77</v>
      </c>
      <c r="J46" s="324">
        <f>J44-J45*K45</f>
        <v>742</v>
      </c>
      <c r="K46" s="324">
        <v>1</v>
      </c>
      <c r="L46" s="324">
        <f>K$46*L$44</f>
        <v>4</v>
      </c>
      <c r="M46" s="319">
        <f t="shared" ref="M46" si="39">2*H46*J46/10^6*L46</f>
        <v>3.4428800000000002</v>
      </c>
      <c r="N46" s="118" t="s">
        <v>84</v>
      </c>
      <c r="P46" s="118"/>
      <c r="Q46" s="294">
        <f>8+5</f>
        <v>13</v>
      </c>
      <c r="R46" s="118"/>
      <c r="S46" s="118"/>
      <c r="T46" s="118"/>
      <c r="U46" s="118"/>
      <c r="V46" s="118"/>
      <c r="W46" s="118"/>
      <c r="X46" s="118"/>
      <c r="Y46" s="118"/>
      <c r="Z46" s="118"/>
      <c r="AA46" s="118"/>
      <c r="AB46" s="118" t="s">
        <v>78</v>
      </c>
      <c r="AC46" s="136">
        <f>((((H46+J46)*2/1000)*L46*(5/(VLOOKUP(F46,[2]Plasmalõikus!$A$7:$E$46,2,FALSE)/1000*60)))+(Q46*L46*(5*(VLOOKUP(F46,[2]Plasmalõikus!$A$7:$E$48,3,FALSE))/60/60)))</f>
        <v>0.93031111111111109</v>
      </c>
      <c r="AD46" s="353"/>
      <c r="AE46" s="136"/>
      <c r="AF46" s="137">
        <f>(H46*2)*20/60/1000*L46</f>
        <v>1.5466666666666666</v>
      </c>
      <c r="AG46" s="137">
        <f t="shared" ref="AG46" si="40">IF(VALUE(MID(F46,SEARCH(" ",F46)+1,LEN(F46)))&lt;35,0,IF(VALUE(MID(F46,SEARCH(" ",F46)+1,LEN(F46)))&lt;40,3,IF(VALUE(MID(F46,SEARCH(" ",F46)+1,LEN(F46)))&lt;50,4,IF(VALUE(MID(F46,SEARCH(" ",F46)+1,LEN(F46)))&lt;60,5,IF(VALUE(MID(F46,SEARCH(" ",F46)+1,LEN(F46)))&lt;70,6,IF(VALUE(MID(F46,SEARCH(" ",F46)+1,LEN(F46)))&lt;80,7,IF(VALUE(MID(F46,SEARCH(" ",F46)+1,LEN(F46)))&lt;90,8,IF(VALUE(MID(F46,SEARCH(" ",F46)+1,LEN(F46)))&lt;100,9,10))))))))/60*Q46*L46</f>
        <v>0</v>
      </c>
      <c r="AH46" s="136"/>
      <c r="AI46" s="132">
        <f t="shared" ref="AI46" si="41">AL46*L46/60</f>
        <v>1.3333333333333333</v>
      </c>
      <c r="AJ46" s="70">
        <f>(H46*2*AK46)*1*L46/1000</f>
        <v>4.6399999999999997</v>
      </c>
      <c r="AK46" s="69">
        <v>1</v>
      </c>
      <c r="AL46" s="165" t="str">
        <f>IF(AND(J46&gt;0,J46&lt;2999),"20",IF(AND(J46&gt;0,J46&lt;5999),"30",IF(AND(J46&gt;0,J46&lt;7999),"40",IF(AND(J46&gt;0,J46&lt;11999),"60",IF(AND(J46&gt;0,J46&lt;14999),"120",IF(AND(J46&gt;0,J46&lt;17999),"180",IF(AND(J46&gt;0,J46&lt;22000),"360","error")))))))</f>
        <v>20</v>
      </c>
      <c r="AP46" s="146">
        <f>(VLOOKUP(F46,Terasehind!$A$2:$B$171,2,FALSE))</f>
        <v>0.92</v>
      </c>
      <c r="AQ46" s="50">
        <f>(VLOOKUP(F46,Terasehind!$A$2:$C$171,3,FALSE))</f>
        <v>1.1000000000000001</v>
      </c>
      <c r="AR46" s="138">
        <f t="shared" ref="AR46" si="42">AP46*AQ46*B46</f>
        <v>136.75463648000002</v>
      </c>
      <c r="AT46" s="62"/>
      <c r="AU46" s="62"/>
      <c r="AV46" s="62"/>
      <c r="AW46" s="62"/>
      <c r="AX46" s="62"/>
      <c r="AY46" s="62"/>
      <c r="AZ46" s="77"/>
      <c r="BA46" s="188"/>
      <c r="BB46" s="283"/>
      <c r="BC46" s="62"/>
      <c r="BD46" s="284"/>
      <c r="BE46" s="131"/>
      <c r="BF46"/>
      <c r="BG46" s="57"/>
      <c r="BH46" s="57"/>
      <c r="BI46" s="57"/>
      <c r="BJ46" s="57"/>
      <c r="BK46" s="57"/>
      <c r="BL46" s="109"/>
      <c r="BM46" s="109"/>
      <c r="BN46" s="109"/>
      <c r="BO46" s="83"/>
      <c r="BQ46" s="83"/>
      <c r="BR46" s="83"/>
    </row>
    <row r="47" spans="1:70" s="50" customFormat="1" ht="14.95" x14ac:dyDescent="0.25">
      <c r="A47" s="332">
        <f t="shared" ref="A47:A51" si="43">H47*J47*(RIGHT(F47,2))*7.85/(10^6)</f>
        <v>188.4</v>
      </c>
      <c r="B47" s="332">
        <f t="shared" si="33"/>
        <v>1507.2</v>
      </c>
      <c r="C47" s="333" t="s">
        <v>345</v>
      </c>
      <c r="D47" s="334" t="s">
        <v>81</v>
      </c>
      <c r="E47" s="334"/>
      <c r="F47" s="361" t="s">
        <v>82</v>
      </c>
      <c r="G47" s="334" t="s">
        <v>83</v>
      </c>
      <c r="H47" s="335">
        <v>200</v>
      </c>
      <c r="I47" s="333" t="s">
        <v>77</v>
      </c>
      <c r="J47" s="335">
        <f>J45</f>
        <v>12000</v>
      </c>
      <c r="K47" s="335">
        <v>2</v>
      </c>
      <c r="L47" s="335">
        <f>K$47*L$44</f>
        <v>8</v>
      </c>
      <c r="M47" s="332">
        <f t="shared" si="34"/>
        <v>38.4</v>
      </c>
      <c r="N47" s="118" t="s">
        <v>84</v>
      </c>
      <c r="P47" s="118"/>
      <c r="Q47" s="135">
        <f t="shared" ref="Q47:Q48" si="44">8+8</f>
        <v>16</v>
      </c>
      <c r="R47" s="118"/>
      <c r="S47" s="118"/>
      <c r="T47" s="118"/>
      <c r="U47" s="118"/>
      <c r="V47" s="118"/>
      <c r="W47" s="118"/>
      <c r="X47" s="118"/>
      <c r="Y47" s="118"/>
      <c r="Z47" s="118"/>
      <c r="AA47" s="118"/>
      <c r="AB47" s="118" t="s">
        <v>78</v>
      </c>
      <c r="AC47" s="136">
        <f>((((H47+J47)*2/1000)*L47*(5/(VLOOKUP(F47,[2]Plasmalõikus!$A$7:$E$46,2,FALSE)/1000*60)))+(Q47*L47*(5*(VLOOKUP(F47,[2]Plasmalõikus!$A$7:$E$48,3,FALSE))/60/60)))</f>
        <v>7.9288888888888884</v>
      </c>
      <c r="AD47" s="353"/>
      <c r="AE47" s="136"/>
      <c r="AF47" s="137">
        <f>(H47*2)*20/60/1000*L47</f>
        <v>1.0666666666666667</v>
      </c>
      <c r="AG47" s="137">
        <f t="shared" si="35"/>
        <v>0</v>
      </c>
      <c r="AH47" s="136"/>
      <c r="AI47" s="132">
        <f t="shared" si="36"/>
        <v>16</v>
      </c>
      <c r="AJ47" s="70"/>
      <c r="AL47" s="165" t="str">
        <f t="shared" ref="AL47" si="45">IF(AND(J47&gt;0,J47&lt;2999),"20",IF(AND(J47&gt;0,J47&lt;5999),"30",IF(AND(J47&gt;0,J47&lt;7999),"40",IF(AND(J47&gt;0,J47&lt;11999),"60",IF(AND(J47&gt;0,J47&lt;14999),"120",IF(AND(J47&gt;0,J47&lt;17999),"180",IF(AND(J47&gt;0,J47&lt;22000),"360","error")))))))</f>
        <v>120</v>
      </c>
      <c r="AN47" s="66"/>
      <c r="AP47" s="146">
        <f>(VLOOKUP(F47,Terasehind!$A$2:$B$171,2,FALSE))</f>
        <v>0.92</v>
      </c>
      <c r="AQ47" s="50">
        <f>(VLOOKUP(F47,Terasehind!$A$2:$C$171,3,FALSE))</f>
        <v>1.1000000000000001</v>
      </c>
      <c r="AR47" s="138">
        <f t="shared" si="37"/>
        <v>1525.2864000000004</v>
      </c>
      <c r="AT47" s="62"/>
      <c r="AU47" s="62"/>
      <c r="AV47" s="62"/>
      <c r="AW47" s="62"/>
      <c r="AX47" s="57"/>
      <c r="AY47" s="62"/>
      <c r="AZ47" s="77"/>
      <c r="BA47" s="188">
        <f t="shared" ref="BA47:BA51" si="46">(H47*2+J47*2)*2*2/60/1000*L47</f>
        <v>13.013333333333334</v>
      </c>
      <c r="BB47" s="283"/>
      <c r="BC47" s="62"/>
      <c r="BD47" s="284"/>
      <c r="BE47" s="131"/>
      <c r="BF47"/>
      <c r="BG47" s="57"/>
      <c r="BH47" s="57"/>
      <c r="BI47" s="57"/>
      <c r="BJ47" s="57"/>
      <c r="BK47" s="57"/>
      <c r="BL47" s="109"/>
      <c r="BM47" s="109"/>
      <c r="BN47" s="109"/>
      <c r="BO47" s="83"/>
      <c r="BQ47" s="83"/>
      <c r="BR47" s="83"/>
    </row>
    <row r="48" spans="1:70" s="50" customFormat="1" ht="14.95" x14ac:dyDescent="0.25">
      <c r="A48" s="332">
        <f t="shared" ref="A48" si="47">H48*J48*(RIGHT(F48,2))*7.85/(10^6)</f>
        <v>11.6494</v>
      </c>
      <c r="B48" s="332">
        <f t="shared" ref="B48" si="48">A48*L48</f>
        <v>93.1952</v>
      </c>
      <c r="C48" s="333" t="s">
        <v>345</v>
      </c>
      <c r="D48" s="334" t="s">
        <v>81</v>
      </c>
      <c r="E48" s="334"/>
      <c r="F48" s="361" t="s">
        <v>82</v>
      </c>
      <c r="G48" s="334" t="s">
        <v>83</v>
      </c>
      <c r="H48" s="335">
        <v>200</v>
      </c>
      <c r="I48" s="333" t="s">
        <v>77</v>
      </c>
      <c r="J48" s="335">
        <f>J46</f>
        <v>742</v>
      </c>
      <c r="K48" s="335">
        <v>2</v>
      </c>
      <c r="L48" s="335">
        <f>K$48*L$44</f>
        <v>8</v>
      </c>
      <c r="M48" s="332">
        <f t="shared" ref="M48" si="49">2*H48*J48/10^6*L48</f>
        <v>2.3744000000000001</v>
      </c>
      <c r="N48" s="118" t="s">
        <v>84</v>
      </c>
      <c r="P48" s="118"/>
      <c r="Q48" s="135">
        <f t="shared" si="44"/>
        <v>16</v>
      </c>
      <c r="R48" s="118"/>
      <c r="S48" s="118"/>
      <c r="T48" s="118"/>
      <c r="U48" s="118"/>
      <c r="V48" s="118"/>
      <c r="W48" s="118"/>
      <c r="X48" s="118"/>
      <c r="Y48" s="118"/>
      <c r="Z48" s="118"/>
      <c r="AA48" s="118"/>
      <c r="AB48" s="118" t="s">
        <v>78</v>
      </c>
      <c r="AC48" s="136">
        <f>((((H48+J48)*2/1000)*L48*(5/(VLOOKUP(F48,[2]Plasmalõikus!$A$7:$E$46,2,FALSE)/1000*60)))+(Q48*L48*(5*(VLOOKUP(F48,[2]Plasmalõikus!$A$7:$E$48,3,FALSE))/60/60)))</f>
        <v>1.924622222222222</v>
      </c>
      <c r="AD48" s="353"/>
      <c r="AE48" s="136"/>
      <c r="AF48" s="137">
        <f>(H48*2)*20/60/1000*L48</f>
        <v>1.0666666666666667</v>
      </c>
      <c r="AG48" s="137">
        <f t="shared" ref="AG48" si="50">IF(VALUE(MID(F48,SEARCH(" ",F48)+1,LEN(F48)))&lt;35,0,IF(VALUE(MID(F48,SEARCH(" ",F48)+1,LEN(F48)))&lt;40,3,IF(VALUE(MID(F48,SEARCH(" ",F48)+1,LEN(F48)))&lt;50,4,IF(VALUE(MID(F48,SEARCH(" ",F48)+1,LEN(F48)))&lt;60,5,IF(VALUE(MID(F48,SEARCH(" ",F48)+1,LEN(F48)))&lt;70,6,IF(VALUE(MID(F48,SEARCH(" ",F48)+1,LEN(F48)))&lt;80,7,IF(VALUE(MID(F48,SEARCH(" ",F48)+1,LEN(F48)))&lt;90,8,IF(VALUE(MID(F48,SEARCH(" ",F48)+1,LEN(F48)))&lt;100,9,10))))))))/60*Q48*L48</f>
        <v>0</v>
      </c>
      <c r="AH48" s="136"/>
      <c r="AI48" s="132">
        <f t="shared" ref="AI48" si="51">AL48*L48/60</f>
        <v>2.6666666666666665</v>
      </c>
      <c r="AJ48" s="70">
        <f>(H48*2*AK48)*1*L48/1000</f>
        <v>3.2</v>
      </c>
      <c r="AK48" s="69">
        <v>1</v>
      </c>
      <c r="AL48" s="165" t="str">
        <f t="shared" ref="AL48" si="52">IF(AND(J48&gt;0,J48&lt;2999),"20",IF(AND(J48&gt;0,J48&lt;5999),"30",IF(AND(J48&gt;0,J48&lt;7999),"40",IF(AND(J48&gt;0,J48&lt;11999),"60",IF(AND(J48&gt;0,J48&lt;14999),"120",IF(AND(J48&gt;0,J48&lt;17999),"180",IF(AND(J48&gt;0,J48&lt;22000),"360","error")))))))</f>
        <v>20</v>
      </c>
      <c r="AN48" s="66"/>
      <c r="AP48" s="146">
        <f>(VLOOKUP(F48,Terasehind!$A$2:$B$171,2,FALSE))</f>
        <v>0.92</v>
      </c>
      <c r="AQ48" s="50">
        <f>(VLOOKUP(F48,Terasehind!$A$2:$C$171,3,FALSE))</f>
        <v>1.1000000000000001</v>
      </c>
      <c r="AR48" s="138">
        <f t="shared" ref="AR48" si="53">AP48*AQ48*B48</f>
        <v>94.313542400000017</v>
      </c>
      <c r="AT48" s="62"/>
      <c r="AU48" s="62"/>
      <c r="AV48" s="62"/>
      <c r="AW48" s="62"/>
      <c r="AX48" s="57"/>
      <c r="AY48" s="62"/>
      <c r="AZ48" s="77"/>
      <c r="BA48" s="188">
        <f t="shared" ref="BA48" si="54">(H48*2+J48*2)*2*2/60/1000*L48</f>
        <v>1.0047999999999999</v>
      </c>
      <c r="BB48" s="283"/>
      <c r="BC48" s="62"/>
      <c r="BD48" s="284"/>
      <c r="BE48" s="131"/>
      <c r="BF48"/>
      <c r="BG48" s="57"/>
      <c r="BH48" s="57"/>
      <c r="BI48" s="57"/>
      <c r="BJ48" s="57"/>
      <c r="BK48" s="57"/>
      <c r="BL48" s="109"/>
      <c r="BM48" s="109"/>
      <c r="BN48" s="109"/>
      <c r="BO48" s="83"/>
      <c r="BQ48" s="83"/>
      <c r="BR48" s="83"/>
    </row>
    <row r="49" spans="1:70" s="50" customFormat="1" ht="14.95" x14ac:dyDescent="0.25">
      <c r="A49" s="116">
        <f t="shared" si="43"/>
        <v>24.727499999999999</v>
      </c>
      <c r="B49" s="116">
        <f t="shared" si="33"/>
        <v>98.91</v>
      </c>
      <c r="C49" s="118" t="s">
        <v>346</v>
      </c>
      <c r="D49" s="117" t="s">
        <v>85</v>
      </c>
      <c r="E49" s="117"/>
      <c r="F49" s="355" t="s">
        <v>90</v>
      </c>
      <c r="G49" s="117" t="s">
        <v>83</v>
      </c>
      <c r="H49" s="119">
        <v>210</v>
      </c>
      <c r="I49" s="118" t="s">
        <v>77</v>
      </c>
      <c r="J49" s="119">
        <v>600</v>
      </c>
      <c r="K49" s="119">
        <v>1</v>
      </c>
      <c r="L49" s="119">
        <f>K$49*L$44</f>
        <v>4</v>
      </c>
      <c r="M49" s="116">
        <f t="shared" si="34"/>
        <v>1.008</v>
      </c>
      <c r="N49" s="118" t="s">
        <v>84</v>
      </c>
      <c r="P49" s="118"/>
      <c r="Q49" s="135">
        <v>8</v>
      </c>
      <c r="R49" s="118"/>
      <c r="S49" s="118"/>
      <c r="T49" s="118"/>
      <c r="U49" s="118"/>
      <c r="V49" s="118"/>
      <c r="W49" s="118"/>
      <c r="X49" s="118"/>
      <c r="Y49" s="118"/>
      <c r="Z49" s="118"/>
      <c r="AA49" s="118"/>
      <c r="AB49" s="118" t="s">
        <v>78</v>
      </c>
      <c r="AC49" s="136">
        <f>((((H49+J49)*2/1000)*L49*(5/(VLOOKUP(F49,[2]Plasmalõikus!$A$7:$E$46,2,FALSE)/1000*60)))+(Q49*L49*(5*(VLOOKUP(F49,[2]Plasmalõikus!$A$7:$E$48,3,FALSE))/60/60)))</f>
        <v>1.1857142857142857</v>
      </c>
      <c r="AD49" s="353"/>
      <c r="AE49" s="136"/>
      <c r="AF49" s="137"/>
      <c r="AG49" s="137">
        <f t="shared" si="35"/>
        <v>0</v>
      </c>
      <c r="AH49" s="136"/>
      <c r="AI49" s="132">
        <f t="shared" si="36"/>
        <v>2</v>
      </c>
      <c r="AJ49" s="70">
        <f>(H49*4*AK49+J49*2*AK49)*L49/1000</f>
        <v>16.32</v>
      </c>
      <c r="AK49" s="50">
        <v>2</v>
      </c>
      <c r="AL49" s="69" t="str">
        <f>IF(AND(Q49&gt;0,A49&lt;3),"10",IF(AND(Q49&gt;0,A49&lt;10),"15",IF(AND(Q49&gt;0,A49&lt;20),"20",IF(AND(Q49&gt;0,A49&lt;500),"30",IF(AND(Q49=0,A49&lt;3),"2",IF(AND(Q49=0,A49&lt;10),"5",IF(AND(Q49=0,A49&lt;20),"10",IF(AND(Q49=0,A49&lt;500),"20","2"))))))))</f>
        <v>30</v>
      </c>
      <c r="AN49" s="66"/>
      <c r="AP49" s="146">
        <f>(VLOOKUP(F49,Terasehind!$A$2:$B$171,2,FALSE))</f>
        <v>0.92</v>
      </c>
      <c r="AQ49" s="50">
        <f>(VLOOKUP(F49,Terasehind!$A$2:$C$171,3,FALSE))</f>
        <v>1.1000000000000001</v>
      </c>
      <c r="AR49" s="138">
        <f>AP49*AQ49*B49</f>
        <v>100.09692000000003</v>
      </c>
      <c r="AT49" s="62"/>
      <c r="AU49" s="62"/>
      <c r="AV49" s="62"/>
      <c r="AW49" s="62"/>
      <c r="AX49" s="62"/>
      <c r="AY49" s="62"/>
      <c r="AZ49" s="77"/>
      <c r="BA49" s="188">
        <f t="shared" si="46"/>
        <v>0.432</v>
      </c>
      <c r="BB49" s="283"/>
      <c r="BC49" s="62"/>
      <c r="BD49" s="284"/>
      <c r="BE49" s="131"/>
      <c r="BF49"/>
      <c r="BG49" s="57"/>
      <c r="BH49" s="57"/>
      <c r="BI49" s="57"/>
      <c r="BJ49" s="57"/>
      <c r="BK49" s="57"/>
      <c r="BL49" s="109"/>
      <c r="BM49" s="109"/>
      <c r="BN49" s="109"/>
      <c r="BO49" s="83"/>
      <c r="BQ49" s="83"/>
      <c r="BR49" s="83"/>
    </row>
    <row r="50" spans="1:70" s="50" customFormat="1" ht="14.95" x14ac:dyDescent="0.25">
      <c r="A50" s="116">
        <f t="shared" ref="A50" si="55">H50*J50*(RIGHT(F50,2))*7.85/(10^6)</f>
        <v>9.891</v>
      </c>
      <c r="B50" s="116">
        <f t="shared" ref="B50" si="56">A50*L50</f>
        <v>39.564</v>
      </c>
      <c r="C50" s="118" t="s">
        <v>346</v>
      </c>
      <c r="D50" s="117" t="s">
        <v>88</v>
      </c>
      <c r="E50" s="117"/>
      <c r="F50" s="355" t="s">
        <v>82</v>
      </c>
      <c r="G50" s="117" t="s">
        <v>83</v>
      </c>
      <c r="H50" s="119">
        <v>210</v>
      </c>
      <c r="I50" s="118" t="s">
        <v>77</v>
      </c>
      <c r="J50" s="119">
        <v>600</v>
      </c>
      <c r="K50" s="119">
        <v>1</v>
      </c>
      <c r="L50" s="119">
        <f>K$50*L$44</f>
        <v>4</v>
      </c>
      <c r="M50" s="116">
        <f t="shared" ref="M50" si="57">2*H50*J50/10^6*L50</f>
        <v>1.008</v>
      </c>
      <c r="N50" s="118" t="s">
        <v>84</v>
      </c>
      <c r="P50" s="118"/>
      <c r="Q50" s="135">
        <v>8</v>
      </c>
      <c r="R50" s="118"/>
      <c r="S50" s="118"/>
      <c r="T50" s="118"/>
      <c r="U50" s="118"/>
      <c r="V50" s="118"/>
      <c r="W50" s="118"/>
      <c r="X50" s="118"/>
      <c r="Y50" s="118"/>
      <c r="Z50" s="118"/>
      <c r="AA50" s="118"/>
      <c r="AB50" s="118" t="s">
        <v>78</v>
      </c>
      <c r="AC50" s="136">
        <f>((((H50+J50)*2/1000)*L50*(5/(VLOOKUP(F50,[2]Plasmalõikus!$A$7:$E$46,2,FALSE)/1000*60)))+(Q50*L50*(5*(VLOOKUP(F50,[2]Plasmalõikus!$A$7:$E$48,3,FALSE))/60/60)))</f>
        <v>0.57155555555555548</v>
      </c>
      <c r="AD50" s="353"/>
      <c r="AE50" s="136"/>
      <c r="AF50" s="137"/>
      <c r="AG50" s="137">
        <f t="shared" ref="AG50" si="58">IF(VALUE(MID(F50,SEARCH(" ",F50)+1,LEN(F50)))&lt;35,0,IF(VALUE(MID(F50,SEARCH(" ",F50)+1,LEN(F50)))&lt;40,3,IF(VALUE(MID(F50,SEARCH(" ",F50)+1,LEN(F50)))&lt;50,4,IF(VALUE(MID(F50,SEARCH(" ",F50)+1,LEN(F50)))&lt;60,5,IF(VALUE(MID(F50,SEARCH(" ",F50)+1,LEN(F50)))&lt;70,6,IF(VALUE(MID(F50,SEARCH(" ",F50)+1,LEN(F50)))&lt;80,7,IF(VALUE(MID(F50,SEARCH(" ",F50)+1,LEN(F50)))&lt;90,8,IF(VALUE(MID(F50,SEARCH(" ",F50)+1,LEN(F50)))&lt;100,9,10))))))))/60*Q50*L50</f>
        <v>0</v>
      </c>
      <c r="AH50" s="136"/>
      <c r="AI50" s="132">
        <f t="shared" ref="AI50" si="59">AL50*L50/60</f>
        <v>1</v>
      </c>
      <c r="AJ50" s="70">
        <f>(H50*4*AK50+J50*2*AK50)*L50/1000</f>
        <v>16.32</v>
      </c>
      <c r="AK50" s="50">
        <v>2</v>
      </c>
      <c r="AL50" s="69" t="str">
        <f>IF(AND(Q50&gt;0,A50&lt;3),"10",IF(AND(Q50&gt;0,A50&lt;10),"15",IF(AND(Q50&gt;0,A50&lt;20),"20",IF(AND(Q50&gt;0,A50&lt;500),"30",IF(AND(Q50=0,A50&lt;3),"2",IF(AND(Q50=0,A50&lt;10),"5",IF(AND(Q50=0,A50&lt;20),"10",IF(AND(Q50=0,A50&lt;500),"20","2"))))))))</f>
        <v>15</v>
      </c>
      <c r="AN50" s="66"/>
      <c r="AP50" s="146">
        <f>(VLOOKUP(F50,Terasehind!$A$2:$B$171,2,FALSE))</f>
        <v>0.92</v>
      </c>
      <c r="AQ50" s="50">
        <f>(VLOOKUP(F50,Terasehind!$A$2:$C$171,3,FALSE))</f>
        <v>1.1000000000000001</v>
      </c>
      <c r="AR50" s="138">
        <f>AP50*AQ50*B50</f>
        <v>40.038768000000012</v>
      </c>
      <c r="AT50" s="62"/>
      <c r="AU50" s="62"/>
      <c r="AV50" s="62"/>
      <c r="AW50" s="62"/>
      <c r="AX50" s="62"/>
      <c r="AY50" s="62"/>
      <c r="AZ50" s="77"/>
      <c r="BA50" s="188">
        <f t="shared" ref="BA50" si="60">(H50*2+J50*2)*2*2/60/1000*L50</f>
        <v>0.432</v>
      </c>
      <c r="BB50" s="283"/>
      <c r="BC50" s="62"/>
      <c r="BD50" s="284"/>
      <c r="BE50" s="131"/>
      <c r="BF50"/>
      <c r="BG50" s="57"/>
      <c r="BH50" s="57"/>
      <c r="BI50" s="57"/>
      <c r="BJ50" s="57"/>
      <c r="BK50" s="57"/>
      <c r="BL50" s="109"/>
      <c r="BM50" s="109"/>
      <c r="BN50" s="109"/>
      <c r="BO50" s="83"/>
      <c r="BQ50" s="83"/>
      <c r="BR50" s="83"/>
    </row>
    <row r="51" spans="1:70" s="50" customFormat="1" ht="14.95" x14ac:dyDescent="0.25">
      <c r="A51" s="116">
        <f t="shared" si="43"/>
        <v>4.4744999999999999</v>
      </c>
      <c r="B51" s="116">
        <f t="shared" si="33"/>
        <v>71.591999999999999</v>
      </c>
      <c r="C51" s="118" t="s">
        <v>383</v>
      </c>
      <c r="D51" s="117" t="s">
        <v>340</v>
      </c>
      <c r="E51" s="117"/>
      <c r="F51" s="355" t="s">
        <v>87</v>
      </c>
      <c r="G51" s="117" t="s">
        <v>83</v>
      </c>
      <c r="H51" s="119">
        <v>95</v>
      </c>
      <c r="I51" s="118" t="s">
        <v>77</v>
      </c>
      <c r="J51" s="119">
        <v>400</v>
      </c>
      <c r="K51" s="119">
        <v>4</v>
      </c>
      <c r="L51" s="119">
        <f>K$51*L$44</f>
        <v>16</v>
      </c>
      <c r="M51" s="116">
        <f t="shared" si="34"/>
        <v>1.216</v>
      </c>
      <c r="N51" s="118" t="s">
        <v>84</v>
      </c>
      <c r="P51" s="118"/>
      <c r="Q51" s="135"/>
      <c r="R51" s="118"/>
      <c r="S51" s="118"/>
      <c r="T51" s="118"/>
      <c r="U51" s="118"/>
      <c r="V51" s="118"/>
      <c r="W51" s="118"/>
      <c r="X51" s="118"/>
      <c r="Y51" s="118"/>
      <c r="Z51" s="118"/>
      <c r="AA51" s="118"/>
      <c r="AB51" s="118" t="s">
        <v>78</v>
      </c>
      <c r="AC51" s="136">
        <f>((((H51+J51)*2/1000)*L51*(5/(VLOOKUP(F51,[2]Plasmalõikus!$A$7:$E$46,2,FALSE)/1000*60)))+(Q51*L51*(5*(VLOOKUP(F51,[2]Plasmalõikus!$A$7:$E$48,3,FALSE))/60/60)))</f>
        <v>0.73333333333333328</v>
      </c>
      <c r="AD51" s="353"/>
      <c r="AE51" s="136"/>
      <c r="AF51" s="137">
        <f>(H51*2+J51*2)*20/60/1000*L51</f>
        <v>5.28</v>
      </c>
      <c r="AG51" s="137">
        <f>IF(VALUE(MID(F51,SEARCH(" ",F51)+1,LEN(F51)))&lt;35,0,IF(VALUE(MID(F51,SEARCH(" ",F51)+1,LEN(F51)))&lt;40,3,IF(VALUE(MID(F51,SEARCH(" ",F51)+1,LEN(F51)))&lt;50,4,IF(VALUE(MID(F51,SEARCH(" ",F51)+1,LEN(F51)))&lt;60,5,IF(VALUE(MID(F51,SEARCH(" ",F51)+1,LEN(F51)))&lt;70,6,IF(VALUE(MID(F51,SEARCH(" ",F51)+1,LEN(F51)))&lt;80,7,IF(VALUE(MID(F51,SEARCH(" ",F51)+1,LEN(F51)))&lt;90,8,IF(VALUE(MID(F51,SEARCH(" ",F51)+1,LEN(F51)))&lt;100,9,10))))))))/60*Q51*L51</f>
        <v>0</v>
      </c>
      <c r="AH51" s="136"/>
      <c r="AI51" s="132">
        <f t="shared" si="36"/>
        <v>1.3333333333333333</v>
      </c>
      <c r="AJ51" s="70">
        <f>(H51*2*AK51+J51*2*AK51)*L51/1000</f>
        <v>31.68</v>
      </c>
      <c r="AK51" s="50">
        <v>2</v>
      </c>
      <c r="AL51" s="69" t="str">
        <f>IF(AND(Q51&gt;0,A51&lt;3),"10",IF(AND(Q51&gt;0,A51&lt;10),"15",IF(AND(Q51&gt;0,A51&lt;20),"20",IF(AND(Q51&gt;0,A51&lt;500),"30",IF(AND(Q51=0,A51&lt;3),"2",IF(AND(Q51=0,A51&lt;10),"5",IF(AND(Q51=0,A51&lt;20),"10",IF(AND(Q51=0,A51&lt;500),"20","2"))))))))</f>
        <v>5</v>
      </c>
      <c r="AN51" s="66"/>
      <c r="AP51" s="146">
        <f>(VLOOKUP(F51,Terasehind!$A$2:$B$171,2,FALSE))</f>
        <v>0.92</v>
      </c>
      <c r="AQ51" s="50">
        <f>(VLOOKUP(F51,Terasehind!$A$2:$C$171,3,FALSE))</f>
        <v>1.1000000000000001</v>
      </c>
      <c r="AR51" s="138">
        <f t="shared" ref="AR51" si="61">AP51*AQ51*B51</f>
        <v>72.451104000000015</v>
      </c>
      <c r="AT51" s="62"/>
      <c r="AU51" s="62"/>
      <c r="AV51" s="62"/>
      <c r="AW51" s="62"/>
      <c r="AX51" s="62"/>
      <c r="AY51" s="62"/>
      <c r="AZ51" s="77"/>
      <c r="BA51" s="188">
        <f t="shared" si="46"/>
        <v>1.056</v>
      </c>
      <c r="BB51" s="283"/>
      <c r="BC51" s="62"/>
      <c r="BD51" s="284"/>
      <c r="BE51" s="131"/>
      <c r="BF51"/>
      <c r="BG51" s="57"/>
      <c r="BH51" s="57"/>
      <c r="BI51" s="57"/>
      <c r="BJ51" s="57"/>
      <c r="BK51" s="57"/>
      <c r="BL51" s="109"/>
      <c r="BM51" s="109"/>
      <c r="BN51" s="109"/>
      <c r="BO51" s="83"/>
      <c r="BQ51" s="83"/>
      <c r="BR51" s="83"/>
    </row>
    <row r="52" spans="1:70" s="50" customFormat="1" ht="14.95" x14ac:dyDescent="0.25">
      <c r="A52" s="116">
        <f t="shared" ref="A52" si="62">H52*J52*(RIGHT(F52,2))*7.85/(10^6)</f>
        <v>4.0976999999999997</v>
      </c>
      <c r="B52" s="116">
        <f t="shared" ref="B52" si="63">A52*L52</f>
        <v>65.563199999999995</v>
      </c>
      <c r="C52" s="118" t="s">
        <v>411</v>
      </c>
      <c r="D52" s="117" t="s">
        <v>341</v>
      </c>
      <c r="E52" s="117"/>
      <c r="F52" s="355" t="s">
        <v>82</v>
      </c>
      <c r="G52" s="117" t="s">
        <v>83</v>
      </c>
      <c r="H52" s="119">
        <v>90</v>
      </c>
      <c r="I52" s="118" t="s">
        <v>77</v>
      </c>
      <c r="J52" s="119">
        <v>580</v>
      </c>
      <c r="K52" s="119">
        <v>4</v>
      </c>
      <c r="L52" s="119">
        <f>K$52*L$44</f>
        <v>16</v>
      </c>
      <c r="M52" s="116">
        <f t="shared" ref="M52" si="64">2*H52*J52/10^6*L52</f>
        <v>1.6704000000000001</v>
      </c>
      <c r="N52" s="118" t="s">
        <v>84</v>
      </c>
      <c r="P52" s="118"/>
      <c r="Q52" s="135"/>
      <c r="R52" s="118"/>
      <c r="S52" s="118"/>
      <c r="T52" s="118"/>
      <c r="U52" s="118"/>
      <c r="V52" s="118"/>
      <c r="W52" s="118"/>
      <c r="X52" s="118"/>
      <c r="Y52" s="118"/>
      <c r="Z52" s="118"/>
      <c r="AA52" s="118"/>
      <c r="AB52" s="118" t="s">
        <v>78</v>
      </c>
      <c r="AC52" s="136">
        <f>((((H52+J52)*2/1000)*L52*(5/(VLOOKUP(F52,[2]Plasmalõikus!$A$7:$E$46,2,FALSE)/1000*60)))+(Q52*L52*(5*(VLOOKUP(F52,[2]Plasmalõikus!$A$7:$E$48,3,FALSE))/60/60)))</f>
        <v>0.71466666666666667</v>
      </c>
      <c r="AD52" s="353"/>
      <c r="AE52" s="136"/>
      <c r="AF52" s="137">
        <f>(H52*2+J52*2)*20/60/1000*L52</f>
        <v>7.1466666666666674</v>
      </c>
      <c r="AG52" s="137">
        <f>IF(VALUE(MID(F52,SEARCH(" ",F52)+1,LEN(F52)))&lt;35,0,IF(VALUE(MID(F52,SEARCH(" ",F52)+1,LEN(F52)))&lt;40,3,IF(VALUE(MID(F52,SEARCH(" ",F52)+1,LEN(F52)))&lt;50,4,IF(VALUE(MID(F52,SEARCH(" ",F52)+1,LEN(F52)))&lt;60,5,IF(VALUE(MID(F52,SEARCH(" ",F52)+1,LEN(F52)))&lt;70,6,IF(VALUE(MID(F52,SEARCH(" ",F52)+1,LEN(F52)))&lt;80,7,IF(VALUE(MID(F52,SEARCH(" ",F52)+1,LEN(F52)))&lt;90,8,IF(VALUE(MID(F52,SEARCH(" ",F52)+1,LEN(F52)))&lt;100,9,10))))))))/60*Q52*L52</f>
        <v>0</v>
      </c>
      <c r="AH52" s="136"/>
      <c r="AI52" s="132">
        <f t="shared" ref="AI52:AI54" si="65">AL52*L52/60</f>
        <v>1.3333333333333333</v>
      </c>
      <c r="AJ52" s="70">
        <f>(H52*2*AK52+J52*2*AK52)*L52/1000</f>
        <v>42.88</v>
      </c>
      <c r="AK52" s="50">
        <v>2</v>
      </c>
      <c r="AL52" s="69" t="str">
        <f>IF(AND(Q52&gt;0,A52&lt;3),"10",IF(AND(Q52&gt;0,A52&lt;10),"15",IF(AND(Q52&gt;0,A52&lt;20),"20",IF(AND(Q52&gt;0,A52&lt;500),"30",IF(AND(Q52=0,A52&lt;3),"2",IF(AND(Q52=0,A52&lt;10),"5",IF(AND(Q52=0,A52&lt;20),"10",IF(AND(Q52=0,A52&lt;500),"20","2"))))))))</f>
        <v>5</v>
      </c>
      <c r="AN52" s="66"/>
      <c r="AP52" s="146">
        <f>(VLOOKUP(F52,Terasehind!$A$2:$B$171,2,FALSE))</f>
        <v>0.92</v>
      </c>
      <c r="AQ52" s="50">
        <f>(VLOOKUP(F52,Terasehind!$A$2:$C$171,3,FALSE))</f>
        <v>1.1000000000000001</v>
      </c>
      <c r="AR52" s="138">
        <f t="shared" ref="AR52:AR53" si="66">AP52*AQ52*B52</f>
        <v>66.349958400000006</v>
      </c>
      <c r="AT52" s="62"/>
      <c r="AU52" s="62"/>
      <c r="AV52" s="62"/>
      <c r="AW52" s="62"/>
      <c r="AX52" s="62"/>
      <c r="AY52" s="62"/>
      <c r="AZ52" s="77"/>
      <c r="BA52" s="188">
        <f t="shared" ref="BA52" si="67">(H52*2+J52*2)*2*2/60/1000*L52</f>
        <v>1.4293333333333333</v>
      </c>
      <c r="BB52" s="283"/>
      <c r="BC52" s="62"/>
      <c r="BD52" s="284"/>
      <c r="BE52" s="131"/>
      <c r="BF52"/>
      <c r="BG52" s="57"/>
      <c r="BH52" s="57"/>
      <c r="BI52" s="57"/>
      <c r="BJ52" s="57"/>
      <c r="BK52" s="57"/>
      <c r="BL52" s="109"/>
      <c r="BM52" s="109"/>
      <c r="BN52" s="109"/>
      <c r="BO52" s="83"/>
      <c r="BQ52" s="83"/>
      <c r="BR52" s="83"/>
    </row>
    <row r="53" spans="1:70" s="50" customFormat="1" ht="14.95" x14ac:dyDescent="0.25">
      <c r="A53" s="116">
        <f xml:space="preserve"> 22.3*J53/10^3</f>
        <v>145.619</v>
      </c>
      <c r="B53" s="116">
        <f>A53*L53</f>
        <v>1164.952</v>
      </c>
      <c r="C53" s="295"/>
      <c r="D53" s="117" t="s">
        <v>342</v>
      </c>
      <c r="E53" s="117"/>
      <c r="F53" s="355" t="s">
        <v>462</v>
      </c>
      <c r="G53" s="140" t="s">
        <v>79</v>
      </c>
      <c r="H53" s="119">
        <v>200</v>
      </c>
      <c r="I53" s="118" t="s">
        <v>77</v>
      </c>
      <c r="J53" s="119">
        <v>6530</v>
      </c>
      <c r="K53" s="119">
        <v>2</v>
      </c>
      <c r="L53" s="119">
        <f>K$53*L$44</f>
        <v>8</v>
      </c>
      <c r="M53" s="131">
        <f xml:space="preserve"> 0.583*J53*L53/10^3</f>
        <v>30.455919999999999</v>
      </c>
      <c r="N53" s="118"/>
      <c r="O53" s="118"/>
      <c r="P53" s="118" t="s">
        <v>78</v>
      </c>
      <c r="Q53" s="135"/>
      <c r="R53" s="118"/>
      <c r="S53" s="118"/>
      <c r="T53" s="118"/>
      <c r="U53" s="118"/>
      <c r="V53" s="118"/>
      <c r="W53" s="118"/>
      <c r="Y53" s="118"/>
      <c r="Z53" s="118"/>
      <c r="AA53" s="118"/>
      <c r="AB53" s="118" t="s">
        <v>78</v>
      </c>
      <c r="AC53" s="136"/>
      <c r="AD53" s="83"/>
      <c r="AE53" s="136">
        <f t="shared" ref="AE53" si="68">(H53/20/60)*2*L53</f>
        <v>2.6666666666666665</v>
      </c>
      <c r="AF53" s="137"/>
      <c r="AG53" s="132">
        <f>L53*5/60</f>
        <v>0.66666666666666663</v>
      </c>
      <c r="AH53" s="83"/>
      <c r="AI53" s="132">
        <f t="shared" si="65"/>
        <v>4</v>
      </c>
      <c r="AJ53" s="70">
        <f>(J53*2*AK53)*1/2*L53/1000+(H53*4*AK53)*2*L53/1000</f>
        <v>65.040000000000006</v>
      </c>
      <c r="AK53" s="50">
        <v>1</v>
      </c>
      <c r="AL53" s="69">
        <f>VLOOKUP(F53,[2]Koostamine!$A$12:$P$1612,IF(J53&lt;1499,11,IF(J53&lt;2999,12,IF(J53&lt;5999,13,IF(J53&lt;9999,14,IF(J53&lt;12999,15,IF(J53&gt;13000,16)))))),FALSE)</f>
        <v>30</v>
      </c>
      <c r="AP53" s="146">
        <f>(VLOOKUP(F53,Terasehind!$A$2:$B$171,2,FALSE))</f>
        <v>0.94</v>
      </c>
      <c r="AQ53" s="50">
        <f>(VLOOKUP(F53,Terasehind!$A$2:$C$171,3,FALSE))</f>
        <v>1.1000000000000001</v>
      </c>
      <c r="AR53" s="138">
        <f t="shared" si="66"/>
        <v>1204.5603679999999</v>
      </c>
      <c r="AT53" s="60"/>
      <c r="AU53" s="77"/>
      <c r="AV53" s="77"/>
      <c r="AW53" s="77"/>
      <c r="AX53" s="121"/>
      <c r="AY53" s="77"/>
      <c r="AZ53" s="77"/>
      <c r="BA53" s="188">
        <f>(H53*6*2+J53*8)*2/60/1000*L53</f>
        <v>14.570666666666666</v>
      </c>
      <c r="BB53" s="283"/>
      <c r="BC53" s="62"/>
      <c r="BD53" s="284"/>
      <c r="BE53" s="131"/>
      <c r="BF53"/>
      <c r="BG53" s="57"/>
      <c r="BH53" s="57"/>
      <c r="BI53" s="57"/>
      <c r="BJ53" s="57"/>
      <c r="BK53" s="57"/>
      <c r="BL53" s="60"/>
      <c r="BM53" s="57"/>
      <c r="BN53" s="60"/>
      <c r="BO53" s="83"/>
      <c r="BQ53" s="109"/>
    </row>
    <row r="54" spans="1:70" s="50" customFormat="1" ht="14.95" x14ac:dyDescent="0.25">
      <c r="A54" s="116">
        <f t="shared" ref="A54" si="69">H54*J54*(RIGHT(F54,2))*7.85/(10^6)</f>
        <v>0.78500000000000003</v>
      </c>
      <c r="B54" s="116">
        <f t="shared" ref="B54" si="70">A54*L54</f>
        <v>12.56</v>
      </c>
      <c r="C54" s="118" t="s">
        <v>346</v>
      </c>
      <c r="D54" s="117" t="s">
        <v>343</v>
      </c>
      <c r="E54" s="117"/>
      <c r="F54" s="355" t="s">
        <v>324</v>
      </c>
      <c r="G54" s="117" t="s">
        <v>83</v>
      </c>
      <c r="H54" s="119">
        <v>100</v>
      </c>
      <c r="I54" s="118" t="s">
        <v>77</v>
      </c>
      <c r="J54" s="119">
        <v>200</v>
      </c>
      <c r="K54" s="119">
        <v>4</v>
      </c>
      <c r="L54" s="119">
        <f>K$54*L$44</f>
        <v>16</v>
      </c>
      <c r="M54" s="116">
        <f t="shared" ref="M54" si="71">2*H54*J54/10^6*L54</f>
        <v>0.64</v>
      </c>
      <c r="N54" s="118" t="s">
        <v>84</v>
      </c>
      <c r="P54" s="118"/>
      <c r="Q54" s="135"/>
      <c r="R54" s="118"/>
      <c r="S54" s="118"/>
      <c r="T54" s="118"/>
      <c r="U54" s="118"/>
      <c r="V54" s="118"/>
      <c r="W54" s="118"/>
      <c r="X54" s="118"/>
      <c r="Y54" s="118"/>
      <c r="Z54" s="118"/>
      <c r="AA54" s="118"/>
      <c r="AB54" s="118" t="s">
        <v>78</v>
      </c>
      <c r="AC54" s="136">
        <f>((((H54+J54)*2/1000)*L54*(5/(VLOOKUP(F54,[2]Plasmalõikus!$A$7:$E$46,2,FALSE)/1000*60)))+(Q54*L54*(5*(VLOOKUP(F54,[2]Plasmalõikus!$A$7:$E$48,3,FALSE))/60/60)))</f>
        <v>0.22222222222222221</v>
      </c>
      <c r="AD54" s="353"/>
      <c r="AE54" s="136"/>
      <c r="AF54" s="137"/>
      <c r="AG54" s="137">
        <f t="shared" ref="AG54" si="72">IF(VALUE(MID(F54,SEARCH(" ",F54)+1,LEN(F54)))&lt;35,0,IF(VALUE(MID(F54,SEARCH(" ",F54)+1,LEN(F54)))&lt;40,3,IF(VALUE(MID(F54,SEARCH(" ",F54)+1,LEN(F54)))&lt;50,4,IF(VALUE(MID(F54,SEARCH(" ",F54)+1,LEN(F54)))&lt;60,5,IF(VALUE(MID(F54,SEARCH(" ",F54)+1,LEN(F54)))&lt;70,6,IF(VALUE(MID(F54,SEARCH(" ",F54)+1,LEN(F54)))&lt;80,7,IF(VALUE(MID(F54,SEARCH(" ",F54)+1,LEN(F54)))&lt;90,8,IF(VALUE(MID(F54,SEARCH(" ",F54)+1,LEN(F54)))&lt;100,9,10))))))))/60*Q54*L54</f>
        <v>0</v>
      </c>
      <c r="AH54" s="136"/>
      <c r="AI54" s="132">
        <f t="shared" si="65"/>
        <v>0.53333333333333333</v>
      </c>
      <c r="AJ54" s="70"/>
      <c r="AK54" s="50">
        <v>3</v>
      </c>
      <c r="AL54" s="69" t="str">
        <f>IF(AND(Q54&gt;0,A54&lt;3),"10",IF(AND(Q54&gt;0,A54&lt;10),"15",IF(AND(Q54&gt;0,A54&lt;20),"20",IF(AND(Q54&gt;0,A54&lt;500),"30",IF(AND(Q54=0,A54&lt;3),"2",IF(AND(Q54=0,A54&lt;10),"5",IF(AND(Q54=0,A54&lt;20),"10",IF(AND(Q54=0,A54&lt;500),"20","2"))))))))</f>
        <v>2</v>
      </c>
      <c r="AN54" s="66"/>
      <c r="AP54" s="146">
        <f>(VLOOKUP(F54,Terasehind!$A$2:$B$171,2,FALSE))</f>
        <v>0.92</v>
      </c>
      <c r="AQ54" s="50">
        <f>(VLOOKUP(F54,Terasehind!$A$2:$C$171,3,FALSE))</f>
        <v>1.1000000000000001</v>
      </c>
      <c r="AR54" s="138">
        <f>AP54*AQ54*B54</f>
        <v>12.710720000000004</v>
      </c>
      <c r="AT54" s="62"/>
      <c r="AU54" s="62"/>
      <c r="AV54" s="62"/>
      <c r="AW54" s="62"/>
      <c r="AX54" s="62"/>
      <c r="AY54" s="62"/>
      <c r="AZ54" s="77"/>
      <c r="BA54" s="188">
        <f t="shared" ref="BA54" si="73">(H54*2+J54*2)*2*2/60/1000*L54</f>
        <v>0.64</v>
      </c>
      <c r="BB54" s="283"/>
      <c r="BC54" s="62"/>
      <c r="BD54" s="284"/>
      <c r="BE54" s="131"/>
      <c r="BF54"/>
      <c r="BG54" s="57"/>
      <c r="BH54" s="57"/>
      <c r="BI54" s="57"/>
      <c r="BJ54" s="57"/>
      <c r="BK54" s="57"/>
      <c r="BL54" s="109"/>
      <c r="BM54" s="109"/>
      <c r="BN54" s="109"/>
      <c r="BO54" s="83"/>
      <c r="BQ54" s="83"/>
      <c r="BR54" s="83"/>
    </row>
    <row r="55" spans="1:70" s="50" customFormat="1" ht="14.95" x14ac:dyDescent="0.25">
      <c r="A55" s="116">
        <f xml:space="preserve"> 42.3*J55/10^3</f>
        <v>27.917999999999996</v>
      </c>
      <c r="B55" s="116">
        <f>A55*L55</f>
        <v>111.67199999999998</v>
      </c>
      <c r="C55" s="299" t="s">
        <v>354</v>
      </c>
      <c r="D55" s="117" t="s">
        <v>344</v>
      </c>
      <c r="E55" s="117"/>
      <c r="F55" s="355" t="s">
        <v>456</v>
      </c>
      <c r="G55" s="140" t="s">
        <v>83</v>
      </c>
      <c r="H55" s="119">
        <v>190</v>
      </c>
      <c r="I55" s="118" t="s">
        <v>77</v>
      </c>
      <c r="J55" s="119">
        <v>660</v>
      </c>
      <c r="K55" s="50">
        <v>1</v>
      </c>
      <c r="L55" s="119">
        <f>K$55*L$44</f>
        <v>4</v>
      </c>
      <c r="M55" s="131">
        <f xml:space="preserve"> 1.14*J55*L55/10^3</f>
        <v>3.0095999999999998</v>
      </c>
      <c r="N55" s="118"/>
      <c r="O55" s="118"/>
      <c r="P55" s="118" t="s">
        <v>78</v>
      </c>
      <c r="Q55" s="135">
        <v>4</v>
      </c>
      <c r="R55" s="118"/>
      <c r="S55" s="118"/>
      <c r="T55" s="118"/>
      <c r="U55" s="118"/>
      <c r="V55" s="118"/>
      <c r="W55" s="118"/>
      <c r="Y55" s="118"/>
      <c r="Z55" s="118"/>
      <c r="AA55" s="118"/>
      <c r="AB55" s="118" t="s">
        <v>78</v>
      </c>
      <c r="AC55" s="116"/>
      <c r="AD55" s="83"/>
      <c r="AE55" s="136">
        <f>(H55/20/60)*2*L55</f>
        <v>1.2666666666666666</v>
      </c>
      <c r="AF55" s="137">
        <f>(550*4)*20/60/1000*L55</f>
        <v>2.9333333333333336</v>
      </c>
      <c r="AG55" s="132">
        <f>Q55*L55*0.5/60</f>
        <v>0.13333333333333333</v>
      </c>
      <c r="AH55" s="83"/>
      <c r="AI55" s="132">
        <f>AL55*L55/60</f>
        <v>0.33333333333333331</v>
      </c>
      <c r="AJ55" s="70">
        <f>(H55*6*AK55)*1*L55/1000</f>
        <v>13.68</v>
      </c>
      <c r="AK55" s="50">
        <f>(VLOOKUP(F55,[2]Koostamine!$A$12:$P$1612,7,FALSE))</f>
        <v>3</v>
      </c>
      <c r="AL55" s="69">
        <f>VLOOKUP(F55,[2]Koostamine!$A$12:$P$1612,IF(J55&lt;1499,11,IF(J55&lt;2999,12,IF(J55&lt;5999,13,IF(J55&lt;9999,14,IF(J55&lt;12999,15,IF(J55&gt;13000,16)))))),FALSE)</f>
        <v>5</v>
      </c>
      <c r="AP55" s="146">
        <f>(VLOOKUP(F55,Terasehind!$A$2:$B$171,2,FALSE))</f>
        <v>0.88</v>
      </c>
      <c r="AQ55" s="50">
        <f>(VLOOKUP(F55,Terasehind!$A$2:$C$171,3,FALSE))</f>
        <v>1.1000000000000001</v>
      </c>
      <c r="AR55" s="138">
        <f>AP55*AQ55*B55</f>
        <v>108.098496</v>
      </c>
      <c r="AT55" s="62"/>
      <c r="AU55" s="62"/>
      <c r="AV55" s="62"/>
      <c r="AW55" s="62"/>
      <c r="AX55" s="62"/>
      <c r="AY55" s="62"/>
      <c r="AZ55"/>
      <c r="BA55" s="188"/>
      <c r="BB55" s="189"/>
      <c r="BC55" s="57"/>
      <c r="BD55" s="57"/>
      <c r="BE55" s="57"/>
      <c r="BF55" s="57"/>
      <c r="BG55" s="57"/>
      <c r="BH55" s="57"/>
      <c r="BI55" s="57"/>
      <c r="BJ55" s="60"/>
      <c r="BK55" s="57"/>
      <c r="BL55" s="60"/>
      <c r="BM55" s="83"/>
      <c r="BO55" s="109"/>
    </row>
    <row r="56" spans="1:70" customFormat="1" ht="16.5" customHeight="1" x14ac:dyDescent="0.25"/>
    <row r="57" spans="1:70" customFormat="1" ht="15.8" x14ac:dyDescent="0.25">
      <c r="B57" s="22"/>
      <c r="F57" s="329" t="s">
        <v>469</v>
      </c>
      <c r="M57" s="282"/>
      <c r="AD57" s="77"/>
      <c r="AS57" s="50"/>
      <c r="AT57" s="62"/>
      <c r="AU57" s="62"/>
      <c r="AV57" s="62"/>
      <c r="AW57" s="62"/>
      <c r="AX57" s="62"/>
      <c r="AY57" s="62"/>
      <c r="AZ57" s="77"/>
      <c r="BA57" s="192"/>
      <c r="BB57" s="283"/>
      <c r="BC57" s="62"/>
      <c r="BD57" s="284"/>
      <c r="BE57" s="131"/>
    </row>
    <row r="58" spans="1:70" customFormat="1" ht="14.95" x14ac:dyDescent="0.25">
      <c r="AD58" s="328" t="s">
        <v>393</v>
      </c>
    </row>
    <row r="59" spans="1:70" s="50" customFormat="1" ht="14.95" x14ac:dyDescent="0.25">
      <c r="A59" s="148">
        <f>B59/L59</f>
        <v>1331.7864625</v>
      </c>
      <c r="B59" s="285">
        <f>SUM(B73,B72,B71,B70,B69,B68,B67,B66,B65,B64,B63,B62,B61,B60,0)</f>
        <v>7990.7187750000003</v>
      </c>
      <c r="C59" s="286">
        <f>(SUM(B62:B63)/B59)</f>
        <v>3.174101193418611E-2</v>
      </c>
      <c r="D59" s="149" t="s">
        <v>76</v>
      </c>
      <c r="E59" s="149"/>
      <c r="F59" s="357" t="s">
        <v>413</v>
      </c>
      <c r="G59" s="177" t="str">
        <f>$G$16</f>
        <v>C3VH</v>
      </c>
      <c r="H59" s="150">
        <v>160</v>
      </c>
      <c r="I59" s="151" t="s">
        <v>77</v>
      </c>
      <c r="J59" s="150">
        <f>J60</f>
        <v>7120</v>
      </c>
      <c r="K59" s="134">
        <v>6</v>
      </c>
      <c r="L59" s="150">
        <f>$L$16*$K$59</f>
        <v>6</v>
      </c>
      <c r="M59" s="148">
        <f>SUM(M73,M72,M71,M70,M69,M68,M67,M66,M65,M64,M63,M62,M61,M60,0)</f>
        <v>55.280639999999998</v>
      </c>
      <c r="N59" s="151"/>
      <c r="O59" s="151"/>
      <c r="P59" s="151"/>
      <c r="Q59" s="151"/>
      <c r="R59" s="120"/>
      <c r="S59" s="120"/>
      <c r="T59" s="120"/>
      <c r="U59" s="120"/>
      <c r="V59" s="120"/>
      <c r="W59" s="118"/>
      <c r="X59" s="118" t="s">
        <v>78</v>
      </c>
      <c r="Y59" s="151">
        <v>4</v>
      </c>
      <c r="Z59" s="151"/>
      <c r="AA59" s="151"/>
      <c r="AB59" s="151"/>
      <c r="AC59" s="148">
        <f>SUM(AC73,AC72,AC71,AC70,AC69,AC68,AC67,AC66,AC65,AC64,AC63,AC62,AC61,AC60,0)</f>
        <v>30.711111111111116</v>
      </c>
      <c r="AD59" s="148">
        <f>SUM(AD73,AD72,AD71,AD70,AD69,AD68,AD67,AD66,AD65,AD64,AD63,AD62,AD61,AD60,0)</f>
        <v>0</v>
      </c>
      <c r="AE59" s="148">
        <f>SUM(AE73,AE72,AE71,AE70,AE69,AE68,AE67,AE66,AE65,AE64,AE63,AE62,AE61,AE60,0)</f>
        <v>9.7000000000000011</v>
      </c>
      <c r="AF59" s="148">
        <f>SUM(AF73,AF72,AF71,AF70,AF69,AF68,AF67,AF66,AF65,AF64,AF63,AF62,AF61,AF60,0)</f>
        <v>21.92</v>
      </c>
      <c r="AG59" s="148">
        <f>SUM(AG73,AG72,AG71,AG70,AG69,AG68,AG67,AG66,AG65,AG64,AG63,AG62,AG61,AG60,0)</f>
        <v>12.8</v>
      </c>
      <c r="AH59" s="107">
        <f>SUM(AC59:AG59)</f>
        <v>75.131111111111125</v>
      </c>
      <c r="AI59" s="107">
        <f>SUM(AI73,AI72,AI71,AI70,AI69,AI68,AI67,AI66,AI65,AI64,AI63,AI62,AI61,AI60,0)</f>
        <v>38.9</v>
      </c>
      <c r="AJ59" s="148">
        <f>SUM(AJ73,AJ72,AJ71,AJ70,AJ69,AJ68,AJ67,AJ66,AJ65,AJ64,AJ63,AJ62,AJ61,AJ60,0)</f>
        <v>912.83999999999992</v>
      </c>
      <c r="AK59" s="107">
        <f>AJ59*10/60</f>
        <v>152.13999999999999</v>
      </c>
      <c r="AL59" s="148">
        <f>AH59+AI59+AK59</f>
        <v>266.17111111111114</v>
      </c>
      <c r="AM59" s="288">
        <f>B59/AL59</f>
        <v>30.020984402264205</v>
      </c>
      <c r="AN59" s="148">
        <f>AL59*46</f>
        <v>12243.871111111113</v>
      </c>
      <c r="AO59" s="148">
        <f>AN59/B59</f>
        <v>1.5322615469108551</v>
      </c>
      <c r="AP59" s="148">
        <f>AR59/B59</f>
        <v>1.1170280764511078</v>
      </c>
      <c r="AQ59" s="67"/>
      <c r="AR59" s="148">
        <f>SUM(AR73,AR72,AR71,AR70,AR69,AR68,AR67,AR66,AR65,AR64,AR63,AR62,AR61,AR60,0)</f>
        <v>8925.8572227000022</v>
      </c>
      <c r="AT59" s="62"/>
      <c r="AU59" s="62"/>
      <c r="AV59" s="62"/>
      <c r="AW59" s="62"/>
      <c r="AX59" s="62"/>
      <c r="AY59" s="62"/>
      <c r="AZ59" s="77"/>
      <c r="BA59" s="148">
        <f>SUM(BA73,BA72,BA71,BA70,BA69,BA68,BA67,BA66,BA65,BA64,BA63,BA62,BA61,BA60,0)</f>
        <v>30.171999999999997</v>
      </c>
      <c r="BB59" s="283"/>
      <c r="BC59" s="62"/>
      <c r="BD59" s="289"/>
      <c r="BF59" s="19"/>
      <c r="BG59" s="57"/>
      <c r="BH59" s="57"/>
      <c r="BI59" s="57"/>
      <c r="BJ59" s="57"/>
      <c r="BK59" s="60"/>
    </row>
    <row r="60" spans="1:70" s="50" customFormat="1" ht="14.95" x14ac:dyDescent="0.25">
      <c r="A60" s="116">
        <f t="shared" ref="A60:A64" si="74">H60*J60*(RIGHT(F60,2))*7.85/(10^6)</f>
        <v>318.58440000000002</v>
      </c>
      <c r="B60" s="116">
        <f t="shared" ref="B60:B65" si="75">A60*L60</f>
        <v>3823.0128000000004</v>
      </c>
      <c r="C60" s="118" t="s">
        <v>345</v>
      </c>
      <c r="D60" s="117" t="s">
        <v>76</v>
      </c>
      <c r="E60" s="363"/>
      <c r="F60" s="355" t="s">
        <v>82</v>
      </c>
      <c r="G60" s="117" t="s">
        <v>83</v>
      </c>
      <c r="H60" s="119">
        <v>570</v>
      </c>
      <c r="I60" s="118" t="s">
        <v>77</v>
      </c>
      <c r="J60" s="119">
        <v>7120</v>
      </c>
      <c r="K60" s="119">
        <v>2</v>
      </c>
      <c r="L60" s="119">
        <f>K$60*L$59</f>
        <v>12</v>
      </c>
      <c r="M60" s="116">
        <f>2*H60*J60/10^6*L60*0</f>
        <v>0</v>
      </c>
      <c r="N60" s="118" t="s">
        <v>84</v>
      </c>
      <c r="O60" s="364"/>
      <c r="P60" s="118"/>
      <c r="Q60" s="294">
        <v>20</v>
      </c>
      <c r="R60" s="118"/>
      <c r="S60" s="118"/>
      <c r="T60" s="118"/>
      <c r="U60" s="118"/>
      <c r="V60" s="118"/>
      <c r="W60" s="118"/>
      <c r="X60" s="118"/>
      <c r="Y60" s="118"/>
      <c r="Z60" s="118"/>
      <c r="AA60" s="118"/>
      <c r="AB60" s="118" t="s">
        <v>78</v>
      </c>
      <c r="AC60" s="136">
        <f>((((H60+J60)*2/1000)*L60*(5/(VLOOKUP(F60,[2]Plasmalõikus!$A$7:$E$46,2,FALSE)/1000*60)))+(Q60*L60*(5*(VLOOKUP(F60,[2]Plasmalõikus!$A$7:$E$48,3,FALSE))/60/60)))</f>
        <v>8.8186666666666671</v>
      </c>
      <c r="AD60" s="353"/>
      <c r="AE60" s="136"/>
      <c r="AF60" s="137"/>
      <c r="AG60" s="137">
        <f t="shared" ref="AG60:AG61" si="76">IF(VALUE(MID(F60,SEARCH(" ",F60)+1,LEN(F60)))&lt;35,0,IF(VALUE(MID(F60,SEARCH(" ",F60)+1,LEN(F60)))&lt;40,3,IF(VALUE(MID(F60,SEARCH(" ",F60)+1,LEN(F60)))&lt;50,4,IF(VALUE(MID(F60,SEARCH(" ",F60)+1,LEN(F60)))&lt;60,5,IF(VALUE(MID(F60,SEARCH(" ",F60)+1,LEN(F60)))&lt;70,6,IF(VALUE(MID(F60,SEARCH(" ",F60)+1,LEN(F60)))&lt;80,7,IF(VALUE(MID(F60,SEARCH(" ",F60)+1,LEN(F60)))&lt;90,8,IF(VALUE(MID(F60,SEARCH(" ",F60)+1,LEN(F60)))&lt;100,9,10))))))))/60*Q60*L60</f>
        <v>0</v>
      </c>
      <c r="AH60" s="136"/>
      <c r="AI60" s="132">
        <f t="shared" ref="AI60:AI70" si="77">AL60*L60/60</f>
        <v>8</v>
      </c>
      <c r="AJ60" s="70">
        <f>(J60*4*AK60)*L60/1000</f>
        <v>341.76</v>
      </c>
      <c r="AK60" s="69">
        <v>1</v>
      </c>
      <c r="AL60" s="165" t="str">
        <f>IF(AND(J60&gt;0,J60&lt;2999),"20",IF(AND(J60&gt;0,J60&lt;5999),"30",IF(AND(J60&gt;0,J60&lt;7999),"40",IF(AND(J60&gt;0,J60&lt;11999),"60",IF(AND(J60&gt;0,J60&lt;14999),"120",IF(AND(J60&gt;0,J60&lt;17999),"180",IF(AND(J60&gt;0,J60&lt;22000),"360","error")))))))</f>
        <v>40</v>
      </c>
      <c r="AP60" s="146">
        <v>1</v>
      </c>
      <c r="AQ60" s="50">
        <v>1.1000000000000001</v>
      </c>
      <c r="AR60" s="138">
        <f t="shared" ref="AR60:AR61" si="78">AP60*AQ60*B60</f>
        <v>4205.314080000001</v>
      </c>
      <c r="AT60" s="62"/>
      <c r="AU60" s="62"/>
      <c r="AV60" s="62"/>
      <c r="AW60" s="62"/>
      <c r="AX60" s="62"/>
      <c r="AY60" s="62"/>
      <c r="AZ60" s="77"/>
      <c r="BA60" s="188"/>
      <c r="BB60" s="283"/>
      <c r="BC60" s="62"/>
      <c r="BD60" s="284"/>
      <c r="BE60" s="131"/>
      <c r="BF60"/>
      <c r="BG60" s="57"/>
      <c r="BH60" s="57"/>
      <c r="BI60" s="57"/>
      <c r="BJ60" s="57"/>
      <c r="BK60" s="57"/>
      <c r="BL60" s="109"/>
      <c r="BM60" s="109"/>
      <c r="BN60" s="109"/>
      <c r="BO60" s="83"/>
      <c r="BQ60" s="83"/>
      <c r="BR60" s="83"/>
    </row>
    <row r="61" spans="1:70" s="50" customFormat="1" ht="14.95" x14ac:dyDescent="0.25">
      <c r="A61" s="116">
        <f t="shared" si="74"/>
        <v>209.595</v>
      </c>
      <c r="B61" s="116">
        <f t="shared" si="75"/>
        <v>1257.57</v>
      </c>
      <c r="C61" s="118" t="s">
        <v>345</v>
      </c>
      <c r="D61" s="117" t="s">
        <v>81</v>
      </c>
      <c r="E61" s="363"/>
      <c r="F61" s="355" t="s">
        <v>87</v>
      </c>
      <c r="G61" s="117" t="s">
        <v>83</v>
      </c>
      <c r="H61" s="119">
        <v>250</v>
      </c>
      <c r="I61" s="118" t="s">
        <v>77</v>
      </c>
      <c r="J61" s="119">
        <f>J60</f>
        <v>7120</v>
      </c>
      <c r="K61" s="119">
        <v>1</v>
      </c>
      <c r="L61" s="119">
        <f>K$61*L$59</f>
        <v>6</v>
      </c>
      <c r="M61" s="116">
        <f>2*H61*J61/10^6*L61*0</f>
        <v>0</v>
      </c>
      <c r="N61" s="118" t="s">
        <v>84</v>
      </c>
      <c r="O61" s="364"/>
      <c r="P61" s="118"/>
      <c r="Q61" s="294"/>
      <c r="R61" s="118"/>
      <c r="S61" s="118"/>
      <c r="T61" s="118"/>
      <c r="U61" s="118"/>
      <c r="V61" s="118"/>
      <c r="W61" s="118"/>
      <c r="X61" s="118"/>
      <c r="Y61" s="118"/>
      <c r="Z61" s="118"/>
      <c r="AA61" s="118"/>
      <c r="AB61" s="118" t="s">
        <v>78</v>
      </c>
      <c r="AC61" s="136">
        <f>((((H61+J61)*2/1000)*L61*(5/(VLOOKUP(F61,[2]Plasmalõikus!$A$7:$E$46,2,FALSE)/1000*60)))+(Q61*L61*(5*(VLOOKUP(F61,[2]Plasmalõikus!$A$7:$E$48,3,FALSE))/60/60)))</f>
        <v>4.0944444444444441</v>
      </c>
      <c r="AD61" s="353"/>
      <c r="AE61" s="136"/>
      <c r="AF61" s="137"/>
      <c r="AG61" s="137">
        <f t="shared" si="76"/>
        <v>0</v>
      </c>
      <c r="AH61" s="136"/>
      <c r="AI61" s="132">
        <f t="shared" si="77"/>
        <v>4</v>
      </c>
      <c r="AJ61" s="70"/>
      <c r="AK61" s="69"/>
      <c r="AL61" s="165" t="str">
        <f>IF(AND(J61&gt;0,J61&lt;2999),"20",IF(AND(J61&gt;0,J61&lt;5999),"30",IF(AND(J61&gt;0,J61&lt;7999),"40",IF(AND(J61&gt;0,J61&lt;11999),"60",IF(AND(J61&gt;0,J61&lt;14999),"120",IF(AND(J61&gt;0,J61&lt;17999),"180",IF(AND(J61&gt;0,J61&lt;22000),"360","error")))))))</f>
        <v>40</v>
      </c>
      <c r="AP61" s="146">
        <v>1</v>
      </c>
      <c r="AQ61" s="50">
        <v>1.1000000000000001</v>
      </c>
      <c r="AR61" s="138">
        <f t="shared" si="78"/>
        <v>1383.327</v>
      </c>
      <c r="AT61" s="62"/>
      <c r="AU61" s="62"/>
      <c r="AV61" s="62"/>
      <c r="AW61" s="62"/>
      <c r="AX61" s="62"/>
      <c r="AY61" s="62"/>
      <c r="AZ61" s="77"/>
      <c r="BA61" s="188">
        <f t="shared" ref="BA61:BA69" si="79">(H61*2+J61*2)*2*2/60/1000*L61</f>
        <v>5.895999999999999</v>
      </c>
      <c r="BB61" s="283"/>
      <c r="BC61" s="62"/>
      <c r="BD61" s="284"/>
      <c r="BE61" s="131"/>
      <c r="BF61"/>
      <c r="BG61" s="57"/>
      <c r="BH61" s="57"/>
      <c r="BI61" s="57"/>
      <c r="BJ61" s="57"/>
      <c r="BK61" s="57"/>
      <c r="BL61" s="109"/>
      <c r="BM61" s="109"/>
      <c r="BN61" s="109"/>
      <c r="BO61" s="83"/>
      <c r="BQ61" s="83"/>
      <c r="BR61" s="83"/>
    </row>
    <row r="62" spans="1:70" s="50" customFormat="1" ht="14.95" x14ac:dyDescent="0.25">
      <c r="A62" s="116">
        <f t="shared" si="74"/>
        <v>8.9489999999999998</v>
      </c>
      <c r="B62" s="116">
        <f t="shared" si="75"/>
        <v>107.38800000000001</v>
      </c>
      <c r="C62" s="118" t="s">
        <v>346</v>
      </c>
      <c r="D62" s="117" t="s">
        <v>85</v>
      </c>
      <c r="E62" s="117"/>
      <c r="F62" s="355" t="s">
        <v>82</v>
      </c>
      <c r="G62" s="117" t="s">
        <v>83</v>
      </c>
      <c r="H62" s="119">
        <v>190</v>
      </c>
      <c r="I62" s="118" t="s">
        <v>77</v>
      </c>
      <c r="J62" s="119">
        <v>600</v>
      </c>
      <c r="K62" s="119">
        <v>2</v>
      </c>
      <c r="L62" s="119">
        <f>K$62*L$59</f>
        <v>12</v>
      </c>
      <c r="M62" s="116">
        <f t="shared" ref="M62:M65" si="80">2*H62*J62/10^6*L62</f>
        <v>2.7360000000000002</v>
      </c>
      <c r="N62" s="118" t="s">
        <v>84</v>
      </c>
      <c r="P62" s="118"/>
      <c r="Q62" s="135">
        <v>12</v>
      </c>
      <c r="R62" s="118"/>
      <c r="S62" s="118"/>
      <c r="T62" s="118"/>
      <c r="U62" s="118"/>
      <c r="V62" s="118"/>
      <c r="W62" s="118"/>
      <c r="X62" s="118"/>
      <c r="Y62" s="118"/>
      <c r="Z62" s="118"/>
      <c r="AA62" s="118"/>
      <c r="AB62" s="118" t="s">
        <v>78</v>
      </c>
      <c r="AC62" s="136">
        <f>((((H62+J62)*2/1000)*L62*(5/(VLOOKUP(F62,[2]Plasmalõikus!$A$7:$E$46,2,FALSE)/1000*60)))+(Q62*L62*(5*(VLOOKUP(F62,[2]Plasmalõikus!$A$7:$E$48,3,FALSE))/60/60)))</f>
        <v>2.2319999999999998</v>
      </c>
      <c r="AD62" s="353"/>
      <c r="AE62" s="136"/>
      <c r="AF62" s="137"/>
      <c r="AG62" s="137">
        <f t="shared" ref="AG62" si="81">IF(VALUE(MID(F62,SEARCH(" ",F62)+1,LEN(F62)))&lt;35,0,IF(VALUE(MID(F62,SEARCH(" ",F62)+1,LEN(F62)))&lt;40,3,IF(VALUE(MID(F62,SEARCH(" ",F62)+1,LEN(F62)))&lt;50,4,IF(VALUE(MID(F62,SEARCH(" ",F62)+1,LEN(F62)))&lt;60,5,IF(VALUE(MID(F62,SEARCH(" ",F62)+1,LEN(F62)))&lt;70,6,IF(VALUE(MID(F62,SEARCH(" ",F62)+1,LEN(F62)))&lt;80,7,IF(VALUE(MID(F62,SEARCH(" ",F62)+1,LEN(F62)))&lt;90,8,IF(VALUE(MID(F62,SEARCH(" ",F62)+1,LEN(F62)))&lt;100,9,10))))))))/60*Q62*L62</f>
        <v>0</v>
      </c>
      <c r="AH62" s="136"/>
      <c r="AI62" s="132">
        <f t="shared" si="77"/>
        <v>3</v>
      </c>
      <c r="AJ62" s="70">
        <f>(H62*4*AK62+J62*2*AK62)*L62/1000</f>
        <v>47.04</v>
      </c>
      <c r="AK62" s="50">
        <v>2</v>
      </c>
      <c r="AL62" s="69" t="str">
        <f>IF(AND(Q62&gt;0,A62&lt;3),"10",IF(AND(Q62&gt;0,A62&lt;10),"15",IF(AND(Q62&gt;0,A62&lt;20),"20",IF(AND(Q62&gt;0,A62&lt;500),"30",IF(AND(Q62=0,A62&lt;3),"2",IF(AND(Q62=0,A62&lt;10),"5",IF(AND(Q62=0,A62&lt;20),"10",IF(AND(Q62=0,A62&lt;500),"20","2"))))))))</f>
        <v>15</v>
      </c>
      <c r="AN62" s="66"/>
      <c r="AP62" s="146">
        <f>(VLOOKUP(F62,Terasehind!$A$2:$B$171,2,FALSE))</f>
        <v>0.92</v>
      </c>
      <c r="AQ62" s="50">
        <f>(VLOOKUP(F62,Terasehind!$A$2:$C$171,3,FALSE))</f>
        <v>1.1000000000000001</v>
      </c>
      <c r="AR62" s="138">
        <f>AP62*AQ62*B62</f>
        <v>108.67665600000004</v>
      </c>
      <c r="AT62" s="62"/>
      <c r="AU62" s="62"/>
      <c r="AV62" s="62"/>
      <c r="AW62" s="62"/>
      <c r="AX62" s="62"/>
      <c r="AY62" s="62"/>
      <c r="AZ62" s="77"/>
      <c r="BA62" s="188">
        <f t="shared" si="79"/>
        <v>1.264</v>
      </c>
      <c r="BB62" s="283"/>
      <c r="BC62" s="62"/>
      <c r="BD62" s="284"/>
      <c r="BE62" s="131"/>
      <c r="BF62"/>
      <c r="BG62" s="57"/>
      <c r="BH62" s="57"/>
      <c r="BI62" s="57"/>
      <c r="BJ62" s="57"/>
      <c r="BK62" s="57"/>
      <c r="BL62" s="109"/>
      <c r="BM62" s="109"/>
      <c r="BN62" s="109"/>
      <c r="BO62" s="83"/>
      <c r="BQ62" s="83"/>
      <c r="BR62" s="83"/>
    </row>
    <row r="63" spans="1:70" s="50" customFormat="1" ht="14.95" x14ac:dyDescent="0.25">
      <c r="A63" s="116">
        <f t="shared" si="74"/>
        <v>4.0623750000000003</v>
      </c>
      <c r="B63" s="116">
        <f t="shared" si="75"/>
        <v>146.24550000000002</v>
      </c>
      <c r="C63" s="118" t="s">
        <v>411</v>
      </c>
      <c r="D63" s="117" t="s">
        <v>88</v>
      </c>
      <c r="E63" s="117"/>
      <c r="F63" s="355" t="s">
        <v>82</v>
      </c>
      <c r="G63" s="117" t="s">
        <v>83</v>
      </c>
      <c r="H63" s="119">
        <v>90</v>
      </c>
      <c r="I63" s="118" t="s">
        <v>77</v>
      </c>
      <c r="J63" s="119">
        <v>575</v>
      </c>
      <c r="K63" s="119">
        <v>6</v>
      </c>
      <c r="L63" s="119">
        <f>K$63*L$59</f>
        <v>36</v>
      </c>
      <c r="M63" s="116">
        <f t="shared" si="80"/>
        <v>3.726</v>
      </c>
      <c r="N63" s="118" t="s">
        <v>84</v>
      </c>
      <c r="P63" s="118"/>
      <c r="Q63" s="135"/>
      <c r="R63" s="118"/>
      <c r="S63" s="118"/>
      <c r="T63" s="118"/>
      <c r="U63" s="118"/>
      <c r="V63" s="118"/>
      <c r="W63" s="118"/>
      <c r="X63" s="118"/>
      <c r="Y63" s="118"/>
      <c r="Z63" s="118"/>
      <c r="AA63" s="118"/>
      <c r="AB63" s="118" t="s">
        <v>78</v>
      </c>
      <c r="AC63" s="136">
        <f>((((H63+J63)*2/1000)*L63*(5/(VLOOKUP(F63,[2]Plasmalõikus!$A$7:$E$46,2,FALSE)/1000*60)))+(Q63*L63*(5*(VLOOKUP(F63,[2]Plasmalõikus!$A$7:$E$48,3,FALSE))/60/60)))</f>
        <v>1.5960000000000001</v>
      </c>
      <c r="AD63" s="353"/>
      <c r="AE63" s="136"/>
      <c r="AF63" s="137">
        <f>(H63*2+J63*2)*20/60/1000*L63</f>
        <v>15.959999999999999</v>
      </c>
      <c r="AG63" s="137">
        <f>IF(VALUE(MID(F63,SEARCH(" ",F63)+1,LEN(F63)))&lt;35,0,IF(VALUE(MID(F63,SEARCH(" ",F63)+1,LEN(F63)))&lt;40,3,IF(VALUE(MID(F63,SEARCH(" ",F63)+1,LEN(F63)))&lt;50,4,IF(VALUE(MID(F63,SEARCH(" ",F63)+1,LEN(F63)))&lt;60,5,IF(VALUE(MID(F63,SEARCH(" ",F63)+1,LEN(F63)))&lt;70,6,IF(VALUE(MID(F63,SEARCH(" ",F63)+1,LEN(F63)))&lt;80,7,IF(VALUE(MID(F63,SEARCH(" ",F63)+1,LEN(F63)))&lt;90,8,IF(VALUE(MID(F63,SEARCH(" ",F63)+1,LEN(F63)))&lt;100,9,10))))))))/60*Q63*L63</f>
        <v>0</v>
      </c>
      <c r="AH63" s="136"/>
      <c r="AI63" s="132">
        <f t="shared" si="77"/>
        <v>3</v>
      </c>
      <c r="AJ63" s="70">
        <f>(H63*2*AK63+J63*2*AK63)*L63/1000</f>
        <v>95.76</v>
      </c>
      <c r="AK63" s="50">
        <v>2</v>
      </c>
      <c r="AL63" s="69" t="str">
        <f>IF(AND(Q63&gt;0,A63&lt;3),"10",IF(AND(Q63&gt;0,A63&lt;10),"15",IF(AND(Q63&gt;0,A63&lt;20),"20",IF(AND(Q63&gt;0,A63&lt;500),"30",IF(AND(Q63=0,A63&lt;3),"2",IF(AND(Q63=0,A63&lt;10),"5",IF(AND(Q63=0,A63&lt;20),"10",IF(AND(Q63=0,A63&lt;500),"20","2"))))))))</f>
        <v>5</v>
      </c>
      <c r="AN63" s="66"/>
      <c r="AP63" s="146">
        <f>(VLOOKUP(F63,Terasehind!$A$2:$B$171,2,FALSE))</f>
        <v>0.92</v>
      </c>
      <c r="AQ63" s="50">
        <f>(VLOOKUP(F63,Terasehind!$A$2:$C$171,3,FALSE))</f>
        <v>1.1000000000000001</v>
      </c>
      <c r="AR63" s="138">
        <f t="shared" ref="AR63:AR66" si="82">AP63*AQ63*B63</f>
        <v>148.00044600000007</v>
      </c>
      <c r="AT63" s="62"/>
      <c r="AU63" s="62"/>
      <c r="AV63" s="62"/>
      <c r="AW63" s="62"/>
      <c r="AX63" s="62"/>
      <c r="AY63" s="62"/>
      <c r="AZ63" s="77"/>
      <c r="BA63" s="188">
        <f t="shared" si="79"/>
        <v>3.1920000000000002</v>
      </c>
      <c r="BB63" s="283"/>
      <c r="BC63" s="62"/>
      <c r="BD63" s="284"/>
      <c r="BE63" s="131"/>
      <c r="BF63"/>
      <c r="BG63" s="57"/>
      <c r="BH63" s="57"/>
      <c r="BI63" s="57"/>
      <c r="BJ63" s="57"/>
      <c r="BK63" s="57"/>
      <c r="BL63" s="109"/>
      <c r="BM63" s="109"/>
      <c r="BN63" s="109"/>
      <c r="BO63" s="83"/>
      <c r="BQ63" s="83"/>
      <c r="BR63" s="83"/>
    </row>
    <row r="64" spans="1:70" s="50" customFormat="1" ht="14.95" x14ac:dyDescent="0.25">
      <c r="A64" s="116">
        <f t="shared" si="74"/>
        <v>11.5100625</v>
      </c>
      <c r="B64" s="116">
        <f t="shared" si="75"/>
        <v>138.12074999999999</v>
      </c>
      <c r="C64" s="118" t="s">
        <v>411</v>
      </c>
      <c r="D64" s="117" t="s">
        <v>340</v>
      </c>
      <c r="E64" s="117"/>
      <c r="F64" s="355" t="s">
        <v>87</v>
      </c>
      <c r="G64" s="117" t="s">
        <v>83</v>
      </c>
      <c r="H64" s="119">
        <v>170</v>
      </c>
      <c r="I64" s="118" t="s">
        <v>77</v>
      </c>
      <c r="J64" s="119">
        <v>575</v>
      </c>
      <c r="K64" s="119">
        <v>2</v>
      </c>
      <c r="L64" s="119">
        <f>K$64*L$59</f>
        <v>12</v>
      </c>
      <c r="M64" s="116">
        <f t="shared" si="80"/>
        <v>2.3460000000000001</v>
      </c>
      <c r="N64" s="118" t="s">
        <v>84</v>
      </c>
      <c r="P64" s="118"/>
      <c r="Q64" s="135"/>
      <c r="R64" s="118"/>
      <c r="S64" s="118"/>
      <c r="T64" s="118"/>
      <c r="U64" s="118"/>
      <c r="V64" s="118"/>
      <c r="W64" s="118"/>
      <c r="X64" s="118"/>
      <c r="Y64" s="118"/>
      <c r="Z64" s="118"/>
      <c r="AA64" s="118"/>
      <c r="AB64" s="118" t="s">
        <v>78</v>
      </c>
      <c r="AC64" s="136">
        <f>((((H64+J64)*2/1000)*L64*(5/(VLOOKUP(F64,[2]Plasmalõikus!$A$7:$E$46,2,FALSE)/1000*60)))+(Q64*L64*(5*(VLOOKUP(F64,[2]Plasmalõikus!$A$7:$E$48,3,FALSE))/60/60)))</f>
        <v>0.82777777777777772</v>
      </c>
      <c r="AD64" s="353"/>
      <c r="AE64" s="136"/>
      <c r="AF64" s="137">
        <f>(H64*2+J64*2)*20/60/1000*L64</f>
        <v>5.9600000000000009</v>
      </c>
      <c r="AG64" s="137">
        <f>IF(VALUE(MID(F64,SEARCH(" ",F64)+1,LEN(F64)))&lt;35,0,IF(VALUE(MID(F64,SEARCH(" ",F64)+1,LEN(F64)))&lt;40,3,IF(VALUE(MID(F64,SEARCH(" ",F64)+1,LEN(F64)))&lt;50,4,IF(VALUE(MID(F64,SEARCH(" ",F64)+1,LEN(F64)))&lt;60,5,IF(VALUE(MID(F64,SEARCH(" ",F64)+1,LEN(F64)))&lt;70,6,IF(VALUE(MID(F64,SEARCH(" ",F64)+1,LEN(F64)))&lt;80,7,IF(VALUE(MID(F64,SEARCH(" ",F64)+1,LEN(F64)))&lt;90,8,IF(VALUE(MID(F64,SEARCH(" ",F64)+1,LEN(F64)))&lt;100,9,10))))))))/60*Q64*L64</f>
        <v>0</v>
      </c>
      <c r="AH64" s="136"/>
      <c r="AI64" s="132">
        <f t="shared" si="77"/>
        <v>2</v>
      </c>
      <c r="AJ64" s="70">
        <f>(H64*2*AK64+J64*2*AK64)*L64/1000</f>
        <v>35.76</v>
      </c>
      <c r="AK64" s="50">
        <v>2</v>
      </c>
      <c r="AL64" s="69" t="str">
        <f>IF(AND(Q64&gt;0,A64&lt;3),"10",IF(AND(Q64&gt;0,A64&lt;10),"15",IF(AND(Q64&gt;0,A64&lt;20),"20",IF(AND(Q64&gt;0,A64&lt;500),"30",IF(AND(Q64=0,A64&lt;3),"2",IF(AND(Q64=0,A64&lt;10),"5",IF(AND(Q64=0,A64&lt;20),"10",IF(AND(Q64=0,A64&lt;500),"20","2"))))))))</f>
        <v>10</v>
      </c>
      <c r="AN64" s="66"/>
      <c r="AP64" s="146">
        <f>(VLOOKUP(F64,Terasehind!$A$2:$B$171,2,FALSE))</f>
        <v>0.92</v>
      </c>
      <c r="AQ64" s="50">
        <f>(VLOOKUP(F64,Terasehind!$A$2:$C$171,3,FALSE))</f>
        <v>1.1000000000000001</v>
      </c>
      <c r="AR64" s="138">
        <f t="shared" si="82"/>
        <v>139.77819900000003</v>
      </c>
      <c r="AT64" s="62"/>
      <c r="AU64" s="62"/>
      <c r="AV64" s="62"/>
      <c r="AW64" s="62"/>
      <c r="AX64" s="62"/>
      <c r="AY64" s="62"/>
      <c r="AZ64" s="77"/>
      <c r="BA64" s="188">
        <f t="shared" si="79"/>
        <v>1.1919999999999999</v>
      </c>
      <c r="BB64" s="283"/>
      <c r="BC64" s="62"/>
      <c r="BD64" s="284"/>
      <c r="BE64" s="131"/>
      <c r="BF64"/>
      <c r="BG64" s="57"/>
      <c r="BH64" s="57"/>
      <c r="BI64" s="57"/>
      <c r="BJ64" s="57"/>
      <c r="BK64" s="57"/>
      <c r="BL64" s="109"/>
      <c r="BM64" s="109"/>
      <c r="BN64" s="109"/>
      <c r="BO64" s="83"/>
      <c r="BQ64" s="83"/>
      <c r="BR64" s="83"/>
    </row>
    <row r="65" spans="1:70" s="50" customFormat="1" ht="14.95" x14ac:dyDescent="0.25">
      <c r="A65" s="116">
        <f>H65*J65*(RIGHT(F65,2))*7.85/(10^6)</f>
        <v>13.659000000000001</v>
      </c>
      <c r="B65" s="116">
        <f t="shared" si="75"/>
        <v>163.90800000000002</v>
      </c>
      <c r="C65" s="118" t="s">
        <v>382</v>
      </c>
      <c r="D65" s="117" t="s">
        <v>341</v>
      </c>
      <c r="E65" s="290"/>
      <c r="F65" s="355" t="s">
        <v>87</v>
      </c>
      <c r="G65" s="117" t="s">
        <v>83</v>
      </c>
      <c r="H65" s="119">
        <v>200</v>
      </c>
      <c r="I65" s="118" t="s">
        <v>77</v>
      </c>
      <c r="J65" s="119">
        <v>580</v>
      </c>
      <c r="K65" s="119">
        <v>2</v>
      </c>
      <c r="L65" s="119">
        <f>K$65*L$59</f>
        <v>12</v>
      </c>
      <c r="M65" s="116">
        <f t="shared" si="80"/>
        <v>2.7840000000000003</v>
      </c>
      <c r="N65" s="118" t="s">
        <v>84</v>
      </c>
      <c r="P65" s="118"/>
      <c r="Q65" s="294">
        <v>16</v>
      </c>
      <c r="R65" s="118"/>
      <c r="S65" s="118"/>
      <c r="T65" s="118"/>
      <c r="U65" s="118"/>
      <c r="V65" s="118"/>
      <c r="W65" s="118"/>
      <c r="X65" s="118"/>
      <c r="Y65" s="118"/>
      <c r="Z65" s="118"/>
      <c r="AA65" s="118"/>
      <c r="AB65" s="118" t="s">
        <v>78</v>
      </c>
      <c r="AC65" s="136">
        <f>((((H65+J65)*2/1000)*L65*(5/(VLOOKUP(F65,[2]Plasmalõikus!$A$7:$E$46,2,FALSE)/1000*60)))+(Q65*L65*(5*(VLOOKUP(F65,[2]Plasmalõikus!$A$7:$E$48,3,FALSE))/60/60)))</f>
        <v>3.2666666666666671</v>
      </c>
      <c r="AD65" s="353"/>
      <c r="AE65" s="136"/>
      <c r="AF65" s="137"/>
      <c r="AG65" s="137">
        <f t="shared" ref="AG65" si="83">IF(VALUE(MID(F65,SEARCH(" ",F65)+1,LEN(F65)))&lt;35,0,IF(VALUE(MID(F65,SEARCH(" ",F65)+1,LEN(F65)))&lt;40,3,IF(VALUE(MID(F65,SEARCH(" ",F65)+1,LEN(F65)))&lt;50,4,IF(VALUE(MID(F65,SEARCH(" ",F65)+1,LEN(F65)))&lt;60,5,IF(VALUE(MID(F65,SEARCH(" ",F65)+1,LEN(F65)))&lt;70,6,IF(VALUE(MID(F65,SEARCH(" ",F65)+1,LEN(F65)))&lt;80,7,IF(VALUE(MID(F65,SEARCH(" ",F65)+1,LEN(F65)))&lt;90,8,IF(VALUE(MID(F65,SEARCH(" ",F65)+1,LEN(F65)))&lt;100,9,10))))))))/60*Q65*L65</f>
        <v>0</v>
      </c>
      <c r="AH65" s="136"/>
      <c r="AI65" s="132">
        <f t="shared" si="77"/>
        <v>4</v>
      </c>
      <c r="AJ65" s="70"/>
      <c r="AK65" s="50">
        <v>2</v>
      </c>
      <c r="AL65" s="69" t="str">
        <f>IF(AND(Q65&gt;0,A65&lt;3),"10",IF(AND(Q65&gt;0,A65&lt;10),"15",IF(AND(Q65&gt;0,A65&lt;20),"20",IF(AND(Q65&gt;0,A65&lt;500),"30",IF(AND(Q65=0,A65&lt;3),"2",IF(AND(Q65=0,A65&lt;10),"5",IF(AND(Q65=0,A65&lt;20),"10",IF(AND(Q65=0,A65&lt;500),"20","2"))))))))</f>
        <v>20</v>
      </c>
      <c r="AP65" s="146">
        <f>(VLOOKUP(F65,Terasehind!$A$2:$B$171,2,FALSE))</f>
        <v>0.92</v>
      </c>
      <c r="AQ65" s="50">
        <f>(VLOOKUP(F65,Terasehind!$A$2:$C$171,3,FALSE))</f>
        <v>1.1000000000000001</v>
      </c>
      <c r="AR65" s="138">
        <f t="shared" si="82"/>
        <v>165.87489600000006</v>
      </c>
      <c r="AT65" s="62"/>
      <c r="AU65" s="62"/>
      <c r="AV65" s="62"/>
      <c r="AW65" s="62"/>
      <c r="AX65" s="62"/>
      <c r="AY65" s="62"/>
      <c r="AZ65" s="77"/>
      <c r="BA65" s="188">
        <f t="shared" si="79"/>
        <v>1.248</v>
      </c>
      <c r="BB65" s="283"/>
      <c r="BC65" s="62"/>
      <c r="BD65" s="284"/>
      <c r="BE65" s="131"/>
      <c r="BF65"/>
      <c r="BG65" s="57"/>
      <c r="BH65" s="57"/>
      <c r="BI65" s="57"/>
      <c r="BJ65" s="57"/>
      <c r="BK65" s="57"/>
      <c r="BL65" s="109"/>
      <c r="BM65" s="109"/>
      <c r="BN65" s="109"/>
      <c r="BO65" s="83"/>
      <c r="BQ65" s="83"/>
      <c r="BR65" s="83"/>
    </row>
    <row r="66" spans="1:70" s="50" customFormat="1" ht="14.95" x14ac:dyDescent="0.25">
      <c r="A66" s="116">
        <f xml:space="preserve"> 30.1*J66/10^3</f>
        <v>87.741500000000002</v>
      </c>
      <c r="B66" s="116">
        <f>A66*L66</f>
        <v>1052.8980000000001</v>
      </c>
      <c r="C66" s="295"/>
      <c r="D66" s="117" t="s">
        <v>343</v>
      </c>
      <c r="E66" s="117"/>
      <c r="F66" s="355" t="s">
        <v>458</v>
      </c>
      <c r="G66" s="140" t="s">
        <v>79</v>
      </c>
      <c r="H66" s="119">
        <v>200</v>
      </c>
      <c r="I66" s="118" t="s">
        <v>77</v>
      </c>
      <c r="J66" s="119">
        <v>2915</v>
      </c>
      <c r="K66" s="119">
        <v>2</v>
      </c>
      <c r="L66" s="119">
        <f>K$66*L$59</f>
        <v>12</v>
      </c>
      <c r="M66" s="131">
        <f xml:space="preserve"> 0.783*J66*L66/10^3</f>
        <v>27.389340000000004</v>
      </c>
      <c r="N66" s="118"/>
      <c r="O66" s="118"/>
      <c r="P66" s="118" t="s">
        <v>78</v>
      </c>
      <c r="Q66" s="135"/>
      <c r="R66" s="118"/>
      <c r="S66" s="118"/>
      <c r="T66" s="118"/>
      <c r="U66" s="118"/>
      <c r="V66" s="118"/>
      <c r="W66" s="118"/>
      <c r="Y66" s="118"/>
      <c r="Z66" s="118"/>
      <c r="AA66" s="118"/>
      <c r="AB66" s="118" t="s">
        <v>78</v>
      </c>
      <c r="AC66" s="116"/>
      <c r="AD66" s="83"/>
      <c r="AE66" s="136">
        <f t="shared" ref="AE66" si="84">(H66/20/60)*2*L66</f>
        <v>4</v>
      </c>
      <c r="AF66" s="137"/>
      <c r="AG66" s="132">
        <f>Q66*L66*0.5/60</f>
        <v>0</v>
      </c>
      <c r="AH66" s="83"/>
      <c r="AI66" s="132">
        <f t="shared" si="77"/>
        <v>2</v>
      </c>
      <c r="AJ66" s="70">
        <f>(J66*2*AK66)*1/2*L66/1000+(H66*4*AK66)*2*L66/1000</f>
        <v>108.35999999999999</v>
      </c>
      <c r="AK66" s="50">
        <f>(VLOOKUP(F66,[2]Koostamine!$A$12:$P$1612,7,FALSE))</f>
        <v>2</v>
      </c>
      <c r="AL66" s="69">
        <f>VLOOKUP(F66,[2]Koostamine!$A$12:$P$1612,IF(J66&lt;1499,11,IF(J66&lt;2999,12,IF(J66&lt;5999,13,IF(J66&lt;9999,14,IF(J66&lt;12999,15,IF(J66&gt;13000,16)))))),FALSE)</f>
        <v>10</v>
      </c>
      <c r="AP66" s="146">
        <f>(VLOOKUP(F66,Terasehind!$A$2:$B$171,2,FALSE))</f>
        <v>0.94</v>
      </c>
      <c r="AQ66" s="50">
        <f>(VLOOKUP(F66,Terasehind!$A$2:$C$171,3,FALSE))</f>
        <v>1.1000000000000001</v>
      </c>
      <c r="AR66" s="138">
        <f t="shared" si="82"/>
        <v>1088.6965320000002</v>
      </c>
      <c r="AT66" s="60"/>
      <c r="AU66" s="77"/>
      <c r="AV66" s="77"/>
      <c r="AW66" s="77"/>
      <c r="AX66" s="121"/>
      <c r="AY66" s="77"/>
      <c r="AZ66" s="77"/>
      <c r="BA66" s="188">
        <f>(H66*6*2+J66*8)*2/60/1000*L66</f>
        <v>10.288</v>
      </c>
      <c r="BB66" s="283"/>
      <c r="BC66" s="62"/>
      <c r="BD66" s="284"/>
      <c r="BE66" s="131"/>
      <c r="BF66"/>
      <c r="BG66" s="57"/>
      <c r="BH66" s="57"/>
      <c r="BI66" s="57"/>
      <c r="BJ66" s="57"/>
      <c r="BK66" s="57"/>
      <c r="BL66" s="60"/>
      <c r="BM66" s="57"/>
      <c r="BN66" s="60"/>
      <c r="BO66" s="83"/>
      <c r="BQ66" s="109"/>
    </row>
    <row r="67" spans="1:70" s="50" customFormat="1" ht="14.95" x14ac:dyDescent="0.25">
      <c r="A67" s="116">
        <f t="shared" ref="A67" si="85">H67*J67*(RIGHT(F67,2))*7.85/(10^6)</f>
        <v>1.57</v>
      </c>
      <c r="B67" s="116">
        <f t="shared" ref="B67" si="86">A67*L67</f>
        <v>18.84</v>
      </c>
      <c r="C67" s="118" t="s">
        <v>346</v>
      </c>
      <c r="D67" s="117" t="s">
        <v>344</v>
      </c>
      <c r="E67" s="117"/>
      <c r="F67" s="355" t="s">
        <v>324</v>
      </c>
      <c r="G67" s="117" t="s">
        <v>83</v>
      </c>
      <c r="H67" s="119">
        <v>200</v>
      </c>
      <c r="I67" s="118" t="s">
        <v>77</v>
      </c>
      <c r="J67" s="119">
        <v>200</v>
      </c>
      <c r="K67" s="119">
        <v>2</v>
      </c>
      <c r="L67" s="119">
        <f>K$67*L$59</f>
        <v>12</v>
      </c>
      <c r="M67" s="116">
        <f t="shared" ref="M67" si="87">2*H67*J67/10^6*L67</f>
        <v>0.96</v>
      </c>
      <c r="N67" s="118" t="s">
        <v>84</v>
      </c>
      <c r="P67" s="118"/>
      <c r="Q67" s="135"/>
      <c r="R67" s="118"/>
      <c r="S67" s="118"/>
      <c r="T67" s="118"/>
      <c r="U67" s="118"/>
      <c r="V67" s="118"/>
      <c r="W67" s="118"/>
      <c r="X67" s="118"/>
      <c r="Y67" s="118"/>
      <c r="Z67" s="118"/>
      <c r="AA67" s="118"/>
      <c r="AB67" s="118" t="s">
        <v>78</v>
      </c>
      <c r="AC67" s="136">
        <f>((((H67+J67)*2/1000)*L67*(5/(VLOOKUP(F67,[2]Plasmalõikus!$A$7:$E$46,2,FALSE)/1000*60)))+(Q67*L67*(5*(VLOOKUP(F67,[2]Plasmalõikus!$A$7:$E$48,3,FALSE))/60/60)))</f>
        <v>0.22222222222222224</v>
      </c>
      <c r="AD67" s="353"/>
      <c r="AE67" s="136"/>
      <c r="AF67" s="137"/>
      <c r="AG67" s="137">
        <f t="shared" ref="AG67" si="88">IF(VALUE(MID(F67,SEARCH(" ",F67)+1,LEN(F67)))&lt;35,0,IF(VALUE(MID(F67,SEARCH(" ",F67)+1,LEN(F67)))&lt;40,3,IF(VALUE(MID(F67,SEARCH(" ",F67)+1,LEN(F67)))&lt;50,4,IF(VALUE(MID(F67,SEARCH(" ",F67)+1,LEN(F67)))&lt;60,5,IF(VALUE(MID(F67,SEARCH(" ",F67)+1,LEN(F67)))&lt;70,6,IF(VALUE(MID(F67,SEARCH(" ",F67)+1,LEN(F67)))&lt;80,7,IF(VALUE(MID(F67,SEARCH(" ",F67)+1,LEN(F67)))&lt;90,8,IF(VALUE(MID(F67,SEARCH(" ",F67)+1,LEN(F67)))&lt;100,9,10))))))))/60*Q67*L67</f>
        <v>0</v>
      </c>
      <c r="AH67" s="136"/>
      <c r="AI67" s="132">
        <f t="shared" si="77"/>
        <v>0.4</v>
      </c>
      <c r="AJ67" s="70"/>
      <c r="AK67" s="50">
        <v>3</v>
      </c>
      <c r="AL67" s="69" t="str">
        <f>IF(AND(Q67&gt;0,A67&lt;3),"10",IF(AND(Q67&gt;0,A67&lt;10),"15",IF(AND(Q67&gt;0,A67&lt;20),"20",IF(AND(Q67&gt;0,A67&lt;500),"30",IF(AND(Q67=0,A67&lt;3),"2",IF(AND(Q67=0,A67&lt;10),"5",IF(AND(Q67=0,A67&lt;20),"10",IF(AND(Q67=0,A67&lt;500),"20","2"))))))))</f>
        <v>2</v>
      </c>
      <c r="AN67" s="66"/>
      <c r="AP67" s="146">
        <f>(VLOOKUP(F67,Terasehind!$A$2:$B$171,2,FALSE))</f>
        <v>0.92</v>
      </c>
      <c r="AQ67" s="50">
        <f>(VLOOKUP(F67,Terasehind!$A$2:$C$171,3,FALSE))</f>
        <v>1.1000000000000001</v>
      </c>
      <c r="AR67" s="138">
        <f>AP67*AQ67*B67</f>
        <v>19.066080000000003</v>
      </c>
      <c r="AT67" s="62"/>
      <c r="AU67" s="62"/>
      <c r="AV67" s="62"/>
      <c r="AW67" s="62"/>
      <c r="AX67" s="62"/>
      <c r="AY67" s="62"/>
      <c r="AZ67" s="77"/>
      <c r="BA67" s="188">
        <f t="shared" ref="BA67" si="89">(H67*2+J67*2)*2*2/60/1000*L67</f>
        <v>0.64</v>
      </c>
      <c r="BB67" s="283"/>
      <c r="BC67" s="62"/>
      <c r="BD67" s="284"/>
      <c r="BE67" s="131"/>
      <c r="BF67"/>
      <c r="BG67" s="57"/>
      <c r="BH67" s="57"/>
      <c r="BI67" s="57"/>
      <c r="BJ67" s="57"/>
      <c r="BK67" s="57"/>
      <c r="BL67" s="109"/>
      <c r="BM67" s="109"/>
      <c r="BN67" s="109"/>
      <c r="BO67" s="83"/>
      <c r="BQ67" s="83"/>
      <c r="BR67" s="83"/>
    </row>
    <row r="68" spans="1:70" s="50" customFormat="1" ht="16.5" customHeight="1" x14ac:dyDescent="0.25">
      <c r="A68" s="116">
        <f>H68*J68*(RIGHT(F68,2))*7.85/(10^6)</f>
        <v>3.9740625000000001</v>
      </c>
      <c r="B68" s="116">
        <f>A68*L68</f>
        <v>23.844374999999999</v>
      </c>
      <c r="C68" s="118" t="s">
        <v>412</v>
      </c>
      <c r="D68" s="117" t="s">
        <v>343</v>
      </c>
      <c r="E68" s="117"/>
      <c r="F68" s="355" t="s">
        <v>82</v>
      </c>
      <c r="G68" s="117" t="s">
        <v>83</v>
      </c>
      <c r="H68" s="119">
        <v>225</v>
      </c>
      <c r="I68" s="118" t="s">
        <v>77</v>
      </c>
      <c r="J68" s="119">
        <v>225</v>
      </c>
      <c r="K68" s="119">
        <v>1</v>
      </c>
      <c r="L68" s="119">
        <f>K$68*L$59</f>
        <v>6</v>
      </c>
      <c r="M68" s="116">
        <f>2*H68*J68/10^6*L68</f>
        <v>0.60750000000000004</v>
      </c>
      <c r="N68" s="118" t="s">
        <v>84</v>
      </c>
      <c r="P68" s="118"/>
      <c r="Q68" s="141">
        <v>4</v>
      </c>
      <c r="R68" s="118"/>
      <c r="S68" s="118"/>
      <c r="T68" s="118"/>
      <c r="U68" s="118"/>
      <c r="V68" s="118"/>
      <c r="W68" s="118"/>
      <c r="X68" s="118"/>
      <c r="Y68" s="118"/>
      <c r="Z68" s="118"/>
      <c r="AA68" s="118"/>
      <c r="AB68" s="118" t="s">
        <v>78</v>
      </c>
      <c r="AC68" s="136">
        <f>((((H68+J68)*2/1000)*L68*(5/(VLOOKUP(F68,[2]Plasmalõikus!$A$7:$E$46,2,FALSE)/1000*60)))+(Q68*L68*(5*(VLOOKUP(F68,[2]Plasmalõikus!$A$7:$E$48,3,FALSE))/60/60)))</f>
        <v>0.44666666666666666</v>
      </c>
      <c r="AD68" s="353"/>
      <c r="AE68" s="136"/>
      <c r="AF68" s="137"/>
      <c r="AG68" s="137">
        <f>IF(VALUE(MID(F68,SEARCH(" ",F68)+1,LEN(F68)))&lt;35,0,IF(VALUE(MID(F68,SEARCH(" ",F68)+1,LEN(F68)))&lt;40,3,IF(VALUE(MID(F68,SEARCH(" ",F68)+1,LEN(F68)))&lt;50,4,IF(VALUE(MID(F68,SEARCH(" ",F68)+1,LEN(F68)))&lt;60,5,IF(VALUE(MID(F68,SEARCH(" ",F68)+1,LEN(F68)))&lt;70,6,IF(VALUE(MID(F68,SEARCH(" ",F68)+1,LEN(F68)))&lt;80,7,IF(VALUE(MID(F68,SEARCH(" ",F68)+1,LEN(F68)))&lt;90,8,IF(VALUE(MID(F68,SEARCH(" ",F68)+1,LEN(F68)))&lt;100,9,10))))))))/60*Q68*L68</f>
        <v>0</v>
      </c>
      <c r="AH68" s="136"/>
      <c r="AI68" s="132">
        <f t="shared" si="77"/>
        <v>1.5</v>
      </c>
      <c r="AJ68" s="70">
        <f t="shared" ref="AJ68" si="90">(J68*2*AK68)*L68/1000</f>
        <v>5.4</v>
      </c>
      <c r="AK68" s="50">
        <v>2</v>
      </c>
      <c r="AL68" s="69" t="str">
        <f>IF(AND(Q68&gt;0,A68&lt;3),"10",IF(AND(Q68&gt;0,A68&lt;10),"15",IF(AND(Q68&gt;0,A68&lt;20),"20",IF(AND(Q68&gt;0,A68&lt;500),"30",IF(AND(Q68=0,A68&lt;3),"2",IF(AND(Q68=0,A68&lt;10),"5",IF(AND(Q68=0,A68&lt;20),"10",IF(AND(Q68=0,A68&lt;500),"20","2"))))))))</f>
        <v>15</v>
      </c>
      <c r="AN68" s="66"/>
      <c r="AP68" s="146">
        <f>(VLOOKUP(F68,Terasehind!$A$2:$B$171,2,FALSE))</f>
        <v>0.92</v>
      </c>
      <c r="AQ68" s="50">
        <f>(VLOOKUP(F68,Terasehind!$A$2:$C$171,3,FALSE))</f>
        <v>1.1000000000000001</v>
      </c>
      <c r="AR68" s="138">
        <f>AP68*AQ68*B68</f>
        <v>24.130507500000004</v>
      </c>
      <c r="AT68" s="62"/>
      <c r="AU68" s="62"/>
      <c r="AV68" s="62"/>
      <c r="AW68" s="62"/>
      <c r="AX68" s="62"/>
      <c r="AY68" s="62"/>
      <c r="AZ68" s="77"/>
      <c r="BA68" s="188">
        <f t="shared" si="79"/>
        <v>0.36</v>
      </c>
      <c r="BB68" s="189"/>
      <c r="BC68" s="57"/>
      <c r="BD68" s="57"/>
      <c r="BE68" s="57"/>
      <c r="BF68" s="57"/>
      <c r="BG68" s="57"/>
      <c r="BJ68" s="57"/>
      <c r="BK68" s="57"/>
      <c r="BM68" s="109"/>
      <c r="BN68" s="83"/>
      <c r="BP68" s="83"/>
      <c r="BQ68" s="83"/>
    </row>
    <row r="69" spans="1:70" s="50" customFormat="1" ht="16.5" customHeight="1" x14ac:dyDescent="0.25">
      <c r="A69" s="116">
        <f>H69*J69*(RIGHT(F69,2))*7.85/(10^6)</f>
        <v>6.7706249999999999</v>
      </c>
      <c r="B69" s="116">
        <f>A69*L69</f>
        <v>40.623750000000001</v>
      </c>
      <c r="C69" s="118" t="s">
        <v>412</v>
      </c>
      <c r="D69" s="117" t="s">
        <v>344</v>
      </c>
      <c r="E69" s="117"/>
      <c r="F69" s="355" t="s">
        <v>82</v>
      </c>
      <c r="G69" s="117" t="s">
        <v>83</v>
      </c>
      <c r="H69" s="119">
        <v>115</v>
      </c>
      <c r="I69" s="118" t="s">
        <v>77</v>
      </c>
      <c r="J69" s="119">
        <v>750</v>
      </c>
      <c r="K69" s="119">
        <v>1</v>
      </c>
      <c r="L69" s="119">
        <f>K$69*L$59</f>
        <v>6</v>
      </c>
      <c r="M69" s="116">
        <f>2*H69*J69/10^6*L69</f>
        <v>1.0349999999999999</v>
      </c>
      <c r="N69" s="118" t="s">
        <v>84</v>
      </c>
      <c r="P69" s="118"/>
      <c r="Q69" s="141">
        <v>8</v>
      </c>
      <c r="R69" s="118"/>
      <c r="S69" s="118"/>
      <c r="T69" s="118"/>
      <c r="U69" s="118"/>
      <c r="V69" s="118"/>
      <c r="W69" s="118"/>
      <c r="X69" s="118"/>
      <c r="Y69" s="118"/>
      <c r="Z69" s="118"/>
      <c r="AA69" s="118"/>
      <c r="AB69" s="118" t="s">
        <v>78</v>
      </c>
      <c r="AC69" s="136">
        <f>((((H69+J69)*2/1000)*L69*(5/(VLOOKUP(F69,[2]Plasmalõikus!$A$7:$E$46,2,FALSE)/1000*60)))+(Q69*L69*(5*(VLOOKUP(F69,[2]Plasmalõikus!$A$7:$E$48,3,FALSE))/60/60)))</f>
        <v>0.87933333333333319</v>
      </c>
      <c r="AD69" s="353"/>
      <c r="AE69" s="136"/>
      <c r="AF69" s="137"/>
      <c r="AG69" s="137">
        <f>IF(VALUE(MID(F69,SEARCH(" ",F69)+1,LEN(F69)))&lt;35,0,IF(VALUE(MID(F69,SEARCH(" ",F69)+1,LEN(F69)))&lt;40,3,IF(VALUE(MID(F69,SEARCH(" ",F69)+1,LEN(F69)))&lt;50,4,IF(VALUE(MID(F69,SEARCH(" ",F69)+1,LEN(F69)))&lt;60,5,IF(VALUE(MID(F69,SEARCH(" ",F69)+1,LEN(F69)))&lt;70,6,IF(VALUE(MID(F69,SEARCH(" ",F69)+1,LEN(F69)))&lt;80,7,IF(VALUE(MID(F69,SEARCH(" ",F69)+1,LEN(F69)))&lt;90,8,IF(VALUE(MID(F69,SEARCH(" ",F69)+1,LEN(F69)))&lt;100,9,10))))))))/60*Q69*L69</f>
        <v>0</v>
      </c>
      <c r="AH69" s="136"/>
      <c r="AI69" s="132">
        <f t="shared" si="77"/>
        <v>1.5</v>
      </c>
      <c r="AJ69" s="70">
        <f>(J69*2*AK69)*L69/1000</f>
        <v>9</v>
      </c>
      <c r="AK69" s="50">
        <v>1</v>
      </c>
      <c r="AL69" s="69" t="str">
        <f>IF(AND(Q69&gt;0,A69&lt;3),"10",IF(AND(Q69&gt;0,A69&lt;10),"15",IF(AND(Q69&gt;0,A69&lt;20),"20",IF(AND(Q69&gt;0,A69&lt;500),"30",IF(AND(Q69=0,A69&lt;3),"2",IF(AND(Q69=0,A69&lt;10),"5",IF(AND(Q69=0,A69&lt;20),"10",IF(AND(Q69=0,A69&lt;500),"20","2"))))))))</f>
        <v>15</v>
      </c>
      <c r="AN69" s="66"/>
      <c r="AP69" s="146">
        <f>(VLOOKUP(F69,Terasehind!$A$2:$B$171,2,FALSE))</f>
        <v>0.92</v>
      </c>
      <c r="AQ69" s="50">
        <f>(VLOOKUP(F69,Terasehind!$A$2:$C$171,3,FALSE))</f>
        <v>1.1000000000000001</v>
      </c>
      <c r="AR69" s="138">
        <f>AP69*AQ69*B69</f>
        <v>41.111235000000008</v>
      </c>
      <c r="AT69" s="62"/>
      <c r="AU69" s="62"/>
      <c r="AV69" s="62"/>
      <c r="AW69" s="62"/>
      <c r="AX69" s="62"/>
      <c r="AY69" s="62"/>
      <c r="AZ69" s="77"/>
      <c r="BA69" s="188">
        <f t="shared" si="79"/>
        <v>0.69199999999999995</v>
      </c>
      <c r="BB69" s="189"/>
      <c r="BC69" s="57"/>
      <c r="BD69" s="57"/>
      <c r="BE69" s="57"/>
      <c r="BF69" s="57"/>
      <c r="BG69" s="57"/>
      <c r="BJ69" s="57"/>
      <c r="BK69" s="57"/>
      <c r="BM69" s="109"/>
      <c r="BN69" s="83"/>
      <c r="BP69" s="83"/>
      <c r="BQ69" s="83"/>
    </row>
    <row r="70" spans="1:70" s="50" customFormat="1" ht="14.95" x14ac:dyDescent="0.25">
      <c r="A70" s="116">
        <f xml:space="preserve"> 30.7*J70/10^3</f>
        <v>4.6050000000000004</v>
      </c>
      <c r="B70" s="116">
        <f>A70*L70</f>
        <v>27.630000000000003</v>
      </c>
      <c r="C70" s="295"/>
      <c r="D70" s="117" t="s">
        <v>343</v>
      </c>
      <c r="E70" s="117"/>
      <c r="F70" s="355" t="s">
        <v>455</v>
      </c>
      <c r="G70" s="140" t="s">
        <v>83</v>
      </c>
      <c r="H70" s="119">
        <v>240</v>
      </c>
      <c r="I70" s="118" t="s">
        <v>77</v>
      </c>
      <c r="J70" s="119">
        <v>150</v>
      </c>
      <c r="K70" s="119">
        <v>1</v>
      </c>
      <c r="L70" s="119">
        <f>K$70*L$59</f>
        <v>6</v>
      </c>
      <c r="M70" s="131">
        <f xml:space="preserve"> 0.9*J70*L70/10^3</f>
        <v>0.81</v>
      </c>
      <c r="N70" s="118"/>
      <c r="O70" s="118"/>
      <c r="P70" s="118" t="s">
        <v>78</v>
      </c>
      <c r="Q70" s="135"/>
      <c r="R70" s="118"/>
      <c r="S70" s="118"/>
      <c r="T70" s="118"/>
      <c r="U70" s="118"/>
      <c r="V70" s="118"/>
      <c r="W70" s="118"/>
      <c r="Y70" s="118"/>
      <c r="Z70" s="118"/>
      <c r="AA70" s="118"/>
      <c r="AB70" s="118" t="s">
        <v>78</v>
      </c>
      <c r="AC70" s="116"/>
      <c r="AD70" s="83"/>
      <c r="AE70" s="136">
        <f t="shared" ref="AE70" si="91">(H70/20/60)*2*L70</f>
        <v>2.4000000000000004</v>
      </c>
      <c r="AF70" s="137"/>
      <c r="AG70" s="132">
        <f>Q70*L70*0.5/60</f>
        <v>0</v>
      </c>
      <c r="AH70" s="83"/>
      <c r="AI70" s="132">
        <f t="shared" si="77"/>
        <v>0.5</v>
      </c>
      <c r="AJ70" s="70">
        <f>(J70*4*AK70)*1*L70/1000</f>
        <v>7.2</v>
      </c>
      <c r="AK70" s="50">
        <f>(VLOOKUP(F70,[2]Koostamine!$A$12:$P$1612,7,FALSE))</f>
        <v>2</v>
      </c>
      <c r="AL70" s="69">
        <f>VLOOKUP(F70,[2]Koostamine!$A$12:$P$1612,IF(J70&lt;1499,11,IF(J70&lt;2999,12,IF(J70&lt;5999,13,IF(J70&lt;9999,14,IF(J70&lt;12999,15,IF(J70&gt;13000,16)))))),FALSE)</f>
        <v>5</v>
      </c>
      <c r="AP70" s="146">
        <f>(VLOOKUP(F70,Terasehind!$A$2:$B$171,2,FALSE))</f>
        <v>0.88</v>
      </c>
      <c r="AQ70" s="50">
        <f>(VLOOKUP(F70,Terasehind!$A$2:$C$171,3,FALSE))</f>
        <v>1.1000000000000001</v>
      </c>
      <c r="AR70" s="138">
        <f t="shared" ref="AR70" si="92">AP70*AQ70*B70</f>
        <v>26.745840000000005</v>
      </c>
      <c r="AT70" s="60"/>
      <c r="AU70" s="77"/>
      <c r="AV70" s="77"/>
      <c r="AW70" s="77"/>
      <c r="AX70" s="121"/>
      <c r="AY70" s="77"/>
      <c r="AZ70" s="77"/>
      <c r="BA70" s="188">
        <f>(H70*6*2+J70*8)*2/60/1000*L70</f>
        <v>0.81600000000000006</v>
      </c>
      <c r="BB70" s="283"/>
      <c r="BC70" s="62"/>
      <c r="BD70" s="284"/>
      <c r="BE70" s="131"/>
      <c r="BF70"/>
      <c r="BG70" s="57"/>
      <c r="BH70" s="57"/>
      <c r="BI70" s="57"/>
      <c r="BJ70" s="57"/>
      <c r="BK70" s="57"/>
      <c r="BL70" s="60"/>
      <c r="BM70" s="57"/>
      <c r="BN70" s="60"/>
      <c r="BO70" s="83"/>
      <c r="BQ70" s="109"/>
    </row>
    <row r="71" spans="1:70" s="50" customFormat="1" ht="14.95" x14ac:dyDescent="0.25">
      <c r="A71" s="116">
        <f xml:space="preserve"> 105*J71/10^3</f>
        <v>56.7</v>
      </c>
      <c r="B71" s="116">
        <f>A71*L71</f>
        <v>340.20000000000005</v>
      </c>
      <c r="C71" s="295"/>
      <c r="D71" s="117" t="s">
        <v>343</v>
      </c>
      <c r="E71" s="117"/>
      <c r="F71" s="355" t="s">
        <v>403</v>
      </c>
      <c r="G71" s="140" t="s">
        <v>83</v>
      </c>
      <c r="H71" s="119">
        <v>330</v>
      </c>
      <c r="I71" s="118" t="s">
        <v>77</v>
      </c>
      <c r="J71" s="119">
        <v>540</v>
      </c>
      <c r="K71" s="119">
        <v>1</v>
      </c>
      <c r="L71" s="119">
        <f>K$71*L$59</f>
        <v>6</v>
      </c>
      <c r="M71" s="131">
        <f xml:space="preserve"> 1.79*J71*L71/10^3</f>
        <v>5.7996000000000008</v>
      </c>
      <c r="N71" s="118"/>
      <c r="O71" s="118"/>
      <c r="P71" s="118" t="s">
        <v>78</v>
      </c>
      <c r="Q71" s="135"/>
      <c r="R71" s="118"/>
      <c r="S71" s="118"/>
      <c r="T71" s="118"/>
      <c r="U71" s="118"/>
      <c r="V71" s="118"/>
      <c r="W71" s="118"/>
      <c r="Y71" s="118"/>
      <c r="Z71" s="118"/>
      <c r="AA71" s="118"/>
      <c r="AB71" s="118" t="s">
        <v>78</v>
      </c>
      <c r="AC71" s="116"/>
      <c r="AD71" s="83"/>
      <c r="AE71" s="136">
        <f t="shared" ref="AE71" si="93">(H71/20/60)*2*L71</f>
        <v>3.3000000000000003</v>
      </c>
      <c r="AF71" s="137"/>
      <c r="AG71" s="132">
        <f>Q71*L71*0.5/60</f>
        <v>0</v>
      </c>
      <c r="AH71" s="83"/>
      <c r="AI71" s="132">
        <f t="shared" ref="AI71:AI72" si="94">AL71*L71/60</f>
        <v>1</v>
      </c>
      <c r="AJ71" s="70">
        <f>(J71*6*AK71)*4*L71/1000</f>
        <v>233.28</v>
      </c>
      <c r="AK71" s="50">
        <f>(VLOOKUP(F71,[2]Koostamine!$A$12:$P$1612,7,FALSE))</f>
        <v>3</v>
      </c>
      <c r="AL71" s="69">
        <f>VLOOKUP(F71,[2]Koostamine!$A$12:$P$1612,IF(J71&lt;1499,11,IF(J71&lt;2999,12,IF(J71&lt;5999,13,IF(J71&lt;9999,14,IF(J71&lt;12999,15,IF(J71&gt;13000,16)))))),FALSE)</f>
        <v>10</v>
      </c>
      <c r="AP71" s="146">
        <f>(VLOOKUP(F71,Terasehind!$A$2:$B$171,2,FALSE))</f>
        <v>0.9</v>
      </c>
      <c r="AQ71" s="50">
        <f>(VLOOKUP(F71,Terasehind!$A$2:$C$171,3,FALSE))</f>
        <v>1.1000000000000001</v>
      </c>
      <c r="AR71" s="138">
        <f t="shared" ref="AR71" si="95">AP71*AQ71*B71</f>
        <v>336.79800000000006</v>
      </c>
      <c r="AT71" s="60"/>
      <c r="AU71" s="77"/>
      <c r="AV71" s="77"/>
      <c r="AW71" s="77"/>
      <c r="AX71" s="121"/>
      <c r="AY71" s="77"/>
      <c r="AZ71" s="77"/>
      <c r="BA71" s="188">
        <f>(H71*6*2+J71*8)*2/60/1000*L71</f>
        <v>1.6560000000000001</v>
      </c>
      <c r="BB71" s="283"/>
      <c r="BC71" s="62"/>
      <c r="BD71" s="284"/>
      <c r="BE71" s="131"/>
      <c r="BF71"/>
      <c r="BG71" s="57"/>
      <c r="BH71" s="57"/>
      <c r="BI71" s="57"/>
      <c r="BJ71" s="57"/>
      <c r="BK71" s="57"/>
      <c r="BL71" s="60"/>
      <c r="BM71" s="57"/>
      <c r="BN71" s="60"/>
      <c r="BO71" s="83"/>
      <c r="BQ71" s="109"/>
    </row>
    <row r="72" spans="1:70" s="50" customFormat="1" ht="14.95" x14ac:dyDescent="0.25">
      <c r="A72" s="116">
        <f t="shared" ref="A72" si="96">H72*J72*(RIGHT(F72,2))*7.85/(10^6)</f>
        <v>63.585000000000001</v>
      </c>
      <c r="B72" s="116">
        <f t="shared" ref="B72" si="97">A72*L72</f>
        <v>763.02</v>
      </c>
      <c r="C72" s="118" t="s">
        <v>346</v>
      </c>
      <c r="D72" s="117" t="s">
        <v>344</v>
      </c>
      <c r="E72" s="117"/>
      <c r="F72" s="355" t="s">
        <v>92</v>
      </c>
      <c r="G72" s="117" t="s">
        <v>83</v>
      </c>
      <c r="H72" s="119">
        <v>450</v>
      </c>
      <c r="I72" s="118" t="s">
        <v>77</v>
      </c>
      <c r="J72" s="119">
        <v>450</v>
      </c>
      <c r="K72" s="119">
        <v>2</v>
      </c>
      <c r="L72" s="119">
        <f>K$72*L$59</f>
        <v>12</v>
      </c>
      <c r="M72" s="116">
        <f t="shared" ref="M72" si="98">2*H72*J72/10^6*L72</f>
        <v>4.8600000000000003</v>
      </c>
      <c r="N72" s="118" t="s">
        <v>84</v>
      </c>
      <c r="P72" s="118"/>
      <c r="Q72" s="135">
        <v>16</v>
      </c>
      <c r="R72" s="118"/>
      <c r="S72" s="118"/>
      <c r="T72" s="118"/>
      <c r="U72" s="118"/>
      <c r="V72" s="118"/>
      <c r="W72" s="118"/>
      <c r="X72" s="118"/>
      <c r="Y72" s="118"/>
      <c r="Z72" s="118"/>
      <c r="AA72" s="118"/>
      <c r="AB72" s="118" t="s">
        <v>78</v>
      </c>
      <c r="AC72" s="136">
        <f>((((H72+J72)*2/1000)*L72*(5/(VLOOKUP(F72,[2]Plasmalõikus!$A$7:$E$46,2,FALSE)/1000*60)))+(Q72*L72*(5*(VLOOKUP(F72,[2]Plasmalõikus!$A$7:$E$48,3,FALSE))/60/60)))</f>
        <v>7.5833333333333339</v>
      </c>
      <c r="AD72" s="353"/>
      <c r="AE72" s="136"/>
      <c r="AF72" s="137"/>
      <c r="AG72" s="137">
        <f t="shared" ref="AG72" si="99">IF(VALUE(MID(F72,SEARCH(" ",F72)+1,LEN(F72)))&lt;35,0,IF(VALUE(MID(F72,SEARCH(" ",F72)+1,LEN(F72)))&lt;40,3,IF(VALUE(MID(F72,SEARCH(" ",F72)+1,LEN(F72)))&lt;50,4,IF(VALUE(MID(F72,SEARCH(" ",F72)+1,LEN(F72)))&lt;60,5,IF(VALUE(MID(F72,SEARCH(" ",F72)+1,LEN(F72)))&lt;70,6,IF(VALUE(MID(F72,SEARCH(" ",F72)+1,LEN(F72)))&lt;80,7,IF(VALUE(MID(F72,SEARCH(" ",F72)+1,LEN(F72)))&lt;90,8,IF(VALUE(MID(F72,SEARCH(" ",F72)+1,LEN(F72)))&lt;100,9,10))))))))/60*Q72*L72</f>
        <v>12.8</v>
      </c>
      <c r="AH72" s="136"/>
      <c r="AI72" s="132">
        <f t="shared" si="94"/>
        <v>6</v>
      </c>
      <c r="AJ72" s="70"/>
      <c r="AK72" s="50">
        <v>3</v>
      </c>
      <c r="AL72" s="69" t="str">
        <f>IF(AND(Q72&gt;0,A72&lt;3),"10",IF(AND(Q72&gt;0,A72&lt;10),"15",IF(AND(Q72&gt;0,A72&lt;20),"20",IF(AND(Q72&gt;0,A72&lt;500),"30",IF(AND(Q72=0,A72&lt;3),"2",IF(AND(Q72=0,A72&lt;10),"5",IF(AND(Q72=0,A72&lt;20),"10",IF(AND(Q72=0,A72&lt;500),"20","2"))))))))</f>
        <v>30</v>
      </c>
      <c r="AN72" s="66"/>
      <c r="AP72" s="146">
        <f>(VLOOKUP(F72,Terasehind!$A$2:$B$171,2,FALSE))</f>
        <v>1.37</v>
      </c>
      <c r="AQ72" s="50">
        <f>(VLOOKUP(F72,Terasehind!$A$2:$C$171,3,FALSE))</f>
        <v>1.1000000000000001</v>
      </c>
      <c r="AR72" s="138">
        <f>AP72*AQ72*B72</f>
        <v>1149.8711400000002</v>
      </c>
      <c r="AT72" s="62"/>
      <c r="AU72" s="62"/>
      <c r="AV72" s="62"/>
      <c r="AW72" s="62"/>
      <c r="AX72" s="62"/>
      <c r="AY72" s="62"/>
      <c r="AZ72" s="77"/>
      <c r="BA72" s="188">
        <f t="shared" ref="BA72" si="100">(H72*2+J72*2)*2*2/60/1000*L72</f>
        <v>1.44</v>
      </c>
      <c r="BB72" s="283"/>
      <c r="BC72" s="62"/>
      <c r="BD72" s="284"/>
      <c r="BE72" s="131"/>
      <c r="BF72"/>
      <c r="BG72" s="57"/>
      <c r="BH72" s="57"/>
      <c r="BI72" s="57"/>
      <c r="BJ72" s="57"/>
      <c r="BK72" s="57"/>
      <c r="BL72" s="109"/>
      <c r="BM72" s="109"/>
      <c r="BN72" s="109"/>
      <c r="BO72" s="83"/>
      <c r="BQ72" s="83"/>
      <c r="BR72" s="83"/>
    </row>
    <row r="73" spans="1:70" s="50" customFormat="1" ht="16.5" customHeight="1" x14ac:dyDescent="0.25">
      <c r="A73" s="116">
        <f>H73*J73*(RIGHT(F73,2))*7.85/(10^6)</f>
        <v>3.6423999999999999</v>
      </c>
      <c r="B73" s="116">
        <f>A73*L73</f>
        <v>87.417599999999993</v>
      </c>
      <c r="C73" s="118" t="s">
        <v>383</v>
      </c>
      <c r="D73" s="117" t="s">
        <v>463</v>
      </c>
      <c r="E73" s="117"/>
      <c r="F73" s="355" t="s">
        <v>82</v>
      </c>
      <c r="G73" s="117" t="s">
        <v>83</v>
      </c>
      <c r="H73" s="119">
        <v>145</v>
      </c>
      <c r="I73" s="118" t="s">
        <v>77</v>
      </c>
      <c r="J73" s="119">
        <v>320</v>
      </c>
      <c r="K73" s="119">
        <v>4</v>
      </c>
      <c r="L73" s="119">
        <f>K$73*L$59</f>
        <v>24</v>
      </c>
      <c r="M73" s="116">
        <f>2*H73*J73/10^6*L73</f>
        <v>2.2271999999999998</v>
      </c>
      <c r="N73" s="118" t="s">
        <v>84</v>
      </c>
      <c r="P73" s="118"/>
      <c r="Q73" s="141"/>
      <c r="R73" s="118"/>
      <c r="S73" s="118"/>
      <c r="T73" s="118"/>
      <c r="U73" s="118"/>
      <c r="V73" s="118"/>
      <c r="W73" s="118"/>
      <c r="X73" s="118"/>
      <c r="Y73" s="118"/>
      <c r="Z73" s="118"/>
      <c r="AA73" s="118"/>
      <c r="AB73" s="118" t="s">
        <v>78</v>
      </c>
      <c r="AC73" s="136">
        <f>((((H73+J73)*2/1000)*L73*(5/(VLOOKUP(F73,[2]Plasmalõikus!$A$7:$E$46,2,FALSE)/1000*60)))+(Q73*L73*(5*(VLOOKUP(F73,[2]Plasmalõikus!$A$7:$E$48,3,FALSE))/60/60)))</f>
        <v>0.74399999999999999</v>
      </c>
      <c r="AD73" s="353"/>
      <c r="AE73" s="136"/>
      <c r="AF73" s="137"/>
      <c r="AG73" s="137">
        <f>IF(VALUE(MID(F73,SEARCH(" ",F73)+1,LEN(F73)))&lt;35,0,IF(VALUE(MID(F73,SEARCH(" ",F73)+1,LEN(F73)))&lt;40,3,IF(VALUE(MID(F73,SEARCH(" ",F73)+1,LEN(F73)))&lt;50,4,IF(VALUE(MID(F73,SEARCH(" ",F73)+1,LEN(F73)))&lt;60,5,IF(VALUE(MID(F73,SEARCH(" ",F73)+1,LEN(F73)))&lt;70,6,IF(VALUE(MID(F73,SEARCH(" ",F73)+1,LEN(F73)))&lt;80,7,IF(VALUE(MID(F73,SEARCH(" ",F73)+1,LEN(F73)))&lt;90,8,IF(VALUE(MID(F73,SEARCH(" ",F73)+1,LEN(F73)))&lt;100,9,10))))))))/60*Q73*L73</f>
        <v>0</v>
      </c>
      <c r="AH73" s="136"/>
      <c r="AI73" s="132">
        <f>AL73*L73/60</f>
        <v>2</v>
      </c>
      <c r="AJ73" s="70">
        <f>(H73*4*AK73+J73*2*AK73)*L73/1000</f>
        <v>29.28</v>
      </c>
      <c r="AK73" s="50">
        <v>1</v>
      </c>
      <c r="AL73" s="69" t="str">
        <f>IF(AND(Q73&gt;0,A73&lt;3),"10",IF(AND(Q73&gt;0,A73&lt;10),"15",IF(AND(Q73&gt;0,A73&lt;20),"20",IF(AND(Q73&gt;0,A73&lt;500),"30",IF(AND(Q73=0,A73&lt;3),"2",IF(AND(Q73=0,A73&lt;10),"5",IF(AND(Q73=0,A73&lt;20),"10",IF(AND(Q73=0,A73&lt;500),"20","2"))))))))</f>
        <v>5</v>
      </c>
      <c r="AN73" s="66"/>
      <c r="AP73" s="146">
        <f>(VLOOKUP(F73,Terasehind!$A$2:$B$171,2,FALSE))</f>
        <v>0.92</v>
      </c>
      <c r="AQ73" s="50">
        <f>(VLOOKUP(F73,Terasehind!$A$2:$C$171,3,FALSE))</f>
        <v>1.1000000000000001</v>
      </c>
      <c r="AR73" s="138">
        <f>AP73*AQ73*B73</f>
        <v>88.466611200000017</v>
      </c>
      <c r="AT73" s="62"/>
      <c r="AU73" s="62"/>
      <c r="AV73" s="62"/>
      <c r="AW73" s="62"/>
      <c r="AX73" s="62"/>
      <c r="AY73" s="62"/>
      <c r="AZ73" s="77"/>
      <c r="BA73" s="188">
        <f>(H73*2+J73*2)*2*2/60/1000*L73</f>
        <v>1.488</v>
      </c>
      <c r="BB73" s="189"/>
      <c r="BC73" s="57"/>
      <c r="BD73" s="57"/>
      <c r="BE73" s="57"/>
      <c r="BF73" s="57"/>
      <c r="BG73" s="57"/>
      <c r="BJ73" s="57"/>
      <c r="BK73" s="57"/>
      <c r="BM73" s="109"/>
      <c r="BN73" s="83"/>
      <c r="BP73" s="83"/>
      <c r="BQ73" s="83"/>
    </row>
    <row r="74" spans="1:70" customFormat="1" ht="14.95" x14ac:dyDescent="0.25"/>
    <row r="75" spans="1:70" customFormat="1" ht="14.95" x14ac:dyDescent="0.25"/>
    <row r="76" spans="1:70" customFormat="1" ht="15.8" x14ac:dyDescent="0.25">
      <c r="B76" s="22"/>
      <c r="F76" s="296"/>
      <c r="K76" s="119"/>
      <c r="M76" s="282"/>
      <c r="AD76" s="328" t="s">
        <v>393</v>
      </c>
      <c r="AS76" s="50"/>
      <c r="AT76" s="62"/>
      <c r="AU76" s="62"/>
      <c r="AV76" s="62"/>
      <c r="AW76" s="62"/>
      <c r="AX76" s="62"/>
      <c r="AY76" s="62"/>
      <c r="AZ76" s="77"/>
      <c r="BA76" s="192"/>
      <c r="BB76" s="283"/>
      <c r="BC76" s="62"/>
      <c r="BD76" s="284"/>
      <c r="BE76" s="131"/>
    </row>
    <row r="77" spans="1:70" s="50" customFormat="1" ht="14.95" x14ac:dyDescent="0.25">
      <c r="A77" s="148">
        <f>B77/L77</f>
        <v>2126.371725</v>
      </c>
      <c r="B77" s="285">
        <f>SUM(B93,B92,B91,B90,B89,B88,B87,B86,B85,B84,B83,B82,B81,B80,B79,B78,0)</f>
        <v>8505.4868999999999</v>
      </c>
      <c r="C77" s="286">
        <f>(SUM(B82:B85)/B77)</f>
        <v>0.19889035394317051</v>
      </c>
      <c r="D77" s="149" t="s">
        <v>81</v>
      </c>
      <c r="E77" s="149"/>
      <c r="F77" s="357" t="s">
        <v>468</v>
      </c>
      <c r="G77" s="177" t="str">
        <f>$G$16</f>
        <v>C3VH</v>
      </c>
      <c r="H77" s="150">
        <v>160</v>
      </c>
      <c r="I77" s="151" t="s">
        <v>77</v>
      </c>
      <c r="J77" s="150">
        <v>13300</v>
      </c>
      <c r="K77" s="134">
        <v>4</v>
      </c>
      <c r="L77" s="150">
        <f>$L$16*$K$77</f>
        <v>4</v>
      </c>
      <c r="M77" s="148">
        <f>SUM(M93,M92,M91,M90,M89,M88,M87,M86,M85,M84,M83,M82,M81,M80,M79,M78,0)</f>
        <v>162.38947999999999</v>
      </c>
      <c r="N77" s="151"/>
      <c r="O77" s="151"/>
      <c r="P77" s="151"/>
      <c r="Q77" s="151"/>
      <c r="R77" s="120"/>
      <c r="S77" s="120"/>
      <c r="T77" s="120"/>
      <c r="U77" s="120"/>
      <c r="V77" s="120"/>
      <c r="W77" s="118"/>
      <c r="X77" s="118" t="s">
        <v>78</v>
      </c>
      <c r="Y77" s="151">
        <v>4</v>
      </c>
      <c r="Z77" s="151"/>
      <c r="AA77" s="151"/>
      <c r="AB77" s="151"/>
      <c r="AC77" s="148">
        <f>SUM(AC93,AC92,AC91,AC90,AC89,AC88,AC87,AC86,AC85,AC84,AC83,AC82,AC81,AC80,AC79,AC78,0)</f>
        <v>30.981708994708995</v>
      </c>
      <c r="AD77" s="148">
        <f>SUM(AD93,AD92,AD91,AD90,AD89,AD88,AD87,AD86,AD85,AD84,AD83,AD82,AD81,AD80,AD79,AD78,0)</f>
        <v>0</v>
      </c>
      <c r="AE77" s="148">
        <f>SUM(AE93,AE92,AE91,AE90,AE89,AE88,AE87,AE86,AE85,AE84,AE83,AE82,AE81,AE80,AE79,AE78,0)</f>
        <v>5.6</v>
      </c>
      <c r="AF77" s="148">
        <f>SUM(AF93,AF92,AF91,AF90,AF89,AF88,AF87,AF86,AF85,AF84,AF83,AF82,AF81,AF80,AF79,AF78,0)</f>
        <v>34.567999999999998</v>
      </c>
      <c r="AG77" s="148">
        <f>SUM(AG93,AG92,AG91,AG90,AG89,AG88,AG87,AG86,AG85,AG84,AG83,AG82,AG81,AG80,AG79,AG78,0)</f>
        <v>0</v>
      </c>
      <c r="AH77" s="107">
        <f>SUM(AC77:AG77)</f>
        <v>71.149708994708988</v>
      </c>
      <c r="AI77" s="107">
        <f>SUM(AI93,AI92,AI91,AI90,AI89,AI88,AI87,AI86,AI85,AI84,AI83,AI82,AI81,AI80,AI79,AI78,0)</f>
        <v>53.133333333333333</v>
      </c>
      <c r="AJ77" s="148">
        <f>SUM(AJ93,AJ92,AJ91,AJ90,AJ89,AJ88,AJ87,AJ86,AJ85,AJ84,AJ83,AJ82,AJ81,AJ80,AJ79,AJ78,0)</f>
        <v>572.33600000000001</v>
      </c>
      <c r="AK77" s="107">
        <f>AJ77*10/60</f>
        <v>95.38933333333334</v>
      </c>
      <c r="AL77" s="148">
        <f>AH77+AI77+AK77</f>
        <v>219.67237566137567</v>
      </c>
      <c r="AM77" s="288">
        <f>B77/AL77</f>
        <v>38.718964432338019</v>
      </c>
      <c r="AN77" s="148">
        <f>AL77*46</f>
        <v>10104.929280423281</v>
      </c>
      <c r="AO77" s="148">
        <f>AN77/B77</f>
        <v>1.1880483033162135</v>
      </c>
      <c r="AP77" s="148">
        <f>AR77/B77</f>
        <v>1.0134462523009711</v>
      </c>
      <c r="AQ77" s="67"/>
      <c r="AR77" s="148">
        <f>SUM(AR93,AR92,AR91,AR90,AR89,AR88,AR87,AR86,AR85,AR84,AR83,AR82,AR81,AR80,AR79,AR78,0)</f>
        <v>8619.8538228000034</v>
      </c>
      <c r="AT77" s="62"/>
      <c r="AU77" s="62"/>
      <c r="AV77" s="62"/>
      <c r="AW77" s="62"/>
      <c r="AX77" s="62"/>
      <c r="AY77" s="62"/>
      <c r="AZ77" s="77"/>
      <c r="BA77" s="148">
        <f>SUM(BA93,BA92,BA91,BA90,BA89,BA88,BA87,BA86,BA85,BA84,BA83,BA82,BA81,BA80,BA79,BA78,0)</f>
        <v>31.605866666666664</v>
      </c>
      <c r="BB77" s="283"/>
      <c r="BC77" s="62"/>
      <c r="BD77" s="289"/>
      <c r="BF77" s="19"/>
      <c r="BG77" s="57"/>
      <c r="BH77" s="57"/>
      <c r="BI77" s="57"/>
      <c r="BJ77" s="57"/>
      <c r="BK77" s="60"/>
    </row>
    <row r="78" spans="1:70" s="50" customFormat="1" ht="14.95" x14ac:dyDescent="0.25">
      <c r="A78" s="319">
        <f t="shared" ref="A78" si="101">H78*J78*(RIGHT(F78,2))*7.85/(10^6)</f>
        <v>546.36</v>
      </c>
      <c r="B78" s="319">
        <f t="shared" ref="B78" si="102">A78*L78</f>
        <v>2185.44</v>
      </c>
      <c r="C78" s="322" t="s">
        <v>345</v>
      </c>
      <c r="D78" s="321" t="s">
        <v>76</v>
      </c>
      <c r="E78" s="331"/>
      <c r="F78" s="360" t="s">
        <v>82</v>
      </c>
      <c r="G78" s="321" t="s">
        <v>83</v>
      </c>
      <c r="H78" s="324">
        <v>580</v>
      </c>
      <c r="I78" s="322" t="s">
        <v>77</v>
      </c>
      <c r="J78" s="324">
        <v>12000</v>
      </c>
      <c r="K78" s="324">
        <v>1</v>
      </c>
      <c r="L78" s="324">
        <f>K$78*L$77</f>
        <v>4</v>
      </c>
      <c r="M78" s="319">
        <f t="shared" ref="M78" si="103">2*H78*J78/10^6*L78</f>
        <v>55.68</v>
      </c>
      <c r="N78" s="322" t="s">
        <v>84</v>
      </c>
      <c r="O78" s="325"/>
      <c r="P78" s="322"/>
      <c r="Q78" s="294">
        <v>20</v>
      </c>
      <c r="R78" s="118"/>
      <c r="S78" s="118"/>
      <c r="T78" s="118"/>
      <c r="U78" s="118"/>
      <c r="V78" s="118"/>
      <c r="W78" s="118"/>
      <c r="X78" s="118"/>
      <c r="Y78" s="118"/>
      <c r="Z78" s="118"/>
      <c r="AA78" s="118"/>
      <c r="AB78" s="118" t="s">
        <v>78</v>
      </c>
      <c r="AC78" s="136">
        <f>((((H78+J78)*2/1000)*L78*(5/(VLOOKUP(F78,[2]Plasmalõikus!$A$7:$E$46,2,FALSE)/1000*60)))+(Q78*L78*(5*(VLOOKUP(F78,[2]Plasmalõikus!$A$7:$E$48,3,FALSE))/60/60)))</f>
        <v>4.243555555555556</v>
      </c>
      <c r="AD78" s="353"/>
      <c r="AE78" s="136"/>
      <c r="AF78" s="137"/>
      <c r="AG78" s="137">
        <f t="shared" ref="AG78" si="104">IF(VALUE(MID(F78,SEARCH(" ",F78)+1,LEN(F78)))&lt;35,0,IF(VALUE(MID(F78,SEARCH(" ",F78)+1,LEN(F78)))&lt;40,3,IF(VALUE(MID(F78,SEARCH(" ",F78)+1,LEN(F78)))&lt;50,4,IF(VALUE(MID(F78,SEARCH(" ",F78)+1,LEN(F78)))&lt;60,5,IF(VALUE(MID(F78,SEARCH(" ",F78)+1,LEN(F78)))&lt;70,6,IF(VALUE(MID(F78,SEARCH(" ",F78)+1,LEN(F78)))&lt;80,7,IF(VALUE(MID(F78,SEARCH(" ",F78)+1,LEN(F78)))&lt;90,8,IF(VALUE(MID(F78,SEARCH(" ",F78)+1,LEN(F78)))&lt;100,9,10))))))))/60*Q78*L78</f>
        <v>0</v>
      </c>
      <c r="AH78" s="136"/>
      <c r="AI78" s="132">
        <f t="shared" ref="AI78" si="105">AL78*L78/60</f>
        <v>8</v>
      </c>
      <c r="AJ78" s="70">
        <f>(J78*4*AK78)*L78/1000</f>
        <v>192</v>
      </c>
      <c r="AK78" s="69">
        <v>1</v>
      </c>
      <c r="AL78" s="165" t="str">
        <f>IF(AND(J78&gt;0,J78&lt;2999),"20",IF(AND(J78&gt;0,J78&lt;5999),"30",IF(AND(J78&gt;0,J78&lt;7999),"40",IF(AND(J78&gt;0,J78&lt;11999),"60",IF(AND(J78&gt;0,J78&lt;14999),"120",IF(AND(J78&gt;0,J78&lt;17999),"180",IF(AND(J78&gt;0,J78&lt;22000),"360","error")))))))</f>
        <v>120</v>
      </c>
      <c r="AP78" s="146">
        <f>(VLOOKUP(F78,Terasehind!$A$2:$B$171,2,FALSE))</f>
        <v>0.92</v>
      </c>
      <c r="AQ78" s="50">
        <f>(VLOOKUP(F78,Terasehind!$A$2:$C$171,3,FALSE))</f>
        <v>1.1000000000000001</v>
      </c>
      <c r="AR78" s="138">
        <f t="shared" ref="AR78" si="106">AP78*AQ78*B78</f>
        <v>2211.6652800000006</v>
      </c>
      <c r="AT78" s="62"/>
      <c r="AU78" s="62"/>
      <c r="AV78" s="62"/>
      <c r="AW78" s="62"/>
      <c r="AX78" s="62"/>
      <c r="AY78" s="62"/>
      <c r="AZ78" s="77"/>
      <c r="BA78" s="188"/>
      <c r="BB78" s="283"/>
      <c r="BC78" s="62"/>
      <c r="BD78" s="284"/>
      <c r="BE78" s="131"/>
      <c r="BF78"/>
      <c r="BG78" s="57"/>
      <c r="BH78" s="57"/>
      <c r="BI78" s="57"/>
      <c r="BJ78" s="57"/>
      <c r="BK78" s="57"/>
      <c r="BL78" s="109"/>
      <c r="BM78" s="109"/>
      <c r="BN78" s="109"/>
      <c r="BO78" s="83"/>
      <c r="BQ78" s="83"/>
      <c r="BR78" s="83"/>
    </row>
    <row r="79" spans="1:70" s="50" customFormat="1" ht="14.95" x14ac:dyDescent="0.25">
      <c r="A79" s="319">
        <f t="shared" ref="A79:A85" si="107">H79*J79*(RIGHT(F79,2))*7.85/(10^6)</f>
        <v>59.189</v>
      </c>
      <c r="B79" s="319">
        <f t="shared" ref="B79:B85" si="108">A79*L79</f>
        <v>236.756</v>
      </c>
      <c r="C79" s="322" t="s">
        <v>345</v>
      </c>
      <c r="D79" s="321" t="s">
        <v>76</v>
      </c>
      <c r="E79" s="331"/>
      <c r="F79" s="360" t="s">
        <v>82</v>
      </c>
      <c r="G79" s="321" t="s">
        <v>83</v>
      </c>
      <c r="H79" s="324">
        <v>580</v>
      </c>
      <c r="I79" s="322" t="s">
        <v>77</v>
      </c>
      <c r="J79" s="324">
        <f>J77-J78</f>
        <v>1300</v>
      </c>
      <c r="K79" s="324">
        <v>1</v>
      </c>
      <c r="L79" s="324">
        <f>K$79*L$77</f>
        <v>4</v>
      </c>
      <c r="M79" s="319">
        <f t="shared" ref="M79:M85" si="109">2*H79*J79/10^6*L79</f>
        <v>6.032</v>
      </c>
      <c r="N79" s="322" t="s">
        <v>84</v>
      </c>
      <c r="O79" s="325"/>
      <c r="P79" s="322"/>
      <c r="Q79" s="294">
        <v>20</v>
      </c>
      <c r="R79" s="118"/>
      <c r="S79" s="118"/>
      <c r="T79" s="118"/>
      <c r="U79" s="118"/>
      <c r="V79" s="118"/>
      <c r="W79" s="118"/>
      <c r="X79" s="118"/>
      <c r="Y79" s="118"/>
      <c r="Z79" s="118"/>
      <c r="AA79" s="118"/>
      <c r="AB79" s="118" t="s">
        <v>78</v>
      </c>
      <c r="AC79" s="136">
        <f>((((H79+J79)*2/1000)*L79*(5/(VLOOKUP(F79,[2]Plasmalõikus!$A$7:$E$46,2,FALSE)/1000*60)))+(Q79*L79*(5*(VLOOKUP(F79,[2]Plasmalõikus!$A$7:$E$48,3,FALSE))/60/60)))</f>
        <v>1.390222222222222</v>
      </c>
      <c r="AD79" s="353"/>
      <c r="AE79" s="136"/>
      <c r="AF79" s="137"/>
      <c r="AG79" s="137">
        <f t="shared" ref="AG79:AG82" si="110">IF(VALUE(MID(F79,SEARCH(" ",F79)+1,LEN(F79)))&lt;35,0,IF(VALUE(MID(F79,SEARCH(" ",F79)+1,LEN(F79)))&lt;40,3,IF(VALUE(MID(F79,SEARCH(" ",F79)+1,LEN(F79)))&lt;50,4,IF(VALUE(MID(F79,SEARCH(" ",F79)+1,LEN(F79)))&lt;60,5,IF(VALUE(MID(F79,SEARCH(" ",F79)+1,LEN(F79)))&lt;70,6,IF(VALUE(MID(F79,SEARCH(" ",F79)+1,LEN(F79)))&lt;80,7,IF(VALUE(MID(F79,SEARCH(" ",F79)+1,LEN(F79)))&lt;90,8,IF(VALUE(MID(F79,SEARCH(" ",F79)+1,LEN(F79)))&lt;100,9,10))))))))/60*Q79*L79</f>
        <v>0</v>
      </c>
      <c r="AH79" s="136"/>
      <c r="AI79" s="132">
        <f t="shared" ref="AI79:AI85" si="111">AL79*L79/60</f>
        <v>1.3333333333333333</v>
      </c>
      <c r="AJ79" s="70">
        <f>(H79*2*AK79)*1*L79/1000</f>
        <v>4.6399999999999997</v>
      </c>
      <c r="AK79" s="69">
        <v>1</v>
      </c>
      <c r="AL79" s="165" t="str">
        <f>IF(AND(J79&gt;0,J79&lt;2999),"20",IF(AND(J79&gt;0,J79&lt;5999),"30",IF(AND(J79&gt;0,J79&lt;7999),"40",IF(AND(J79&gt;0,J79&lt;11999),"60",IF(AND(J79&gt;0,J79&lt;14999),"120",IF(AND(J79&gt;0,J79&lt;17999),"180",IF(AND(J79&gt;0,J79&lt;22000),"360","error")))))))</f>
        <v>20</v>
      </c>
      <c r="AP79" s="146">
        <f>(VLOOKUP(F79,Terasehind!$A$2:$B$171,2,FALSE))</f>
        <v>0.92</v>
      </c>
      <c r="AQ79" s="50">
        <f>(VLOOKUP(F79,Terasehind!$A$2:$C$171,3,FALSE))</f>
        <v>1.1000000000000001</v>
      </c>
      <c r="AR79" s="138">
        <f t="shared" ref="AR79:AR81" si="112">AP79*AQ79*B79</f>
        <v>239.59707200000005</v>
      </c>
      <c r="AT79" s="62"/>
      <c r="AU79" s="62"/>
      <c r="AV79" s="62"/>
      <c r="AW79" s="62"/>
      <c r="AX79" s="62"/>
      <c r="AY79" s="62"/>
      <c r="AZ79" s="77"/>
      <c r="BA79" s="188"/>
      <c r="BB79" s="283"/>
      <c r="BC79" s="62"/>
      <c r="BD79" s="284"/>
      <c r="BE79" s="131"/>
      <c r="BF79"/>
      <c r="BG79" s="57"/>
      <c r="BH79" s="57"/>
      <c r="BI79" s="57"/>
      <c r="BJ79" s="57"/>
      <c r="BK79" s="57"/>
      <c r="BL79" s="109"/>
      <c r="BM79" s="109"/>
      <c r="BN79" s="109"/>
      <c r="BO79" s="83"/>
      <c r="BQ79" s="83"/>
      <c r="BR79" s="83"/>
    </row>
    <row r="80" spans="1:70" s="50" customFormat="1" ht="14.95" x14ac:dyDescent="0.25">
      <c r="A80" s="148">
        <f t="shared" ref="A80" si="113">H80*J80*(RIGHT(F80,2))*7.85/(10^6)</f>
        <v>197.82</v>
      </c>
      <c r="B80" s="148">
        <f t="shared" ref="B80" si="114">A80*L80</f>
        <v>1582.56</v>
      </c>
      <c r="C80" s="151" t="s">
        <v>345</v>
      </c>
      <c r="D80" s="149" t="s">
        <v>81</v>
      </c>
      <c r="E80" s="149"/>
      <c r="F80" s="362" t="s">
        <v>82</v>
      </c>
      <c r="G80" s="149" t="s">
        <v>83</v>
      </c>
      <c r="H80" s="150">
        <v>210</v>
      </c>
      <c r="I80" s="151" t="s">
        <v>77</v>
      </c>
      <c r="J80" s="150">
        <f>J78</f>
        <v>12000</v>
      </c>
      <c r="K80" s="150">
        <v>2</v>
      </c>
      <c r="L80" s="150">
        <f>K$80*L$77</f>
        <v>8</v>
      </c>
      <c r="M80" s="148">
        <f t="shared" ref="M80" si="115">2*H80*J80/10^6*L80</f>
        <v>40.32</v>
      </c>
      <c r="N80" s="151" t="s">
        <v>84</v>
      </c>
      <c r="O80" s="354"/>
      <c r="P80" s="151"/>
      <c r="Q80" s="135">
        <v>8</v>
      </c>
      <c r="R80" s="118"/>
      <c r="S80" s="118"/>
      <c r="T80" s="118"/>
      <c r="U80" s="118"/>
      <c r="V80" s="118"/>
      <c r="W80" s="118"/>
      <c r="X80" s="118"/>
      <c r="Y80" s="118"/>
      <c r="Z80" s="118"/>
      <c r="AA80" s="118"/>
      <c r="AB80" s="118" t="s">
        <v>78</v>
      </c>
      <c r="AC80" s="136">
        <f>((((H80+J80)*2/1000)*L80*(5/(VLOOKUP(F80,[2]Plasmalõikus!$A$7:$E$46,2,FALSE)/1000*60)))+(Q80*L80*(5*(VLOOKUP(F80,[2]Plasmalõikus!$A$7:$E$48,3,FALSE))/60/60)))</f>
        <v>7.2231111111111117</v>
      </c>
      <c r="AD80" s="353"/>
      <c r="AE80" s="136"/>
      <c r="AF80" s="137"/>
      <c r="AG80" s="137">
        <f t="shared" ref="AG80" si="116">IF(VALUE(MID(F80,SEARCH(" ",F80)+1,LEN(F80)))&lt;35,0,IF(VALUE(MID(F80,SEARCH(" ",F80)+1,LEN(F80)))&lt;40,3,IF(VALUE(MID(F80,SEARCH(" ",F80)+1,LEN(F80)))&lt;50,4,IF(VALUE(MID(F80,SEARCH(" ",F80)+1,LEN(F80)))&lt;60,5,IF(VALUE(MID(F80,SEARCH(" ",F80)+1,LEN(F80)))&lt;70,6,IF(VALUE(MID(F80,SEARCH(" ",F80)+1,LEN(F80)))&lt;80,7,IF(VALUE(MID(F80,SEARCH(" ",F80)+1,LEN(F80)))&lt;90,8,IF(VALUE(MID(F80,SEARCH(" ",F80)+1,LEN(F80)))&lt;100,9,10))))))))/60*Q80*L80</f>
        <v>0</v>
      </c>
      <c r="AH80" s="136"/>
      <c r="AI80" s="132">
        <f t="shared" ref="AI80" si="117">AL80*L80/60</f>
        <v>16</v>
      </c>
      <c r="AJ80" s="70"/>
      <c r="AL80" s="165" t="str">
        <f t="shared" ref="AL80" si="118">IF(AND(J80&gt;0,J80&lt;2999),"20",IF(AND(J80&gt;0,J80&lt;5999),"30",IF(AND(J80&gt;0,J80&lt;7999),"40",IF(AND(J80&gt;0,J80&lt;11999),"60",IF(AND(J80&gt;0,J80&lt;14999),"120",IF(AND(J80&gt;0,J80&lt;17999),"180",IF(AND(J80&gt;0,J80&lt;22000),"360","error")))))))</f>
        <v>120</v>
      </c>
      <c r="AN80" s="66"/>
      <c r="AP80" s="146">
        <f>(VLOOKUP(F80,Terasehind!$A$2:$B$171,2,FALSE))</f>
        <v>0.92</v>
      </c>
      <c r="AQ80" s="50">
        <f>(VLOOKUP(F80,Terasehind!$A$2:$C$171,3,FALSE))</f>
        <v>1.1000000000000001</v>
      </c>
      <c r="AR80" s="138">
        <f t="shared" ref="AR80" si="119">AP80*AQ80*B80</f>
        <v>1601.5507200000004</v>
      </c>
      <c r="AT80" s="62"/>
      <c r="AU80" s="62"/>
      <c r="AV80" s="62"/>
      <c r="AW80" s="62"/>
      <c r="AX80" s="57"/>
      <c r="AY80" s="62"/>
      <c r="AZ80" s="77"/>
      <c r="BA80" s="188">
        <f t="shared" ref="BA80" si="120">(H80*2+J80*2)*2*2/60/1000*L80</f>
        <v>13.023999999999999</v>
      </c>
      <c r="BB80" s="283"/>
      <c r="BC80" s="62"/>
      <c r="BD80" s="284"/>
      <c r="BE80" s="131"/>
      <c r="BF80"/>
      <c r="BG80" s="57"/>
      <c r="BH80" s="57"/>
      <c r="BI80" s="57"/>
      <c r="BJ80" s="57"/>
      <c r="BK80" s="57"/>
      <c r="BL80" s="109"/>
      <c r="BM80" s="109"/>
      <c r="BN80" s="109"/>
      <c r="BO80" s="83"/>
      <c r="BQ80" s="83"/>
      <c r="BR80" s="83"/>
    </row>
    <row r="81" spans="1:70" s="50" customFormat="1" ht="14.95" x14ac:dyDescent="0.25">
      <c r="A81" s="148">
        <f t="shared" si="107"/>
        <v>21.430499999999999</v>
      </c>
      <c r="B81" s="148">
        <f t="shared" si="108"/>
        <v>171.44399999999999</v>
      </c>
      <c r="C81" s="151" t="s">
        <v>345</v>
      </c>
      <c r="D81" s="149" t="s">
        <v>81</v>
      </c>
      <c r="E81" s="149"/>
      <c r="F81" s="362" t="s">
        <v>82</v>
      </c>
      <c r="G81" s="149" t="s">
        <v>83</v>
      </c>
      <c r="H81" s="150">
        <v>210</v>
      </c>
      <c r="I81" s="151" t="s">
        <v>77</v>
      </c>
      <c r="J81" s="150">
        <f>J79</f>
        <v>1300</v>
      </c>
      <c r="K81" s="150">
        <v>2</v>
      </c>
      <c r="L81" s="150">
        <f>K$81*L$77</f>
        <v>8</v>
      </c>
      <c r="M81" s="148">
        <f t="shared" si="109"/>
        <v>4.3680000000000003</v>
      </c>
      <c r="N81" s="151" t="s">
        <v>84</v>
      </c>
      <c r="O81" s="354"/>
      <c r="P81" s="151"/>
      <c r="Q81" s="135">
        <v>8</v>
      </c>
      <c r="R81" s="118"/>
      <c r="S81" s="118"/>
      <c r="T81" s="118"/>
      <c r="U81" s="118"/>
      <c r="V81" s="118"/>
      <c r="W81" s="118"/>
      <c r="X81" s="118"/>
      <c r="Y81" s="118"/>
      <c r="Z81" s="118"/>
      <c r="AA81" s="118"/>
      <c r="AB81" s="118" t="s">
        <v>78</v>
      </c>
      <c r="AC81" s="136">
        <f>((((H81+J81)*2/1000)*L81*(5/(VLOOKUP(F81,[2]Plasmalõikus!$A$7:$E$46,2,FALSE)/1000*60)))+(Q81*L81*(5*(VLOOKUP(F81,[2]Plasmalõikus!$A$7:$E$48,3,FALSE))/60/60)))</f>
        <v>1.5164444444444443</v>
      </c>
      <c r="AD81" s="353"/>
      <c r="AE81" s="136"/>
      <c r="AF81" s="137"/>
      <c r="AG81" s="137">
        <f t="shared" si="110"/>
        <v>0</v>
      </c>
      <c r="AH81" s="136"/>
      <c r="AI81" s="132">
        <f t="shared" si="111"/>
        <v>2.6666666666666665</v>
      </c>
      <c r="AJ81" s="70">
        <f>(H81*2*AK81)*1*L81/1000</f>
        <v>3.36</v>
      </c>
      <c r="AK81" s="69">
        <v>1</v>
      </c>
      <c r="AL81" s="165" t="str">
        <f t="shared" ref="AL81" si="121">IF(AND(J81&gt;0,J81&lt;2999),"20",IF(AND(J81&gt;0,J81&lt;5999),"30",IF(AND(J81&gt;0,J81&lt;7999),"40",IF(AND(J81&gt;0,J81&lt;11999),"60",IF(AND(J81&gt;0,J81&lt;14999),"120",IF(AND(J81&gt;0,J81&lt;17999),"180",IF(AND(J81&gt;0,J81&lt;22000),"360","error")))))))</f>
        <v>20</v>
      </c>
      <c r="AN81" s="66"/>
      <c r="AP81" s="146">
        <f>(VLOOKUP(F81,Terasehind!$A$2:$B$171,2,FALSE))</f>
        <v>0.92</v>
      </c>
      <c r="AQ81" s="50">
        <f>(VLOOKUP(F81,Terasehind!$A$2:$C$171,3,FALSE))</f>
        <v>1.1000000000000001</v>
      </c>
      <c r="AR81" s="138">
        <f t="shared" si="112"/>
        <v>173.50132800000003</v>
      </c>
      <c r="AT81" s="62"/>
      <c r="AU81" s="62"/>
      <c r="AV81" s="62"/>
      <c r="AW81" s="62"/>
      <c r="AX81" s="57"/>
      <c r="AY81" s="62"/>
      <c r="AZ81" s="77"/>
      <c r="BA81" s="188">
        <f t="shared" ref="BA81:BA85" si="122">(H81*2+J81*2)*2*2/60/1000*L81</f>
        <v>1.6106666666666667</v>
      </c>
      <c r="BB81" s="283"/>
      <c r="BC81" s="62"/>
      <c r="BD81" s="284"/>
      <c r="BE81" s="131"/>
      <c r="BF81"/>
      <c r="BG81" s="57"/>
      <c r="BH81" s="57"/>
      <c r="BI81" s="57"/>
      <c r="BJ81" s="57"/>
      <c r="BK81" s="57"/>
      <c r="BL81" s="109"/>
      <c r="BM81" s="109"/>
      <c r="BN81" s="109"/>
      <c r="BO81" s="83"/>
      <c r="BQ81" s="83"/>
      <c r="BR81" s="83"/>
    </row>
    <row r="82" spans="1:70" s="50" customFormat="1" ht="14.95" x14ac:dyDescent="0.25">
      <c r="A82" s="116">
        <f t="shared" si="107"/>
        <v>311.42520000000002</v>
      </c>
      <c r="B82" s="116">
        <f t="shared" si="108"/>
        <v>1245.7008000000001</v>
      </c>
      <c r="C82" s="118"/>
      <c r="D82" s="117" t="s">
        <v>85</v>
      </c>
      <c r="E82" s="117"/>
      <c r="F82" s="355" t="s">
        <v>89</v>
      </c>
      <c r="G82" s="117" t="s">
        <v>83</v>
      </c>
      <c r="H82" s="119">
        <v>760</v>
      </c>
      <c r="I82" s="118" t="s">
        <v>77</v>
      </c>
      <c r="J82" s="119">
        <v>1740</v>
      </c>
      <c r="K82" s="119">
        <v>1</v>
      </c>
      <c r="L82" s="119">
        <f>K$82*L$77</f>
        <v>4</v>
      </c>
      <c r="M82" s="116">
        <f t="shared" si="109"/>
        <v>10.5792</v>
      </c>
      <c r="N82" s="118" t="s">
        <v>84</v>
      </c>
      <c r="P82" s="118"/>
      <c r="Q82" s="135">
        <v>8</v>
      </c>
      <c r="R82" s="118"/>
      <c r="S82" s="118"/>
      <c r="T82" s="118"/>
      <c r="U82" s="118"/>
      <c r="V82" s="118"/>
      <c r="W82" s="118"/>
      <c r="X82" s="118"/>
      <c r="Y82" s="118"/>
      <c r="Z82" s="118"/>
      <c r="AA82" s="118"/>
      <c r="AB82" s="118" t="s">
        <v>78</v>
      </c>
      <c r="AC82" s="136">
        <f>((((H82+J82)*2/1000)*L82*(5/(VLOOKUP(F82,[2]Plasmalõikus!$A$7:$E$46,2,FALSE)/1000*60)))+(Q82*L82*(5*(VLOOKUP(F82,[2]Plasmalõikus!$A$7:$E$48,3,FALSE))/60/60)))</f>
        <v>2.2777777777777777</v>
      </c>
      <c r="AD82" s="353"/>
      <c r="AE82" s="136"/>
      <c r="AF82" s="137">
        <f>(H82*2+J82*2)*10/60/1000*L82</f>
        <v>3.3333333333333335</v>
      </c>
      <c r="AG82" s="137">
        <f t="shared" si="110"/>
        <v>0</v>
      </c>
      <c r="AH82" s="136"/>
      <c r="AI82" s="132">
        <f t="shared" si="111"/>
        <v>2</v>
      </c>
      <c r="AJ82" s="70">
        <f>(H82*2*AK82+J82*2*AK82)*L82/1000</f>
        <v>40</v>
      </c>
      <c r="AK82" s="50">
        <v>2</v>
      </c>
      <c r="AL82" s="69" t="str">
        <f t="shared" ref="AL82:AL88" si="123">IF(AND(Q82&gt;0,A82&lt;3),"10",IF(AND(Q82&gt;0,A82&lt;10),"15",IF(AND(Q82&gt;0,A82&lt;20),"20",IF(AND(Q82&gt;0,A82&lt;500),"30",IF(AND(Q82=0,A82&lt;3),"2",IF(AND(Q82=0,A82&lt;10),"5",IF(AND(Q82=0,A82&lt;20),"10",IF(AND(Q82=0,A82&lt;500),"20","2"))))))))</f>
        <v>30</v>
      </c>
      <c r="AN82" s="66"/>
      <c r="AP82" s="146">
        <f>(VLOOKUP(F82,Terasehind!$A$2:$B$171,2,FALSE))</f>
        <v>0.92</v>
      </c>
      <c r="AQ82" s="50">
        <f>(VLOOKUP(F82,Terasehind!$A$2:$C$171,3,FALSE))</f>
        <v>1.1000000000000001</v>
      </c>
      <c r="AR82" s="138">
        <f>AP82*AQ82*B82</f>
        <v>1260.6492096000004</v>
      </c>
      <c r="AT82" s="62"/>
      <c r="AU82" s="62"/>
      <c r="AV82" s="62"/>
      <c r="AW82" s="62"/>
      <c r="AX82" s="62"/>
      <c r="AY82" s="62"/>
      <c r="AZ82" s="77"/>
      <c r="BA82" s="188">
        <f t="shared" si="122"/>
        <v>1.3333333333333333</v>
      </c>
      <c r="BB82" s="283"/>
      <c r="BC82" s="62"/>
      <c r="BD82" s="284"/>
      <c r="BE82" s="131"/>
      <c r="BF82"/>
      <c r="BG82" s="57"/>
      <c r="BH82" s="57"/>
      <c r="BI82" s="57"/>
      <c r="BJ82" s="57"/>
      <c r="BK82" s="57"/>
      <c r="BL82" s="109"/>
      <c r="BM82" s="109"/>
      <c r="BN82" s="109"/>
      <c r="BO82" s="83"/>
      <c r="BQ82" s="83"/>
      <c r="BR82" s="83"/>
    </row>
    <row r="83" spans="1:70" s="50" customFormat="1" ht="14.95" x14ac:dyDescent="0.25">
      <c r="A83" s="116">
        <f t="shared" ref="A83:A84" si="124">H83*J83*(RIGHT(F83,2))*7.85/(10^6)</f>
        <v>57.697499999999998</v>
      </c>
      <c r="B83" s="116">
        <f t="shared" ref="B83:B84" si="125">A83*L83</f>
        <v>230.79</v>
      </c>
      <c r="C83" s="118"/>
      <c r="D83" s="117" t="s">
        <v>88</v>
      </c>
      <c r="E83" s="117"/>
      <c r="F83" s="355" t="s">
        <v>90</v>
      </c>
      <c r="G83" s="117" t="s">
        <v>83</v>
      </c>
      <c r="H83" s="119">
        <v>420</v>
      </c>
      <c r="I83" s="118" t="s">
        <v>77</v>
      </c>
      <c r="J83" s="119">
        <v>700</v>
      </c>
      <c r="K83" s="119">
        <v>1</v>
      </c>
      <c r="L83" s="119">
        <f>K$83*L$77</f>
        <v>4</v>
      </c>
      <c r="M83" s="116">
        <f t="shared" ref="M83:M84" si="126">2*H83*J83/10^6*L83</f>
        <v>2.3519999999999999</v>
      </c>
      <c r="N83" s="118" t="s">
        <v>84</v>
      </c>
      <c r="P83" s="118"/>
      <c r="Q83" s="135">
        <v>16</v>
      </c>
      <c r="R83" s="118"/>
      <c r="S83" s="118"/>
      <c r="T83" s="118"/>
      <c r="U83" s="118"/>
      <c r="V83" s="118"/>
      <c r="W83" s="118"/>
      <c r="X83" s="118"/>
      <c r="Y83" s="118"/>
      <c r="Z83" s="118"/>
      <c r="AA83" s="118"/>
      <c r="AB83" s="118" t="s">
        <v>78</v>
      </c>
      <c r="AC83" s="136">
        <f>((((H83+J83)*2/1000)*L83*(5/(VLOOKUP(F83,[2]Plasmalõikus!$A$7:$E$46,2,FALSE)/1000*60)))+(Q83*L83*(5*(VLOOKUP(F83,[2]Plasmalõikus!$A$7:$E$48,3,FALSE))/60/60)))</f>
        <v>2.1333333333333333</v>
      </c>
      <c r="AD83" s="353"/>
      <c r="AE83" s="136"/>
      <c r="AF83" s="137">
        <f>(H83*2+J83*2)*10/60/1000*L83</f>
        <v>1.4933333333333332</v>
      </c>
      <c r="AG83" s="137">
        <f t="shared" ref="AG83" si="127">IF(VALUE(MID(F83,SEARCH(" ",F83)+1,LEN(F83)))&lt;35,0,IF(VALUE(MID(F83,SEARCH(" ",F83)+1,LEN(F83)))&lt;40,3,IF(VALUE(MID(F83,SEARCH(" ",F83)+1,LEN(F83)))&lt;50,4,IF(VALUE(MID(F83,SEARCH(" ",F83)+1,LEN(F83)))&lt;60,5,IF(VALUE(MID(F83,SEARCH(" ",F83)+1,LEN(F83)))&lt;70,6,IF(VALUE(MID(F83,SEARCH(" ",F83)+1,LEN(F83)))&lt;80,7,IF(VALUE(MID(F83,SEARCH(" ",F83)+1,LEN(F83)))&lt;90,8,IF(VALUE(MID(F83,SEARCH(" ",F83)+1,LEN(F83)))&lt;100,9,10))))))))/60*Q83*L83</f>
        <v>0</v>
      </c>
      <c r="AH83" s="136"/>
      <c r="AI83" s="132">
        <f t="shared" ref="AI83:AI84" si="128">AL83*L83/60</f>
        <v>2</v>
      </c>
      <c r="AJ83" s="70">
        <f>(H83*2*AK83+400*4*AK83)*L83/1000</f>
        <v>29.28</v>
      </c>
      <c r="AK83" s="50">
        <v>3</v>
      </c>
      <c r="AL83" s="69" t="str">
        <f t="shared" si="123"/>
        <v>30</v>
      </c>
      <c r="AN83" s="66"/>
      <c r="AP83" s="146">
        <f>(VLOOKUP(F83,Terasehind!$A$2:$B$171,2,FALSE))</f>
        <v>0.92</v>
      </c>
      <c r="AQ83" s="50">
        <f>(VLOOKUP(F83,Terasehind!$A$2:$C$171,3,FALSE))</f>
        <v>1.1000000000000001</v>
      </c>
      <c r="AR83" s="138">
        <f>AP83*AQ83*B83</f>
        <v>233.55948000000004</v>
      </c>
      <c r="AT83" s="62"/>
      <c r="AU83" s="62"/>
      <c r="AV83" s="62"/>
      <c r="AW83" s="62"/>
      <c r="AX83" s="62"/>
      <c r="AY83" s="62"/>
      <c r="AZ83" s="77"/>
      <c r="BA83" s="188">
        <f t="shared" ref="BA83:BA84" si="129">(H83*2+J83*2)*2*2/60/1000*L83</f>
        <v>0.59733333333333338</v>
      </c>
      <c r="BB83" s="283"/>
      <c r="BC83" s="62"/>
      <c r="BD83" s="284"/>
      <c r="BE83" s="131"/>
      <c r="BF83"/>
      <c r="BG83" s="57"/>
      <c r="BH83" s="57"/>
      <c r="BI83" s="57"/>
      <c r="BJ83" s="57"/>
      <c r="BK83" s="57"/>
      <c r="BL83" s="109"/>
      <c r="BM83" s="109"/>
      <c r="BN83" s="109"/>
      <c r="BO83" s="83"/>
      <c r="BQ83" s="83"/>
      <c r="BR83" s="83"/>
    </row>
    <row r="84" spans="1:70" s="50" customFormat="1" ht="14.95" x14ac:dyDescent="0.25">
      <c r="A84" s="116">
        <f t="shared" si="124"/>
        <v>30.085125000000001</v>
      </c>
      <c r="B84" s="116">
        <f t="shared" si="125"/>
        <v>120.34050000000001</v>
      </c>
      <c r="C84" s="118" t="s">
        <v>383</v>
      </c>
      <c r="D84" s="117" t="s">
        <v>340</v>
      </c>
      <c r="E84" s="117"/>
      <c r="F84" s="355" t="s">
        <v>87</v>
      </c>
      <c r="G84" s="117" t="s">
        <v>83</v>
      </c>
      <c r="H84" s="119">
        <v>365</v>
      </c>
      <c r="I84" s="118" t="s">
        <v>77</v>
      </c>
      <c r="J84" s="119">
        <v>700</v>
      </c>
      <c r="K84" s="119">
        <v>1</v>
      </c>
      <c r="L84" s="119">
        <f>K$84*L$77</f>
        <v>4</v>
      </c>
      <c r="M84" s="116">
        <f t="shared" si="126"/>
        <v>2.044</v>
      </c>
      <c r="N84" s="118" t="s">
        <v>84</v>
      </c>
      <c r="P84" s="118"/>
      <c r="Q84" s="135"/>
      <c r="R84" s="118"/>
      <c r="S84" s="118"/>
      <c r="T84" s="118"/>
      <c r="U84" s="118"/>
      <c r="V84" s="118"/>
      <c r="W84" s="118"/>
      <c r="X84" s="118"/>
      <c r="Y84" s="118"/>
      <c r="Z84" s="118"/>
      <c r="AA84" s="118"/>
      <c r="AB84" s="118" t="s">
        <v>78</v>
      </c>
      <c r="AC84" s="136">
        <f>((((H84+J84)*2/1000)*L84*(5/(VLOOKUP(F84,[2]Plasmalõikus!$A$7:$E$46,2,FALSE)/1000*60)))+(Q84*L84*(5*(VLOOKUP(F84,[2]Plasmalõikus!$A$7:$E$48,3,FALSE))/60/60)))</f>
        <v>0.39444444444444438</v>
      </c>
      <c r="AD84" s="353"/>
      <c r="AE84" s="136"/>
      <c r="AF84" s="137">
        <f>(H84*2+J84*2)*20/60/1000*L84</f>
        <v>2.84</v>
      </c>
      <c r="AG84" s="137">
        <f>IF(VALUE(MID(F84,SEARCH(" ",F84)+1,LEN(F84)))&lt;35,0,IF(VALUE(MID(F84,SEARCH(" ",F84)+1,LEN(F84)))&lt;40,3,IF(VALUE(MID(F84,SEARCH(" ",F84)+1,LEN(F84)))&lt;50,4,IF(VALUE(MID(F84,SEARCH(" ",F84)+1,LEN(F84)))&lt;60,5,IF(VALUE(MID(F84,SEARCH(" ",F84)+1,LEN(F84)))&lt;70,6,IF(VALUE(MID(F84,SEARCH(" ",F84)+1,LEN(F84)))&lt;80,7,IF(VALUE(MID(F84,SEARCH(" ",F84)+1,LEN(F84)))&lt;90,8,IF(VALUE(MID(F84,SEARCH(" ",F84)+1,LEN(F84)))&lt;100,9,10))))))))/60*Q84*L84</f>
        <v>0</v>
      </c>
      <c r="AH84" s="136"/>
      <c r="AI84" s="132">
        <f t="shared" si="128"/>
        <v>1.3333333333333333</v>
      </c>
      <c r="AJ84" s="70">
        <f>(H84*2*AK84+J84*4*AK84)*L84/1000</f>
        <v>28.24</v>
      </c>
      <c r="AK84" s="50">
        <v>2</v>
      </c>
      <c r="AL84" s="69" t="str">
        <f t="shared" si="123"/>
        <v>20</v>
      </c>
      <c r="AN84" s="66"/>
      <c r="AP84" s="146">
        <f>(VLOOKUP(F84,Terasehind!$A$2:$B$171,2,FALSE))</f>
        <v>0.92</v>
      </c>
      <c r="AQ84" s="50">
        <f>(VLOOKUP(F84,Terasehind!$A$2:$C$171,3,FALSE))</f>
        <v>1.1000000000000001</v>
      </c>
      <c r="AR84" s="138">
        <f t="shared" ref="AR84" si="130">AP84*AQ84*B84</f>
        <v>121.78458600000003</v>
      </c>
      <c r="AT84" s="62"/>
      <c r="AU84" s="62"/>
      <c r="AV84" s="62"/>
      <c r="AW84" s="62"/>
      <c r="AX84" s="62"/>
      <c r="AY84" s="62"/>
      <c r="AZ84" s="77"/>
      <c r="BA84" s="188">
        <f t="shared" si="129"/>
        <v>0.56799999999999995</v>
      </c>
      <c r="BB84" s="283"/>
      <c r="BC84" s="62"/>
      <c r="BD84" s="284"/>
      <c r="BE84" s="131"/>
      <c r="BF84"/>
      <c r="BG84" s="57"/>
      <c r="BH84" s="57"/>
      <c r="BI84" s="57"/>
      <c r="BJ84" s="57"/>
      <c r="BK84" s="57"/>
      <c r="BL84" s="109"/>
      <c r="BM84" s="109"/>
      <c r="BN84" s="109"/>
      <c r="BO84" s="83"/>
      <c r="BQ84" s="83"/>
      <c r="BR84" s="83"/>
    </row>
    <row r="85" spans="1:70" s="50" customFormat="1" ht="14.95" x14ac:dyDescent="0.25">
      <c r="A85" s="116">
        <f t="shared" si="107"/>
        <v>11.8535</v>
      </c>
      <c r="B85" s="116">
        <f t="shared" si="108"/>
        <v>94.828000000000003</v>
      </c>
      <c r="C85" s="118" t="s">
        <v>93</v>
      </c>
      <c r="D85" s="117" t="s">
        <v>341</v>
      </c>
      <c r="E85" s="117"/>
      <c r="F85" s="355" t="s">
        <v>86</v>
      </c>
      <c r="G85" s="117" t="s">
        <v>83</v>
      </c>
      <c r="H85" s="119">
        <v>100</v>
      </c>
      <c r="I85" s="118" t="s">
        <v>77</v>
      </c>
      <c r="J85" s="119">
        <v>755</v>
      </c>
      <c r="K85" s="119">
        <v>2</v>
      </c>
      <c r="L85" s="119">
        <f>K$85*L$77</f>
        <v>8</v>
      </c>
      <c r="M85" s="116">
        <f t="shared" si="109"/>
        <v>1.208</v>
      </c>
      <c r="N85" s="118" t="s">
        <v>84</v>
      </c>
      <c r="P85" s="118"/>
      <c r="Q85" s="135"/>
      <c r="R85" s="118"/>
      <c r="S85" s="118"/>
      <c r="T85" s="118"/>
      <c r="U85" s="118"/>
      <c r="V85" s="118"/>
      <c r="W85" s="118"/>
      <c r="X85" s="118"/>
      <c r="Y85" s="118"/>
      <c r="Z85" s="118"/>
      <c r="AA85" s="118"/>
      <c r="AB85" s="118" t="s">
        <v>78</v>
      </c>
      <c r="AC85" s="136">
        <f>((((H85+J85)*2/1000)*L85*(5/(VLOOKUP(F85,[2]Plasmalõikus!$A$7:$E$46,2,FALSE)/1000*60)))+(Q85*L85*(5*(VLOOKUP(F85,[2]Plasmalõikus!$A$7:$E$48,3,FALSE))/60/60)))</f>
        <v>0.71250000000000002</v>
      </c>
      <c r="AD85" s="353"/>
      <c r="AE85" s="136"/>
      <c r="AF85" s="137">
        <f>(H85*2+J85*2)*20/60/1000*L85</f>
        <v>4.5599999999999996</v>
      </c>
      <c r="AG85" s="137">
        <f>IF(VALUE(MID(F85,SEARCH(" ",F85)+1,LEN(F85)))&lt;35,0,IF(VALUE(MID(F85,SEARCH(" ",F85)+1,LEN(F85)))&lt;40,3,IF(VALUE(MID(F85,SEARCH(" ",F85)+1,LEN(F85)))&lt;50,4,IF(VALUE(MID(F85,SEARCH(" ",F85)+1,LEN(F85)))&lt;60,5,IF(VALUE(MID(F85,SEARCH(" ",F85)+1,LEN(F85)))&lt;70,6,IF(VALUE(MID(F85,SEARCH(" ",F85)+1,LEN(F85)))&lt;80,7,IF(VALUE(MID(F85,SEARCH(" ",F85)+1,LEN(F85)))&lt;90,8,IF(VALUE(MID(F85,SEARCH(" ",F85)+1,LEN(F85)))&lt;100,9,10))))))))/60*Q85*L85</f>
        <v>0</v>
      </c>
      <c r="AH85" s="136"/>
      <c r="AI85" s="132">
        <f t="shared" si="111"/>
        <v>1.3333333333333333</v>
      </c>
      <c r="AJ85" s="70">
        <f>(H85*4*AK85+J85*2*AK85)*L85/1000</f>
        <v>45.84</v>
      </c>
      <c r="AK85" s="50">
        <v>3</v>
      </c>
      <c r="AL85" s="69" t="str">
        <f t="shared" si="123"/>
        <v>10</v>
      </c>
      <c r="AN85" s="66"/>
      <c r="AP85" s="146">
        <f>(VLOOKUP(F85,Terasehind!$A$2:$B$171,2,FALSE))</f>
        <v>0.92</v>
      </c>
      <c r="AQ85" s="50">
        <f>(VLOOKUP(F85,Terasehind!$A$2:$C$171,3,FALSE))</f>
        <v>1.1000000000000001</v>
      </c>
      <c r="AR85" s="138">
        <f t="shared" ref="AR85" si="131">AP85*AQ85*B85</f>
        <v>95.965936000000028</v>
      </c>
      <c r="AT85" s="62"/>
      <c r="AU85" s="62"/>
      <c r="AV85" s="62"/>
      <c r="AW85" s="62"/>
      <c r="AX85" s="62"/>
      <c r="AY85" s="62"/>
      <c r="AZ85" s="77"/>
      <c r="BA85" s="188">
        <f t="shared" si="122"/>
        <v>0.91200000000000003</v>
      </c>
      <c r="BB85" s="283"/>
      <c r="BC85" s="62"/>
      <c r="BD85" s="284"/>
      <c r="BE85" s="131"/>
      <c r="BF85"/>
      <c r="BG85" s="57"/>
      <c r="BH85" s="57"/>
      <c r="BI85" s="57"/>
      <c r="BJ85" s="57"/>
      <c r="BK85" s="57"/>
      <c r="BL85" s="109"/>
      <c r="BM85" s="109"/>
      <c r="BN85" s="109"/>
      <c r="BO85" s="83"/>
      <c r="BQ85" s="83"/>
      <c r="BR85" s="83"/>
    </row>
    <row r="86" spans="1:70" s="50" customFormat="1" ht="14.95" x14ac:dyDescent="0.25">
      <c r="A86" s="116">
        <f t="shared" ref="A86:A88" si="132">H86*J86*(RIGHT(F86,2))*7.85/(10^6)</f>
        <v>22.765000000000001</v>
      </c>
      <c r="B86" s="116">
        <f t="shared" ref="B86:B88" si="133">A86*L86</f>
        <v>91.06</v>
      </c>
      <c r="C86" s="118" t="s">
        <v>470</v>
      </c>
      <c r="D86" s="117" t="s">
        <v>342</v>
      </c>
      <c r="E86" s="117"/>
      <c r="F86" s="355" t="s">
        <v>86</v>
      </c>
      <c r="G86" s="117" t="s">
        <v>83</v>
      </c>
      <c r="H86" s="119">
        <v>250</v>
      </c>
      <c r="I86" s="118" t="s">
        <v>77</v>
      </c>
      <c r="J86" s="119">
        <v>580</v>
      </c>
      <c r="K86" s="119">
        <v>1</v>
      </c>
      <c r="L86" s="119">
        <f>K$86*L$77</f>
        <v>4</v>
      </c>
      <c r="M86" s="116">
        <f t="shared" ref="M86:M88" si="134">2*H86*J86/10^6*L86</f>
        <v>1.1599999999999999</v>
      </c>
      <c r="N86" s="118" t="s">
        <v>84</v>
      </c>
      <c r="P86" s="118"/>
      <c r="Q86" s="135">
        <v>8</v>
      </c>
      <c r="R86" s="118"/>
      <c r="S86" s="118"/>
      <c r="T86" s="118"/>
      <c r="U86" s="118"/>
      <c r="V86" s="118"/>
      <c r="W86" s="118"/>
      <c r="X86" s="118"/>
      <c r="Y86" s="118"/>
      <c r="Z86" s="118"/>
      <c r="AA86" s="118"/>
      <c r="AB86" s="118" t="s">
        <v>78</v>
      </c>
      <c r="AC86" s="136">
        <f>((((H86+J86)*2/1000)*L86*(5/(VLOOKUP(F86,[2]Plasmalõikus!$A$7:$E$46,2,FALSE)/1000*60)))+(Q86*L86*(5*(VLOOKUP(F86,[2]Plasmalõikus!$A$7:$E$48,3,FALSE))/60/60)))</f>
        <v>0.87916666666666665</v>
      </c>
      <c r="AD86" s="353"/>
      <c r="AE86" s="136"/>
      <c r="AF86" s="137">
        <f>(H86*2+J86*2)*20/60/1000*L86</f>
        <v>2.2133333333333334</v>
      </c>
      <c r="AG86" s="137">
        <f>IF(VALUE(MID(F86,SEARCH(" ",F86)+1,LEN(F86)))&lt;35,0,IF(VALUE(MID(F86,SEARCH(" ",F86)+1,LEN(F86)))&lt;40,3,IF(VALUE(MID(F86,SEARCH(" ",F86)+1,LEN(F86)))&lt;50,4,IF(VALUE(MID(F86,SEARCH(" ",F86)+1,LEN(F86)))&lt;60,5,IF(VALUE(MID(F86,SEARCH(" ",F86)+1,LEN(F86)))&lt;70,6,IF(VALUE(MID(F86,SEARCH(" ",F86)+1,LEN(F86)))&lt;80,7,IF(VALUE(MID(F86,SEARCH(" ",F86)+1,LEN(F86)))&lt;90,8,IF(VALUE(MID(F86,SEARCH(" ",F86)+1,LEN(F86)))&lt;100,9,10))))))))/60*Q86*L86</f>
        <v>0</v>
      </c>
      <c r="AH86" s="136"/>
      <c r="AI86" s="132">
        <f t="shared" ref="AI86:AI88" si="135">AL86*L86/60</f>
        <v>2</v>
      </c>
      <c r="AJ86" s="70">
        <f>(H86*4*AK86+J86*2*AK86)*L86/1000</f>
        <v>17.28</v>
      </c>
      <c r="AK86" s="50">
        <v>2</v>
      </c>
      <c r="AL86" s="69" t="str">
        <f t="shared" si="123"/>
        <v>30</v>
      </c>
      <c r="AN86" s="66"/>
      <c r="AP86" s="146">
        <f>(VLOOKUP(F86,Terasehind!$A$2:$B$171,2,FALSE))</f>
        <v>0.92</v>
      </c>
      <c r="AQ86" s="50">
        <f>(VLOOKUP(F86,Terasehind!$A$2:$C$171,3,FALSE))</f>
        <v>1.1000000000000001</v>
      </c>
      <c r="AR86" s="138">
        <f t="shared" ref="AR86" si="136">AP86*AQ86*B86</f>
        <v>92.152720000000016</v>
      </c>
      <c r="AT86" s="62"/>
      <c r="AU86" s="62"/>
      <c r="AV86" s="62"/>
      <c r="AW86" s="62"/>
      <c r="AX86" s="62"/>
      <c r="AY86" s="62"/>
      <c r="AZ86" s="77"/>
      <c r="BA86" s="188">
        <f t="shared" ref="BA86:BA88" si="137">(H86*2+J86*2)*2*2/60/1000*L86</f>
        <v>0.44266666666666671</v>
      </c>
      <c r="BB86" s="283"/>
      <c r="BC86" s="62"/>
      <c r="BD86" s="284"/>
      <c r="BE86" s="131"/>
      <c r="BF86"/>
      <c r="BG86" s="57"/>
      <c r="BH86" s="57"/>
      <c r="BI86" s="57"/>
      <c r="BJ86" s="57"/>
      <c r="BK86" s="57"/>
      <c r="BL86" s="109"/>
      <c r="BM86" s="109"/>
      <c r="BN86" s="109"/>
      <c r="BO86" s="83"/>
      <c r="BQ86" s="83"/>
      <c r="BR86" s="83"/>
    </row>
    <row r="87" spans="1:70" s="50" customFormat="1" ht="14.95" x14ac:dyDescent="0.25">
      <c r="A87" s="116">
        <f t="shared" si="132"/>
        <v>174.2072</v>
      </c>
      <c r="B87" s="116">
        <f t="shared" si="133"/>
        <v>1393.6576</v>
      </c>
      <c r="C87" s="118"/>
      <c r="D87" s="117" t="s">
        <v>88</v>
      </c>
      <c r="E87" s="117"/>
      <c r="F87" s="355" t="s">
        <v>90</v>
      </c>
      <c r="G87" s="117" t="s">
        <v>83</v>
      </c>
      <c r="H87" s="119">
        <v>760</v>
      </c>
      <c r="I87" s="118" t="s">
        <v>77</v>
      </c>
      <c r="J87" s="119">
        <v>1168</v>
      </c>
      <c r="K87" s="119">
        <v>2</v>
      </c>
      <c r="L87" s="119">
        <f>K$87*L$77</f>
        <v>8</v>
      </c>
      <c r="M87" s="116">
        <f t="shared" si="134"/>
        <v>14.20288</v>
      </c>
      <c r="N87" s="118" t="s">
        <v>84</v>
      </c>
      <c r="P87" s="118"/>
      <c r="Q87" s="135">
        <v>24</v>
      </c>
      <c r="R87" s="118"/>
      <c r="S87" s="118"/>
      <c r="T87" s="118"/>
      <c r="U87" s="118"/>
      <c r="V87" s="118"/>
      <c r="W87" s="118"/>
      <c r="X87" s="118"/>
      <c r="Y87" s="118"/>
      <c r="Z87" s="118"/>
      <c r="AA87" s="118"/>
      <c r="AB87" s="118" t="s">
        <v>78</v>
      </c>
      <c r="AC87" s="136">
        <f>((((H87+J87)*2/1000)*L87*(5/(VLOOKUP(F87,[2]Plasmalõikus!$A$7:$E$46,2,FALSE)/1000*60)))+(Q87*L87*(5*(VLOOKUP(F87,[2]Plasmalõikus!$A$7:$E$48,3,FALSE))/60/60)))</f>
        <v>6.6361904761904764</v>
      </c>
      <c r="AD87" s="353"/>
      <c r="AE87" s="136"/>
      <c r="AF87" s="137">
        <f>(H87*2+J87*2)*10/60/1000*L87</f>
        <v>5.1413333333333329</v>
      </c>
      <c r="AG87" s="137">
        <f t="shared" ref="AG87" si="138">IF(VALUE(MID(F87,SEARCH(" ",F87)+1,LEN(F87)))&lt;35,0,IF(VALUE(MID(F87,SEARCH(" ",F87)+1,LEN(F87)))&lt;40,3,IF(VALUE(MID(F87,SEARCH(" ",F87)+1,LEN(F87)))&lt;50,4,IF(VALUE(MID(F87,SEARCH(" ",F87)+1,LEN(F87)))&lt;60,5,IF(VALUE(MID(F87,SEARCH(" ",F87)+1,LEN(F87)))&lt;70,6,IF(VALUE(MID(F87,SEARCH(" ",F87)+1,LEN(F87)))&lt;80,7,IF(VALUE(MID(F87,SEARCH(" ",F87)+1,LEN(F87)))&lt;90,8,IF(VALUE(MID(F87,SEARCH(" ",F87)+1,LEN(F87)))&lt;100,9,10))))))))/60*Q87*L87</f>
        <v>0</v>
      </c>
      <c r="AH87" s="136"/>
      <c r="AI87" s="132">
        <f t="shared" si="135"/>
        <v>4</v>
      </c>
      <c r="AJ87" s="70">
        <f>(H87*2*AK87+J87*2*AK87)*L87/1000</f>
        <v>61.695999999999998</v>
      </c>
      <c r="AK87" s="50">
        <v>2</v>
      </c>
      <c r="AL87" s="69" t="str">
        <f t="shared" si="123"/>
        <v>30</v>
      </c>
      <c r="AN87" s="66"/>
      <c r="AP87" s="146">
        <f>(VLOOKUP(F87,Terasehind!$A$2:$B$171,2,FALSE))</f>
        <v>0.92</v>
      </c>
      <c r="AQ87" s="50">
        <f>(VLOOKUP(F87,Terasehind!$A$2:$C$171,3,FALSE))</f>
        <v>1.1000000000000001</v>
      </c>
      <c r="AR87" s="138">
        <f>AP87*AQ87*B87</f>
        <v>1410.3814912000003</v>
      </c>
      <c r="AT87" s="62"/>
      <c r="AU87" s="62"/>
      <c r="AV87" s="62"/>
      <c r="AW87" s="62"/>
      <c r="AX87" s="62"/>
      <c r="AY87" s="62"/>
      <c r="AZ87" s="77"/>
      <c r="BA87" s="188">
        <f t="shared" si="137"/>
        <v>2.0565333333333333</v>
      </c>
      <c r="BB87" s="283"/>
      <c r="BC87" s="62"/>
      <c r="BD87" s="284"/>
      <c r="BE87" s="131"/>
      <c r="BF87"/>
      <c r="BG87" s="57"/>
      <c r="BH87" s="57"/>
      <c r="BI87" s="57"/>
      <c r="BJ87" s="57"/>
      <c r="BK87" s="57"/>
      <c r="BL87" s="109"/>
      <c r="BM87" s="109"/>
      <c r="BN87" s="109"/>
      <c r="BO87" s="83"/>
      <c r="BQ87" s="83"/>
      <c r="BR87" s="83"/>
    </row>
    <row r="88" spans="1:70" s="50" customFormat="1" ht="14.95" x14ac:dyDescent="0.25">
      <c r="A88" s="116">
        <f t="shared" si="132"/>
        <v>7.359375</v>
      </c>
      <c r="B88" s="116">
        <f t="shared" si="133"/>
        <v>117.75</v>
      </c>
      <c r="C88" s="118" t="s">
        <v>93</v>
      </c>
      <c r="D88" s="117" t="s">
        <v>340</v>
      </c>
      <c r="E88" s="117"/>
      <c r="F88" s="355" t="s">
        <v>87</v>
      </c>
      <c r="G88" s="117" t="s">
        <v>83</v>
      </c>
      <c r="H88" s="119">
        <v>250</v>
      </c>
      <c r="I88" s="118" t="s">
        <v>77</v>
      </c>
      <c r="J88" s="119">
        <v>250</v>
      </c>
      <c r="K88" s="119">
        <v>4</v>
      </c>
      <c r="L88" s="119">
        <f>K$88*L$77</f>
        <v>16</v>
      </c>
      <c r="M88" s="116">
        <f t="shared" si="134"/>
        <v>2</v>
      </c>
      <c r="N88" s="118" t="s">
        <v>84</v>
      </c>
      <c r="P88" s="118"/>
      <c r="Q88" s="135"/>
      <c r="R88" s="118"/>
      <c r="S88" s="118"/>
      <c r="T88" s="118"/>
      <c r="U88" s="118"/>
      <c r="V88" s="118"/>
      <c r="W88" s="118"/>
      <c r="X88" s="118"/>
      <c r="Y88" s="118"/>
      <c r="Z88" s="118"/>
      <c r="AA88" s="118"/>
      <c r="AB88" s="118" t="s">
        <v>78</v>
      </c>
      <c r="AC88" s="136">
        <f>((((H88+J88)*2/1000)*L88*(5/(VLOOKUP(F88,[2]Plasmalõikus!$A$7:$E$46,2,FALSE)/1000*60)))+(Q88*L88*(5*(VLOOKUP(F88,[2]Plasmalõikus!$A$7:$E$48,3,FALSE))/60/60)))</f>
        <v>0.7407407407407407</v>
      </c>
      <c r="AD88" s="353"/>
      <c r="AE88" s="136"/>
      <c r="AF88" s="137">
        <f>(H88*2+J88*2)*20/60/1000*L88</f>
        <v>5.333333333333333</v>
      </c>
      <c r="AG88" s="137">
        <f>IF(VALUE(MID(F88,SEARCH(" ",F88)+1,LEN(F88)))&lt;35,0,IF(VALUE(MID(F88,SEARCH(" ",F88)+1,LEN(F88)))&lt;40,3,IF(VALUE(MID(F88,SEARCH(" ",F88)+1,LEN(F88)))&lt;50,4,IF(VALUE(MID(F88,SEARCH(" ",F88)+1,LEN(F88)))&lt;60,5,IF(VALUE(MID(F88,SEARCH(" ",F88)+1,LEN(F88)))&lt;70,6,IF(VALUE(MID(F88,SEARCH(" ",F88)+1,LEN(F88)))&lt;80,7,IF(VALUE(MID(F88,SEARCH(" ",F88)+1,LEN(F88)))&lt;90,8,IF(VALUE(MID(F88,SEARCH(" ",F88)+1,LEN(F88)))&lt;100,9,10))))))))/60*Q88*L88</f>
        <v>0</v>
      </c>
      <c r="AH88" s="136"/>
      <c r="AI88" s="132">
        <f t="shared" si="135"/>
        <v>1.3333333333333333</v>
      </c>
      <c r="AJ88" s="70">
        <f>(J88*2*AK88+H88*2*AK88)*L88/1000</f>
        <v>32</v>
      </c>
      <c r="AK88" s="50">
        <v>2</v>
      </c>
      <c r="AL88" s="69" t="str">
        <f t="shared" si="123"/>
        <v>5</v>
      </c>
      <c r="AN88" s="66"/>
      <c r="AP88" s="146">
        <f>(VLOOKUP(F88,Terasehind!$A$2:$B$171,2,FALSE))</f>
        <v>0.92</v>
      </c>
      <c r="AQ88" s="50">
        <f>(VLOOKUP(F88,Terasehind!$A$2:$C$171,3,FALSE))</f>
        <v>1.1000000000000001</v>
      </c>
      <c r="AR88" s="138">
        <f t="shared" ref="AR88" si="139">AP88*AQ88*B88</f>
        <v>119.16300000000003</v>
      </c>
      <c r="AT88" s="62"/>
      <c r="AU88" s="62"/>
      <c r="AV88" s="62"/>
      <c r="AW88" s="62"/>
      <c r="AX88" s="62"/>
      <c r="AY88" s="62"/>
      <c r="AZ88" s="77"/>
      <c r="BA88" s="188">
        <f t="shared" si="137"/>
        <v>1.0666666666666667</v>
      </c>
      <c r="BB88" s="283"/>
      <c r="BC88" s="62"/>
      <c r="BD88" s="284"/>
      <c r="BE88" s="131"/>
      <c r="BF88"/>
      <c r="BG88" s="57"/>
      <c r="BH88" s="57"/>
      <c r="BI88" s="57"/>
      <c r="BJ88" s="57"/>
      <c r="BK88" s="57"/>
      <c r="BL88" s="109"/>
      <c r="BM88" s="109"/>
      <c r="BN88" s="109"/>
      <c r="BO88" s="83"/>
      <c r="BQ88" s="83"/>
      <c r="BR88" s="83"/>
    </row>
    <row r="89" spans="1:70" s="50" customFormat="1" ht="14.95" x14ac:dyDescent="0.25">
      <c r="A89" s="116">
        <f xml:space="preserve"> 30.1*J89/10^3</f>
        <v>49.664999999999999</v>
      </c>
      <c r="B89" s="116">
        <f>A89*L89</f>
        <v>595.98</v>
      </c>
      <c r="C89" s="295"/>
      <c r="D89" s="117" t="s">
        <v>343</v>
      </c>
      <c r="E89" s="117"/>
      <c r="F89" s="355" t="s">
        <v>458</v>
      </c>
      <c r="G89" s="140" t="s">
        <v>79</v>
      </c>
      <c r="H89" s="119">
        <v>200</v>
      </c>
      <c r="I89" s="118" t="s">
        <v>77</v>
      </c>
      <c r="J89" s="119">
        <v>1650</v>
      </c>
      <c r="K89" s="119">
        <v>3</v>
      </c>
      <c r="L89" s="119">
        <f>K$89*L$77</f>
        <v>12</v>
      </c>
      <c r="M89" s="131">
        <f xml:space="preserve"> 0.783*J89*L89/10^3</f>
        <v>15.503400000000001</v>
      </c>
      <c r="N89" s="118"/>
      <c r="O89" s="118"/>
      <c r="P89" s="118" t="s">
        <v>78</v>
      </c>
      <c r="Q89" s="135"/>
      <c r="R89" s="118"/>
      <c r="S89" s="118"/>
      <c r="T89" s="118"/>
      <c r="U89" s="118"/>
      <c r="V89" s="118"/>
      <c r="W89" s="118"/>
      <c r="Y89" s="118"/>
      <c r="Z89" s="118"/>
      <c r="AA89" s="118"/>
      <c r="AB89" s="118" t="s">
        <v>78</v>
      </c>
      <c r="AC89" s="116"/>
      <c r="AD89" s="83"/>
      <c r="AE89" s="136">
        <f t="shared" ref="AE89" si="140">(H89/20/60)*2*L89</f>
        <v>4</v>
      </c>
      <c r="AF89" s="137"/>
      <c r="AG89" s="132">
        <f>Q89*L89*0.5/60</f>
        <v>0</v>
      </c>
      <c r="AH89" s="83"/>
      <c r="AI89" s="132">
        <f t="shared" ref="AI89:AI93" si="141">AL89*L89/60</f>
        <v>2</v>
      </c>
      <c r="AJ89" s="70">
        <f>(J89*2*AK89)*1/2*L89/1000+(H89*4*AK89)*2*L89/1000</f>
        <v>78</v>
      </c>
      <c r="AK89" s="50">
        <f>(VLOOKUP(F89,[2]Koostamine!$A$12:$P$1612,7,FALSE))</f>
        <v>2</v>
      </c>
      <c r="AL89" s="69">
        <f>VLOOKUP(F89,[2]Koostamine!$A$12:$P$1612,IF(J89&lt;1499,11,IF(J89&lt;2999,12,IF(J89&lt;5999,13,IF(J89&lt;9999,14,IF(J89&lt;12999,15,IF(J89&gt;13000,16)))))),FALSE)</f>
        <v>10</v>
      </c>
      <c r="AP89" s="146">
        <f>(VLOOKUP(F89,Terasehind!$A$2:$B$171,2,FALSE))</f>
        <v>0.94</v>
      </c>
      <c r="AQ89" s="50">
        <f>(VLOOKUP(F89,Terasehind!$A$2:$C$171,3,FALSE))</f>
        <v>1.1000000000000001</v>
      </c>
      <c r="AR89" s="138">
        <f t="shared" ref="AR89" si="142">AP89*AQ89*B89</f>
        <v>616.24332000000004</v>
      </c>
      <c r="AT89" s="60"/>
      <c r="AU89" s="77"/>
      <c r="AV89" s="77"/>
      <c r="AW89" s="77"/>
      <c r="AX89" s="121"/>
      <c r="AY89" s="77"/>
      <c r="AZ89" s="77"/>
      <c r="BA89" s="188">
        <f>(H89*6*2+J89*8)*2/60/1000*L89</f>
        <v>6.24</v>
      </c>
      <c r="BB89" s="283"/>
      <c r="BC89" s="62"/>
      <c r="BD89" s="284"/>
      <c r="BE89" s="131"/>
      <c r="BF89"/>
      <c r="BG89" s="57"/>
      <c r="BH89" s="57"/>
      <c r="BI89" s="57"/>
      <c r="BJ89" s="57"/>
      <c r="BK89" s="57"/>
      <c r="BL89" s="60"/>
      <c r="BM89" s="57"/>
      <c r="BN89" s="60"/>
      <c r="BO89" s="83"/>
      <c r="BQ89" s="109"/>
    </row>
    <row r="90" spans="1:70" s="50" customFormat="1" ht="14.95" x14ac:dyDescent="0.25">
      <c r="A90" s="116">
        <f xml:space="preserve"> 30.7*J90/10^3</f>
        <v>4.6050000000000004</v>
      </c>
      <c r="B90" s="116">
        <f>A90*L90</f>
        <v>18.420000000000002</v>
      </c>
      <c r="C90" s="295"/>
      <c r="D90" s="117" t="s">
        <v>343</v>
      </c>
      <c r="E90" s="117"/>
      <c r="F90" s="355" t="s">
        <v>455</v>
      </c>
      <c r="G90" s="140" t="s">
        <v>83</v>
      </c>
      <c r="H90" s="119">
        <v>240</v>
      </c>
      <c r="I90" s="118" t="s">
        <v>77</v>
      </c>
      <c r="J90" s="119">
        <v>150</v>
      </c>
      <c r="K90" s="119">
        <v>1</v>
      </c>
      <c r="L90" s="119">
        <f>K$90*L$77</f>
        <v>4</v>
      </c>
      <c r="M90" s="131">
        <f xml:space="preserve"> 0.9*J90*L90/10^3</f>
        <v>0.54</v>
      </c>
      <c r="N90" s="118"/>
      <c r="O90" s="118"/>
      <c r="P90" s="118" t="s">
        <v>78</v>
      </c>
      <c r="Q90" s="135"/>
      <c r="R90" s="118"/>
      <c r="S90" s="118"/>
      <c r="T90" s="118"/>
      <c r="U90" s="118"/>
      <c r="V90" s="118"/>
      <c r="W90" s="118"/>
      <c r="Y90" s="118"/>
      <c r="Z90" s="118"/>
      <c r="AA90" s="118"/>
      <c r="AB90" s="118" t="s">
        <v>78</v>
      </c>
      <c r="AC90" s="116"/>
      <c r="AD90" s="83"/>
      <c r="AE90" s="136">
        <f t="shared" ref="AE90" si="143">(H90/20/60)*2*L90</f>
        <v>1.6</v>
      </c>
      <c r="AF90" s="137"/>
      <c r="AG90" s="132">
        <f>Q90*L90*0.5/60</f>
        <v>0</v>
      </c>
      <c r="AH90" s="83"/>
      <c r="AI90" s="132">
        <f t="shared" ref="AI90" si="144">AL90*L90/60</f>
        <v>0.33333333333333331</v>
      </c>
      <c r="AJ90" s="70">
        <f>(J90*4*AK90)*1*L90/1000</f>
        <v>4.8</v>
      </c>
      <c r="AK90" s="50">
        <f>(VLOOKUP(F90,[2]Koostamine!$A$12:$P$1612,7,FALSE))</f>
        <v>2</v>
      </c>
      <c r="AL90" s="69">
        <f>VLOOKUP(F90,[2]Koostamine!$A$12:$P$1612,IF(J90&lt;1499,11,IF(J90&lt;2999,12,IF(J90&lt;5999,13,IF(J90&lt;9999,14,IF(J90&lt;12999,15,IF(J90&gt;13000,16)))))),FALSE)</f>
        <v>5</v>
      </c>
      <c r="AP90" s="146">
        <f>(VLOOKUP(F90,Terasehind!$A$2:$B$171,2,FALSE))</f>
        <v>0.88</v>
      </c>
      <c r="AQ90" s="50">
        <f>(VLOOKUP(F90,Terasehind!$A$2:$C$171,3,FALSE))</f>
        <v>1.1000000000000001</v>
      </c>
      <c r="AR90" s="138">
        <f t="shared" ref="AR90" si="145">AP90*AQ90*B90</f>
        <v>17.830560000000002</v>
      </c>
      <c r="AT90" s="60"/>
      <c r="AU90" s="77"/>
      <c r="AV90" s="77"/>
      <c r="AW90" s="77"/>
      <c r="AX90" s="121"/>
      <c r="AY90" s="77"/>
      <c r="AZ90" s="77"/>
      <c r="BA90" s="188">
        <f>(H90*6*2+J90*8)*2/60/1000*L90</f>
        <v>0.54400000000000004</v>
      </c>
      <c r="BB90" s="283"/>
      <c r="BC90" s="62"/>
      <c r="BD90" s="284"/>
      <c r="BE90" s="131"/>
      <c r="BF90"/>
      <c r="BG90" s="57"/>
      <c r="BH90" s="57"/>
      <c r="BI90" s="57"/>
      <c r="BJ90" s="57"/>
      <c r="BK90" s="57"/>
      <c r="BL90" s="60"/>
      <c r="BM90" s="57"/>
      <c r="BN90" s="60"/>
      <c r="BO90" s="83"/>
      <c r="BQ90" s="109"/>
    </row>
    <row r="91" spans="1:70" s="50" customFormat="1" ht="14.95" x14ac:dyDescent="0.25">
      <c r="A91" s="116">
        <f t="shared" ref="A91:A93" si="146">H91*J91*(RIGHT(F91,2))*7.85/(10^6)</f>
        <v>1.57</v>
      </c>
      <c r="B91" s="116">
        <f t="shared" ref="B91:B93" si="147">A91*L91</f>
        <v>37.68</v>
      </c>
      <c r="C91" s="118" t="s">
        <v>346</v>
      </c>
      <c r="D91" s="117" t="s">
        <v>344</v>
      </c>
      <c r="E91" s="117"/>
      <c r="F91" s="355" t="s">
        <v>324</v>
      </c>
      <c r="G91" s="117" t="s">
        <v>83</v>
      </c>
      <c r="H91" s="119">
        <v>200</v>
      </c>
      <c r="I91" s="118" t="s">
        <v>77</v>
      </c>
      <c r="J91" s="119">
        <v>200</v>
      </c>
      <c r="K91" s="119">
        <v>6</v>
      </c>
      <c r="L91" s="119">
        <f>K$91*L$77</f>
        <v>24</v>
      </c>
      <c r="M91" s="116">
        <f t="shared" ref="M91:M93" si="148">2*H91*J91/10^6*L91</f>
        <v>1.92</v>
      </c>
      <c r="N91" s="118" t="s">
        <v>84</v>
      </c>
      <c r="P91" s="118"/>
      <c r="Q91" s="135"/>
      <c r="R91" s="118"/>
      <c r="S91" s="118"/>
      <c r="T91" s="118"/>
      <c r="U91" s="118"/>
      <c r="V91" s="118"/>
      <c r="W91" s="118"/>
      <c r="X91" s="118"/>
      <c r="Y91" s="118"/>
      <c r="Z91" s="118"/>
      <c r="AA91" s="118"/>
      <c r="AB91" s="118" t="s">
        <v>78</v>
      </c>
      <c r="AC91" s="136">
        <f>((((H91+J91)*2/1000)*L91*(5/(VLOOKUP(F91,[2]Plasmalõikus!$A$7:$E$46,2,FALSE)/1000*60)))+(Q91*L91*(5*(VLOOKUP(F91,[2]Plasmalõikus!$A$7:$E$48,3,FALSE))/60/60)))</f>
        <v>0.44444444444444448</v>
      </c>
      <c r="AD91" s="353"/>
      <c r="AE91" s="136"/>
      <c r="AF91" s="137"/>
      <c r="AG91" s="137">
        <f t="shared" ref="AG91" si="149">IF(VALUE(MID(F91,SEARCH(" ",F91)+1,LEN(F91)))&lt;35,0,IF(VALUE(MID(F91,SEARCH(" ",F91)+1,LEN(F91)))&lt;40,3,IF(VALUE(MID(F91,SEARCH(" ",F91)+1,LEN(F91)))&lt;50,4,IF(VALUE(MID(F91,SEARCH(" ",F91)+1,LEN(F91)))&lt;60,5,IF(VALUE(MID(F91,SEARCH(" ",F91)+1,LEN(F91)))&lt;70,6,IF(VALUE(MID(F91,SEARCH(" ",F91)+1,LEN(F91)))&lt;80,7,IF(VALUE(MID(F91,SEARCH(" ",F91)+1,LEN(F91)))&lt;90,8,IF(VALUE(MID(F91,SEARCH(" ",F91)+1,LEN(F91)))&lt;100,9,10))))))))/60*Q91*L91</f>
        <v>0</v>
      </c>
      <c r="AH91" s="136"/>
      <c r="AI91" s="132">
        <f t="shared" si="141"/>
        <v>0.8</v>
      </c>
      <c r="AJ91" s="70"/>
      <c r="AK91" s="50">
        <v>3</v>
      </c>
      <c r="AL91" s="69" t="str">
        <f>IF(AND(Q91&gt;0,A91&lt;3),"10",IF(AND(Q91&gt;0,A91&lt;10),"15",IF(AND(Q91&gt;0,A91&lt;20),"20",IF(AND(Q91&gt;0,A91&lt;500),"30",IF(AND(Q91=0,A91&lt;3),"2",IF(AND(Q91=0,A91&lt;10),"5",IF(AND(Q91=0,A91&lt;20),"10",IF(AND(Q91=0,A91&lt;500),"20","2"))))))))</f>
        <v>2</v>
      </c>
      <c r="AN91" s="66"/>
      <c r="AP91" s="146">
        <f>(VLOOKUP(F91,Terasehind!$A$2:$B$171,2,FALSE))</f>
        <v>0.92</v>
      </c>
      <c r="AQ91" s="50">
        <f>(VLOOKUP(F91,Terasehind!$A$2:$C$171,3,FALSE))</f>
        <v>1.1000000000000001</v>
      </c>
      <c r="AR91" s="138">
        <f>AP91*AQ91*B91</f>
        <v>38.132160000000006</v>
      </c>
      <c r="AT91" s="62"/>
      <c r="AU91" s="62"/>
      <c r="AV91" s="62"/>
      <c r="AW91" s="62"/>
      <c r="AX91" s="62"/>
      <c r="AY91" s="62"/>
      <c r="AZ91" s="77"/>
      <c r="BA91" s="188">
        <f t="shared" ref="BA91:BA93" si="150">(H91*2+J91*2)*2*2/60/1000*L91</f>
        <v>1.28</v>
      </c>
      <c r="BB91" s="283"/>
      <c r="BC91" s="62"/>
      <c r="BD91" s="284"/>
      <c r="BE91" s="131"/>
      <c r="BF91"/>
      <c r="BG91" s="57"/>
      <c r="BH91" s="57"/>
      <c r="BI91" s="57"/>
      <c r="BJ91" s="57"/>
      <c r="BK91" s="57"/>
      <c r="BL91" s="109"/>
      <c r="BM91" s="109"/>
      <c r="BN91" s="109"/>
      <c r="BO91" s="83"/>
      <c r="BQ91" s="83"/>
      <c r="BR91" s="83"/>
    </row>
    <row r="92" spans="1:70" s="50" customFormat="1" ht="14.95" x14ac:dyDescent="0.25">
      <c r="A92" s="116">
        <f t="shared" si="146"/>
        <v>38.857500000000002</v>
      </c>
      <c r="B92" s="116">
        <f t="shared" si="147"/>
        <v>310.86</v>
      </c>
      <c r="C92" s="118" t="s">
        <v>383</v>
      </c>
      <c r="D92" s="117" t="s">
        <v>463</v>
      </c>
      <c r="E92" s="117"/>
      <c r="F92" s="355" t="s">
        <v>89</v>
      </c>
      <c r="G92" s="117" t="s">
        <v>83</v>
      </c>
      <c r="H92" s="119">
        <v>300</v>
      </c>
      <c r="I92" s="118" t="s">
        <v>77</v>
      </c>
      <c r="J92" s="119">
        <v>550</v>
      </c>
      <c r="K92" s="119">
        <v>2</v>
      </c>
      <c r="L92" s="119">
        <f>K$92*L$77</f>
        <v>8</v>
      </c>
      <c r="M92" s="116">
        <f t="shared" si="148"/>
        <v>2.64</v>
      </c>
      <c r="N92" s="118" t="s">
        <v>84</v>
      </c>
      <c r="P92" s="118"/>
      <c r="Q92" s="135">
        <v>1</v>
      </c>
      <c r="R92" s="118"/>
      <c r="S92" s="118"/>
      <c r="T92" s="118"/>
      <c r="U92" s="118"/>
      <c r="V92" s="118"/>
      <c r="W92" s="118"/>
      <c r="X92" s="118"/>
      <c r="Y92" s="118"/>
      <c r="Z92" s="118"/>
      <c r="AA92" s="118"/>
      <c r="AB92" s="118" t="s">
        <v>78</v>
      </c>
      <c r="AC92" s="136">
        <f>((((H92+J92)*2/1000)*L92*(5/(VLOOKUP(F92,[2]Plasmalõikus!$A$7:$E$46,2,FALSE)/1000*60)))+(Q92*L92*(5*(VLOOKUP(F92,[2]Plasmalõikus!$A$7:$E$48,3,FALSE))/60/60)))</f>
        <v>1.1666666666666667</v>
      </c>
      <c r="AD92" s="353"/>
      <c r="AE92" s="136"/>
      <c r="AF92" s="137">
        <f>(H92*2+J92*2)*20/60/1000*L92</f>
        <v>4.5333333333333332</v>
      </c>
      <c r="AG92" s="137">
        <f>IF(VALUE(MID(F92,SEARCH(" ",F92)+1,LEN(F92)))&lt;35,0,IF(VALUE(MID(F92,SEARCH(" ",F92)+1,LEN(F92)))&lt;40,3,IF(VALUE(MID(F92,SEARCH(" ",F92)+1,LEN(F92)))&lt;50,4,IF(VALUE(MID(F92,SEARCH(" ",F92)+1,LEN(F92)))&lt;60,5,IF(VALUE(MID(F92,SEARCH(" ",F92)+1,LEN(F92)))&lt;70,6,IF(VALUE(MID(F92,SEARCH(" ",F92)+1,LEN(F92)))&lt;80,7,IF(VALUE(MID(F92,SEARCH(" ",F92)+1,LEN(F92)))&lt;90,8,IF(VALUE(MID(F92,SEARCH(" ",F92)+1,LEN(F92)))&lt;100,9,10))))))))/60*Q92*L92</f>
        <v>0</v>
      </c>
      <c r="AH92" s="136"/>
      <c r="AI92" s="132">
        <f t="shared" si="141"/>
        <v>4</v>
      </c>
      <c r="AJ92" s="70">
        <f>(H92*2*AK92+J92*2*AK92)*L92/1000</f>
        <v>27.2</v>
      </c>
      <c r="AK92" s="50">
        <v>2</v>
      </c>
      <c r="AL92" s="69" t="str">
        <f>IF(AND(Q92&gt;0,A92&lt;3),"10",IF(AND(Q92&gt;0,A92&lt;10),"15",IF(AND(Q92&gt;0,A92&lt;20),"20",IF(AND(Q92&gt;0,A92&lt;500),"30",IF(AND(Q92=0,A92&lt;3),"2",IF(AND(Q92=0,A92&lt;10),"5",IF(AND(Q92=0,A92&lt;20),"10",IF(AND(Q92=0,A92&lt;500),"20","2"))))))))</f>
        <v>30</v>
      </c>
      <c r="AN92" s="66"/>
      <c r="AP92" s="146">
        <f>(VLOOKUP(F92,Terasehind!$A$2:$B$171,2,FALSE))</f>
        <v>0.92</v>
      </c>
      <c r="AQ92" s="50">
        <f>(VLOOKUP(F92,Terasehind!$A$2:$C$171,3,FALSE))</f>
        <v>1.1000000000000001</v>
      </c>
      <c r="AR92" s="138">
        <f t="shared" ref="AR92:AR93" si="151">AP92*AQ92*B92</f>
        <v>314.59032000000008</v>
      </c>
      <c r="AT92" s="62"/>
      <c r="AU92" s="62"/>
      <c r="AV92" s="62"/>
      <c r="AW92" s="62"/>
      <c r="AX92" s="62"/>
      <c r="AY92" s="62"/>
      <c r="AZ92" s="77"/>
      <c r="BA92" s="188">
        <f t="shared" si="150"/>
        <v>0.90666666666666662</v>
      </c>
      <c r="BB92" s="283"/>
      <c r="BC92" s="62"/>
      <c r="BD92" s="284"/>
      <c r="BE92" s="131"/>
      <c r="BF92"/>
      <c r="BG92" s="57"/>
      <c r="BH92" s="57"/>
      <c r="BI92" s="57"/>
      <c r="BJ92" s="57"/>
      <c r="BK92" s="57"/>
      <c r="BL92" s="109"/>
      <c r="BM92" s="109"/>
      <c r="BN92" s="109"/>
      <c r="BO92" s="83"/>
      <c r="BQ92" s="83"/>
      <c r="BR92" s="83"/>
    </row>
    <row r="93" spans="1:70" s="50" customFormat="1" ht="14.95" x14ac:dyDescent="0.25">
      <c r="A93" s="116">
        <f t="shared" si="146"/>
        <v>4.5137499999999999</v>
      </c>
      <c r="B93" s="116">
        <f t="shared" si="147"/>
        <v>72.22</v>
      </c>
      <c r="C93" s="118" t="s">
        <v>471</v>
      </c>
      <c r="D93" s="117" t="s">
        <v>342</v>
      </c>
      <c r="E93" s="117"/>
      <c r="F93" s="355" t="s">
        <v>82</v>
      </c>
      <c r="G93" s="117" t="s">
        <v>83</v>
      </c>
      <c r="H93" s="119">
        <v>230</v>
      </c>
      <c r="I93" s="118" t="s">
        <v>77</v>
      </c>
      <c r="J93" s="119">
        <v>250</v>
      </c>
      <c r="K93" s="119">
        <v>4</v>
      </c>
      <c r="L93" s="119">
        <f>K$93*L$77</f>
        <v>16</v>
      </c>
      <c r="M93" s="116">
        <f t="shared" si="148"/>
        <v>1.84</v>
      </c>
      <c r="N93" s="118" t="s">
        <v>84</v>
      </c>
      <c r="P93" s="118"/>
      <c r="Q93" s="135">
        <v>4</v>
      </c>
      <c r="R93" s="118"/>
      <c r="S93" s="118"/>
      <c r="T93" s="118"/>
      <c r="U93" s="118"/>
      <c r="V93" s="118"/>
      <c r="W93" s="118"/>
      <c r="X93" s="118"/>
      <c r="Y93" s="118"/>
      <c r="Z93" s="118"/>
      <c r="AA93" s="118"/>
      <c r="AB93" s="118" t="s">
        <v>78</v>
      </c>
      <c r="AC93" s="136">
        <f>((((H93+J93)*2/1000)*L93*(5/(VLOOKUP(F93,[2]Plasmalõikus!$A$7:$E$46,2,FALSE)/1000*60)))+(Q93*L93*(5*(VLOOKUP(F93,[2]Plasmalõikus!$A$7:$E$48,3,FALSE))/60/60)))</f>
        <v>1.223111111111111</v>
      </c>
      <c r="AD93" s="353"/>
      <c r="AE93" s="136"/>
      <c r="AF93" s="137">
        <f>(H93*2+J93*2)*20/60/1000*L93</f>
        <v>5.12</v>
      </c>
      <c r="AG93" s="137">
        <f>IF(VALUE(MID(F93,SEARCH(" ",F93)+1,LEN(F93)))&lt;35,0,IF(VALUE(MID(F93,SEARCH(" ",F93)+1,LEN(F93)))&lt;40,3,IF(VALUE(MID(F93,SEARCH(" ",F93)+1,LEN(F93)))&lt;50,4,IF(VALUE(MID(F93,SEARCH(" ",F93)+1,LEN(F93)))&lt;60,5,IF(VALUE(MID(F93,SEARCH(" ",F93)+1,LEN(F93)))&lt;70,6,IF(VALUE(MID(F93,SEARCH(" ",F93)+1,LEN(F93)))&lt;80,7,IF(VALUE(MID(F93,SEARCH(" ",F93)+1,LEN(F93)))&lt;90,8,IF(VALUE(MID(F93,SEARCH(" ",F93)+1,LEN(F93)))&lt;100,9,10))))))))/60*Q93*L93</f>
        <v>0</v>
      </c>
      <c r="AH93" s="136"/>
      <c r="AI93" s="132">
        <f t="shared" si="141"/>
        <v>4</v>
      </c>
      <c r="AJ93" s="70">
        <f>(J93*2*AK93)*L93/1000</f>
        <v>8</v>
      </c>
      <c r="AK93" s="50">
        <v>1</v>
      </c>
      <c r="AL93" s="69" t="str">
        <f>IF(AND(Q93&gt;0,A93&lt;3),"10",IF(AND(Q93&gt;0,A93&lt;10),"15",IF(AND(Q93&gt;0,A93&lt;20),"20",IF(AND(Q93&gt;0,A93&lt;500),"30",IF(AND(Q93=0,A93&lt;3),"2",IF(AND(Q93=0,A93&lt;10),"5",IF(AND(Q93=0,A93&lt;20),"10",IF(AND(Q93=0,A93&lt;500),"20","2"))))))))</f>
        <v>15</v>
      </c>
      <c r="AN93" s="66"/>
      <c r="AP93" s="146">
        <f>(VLOOKUP(F93,Terasehind!$A$2:$B$171,2,FALSE))</f>
        <v>0.92</v>
      </c>
      <c r="AQ93" s="50">
        <f>(VLOOKUP(F93,Terasehind!$A$2:$C$171,3,FALSE))</f>
        <v>1.1000000000000001</v>
      </c>
      <c r="AR93" s="138">
        <f t="shared" si="151"/>
        <v>73.086640000000017</v>
      </c>
      <c r="AT93" s="62"/>
      <c r="AU93" s="62"/>
      <c r="AV93" s="62"/>
      <c r="AW93" s="62"/>
      <c r="AX93" s="62"/>
      <c r="AY93" s="62"/>
      <c r="AZ93" s="77"/>
      <c r="BA93" s="188">
        <f t="shared" si="150"/>
        <v>1.024</v>
      </c>
      <c r="BB93" s="283"/>
      <c r="BC93" s="62"/>
      <c r="BD93" s="284"/>
      <c r="BE93" s="131"/>
      <c r="BF93"/>
      <c r="BG93" s="57"/>
      <c r="BH93" s="57"/>
      <c r="BI93" s="57"/>
      <c r="BJ93" s="57"/>
      <c r="BK93" s="57"/>
      <c r="BL93" s="109"/>
      <c r="BM93" s="109"/>
      <c r="BN93" s="109"/>
      <c r="BO93" s="83"/>
      <c r="BQ93" s="83"/>
      <c r="BR93" s="83"/>
    </row>
    <row r="94" spans="1:70" customFormat="1" ht="15.8" x14ac:dyDescent="0.25">
      <c r="B94" s="22"/>
      <c r="F94" s="296"/>
      <c r="K94" s="119"/>
      <c r="M94" s="282"/>
      <c r="AD94" s="328" t="s">
        <v>393</v>
      </c>
      <c r="AS94" s="50"/>
      <c r="AT94" s="62"/>
      <c r="AU94" s="62"/>
      <c r="AV94" s="62"/>
      <c r="AW94" s="62"/>
      <c r="AX94" s="62"/>
      <c r="AY94" s="62"/>
      <c r="AZ94" s="77"/>
      <c r="BA94" s="192"/>
      <c r="BB94" s="283"/>
      <c r="BC94" s="62"/>
      <c r="BD94" s="284"/>
      <c r="BE94" s="131"/>
    </row>
    <row r="95" spans="1:70" s="50" customFormat="1" ht="14.95" x14ac:dyDescent="0.25">
      <c r="A95" s="148">
        <f>B95/L95</f>
        <v>1070.1849500000001</v>
      </c>
      <c r="B95" s="285">
        <f>SUM(B104,B103,B102,B101,B100,B99,B98,B97,B96,0)</f>
        <v>4280.7398000000003</v>
      </c>
      <c r="C95" s="286">
        <f>(SUM(B98:B101)/B95)</f>
        <v>0.44969792370935507</v>
      </c>
      <c r="D95" s="149" t="s">
        <v>81</v>
      </c>
      <c r="E95" s="149"/>
      <c r="F95" s="357" t="s">
        <v>468</v>
      </c>
      <c r="G95" s="177" t="str">
        <f>$G$16</f>
        <v>C3VH</v>
      </c>
      <c r="H95" s="150">
        <v>160</v>
      </c>
      <c r="I95" s="151" t="s">
        <v>77</v>
      </c>
      <c r="J95" s="150">
        <f>J96</f>
        <v>5200</v>
      </c>
      <c r="K95" s="134">
        <v>4</v>
      </c>
      <c r="L95" s="150">
        <f>$L$16*$K$95</f>
        <v>4</v>
      </c>
      <c r="M95" s="148">
        <f>SUM(M104,M103,M102,M101,M100,M99,M98,M97,M96,0)</f>
        <v>80.641680000000008</v>
      </c>
      <c r="N95" s="151"/>
      <c r="O95" s="151"/>
      <c r="P95" s="151"/>
      <c r="Q95" s="151"/>
      <c r="R95" s="120"/>
      <c r="S95" s="120"/>
      <c r="T95" s="120"/>
      <c r="U95" s="120"/>
      <c r="V95" s="120"/>
      <c r="W95" s="118"/>
      <c r="X95" s="118" t="s">
        <v>78</v>
      </c>
      <c r="Y95" s="151">
        <v>4</v>
      </c>
      <c r="Z95" s="151"/>
      <c r="AA95" s="151"/>
      <c r="AB95" s="151"/>
      <c r="AC95" s="148">
        <f>SUM(AC104,AC103,AC102,AC101,AC100,AC99,AC98,AC97,AC96,0)</f>
        <v>17.574857142857145</v>
      </c>
      <c r="AD95" s="148">
        <f>SUM(AD104,AD103,AD102,AD101,AD100,AD99,AD98,AD97,AD96,0)</f>
        <v>0</v>
      </c>
      <c r="AE95" s="148">
        <f>SUM(AE104,AE103,AE102,AE101,AE100,AE99,AE98,AE97,AE96,0)</f>
        <v>1.3333333333333333</v>
      </c>
      <c r="AF95" s="148">
        <f>SUM(AF104,AF103,AF102,AF101,AF100,AF99,AF98,AF97,AF96,0)</f>
        <v>25.834666666666664</v>
      </c>
      <c r="AG95" s="148">
        <f>SUM(AG104,AG103,AG102,AG101,AG100,AG99,AG98,AG97,AG96,0)</f>
        <v>0</v>
      </c>
      <c r="AH95" s="107">
        <f>SUM(AC95:AG95)</f>
        <v>44.74285714285714</v>
      </c>
      <c r="AI95" s="107">
        <f>SUM(AI104,AI103,AI102,AI101,AI100,AI99,AI98,AI97,AI96,0)</f>
        <v>23.599999999999998</v>
      </c>
      <c r="AJ95" s="148">
        <f>SUM(AJ104,AJ103,AJ102,AJ101,AJ100,AJ99,AJ98,AJ97,AJ96,0)</f>
        <v>306.65600000000001</v>
      </c>
      <c r="AK95" s="107">
        <f>AJ95*10/60</f>
        <v>51.109333333333332</v>
      </c>
      <c r="AL95" s="148">
        <f>AH95+AI95+AK95</f>
        <v>119.45219047619048</v>
      </c>
      <c r="AM95" s="288">
        <f>B95/AL95</f>
        <v>35.836427803751732</v>
      </c>
      <c r="AN95" s="148">
        <f>AL95*46</f>
        <v>5494.8007619047621</v>
      </c>
      <c r="AO95" s="148">
        <f>AN95/B95</f>
        <v>1.2836100811137274</v>
      </c>
      <c r="AP95" s="148">
        <f>AR95/B95</f>
        <v>1.0152794892135235</v>
      </c>
      <c r="AQ95" s="67"/>
      <c r="AR95" s="148">
        <f>SUM(AR104,AR103,AR102,AR101,AR100,AR99,AR98,AR97,AR96,0)</f>
        <v>4346.1473176000009</v>
      </c>
      <c r="AT95" s="62"/>
      <c r="AU95" s="62"/>
      <c r="AV95" s="62"/>
      <c r="AW95" s="62"/>
      <c r="AX95" s="62"/>
      <c r="AY95" s="62"/>
      <c r="AZ95" s="77"/>
      <c r="BA95" s="148">
        <f>SUM(BA104,BA103,BA102,BA101,BA100,BA99,BA98,BA97,BA96,0)</f>
        <v>18.536533333333331</v>
      </c>
      <c r="BB95" s="283"/>
      <c r="BC95" s="62"/>
      <c r="BD95" s="289"/>
      <c r="BF95" s="19"/>
      <c r="BG95" s="57"/>
      <c r="BH95" s="57"/>
      <c r="BI95" s="57"/>
      <c r="BJ95" s="57"/>
      <c r="BK95" s="60"/>
    </row>
    <row r="96" spans="1:70" s="50" customFormat="1" ht="14.95" x14ac:dyDescent="0.25">
      <c r="A96" s="116">
        <f t="shared" ref="A96:A101" si="152">H96*J96*(RIGHT(F96,2))*7.85/(10^6)</f>
        <v>236.756</v>
      </c>
      <c r="B96" s="116">
        <f t="shared" ref="B96:B101" si="153">A96*L96</f>
        <v>947.024</v>
      </c>
      <c r="C96" s="118" t="s">
        <v>345</v>
      </c>
      <c r="D96" s="117" t="s">
        <v>76</v>
      </c>
      <c r="E96" s="290"/>
      <c r="F96" s="355" t="s">
        <v>82</v>
      </c>
      <c r="G96" s="117" t="s">
        <v>83</v>
      </c>
      <c r="H96" s="119">
        <v>580</v>
      </c>
      <c r="I96" s="118" t="s">
        <v>77</v>
      </c>
      <c r="J96" s="119">
        <v>5200</v>
      </c>
      <c r="K96" s="119">
        <v>1</v>
      </c>
      <c r="L96" s="119">
        <f>K$96*L$95</f>
        <v>4</v>
      </c>
      <c r="M96" s="116">
        <f t="shared" ref="M96:M101" si="154">2*H96*J96/10^6*L96</f>
        <v>24.128</v>
      </c>
      <c r="N96" s="118" t="s">
        <v>84</v>
      </c>
      <c r="P96" s="118"/>
      <c r="Q96" s="294">
        <f>8+5+8</f>
        <v>21</v>
      </c>
      <c r="R96" s="118"/>
      <c r="S96" s="118"/>
      <c r="T96" s="118"/>
      <c r="U96" s="118"/>
      <c r="V96" s="118"/>
      <c r="W96" s="118"/>
      <c r="X96" s="118"/>
      <c r="Y96" s="118"/>
      <c r="Z96" s="118"/>
      <c r="AA96" s="118"/>
      <c r="AB96" s="118" t="s">
        <v>78</v>
      </c>
      <c r="AC96" s="136">
        <f>((((H96+J96)*2/1000)*L96*(5/(VLOOKUP(F96,[2]Plasmalõikus!$A$7:$E$46,2,FALSE)/1000*60)))+(Q96*L96*(5*(VLOOKUP(F96,[2]Plasmalõikus!$A$7:$E$48,3,FALSE))/60/60)))</f>
        <v>2.4746666666666668</v>
      </c>
      <c r="AD96" s="353"/>
      <c r="AE96" s="136"/>
      <c r="AF96" s="137"/>
      <c r="AG96" s="137">
        <f t="shared" ref="AG96:AG99" si="155">IF(VALUE(MID(F96,SEARCH(" ",F96)+1,LEN(F96)))&lt;35,0,IF(VALUE(MID(F96,SEARCH(" ",F96)+1,LEN(F96)))&lt;40,3,IF(VALUE(MID(F96,SEARCH(" ",F96)+1,LEN(F96)))&lt;50,4,IF(VALUE(MID(F96,SEARCH(" ",F96)+1,LEN(F96)))&lt;60,5,IF(VALUE(MID(F96,SEARCH(" ",F96)+1,LEN(F96)))&lt;70,6,IF(VALUE(MID(F96,SEARCH(" ",F96)+1,LEN(F96)))&lt;80,7,IF(VALUE(MID(F96,SEARCH(" ",F96)+1,LEN(F96)))&lt;90,8,IF(VALUE(MID(F96,SEARCH(" ",F96)+1,LEN(F96)))&lt;100,9,10))))))))/60*Q96*L96</f>
        <v>0</v>
      </c>
      <c r="AH96" s="136"/>
      <c r="AI96" s="132">
        <f t="shared" ref="AI96:AI104" si="156">AL96*L96/60</f>
        <v>2</v>
      </c>
      <c r="AJ96" s="70">
        <f>(J96*4*AK96)*L96/1000</f>
        <v>83.2</v>
      </c>
      <c r="AK96" s="69">
        <v>1</v>
      </c>
      <c r="AL96" s="165" t="str">
        <f>IF(AND(J96&gt;0,J96&lt;2999),"20",IF(AND(J96&gt;0,J96&lt;5999),"30",IF(AND(J96&gt;0,J96&lt;7999),"40",IF(AND(J96&gt;0,J96&lt;11999),"60",IF(AND(J96&gt;0,J96&lt;14999),"120",IF(AND(J96&gt;0,J96&lt;17999),"180",IF(AND(J96&gt;0,J96&lt;22000),"360","error")))))))</f>
        <v>30</v>
      </c>
      <c r="AP96" s="146">
        <f>(VLOOKUP(F96,Terasehind!$A$2:$B$171,2,FALSE))</f>
        <v>0.92</v>
      </c>
      <c r="AQ96" s="50">
        <f>(VLOOKUP(F96,Terasehind!$A$2:$C$171,3,FALSE))</f>
        <v>1.1000000000000001</v>
      </c>
      <c r="AR96" s="138">
        <f t="shared" ref="AR96:AR97" si="157">AP96*AQ96*B96</f>
        <v>958.38828800000022</v>
      </c>
      <c r="AT96" s="62"/>
      <c r="AU96" s="62"/>
      <c r="AV96" s="62"/>
      <c r="AW96" s="62"/>
      <c r="AX96" s="62"/>
      <c r="AY96" s="62"/>
      <c r="AZ96" s="77"/>
      <c r="BA96" s="188"/>
      <c r="BB96" s="283"/>
      <c r="BC96" s="62"/>
      <c r="BD96" s="284"/>
      <c r="BE96" s="131"/>
      <c r="BF96"/>
      <c r="BG96" s="57"/>
      <c r="BH96" s="57"/>
      <c r="BI96" s="57"/>
      <c r="BJ96" s="57"/>
      <c r="BK96" s="57"/>
      <c r="BL96" s="109"/>
      <c r="BM96" s="109"/>
      <c r="BN96" s="109"/>
      <c r="BO96" s="83"/>
      <c r="BQ96" s="83"/>
      <c r="BR96" s="83"/>
    </row>
    <row r="97" spans="1:70" s="50" customFormat="1" ht="14.95" x14ac:dyDescent="0.25">
      <c r="A97" s="116">
        <f t="shared" si="152"/>
        <v>85.721999999999994</v>
      </c>
      <c r="B97" s="116">
        <f t="shared" si="153"/>
        <v>685.77599999999995</v>
      </c>
      <c r="C97" s="118" t="s">
        <v>345</v>
      </c>
      <c r="D97" s="117" t="s">
        <v>81</v>
      </c>
      <c r="E97" s="117"/>
      <c r="F97" s="355" t="s">
        <v>82</v>
      </c>
      <c r="G97" s="117" t="s">
        <v>83</v>
      </c>
      <c r="H97" s="119">
        <v>210</v>
      </c>
      <c r="I97" s="118" t="s">
        <v>77</v>
      </c>
      <c r="J97" s="119">
        <f>J96</f>
        <v>5200</v>
      </c>
      <c r="K97" s="119">
        <v>2</v>
      </c>
      <c r="L97" s="119">
        <f>K$97*L$95</f>
        <v>8</v>
      </c>
      <c r="M97" s="116">
        <f t="shared" si="154"/>
        <v>17.472000000000001</v>
      </c>
      <c r="N97" s="118" t="s">
        <v>84</v>
      </c>
      <c r="P97" s="118"/>
      <c r="Q97" s="135">
        <v>8</v>
      </c>
      <c r="R97" s="118"/>
      <c r="S97" s="118"/>
      <c r="T97" s="118"/>
      <c r="U97" s="118"/>
      <c r="V97" s="118"/>
      <c r="W97" s="118"/>
      <c r="X97" s="118"/>
      <c r="Y97" s="118"/>
      <c r="Z97" s="118"/>
      <c r="AA97" s="118"/>
      <c r="AB97" s="118" t="s">
        <v>78</v>
      </c>
      <c r="AC97" s="136">
        <f>((((H97+J97)*2/1000)*L97*(5/(VLOOKUP(F97,[2]Plasmalõikus!$A$7:$E$46,2,FALSE)/1000*60)))+(Q97*L97*(5*(VLOOKUP(F97,[2]Plasmalõikus!$A$7:$E$48,3,FALSE))/60/60)))</f>
        <v>3.5964444444444448</v>
      </c>
      <c r="AD97" s="353"/>
      <c r="AE97" s="136"/>
      <c r="AF97" s="137"/>
      <c r="AG97" s="137">
        <f t="shared" si="155"/>
        <v>0</v>
      </c>
      <c r="AH97" s="136"/>
      <c r="AI97" s="132">
        <f t="shared" si="156"/>
        <v>4</v>
      </c>
      <c r="AJ97" s="70"/>
      <c r="AL97" s="165" t="str">
        <f t="shared" ref="AL97" si="158">IF(AND(J97&gt;0,J97&lt;2999),"20",IF(AND(J97&gt;0,J97&lt;5999),"30",IF(AND(J97&gt;0,J97&lt;7999),"40",IF(AND(J97&gt;0,J97&lt;11999),"60",IF(AND(J97&gt;0,J97&lt;14999),"120",IF(AND(J97&gt;0,J97&lt;17999),"180",IF(AND(J97&gt;0,J97&lt;22000),"360","error")))))))</f>
        <v>30</v>
      </c>
      <c r="AN97" s="66"/>
      <c r="AP97" s="146">
        <f>(VLOOKUP(F97,Terasehind!$A$2:$B$171,2,FALSE))</f>
        <v>0.92</v>
      </c>
      <c r="AQ97" s="50">
        <f>(VLOOKUP(F97,Terasehind!$A$2:$C$171,3,FALSE))</f>
        <v>1.1000000000000001</v>
      </c>
      <c r="AR97" s="138">
        <f t="shared" si="157"/>
        <v>694.00531200000012</v>
      </c>
      <c r="AT97" s="62"/>
      <c r="AU97" s="62"/>
      <c r="AV97" s="62"/>
      <c r="AW97" s="62"/>
      <c r="AX97" s="57"/>
      <c r="AY97" s="62"/>
      <c r="AZ97" s="77"/>
      <c r="BA97" s="188">
        <f t="shared" ref="BA97:BA101" si="159">(H97*2+J97*2)*2*2/60/1000*L97</f>
        <v>5.7706666666666671</v>
      </c>
      <c r="BB97" s="283"/>
      <c r="BC97" s="62"/>
      <c r="BD97" s="284"/>
      <c r="BE97" s="131"/>
      <c r="BF97"/>
      <c r="BG97" s="57"/>
      <c r="BH97" s="57"/>
      <c r="BI97" s="57"/>
      <c r="BJ97" s="57"/>
      <c r="BK97" s="57"/>
      <c r="BL97" s="109"/>
      <c r="BM97" s="109"/>
      <c r="BN97" s="109"/>
      <c r="BO97" s="83"/>
      <c r="BQ97" s="83"/>
      <c r="BR97" s="83"/>
    </row>
    <row r="98" spans="1:70" s="50" customFormat="1" ht="14.95" x14ac:dyDescent="0.25">
      <c r="A98" s="116">
        <f t="shared" si="152"/>
        <v>14.5068</v>
      </c>
      <c r="B98" s="116">
        <f t="shared" si="153"/>
        <v>58.027200000000001</v>
      </c>
      <c r="C98" s="118" t="s">
        <v>346</v>
      </c>
      <c r="D98" s="117" t="s">
        <v>85</v>
      </c>
      <c r="E98" s="117"/>
      <c r="F98" s="355" t="s">
        <v>86</v>
      </c>
      <c r="G98" s="117" t="s">
        <v>83</v>
      </c>
      <c r="H98" s="119">
        <v>220</v>
      </c>
      <c r="I98" s="118" t="s">
        <v>77</v>
      </c>
      <c r="J98" s="119">
        <v>420</v>
      </c>
      <c r="K98" s="119">
        <v>1</v>
      </c>
      <c r="L98" s="119">
        <f>K$98*L$95</f>
        <v>4</v>
      </c>
      <c r="M98" s="116">
        <f t="shared" si="154"/>
        <v>0.73919999999999997</v>
      </c>
      <c r="N98" s="118" t="s">
        <v>84</v>
      </c>
      <c r="P98" s="118"/>
      <c r="Q98" s="135">
        <v>8</v>
      </c>
      <c r="R98" s="118"/>
      <c r="S98" s="118"/>
      <c r="T98" s="118"/>
      <c r="U98" s="118"/>
      <c r="V98" s="118"/>
      <c r="W98" s="118"/>
      <c r="X98" s="118"/>
      <c r="Y98" s="118"/>
      <c r="Z98" s="118"/>
      <c r="AA98" s="118"/>
      <c r="AB98" s="118" t="s">
        <v>78</v>
      </c>
      <c r="AC98" s="136">
        <f>((((H98+J98)*2/1000)*L98*(5/(VLOOKUP(F98,[2]Plasmalõikus!$A$7:$E$46,2,FALSE)/1000*60)))+(Q98*L98*(5*(VLOOKUP(F98,[2]Plasmalõikus!$A$7:$E$48,3,FALSE))/60/60)))</f>
        <v>0.8</v>
      </c>
      <c r="AD98" s="353"/>
      <c r="AE98" s="136"/>
      <c r="AF98" s="137">
        <f>(H98*2+J98*2)*10/60/1000*L98</f>
        <v>0.85333333333333339</v>
      </c>
      <c r="AG98" s="137">
        <f t="shared" si="155"/>
        <v>0</v>
      </c>
      <c r="AH98" s="136"/>
      <c r="AI98" s="132">
        <f t="shared" si="156"/>
        <v>1.3333333333333333</v>
      </c>
      <c r="AJ98" s="70">
        <f>(H98*2*AK98+J98*2*AK98)*L98/1000</f>
        <v>10.24</v>
      </c>
      <c r="AK98" s="50">
        <v>2</v>
      </c>
      <c r="AL98" s="69" t="str">
        <f>IF(AND(Q98&gt;0,A98&lt;3),"10",IF(AND(Q98&gt;0,A98&lt;10),"15",IF(AND(Q98&gt;0,A98&lt;20),"20",IF(AND(Q98&gt;0,A98&lt;500),"30",IF(AND(Q98=0,A98&lt;3),"2",IF(AND(Q98=0,A98&lt;10),"5",IF(AND(Q98=0,A98&lt;20),"10",IF(AND(Q98=0,A98&lt;500),"20","2"))))))))</f>
        <v>20</v>
      </c>
      <c r="AN98" s="66"/>
      <c r="AP98" s="146">
        <f>(VLOOKUP(F98,Terasehind!$A$2:$B$171,2,FALSE))</f>
        <v>0.92</v>
      </c>
      <c r="AQ98" s="50">
        <f>(VLOOKUP(F98,Terasehind!$A$2:$C$171,3,FALSE))</f>
        <v>1.1000000000000001</v>
      </c>
      <c r="AR98" s="138">
        <f>AP98*AQ98*B98</f>
        <v>58.723526400000011</v>
      </c>
      <c r="AT98" s="62"/>
      <c r="AU98" s="62"/>
      <c r="AV98" s="62"/>
      <c r="AW98" s="62"/>
      <c r="AX98" s="62"/>
      <c r="AY98" s="62"/>
      <c r="AZ98" s="77"/>
      <c r="BA98" s="188">
        <f t="shared" si="159"/>
        <v>0.34133333333333332</v>
      </c>
      <c r="BB98" s="283"/>
      <c r="BC98" s="62"/>
      <c r="BD98" s="284"/>
      <c r="BE98" s="131"/>
      <c r="BF98"/>
      <c r="BG98" s="57"/>
      <c r="BH98" s="57"/>
      <c r="BI98" s="57"/>
      <c r="BJ98" s="57"/>
      <c r="BK98" s="57"/>
      <c r="BL98" s="109"/>
      <c r="BM98" s="109"/>
      <c r="BN98" s="109"/>
      <c r="BO98" s="83"/>
      <c r="BQ98" s="83"/>
      <c r="BR98" s="83"/>
    </row>
    <row r="99" spans="1:70" s="50" customFormat="1" ht="14.95" x14ac:dyDescent="0.25">
      <c r="A99" s="116">
        <f t="shared" si="152"/>
        <v>174.2072</v>
      </c>
      <c r="B99" s="116">
        <f t="shared" si="153"/>
        <v>1393.6576</v>
      </c>
      <c r="C99" s="118"/>
      <c r="D99" s="117" t="s">
        <v>88</v>
      </c>
      <c r="E99" s="117"/>
      <c r="F99" s="355" t="s">
        <v>90</v>
      </c>
      <c r="G99" s="117" t="s">
        <v>83</v>
      </c>
      <c r="H99" s="119">
        <v>760</v>
      </c>
      <c r="I99" s="118" t="s">
        <v>77</v>
      </c>
      <c r="J99" s="119">
        <v>1168</v>
      </c>
      <c r="K99" s="119">
        <v>2</v>
      </c>
      <c r="L99" s="119">
        <f>K$99*L$95</f>
        <v>8</v>
      </c>
      <c r="M99" s="116">
        <f t="shared" si="154"/>
        <v>14.20288</v>
      </c>
      <c r="N99" s="118" t="s">
        <v>84</v>
      </c>
      <c r="P99" s="118"/>
      <c r="Q99" s="135">
        <v>24</v>
      </c>
      <c r="R99" s="118"/>
      <c r="S99" s="118"/>
      <c r="T99" s="118"/>
      <c r="U99" s="118"/>
      <c r="V99" s="118"/>
      <c r="W99" s="118"/>
      <c r="X99" s="118"/>
      <c r="Y99" s="118"/>
      <c r="Z99" s="118"/>
      <c r="AA99" s="118"/>
      <c r="AB99" s="118" t="s">
        <v>78</v>
      </c>
      <c r="AC99" s="136">
        <f>((((H99+J99)*2/1000)*L99*(5/(VLOOKUP(F99,[2]Plasmalõikus!$A$7:$E$46,2,FALSE)/1000*60)))+(Q99*L99*(5*(VLOOKUP(F99,[2]Plasmalõikus!$A$7:$E$48,3,FALSE))/60/60)))</f>
        <v>6.6361904761904764</v>
      </c>
      <c r="AD99" s="353"/>
      <c r="AE99" s="136"/>
      <c r="AF99" s="137">
        <f>(H99*2+J99*2)*10/60/1000*L99</f>
        <v>5.1413333333333329</v>
      </c>
      <c r="AG99" s="137">
        <f t="shared" si="155"/>
        <v>0</v>
      </c>
      <c r="AH99" s="136"/>
      <c r="AI99" s="132">
        <f t="shared" si="156"/>
        <v>4</v>
      </c>
      <c r="AJ99" s="70">
        <f>(H99*2*AK99+J99*2*AK99)*L99/1000</f>
        <v>61.695999999999998</v>
      </c>
      <c r="AK99" s="50">
        <v>2</v>
      </c>
      <c r="AL99" s="69" t="str">
        <f>IF(AND(Q99&gt;0,A99&lt;3),"10",IF(AND(Q99&gt;0,A99&lt;10),"15",IF(AND(Q99&gt;0,A99&lt;20),"20",IF(AND(Q99&gt;0,A99&lt;500),"30",IF(AND(Q99=0,A99&lt;3),"2",IF(AND(Q99=0,A99&lt;10),"5",IF(AND(Q99=0,A99&lt;20),"10",IF(AND(Q99=0,A99&lt;500),"20","2"))))))))</f>
        <v>30</v>
      </c>
      <c r="AN99" s="66"/>
      <c r="AP99" s="146">
        <f>(VLOOKUP(F99,Terasehind!$A$2:$B$171,2,FALSE))</f>
        <v>0.92</v>
      </c>
      <c r="AQ99" s="50">
        <f>(VLOOKUP(F99,Terasehind!$A$2:$C$171,3,FALSE))</f>
        <v>1.1000000000000001</v>
      </c>
      <c r="AR99" s="138">
        <f>AP99*AQ99*B99</f>
        <v>1410.3814912000003</v>
      </c>
      <c r="AT99" s="62"/>
      <c r="AU99" s="62"/>
      <c r="AV99" s="62"/>
      <c r="AW99" s="62"/>
      <c r="AX99" s="62"/>
      <c r="AY99" s="62"/>
      <c r="AZ99" s="77"/>
      <c r="BA99" s="188">
        <f t="shared" si="159"/>
        <v>2.0565333333333333</v>
      </c>
      <c r="BB99" s="283"/>
      <c r="BC99" s="62"/>
      <c r="BD99" s="284"/>
      <c r="BE99" s="131"/>
      <c r="BF99"/>
      <c r="BG99" s="57"/>
      <c r="BH99" s="57"/>
      <c r="BI99" s="57"/>
      <c r="BJ99" s="57"/>
      <c r="BK99" s="57"/>
      <c r="BL99" s="109"/>
      <c r="BM99" s="109"/>
      <c r="BN99" s="109"/>
      <c r="BO99" s="83"/>
      <c r="BQ99" s="83"/>
      <c r="BR99" s="83"/>
    </row>
    <row r="100" spans="1:70" s="50" customFormat="1" ht="14.95" x14ac:dyDescent="0.25">
      <c r="A100" s="116">
        <f t="shared" ref="A100" si="160">H100*J100*(RIGHT(F100,2))*7.85/(10^6)</f>
        <v>7.359375</v>
      </c>
      <c r="B100" s="116">
        <f t="shared" ref="B100" si="161">A100*L100</f>
        <v>117.75</v>
      </c>
      <c r="C100" s="118" t="s">
        <v>93</v>
      </c>
      <c r="D100" s="117" t="s">
        <v>340</v>
      </c>
      <c r="E100" s="117"/>
      <c r="F100" s="355" t="s">
        <v>87</v>
      </c>
      <c r="G100" s="117" t="s">
        <v>83</v>
      </c>
      <c r="H100" s="119">
        <v>250</v>
      </c>
      <c r="I100" s="118" t="s">
        <v>77</v>
      </c>
      <c r="J100" s="119">
        <v>250</v>
      </c>
      <c r="K100" s="119">
        <v>4</v>
      </c>
      <c r="L100" s="119">
        <f>K$100*L$95</f>
        <v>16</v>
      </c>
      <c r="M100" s="116">
        <f t="shared" ref="M100" si="162">2*H100*J100/10^6*L100</f>
        <v>2</v>
      </c>
      <c r="N100" s="118" t="s">
        <v>84</v>
      </c>
      <c r="P100" s="118"/>
      <c r="Q100" s="135"/>
      <c r="R100" s="118"/>
      <c r="S100" s="118"/>
      <c r="T100" s="118"/>
      <c r="U100" s="118"/>
      <c r="V100" s="118"/>
      <c r="W100" s="118"/>
      <c r="X100" s="118"/>
      <c r="Y100" s="118"/>
      <c r="Z100" s="118"/>
      <c r="AA100" s="118"/>
      <c r="AB100" s="118" t="s">
        <v>78</v>
      </c>
      <c r="AC100" s="136">
        <f>((((H100+J100)*2/1000)*L100*(5/(VLOOKUP(F100,[2]Plasmalõikus!$A$7:$E$46,2,FALSE)/1000*60)))+(Q100*L100*(5*(VLOOKUP(F100,[2]Plasmalõikus!$A$7:$E$48,3,FALSE))/60/60)))</f>
        <v>0.7407407407407407</v>
      </c>
      <c r="AD100" s="353"/>
      <c r="AE100" s="136"/>
      <c r="AF100" s="137">
        <f>(H100*2+J100*2)*20/60/1000*L100</f>
        <v>5.333333333333333</v>
      </c>
      <c r="AG100" s="137">
        <f>IF(VALUE(MID(F100,SEARCH(" ",F100)+1,LEN(F100)))&lt;35,0,IF(VALUE(MID(F100,SEARCH(" ",F100)+1,LEN(F100)))&lt;40,3,IF(VALUE(MID(F100,SEARCH(" ",F100)+1,LEN(F100)))&lt;50,4,IF(VALUE(MID(F100,SEARCH(" ",F100)+1,LEN(F100)))&lt;60,5,IF(VALUE(MID(F100,SEARCH(" ",F100)+1,LEN(F100)))&lt;70,6,IF(VALUE(MID(F100,SEARCH(" ",F100)+1,LEN(F100)))&lt;80,7,IF(VALUE(MID(F100,SEARCH(" ",F100)+1,LEN(F100)))&lt;90,8,IF(VALUE(MID(F100,SEARCH(" ",F100)+1,LEN(F100)))&lt;100,9,10))))))))/60*Q100*L100</f>
        <v>0</v>
      </c>
      <c r="AH100" s="136"/>
      <c r="AI100" s="132">
        <f t="shared" ref="AI100" si="163">AL100*L100/60</f>
        <v>1.3333333333333333</v>
      </c>
      <c r="AJ100" s="70">
        <f>(J100*2*AK100+H100*2*AK100)*L100/1000</f>
        <v>32</v>
      </c>
      <c r="AK100" s="50">
        <v>2</v>
      </c>
      <c r="AL100" s="69" t="str">
        <f>IF(AND(Q100&gt;0,A100&lt;3),"10",IF(AND(Q100&gt;0,A100&lt;10),"15",IF(AND(Q100&gt;0,A100&lt;20),"20",IF(AND(Q100&gt;0,A100&lt;500),"30",IF(AND(Q100=0,A100&lt;3),"2",IF(AND(Q100=0,A100&lt;10),"5",IF(AND(Q100=0,A100&lt;20),"10",IF(AND(Q100=0,A100&lt;500),"20","2"))))))))</f>
        <v>5</v>
      </c>
      <c r="AN100" s="66"/>
      <c r="AP100" s="146">
        <f>(VLOOKUP(F100,Terasehind!$A$2:$B$171,2,FALSE))</f>
        <v>0.92</v>
      </c>
      <c r="AQ100" s="50">
        <f>(VLOOKUP(F100,Terasehind!$A$2:$C$171,3,FALSE))</f>
        <v>1.1000000000000001</v>
      </c>
      <c r="AR100" s="138">
        <f t="shared" ref="AR100" si="164">AP100*AQ100*B100</f>
        <v>119.16300000000003</v>
      </c>
      <c r="AT100" s="62"/>
      <c r="AU100" s="62"/>
      <c r="AV100" s="62"/>
      <c r="AW100" s="62"/>
      <c r="AX100" s="62"/>
      <c r="AY100" s="62"/>
      <c r="AZ100" s="77"/>
      <c r="BA100" s="188">
        <f t="shared" ref="BA100" si="165">(H100*2+J100*2)*2*2/60/1000*L100</f>
        <v>1.0666666666666667</v>
      </c>
      <c r="BB100" s="283"/>
      <c r="BC100" s="62"/>
      <c r="BD100" s="284"/>
      <c r="BE100" s="131"/>
      <c r="BF100"/>
      <c r="BG100" s="57"/>
      <c r="BH100" s="57"/>
      <c r="BI100" s="57"/>
      <c r="BJ100" s="57"/>
      <c r="BK100" s="57"/>
      <c r="BL100" s="109"/>
      <c r="BM100" s="109"/>
      <c r="BN100" s="109"/>
      <c r="BO100" s="83"/>
      <c r="BQ100" s="83"/>
      <c r="BR100" s="83"/>
    </row>
    <row r="101" spans="1:70" s="50" customFormat="1" ht="14.95" x14ac:dyDescent="0.25">
      <c r="A101" s="116">
        <f t="shared" si="152"/>
        <v>22.225312500000001</v>
      </c>
      <c r="B101" s="116">
        <f t="shared" si="153"/>
        <v>355.60500000000002</v>
      </c>
      <c r="C101" s="118" t="s">
        <v>93</v>
      </c>
      <c r="D101" s="117" t="s">
        <v>340</v>
      </c>
      <c r="E101" s="117"/>
      <c r="F101" s="355" t="s">
        <v>89</v>
      </c>
      <c r="G101" s="117" t="s">
        <v>83</v>
      </c>
      <c r="H101" s="119">
        <v>125</v>
      </c>
      <c r="I101" s="118" t="s">
        <v>77</v>
      </c>
      <c r="J101" s="119">
        <v>755</v>
      </c>
      <c r="K101" s="119">
        <v>4</v>
      </c>
      <c r="L101" s="119">
        <f>K$101*L$95</f>
        <v>16</v>
      </c>
      <c r="M101" s="116">
        <f t="shared" si="154"/>
        <v>3.02</v>
      </c>
      <c r="N101" s="118" t="s">
        <v>84</v>
      </c>
      <c r="P101" s="118"/>
      <c r="Q101" s="135"/>
      <c r="R101" s="118"/>
      <c r="S101" s="118"/>
      <c r="T101" s="118"/>
      <c r="U101" s="118"/>
      <c r="V101" s="118"/>
      <c r="W101" s="118"/>
      <c r="X101" s="118"/>
      <c r="Y101" s="118"/>
      <c r="Z101" s="118"/>
      <c r="AA101" s="118"/>
      <c r="AB101" s="118" t="s">
        <v>78</v>
      </c>
      <c r="AC101" s="136">
        <f>((((H101+J101)*2/1000)*L101*(5/(VLOOKUP(F101,[2]Plasmalõikus!$A$7:$E$46,2,FALSE)/1000*60)))+(Q101*L101*(5*(VLOOKUP(F101,[2]Plasmalõikus!$A$7:$E$48,3,FALSE))/60/60)))</f>
        <v>1.9555555555555557</v>
      </c>
      <c r="AD101" s="353"/>
      <c r="AE101" s="136"/>
      <c r="AF101" s="137">
        <f>(H101*2+J101*2)*20/60/1000*L101</f>
        <v>9.3866666666666667</v>
      </c>
      <c r="AG101" s="137">
        <f>IF(VALUE(MID(F101,SEARCH(" ",F101)+1,LEN(F101)))&lt;35,0,IF(VALUE(MID(F101,SEARCH(" ",F101)+1,LEN(F101)))&lt;40,3,IF(VALUE(MID(F101,SEARCH(" ",F101)+1,LEN(F101)))&lt;50,4,IF(VALUE(MID(F101,SEARCH(" ",F101)+1,LEN(F101)))&lt;60,5,IF(VALUE(MID(F101,SEARCH(" ",F101)+1,LEN(F101)))&lt;70,6,IF(VALUE(MID(F101,SEARCH(" ",F101)+1,LEN(F101)))&lt;80,7,IF(VALUE(MID(F101,SEARCH(" ",F101)+1,LEN(F101)))&lt;90,8,IF(VALUE(MID(F101,SEARCH(" ",F101)+1,LEN(F101)))&lt;100,9,10))))))))/60*Q101*L101</f>
        <v>0</v>
      </c>
      <c r="AH101" s="136"/>
      <c r="AI101" s="132">
        <f t="shared" si="156"/>
        <v>5.333333333333333</v>
      </c>
      <c r="AJ101" s="70">
        <f>(H101*2*AK101+J101*2*AK101)*L101/1000</f>
        <v>56.32</v>
      </c>
      <c r="AK101" s="50">
        <v>2</v>
      </c>
      <c r="AL101" s="69" t="str">
        <f>IF(AND(Q101&gt;0,A101&lt;3),"10",IF(AND(Q101&gt;0,A101&lt;10),"15",IF(AND(Q101&gt;0,A101&lt;20),"20",IF(AND(Q101&gt;0,A101&lt;500),"30",IF(AND(Q101=0,A101&lt;3),"2",IF(AND(Q101=0,A101&lt;10),"5",IF(AND(Q101=0,A101&lt;20),"10",IF(AND(Q101=0,A101&lt;500),"20","2"))))))))</f>
        <v>20</v>
      </c>
      <c r="AN101" s="66"/>
      <c r="AP101" s="146">
        <f>(VLOOKUP(F101,Terasehind!$A$2:$B$171,2,FALSE))</f>
        <v>0.92</v>
      </c>
      <c r="AQ101" s="50">
        <f>(VLOOKUP(F101,Terasehind!$A$2:$C$171,3,FALSE))</f>
        <v>1.1000000000000001</v>
      </c>
      <c r="AR101" s="138">
        <f t="shared" ref="AR101:AR102" si="166">AP101*AQ101*B101</f>
        <v>359.8722600000001</v>
      </c>
      <c r="AT101" s="62"/>
      <c r="AU101" s="62"/>
      <c r="AV101" s="62"/>
      <c r="AW101" s="62"/>
      <c r="AX101" s="62"/>
      <c r="AY101" s="62"/>
      <c r="AZ101" s="77"/>
      <c r="BA101" s="188">
        <f t="shared" si="159"/>
        <v>1.8773333333333333</v>
      </c>
      <c r="BB101" s="283"/>
      <c r="BC101" s="62"/>
      <c r="BD101" s="284"/>
      <c r="BE101" s="131"/>
      <c r="BF101"/>
      <c r="BG101" s="57"/>
      <c r="BH101" s="57"/>
      <c r="BI101" s="57"/>
      <c r="BJ101" s="57"/>
      <c r="BK101" s="57"/>
      <c r="BL101" s="109"/>
      <c r="BM101" s="109"/>
      <c r="BN101" s="109"/>
      <c r="BO101" s="83"/>
      <c r="BQ101" s="83"/>
      <c r="BR101" s="83"/>
    </row>
    <row r="102" spans="1:70" s="50" customFormat="1" ht="14.95" x14ac:dyDescent="0.25">
      <c r="A102" s="116">
        <f xml:space="preserve"> 30.1*J102/10^3</f>
        <v>159.53</v>
      </c>
      <c r="B102" s="116">
        <f>A102*L102</f>
        <v>638.12</v>
      </c>
      <c r="C102" s="295"/>
      <c r="D102" s="117" t="s">
        <v>343</v>
      </c>
      <c r="E102" s="117"/>
      <c r="F102" s="355" t="s">
        <v>458</v>
      </c>
      <c r="G102" s="140" t="s">
        <v>79</v>
      </c>
      <c r="H102" s="119">
        <v>200</v>
      </c>
      <c r="I102" s="118" t="s">
        <v>77</v>
      </c>
      <c r="J102" s="119">
        <v>5300</v>
      </c>
      <c r="K102" s="119">
        <v>1</v>
      </c>
      <c r="L102" s="119">
        <f>K$102*L$95</f>
        <v>4</v>
      </c>
      <c r="M102" s="131">
        <f xml:space="preserve"> 0.783*J102*L102/10^3</f>
        <v>16.599600000000002</v>
      </c>
      <c r="N102" s="118"/>
      <c r="O102" s="118"/>
      <c r="P102" s="118" t="s">
        <v>78</v>
      </c>
      <c r="Q102" s="135"/>
      <c r="R102" s="118"/>
      <c r="S102" s="118"/>
      <c r="T102" s="118"/>
      <c r="U102" s="118"/>
      <c r="V102" s="118"/>
      <c r="W102" s="118"/>
      <c r="Y102" s="118"/>
      <c r="Z102" s="118"/>
      <c r="AA102" s="118"/>
      <c r="AB102" s="118" t="s">
        <v>78</v>
      </c>
      <c r="AC102" s="116"/>
      <c r="AD102" s="83"/>
      <c r="AE102" s="136">
        <f t="shared" ref="AE102" si="167">(H102/20/60)*2*L102</f>
        <v>1.3333333333333333</v>
      </c>
      <c r="AF102" s="137"/>
      <c r="AG102" s="132">
        <f>Q102*L102*0.5/60</f>
        <v>0</v>
      </c>
      <c r="AH102" s="83"/>
      <c r="AI102" s="132">
        <f t="shared" si="156"/>
        <v>1.3333333333333333</v>
      </c>
      <c r="AJ102" s="70">
        <f>(J102*2*AK102)*1/2*L102/1000+(H102*4*AK102)*2*L102/1000</f>
        <v>55.2</v>
      </c>
      <c r="AK102" s="50">
        <f>(VLOOKUP(F102,[2]Koostamine!$A$12:$P$1612,7,FALSE))</f>
        <v>2</v>
      </c>
      <c r="AL102" s="69">
        <f>VLOOKUP(F102,[2]Koostamine!$A$12:$P$1612,IF(J102&lt;1499,11,IF(J102&lt;2999,12,IF(J102&lt;5999,13,IF(J102&lt;9999,14,IF(J102&lt;12999,15,IF(J102&gt;13000,16)))))),FALSE)</f>
        <v>20</v>
      </c>
      <c r="AP102" s="146">
        <f>(VLOOKUP(F102,Terasehind!$A$2:$B$171,2,FALSE))</f>
        <v>0.94</v>
      </c>
      <c r="AQ102" s="50">
        <f>(VLOOKUP(F102,Terasehind!$A$2:$C$171,3,FALSE))</f>
        <v>1.1000000000000001</v>
      </c>
      <c r="AR102" s="138">
        <f t="shared" si="166"/>
        <v>659.81608000000006</v>
      </c>
      <c r="AT102" s="60"/>
      <c r="AU102" s="77"/>
      <c r="AV102" s="77"/>
      <c r="AW102" s="77"/>
      <c r="AX102" s="121"/>
      <c r="AY102" s="77"/>
      <c r="AZ102" s="77"/>
      <c r="BA102" s="188">
        <f>(H102*6*2+J102*8)*2/60/1000*L102</f>
        <v>5.9733333333333327</v>
      </c>
      <c r="BB102" s="283"/>
      <c r="BC102" s="62"/>
      <c r="BD102" s="284"/>
      <c r="BE102" s="131"/>
      <c r="BF102"/>
      <c r="BG102" s="57"/>
      <c r="BH102" s="57"/>
      <c r="BI102" s="57"/>
      <c r="BJ102" s="57"/>
      <c r="BK102" s="57"/>
      <c r="BL102" s="60"/>
      <c r="BM102" s="57"/>
      <c r="BN102" s="60"/>
      <c r="BO102" s="83"/>
      <c r="BQ102" s="109"/>
    </row>
    <row r="103" spans="1:70" s="50" customFormat="1" ht="14.95" x14ac:dyDescent="0.25">
      <c r="A103" s="116">
        <f t="shared" ref="A103:A104" si="168">H103*J103*(RIGHT(F103,2))*7.85/(10^6)</f>
        <v>1.57</v>
      </c>
      <c r="B103" s="116">
        <f t="shared" ref="B103:B104" si="169">A103*L103</f>
        <v>12.56</v>
      </c>
      <c r="C103" s="118" t="s">
        <v>346</v>
      </c>
      <c r="D103" s="117" t="s">
        <v>344</v>
      </c>
      <c r="E103" s="117"/>
      <c r="F103" s="355" t="s">
        <v>324</v>
      </c>
      <c r="G103" s="117" t="s">
        <v>83</v>
      </c>
      <c r="H103" s="119">
        <v>200</v>
      </c>
      <c r="I103" s="118" t="s">
        <v>77</v>
      </c>
      <c r="J103" s="119">
        <v>200</v>
      </c>
      <c r="K103" s="119">
        <v>2</v>
      </c>
      <c r="L103" s="119">
        <f>K$103*L$95</f>
        <v>8</v>
      </c>
      <c r="M103" s="116">
        <f t="shared" ref="M103:M104" si="170">2*H103*J103/10^6*L103</f>
        <v>0.64</v>
      </c>
      <c r="N103" s="118" t="s">
        <v>84</v>
      </c>
      <c r="P103" s="118"/>
      <c r="Q103" s="135"/>
      <c r="R103" s="118"/>
      <c r="S103" s="118"/>
      <c r="T103" s="118"/>
      <c r="U103" s="118"/>
      <c r="V103" s="118"/>
      <c r="W103" s="118"/>
      <c r="X103" s="118"/>
      <c r="Y103" s="118"/>
      <c r="Z103" s="118"/>
      <c r="AA103" s="118"/>
      <c r="AB103" s="118" t="s">
        <v>78</v>
      </c>
      <c r="AC103" s="136">
        <f>((((H103+J103)*2/1000)*L103*(5/(VLOOKUP(F103,[2]Plasmalõikus!$A$7:$E$46,2,FALSE)/1000*60)))+(Q103*L103*(5*(VLOOKUP(F103,[2]Plasmalõikus!$A$7:$E$48,3,FALSE))/60/60)))</f>
        <v>0.14814814814814814</v>
      </c>
      <c r="AD103" s="353"/>
      <c r="AE103" s="136"/>
      <c r="AF103" s="137"/>
      <c r="AG103" s="137">
        <f t="shared" ref="AG103" si="171">IF(VALUE(MID(F103,SEARCH(" ",F103)+1,LEN(F103)))&lt;35,0,IF(VALUE(MID(F103,SEARCH(" ",F103)+1,LEN(F103)))&lt;40,3,IF(VALUE(MID(F103,SEARCH(" ",F103)+1,LEN(F103)))&lt;50,4,IF(VALUE(MID(F103,SEARCH(" ",F103)+1,LEN(F103)))&lt;60,5,IF(VALUE(MID(F103,SEARCH(" ",F103)+1,LEN(F103)))&lt;70,6,IF(VALUE(MID(F103,SEARCH(" ",F103)+1,LEN(F103)))&lt;80,7,IF(VALUE(MID(F103,SEARCH(" ",F103)+1,LEN(F103)))&lt;90,8,IF(VALUE(MID(F103,SEARCH(" ",F103)+1,LEN(F103)))&lt;100,9,10))))))))/60*Q103*L103</f>
        <v>0</v>
      </c>
      <c r="AH103" s="136"/>
      <c r="AI103" s="132">
        <f t="shared" si="156"/>
        <v>0.26666666666666666</v>
      </c>
      <c r="AJ103" s="70"/>
      <c r="AK103" s="50">
        <v>3</v>
      </c>
      <c r="AL103" s="69" t="str">
        <f>IF(AND(Q103&gt;0,A103&lt;3),"10",IF(AND(Q103&gt;0,A103&lt;10),"15",IF(AND(Q103&gt;0,A103&lt;20),"20",IF(AND(Q103&gt;0,A103&lt;500),"30",IF(AND(Q103=0,A103&lt;3),"2",IF(AND(Q103=0,A103&lt;10),"5",IF(AND(Q103=0,A103&lt;20),"10",IF(AND(Q103=0,A103&lt;500),"20","2"))))))))</f>
        <v>2</v>
      </c>
      <c r="AN103" s="66"/>
      <c r="AP103" s="146">
        <f>(VLOOKUP(F103,Terasehind!$A$2:$B$171,2,FALSE))</f>
        <v>0.92</v>
      </c>
      <c r="AQ103" s="50">
        <f>(VLOOKUP(F103,Terasehind!$A$2:$C$171,3,FALSE))</f>
        <v>1.1000000000000001</v>
      </c>
      <c r="AR103" s="138">
        <f>AP103*AQ103*B103</f>
        <v>12.710720000000004</v>
      </c>
      <c r="AT103" s="62"/>
      <c r="AU103" s="62"/>
      <c r="AV103" s="62"/>
      <c r="AW103" s="62"/>
      <c r="AX103" s="62"/>
      <c r="AY103" s="62"/>
      <c r="AZ103" s="77"/>
      <c r="BA103" s="188">
        <f t="shared" ref="BA103:BA104" si="172">(H103*2+J103*2)*2*2/60/1000*L103</f>
        <v>0.42666666666666669</v>
      </c>
      <c r="BB103" s="283"/>
      <c r="BC103" s="62"/>
      <c r="BD103" s="284"/>
      <c r="BE103" s="131"/>
      <c r="BF103"/>
      <c r="BG103" s="57"/>
      <c r="BH103" s="57"/>
      <c r="BI103" s="57"/>
      <c r="BJ103" s="57"/>
      <c r="BK103" s="57"/>
      <c r="BL103" s="109"/>
      <c r="BM103" s="109"/>
      <c r="BN103" s="109"/>
      <c r="BO103" s="83"/>
      <c r="BQ103" s="83"/>
      <c r="BR103" s="83"/>
    </row>
    <row r="104" spans="1:70" s="50" customFormat="1" ht="14.95" x14ac:dyDescent="0.25">
      <c r="A104" s="116">
        <f t="shared" si="168"/>
        <v>4.5137499999999999</v>
      </c>
      <c r="B104" s="116">
        <f t="shared" si="169"/>
        <v>72.22</v>
      </c>
      <c r="C104" s="118" t="s">
        <v>471</v>
      </c>
      <c r="D104" s="117" t="s">
        <v>342</v>
      </c>
      <c r="E104" s="117"/>
      <c r="F104" s="355" t="s">
        <v>82</v>
      </c>
      <c r="G104" s="117" t="s">
        <v>83</v>
      </c>
      <c r="H104" s="119">
        <v>230</v>
      </c>
      <c r="I104" s="118" t="s">
        <v>77</v>
      </c>
      <c r="J104" s="119">
        <v>250</v>
      </c>
      <c r="K104" s="119">
        <v>4</v>
      </c>
      <c r="L104" s="119">
        <f>K$104*L$95</f>
        <v>16</v>
      </c>
      <c r="M104" s="116">
        <f t="shared" si="170"/>
        <v>1.84</v>
      </c>
      <c r="N104" s="118" t="s">
        <v>84</v>
      </c>
      <c r="P104" s="118"/>
      <c r="Q104" s="135">
        <v>4</v>
      </c>
      <c r="R104" s="118"/>
      <c r="S104" s="118"/>
      <c r="T104" s="118"/>
      <c r="U104" s="118"/>
      <c r="V104" s="118"/>
      <c r="W104" s="118"/>
      <c r="X104" s="118"/>
      <c r="Y104" s="118"/>
      <c r="Z104" s="118"/>
      <c r="AA104" s="118"/>
      <c r="AB104" s="118" t="s">
        <v>78</v>
      </c>
      <c r="AC104" s="136">
        <f>((((H104+J104)*2/1000)*L104*(5/(VLOOKUP(F104,[2]Plasmalõikus!$A$7:$E$46,2,FALSE)/1000*60)))+(Q104*L104*(5*(VLOOKUP(F104,[2]Plasmalõikus!$A$7:$E$48,3,FALSE))/60/60)))</f>
        <v>1.223111111111111</v>
      </c>
      <c r="AD104" s="353"/>
      <c r="AE104" s="136"/>
      <c r="AF104" s="137">
        <f>(H104*2+J104*2)*20/60/1000*L104</f>
        <v>5.12</v>
      </c>
      <c r="AG104" s="137">
        <f>IF(VALUE(MID(F104,SEARCH(" ",F104)+1,LEN(F104)))&lt;35,0,IF(VALUE(MID(F104,SEARCH(" ",F104)+1,LEN(F104)))&lt;40,3,IF(VALUE(MID(F104,SEARCH(" ",F104)+1,LEN(F104)))&lt;50,4,IF(VALUE(MID(F104,SEARCH(" ",F104)+1,LEN(F104)))&lt;60,5,IF(VALUE(MID(F104,SEARCH(" ",F104)+1,LEN(F104)))&lt;70,6,IF(VALUE(MID(F104,SEARCH(" ",F104)+1,LEN(F104)))&lt;80,7,IF(VALUE(MID(F104,SEARCH(" ",F104)+1,LEN(F104)))&lt;90,8,IF(VALUE(MID(F104,SEARCH(" ",F104)+1,LEN(F104)))&lt;100,9,10))))))))/60*Q104*L104</f>
        <v>0</v>
      </c>
      <c r="AH104" s="136"/>
      <c r="AI104" s="132">
        <f t="shared" si="156"/>
        <v>4</v>
      </c>
      <c r="AJ104" s="70">
        <f>(J104*2*AK104)*L104/1000</f>
        <v>8</v>
      </c>
      <c r="AK104" s="50">
        <v>1</v>
      </c>
      <c r="AL104" s="69" t="str">
        <f>IF(AND(Q104&gt;0,A104&lt;3),"10",IF(AND(Q104&gt;0,A104&lt;10),"15",IF(AND(Q104&gt;0,A104&lt;20),"20",IF(AND(Q104&gt;0,A104&lt;500),"30",IF(AND(Q104=0,A104&lt;3),"2",IF(AND(Q104=0,A104&lt;10),"5",IF(AND(Q104=0,A104&lt;20),"10",IF(AND(Q104=0,A104&lt;500),"20","2"))))))))</f>
        <v>15</v>
      </c>
      <c r="AN104" s="66"/>
      <c r="AP104" s="146">
        <f>(VLOOKUP(F104,Terasehind!$A$2:$B$171,2,FALSE))</f>
        <v>0.92</v>
      </c>
      <c r="AQ104" s="50">
        <f>(VLOOKUP(F104,Terasehind!$A$2:$C$171,3,FALSE))</f>
        <v>1.1000000000000001</v>
      </c>
      <c r="AR104" s="138">
        <f t="shared" ref="AR104" si="173">AP104*AQ104*B104</f>
        <v>73.086640000000017</v>
      </c>
      <c r="AT104" s="62"/>
      <c r="AU104" s="62"/>
      <c r="AV104" s="62"/>
      <c r="AW104" s="62"/>
      <c r="AX104" s="62"/>
      <c r="AY104" s="62"/>
      <c r="AZ104" s="77"/>
      <c r="BA104" s="188">
        <f t="shared" si="172"/>
        <v>1.024</v>
      </c>
      <c r="BB104" s="283"/>
      <c r="BC104" s="62"/>
      <c r="BD104" s="284"/>
      <c r="BE104" s="131"/>
      <c r="BF104"/>
      <c r="BG104" s="57"/>
      <c r="BH104" s="57"/>
      <c r="BI104" s="57"/>
      <c r="BJ104" s="57"/>
      <c r="BK104" s="57"/>
      <c r="BL104" s="109"/>
      <c r="BM104" s="109"/>
      <c r="BN104" s="109"/>
      <c r="BO104" s="83"/>
      <c r="BQ104" s="83"/>
      <c r="BR104" s="83"/>
    </row>
    <row r="105" spans="1:70" customFormat="1" ht="14.95" x14ac:dyDescent="0.25">
      <c r="AD105" s="328" t="s">
        <v>393</v>
      </c>
    </row>
    <row r="106" spans="1:70" s="50" customFormat="1" ht="14.95" x14ac:dyDescent="0.25">
      <c r="A106" s="148">
        <f>B106/L106</f>
        <v>2622.7713875000004</v>
      </c>
      <c r="B106" s="285">
        <f>SUM(B122,B121,B120,B119,B118,B117,B116,B115,B114,B113,B112,B111,B110,B109,B108,B107,0)</f>
        <v>15736.628325000001</v>
      </c>
      <c r="C106" s="286">
        <f>(SUM(B109:B110)/B106)</f>
        <v>3.8430341462614412E-2</v>
      </c>
      <c r="D106" s="149" t="s">
        <v>76</v>
      </c>
      <c r="E106" s="149"/>
      <c r="F106" s="357" t="s">
        <v>473</v>
      </c>
      <c r="G106" s="177" t="str">
        <f>$G$16</f>
        <v>C3VH</v>
      </c>
      <c r="H106" s="150">
        <v>160</v>
      </c>
      <c r="I106" s="151" t="s">
        <v>77</v>
      </c>
      <c r="J106" s="150">
        <f>J107</f>
        <v>7120</v>
      </c>
      <c r="K106" s="134">
        <v>6</v>
      </c>
      <c r="L106" s="150">
        <f>$L$16*$K$106</f>
        <v>6</v>
      </c>
      <c r="M106" s="148">
        <f>SUM(M122,M121,M120,M119,M118,M117,M116,M115,M114,M113,M112,M111,M110,M109,M108,M107,0)</f>
        <v>65.186699999999988</v>
      </c>
      <c r="N106" s="151"/>
      <c r="O106" s="151"/>
      <c r="P106" s="151"/>
      <c r="Q106" s="151"/>
      <c r="R106" s="120"/>
      <c r="S106" s="120"/>
      <c r="T106" s="120"/>
      <c r="U106" s="120"/>
      <c r="V106" s="120"/>
      <c r="W106" s="118"/>
      <c r="X106" s="118" t="s">
        <v>78</v>
      </c>
      <c r="Y106" s="151">
        <v>4</v>
      </c>
      <c r="Z106" s="151"/>
      <c r="AA106" s="151"/>
      <c r="AB106" s="151"/>
      <c r="AC106" s="148">
        <f>SUM(AC122,AC121,AC120,AC119,AC118,AC117,AC116,AC115,AC114,AC113,AC112,AC111,AC110,AC109,AC108,AC107,0)</f>
        <v>53.619305555555556</v>
      </c>
      <c r="AD106" s="148">
        <f>SUM(AD122,AD121,AD120,AD119,AD118,AD117,AD116,AD115,AD114,AD113,AD112,AD111,AD110,AD109,AD108,AD107,0)</f>
        <v>0</v>
      </c>
      <c r="AE106" s="148">
        <f>SUM(AE122,AE121,AE120,AE119,AE118,AE117,AE116,AE115,AE114,AE113,AE112,AE111,AE110,AE109,AE108,AE107,0)</f>
        <v>19.900000000000002</v>
      </c>
      <c r="AF106" s="148">
        <f>SUM(AF122,AF121,AF120,AF119,AF118,AF117,AF116,AF115,AF114,AF113,AF112,AF111,AF110,AF109,AF108,AF107,0)</f>
        <v>21.24</v>
      </c>
      <c r="AG106" s="148">
        <f>SUM(AG122,AG121,AG120,AG119,AG118,AG117,AG116,AG115,AG114,AG113,AG112,AG111,AG110,AG109,AG108,AG107,0)</f>
        <v>19.200000000000003</v>
      </c>
      <c r="AH106" s="107">
        <f>SUM(AC106:AG106)</f>
        <v>113.95930555555556</v>
      </c>
      <c r="AI106" s="107">
        <f>SUM(AI122,AI121,AI120,AI119,AI118,AI117,AI116,AI115,AI114,AI113,AI112,AI111,AI110,AI109,AI108,AI107,0)</f>
        <v>53.9</v>
      </c>
      <c r="AJ106" s="148">
        <f>SUM(AJ122,AJ121,AJ120,AJ119,AJ118,AJ117,AJ116,AJ115,AJ114,AJ113,AJ112,AJ111,AJ110,AJ109,AJ108,AJ107,0)</f>
        <v>2796.18</v>
      </c>
      <c r="AK106" s="107">
        <f>AJ106*10/60</f>
        <v>466.03</v>
      </c>
      <c r="AL106" s="148">
        <f>AH106+AI106+AK106</f>
        <v>633.88930555555555</v>
      </c>
      <c r="AM106" s="288">
        <f>B106/AL106</f>
        <v>24.825514781651108</v>
      </c>
      <c r="AN106" s="148">
        <f>AL106*46</f>
        <v>29158.908055555556</v>
      </c>
      <c r="AO106" s="148">
        <f>AN106/B106</f>
        <v>1.8529323723832407</v>
      </c>
      <c r="AP106" s="148">
        <f>AR106/B106</f>
        <v>1.123353914485999</v>
      </c>
      <c r="AQ106" s="67"/>
      <c r="AR106" s="148">
        <f>SUM(AR122,AR121,AR120,AR119,AR118,AR117,AR116,AR115,AR114,AR113,AR112,AR111,AR110,AR109,AR108,AR107,0)</f>
        <v>17677.8030297</v>
      </c>
      <c r="AT106" s="62"/>
      <c r="AU106" s="62"/>
      <c r="AV106" s="62"/>
      <c r="AW106" s="62"/>
      <c r="AX106" s="62"/>
      <c r="AY106" s="62"/>
      <c r="AZ106" s="77"/>
      <c r="BA106" s="148">
        <f>SUM(BA122,BA121,BA120,BA119,BA118,BA117,BA116,BA115,BA114,BA113,BA112,BA111,BA110,BA109,BA108,BA107,0)</f>
        <v>37.548000000000002</v>
      </c>
      <c r="BB106" s="283"/>
      <c r="BC106" s="62"/>
      <c r="BD106" s="289"/>
      <c r="BF106" s="19"/>
      <c r="BG106" s="57"/>
      <c r="BH106" s="57"/>
      <c r="BI106" s="57"/>
      <c r="BJ106" s="57"/>
      <c r="BK106" s="60"/>
    </row>
    <row r="107" spans="1:70" s="50" customFormat="1" ht="14.95" x14ac:dyDescent="0.25">
      <c r="A107" s="116">
        <f t="shared" ref="A107:A110" si="174">H107*J107*(RIGHT(F107,2))*7.85/(10^6)</f>
        <v>335.35199999999998</v>
      </c>
      <c r="B107" s="116">
        <f t="shared" ref="B107:B110" si="175">A107*L107</f>
        <v>4024.2239999999997</v>
      </c>
      <c r="C107" s="118" t="s">
        <v>345</v>
      </c>
      <c r="D107" s="117" t="s">
        <v>76</v>
      </c>
      <c r="E107" s="363"/>
      <c r="F107" s="355" t="s">
        <v>86</v>
      </c>
      <c r="G107" s="117" t="s">
        <v>83</v>
      </c>
      <c r="H107" s="119">
        <v>300</v>
      </c>
      <c r="I107" s="118" t="s">
        <v>77</v>
      </c>
      <c r="J107" s="119">
        <v>7120</v>
      </c>
      <c r="K107" s="119">
        <v>2</v>
      </c>
      <c r="L107" s="119">
        <f>K$107*L$106</f>
        <v>12</v>
      </c>
      <c r="M107" s="116">
        <f>2*H107*J107/10^6*L107*0</f>
        <v>0</v>
      </c>
      <c r="N107" s="118" t="s">
        <v>84</v>
      </c>
      <c r="O107" s="364"/>
      <c r="P107" s="118"/>
      <c r="Q107" s="294">
        <v>40</v>
      </c>
      <c r="R107" s="118"/>
      <c r="S107" s="118"/>
      <c r="T107" s="118"/>
      <c r="U107" s="118"/>
      <c r="V107" s="118"/>
      <c r="W107" s="118"/>
      <c r="X107" s="118"/>
      <c r="Y107" s="118"/>
      <c r="Z107" s="118"/>
      <c r="AA107" s="118"/>
      <c r="AB107" s="118" t="s">
        <v>78</v>
      </c>
      <c r="AC107" s="136">
        <f>((((H107+J107)*2/1000)*L107*(5/(VLOOKUP(F107,[2]Plasmalõikus!$A$7:$E$46,2,FALSE)/1000*60)))+(Q107*L107*(5*(VLOOKUP(F107,[2]Plasmalõikus!$A$7:$E$48,3,FALSE))/60/60)))</f>
        <v>17.274999999999999</v>
      </c>
      <c r="AD107" s="353"/>
      <c r="AE107" s="136"/>
      <c r="AF107" s="137"/>
      <c r="AG107" s="137">
        <f t="shared" ref="AG107:AG109" si="176">IF(VALUE(MID(F107,SEARCH(" ",F107)+1,LEN(F107)))&lt;35,0,IF(VALUE(MID(F107,SEARCH(" ",F107)+1,LEN(F107)))&lt;40,3,IF(VALUE(MID(F107,SEARCH(" ",F107)+1,LEN(F107)))&lt;50,4,IF(VALUE(MID(F107,SEARCH(" ",F107)+1,LEN(F107)))&lt;60,5,IF(VALUE(MID(F107,SEARCH(" ",F107)+1,LEN(F107)))&lt;70,6,IF(VALUE(MID(F107,SEARCH(" ",F107)+1,LEN(F107)))&lt;80,7,IF(VALUE(MID(F107,SEARCH(" ",F107)+1,LEN(F107)))&lt;90,8,IF(VALUE(MID(F107,SEARCH(" ",F107)+1,LEN(F107)))&lt;100,9,10))))))))/60*Q107*L107</f>
        <v>0</v>
      </c>
      <c r="AH107" s="136"/>
      <c r="AI107" s="132">
        <f t="shared" ref="AI107:AI121" si="177">AL107*L107/60</f>
        <v>8</v>
      </c>
      <c r="AJ107" s="70">
        <f>(J107*4*AK107)*L107/1000</f>
        <v>683.52</v>
      </c>
      <c r="AK107" s="69">
        <v>2</v>
      </c>
      <c r="AL107" s="165" t="str">
        <f>IF(AND(J107&gt;0,J107&lt;2999),"20",IF(AND(J107&gt;0,J107&lt;5999),"30",IF(AND(J107&gt;0,J107&lt;7999),"40",IF(AND(J107&gt;0,J107&lt;11999),"60",IF(AND(J107&gt;0,J107&lt;14999),"120",IF(AND(J107&gt;0,J107&lt;17999),"180",IF(AND(J107&gt;0,J107&lt;22000),"360","error")))))))</f>
        <v>40</v>
      </c>
      <c r="AP107" s="146">
        <v>1</v>
      </c>
      <c r="AQ107" s="50">
        <v>1.1000000000000001</v>
      </c>
      <c r="AR107" s="138">
        <f t="shared" ref="AR107:AR108" si="178">AP107*AQ107*B107</f>
        <v>4426.6463999999996</v>
      </c>
      <c r="AT107" s="62"/>
      <c r="AU107" s="62"/>
      <c r="AV107" s="62"/>
      <c r="AW107" s="62"/>
      <c r="AX107" s="62"/>
      <c r="AY107" s="62"/>
      <c r="AZ107" s="77"/>
      <c r="BA107" s="188"/>
      <c r="BB107" s="283"/>
      <c r="BC107" s="62"/>
      <c r="BD107" s="284"/>
      <c r="BE107" s="131"/>
      <c r="BF107"/>
      <c r="BG107" s="57"/>
      <c r="BH107" s="57"/>
      <c r="BI107" s="57"/>
      <c r="BJ107" s="57"/>
      <c r="BK107" s="57"/>
      <c r="BL107" s="109"/>
      <c r="BM107" s="109"/>
      <c r="BN107" s="109"/>
      <c r="BO107" s="83"/>
      <c r="BQ107" s="83"/>
      <c r="BR107" s="83"/>
    </row>
    <row r="108" spans="1:70" s="50" customFormat="1" ht="14.95" x14ac:dyDescent="0.25">
      <c r="A108" s="116">
        <f t="shared" si="174"/>
        <v>1274.3376000000001</v>
      </c>
      <c r="B108" s="116">
        <f t="shared" si="175"/>
        <v>7646.0256000000008</v>
      </c>
      <c r="C108" s="118" t="s">
        <v>345</v>
      </c>
      <c r="D108" s="117" t="s">
        <v>81</v>
      </c>
      <c r="E108" s="363"/>
      <c r="F108" s="355" t="s">
        <v>89</v>
      </c>
      <c r="G108" s="117" t="s">
        <v>83</v>
      </c>
      <c r="H108" s="119">
        <v>760</v>
      </c>
      <c r="I108" s="118" t="s">
        <v>77</v>
      </c>
      <c r="J108" s="119">
        <f>J107</f>
        <v>7120</v>
      </c>
      <c r="K108" s="119">
        <v>1</v>
      </c>
      <c r="L108" s="119">
        <f>K$108*L$106</f>
        <v>6</v>
      </c>
      <c r="M108" s="116">
        <f>2*H108*J108/10^6*L108*0</f>
        <v>0</v>
      </c>
      <c r="N108" s="118" t="s">
        <v>84</v>
      </c>
      <c r="O108" s="364"/>
      <c r="P108" s="118"/>
      <c r="Q108" s="294"/>
      <c r="R108" s="118"/>
      <c r="S108" s="118"/>
      <c r="T108" s="118"/>
      <c r="U108" s="118"/>
      <c r="V108" s="118"/>
      <c r="W108" s="118"/>
      <c r="X108" s="118"/>
      <c r="Y108" s="118"/>
      <c r="Z108" s="118"/>
      <c r="AA108" s="118"/>
      <c r="AB108" s="118" t="s">
        <v>78</v>
      </c>
      <c r="AC108" s="136">
        <f>((((H108+J108)*2/1000)*L108*(5/(VLOOKUP(F108,[2]Plasmalõikus!$A$7:$E$46,2,FALSE)/1000*60)))+(Q108*L108*(5*(VLOOKUP(F108,[2]Plasmalõikus!$A$7:$E$48,3,FALSE))/60/60)))</f>
        <v>6.5666666666666673</v>
      </c>
      <c r="AD108" s="353"/>
      <c r="AE108" s="136"/>
      <c r="AF108" s="137"/>
      <c r="AG108" s="137">
        <f t="shared" si="176"/>
        <v>0</v>
      </c>
      <c r="AH108" s="136"/>
      <c r="AI108" s="132">
        <f t="shared" si="177"/>
        <v>4</v>
      </c>
      <c r="AJ108" s="70"/>
      <c r="AK108" s="69">
        <v>3</v>
      </c>
      <c r="AL108" s="165" t="str">
        <f>IF(AND(J108&gt;0,J108&lt;2999),"20",IF(AND(J108&gt;0,J108&lt;5999),"30",IF(AND(J108&gt;0,J108&lt;7999),"40",IF(AND(J108&gt;0,J108&lt;11999),"60",IF(AND(J108&gt;0,J108&lt;14999),"120",IF(AND(J108&gt;0,J108&lt;17999),"180",IF(AND(J108&gt;0,J108&lt;22000),"360","error")))))))</f>
        <v>40</v>
      </c>
      <c r="AP108" s="146">
        <v>1</v>
      </c>
      <c r="AQ108" s="50">
        <v>1.1000000000000001</v>
      </c>
      <c r="AR108" s="138">
        <f t="shared" si="178"/>
        <v>8410.628160000002</v>
      </c>
      <c r="AT108" s="62"/>
      <c r="AU108" s="62"/>
      <c r="AV108" s="62"/>
      <c r="AW108" s="62"/>
      <c r="AX108" s="62"/>
      <c r="AY108" s="62"/>
      <c r="AZ108" s="77"/>
      <c r="BA108" s="188">
        <f t="shared" ref="BA108:BA110" si="179">(H108*2+J108*2)*2*2/60/1000*L108</f>
        <v>6.3040000000000003</v>
      </c>
      <c r="BB108" s="283"/>
      <c r="BC108" s="62"/>
      <c r="BD108" s="284"/>
      <c r="BE108" s="131"/>
      <c r="BF108"/>
      <c r="BG108" s="57"/>
      <c r="BH108" s="57"/>
      <c r="BI108" s="57"/>
      <c r="BJ108" s="57"/>
      <c r="BK108" s="57"/>
      <c r="BL108" s="109"/>
      <c r="BM108" s="109"/>
      <c r="BN108" s="109"/>
      <c r="BO108" s="83"/>
      <c r="BQ108" s="83"/>
      <c r="BR108" s="83"/>
    </row>
    <row r="109" spans="1:70" s="50" customFormat="1" ht="14.95" x14ac:dyDescent="0.25">
      <c r="A109" s="116">
        <f t="shared" si="174"/>
        <v>5.6520000000000001</v>
      </c>
      <c r="B109" s="116">
        <f t="shared" si="175"/>
        <v>67.823999999999998</v>
      </c>
      <c r="C109" s="118" t="s">
        <v>346</v>
      </c>
      <c r="D109" s="117" t="s">
        <v>85</v>
      </c>
      <c r="E109" s="117"/>
      <c r="F109" s="355" t="s">
        <v>337</v>
      </c>
      <c r="G109" s="117" t="s">
        <v>83</v>
      </c>
      <c r="H109" s="119">
        <v>300</v>
      </c>
      <c r="I109" s="118" t="s">
        <v>77</v>
      </c>
      <c r="J109" s="119">
        <v>300</v>
      </c>
      <c r="K109" s="119">
        <v>2</v>
      </c>
      <c r="L109" s="119">
        <f>K$109*L$106</f>
        <v>12</v>
      </c>
      <c r="M109" s="116">
        <f t="shared" ref="M109:M110" si="180">2*H109*J109/10^6*L109</f>
        <v>2.16</v>
      </c>
      <c r="N109" s="118" t="s">
        <v>84</v>
      </c>
      <c r="P109" s="118"/>
      <c r="Q109" s="135"/>
      <c r="R109" s="118"/>
      <c r="S109" s="118"/>
      <c r="T109" s="118"/>
      <c r="U109" s="118"/>
      <c r="V109" s="118"/>
      <c r="W109" s="118"/>
      <c r="X109" s="118"/>
      <c r="Y109" s="118"/>
      <c r="Z109" s="118"/>
      <c r="AA109" s="118"/>
      <c r="AB109" s="118" t="s">
        <v>78</v>
      </c>
      <c r="AC109" s="136">
        <f>((((H109+J109)*2/1000)*L109*(5/(VLOOKUP(F109,[2]Plasmalõikus!$A$7:$E$46,2,FALSE)/1000*60)))+(Q109*L109*(5*(VLOOKUP(F109,[2]Plasmalõikus!$A$7:$E$48,3,FALSE))/60/60)))</f>
        <v>0.39999999999999991</v>
      </c>
      <c r="AD109" s="353"/>
      <c r="AE109" s="136"/>
      <c r="AF109" s="137"/>
      <c r="AG109" s="137">
        <f t="shared" si="176"/>
        <v>0</v>
      </c>
      <c r="AH109" s="136"/>
      <c r="AI109" s="132">
        <f t="shared" si="177"/>
        <v>1</v>
      </c>
      <c r="AJ109" s="70">
        <f>(H109*4*AK109+J109*2*AK109)*L109/1000</f>
        <v>43.2</v>
      </c>
      <c r="AK109" s="50">
        <v>2</v>
      </c>
      <c r="AL109" s="69" t="str">
        <f>IF(AND(Q109&gt;0,A109&lt;3),"10",IF(AND(Q109&gt;0,A109&lt;10),"15",IF(AND(Q109&gt;0,A109&lt;20),"20",IF(AND(Q109&gt;0,A109&lt;500),"30",IF(AND(Q109=0,A109&lt;3),"2",IF(AND(Q109=0,A109&lt;10),"5",IF(AND(Q109=0,A109&lt;20),"10",IF(AND(Q109=0,A109&lt;500),"20","2"))))))))</f>
        <v>5</v>
      </c>
      <c r="AN109" s="66"/>
      <c r="AP109" s="146">
        <f>(VLOOKUP(F109,Terasehind!$A$2:$B$171,2,FALSE))</f>
        <v>0.92</v>
      </c>
      <c r="AQ109" s="50">
        <f>(VLOOKUP(F109,Terasehind!$A$2:$C$171,3,FALSE))</f>
        <v>1.1000000000000001</v>
      </c>
      <c r="AR109" s="138">
        <f>AP109*AQ109*B109</f>
        <v>68.637888000000018</v>
      </c>
      <c r="AT109" s="62"/>
      <c r="AU109" s="62"/>
      <c r="AV109" s="62"/>
      <c r="AW109" s="62"/>
      <c r="AX109" s="62"/>
      <c r="AY109" s="62"/>
      <c r="AZ109" s="77"/>
      <c r="BA109" s="188">
        <f t="shared" si="179"/>
        <v>0.96</v>
      </c>
      <c r="BB109" s="283"/>
      <c r="BC109" s="62"/>
      <c r="BD109" s="284"/>
      <c r="BE109" s="131"/>
      <c r="BF109"/>
      <c r="BG109" s="57"/>
      <c r="BH109" s="57"/>
      <c r="BI109" s="57"/>
      <c r="BJ109" s="57"/>
      <c r="BK109" s="57"/>
      <c r="BL109" s="109"/>
      <c r="BM109" s="109"/>
      <c r="BN109" s="109"/>
      <c r="BO109" s="83"/>
      <c r="BQ109" s="83"/>
      <c r="BR109" s="83"/>
    </row>
    <row r="110" spans="1:70" s="50" customFormat="1" ht="14.95" x14ac:dyDescent="0.25">
      <c r="A110" s="116">
        <f t="shared" si="174"/>
        <v>14.914999999999999</v>
      </c>
      <c r="B110" s="116">
        <f t="shared" si="175"/>
        <v>536.93999999999994</v>
      </c>
      <c r="C110" s="118" t="s">
        <v>411</v>
      </c>
      <c r="D110" s="117" t="s">
        <v>88</v>
      </c>
      <c r="E110" s="117"/>
      <c r="F110" s="355" t="s">
        <v>86</v>
      </c>
      <c r="G110" s="117" t="s">
        <v>83</v>
      </c>
      <c r="H110" s="119">
        <v>125</v>
      </c>
      <c r="I110" s="118" t="s">
        <v>77</v>
      </c>
      <c r="J110" s="119">
        <v>760</v>
      </c>
      <c r="K110" s="119">
        <v>6</v>
      </c>
      <c r="L110" s="119">
        <f>K$110*L$106</f>
        <v>36</v>
      </c>
      <c r="M110" s="116">
        <f t="shared" si="180"/>
        <v>6.84</v>
      </c>
      <c r="N110" s="118" t="s">
        <v>84</v>
      </c>
      <c r="P110" s="118"/>
      <c r="Q110" s="135"/>
      <c r="R110" s="118"/>
      <c r="S110" s="118"/>
      <c r="T110" s="118"/>
      <c r="U110" s="118"/>
      <c r="V110" s="118"/>
      <c r="W110" s="118"/>
      <c r="X110" s="118"/>
      <c r="Y110" s="118"/>
      <c r="Z110" s="118"/>
      <c r="AA110" s="118"/>
      <c r="AB110" s="118" t="s">
        <v>78</v>
      </c>
      <c r="AC110" s="136">
        <f>((((H110+J110)*2/1000)*L110*(5/(VLOOKUP(F110,[2]Plasmalõikus!$A$7:$E$46,2,FALSE)/1000*60)))+(Q110*L110*(5*(VLOOKUP(F110,[2]Plasmalõikus!$A$7:$E$48,3,FALSE))/60/60)))</f>
        <v>3.3187500000000001</v>
      </c>
      <c r="AD110" s="353"/>
      <c r="AE110" s="136"/>
      <c r="AF110" s="137">
        <f>(H110*2+J110*2)*20/60/1000*L110</f>
        <v>21.24</v>
      </c>
      <c r="AG110" s="137">
        <f>IF(VALUE(MID(F110,SEARCH(" ",F110)+1,LEN(F110)))&lt;35,0,IF(VALUE(MID(F110,SEARCH(" ",F110)+1,LEN(F110)))&lt;40,3,IF(VALUE(MID(F110,SEARCH(" ",F110)+1,LEN(F110)))&lt;50,4,IF(VALUE(MID(F110,SEARCH(" ",F110)+1,LEN(F110)))&lt;60,5,IF(VALUE(MID(F110,SEARCH(" ",F110)+1,LEN(F110)))&lt;70,6,IF(VALUE(MID(F110,SEARCH(" ",F110)+1,LEN(F110)))&lt;80,7,IF(VALUE(MID(F110,SEARCH(" ",F110)+1,LEN(F110)))&lt;90,8,IF(VALUE(MID(F110,SEARCH(" ",F110)+1,LEN(F110)))&lt;100,9,10))))))))/60*Q110*L110</f>
        <v>0</v>
      </c>
      <c r="AH110" s="136"/>
      <c r="AI110" s="132">
        <f t="shared" si="177"/>
        <v>6</v>
      </c>
      <c r="AJ110" s="70">
        <f>(H110*2*AK110+J110*2*AK110)*L110/1000</f>
        <v>382.32</v>
      </c>
      <c r="AK110" s="50">
        <v>6</v>
      </c>
      <c r="AL110" s="69" t="str">
        <f>IF(AND(Q110&gt;0,A110&lt;3),"10",IF(AND(Q110&gt;0,A110&lt;10),"15",IF(AND(Q110&gt;0,A110&lt;20),"20",IF(AND(Q110&gt;0,A110&lt;500),"30",IF(AND(Q110=0,A110&lt;3),"2",IF(AND(Q110=0,A110&lt;10),"5",IF(AND(Q110=0,A110&lt;20),"10",IF(AND(Q110=0,A110&lt;500),"20","2"))))))))</f>
        <v>10</v>
      </c>
      <c r="AN110" s="66"/>
      <c r="AP110" s="146">
        <f>(VLOOKUP(F110,Terasehind!$A$2:$B$171,2,FALSE))</f>
        <v>0.92</v>
      </c>
      <c r="AQ110" s="50">
        <f>(VLOOKUP(F110,Terasehind!$A$2:$C$171,3,FALSE))</f>
        <v>1.1000000000000001</v>
      </c>
      <c r="AR110" s="138">
        <f t="shared" ref="AR110:AR115" si="181">AP110*AQ110*B110</f>
        <v>543.38328000000001</v>
      </c>
      <c r="AT110" s="62"/>
      <c r="AU110" s="62"/>
      <c r="AV110" s="62"/>
      <c r="AW110" s="62"/>
      <c r="AX110" s="62"/>
      <c r="AY110" s="62"/>
      <c r="AZ110" s="77"/>
      <c r="BA110" s="188">
        <f t="shared" si="179"/>
        <v>4.2479999999999993</v>
      </c>
      <c r="BB110" s="283"/>
      <c r="BC110" s="62"/>
      <c r="BD110" s="284"/>
      <c r="BE110" s="131"/>
      <c r="BF110"/>
      <c r="BG110" s="57"/>
      <c r="BH110" s="57"/>
      <c r="BI110" s="57"/>
      <c r="BJ110" s="57"/>
      <c r="BK110" s="57"/>
      <c r="BL110" s="109"/>
      <c r="BM110" s="109"/>
      <c r="BN110" s="109"/>
      <c r="BO110" s="83"/>
      <c r="BQ110" s="83"/>
      <c r="BR110" s="83"/>
    </row>
    <row r="111" spans="1:70" s="50" customFormat="1" ht="14.95" x14ac:dyDescent="0.25">
      <c r="A111" s="116">
        <f xml:space="preserve"> 60.3*J111/10^3</f>
        <v>12.06</v>
      </c>
      <c r="B111" s="116">
        <f>A111*L111</f>
        <v>144.72</v>
      </c>
      <c r="C111" s="295"/>
      <c r="D111" s="117" t="s">
        <v>340</v>
      </c>
      <c r="E111" s="117"/>
      <c r="F111" s="355" t="s">
        <v>457</v>
      </c>
      <c r="G111" s="140" t="s">
        <v>83</v>
      </c>
      <c r="H111" s="119">
        <v>230</v>
      </c>
      <c r="I111" s="118" t="s">
        <v>77</v>
      </c>
      <c r="J111" s="119">
        <v>200</v>
      </c>
      <c r="K111" s="119">
        <v>2</v>
      </c>
      <c r="L111" s="119">
        <f>K$111*L$106</f>
        <v>12</v>
      </c>
      <c r="M111" s="131">
        <f xml:space="preserve"> 1.37*J111*L111/10^3</f>
        <v>3.2879999999999998</v>
      </c>
      <c r="N111" s="118"/>
      <c r="O111" s="118"/>
      <c r="P111" s="118" t="s">
        <v>78</v>
      </c>
      <c r="Q111" s="135"/>
      <c r="R111" s="118"/>
      <c r="S111" s="118"/>
      <c r="T111" s="118"/>
      <c r="U111" s="118"/>
      <c r="V111" s="118"/>
      <c r="W111" s="118"/>
      <c r="Y111" s="118"/>
      <c r="Z111" s="118"/>
      <c r="AA111" s="118"/>
      <c r="AB111" s="118" t="s">
        <v>78</v>
      </c>
      <c r="AC111" s="116"/>
      <c r="AD111" s="83"/>
      <c r="AE111" s="136">
        <f t="shared" ref="AE111" si="182">(H111/20/60)*2*L111</f>
        <v>4.6000000000000005</v>
      </c>
      <c r="AF111" s="137"/>
      <c r="AG111" s="132">
        <f>Q111*L111*0.5/60</f>
        <v>0</v>
      </c>
      <c r="AH111" s="83"/>
      <c r="AI111" s="132">
        <f t="shared" ref="AI111" si="183">AL111*L111/60</f>
        <v>1</v>
      </c>
      <c r="AJ111" s="70">
        <f>(J111*6*AK111)*1*L111/1000</f>
        <v>43.2</v>
      </c>
      <c r="AK111" s="50">
        <f>(VLOOKUP(F111,[2]Koostamine!$A$12:$P$1612,7,FALSE))</f>
        <v>3</v>
      </c>
      <c r="AL111" s="69">
        <f>VLOOKUP(F111,[2]Koostamine!$A$12:$P$1612,IF(J111&lt;1499,11,IF(J111&lt;2999,12,IF(J111&lt;5999,13,IF(J111&lt;9999,14,IF(J111&lt;12999,15,IF(J111&gt;13000,16)))))),FALSE)</f>
        <v>5</v>
      </c>
      <c r="AP111" s="146">
        <f>(VLOOKUP(F111,Terasehind!$A$2:$B$171,2,FALSE))</f>
        <v>0.88</v>
      </c>
      <c r="AQ111" s="50">
        <f>(VLOOKUP(F111,Terasehind!$A$2:$C$171,3,FALSE))</f>
        <v>1.1000000000000001</v>
      </c>
      <c r="AR111" s="138">
        <f t="shared" ref="AR111" si="184">AP111*AQ111*B111</f>
        <v>140.08896000000001</v>
      </c>
      <c r="AT111" s="60"/>
      <c r="AU111" s="77"/>
      <c r="AV111" s="77"/>
      <c r="AW111" s="77"/>
      <c r="AX111" s="121"/>
      <c r="AY111" s="77"/>
      <c r="AZ111" s="77"/>
      <c r="BA111" s="188">
        <f>(H111*6*2+J111*8)*2/60/1000*L111</f>
        <v>1.7440000000000002</v>
      </c>
      <c r="BB111" s="283"/>
      <c r="BC111" s="62"/>
      <c r="BD111" s="284"/>
      <c r="BE111" s="131"/>
      <c r="BF111"/>
      <c r="BG111" s="57"/>
      <c r="BH111" s="57"/>
      <c r="BI111" s="57"/>
      <c r="BJ111" s="57"/>
      <c r="BK111" s="57"/>
      <c r="BL111" s="60"/>
      <c r="BM111" s="57"/>
      <c r="BN111" s="60"/>
      <c r="BO111" s="83"/>
      <c r="BQ111" s="109"/>
    </row>
    <row r="112" spans="1:70" s="50" customFormat="1" ht="14.95" x14ac:dyDescent="0.25">
      <c r="A112" s="116">
        <f xml:space="preserve"> 105*J112/10^3</f>
        <v>56.7</v>
      </c>
      <c r="B112" s="116">
        <f>A112*L112</f>
        <v>680.40000000000009</v>
      </c>
      <c r="C112" s="295"/>
      <c r="D112" s="117" t="s">
        <v>341</v>
      </c>
      <c r="E112" s="117"/>
      <c r="F112" s="355" t="s">
        <v>403</v>
      </c>
      <c r="G112" s="140" t="s">
        <v>83</v>
      </c>
      <c r="H112" s="119">
        <v>330</v>
      </c>
      <c r="I112" s="118" t="s">
        <v>77</v>
      </c>
      <c r="J112" s="119">
        <v>540</v>
      </c>
      <c r="K112" s="119">
        <v>2</v>
      </c>
      <c r="L112" s="119">
        <f>K$112*L$106</f>
        <v>12</v>
      </c>
      <c r="M112" s="131">
        <f xml:space="preserve"> 1.79*J112*L112/10^3</f>
        <v>11.599200000000002</v>
      </c>
      <c r="N112" s="118"/>
      <c r="O112" s="118"/>
      <c r="P112" s="118" t="s">
        <v>78</v>
      </c>
      <c r="Q112" s="135"/>
      <c r="R112" s="118"/>
      <c r="S112" s="118"/>
      <c r="T112" s="118"/>
      <c r="U112" s="118"/>
      <c r="V112" s="118"/>
      <c r="W112" s="118"/>
      <c r="Y112" s="118"/>
      <c r="Z112" s="118"/>
      <c r="AA112" s="118"/>
      <c r="AB112" s="118" t="s">
        <v>78</v>
      </c>
      <c r="AC112" s="116"/>
      <c r="AD112" s="83"/>
      <c r="AE112" s="136">
        <f t="shared" ref="AE112" si="185">(H112/20/60)*2*L112</f>
        <v>6.6000000000000005</v>
      </c>
      <c r="AF112" s="137"/>
      <c r="AG112" s="132">
        <f>Q112*L112*0.5/60</f>
        <v>0</v>
      </c>
      <c r="AH112" s="83"/>
      <c r="AI112" s="132">
        <f t="shared" si="177"/>
        <v>2</v>
      </c>
      <c r="AJ112" s="70">
        <f>(J112*6*AK112)*4*L112/1000</f>
        <v>933.12</v>
      </c>
      <c r="AK112" s="50">
        <v>6</v>
      </c>
      <c r="AL112" s="69">
        <f>VLOOKUP(F112,[2]Koostamine!$A$12:$P$1612,IF(J112&lt;1499,11,IF(J112&lt;2999,12,IF(J112&lt;5999,13,IF(J112&lt;9999,14,IF(J112&lt;12999,15,IF(J112&gt;13000,16)))))),FALSE)</f>
        <v>10</v>
      </c>
      <c r="AP112" s="146">
        <f>(VLOOKUP(F112,Terasehind!$A$2:$B$171,2,FALSE))</f>
        <v>0.9</v>
      </c>
      <c r="AQ112" s="50">
        <f>(VLOOKUP(F112,Terasehind!$A$2:$C$171,3,FALSE))</f>
        <v>1.1000000000000001</v>
      </c>
      <c r="AR112" s="138">
        <f t="shared" si="181"/>
        <v>673.59600000000012</v>
      </c>
      <c r="AT112" s="60"/>
      <c r="AU112" s="77"/>
      <c r="AV112" s="77"/>
      <c r="AW112" s="77"/>
      <c r="AX112" s="121"/>
      <c r="AY112" s="77"/>
      <c r="AZ112" s="77"/>
      <c r="BA112" s="188">
        <f>(H112*6*2+J112*8)*2/60/1000*L112</f>
        <v>3.3120000000000003</v>
      </c>
      <c r="BB112" s="283"/>
      <c r="BC112" s="62"/>
      <c r="BD112" s="284"/>
      <c r="BE112" s="131"/>
      <c r="BF112"/>
      <c r="BG112" s="57"/>
      <c r="BH112" s="57"/>
      <c r="BI112" s="57"/>
      <c r="BJ112" s="57"/>
      <c r="BK112" s="57"/>
      <c r="BL112" s="60"/>
      <c r="BM112" s="57"/>
      <c r="BN112" s="60"/>
      <c r="BO112" s="83"/>
      <c r="BQ112" s="109"/>
    </row>
    <row r="113" spans="1:70" s="50" customFormat="1" ht="14.95" x14ac:dyDescent="0.25">
      <c r="A113" s="116">
        <f t="shared" ref="A113" si="186">H113*J113*(RIGHT(F113,2))*7.85/(10^6)</f>
        <v>63.585000000000001</v>
      </c>
      <c r="B113" s="116">
        <f t="shared" ref="B113" si="187">A113*L113</f>
        <v>763.02</v>
      </c>
      <c r="C113" s="118" t="s">
        <v>346</v>
      </c>
      <c r="D113" s="117" t="s">
        <v>342</v>
      </c>
      <c r="E113" s="117"/>
      <c r="F113" s="355" t="s">
        <v>92</v>
      </c>
      <c r="G113" s="117" t="s">
        <v>83</v>
      </c>
      <c r="H113" s="119">
        <v>450</v>
      </c>
      <c r="I113" s="118" t="s">
        <v>77</v>
      </c>
      <c r="J113" s="119">
        <v>450</v>
      </c>
      <c r="K113" s="119">
        <v>2</v>
      </c>
      <c r="L113" s="119">
        <f>K$113*L$106</f>
        <v>12</v>
      </c>
      <c r="M113" s="116">
        <f t="shared" ref="M113" si="188">2*H113*J113/10^6*L113</f>
        <v>4.8600000000000003</v>
      </c>
      <c r="N113" s="118" t="s">
        <v>84</v>
      </c>
      <c r="P113" s="118"/>
      <c r="Q113" s="135">
        <v>8</v>
      </c>
      <c r="R113" s="118"/>
      <c r="S113" s="118"/>
      <c r="T113" s="118"/>
      <c r="U113" s="118"/>
      <c r="V113" s="118"/>
      <c r="W113" s="118"/>
      <c r="X113" s="118"/>
      <c r="Y113" s="118"/>
      <c r="Z113" s="118"/>
      <c r="AA113" s="118"/>
      <c r="AB113" s="118" t="s">
        <v>78</v>
      </c>
      <c r="AC113" s="136">
        <f>((((H113+J113)*2/1000)*L113*(5/(VLOOKUP(F113,[2]Plasmalõikus!$A$7:$E$46,2,FALSE)/1000*60)))+(Q113*L113*(5*(VLOOKUP(F113,[2]Plasmalõikus!$A$7:$E$48,3,FALSE))/60/60)))</f>
        <v>4.9166666666666679</v>
      </c>
      <c r="AD113" s="353"/>
      <c r="AE113" s="136"/>
      <c r="AF113" s="137"/>
      <c r="AG113" s="137">
        <f t="shared" ref="AG113" si="189">IF(VALUE(MID(F113,SEARCH(" ",F113)+1,LEN(F113)))&lt;35,0,IF(VALUE(MID(F113,SEARCH(" ",F113)+1,LEN(F113)))&lt;40,3,IF(VALUE(MID(F113,SEARCH(" ",F113)+1,LEN(F113)))&lt;50,4,IF(VALUE(MID(F113,SEARCH(" ",F113)+1,LEN(F113)))&lt;60,5,IF(VALUE(MID(F113,SEARCH(" ",F113)+1,LEN(F113)))&lt;70,6,IF(VALUE(MID(F113,SEARCH(" ",F113)+1,LEN(F113)))&lt;80,7,IF(VALUE(MID(F113,SEARCH(" ",F113)+1,LEN(F113)))&lt;90,8,IF(VALUE(MID(F113,SEARCH(" ",F113)+1,LEN(F113)))&lt;100,9,10))))))))/60*Q113*L113</f>
        <v>6.4</v>
      </c>
      <c r="AH113" s="136"/>
      <c r="AI113" s="132">
        <f t="shared" ref="AI113" si="190">AL113*L113/60</f>
        <v>6</v>
      </c>
      <c r="AJ113" s="70"/>
      <c r="AL113" s="69" t="str">
        <f>IF(AND(Q113&gt;0,A113&lt;3),"10",IF(AND(Q113&gt;0,A113&lt;10),"15",IF(AND(Q113&gt;0,A113&lt;20),"20",IF(AND(Q113&gt;0,A113&lt;500),"30",IF(AND(Q113=0,A113&lt;3),"2",IF(AND(Q113=0,A113&lt;10),"5",IF(AND(Q113=0,A113&lt;20),"10",IF(AND(Q113=0,A113&lt;500),"20","2"))))))))</f>
        <v>30</v>
      </c>
      <c r="AN113" s="66"/>
      <c r="AP113" s="146">
        <f>(VLOOKUP(F113,Terasehind!$A$2:$B$171,2,FALSE))</f>
        <v>1.37</v>
      </c>
      <c r="AQ113" s="50">
        <f>(VLOOKUP(F113,Terasehind!$A$2:$C$171,3,FALSE))</f>
        <v>1.1000000000000001</v>
      </c>
      <c r="AR113" s="138">
        <f>AP113*AQ113*B113</f>
        <v>1149.8711400000002</v>
      </c>
      <c r="AT113" s="62"/>
      <c r="AU113" s="62"/>
      <c r="AV113" s="62"/>
      <c r="AW113" s="62"/>
      <c r="AX113" s="62"/>
      <c r="AY113" s="62"/>
      <c r="AZ113" s="77"/>
      <c r="BA113" s="188">
        <f t="shared" ref="BA113" si="191">(H113*2+J113*2)*2*2/60/1000*L113</f>
        <v>1.44</v>
      </c>
      <c r="BB113" s="283"/>
      <c r="BC113" s="62"/>
      <c r="BD113" s="284"/>
      <c r="BE113" s="131"/>
      <c r="BF113"/>
      <c r="BG113" s="57"/>
      <c r="BH113" s="57"/>
      <c r="BI113" s="57"/>
      <c r="BJ113" s="57"/>
      <c r="BK113" s="57"/>
      <c r="BL113" s="109"/>
      <c r="BM113" s="109"/>
      <c r="BN113" s="109"/>
      <c r="BO113" s="83"/>
      <c r="BQ113" s="83"/>
      <c r="BR113" s="83"/>
    </row>
    <row r="114" spans="1:70" s="50" customFormat="1" ht="14.95" x14ac:dyDescent="0.25">
      <c r="A114" s="116">
        <f>H114*J114*(RIGHT(F114,2))*7.85/(10^6)</f>
        <v>3.6796875</v>
      </c>
      <c r="B114" s="116">
        <f>A114*L114</f>
        <v>176.625</v>
      </c>
      <c r="C114" s="118" t="s">
        <v>383</v>
      </c>
      <c r="D114" s="117" t="s">
        <v>343</v>
      </c>
      <c r="E114" s="290"/>
      <c r="F114" s="355" t="s">
        <v>87</v>
      </c>
      <c r="G114" s="117" t="s">
        <v>83</v>
      </c>
      <c r="H114" s="119">
        <v>125</v>
      </c>
      <c r="I114" s="118" t="s">
        <v>77</v>
      </c>
      <c r="J114" s="119">
        <v>250</v>
      </c>
      <c r="K114" s="119">
        <v>8</v>
      </c>
      <c r="L114" s="119">
        <f>K$114*L$106</f>
        <v>48</v>
      </c>
      <c r="M114" s="116">
        <f>2*H114*J114/10^6*L114</f>
        <v>3</v>
      </c>
      <c r="N114" s="118" t="s">
        <v>84</v>
      </c>
      <c r="P114" s="118"/>
      <c r="Q114" s="294">
        <v>16</v>
      </c>
      <c r="R114" s="118"/>
      <c r="S114" s="118"/>
      <c r="T114" s="118"/>
      <c r="U114" s="118"/>
      <c r="V114" s="118"/>
      <c r="W114" s="118"/>
      <c r="X114" s="118"/>
      <c r="Y114" s="118"/>
      <c r="Z114" s="118"/>
      <c r="AA114" s="118"/>
      <c r="AB114" s="118" t="s">
        <v>78</v>
      </c>
      <c r="AC114" s="136">
        <f>((((H114+J114)*2/1000)*L114*(5/(VLOOKUP(F114,[2]Plasmalõikus!$A$7:$E$46,2,FALSE)/1000*60)))+(Q114*L114*(5*(VLOOKUP(F114,[2]Plasmalõikus!$A$7:$E$48,3,FALSE))/60/60)))</f>
        <v>11.266666666666667</v>
      </c>
      <c r="AD114" s="353"/>
      <c r="AE114" s="136"/>
      <c r="AF114" s="137"/>
      <c r="AG114" s="137">
        <f t="shared" ref="AG114" si="192">IF(VALUE(MID(F114,SEARCH(" ",F114)+1,LEN(F114)))&lt;35,0,IF(VALUE(MID(F114,SEARCH(" ",F114)+1,LEN(F114)))&lt;40,3,IF(VALUE(MID(F114,SEARCH(" ",F114)+1,LEN(F114)))&lt;50,4,IF(VALUE(MID(F114,SEARCH(" ",F114)+1,LEN(F114)))&lt;60,5,IF(VALUE(MID(F114,SEARCH(" ",F114)+1,LEN(F114)))&lt;70,6,IF(VALUE(MID(F114,SEARCH(" ",F114)+1,LEN(F114)))&lt;80,7,IF(VALUE(MID(F114,SEARCH(" ",F114)+1,LEN(F114)))&lt;90,8,IF(VALUE(MID(F114,SEARCH(" ",F114)+1,LEN(F114)))&lt;100,9,10))))))))/60*Q114*L114</f>
        <v>0</v>
      </c>
      <c r="AH114" s="136"/>
      <c r="AI114" s="132">
        <f>AL114*L114/60</f>
        <v>12</v>
      </c>
      <c r="AJ114" s="70">
        <f>(H114*4*AK114+J114*2*AK114)*L114/1000</f>
        <v>144</v>
      </c>
      <c r="AK114" s="50">
        <v>3</v>
      </c>
      <c r="AL114" s="69" t="str">
        <f>IF(AND(Q114&gt;0,A114&lt;3),"10",IF(AND(Q114&gt;0,A114&lt;10),"15",IF(AND(Q114&gt;0,A114&lt;20),"20",IF(AND(Q114&gt;0,A114&lt;500),"30",IF(AND(Q114=0,A114&lt;3),"2",IF(AND(Q114=0,A114&lt;10),"5",IF(AND(Q114=0,A114&lt;20),"10",IF(AND(Q114=0,A114&lt;500),"20","2"))))))))</f>
        <v>15</v>
      </c>
      <c r="AP114" s="146">
        <f>(VLOOKUP(F114,Terasehind!$A$2:$B$171,2,FALSE))</f>
        <v>0.92</v>
      </c>
      <c r="AQ114" s="50">
        <f>(VLOOKUP(F114,Terasehind!$A$2:$C$171,3,FALSE))</f>
        <v>1.1000000000000001</v>
      </c>
      <c r="AR114" s="138">
        <f>AP114*AQ114*B114</f>
        <v>178.74450000000004</v>
      </c>
      <c r="AT114" s="62"/>
      <c r="AU114" s="62"/>
      <c r="AV114" s="62"/>
      <c r="AW114" s="62"/>
      <c r="AX114" s="62"/>
      <c r="AY114" s="62"/>
      <c r="AZ114" s="77"/>
      <c r="BA114" s="188">
        <f>(H114*2+J114*2)*2*2/60/1000*L114</f>
        <v>2.4000000000000004</v>
      </c>
      <c r="BB114" s="283"/>
      <c r="BC114" s="62"/>
      <c r="BD114" s="284"/>
      <c r="BE114" s="131"/>
      <c r="BF114"/>
      <c r="BG114" s="57"/>
      <c r="BH114" s="57"/>
      <c r="BI114" s="57"/>
      <c r="BJ114" s="57"/>
      <c r="BK114" s="57"/>
      <c r="BL114" s="109"/>
      <c r="BM114" s="109"/>
      <c r="BN114" s="109"/>
      <c r="BO114" s="83"/>
      <c r="BQ114" s="83"/>
      <c r="BR114" s="83"/>
    </row>
    <row r="115" spans="1:70" s="50" customFormat="1" ht="14.95" x14ac:dyDescent="0.25">
      <c r="A115" s="116">
        <f xml:space="preserve"> 11.3*J115/10^3</f>
        <v>32.939500000000002</v>
      </c>
      <c r="B115" s="116">
        <f>A115*L115</f>
        <v>395.274</v>
      </c>
      <c r="C115" s="295"/>
      <c r="D115" s="117" t="s">
        <v>344</v>
      </c>
      <c r="E115" s="117"/>
      <c r="F115" s="355" t="s">
        <v>461</v>
      </c>
      <c r="G115" s="140" t="s">
        <v>79</v>
      </c>
      <c r="H115" s="119">
        <v>150</v>
      </c>
      <c r="I115" s="118" t="s">
        <v>77</v>
      </c>
      <c r="J115" s="119">
        <v>2915</v>
      </c>
      <c r="K115" s="119">
        <v>2</v>
      </c>
      <c r="L115" s="119">
        <f>K$115*L$106</f>
        <v>12</v>
      </c>
      <c r="M115" s="131">
        <f xml:space="preserve"> 0.49*J115*L115/10^3</f>
        <v>17.140199999999997</v>
      </c>
      <c r="N115" s="118"/>
      <c r="O115" s="118"/>
      <c r="P115" s="118" t="s">
        <v>78</v>
      </c>
      <c r="Q115" s="135"/>
      <c r="R115" s="118"/>
      <c r="S115" s="118"/>
      <c r="T115" s="118"/>
      <c r="U115" s="118"/>
      <c r="V115" s="118"/>
      <c r="W115" s="118"/>
      <c r="Y115" s="118"/>
      <c r="Z115" s="118"/>
      <c r="AA115" s="118"/>
      <c r="AB115" s="118" t="s">
        <v>78</v>
      </c>
      <c r="AC115" s="116"/>
      <c r="AD115" s="83"/>
      <c r="AE115" s="136">
        <f t="shared" ref="AE115" si="193">(H115/20/60)*2*L115</f>
        <v>3</v>
      </c>
      <c r="AF115" s="137"/>
      <c r="AG115" s="132">
        <f>Q115*L115*0.5/60</f>
        <v>0</v>
      </c>
      <c r="AH115" s="83"/>
      <c r="AI115" s="132">
        <f t="shared" si="177"/>
        <v>1</v>
      </c>
      <c r="AJ115" s="70">
        <f>(J115*2*AK115)*1/2*L115/1000+(H115*4*AK115)*2*L115/1000</f>
        <v>49.379999999999995</v>
      </c>
      <c r="AK115" s="50">
        <f>(VLOOKUP(F115,[2]Koostamine!$A$12:$P$1612,7,FALSE))</f>
        <v>1</v>
      </c>
      <c r="AL115" s="69">
        <f>VLOOKUP(F115,[2]Koostamine!$A$12:$P$1612,IF(J115&lt;1499,11,IF(J115&lt;2999,12,IF(J115&lt;5999,13,IF(J115&lt;9999,14,IF(J115&lt;12999,15,IF(J115&gt;13000,16)))))),FALSE)</f>
        <v>5</v>
      </c>
      <c r="AP115" s="146">
        <f>(VLOOKUP(F115,Terasehind!$A$2:$B$171,2,FALSE))</f>
        <v>0.92</v>
      </c>
      <c r="AQ115" s="50">
        <f>(VLOOKUP(F115,Terasehind!$A$2:$C$171,3,FALSE))</f>
        <v>1.1000000000000001</v>
      </c>
      <c r="AR115" s="138">
        <f t="shared" si="181"/>
        <v>400.01728800000006</v>
      </c>
      <c r="AT115" s="60"/>
      <c r="AU115" s="77"/>
      <c r="AV115" s="77"/>
      <c r="AW115" s="77"/>
      <c r="AX115" s="121"/>
      <c r="AY115" s="77"/>
      <c r="AZ115" s="77"/>
      <c r="BA115" s="188">
        <f>(H115*6*2+J115*8)*2/60/1000*L115</f>
        <v>10.048</v>
      </c>
      <c r="BB115" s="283"/>
      <c r="BC115" s="62"/>
      <c r="BD115" s="284"/>
      <c r="BE115" s="131"/>
      <c r="BF115"/>
      <c r="BG115" s="57"/>
      <c r="BH115" s="57"/>
      <c r="BI115" s="57"/>
      <c r="BJ115" s="57"/>
      <c r="BK115" s="57"/>
      <c r="BL115" s="60"/>
      <c r="BM115" s="57"/>
      <c r="BN115" s="60"/>
      <c r="BO115" s="83"/>
      <c r="BQ115" s="109"/>
    </row>
    <row r="116" spans="1:70" s="50" customFormat="1" ht="14.95" x14ac:dyDescent="0.25">
      <c r="A116" s="116">
        <f t="shared" ref="A116" si="194">H116*J116*(RIGHT(F116,2))*7.85/(10^6)</f>
        <v>1.57</v>
      </c>
      <c r="B116" s="116">
        <f t="shared" ref="B116" si="195">A116*L116</f>
        <v>18.84</v>
      </c>
      <c r="C116" s="118" t="s">
        <v>346</v>
      </c>
      <c r="D116" s="117" t="s">
        <v>463</v>
      </c>
      <c r="E116" s="117"/>
      <c r="F116" s="355" t="s">
        <v>324</v>
      </c>
      <c r="G116" s="117" t="s">
        <v>83</v>
      </c>
      <c r="H116" s="119">
        <v>200</v>
      </c>
      <c r="I116" s="118" t="s">
        <v>77</v>
      </c>
      <c r="J116" s="119">
        <v>200</v>
      </c>
      <c r="K116" s="119">
        <v>2</v>
      </c>
      <c r="L116" s="119">
        <f>K$116*L$106</f>
        <v>12</v>
      </c>
      <c r="M116" s="116">
        <f t="shared" ref="M116" si="196">2*H116*J116/10^6*L116</f>
        <v>0.96</v>
      </c>
      <c r="N116" s="118" t="s">
        <v>84</v>
      </c>
      <c r="P116" s="118"/>
      <c r="Q116" s="135"/>
      <c r="R116" s="118"/>
      <c r="S116" s="118"/>
      <c r="T116" s="118"/>
      <c r="U116" s="118"/>
      <c r="V116" s="118"/>
      <c r="W116" s="118"/>
      <c r="X116" s="118"/>
      <c r="Y116" s="118"/>
      <c r="Z116" s="118"/>
      <c r="AA116" s="118"/>
      <c r="AB116" s="118" t="s">
        <v>78</v>
      </c>
      <c r="AC116" s="136">
        <f>((((H116+J116)*2/1000)*L116*(5/(VLOOKUP(F116,[2]Plasmalõikus!$A$7:$E$46,2,FALSE)/1000*60)))+(Q116*L116*(5*(VLOOKUP(F116,[2]Plasmalõikus!$A$7:$E$48,3,FALSE))/60/60)))</f>
        <v>0.22222222222222224</v>
      </c>
      <c r="AD116" s="353"/>
      <c r="AE116" s="136"/>
      <c r="AF116" s="137"/>
      <c r="AG116" s="137">
        <f t="shared" ref="AG116" si="197">IF(VALUE(MID(F116,SEARCH(" ",F116)+1,LEN(F116)))&lt;35,0,IF(VALUE(MID(F116,SEARCH(" ",F116)+1,LEN(F116)))&lt;40,3,IF(VALUE(MID(F116,SEARCH(" ",F116)+1,LEN(F116)))&lt;50,4,IF(VALUE(MID(F116,SEARCH(" ",F116)+1,LEN(F116)))&lt;60,5,IF(VALUE(MID(F116,SEARCH(" ",F116)+1,LEN(F116)))&lt;70,6,IF(VALUE(MID(F116,SEARCH(" ",F116)+1,LEN(F116)))&lt;80,7,IF(VALUE(MID(F116,SEARCH(" ",F116)+1,LEN(F116)))&lt;90,8,IF(VALUE(MID(F116,SEARCH(" ",F116)+1,LEN(F116)))&lt;100,9,10))))))))/60*Q116*L116</f>
        <v>0</v>
      </c>
      <c r="AH116" s="136"/>
      <c r="AI116" s="132">
        <f t="shared" si="177"/>
        <v>0.4</v>
      </c>
      <c r="AJ116" s="70"/>
      <c r="AL116" s="69" t="str">
        <f>IF(AND(Q116&gt;0,A116&lt;3),"10",IF(AND(Q116&gt;0,A116&lt;10),"15",IF(AND(Q116&gt;0,A116&lt;20),"20",IF(AND(Q116&gt;0,A116&lt;500),"30",IF(AND(Q116=0,A116&lt;3),"2",IF(AND(Q116=0,A116&lt;10),"5",IF(AND(Q116=0,A116&lt;20),"10",IF(AND(Q116=0,A116&lt;500),"20","2"))))))))</f>
        <v>2</v>
      </c>
      <c r="AN116" s="66"/>
      <c r="AP116" s="146">
        <f>(VLOOKUP(F116,Terasehind!$A$2:$B$171,2,FALSE))</f>
        <v>0.92</v>
      </c>
      <c r="AQ116" s="50">
        <f>(VLOOKUP(F116,Terasehind!$A$2:$C$171,3,FALSE))</f>
        <v>1.1000000000000001</v>
      </c>
      <c r="AR116" s="138">
        <f>AP116*AQ116*B116</f>
        <v>19.066080000000003</v>
      </c>
      <c r="AT116" s="62"/>
      <c r="AU116" s="62"/>
      <c r="AV116" s="62"/>
      <c r="AW116" s="62"/>
      <c r="AX116" s="62"/>
      <c r="AY116" s="62"/>
      <c r="AZ116" s="77"/>
      <c r="BA116" s="188">
        <f t="shared" ref="BA116:BA118" si="198">(H116*2+J116*2)*2*2/60/1000*L116</f>
        <v>0.64</v>
      </c>
      <c r="BB116" s="283"/>
      <c r="BC116" s="62"/>
      <c r="BD116" s="284"/>
      <c r="BE116" s="131"/>
      <c r="BF116"/>
      <c r="BG116" s="57"/>
      <c r="BH116" s="57"/>
      <c r="BI116" s="57"/>
      <c r="BJ116" s="57"/>
      <c r="BK116" s="57"/>
      <c r="BL116" s="109"/>
      <c r="BM116" s="109"/>
      <c r="BN116" s="109"/>
      <c r="BO116" s="83"/>
      <c r="BQ116" s="83"/>
      <c r="BR116" s="83"/>
    </row>
    <row r="117" spans="1:70" s="50" customFormat="1" ht="16.5" customHeight="1" x14ac:dyDescent="0.25">
      <c r="A117" s="116">
        <f>H117*J117*(RIGHT(F117,2))*7.85/(10^6)</f>
        <v>3.9740625000000001</v>
      </c>
      <c r="B117" s="116">
        <f>A117*L117</f>
        <v>23.844374999999999</v>
      </c>
      <c r="C117" s="118" t="s">
        <v>412</v>
      </c>
      <c r="D117" s="117" t="s">
        <v>464</v>
      </c>
      <c r="E117" s="117"/>
      <c r="F117" s="355" t="s">
        <v>82</v>
      </c>
      <c r="G117" s="117" t="s">
        <v>83</v>
      </c>
      <c r="H117" s="119">
        <v>225</v>
      </c>
      <c r="I117" s="118" t="s">
        <v>77</v>
      </c>
      <c r="J117" s="119">
        <v>225</v>
      </c>
      <c r="K117" s="119">
        <v>1</v>
      </c>
      <c r="L117" s="119">
        <f>K$117*L$106</f>
        <v>6</v>
      </c>
      <c r="M117" s="116">
        <f>2*H117*J117/10^6*L117</f>
        <v>0.60750000000000004</v>
      </c>
      <c r="N117" s="118" t="s">
        <v>84</v>
      </c>
      <c r="P117" s="118"/>
      <c r="Q117" s="141">
        <v>4</v>
      </c>
      <c r="R117" s="118"/>
      <c r="S117" s="118"/>
      <c r="T117" s="118"/>
      <c r="U117" s="118"/>
      <c r="V117" s="118"/>
      <c r="W117" s="118"/>
      <c r="X117" s="118"/>
      <c r="Y117" s="118"/>
      <c r="Z117" s="118"/>
      <c r="AA117" s="118"/>
      <c r="AB117" s="118" t="s">
        <v>78</v>
      </c>
      <c r="AC117" s="136">
        <f>((((H117+J117)*2/1000)*L117*(5/(VLOOKUP(F117,[2]Plasmalõikus!$A$7:$E$46,2,FALSE)/1000*60)))+(Q117*L117*(5*(VLOOKUP(F117,[2]Plasmalõikus!$A$7:$E$48,3,FALSE))/60/60)))</f>
        <v>0.44666666666666666</v>
      </c>
      <c r="AD117" s="353"/>
      <c r="AE117" s="136"/>
      <c r="AF117" s="137"/>
      <c r="AG117" s="137">
        <f>IF(VALUE(MID(F117,SEARCH(" ",F117)+1,LEN(F117)))&lt;35,0,IF(VALUE(MID(F117,SEARCH(" ",F117)+1,LEN(F117)))&lt;40,3,IF(VALUE(MID(F117,SEARCH(" ",F117)+1,LEN(F117)))&lt;50,4,IF(VALUE(MID(F117,SEARCH(" ",F117)+1,LEN(F117)))&lt;60,5,IF(VALUE(MID(F117,SEARCH(" ",F117)+1,LEN(F117)))&lt;70,6,IF(VALUE(MID(F117,SEARCH(" ",F117)+1,LEN(F117)))&lt;80,7,IF(VALUE(MID(F117,SEARCH(" ",F117)+1,LEN(F117)))&lt;90,8,IF(VALUE(MID(F117,SEARCH(" ",F117)+1,LEN(F117)))&lt;100,9,10))))))))/60*Q117*L117</f>
        <v>0</v>
      </c>
      <c r="AH117" s="136"/>
      <c r="AI117" s="132">
        <f t="shared" si="177"/>
        <v>1.5</v>
      </c>
      <c r="AJ117" s="70">
        <f t="shared" ref="AJ117" si="199">(J117*2*AK117)*L117/1000</f>
        <v>5.4</v>
      </c>
      <c r="AK117" s="50">
        <v>2</v>
      </c>
      <c r="AL117" s="69" t="str">
        <f>IF(AND(Q117&gt;0,A117&lt;3),"10",IF(AND(Q117&gt;0,A117&lt;10),"15",IF(AND(Q117&gt;0,A117&lt;20),"20",IF(AND(Q117&gt;0,A117&lt;500),"30",IF(AND(Q117=0,A117&lt;3),"2",IF(AND(Q117=0,A117&lt;10),"5",IF(AND(Q117=0,A117&lt;20),"10",IF(AND(Q117=0,A117&lt;500),"20","2"))))))))</f>
        <v>15</v>
      </c>
      <c r="AN117" s="66"/>
      <c r="AP117" s="146">
        <f>(VLOOKUP(F117,Terasehind!$A$2:$B$171,2,FALSE))</f>
        <v>0.92</v>
      </c>
      <c r="AQ117" s="50">
        <f>(VLOOKUP(F117,Terasehind!$A$2:$C$171,3,FALSE))</f>
        <v>1.1000000000000001</v>
      </c>
      <c r="AR117" s="138">
        <f>AP117*AQ117*B117</f>
        <v>24.130507500000004</v>
      </c>
      <c r="AT117" s="62"/>
      <c r="AU117" s="62"/>
      <c r="AV117" s="62"/>
      <c r="AW117" s="62"/>
      <c r="AX117" s="62"/>
      <c r="AY117" s="62"/>
      <c r="AZ117" s="77"/>
      <c r="BA117" s="188">
        <f t="shared" si="198"/>
        <v>0.36</v>
      </c>
      <c r="BB117" s="189"/>
      <c r="BC117" s="57"/>
      <c r="BD117" s="57"/>
      <c r="BE117" s="57"/>
      <c r="BF117" s="57"/>
      <c r="BG117" s="57"/>
      <c r="BJ117" s="57"/>
      <c r="BK117" s="57"/>
      <c r="BM117" s="109"/>
      <c r="BN117" s="83"/>
      <c r="BP117" s="83"/>
      <c r="BQ117" s="83"/>
    </row>
    <row r="118" spans="1:70" s="50" customFormat="1" ht="16.5" customHeight="1" x14ac:dyDescent="0.25">
      <c r="A118" s="116">
        <f>H118*J118*(RIGHT(F118,2))*7.85/(10^6)</f>
        <v>6.7706249999999999</v>
      </c>
      <c r="B118" s="116">
        <f>A118*L118</f>
        <v>40.623750000000001</v>
      </c>
      <c r="C118" s="118" t="s">
        <v>412</v>
      </c>
      <c r="D118" s="117" t="s">
        <v>465</v>
      </c>
      <c r="E118" s="117"/>
      <c r="F118" s="355" t="s">
        <v>82</v>
      </c>
      <c r="G118" s="117" t="s">
        <v>83</v>
      </c>
      <c r="H118" s="119">
        <v>115</v>
      </c>
      <c r="I118" s="118" t="s">
        <v>77</v>
      </c>
      <c r="J118" s="119">
        <v>750</v>
      </c>
      <c r="K118" s="119">
        <v>1</v>
      </c>
      <c r="L118" s="119">
        <f>K$118*L$106</f>
        <v>6</v>
      </c>
      <c r="M118" s="116">
        <f>2*H118*J118/10^6*L118</f>
        <v>1.0349999999999999</v>
      </c>
      <c r="N118" s="118" t="s">
        <v>84</v>
      </c>
      <c r="P118" s="118"/>
      <c r="Q118" s="141">
        <v>8</v>
      </c>
      <c r="R118" s="118"/>
      <c r="S118" s="118"/>
      <c r="T118" s="118"/>
      <c r="U118" s="118"/>
      <c r="V118" s="118"/>
      <c r="W118" s="118"/>
      <c r="X118" s="118"/>
      <c r="Y118" s="118"/>
      <c r="Z118" s="118"/>
      <c r="AA118" s="118"/>
      <c r="AB118" s="118" t="s">
        <v>78</v>
      </c>
      <c r="AC118" s="136">
        <f>((((H118+J118)*2/1000)*L118*(5/(VLOOKUP(F118,[2]Plasmalõikus!$A$7:$E$46,2,FALSE)/1000*60)))+(Q118*L118*(5*(VLOOKUP(F118,[2]Plasmalõikus!$A$7:$E$48,3,FALSE))/60/60)))</f>
        <v>0.87933333333333319</v>
      </c>
      <c r="AD118" s="353"/>
      <c r="AE118" s="136"/>
      <c r="AF118" s="137"/>
      <c r="AG118" s="137">
        <f>IF(VALUE(MID(F118,SEARCH(" ",F118)+1,LEN(F118)))&lt;35,0,IF(VALUE(MID(F118,SEARCH(" ",F118)+1,LEN(F118)))&lt;40,3,IF(VALUE(MID(F118,SEARCH(" ",F118)+1,LEN(F118)))&lt;50,4,IF(VALUE(MID(F118,SEARCH(" ",F118)+1,LEN(F118)))&lt;60,5,IF(VALUE(MID(F118,SEARCH(" ",F118)+1,LEN(F118)))&lt;70,6,IF(VALUE(MID(F118,SEARCH(" ",F118)+1,LEN(F118)))&lt;80,7,IF(VALUE(MID(F118,SEARCH(" ",F118)+1,LEN(F118)))&lt;90,8,IF(VALUE(MID(F118,SEARCH(" ",F118)+1,LEN(F118)))&lt;100,9,10))))))))/60*Q118*L118</f>
        <v>0</v>
      </c>
      <c r="AH118" s="136"/>
      <c r="AI118" s="132">
        <f t="shared" si="177"/>
        <v>1.5</v>
      </c>
      <c r="AJ118" s="70">
        <f>(J118*2*AK118)*L118/1000</f>
        <v>9</v>
      </c>
      <c r="AK118" s="50">
        <v>1</v>
      </c>
      <c r="AL118" s="69" t="str">
        <f>IF(AND(Q118&gt;0,A118&lt;3),"10",IF(AND(Q118&gt;0,A118&lt;10),"15",IF(AND(Q118&gt;0,A118&lt;20),"20",IF(AND(Q118&gt;0,A118&lt;500),"30",IF(AND(Q118=0,A118&lt;3),"2",IF(AND(Q118=0,A118&lt;10),"5",IF(AND(Q118=0,A118&lt;20),"10",IF(AND(Q118=0,A118&lt;500),"20","2"))))))))</f>
        <v>15</v>
      </c>
      <c r="AN118" s="66"/>
      <c r="AP118" s="146">
        <f>(VLOOKUP(F118,Terasehind!$A$2:$B$171,2,FALSE))</f>
        <v>0.92</v>
      </c>
      <c r="AQ118" s="50">
        <f>(VLOOKUP(F118,Terasehind!$A$2:$C$171,3,FALSE))</f>
        <v>1.1000000000000001</v>
      </c>
      <c r="AR118" s="138">
        <f>AP118*AQ118*B118</f>
        <v>41.111235000000008</v>
      </c>
      <c r="AT118" s="62"/>
      <c r="AU118" s="62"/>
      <c r="AV118" s="62"/>
      <c r="AW118" s="62"/>
      <c r="AX118" s="62"/>
      <c r="AY118" s="62"/>
      <c r="AZ118" s="77"/>
      <c r="BA118" s="188">
        <f t="shared" si="198"/>
        <v>0.69199999999999995</v>
      </c>
      <c r="BB118" s="189"/>
      <c r="BC118" s="57"/>
      <c r="BD118" s="57"/>
      <c r="BE118" s="57"/>
      <c r="BF118" s="57"/>
      <c r="BG118" s="57"/>
      <c r="BJ118" s="57"/>
      <c r="BK118" s="57"/>
      <c r="BM118" s="109"/>
      <c r="BN118" s="83"/>
      <c r="BP118" s="83"/>
      <c r="BQ118" s="83"/>
    </row>
    <row r="119" spans="1:70" s="50" customFormat="1" ht="14.95" x14ac:dyDescent="0.25">
      <c r="A119" s="116">
        <f xml:space="preserve"> 30.7*J119/10^3</f>
        <v>4.6050000000000004</v>
      </c>
      <c r="B119" s="116">
        <f>A119*L119</f>
        <v>27.630000000000003</v>
      </c>
      <c r="C119" s="295"/>
      <c r="D119" s="117" t="s">
        <v>466</v>
      </c>
      <c r="E119" s="117"/>
      <c r="F119" s="355" t="s">
        <v>455</v>
      </c>
      <c r="G119" s="140" t="s">
        <v>83</v>
      </c>
      <c r="H119" s="119">
        <v>240</v>
      </c>
      <c r="I119" s="118" t="s">
        <v>77</v>
      </c>
      <c r="J119" s="119">
        <v>150</v>
      </c>
      <c r="K119" s="119">
        <v>1</v>
      </c>
      <c r="L119" s="119">
        <f>K$119*L$106</f>
        <v>6</v>
      </c>
      <c r="M119" s="131">
        <f xml:space="preserve"> 0.9*J119*L119/10^3</f>
        <v>0.81</v>
      </c>
      <c r="N119" s="118"/>
      <c r="O119" s="118"/>
      <c r="P119" s="118" t="s">
        <v>78</v>
      </c>
      <c r="Q119" s="135"/>
      <c r="R119" s="118"/>
      <c r="S119" s="118"/>
      <c r="T119" s="118"/>
      <c r="U119" s="118"/>
      <c r="V119" s="118"/>
      <c r="W119" s="118"/>
      <c r="Y119" s="118"/>
      <c r="Z119" s="118"/>
      <c r="AA119" s="118"/>
      <c r="AB119" s="118" t="s">
        <v>78</v>
      </c>
      <c r="AC119" s="116"/>
      <c r="AD119" s="83"/>
      <c r="AE119" s="136">
        <f t="shared" ref="AE119:AE120" si="200">(H119/20/60)*2*L119</f>
        <v>2.4000000000000004</v>
      </c>
      <c r="AF119" s="137"/>
      <c r="AG119" s="132">
        <f>Q119*L119*0.5/60</f>
        <v>0</v>
      </c>
      <c r="AH119" s="83"/>
      <c r="AI119" s="132">
        <f t="shared" si="177"/>
        <v>0.5</v>
      </c>
      <c r="AJ119" s="70">
        <f>(J119*4*AK119)*1*L119/1000</f>
        <v>7.2</v>
      </c>
      <c r="AK119" s="50">
        <f>(VLOOKUP(F119,[2]Koostamine!$A$12:$P$1612,7,FALSE))</f>
        <v>2</v>
      </c>
      <c r="AL119" s="69">
        <f>VLOOKUP(F119,[2]Koostamine!$A$12:$P$1612,IF(J119&lt;1499,11,IF(J119&lt;2999,12,IF(J119&lt;5999,13,IF(J119&lt;9999,14,IF(J119&lt;12999,15,IF(J119&gt;13000,16)))))),FALSE)</f>
        <v>5</v>
      </c>
      <c r="AP119" s="146">
        <f>(VLOOKUP(F119,Terasehind!$A$2:$B$171,2,FALSE))</f>
        <v>0.88</v>
      </c>
      <c r="AQ119" s="50">
        <f>(VLOOKUP(F119,Terasehind!$A$2:$C$171,3,FALSE))</f>
        <v>1.1000000000000001</v>
      </c>
      <c r="AR119" s="138">
        <f t="shared" ref="AR119:AR120" si="201">AP119*AQ119*B119</f>
        <v>26.745840000000005</v>
      </c>
      <c r="AT119" s="60"/>
      <c r="AU119" s="77"/>
      <c r="AV119" s="77"/>
      <c r="AW119" s="77"/>
      <c r="AX119" s="121"/>
      <c r="AY119" s="77"/>
      <c r="AZ119" s="77"/>
      <c r="BA119" s="188">
        <f>(H119*6*2+J119*8)*2/60/1000*L119</f>
        <v>0.81600000000000006</v>
      </c>
      <c r="BB119" s="283"/>
      <c r="BC119" s="62"/>
      <c r="BD119" s="284"/>
      <c r="BE119" s="131"/>
      <c r="BF119"/>
      <c r="BG119" s="57"/>
      <c r="BH119" s="57"/>
      <c r="BI119" s="57"/>
      <c r="BJ119" s="57"/>
      <c r="BK119" s="57"/>
      <c r="BL119" s="60"/>
      <c r="BM119" s="57"/>
      <c r="BN119" s="60"/>
      <c r="BO119" s="83"/>
      <c r="BQ119" s="109"/>
    </row>
    <row r="120" spans="1:70" s="50" customFormat="1" ht="14.95" x14ac:dyDescent="0.25">
      <c r="A120" s="116">
        <f xml:space="preserve"> 105*J120/10^3</f>
        <v>56.7</v>
      </c>
      <c r="B120" s="116">
        <f>A120*L120</f>
        <v>340.20000000000005</v>
      </c>
      <c r="C120" s="295"/>
      <c r="D120" s="117" t="s">
        <v>474</v>
      </c>
      <c r="E120" s="117"/>
      <c r="F120" s="355" t="s">
        <v>403</v>
      </c>
      <c r="G120" s="140" t="s">
        <v>83</v>
      </c>
      <c r="H120" s="119">
        <v>330</v>
      </c>
      <c r="I120" s="118" t="s">
        <v>77</v>
      </c>
      <c r="J120" s="119">
        <v>540</v>
      </c>
      <c r="K120" s="119">
        <v>1</v>
      </c>
      <c r="L120" s="119">
        <f>K$120*L$106</f>
        <v>6</v>
      </c>
      <c r="M120" s="131">
        <f xml:space="preserve"> 1.79*J120*L120/10^3</f>
        <v>5.7996000000000008</v>
      </c>
      <c r="N120" s="118"/>
      <c r="O120" s="118"/>
      <c r="P120" s="118" t="s">
        <v>78</v>
      </c>
      <c r="Q120" s="135"/>
      <c r="R120" s="118"/>
      <c r="S120" s="118"/>
      <c r="T120" s="118"/>
      <c r="U120" s="118"/>
      <c r="V120" s="118"/>
      <c r="W120" s="118"/>
      <c r="Y120" s="118"/>
      <c r="Z120" s="118"/>
      <c r="AA120" s="118"/>
      <c r="AB120" s="118" t="s">
        <v>78</v>
      </c>
      <c r="AC120" s="116"/>
      <c r="AD120" s="83"/>
      <c r="AE120" s="136">
        <f t="shared" si="200"/>
        <v>3.3000000000000003</v>
      </c>
      <c r="AF120" s="137"/>
      <c r="AG120" s="132">
        <f>Q120*L120*0.5/60</f>
        <v>0</v>
      </c>
      <c r="AH120" s="83"/>
      <c r="AI120" s="132">
        <f t="shared" si="177"/>
        <v>1</v>
      </c>
      <c r="AJ120" s="70">
        <f>(J120*6*AK120)*4*L120/1000</f>
        <v>466.56</v>
      </c>
      <c r="AK120" s="50">
        <v>6</v>
      </c>
      <c r="AL120" s="69">
        <f>VLOOKUP(F120,[2]Koostamine!$A$12:$P$1612,IF(J120&lt;1499,11,IF(J120&lt;2999,12,IF(J120&lt;5999,13,IF(J120&lt;9999,14,IF(J120&lt;12999,15,IF(J120&gt;13000,16)))))),FALSE)</f>
        <v>10</v>
      </c>
      <c r="AP120" s="146">
        <f>(VLOOKUP(F120,Terasehind!$A$2:$B$171,2,FALSE))</f>
        <v>0.9</v>
      </c>
      <c r="AQ120" s="50">
        <f>(VLOOKUP(F120,Terasehind!$A$2:$C$171,3,FALSE))</f>
        <v>1.1000000000000001</v>
      </c>
      <c r="AR120" s="138">
        <f t="shared" si="201"/>
        <v>336.79800000000006</v>
      </c>
      <c r="AT120" s="60"/>
      <c r="AU120" s="77"/>
      <c r="AV120" s="77"/>
      <c r="AW120" s="77"/>
      <c r="AX120" s="121"/>
      <c r="AY120" s="77"/>
      <c r="AZ120" s="77"/>
      <c r="BA120" s="188">
        <f>(H120*6*2+J120*8)*2/60/1000*L120</f>
        <v>1.6560000000000001</v>
      </c>
      <c r="BB120" s="283"/>
      <c r="BC120" s="62"/>
      <c r="BD120" s="284"/>
      <c r="BE120" s="131"/>
      <c r="BF120"/>
      <c r="BG120" s="57"/>
      <c r="BH120" s="57"/>
      <c r="BI120" s="57"/>
      <c r="BJ120" s="57"/>
      <c r="BK120" s="57"/>
      <c r="BL120" s="60"/>
      <c r="BM120" s="57"/>
      <c r="BN120" s="60"/>
      <c r="BO120" s="83"/>
      <c r="BQ120" s="109"/>
    </row>
    <row r="121" spans="1:70" s="50" customFormat="1" ht="14.95" x14ac:dyDescent="0.25">
      <c r="A121" s="116">
        <f t="shared" ref="A121" si="202">H121*J121*(RIGHT(F121,2))*7.85/(10^6)</f>
        <v>63.585000000000001</v>
      </c>
      <c r="B121" s="116">
        <f t="shared" ref="B121" si="203">A121*L121</f>
        <v>763.02</v>
      </c>
      <c r="C121" s="118" t="s">
        <v>346</v>
      </c>
      <c r="D121" s="117" t="s">
        <v>475</v>
      </c>
      <c r="E121" s="117"/>
      <c r="F121" s="355" t="s">
        <v>92</v>
      </c>
      <c r="G121" s="117" t="s">
        <v>83</v>
      </c>
      <c r="H121" s="119">
        <v>450</v>
      </c>
      <c r="I121" s="118" t="s">
        <v>77</v>
      </c>
      <c r="J121" s="119">
        <v>450</v>
      </c>
      <c r="K121" s="119">
        <v>2</v>
      </c>
      <c r="L121" s="119">
        <f>K$121*L$106</f>
        <v>12</v>
      </c>
      <c r="M121" s="116">
        <f t="shared" ref="M121" si="204">2*H121*J121/10^6*L121</f>
        <v>4.8600000000000003</v>
      </c>
      <c r="N121" s="118" t="s">
        <v>84</v>
      </c>
      <c r="P121" s="118"/>
      <c r="Q121" s="135">
        <v>16</v>
      </c>
      <c r="R121" s="118"/>
      <c r="S121" s="118"/>
      <c r="T121" s="118"/>
      <c r="U121" s="118"/>
      <c r="V121" s="118"/>
      <c r="W121" s="118"/>
      <c r="X121" s="118"/>
      <c r="Y121" s="118"/>
      <c r="Z121" s="118"/>
      <c r="AA121" s="118"/>
      <c r="AB121" s="118" t="s">
        <v>78</v>
      </c>
      <c r="AC121" s="136">
        <f>((((H121+J121)*2/1000)*L121*(5/(VLOOKUP(F121,[2]Plasmalõikus!$A$7:$E$46,2,FALSE)/1000*60)))+(Q121*L121*(5*(VLOOKUP(F121,[2]Plasmalõikus!$A$7:$E$48,3,FALSE))/60/60)))</f>
        <v>7.5833333333333339</v>
      </c>
      <c r="AD121" s="353"/>
      <c r="AE121" s="136"/>
      <c r="AF121" s="137"/>
      <c r="AG121" s="137">
        <f t="shared" ref="AG121" si="205">IF(VALUE(MID(F121,SEARCH(" ",F121)+1,LEN(F121)))&lt;35,0,IF(VALUE(MID(F121,SEARCH(" ",F121)+1,LEN(F121)))&lt;40,3,IF(VALUE(MID(F121,SEARCH(" ",F121)+1,LEN(F121)))&lt;50,4,IF(VALUE(MID(F121,SEARCH(" ",F121)+1,LEN(F121)))&lt;60,5,IF(VALUE(MID(F121,SEARCH(" ",F121)+1,LEN(F121)))&lt;70,6,IF(VALUE(MID(F121,SEARCH(" ",F121)+1,LEN(F121)))&lt;80,7,IF(VALUE(MID(F121,SEARCH(" ",F121)+1,LEN(F121)))&lt;90,8,IF(VALUE(MID(F121,SEARCH(" ",F121)+1,LEN(F121)))&lt;100,9,10))))))))/60*Q121*L121</f>
        <v>12.8</v>
      </c>
      <c r="AH121" s="136"/>
      <c r="AI121" s="132">
        <f t="shared" si="177"/>
        <v>6</v>
      </c>
      <c r="AJ121" s="70"/>
      <c r="AK121" s="50">
        <v>3</v>
      </c>
      <c r="AL121" s="69" t="str">
        <f>IF(AND(Q121&gt;0,A121&lt;3),"10",IF(AND(Q121&gt;0,A121&lt;10),"15",IF(AND(Q121&gt;0,A121&lt;20),"20",IF(AND(Q121&gt;0,A121&lt;500),"30",IF(AND(Q121=0,A121&lt;3),"2",IF(AND(Q121=0,A121&lt;10),"5",IF(AND(Q121=0,A121&lt;20),"10",IF(AND(Q121=0,A121&lt;500),"20","2"))))))))</f>
        <v>30</v>
      </c>
      <c r="AN121" s="66"/>
      <c r="AP121" s="146">
        <f>(VLOOKUP(F121,Terasehind!$A$2:$B$171,2,FALSE))</f>
        <v>1.37</v>
      </c>
      <c r="AQ121" s="50">
        <f>(VLOOKUP(F121,Terasehind!$A$2:$C$171,3,FALSE))</f>
        <v>1.1000000000000001</v>
      </c>
      <c r="AR121" s="138">
        <f>AP121*AQ121*B121</f>
        <v>1149.8711400000002</v>
      </c>
      <c r="AT121" s="62"/>
      <c r="AU121" s="62"/>
      <c r="AV121" s="62"/>
      <c r="AW121" s="62"/>
      <c r="AX121" s="62"/>
      <c r="AY121" s="62"/>
      <c r="AZ121" s="77"/>
      <c r="BA121" s="188">
        <f t="shared" ref="BA121" si="206">(H121*2+J121*2)*2*2/60/1000*L121</f>
        <v>1.44</v>
      </c>
      <c r="BB121" s="283"/>
      <c r="BC121" s="62"/>
      <c r="BD121" s="284"/>
      <c r="BE121" s="131"/>
      <c r="BF121"/>
      <c r="BG121" s="57"/>
      <c r="BH121" s="57"/>
      <c r="BI121" s="57"/>
      <c r="BJ121" s="57"/>
      <c r="BK121" s="57"/>
      <c r="BL121" s="109"/>
      <c r="BM121" s="109"/>
      <c r="BN121" s="109"/>
      <c r="BO121" s="83"/>
      <c r="BQ121" s="83"/>
      <c r="BR121" s="83"/>
    </row>
    <row r="122" spans="1:70" s="50" customFormat="1" ht="16.5" customHeight="1" x14ac:dyDescent="0.25">
      <c r="A122" s="116">
        <f>H122*J122*(RIGHT(F122,2))*7.85/(10^6)</f>
        <v>3.6423999999999999</v>
      </c>
      <c r="B122" s="116">
        <f>A122*L122</f>
        <v>87.417599999999993</v>
      </c>
      <c r="C122" s="118" t="s">
        <v>383</v>
      </c>
      <c r="D122" s="117" t="s">
        <v>476</v>
      </c>
      <c r="E122" s="117"/>
      <c r="F122" s="355" t="s">
        <v>82</v>
      </c>
      <c r="G122" s="117" t="s">
        <v>83</v>
      </c>
      <c r="H122" s="119">
        <v>145</v>
      </c>
      <c r="I122" s="118" t="s">
        <v>77</v>
      </c>
      <c r="J122" s="119">
        <v>320</v>
      </c>
      <c r="K122" s="119">
        <v>4</v>
      </c>
      <c r="L122" s="119">
        <f>K$122*L$106</f>
        <v>24</v>
      </c>
      <c r="M122" s="116">
        <f>2*H122*J122/10^6*L122</f>
        <v>2.2271999999999998</v>
      </c>
      <c r="N122" s="118" t="s">
        <v>84</v>
      </c>
      <c r="P122" s="118"/>
      <c r="Q122" s="141"/>
      <c r="R122" s="118"/>
      <c r="S122" s="118"/>
      <c r="T122" s="118"/>
      <c r="U122" s="118"/>
      <c r="V122" s="118"/>
      <c r="W122" s="118"/>
      <c r="X122" s="118"/>
      <c r="Y122" s="118"/>
      <c r="Z122" s="118"/>
      <c r="AA122" s="118"/>
      <c r="AB122" s="118" t="s">
        <v>78</v>
      </c>
      <c r="AC122" s="136">
        <f>((((H122+J122)*2/1000)*L122*(5/(VLOOKUP(F122,[2]Plasmalõikus!$A$7:$E$46,2,FALSE)/1000*60)))+(Q122*L122*(5*(VLOOKUP(F122,[2]Plasmalõikus!$A$7:$E$48,3,FALSE))/60/60)))</f>
        <v>0.74399999999999999</v>
      </c>
      <c r="AD122" s="353"/>
      <c r="AE122" s="136"/>
      <c r="AF122" s="137"/>
      <c r="AG122" s="137">
        <f>IF(VALUE(MID(F122,SEARCH(" ",F122)+1,LEN(F122)))&lt;35,0,IF(VALUE(MID(F122,SEARCH(" ",F122)+1,LEN(F122)))&lt;40,3,IF(VALUE(MID(F122,SEARCH(" ",F122)+1,LEN(F122)))&lt;50,4,IF(VALUE(MID(F122,SEARCH(" ",F122)+1,LEN(F122)))&lt;60,5,IF(VALUE(MID(F122,SEARCH(" ",F122)+1,LEN(F122)))&lt;70,6,IF(VALUE(MID(F122,SEARCH(" ",F122)+1,LEN(F122)))&lt;80,7,IF(VALUE(MID(F122,SEARCH(" ",F122)+1,LEN(F122)))&lt;90,8,IF(VALUE(MID(F122,SEARCH(" ",F122)+1,LEN(F122)))&lt;100,9,10))))))))/60*Q122*L122</f>
        <v>0</v>
      </c>
      <c r="AH122" s="136"/>
      <c r="AI122" s="132">
        <f>AL122*L122/60</f>
        <v>2</v>
      </c>
      <c r="AJ122" s="70">
        <f>(H122*4*AK122+J122*2*AK122)*L122/1000</f>
        <v>29.28</v>
      </c>
      <c r="AK122" s="50">
        <v>1</v>
      </c>
      <c r="AL122" s="69" t="str">
        <f>IF(AND(Q122&gt;0,A122&lt;3),"10",IF(AND(Q122&gt;0,A122&lt;10),"15",IF(AND(Q122&gt;0,A122&lt;20),"20",IF(AND(Q122&gt;0,A122&lt;500),"30",IF(AND(Q122=0,A122&lt;3),"2",IF(AND(Q122=0,A122&lt;10),"5",IF(AND(Q122=0,A122&lt;20),"10",IF(AND(Q122=0,A122&lt;500),"20","2"))))))))</f>
        <v>5</v>
      </c>
      <c r="AN122" s="66"/>
      <c r="AP122" s="146">
        <f>(VLOOKUP(F122,Terasehind!$A$2:$B$171,2,FALSE))</f>
        <v>0.92</v>
      </c>
      <c r="AQ122" s="50">
        <f>(VLOOKUP(F122,Terasehind!$A$2:$C$171,3,FALSE))</f>
        <v>1.1000000000000001</v>
      </c>
      <c r="AR122" s="138">
        <f>AP122*AQ122*B122</f>
        <v>88.466611200000017</v>
      </c>
      <c r="AT122" s="62"/>
      <c r="AU122" s="62"/>
      <c r="AV122" s="62"/>
      <c r="AW122" s="62"/>
      <c r="AX122" s="62"/>
      <c r="AY122" s="62"/>
      <c r="AZ122" s="77"/>
      <c r="BA122" s="188">
        <f>(H122*2+J122*2)*2*2/60/1000*L122</f>
        <v>1.488</v>
      </c>
      <c r="BB122" s="189"/>
      <c r="BC122" s="57"/>
      <c r="BD122" s="57"/>
      <c r="BE122" s="57"/>
      <c r="BF122" s="57"/>
      <c r="BG122" s="57"/>
      <c r="BJ122" s="57"/>
      <c r="BK122" s="57"/>
      <c r="BM122" s="109"/>
      <c r="BN122" s="83"/>
      <c r="BP122" s="83"/>
      <c r="BQ122" s="83"/>
    </row>
    <row r="123" spans="1:70" customFormat="1" ht="14.95" x14ac:dyDescent="0.25">
      <c r="F123" s="30"/>
      <c r="AD123" s="328" t="s">
        <v>393</v>
      </c>
    </row>
    <row r="124" spans="1:70" s="50" customFormat="1" ht="14.95" x14ac:dyDescent="0.25">
      <c r="A124" s="148">
        <f>B124/L124</f>
        <v>37.575000000000003</v>
      </c>
      <c r="B124" s="285">
        <f>SUM(B126,B125,0)</f>
        <v>150.30000000000001</v>
      </c>
      <c r="C124" s="286"/>
      <c r="D124" s="149" t="s">
        <v>85</v>
      </c>
      <c r="E124" s="149"/>
      <c r="F124" s="357" t="s">
        <v>477</v>
      </c>
      <c r="G124" s="177" t="str">
        <f>$G$16</f>
        <v>C3VH</v>
      </c>
      <c r="H124" s="150">
        <v>160</v>
      </c>
      <c r="I124" s="151" t="s">
        <v>77</v>
      </c>
      <c r="J124" s="150">
        <f>J125</f>
        <v>200</v>
      </c>
      <c r="K124" s="134">
        <v>4</v>
      </c>
      <c r="L124" s="150">
        <f>$L$16*$K$124</f>
        <v>4</v>
      </c>
      <c r="M124" s="148">
        <f>SUM(M126,M125,0)</f>
        <v>2.6719999999999997</v>
      </c>
      <c r="N124" s="151"/>
      <c r="O124" s="151"/>
      <c r="P124" s="151"/>
      <c r="Q124" s="151"/>
      <c r="R124" s="120"/>
      <c r="S124" s="120"/>
      <c r="T124" s="120"/>
      <c r="U124" s="120"/>
      <c r="V124" s="120"/>
      <c r="W124" s="118"/>
      <c r="X124" s="118" t="s">
        <v>78</v>
      </c>
      <c r="Y124" s="151">
        <v>4</v>
      </c>
      <c r="Z124" s="151"/>
      <c r="AA124" s="151"/>
      <c r="AB124" s="151"/>
      <c r="AC124" s="148">
        <f>SUM(AC126,AC125,0)</f>
        <v>0.74814814814814823</v>
      </c>
      <c r="AD124" s="148">
        <f>SUM(AD126,AD125,0)</f>
        <v>0</v>
      </c>
      <c r="AE124" s="148">
        <f>SUM(AE126,AE125,0)</f>
        <v>0.93333333333333335</v>
      </c>
      <c r="AF124" s="148">
        <f>SUM(AF126,AF125,0)</f>
        <v>0</v>
      </c>
      <c r="AG124" s="148">
        <f>SUM(AG126,AG125,0)</f>
        <v>0</v>
      </c>
      <c r="AH124" s="107">
        <f>SUM(AC124:AG124)</f>
        <v>1.6814814814814816</v>
      </c>
      <c r="AI124" s="107">
        <f>SUM(AI126,AI125,0)</f>
        <v>1.3333333333333333</v>
      </c>
      <c r="AJ124" s="148">
        <f>SUM(AJ126,AJ125,0)</f>
        <v>2.2400000000000002</v>
      </c>
      <c r="AK124" s="107">
        <f>AJ124*10/60</f>
        <v>0.37333333333333335</v>
      </c>
      <c r="AL124" s="148">
        <f>AH124+AI124+AK124</f>
        <v>3.3881481481481486</v>
      </c>
      <c r="AM124" s="288">
        <f>B124/AL124</f>
        <v>44.360515959772627</v>
      </c>
      <c r="AN124" s="148">
        <f>AL124*46</f>
        <v>155.85481481481483</v>
      </c>
      <c r="AO124" s="148">
        <f>AN124/B124</f>
        <v>1.0369581824006309</v>
      </c>
      <c r="AP124" s="148">
        <f>AR124/B124</f>
        <v>1.4738155688622754</v>
      </c>
      <c r="AQ124" s="67"/>
      <c r="AR124" s="148">
        <f>SUM(AR126,AR125,0)</f>
        <v>221.51448000000002</v>
      </c>
      <c r="AT124" s="62"/>
      <c r="AU124" s="62"/>
      <c r="AV124" s="62"/>
      <c r="AW124" s="62"/>
      <c r="AX124" s="62"/>
      <c r="AY124" s="62"/>
      <c r="AZ124" s="77"/>
      <c r="BA124" s="148">
        <f>SUM(BA126,BA125,0)</f>
        <v>0.84799999999999998</v>
      </c>
      <c r="BB124" s="283"/>
      <c r="BC124" s="62"/>
      <c r="BD124" s="289"/>
      <c r="BF124" s="19"/>
      <c r="BG124" s="57"/>
      <c r="BH124" s="57"/>
      <c r="BI124" s="57"/>
      <c r="BJ124" s="57"/>
      <c r="BK124" s="60"/>
    </row>
    <row r="125" spans="1:70" s="50" customFormat="1" ht="14.95" x14ac:dyDescent="0.25">
      <c r="A125" s="116">
        <f>H125*J125*(RIGHT(F125,2))*7.85/(10^6)</f>
        <v>4.71</v>
      </c>
      <c r="B125" s="116">
        <f t="shared" ref="B125" si="207">A125*L125</f>
        <v>18.84</v>
      </c>
      <c r="C125" s="118"/>
      <c r="D125" s="117" t="s">
        <v>81</v>
      </c>
      <c r="E125" s="290"/>
      <c r="F125" s="355" t="s">
        <v>87</v>
      </c>
      <c r="G125" s="117" t="s">
        <v>83</v>
      </c>
      <c r="H125" s="119">
        <v>200</v>
      </c>
      <c r="I125" s="118" t="s">
        <v>77</v>
      </c>
      <c r="J125" s="119">
        <v>200</v>
      </c>
      <c r="K125" s="119">
        <v>1</v>
      </c>
      <c r="L125" s="119">
        <f>K$125*L$124</f>
        <v>4</v>
      </c>
      <c r="M125" s="116">
        <f t="shared" ref="M125" si="208">2*H125*J125/10^6*L125</f>
        <v>0.32</v>
      </c>
      <c r="N125" s="118" t="s">
        <v>84</v>
      </c>
      <c r="P125" s="118"/>
      <c r="Q125" s="294">
        <v>12</v>
      </c>
      <c r="R125" s="118"/>
      <c r="S125" s="118"/>
      <c r="T125" s="118"/>
      <c r="U125" s="118"/>
      <c r="V125" s="118"/>
      <c r="W125" s="118"/>
      <c r="X125" s="118"/>
      <c r="Y125" s="118"/>
      <c r="Z125" s="118"/>
      <c r="AA125" s="118"/>
      <c r="AB125" s="118" t="s">
        <v>78</v>
      </c>
      <c r="AC125" s="136">
        <f>((((H125+J125)*2/1000)*L125*(5/(VLOOKUP(F125,[2]Plasmalõikus!$A$7:$E$46,2,FALSE)/1000*60)))+(Q125*L125*(5*(VLOOKUP(F125,[2]Plasmalõikus!$A$7:$E$48,3,FALSE))/60/60)))</f>
        <v>0.74814814814814823</v>
      </c>
      <c r="AD125" s="330"/>
      <c r="AE125" s="136"/>
      <c r="AF125" s="137"/>
      <c r="AG125" s="137">
        <f t="shared" ref="AG125" si="209">IF(VALUE(MID(F125,SEARCH(" ",F125)+1,LEN(F125)))&lt;35,0,IF(VALUE(MID(F125,SEARCH(" ",F125)+1,LEN(F125)))&lt;40,3,IF(VALUE(MID(F125,SEARCH(" ",F125)+1,LEN(F125)))&lt;50,4,IF(VALUE(MID(F125,SEARCH(" ",F125)+1,LEN(F125)))&lt;60,5,IF(VALUE(MID(F125,SEARCH(" ",F125)+1,LEN(F125)))&lt;70,6,IF(VALUE(MID(F125,SEARCH(" ",F125)+1,LEN(F125)))&lt;80,7,IF(VALUE(MID(F125,SEARCH(" ",F125)+1,LEN(F125)))&lt;90,8,IF(VALUE(MID(F125,SEARCH(" ",F125)+1,LEN(F125)))&lt;100,9,10))))))))/60*Q125*L125</f>
        <v>0</v>
      </c>
      <c r="AH125" s="136"/>
      <c r="AI125" s="132">
        <f t="shared" ref="AI125:AI126" si="210">AL125*L125/60</f>
        <v>1</v>
      </c>
      <c r="AJ125" s="70"/>
      <c r="AK125" s="50">
        <v>2</v>
      </c>
      <c r="AL125" s="69" t="str">
        <f>IF(AND(Q125&gt;0,A125&lt;3),"10",IF(AND(Q125&gt;0,A125&lt;10),"15",IF(AND(Q125&gt;0,A125&lt;20),"20",IF(AND(Q125&gt;0,A125&lt;500),"30",IF(AND(Q125=0,A125&lt;3),"2",IF(AND(Q125=0,A125&lt;10),"5",IF(AND(Q125=0,A125&lt;20),"10",IF(AND(Q125=0,A125&lt;500),"20","2"))))))))</f>
        <v>15</v>
      </c>
      <c r="AP125" s="146">
        <f>(VLOOKUP(F125,Terasehind!$A$2:$B$171,2,FALSE))</f>
        <v>0.92</v>
      </c>
      <c r="AQ125" s="50">
        <f>(VLOOKUP(F125,Terasehind!$A$2:$C$171,3,FALSE))</f>
        <v>1.1000000000000001</v>
      </c>
      <c r="AR125" s="138">
        <f t="shared" ref="AR125:AR126" si="211">AP125*AQ125*B125</f>
        <v>19.066080000000003</v>
      </c>
      <c r="AT125" s="62"/>
      <c r="AU125" s="62"/>
      <c r="AV125" s="62"/>
      <c r="AW125" s="62"/>
      <c r="AX125" s="62"/>
      <c r="AY125" s="62"/>
      <c r="AZ125" s="77"/>
      <c r="BA125" s="188">
        <f t="shared" ref="BA125:BA126" si="212">(H125*2+J125*2)*2*2/60/1000*L125</f>
        <v>0.21333333333333335</v>
      </c>
      <c r="BB125" s="283"/>
      <c r="BC125" s="62"/>
      <c r="BD125" s="284"/>
      <c r="BE125" s="131"/>
      <c r="BF125"/>
      <c r="BG125" s="57"/>
      <c r="BH125" s="57"/>
      <c r="BI125" s="57"/>
      <c r="BJ125" s="57"/>
      <c r="BK125" s="57"/>
      <c r="BL125" s="109"/>
      <c r="BM125" s="109"/>
      <c r="BN125" s="109"/>
      <c r="BO125" s="83"/>
      <c r="BQ125" s="83"/>
      <c r="BR125" s="83"/>
    </row>
    <row r="126" spans="1:70" s="50" customFormat="1" ht="14.95" x14ac:dyDescent="0.25">
      <c r="A126" s="116">
        <f xml:space="preserve"> 31.3*J126/10^3</f>
        <v>32.865000000000002</v>
      </c>
      <c r="B126" s="116">
        <f>A126*L126</f>
        <v>131.46</v>
      </c>
      <c r="C126" s="295"/>
      <c r="D126" s="117" t="s">
        <v>85</v>
      </c>
      <c r="E126" s="117"/>
      <c r="F126" s="355" t="s">
        <v>405</v>
      </c>
      <c r="G126" s="140" t="s">
        <v>83</v>
      </c>
      <c r="H126" s="119">
        <v>140</v>
      </c>
      <c r="I126" s="118" t="s">
        <v>77</v>
      </c>
      <c r="J126" s="119">
        <v>1050</v>
      </c>
      <c r="K126" s="119">
        <v>1</v>
      </c>
      <c r="L126" s="119">
        <f>K$126*L$124</f>
        <v>4</v>
      </c>
      <c r="M126" s="131">
        <f xml:space="preserve"> 0.56*J126*L126/10^3</f>
        <v>2.3519999999999999</v>
      </c>
      <c r="N126" s="118"/>
      <c r="O126" s="118"/>
      <c r="P126" s="118" t="s">
        <v>78</v>
      </c>
      <c r="Q126" s="135"/>
      <c r="R126" s="118"/>
      <c r="S126" s="118"/>
      <c r="T126" s="118"/>
      <c r="U126" s="118"/>
      <c r="V126" s="118"/>
      <c r="W126" s="118"/>
      <c r="Y126" s="118"/>
      <c r="Z126" s="118"/>
      <c r="AA126" s="118"/>
      <c r="AB126" s="118" t="s">
        <v>78</v>
      </c>
      <c r="AC126" s="116"/>
      <c r="AD126" s="83"/>
      <c r="AE126" s="136">
        <f t="shared" ref="AE126" si="213">(H126/20/60)*2*L126</f>
        <v>0.93333333333333335</v>
      </c>
      <c r="AF126" s="137"/>
      <c r="AG126" s="132">
        <f>Q126*L126*0.5/60</f>
        <v>0</v>
      </c>
      <c r="AH126" s="83"/>
      <c r="AI126" s="132">
        <f t="shared" si="210"/>
        <v>0.33333333333333331</v>
      </c>
      <c r="AJ126" s="70">
        <f>(H126*2*AK126)*L126/1000</f>
        <v>2.2400000000000002</v>
      </c>
      <c r="AK126" s="50">
        <f>(VLOOKUP(F126,[2]Koostamine!$A$12:$P$1612,7,FALSE))</f>
        <v>2</v>
      </c>
      <c r="AL126" s="69">
        <f>VLOOKUP(F126,[2]Koostamine!$A$12:$P$1612,IF(J126&lt;1499,11,IF(J126&lt;2999,12,IF(J126&lt;5999,13,IF(J126&lt;9999,14,IF(J126&lt;12999,15,IF(J126&gt;13000,16)))))),FALSE)</f>
        <v>5</v>
      </c>
      <c r="AP126" s="146">
        <f>(VLOOKUP(F126,Terasehind!$A$2:$B$171,2,FALSE))</f>
        <v>1.4</v>
      </c>
      <c r="AQ126" s="50">
        <f>(VLOOKUP(F126,Terasehind!$A$2:$C$171,3,FALSE))</f>
        <v>1.1000000000000001</v>
      </c>
      <c r="AR126" s="138">
        <f t="shared" si="211"/>
        <v>202.44840000000002</v>
      </c>
      <c r="AT126" s="60"/>
      <c r="AU126" s="77"/>
      <c r="AV126" s="77"/>
      <c r="AW126" s="77"/>
      <c r="AX126" s="121"/>
      <c r="AY126" s="77"/>
      <c r="AZ126" s="77"/>
      <c r="BA126" s="188">
        <f t="shared" si="212"/>
        <v>0.6346666666666666</v>
      </c>
      <c r="BB126" s="283"/>
      <c r="BC126" s="62"/>
      <c r="BD126" s="284"/>
      <c r="BE126" s="131"/>
      <c r="BF126"/>
      <c r="BG126" s="57"/>
      <c r="BH126" s="57"/>
      <c r="BI126" s="57"/>
      <c r="BJ126" s="57"/>
      <c r="BK126" s="57"/>
      <c r="BL126" s="60"/>
      <c r="BM126" s="57"/>
      <c r="BN126" s="60"/>
      <c r="BO126" s="83"/>
      <c r="BQ126" s="109"/>
    </row>
    <row r="127" spans="1:70" customFormat="1" ht="14.95" x14ac:dyDescent="0.25"/>
    <row r="128" spans="1:70" s="50" customFormat="1" ht="15.8" thickBot="1" x14ac:dyDescent="0.3">
      <c r="A128" s="116"/>
      <c r="B128" s="116"/>
      <c r="C128" s="116"/>
      <c r="D128" s="117"/>
      <c r="E128" s="117"/>
      <c r="F128" s="139"/>
      <c r="G128" s="117"/>
      <c r="H128" s="117"/>
      <c r="I128" s="117"/>
      <c r="J128" s="117"/>
      <c r="K128" s="117"/>
      <c r="L128" s="117"/>
      <c r="M128" s="117"/>
      <c r="N128" s="117"/>
      <c r="O128" s="117"/>
      <c r="P128" s="117"/>
      <c r="Q128" s="117"/>
      <c r="R128" s="117"/>
      <c r="S128" s="117"/>
      <c r="T128" s="117"/>
      <c r="U128" s="117"/>
      <c r="V128" s="117"/>
      <c r="W128" s="117"/>
      <c r="X128" s="117"/>
      <c r="Y128" s="117"/>
      <c r="Z128" s="117"/>
      <c r="AA128" s="117"/>
      <c r="AB128" s="117"/>
      <c r="AC128" s="117"/>
      <c r="AD128" s="117"/>
      <c r="AE128" s="117"/>
      <c r="AF128" s="117"/>
      <c r="AG128" s="117"/>
      <c r="AH128" s="117"/>
      <c r="AI128" s="117"/>
      <c r="AJ128" s="117"/>
      <c r="AK128" s="117"/>
      <c r="AL128" s="117"/>
      <c r="AM128" s="117"/>
      <c r="AN128" s="117"/>
      <c r="AO128" s="117"/>
      <c r="AP128" s="117"/>
      <c r="AQ128" s="117"/>
      <c r="AR128" s="117"/>
      <c r="AS128" s="117"/>
      <c r="AT128" s="117"/>
      <c r="AU128" s="117"/>
      <c r="AV128" s="117"/>
      <c r="AW128" s="117"/>
      <c r="AX128" s="117" t="s">
        <v>419</v>
      </c>
      <c r="AY128" s="346">
        <f>AY129+BA128*$AV$2</f>
        <v>95381.747909779646</v>
      </c>
      <c r="AZ128" s="345">
        <f>AY128/B129</f>
        <v>2.4620092015786237</v>
      </c>
      <c r="BA128" s="344">
        <f>BA129*46</f>
        <v>3747.761066666666</v>
      </c>
      <c r="BB128" s="188"/>
      <c r="BC128" s="57"/>
      <c r="BD128" s="57"/>
      <c r="BE128" s="131"/>
      <c r="BF128" s="57"/>
      <c r="BG128" s="57"/>
      <c r="BH128" s="57"/>
      <c r="BI128" s="83"/>
    </row>
    <row r="129" spans="1:70" s="50" customFormat="1" ht="15.8" thickBot="1" x14ac:dyDescent="0.3">
      <c r="A129" s="153">
        <f>B129/L129</f>
        <v>38741.426250000004</v>
      </c>
      <c r="B129" s="153">
        <f>B$152+B$143+B$133</f>
        <v>38741.426250000004</v>
      </c>
      <c r="C129" s="154"/>
      <c r="D129" s="154" t="s">
        <v>76</v>
      </c>
      <c r="E129" s="154"/>
      <c r="F129" s="155" t="s">
        <v>414</v>
      </c>
      <c r="G129" s="177" t="s">
        <v>449</v>
      </c>
      <c r="H129" s="156">
        <v>150</v>
      </c>
      <c r="I129" s="157" t="s">
        <v>77</v>
      </c>
      <c r="J129" s="156">
        <v>7500</v>
      </c>
      <c r="K129" s="156">
        <v>1</v>
      </c>
      <c r="L129" s="156">
        <f>$L$11*$K$129</f>
        <v>1</v>
      </c>
      <c r="M129" s="153">
        <f>M$152+M$143+M$133</f>
        <v>671.44159999999999</v>
      </c>
      <c r="N129" s="157"/>
      <c r="O129" s="157"/>
      <c r="P129" s="157"/>
      <c r="Q129" s="157"/>
      <c r="R129" s="157"/>
      <c r="S129" s="157"/>
      <c r="T129" s="157"/>
      <c r="U129" s="157"/>
      <c r="V129" s="157"/>
      <c r="W129" s="157"/>
      <c r="X129" s="157"/>
      <c r="Y129" s="157">
        <v>3</v>
      </c>
      <c r="Z129" s="157"/>
      <c r="AA129" s="157"/>
      <c r="AB129" s="157"/>
      <c r="AC129" s="153">
        <f>AC$152+AC$143+AC$133</f>
        <v>77.156731481481486</v>
      </c>
      <c r="AD129" s="153">
        <f>AD$152+AD$143+AD$133</f>
        <v>0</v>
      </c>
      <c r="AE129" s="153">
        <f>AE$152+AE$143+AE$133</f>
        <v>4.5</v>
      </c>
      <c r="AF129" s="153">
        <f>AF$152+AF$143+AF$133</f>
        <v>0</v>
      </c>
      <c r="AG129" s="153">
        <f>AG$152+AG$143+AG$133</f>
        <v>0.33333333333333331</v>
      </c>
      <c r="AH129" s="107">
        <f>SUM(AC129:AG129)</f>
        <v>81.990064814814815</v>
      </c>
      <c r="AI129" s="107">
        <f>AI$152+AI$143+AI$133</f>
        <v>142</v>
      </c>
      <c r="AJ129" s="153">
        <f>AJ$152+AJ$143+AJ$133</f>
        <v>2195.7199999999998</v>
      </c>
      <c r="AK129" s="107">
        <f>AJ129*10/60</f>
        <v>365.95333333333326</v>
      </c>
      <c r="AL129" s="133">
        <f>AH129+AI129+AK129</f>
        <v>589.94339814814805</v>
      </c>
      <c r="AM129" s="173">
        <f>B129/AL129</f>
        <v>65.669734370467793</v>
      </c>
      <c r="AN129" s="158">
        <f>AL129*46</f>
        <v>27137.39631481481</v>
      </c>
      <c r="AO129" s="159">
        <f>AN129/B129</f>
        <v>0.70047489061698676</v>
      </c>
      <c r="AP129" s="159">
        <f>AR129/B129</f>
        <v>1.0643502767015454</v>
      </c>
      <c r="AQ129" s="67"/>
      <c r="AR129" s="159">
        <f>AR$152+AR$143+AR$133</f>
        <v>41234.447749000014</v>
      </c>
      <c r="AS129" s="168">
        <f>$AU$2</f>
        <v>1.1000000000000001</v>
      </c>
      <c r="AT129" s="128">
        <f>HLOOKUP(G129,$AB$1:$AK$2,2,FALSE)</f>
        <v>20</v>
      </c>
      <c r="AU129" s="166">
        <f>IF(AND(G129="HDG"),B129*AT129,M129*AT129)</f>
        <v>13428.832</v>
      </c>
      <c r="AV129" s="68">
        <f>B129*pakendus</f>
        <v>1162.2427875000001</v>
      </c>
      <c r="AW129" s="159">
        <f>(AN129+AU129+AV129)+AU128</f>
        <v>41728.471102314812</v>
      </c>
      <c r="AX129" s="129">
        <f>$AV$2</f>
        <v>1.1000000000000001</v>
      </c>
      <c r="AY129" s="108">
        <f>(AR129*AS129)+(AW129*AX129)</f>
        <v>91259.210736446315</v>
      </c>
      <c r="AZ129" s="130">
        <f>ROUND(AY129/B129,3)</f>
        <v>2.3559999999999999</v>
      </c>
      <c r="BA129" s="159">
        <f>BA$152+BA$143+BA$133</f>
        <v>81.473066666666654</v>
      </c>
      <c r="BB129" s="159">
        <f>B129/20000</f>
        <v>1.9370713125000003</v>
      </c>
      <c r="BC129" s="57"/>
      <c r="BD129" s="57"/>
      <c r="BE129" s="57"/>
      <c r="BF129" s="57"/>
      <c r="BG129" s="57"/>
      <c r="BH129" s="57"/>
      <c r="BI129" s="83"/>
    </row>
    <row r="130" spans="1:70" s="50" customFormat="1" ht="14.95" x14ac:dyDescent="0.25">
      <c r="A130" s="116"/>
      <c r="B130" s="160">
        <f>SUMIF(F15:F204,"leht*",B15:B204)</f>
        <v>114472.58417999998</v>
      </c>
      <c r="C130" s="255">
        <f>B130/B129</f>
        <v>2.9547849746497126</v>
      </c>
      <c r="D130" s="161" t="s">
        <v>74</v>
      </c>
      <c r="E130" s="117"/>
      <c r="F130" s="118"/>
      <c r="G130" s="117"/>
      <c r="H130" s="119"/>
      <c r="I130" s="118"/>
      <c r="J130" s="119"/>
      <c r="K130" s="116"/>
      <c r="L130" s="119"/>
      <c r="M130" s="112"/>
      <c r="N130" s="118"/>
      <c r="O130" s="118"/>
      <c r="P130" s="118"/>
      <c r="Q130" s="118"/>
      <c r="R130" s="118"/>
      <c r="S130" s="118"/>
      <c r="T130" s="118"/>
      <c r="U130" s="118"/>
      <c r="V130" s="118"/>
      <c r="W130" s="118"/>
      <c r="X130" s="118"/>
      <c r="Y130" s="118"/>
      <c r="Z130" s="118"/>
      <c r="AA130" s="118"/>
      <c r="AB130" s="118"/>
      <c r="AD130" s="83"/>
      <c r="AE130" s="83"/>
      <c r="AF130" s="114"/>
      <c r="AG130" s="114"/>
      <c r="AH130" s="83"/>
      <c r="AI130" s="83"/>
      <c r="AJ130" s="83"/>
      <c r="AK130" s="83"/>
      <c r="AL130" s="83"/>
      <c r="AM130" s="60"/>
      <c r="AN130" s="66"/>
      <c r="AO130" s="61"/>
      <c r="AP130" s="62"/>
      <c r="AQ130" s="62"/>
      <c r="AT130" s="60"/>
      <c r="AU130" s="77"/>
      <c r="AV130" s="77"/>
      <c r="AW130" s="77"/>
      <c r="AX130" s="121"/>
      <c r="AY130" s="77"/>
      <c r="AZ130" s="77"/>
      <c r="BA130" s="192"/>
      <c r="BB130" s="188"/>
      <c r="BC130" s="57"/>
      <c r="BD130" s="57"/>
      <c r="BE130" s="131"/>
      <c r="BF130" s="57"/>
      <c r="BG130" s="57"/>
      <c r="BH130" s="57"/>
      <c r="BI130" s="57"/>
      <c r="BJ130" s="57"/>
      <c r="BK130" s="83"/>
      <c r="BL130" s="109"/>
      <c r="BN130" s="57"/>
      <c r="BO130" s="60"/>
    </row>
    <row r="131" spans="1:70" s="50" customFormat="1" ht="14.95" x14ac:dyDescent="0.25">
      <c r="A131" s="116"/>
      <c r="B131" s="160"/>
      <c r="C131" s="255"/>
      <c r="D131" s="161"/>
      <c r="E131" s="117"/>
      <c r="F131" s="118"/>
      <c r="G131" s="117"/>
      <c r="H131" s="119"/>
      <c r="I131" s="118"/>
      <c r="J131" s="119"/>
      <c r="K131" s="119"/>
      <c r="L131" s="119"/>
      <c r="M131" s="112"/>
      <c r="N131" s="118"/>
      <c r="O131" s="118"/>
      <c r="P131" s="118"/>
      <c r="Q131" s="118"/>
      <c r="R131" s="118"/>
      <c r="S131" s="118"/>
      <c r="T131" s="118"/>
      <c r="U131" s="118"/>
      <c r="V131" s="118"/>
      <c r="W131" s="118"/>
      <c r="X131" s="118"/>
      <c r="Y131" s="118"/>
      <c r="Z131" s="118"/>
      <c r="AA131" s="118"/>
      <c r="AB131" s="118"/>
      <c r="AD131" s="83"/>
      <c r="AE131" s="83"/>
      <c r="AF131" s="114"/>
      <c r="AG131" s="114"/>
      <c r="AH131" s="83"/>
      <c r="AI131" s="83"/>
      <c r="AJ131" s="83"/>
      <c r="AK131" s="83"/>
      <c r="AL131" s="83"/>
      <c r="AM131" s="60"/>
      <c r="AN131" s="66"/>
      <c r="AO131" s="61"/>
      <c r="AP131" s="62"/>
      <c r="AQ131" s="62"/>
      <c r="AT131" s="60"/>
      <c r="AU131" s="77"/>
      <c r="AV131" s="77"/>
      <c r="AW131" s="77"/>
      <c r="AX131" s="121"/>
      <c r="AY131" s="77"/>
      <c r="AZ131" s="77"/>
      <c r="BA131" s="192"/>
      <c r="BB131" s="57"/>
      <c r="BC131" s="57"/>
      <c r="BD131" s="57"/>
      <c r="BE131" s="131"/>
      <c r="BF131" s="57"/>
      <c r="BG131" s="57"/>
      <c r="BH131" s="57"/>
      <c r="BI131" s="57"/>
      <c r="BJ131" s="57"/>
      <c r="BK131" s="83"/>
      <c r="BL131" s="109"/>
      <c r="BN131" s="57"/>
      <c r="BO131" s="60"/>
    </row>
    <row r="132" spans="1:70" customFormat="1" ht="15.8" x14ac:dyDescent="0.25">
      <c r="B132" s="22"/>
      <c r="F132" s="296"/>
      <c r="M132" s="282"/>
      <c r="AD132" s="328" t="s">
        <v>393</v>
      </c>
      <c r="AS132" s="50"/>
      <c r="AT132" s="62"/>
      <c r="AU132" s="62"/>
      <c r="AV132" s="62"/>
      <c r="AW132" s="62"/>
      <c r="AX132" s="62"/>
      <c r="AY132" s="62"/>
      <c r="AZ132" s="77"/>
      <c r="BA132" s="192"/>
      <c r="BB132" s="283"/>
      <c r="BC132" s="62"/>
      <c r="BD132" s="284"/>
      <c r="BE132" s="131"/>
    </row>
    <row r="133" spans="1:70" s="50" customFormat="1" ht="14.95" x14ac:dyDescent="0.25">
      <c r="A133" s="148">
        <f>B133/L133</f>
        <v>1465.8108000000002</v>
      </c>
      <c r="B133" s="285">
        <f>SUM(B140,B139,B138,B137,B136,B135,B134,0)</f>
        <v>24918.783600000002</v>
      </c>
      <c r="C133" s="286">
        <f>(SUM(B136:B138)/B133)</f>
        <v>0.15573496934256453</v>
      </c>
      <c r="D133" s="149" t="s">
        <v>76</v>
      </c>
      <c r="E133" s="149"/>
      <c r="F133" s="357" t="s">
        <v>415</v>
      </c>
      <c r="G133" s="287" t="s">
        <v>5</v>
      </c>
      <c r="H133" s="150">
        <v>160</v>
      </c>
      <c r="I133" s="151" t="s">
        <v>77</v>
      </c>
      <c r="J133" s="150">
        <f>J134</f>
        <v>8200</v>
      </c>
      <c r="K133" s="134">
        <v>17</v>
      </c>
      <c r="L133" s="150">
        <f>$L$129*$K$133</f>
        <v>17</v>
      </c>
      <c r="M133" s="148">
        <f>SUM(M140,M139,M138,M137,M136,M135,M134,0)</f>
        <v>499.72519999999997</v>
      </c>
      <c r="N133" s="151"/>
      <c r="O133" s="151"/>
      <c r="P133" s="151"/>
      <c r="Q133" s="151"/>
      <c r="R133" s="120"/>
      <c r="S133" s="120"/>
      <c r="T133" s="120"/>
      <c r="U133" s="120"/>
      <c r="V133" s="120"/>
      <c r="W133" s="118"/>
      <c r="X133" s="118" t="s">
        <v>78</v>
      </c>
      <c r="Y133" s="151">
        <v>4</v>
      </c>
      <c r="Z133" s="151"/>
      <c r="AA133" s="151"/>
      <c r="AB133" s="151"/>
      <c r="AC133" s="148">
        <f>SUM(AC140,AC139,AC138,AC137,AC136,AC135,AC134,0)</f>
        <v>61.362287037037042</v>
      </c>
      <c r="AD133" s="148">
        <f>SUM(AD140,AD139,AD138,AD137,AD136,AD135,AD134,0)</f>
        <v>0</v>
      </c>
      <c r="AE133" s="148">
        <f>SUM(AE140,AE139,AE138,AE137,AE136,AE135,AE134,0)</f>
        <v>2.833333333333333</v>
      </c>
      <c r="AF133" s="148">
        <f>SUM(AF140,AF139,AF138,AF137,AF136,AF135,AF134,0)</f>
        <v>0</v>
      </c>
      <c r="AG133" s="148">
        <f>SUM(AG140,AG139,AG138,AG137,AG136,AG135,AG134,0)</f>
        <v>0</v>
      </c>
      <c r="AH133" s="107">
        <f>SUM(AC133:AG133)</f>
        <v>64.195620370370378</v>
      </c>
      <c r="AI133" s="107">
        <f>SUM(AI140,AI139,AI138,AI137,AI136,AI135,AI134,0)</f>
        <v>114.46666666666667</v>
      </c>
      <c r="AJ133" s="148">
        <f>SUM(AJ140,AJ139,AJ138,AJ137,AJ136,AJ135,AJ134,0)</f>
        <v>1405.56</v>
      </c>
      <c r="AK133" s="107">
        <f>AJ133*10/60</f>
        <v>234.25999999999996</v>
      </c>
      <c r="AL133" s="148">
        <f>AH133+AI133+AK133</f>
        <v>412.92228703703699</v>
      </c>
      <c r="AM133" s="288">
        <f>B133/AL133</f>
        <v>60.347393159151316</v>
      </c>
      <c r="AN133" s="148">
        <f>AL133*46</f>
        <v>18994.4252037037</v>
      </c>
      <c r="AO133" s="148">
        <f>AN133/B133</f>
        <v>0.76225330692721693</v>
      </c>
      <c r="AP133" s="148">
        <f>AR133/B133</f>
        <v>1.0120000000000002</v>
      </c>
      <c r="AQ133" s="67"/>
      <c r="AR133" s="148">
        <f>SUM(AR140,AR139,AR138,AR137,AR136,AR135,AR134,0)</f>
        <v>25217.809003200007</v>
      </c>
      <c r="AT133" s="62"/>
      <c r="AU133" s="62"/>
      <c r="AV133" s="62"/>
      <c r="AW133" s="62"/>
      <c r="AX133" s="62"/>
      <c r="AY133" s="62"/>
      <c r="AZ133" s="77"/>
      <c r="BA133" s="148">
        <f>SUM(BA138,BA137,BA136,BA135,BA134,0)</f>
        <v>62.070399999999992</v>
      </c>
      <c r="BB133" s="283"/>
      <c r="BC133" s="62"/>
      <c r="BD133" s="289"/>
      <c r="BF133" s="19"/>
      <c r="BG133" s="57"/>
      <c r="BH133" s="57"/>
      <c r="BI133" s="57"/>
      <c r="BJ133" s="57"/>
      <c r="BK133" s="60"/>
    </row>
    <row r="134" spans="1:70" s="50" customFormat="1" ht="14.95" x14ac:dyDescent="0.25">
      <c r="A134" s="116">
        <f>H134*J134*(RIGHT(F134,2))*7.85/(10^6)</f>
        <v>391.36959999999999</v>
      </c>
      <c r="B134" s="116">
        <f t="shared" ref="B134:B138" si="214">A134*L134</f>
        <v>6653.2831999999999</v>
      </c>
      <c r="C134" s="118" t="s">
        <v>345</v>
      </c>
      <c r="D134" s="117" t="s">
        <v>76</v>
      </c>
      <c r="E134" s="290"/>
      <c r="F134" s="372" t="s">
        <v>337</v>
      </c>
      <c r="G134" s="292" t="s">
        <v>83</v>
      </c>
      <c r="H134" s="293">
        <v>760</v>
      </c>
      <c r="I134" s="291" t="s">
        <v>77</v>
      </c>
      <c r="J134" s="293">
        <v>8200</v>
      </c>
      <c r="K134" s="119">
        <v>1</v>
      </c>
      <c r="L134" s="119">
        <f>K$134*L$133</f>
        <v>17</v>
      </c>
      <c r="M134" s="116">
        <f t="shared" ref="M134:M137" si="215">2*H134*J134/10^6*L134</f>
        <v>211.88800000000001</v>
      </c>
      <c r="N134" s="118" t="s">
        <v>84</v>
      </c>
      <c r="P134" s="118"/>
      <c r="Q134" s="294">
        <v>6</v>
      </c>
      <c r="R134" s="118"/>
      <c r="S134" s="118"/>
      <c r="T134" s="118"/>
      <c r="U134" s="118"/>
      <c r="V134" s="118"/>
      <c r="W134" s="118"/>
      <c r="X134" s="118"/>
      <c r="Y134" s="118"/>
      <c r="Z134" s="118"/>
      <c r="AA134" s="118"/>
      <c r="AB134" s="118" t="s">
        <v>78</v>
      </c>
      <c r="AC134" s="136">
        <f>((((H134+J134)*2/1000)*L134*(5/(VLOOKUP(F134,[2]Plasmalõikus!$A$7:$E$46,2,FALSE)/1000*60)))+(Q134*L134*(5*(VLOOKUP(F134,[2]Plasmalõikus!$A$7:$E$48,3,FALSE))/60/60)))</f>
        <v>9.5955555555555563</v>
      </c>
      <c r="AD134" s="353"/>
      <c r="AE134" s="136"/>
      <c r="AF134" s="137"/>
      <c r="AG134" s="137">
        <f t="shared" ref="AG134:AG137" si="216">IF(VALUE(MID(F134,SEARCH(" ",F134)+1,LEN(F134)))&lt;35,0,IF(VALUE(MID(F134,SEARCH(" ",F134)+1,LEN(F134)))&lt;40,3,IF(VALUE(MID(F134,SEARCH(" ",F134)+1,LEN(F134)))&lt;50,4,IF(VALUE(MID(F134,SEARCH(" ",F134)+1,LEN(F134)))&lt;60,5,IF(VALUE(MID(F134,SEARCH(" ",F134)+1,LEN(F134)))&lt;70,6,IF(VALUE(MID(F134,SEARCH(" ",F134)+1,LEN(F134)))&lt;80,7,IF(VALUE(MID(F134,SEARCH(" ",F134)+1,LEN(F134)))&lt;90,8,IF(VALUE(MID(F134,SEARCH(" ",F134)+1,LEN(F134)))&lt;100,9,10))))))))/60*Q134*L134</f>
        <v>0</v>
      </c>
      <c r="AH134" s="136"/>
      <c r="AI134" s="132">
        <f t="shared" ref="AI134:AI137" si="217">AL134*L134/60</f>
        <v>17</v>
      </c>
      <c r="AJ134" s="343">
        <f>(J134*4*AK134)*L134/1000</f>
        <v>557.6</v>
      </c>
      <c r="AK134" s="69" t="str">
        <f>IF(AND(F134="leht 5"),"1",IF(AND(F134="leht 6"),"1",IF(AND(F134="leht 8"),"1",IF(AND(F134="leht 10"),"1",IF(AND(F134="leht 12"),"1",IF(AND(F134="leht 15"),"2",IF(AND(F134="leht 20"),"2",IF(AND(F134="leht 25"),"3",IF(AND(F134="leht 30"),"3",IF(AND(F134="leht 35"),"3",IF(AND(F134="leht 40"),"58","2")))))))))))</f>
        <v>1</v>
      </c>
      <c r="AL134" s="165" t="str">
        <f>IF(AND(J134&gt;0,J134&lt;2999),"20",IF(AND(J134&gt;0,J134&lt;5999),"30",IF(AND(J134&gt;0,J134&lt;7999),"40",IF(AND(J134&gt;0,J134&lt;11999),"60",IF(AND(J134&gt;0,J134&lt;14999),"120",IF(AND(J134&gt;0,J134&lt;17999),"180",IF(AND(J134&gt;0,J134&lt;22000),"360","error")))))))</f>
        <v>60</v>
      </c>
      <c r="AP134" s="146">
        <f>(VLOOKUP(F134,Terasehind!$A$2:$B$171,2,FALSE))</f>
        <v>0.92</v>
      </c>
      <c r="AQ134" s="50">
        <f>(VLOOKUP(F134,Terasehind!$A$2:$C$171,3,FALSE))</f>
        <v>1.1000000000000001</v>
      </c>
      <c r="AR134" s="138">
        <f t="shared" ref="AR134:AR135" si="218">AP134*AQ134*B134</f>
        <v>6733.1225984000012</v>
      </c>
      <c r="AT134" s="62"/>
      <c r="AU134" s="62"/>
      <c r="AV134" s="62"/>
      <c r="AW134" s="62"/>
      <c r="AX134" s="62"/>
      <c r="AY134" s="62"/>
      <c r="AZ134" s="77"/>
      <c r="BA134" s="188"/>
      <c r="BB134" s="283"/>
      <c r="BC134" s="62"/>
      <c r="BD134" s="284"/>
      <c r="BE134" s="131"/>
      <c r="BF134"/>
      <c r="BG134" s="57"/>
      <c r="BH134" s="57"/>
      <c r="BI134" s="57"/>
      <c r="BJ134" s="57"/>
      <c r="BK134" s="57"/>
      <c r="BL134" s="109"/>
      <c r="BM134" s="109"/>
      <c r="BN134" s="109"/>
      <c r="BO134" s="83"/>
      <c r="BQ134" s="83"/>
      <c r="BR134" s="83"/>
    </row>
    <row r="135" spans="1:70" s="50" customFormat="1" ht="14.95" x14ac:dyDescent="0.25">
      <c r="A135" s="116">
        <f t="shared" ref="A135:A138" si="219">H135*J135*(RIGHT(F135,2))*7.85/(10^6)</f>
        <v>386.22</v>
      </c>
      <c r="B135" s="116">
        <f t="shared" si="214"/>
        <v>13131.480000000001</v>
      </c>
      <c r="C135" s="118" t="s">
        <v>345</v>
      </c>
      <c r="D135" s="117" t="s">
        <v>81</v>
      </c>
      <c r="E135" s="117"/>
      <c r="F135" s="372" t="s">
        <v>86</v>
      </c>
      <c r="G135" s="292" t="s">
        <v>83</v>
      </c>
      <c r="H135" s="293">
        <v>300</v>
      </c>
      <c r="I135" s="291" t="s">
        <v>77</v>
      </c>
      <c r="J135" s="293">
        <f>J134</f>
        <v>8200</v>
      </c>
      <c r="K135" s="119">
        <v>2</v>
      </c>
      <c r="L135" s="119">
        <f>K$135*L$133</f>
        <v>34</v>
      </c>
      <c r="M135" s="116">
        <f t="shared" si="215"/>
        <v>167.28</v>
      </c>
      <c r="N135" s="118" t="s">
        <v>84</v>
      </c>
      <c r="P135" s="118"/>
      <c r="Q135" s="135"/>
      <c r="R135" s="118"/>
      <c r="S135" s="118"/>
      <c r="T135" s="118"/>
      <c r="U135" s="118"/>
      <c r="V135" s="118"/>
      <c r="W135" s="118"/>
      <c r="X135" s="118"/>
      <c r="Y135" s="118"/>
      <c r="Z135" s="118"/>
      <c r="AA135" s="118"/>
      <c r="AB135" s="118" t="s">
        <v>78</v>
      </c>
      <c r="AC135" s="136">
        <f>((((H135+J135)*2/1000)*L135*(5/(VLOOKUP(F135,[2]Plasmalõikus!$A$7:$E$46,2,FALSE)/1000*60)))+(Q135*L135*(5*(VLOOKUP(F135,[2]Plasmalõikus!$A$7:$E$48,3,FALSE))/60/60)))</f>
        <v>30.104166666666668</v>
      </c>
      <c r="AD135" s="353"/>
      <c r="AE135" s="136"/>
      <c r="AF135" s="137"/>
      <c r="AG135" s="137">
        <f t="shared" si="216"/>
        <v>0</v>
      </c>
      <c r="AH135" s="136"/>
      <c r="AI135" s="132">
        <f t="shared" si="217"/>
        <v>34</v>
      </c>
      <c r="AJ135" s="343"/>
      <c r="AL135" s="165" t="str">
        <f t="shared" ref="AL135" si="220">IF(AND(J135&gt;0,J135&lt;2999),"20",IF(AND(J135&gt;0,J135&lt;5999),"30",IF(AND(J135&gt;0,J135&lt;7999),"40",IF(AND(J135&gt;0,J135&lt;11999),"60",IF(AND(J135&gt;0,J135&lt;14999),"120",IF(AND(J135&gt;0,J135&lt;17999),"180",IF(AND(J135&gt;0,J135&lt;22000),"360","error")))))))</f>
        <v>60</v>
      </c>
      <c r="AN135" s="66"/>
      <c r="AP135" s="146">
        <f>(VLOOKUP(F135,Terasehind!$A$2:$B$171,2,FALSE))</f>
        <v>0.92</v>
      </c>
      <c r="AQ135" s="50">
        <f>(VLOOKUP(F135,Terasehind!$A$2:$C$171,3,FALSE))</f>
        <v>1.1000000000000001</v>
      </c>
      <c r="AR135" s="138">
        <f t="shared" si="218"/>
        <v>13289.057760000005</v>
      </c>
      <c r="AT135" s="62"/>
      <c r="AU135" s="62"/>
      <c r="AV135" s="62"/>
      <c r="AW135" s="62"/>
      <c r="AX135" s="62"/>
      <c r="AY135" s="62"/>
      <c r="AZ135" s="77"/>
      <c r="BA135" s="188">
        <f t="shared" ref="BA135:BA138" si="221">(H135*2+J135*2)*2*2/60/1000*L135</f>
        <v>38.533333333333331</v>
      </c>
      <c r="BB135" s="283"/>
      <c r="BC135" s="62"/>
      <c r="BD135" s="284"/>
      <c r="BE135" s="131"/>
      <c r="BF135"/>
      <c r="BG135" s="57"/>
      <c r="BH135" s="57"/>
      <c r="BI135" s="57"/>
      <c r="BJ135" s="57"/>
      <c r="BK135" s="57"/>
      <c r="BL135" s="109"/>
      <c r="BM135" s="109"/>
      <c r="BN135" s="109"/>
      <c r="BO135" s="83"/>
      <c r="BQ135" s="83"/>
      <c r="BR135" s="83"/>
    </row>
    <row r="136" spans="1:70" s="50" customFormat="1" ht="14.95" x14ac:dyDescent="0.25">
      <c r="A136" s="116">
        <f t="shared" si="219"/>
        <v>27.2866</v>
      </c>
      <c r="B136" s="116">
        <f t="shared" si="214"/>
        <v>927.74440000000004</v>
      </c>
      <c r="C136" s="118" t="s">
        <v>346</v>
      </c>
      <c r="D136" s="117" t="s">
        <v>88</v>
      </c>
      <c r="E136" s="117"/>
      <c r="F136" s="355" t="s">
        <v>86</v>
      </c>
      <c r="G136" s="117" t="s">
        <v>83</v>
      </c>
      <c r="H136" s="119">
        <v>220</v>
      </c>
      <c r="I136" s="118" t="s">
        <v>77</v>
      </c>
      <c r="J136" s="119">
        <v>790</v>
      </c>
      <c r="K136" s="119">
        <v>2</v>
      </c>
      <c r="L136" s="119">
        <f>K$136*L$133</f>
        <v>34</v>
      </c>
      <c r="M136" s="116">
        <f t="shared" si="215"/>
        <v>11.8184</v>
      </c>
      <c r="N136" s="118" t="s">
        <v>84</v>
      </c>
      <c r="P136" s="118"/>
      <c r="Q136" s="135">
        <v>8</v>
      </c>
      <c r="R136" s="118"/>
      <c r="S136" s="118"/>
      <c r="T136" s="118"/>
      <c r="U136" s="118"/>
      <c r="V136" s="118"/>
      <c r="W136" s="118"/>
      <c r="X136" s="118"/>
      <c r="Y136" s="118"/>
      <c r="Z136" s="118"/>
      <c r="AA136" s="118"/>
      <c r="AB136" s="118" t="s">
        <v>78</v>
      </c>
      <c r="AC136" s="136">
        <f>((((H136+J136)*2/1000)*L136*(5/(VLOOKUP(F136,[2]Plasmalõikus!$A$7:$E$46,2,FALSE)/1000*60)))+(Q136*L136*(5*(VLOOKUP(F136,[2]Plasmalõikus!$A$7:$E$48,3,FALSE))/60/60)))</f>
        <v>8.1104166666666675</v>
      </c>
      <c r="AD136" s="353"/>
      <c r="AE136" s="136"/>
      <c r="AF136" s="137"/>
      <c r="AG136" s="137">
        <f t="shared" si="216"/>
        <v>0</v>
      </c>
      <c r="AH136" s="136"/>
      <c r="AI136" s="132">
        <f t="shared" si="217"/>
        <v>17</v>
      </c>
      <c r="AJ136" s="343">
        <f>(H136*4*AK136+J136*2*AK136)*L136/1000</f>
        <v>167.28</v>
      </c>
      <c r="AK136" s="50">
        <v>2</v>
      </c>
      <c r="AL136" s="69" t="str">
        <f>IF(AND(Q136&gt;0,A136&lt;3),"10",IF(AND(Q136&gt;0,A136&lt;10),"15",IF(AND(Q136&gt;0,A136&lt;20),"20",IF(AND(Q136&gt;0,A136&lt;500),"30",IF(AND(Q136=0,A136&lt;3),"2",IF(AND(Q136=0,A136&lt;10),"5",IF(AND(Q136=0,A136&lt;20),"10",IF(AND(Q136=0,A136&lt;500),"20","2"))))))))</f>
        <v>30</v>
      </c>
      <c r="AN136" s="66"/>
      <c r="AP136" s="146">
        <f>(VLOOKUP(F136,Terasehind!$A$2:$B$171,2,FALSE))</f>
        <v>0.92</v>
      </c>
      <c r="AQ136" s="50">
        <f>(VLOOKUP(F136,Terasehind!$A$2:$C$171,3,FALSE))</f>
        <v>1.1000000000000001</v>
      </c>
      <c r="AR136" s="138">
        <f>AP136*AQ136*B136</f>
        <v>938.8773328000002</v>
      </c>
      <c r="AT136" s="62"/>
      <c r="AU136" s="62"/>
      <c r="AV136" s="62"/>
      <c r="AW136" s="62"/>
      <c r="AX136" s="62"/>
      <c r="AY136" s="62"/>
      <c r="AZ136" s="77"/>
      <c r="BA136" s="188">
        <f t="shared" si="221"/>
        <v>4.578666666666666</v>
      </c>
      <c r="BB136" s="283"/>
      <c r="BC136" s="62"/>
      <c r="BD136" s="284"/>
      <c r="BE136" s="131"/>
      <c r="BF136"/>
      <c r="BG136" s="57"/>
      <c r="BH136" s="57"/>
      <c r="BI136" s="57"/>
      <c r="BJ136" s="57"/>
      <c r="BK136" s="57"/>
      <c r="BL136" s="109"/>
      <c r="BM136" s="109"/>
      <c r="BN136" s="109"/>
      <c r="BO136" s="83"/>
      <c r="BQ136" s="83"/>
      <c r="BR136" s="83"/>
    </row>
    <row r="137" spans="1:70" s="50" customFormat="1" ht="14.95" x14ac:dyDescent="0.25">
      <c r="A137" s="116">
        <f t="shared" si="219"/>
        <v>6.8295000000000003</v>
      </c>
      <c r="B137" s="116">
        <f t="shared" si="214"/>
        <v>464.40600000000001</v>
      </c>
      <c r="C137" s="118" t="s">
        <v>93</v>
      </c>
      <c r="D137" s="117" t="s">
        <v>340</v>
      </c>
      <c r="E137" s="117"/>
      <c r="F137" s="355" t="s">
        <v>82</v>
      </c>
      <c r="G137" s="117" t="s">
        <v>83</v>
      </c>
      <c r="H137" s="119">
        <v>145</v>
      </c>
      <c r="I137" s="118" t="s">
        <v>77</v>
      </c>
      <c r="J137" s="119">
        <v>600</v>
      </c>
      <c r="K137" s="119">
        <v>4</v>
      </c>
      <c r="L137" s="119">
        <f>K$137*L$133</f>
        <v>68</v>
      </c>
      <c r="M137" s="116">
        <f t="shared" si="215"/>
        <v>11.831999999999999</v>
      </c>
      <c r="N137" s="118" t="s">
        <v>84</v>
      </c>
      <c r="P137" s="118"/>
      <c r="Q137" s="135"/>
      <c r="R137" s="118"/>
      <c r="S137" s="118"/>
      <c r="T137" s="118"/>
      <c r="U137" s="118"/>
      <c r="V137" s="118"/>
      <c r="W137" s="118"/>
      <c r="X137" s="118"/>
      <c r="Y137" s="118"/>
      <c r="Z137" s="118"/>
      <c r="AA137" s="118"/>
      <c r="AB137" s="118" t="s">
        <v>78</v>
      </c>
      <c r="AC137" s="136">
        <f>((((H137+J137)*2/1000)*L137*(5/(VLOOKUP(F137,[2]Plasmalõikus!$A$7:$E$46,2,FALSE)/1000*60)))+(Q137*L137*(5*(VLOOKUP(F137,[2]Plasmalõikus!$A$7:$E$48,3,FALSE))/60/60)))</f>
        <v>3.3773333333333331</v>
      </c>
      <c r="AD137" s="353"/>
      <c r="AE137" s="136"/>
      <c r="AF137" s="137"/>
      <c r="AG137" s="137">
        <f t="shared" si="216"/>
        <v>0</v>
      </c>
      <c r="AH137" s="136"/>
      <c r="AI137" s="132">
        <f t="shared" si="217"/>
        <v>5.666666666666667</v>
      </c>
      <c r="AJ137" s="343">
        <f>(H137*4*AK137+J137*2*AK137)*L137/1000</f>
        <v>242.08</v>
      </c>
      <c r="AK137" s="50">
        <v>2</v>
      </c>
      <c r="AL137" s="69" t="str">
        <f>IF(AND(Q137&gt;0,A137&lt;3),"10",IF(AND(Q137&gt;0,A137&lt;10),"15",IF(AND(Q137&gt;0,A137&lt;20),"20",IF(AND(Q137&gt;0,A137&lt;500),"30",IF(AND(Q137=0,A137&lt;3),"2",IF(AND(Q137=0,A137&lt;10),"5",IF(AND(Q137=0,A137&lt;20),"10",IF(AND(Q137=0,A137&lt;500),"20","2"))))))))</f>
        <v>5</v>
      </c>
      <c r="AN137" s="66"/>
      <c r="AP137" s="146">
        <f>(VLOOKUP(F137,Terasehind!$A$2:$B$171,2,FALSE))</f>
        <v>0.92</v>
      </c>
      <c r="AQ137" s="50">
        <f>(VLOOKUP(F137,Terasehind!$A$2:$C$171,3,FALSE))</f>
        <v>1.1000000000000001</v>
      </c>
      <c r="AR137" s="138">
        <f t="shared" ref="AR137:AR140" si="222">AP137*AQ137*B137</f>
        <v>469.97887200000014</v>
      </c>
      <c r="AT137" s="62"/>
      <c r="AU137" s="62"/>
      <c r="AV137" s="62"/>
      <c r="AW137" s="62"/>
      <c r="AX137" s="62"/>
      <c r="AY137" s="62"/>
      <c r="AZ137" s="77"/>
      <c r="BA137" s="188">
        <f t="shared" si="221"/>
        <v>6.7546666666666662</v>
      </c>
      <c r="BB137" s="283"/>
      <c r="BC137" s="62"/>
      <c r="BD137" s="284"/>
      <c r="BE137" s="131"/>
      <c r="BF137"/>
      <c r="BG137" s="57"/>
      <c r="BH137" s="57"/>
      <c r="BI137" s="57"/>
      <c r="BJ137" s="57"/>
      <c r="BK137" s="57"/>
      <c r="BL137" s="109"/>
      <c r="BM137" s="109"/>
      <c r="BN137" s="109"/>
      <c r="BO137" s="83"/>
      <c r="BQ137" s="83"/>
      <c r="BR137" s="83"/>
    </row>
    <row r="138" spans="1:70" s="50" customFormat="1" ht="14.95" x14ac:dyDescent="0.25">
      <c r="A138" s="116">
        <f t="shared" si="219"/>
        <v>36.596699999999998</v>
      </c>
      <c r="B138" s="116">
        <f t="shared" si="214"/>
        <v>2488.5756000000001</v>
      </c>
      <c r="C138" s="118"/>
      <c r="D138" s="117" t="s">
        <v>341</v>
      </c>
      <c r="E138" s="117"/>
      <c r="F138" s="355" t="s">
        <v>87</v>
      </c>
      <c r="G138" s="117" t="s">
        <v>83</v>
      </c>
      <c r="H138" s="119">
        <v>296</v>
      </c>
      <c r="I138" s="118" t="s">
        <v>77</v>
      </c>
      <c r="J138" s="119">
        <v>1050</v>
      </c>
      <c r="K138" s="119">
        <f>K137</f>
        <v>4</v>
      </c>
      <c r="L138" s="119">
        <f>K$138*L$133</f>
        <v>68</v>
      </c>
      <c r="M138" s="116">
        <f t="shared" ref="M138" si="223">2*H138*J138/10^6*L138</f>
        <v>42.268800000000006</v>
      </c>
      <c r="N138" s="118" t="s">
        <v>84</v>
      </c>
      <c r="P138" s="118"/>
      <c r="Q138" s="135">
        <v>2</v>
      </c>
      <c r="R138" s="118"/>
      <c r="S138" s="118"/>
      <c r="T138" s="118"/>
      <c r="U138" s="118"/>
      <c r="V138" s="118"/>
      <c r="W138" s="118"/>
      <c r="X138" s="118"/>
      <c r="Y138" s="118"/>
      <c r="Z138" s="118"/>
      <c r="AA138" s="118"/>
      <c r="AB138" s="118" t="s">
        <v>78</v>
      </c>
      <c r="AC138" s="136">
        <f>((((H138+J138)*2/1000)*L138*(5/(VLOOKUP(F138,[2]Plasmalõikus!$A$7:$E$46,2,FALSE)/1000*60)))+(Q138*L138*(5*(VLOOKUP(F138,[2]Plasmalõikus!$A$7:$E$48,3,FALSE))/60/60)))</f>
        <v>10.174814814814816</v>
      </c>
      <c r="AD138" s="353"/>
      <c r="AE138" s="136"/>
      <c r="AF138" s="137"/>
      <c r="AG138" s="137">
        <f>IF(VALUE(MID(F138,SEARCH(" ",F138)+1,LEN(F138)))&lt;35,0,IF(VALUE(MID(F138,SEARCH(" ",F138)+1,LEN(F138)))&lt;40,3,IF(VALUE(MID(F138,SEARCH(" ",F138)+1,LEN(F138)))&lt;50,4,IF(VALUE(MID(F138,SEARCH(" ",F138)+1,LEN(F138)))&lt;60,5,IF(VALUE(MID(F138,SEARCH(" ",F138)+1,LEN(F138)))&lt;70,6,IF(VALUE(MID(F138,SEARCH(" ",F138)+1,LEN(F138)))&lt;80,7,IF(VALUE(MID(F138,SEARCH(" ",F138)+1,LEN(F138)))&lt;90,8,IF(VALUE(MID(F138,SEARCH(" ",F138)+1,LEN(F138)))&lt;100,9,10))))))))/60*Q138*L138</f>
        <v>0</v>
      </c>
      <c r="AH138" s="136"/>
      <c r="AI138" s="132">
        <f>AL138*L138/60</f>
        <v>34</v>
      </c>
      <c r="AJ138" s="343">
        <f>(J138*2*AK138)*L138/1000</f>
        <v>285.60000000000002</v>
      </c>
      <c r="AK138" s="50">
        <v>2</v>
      </c>
      <c r="AL138" s="69" t="str">
        <f>IF(AND(Q138&gt;0,A138&lt;3),"10",IF(AND(Q138&gt;0,A138&lt;10),"15",IF(AND(Q138&gt;0,A138&lt;20),"20",IF(AND(Q138&gt;0,A138&lt;500),"30",IF(AND(Q138=0,A138&lt;3),"2",IF(AND(Q138=0,A138&lt;10),"5",IF(AND(Q138=0,A138&lt;20),"10",IF(AND(Q138=0,A138&lt;500),"20","2"))))))))</f>
        <v>30</v>
      </c>
      <c r="AN138" s="66"/>
      <c r="AP138" s="146">
        <f>(VLOOKUP(F138,Terasehind!$A$2:$B$171,2,FALSE))</f>
        <v>0.92</v>
      </c>
      <c r="AQ138" s="50">
        <f>(VLOOKUP(F138,Terasehind!$A$2:$C$171,3,FALSE))</f>
        <v>1.1000000000000001</v>
      </c>
      <c r="AR138" s="138">
        <f t="shared" si="222"/>
        <v>2518.4385072000009</v>
      </c>
      <c r="AT138" s="62"/>
      <c r="AU138" s="62"/>
      <c r="AV138" s="62"/>
      <c r="AW138" s="62"/>
      <c r="AX138" s="62"/>
      <c r="AY138" s="62"/>
      <c r="AZ138" s="77"/>
      <c r="BA138" s="188">
        <f t="shared" si="221"/>
        <v>12.203733333333332</v>
      </c>
      <c r="BB138" s="283"/>
      <c r="BC138" s="62"/>
      <c r="BD138" s="284"/>
      <c r="BE138" s="131"/>
      <c r="BF138"/>
      <c r="BG138" s="57"/>
      <c r="BH138" s="57"/>
      <c r="BI138" s="57"/>
      <c r="BJ138" s="57"/>
      <c r="BK138" s="57"/>
      <c r="BL138" s="109"/>
      <c r="BM138" s="109"/>
      <c r="BN138" s="109"/>
      <c r="BO138" s="83"/>
      <c r="BQ138" s="83"/>
      <c r="BR138" s="83"/>
    </row>
    <row r="139" spans="1:70" s="50" customFormat="1" ht="14.95" x14ac:dyDescent="0.25">
      <c r="A139" s="116">
        <f xml:space="preserve"> 8.96*J139/10^3</f>
        <v>73.471999999999994</v>
      </c>
      <c r="B139" s="116">
        <f>A139*L139</f>
        <v>1249.0239999999999</v>
      </c>
      <c r="C139" s="295"/>
      <c r="D139" s="117" t="s">
        <v>343</v>
      </c>
      <c r="E139" s="117"/>
      <c r="F139" s="355" t="s">
        <v>406</v>
      </c>
      <c r="G139" s="140" t="s">
        <v>79</v>
      </c>
      <c r="H139" s="119">
        <v>100</v>
      </c>
      <c r="I139" s="118" t="s">
        <v>77</v>
      </c>
      <c r="J139" s="119">
        <f>J134</f>
        <v>8200</v>
      </c>
      <c r="K139" s="119">
        <v>1</v>
      </c>
      <c r="L139" s="119">
        <f>K$139*L$133</f>
        <v>17</v>
      </c>
      <c r="M139" s="131">
        <f xml:space="preserve"> 0.39*J139*L139/10^3</f>
        <v>54.366</v>
      </c>
      <c r="N139" s="118"/>
      <c r="O139" s="118"/>
      <c r="P139" s="118" t="s">
        <v>78</v>
      </c>
      <c r="Q139" s="135"/>
      <c r="R139" s="118"/>
      <c r="S139" s="118"/>
      <c r="T139" s="118"/>
      <c r="U139" s="118"/>
      <c r="V139" s="118"/>
      <c r="W139" s="118"/>
      <c r="Y139" s="118"/>
      <c r="Z139" s="118"/>
      <c r="AA139" s="118"/>
      <c r="AB139" s="118" t="s">
        <v>78</v>
      </c>
      <c r="AC139" s="116"/>
      <c r="AD139" s="83"/>
      <c r="AE139" s="136">
        <f t="shared" ref="AE139" si="224">(H139/20/60)*2*L139</f>
        <v>2.833333333333333</v>
      </c>
      <c r="AF139" s="137"/>
      <c r="AG139" s="132"/>
      <c r="AH139" s="83"/>
      <c r="AI139" s="132">
        <f t="shared" ref="AI139:AI140" si="225">AL139*L139/60</f>
        <v>5.666666666666667</v>
      </c>
      <c r="AJ139" s="70">
        <f>(H139*4*AK139)*2*L139/1000+(J139*2*AK139*1/2)*L139/1000</f>
        <v>153</v>
      </c>
      <c r="AK139" s="50">
        <f>(VLOOKUP(F139,[2]Koostamine!$A$12:$P$1612,7,FALSE))</f>
        <v>1</v>
      </c>
      <c r="AL139" s="69">
        <f>VLOOKUP(F139,[2]Koostamine!$A$12:$P$1612,IF(J139&lt;1499,11,IF(J139&lt;2999,12,IF(J139&lt;5999,13,IF(J139&lt;9999,14,IF(J139&lt;12999,15,IF(J139&gt;13000,16)))))),FALSE)</f>
        <v>20</v>
      </c>
      <c r="AP139" s="146">
        <f>(VLOOKUP(F139,Terasehind!$A$2:$B$171,2,FALSE))</f>
        <v>0.92</v>
      </c>
      <c r="AQ139" s="50">
        <f>(VLOOKUP(F139,Terasehind!$A$2:$C$171,3,FALSE))</f>
        <v>1.1000000000000001</v>
      </c>
      <c r="AR139" s="138">
        <f t="shared" si="222"/>
        <v>1264.0122880000001</v>
      </c>
      <c r="AT139" s="60"/>
      <c r="AU139" s="77"/>
      <c r="AV139" s="77"/>
      <c r="AW139" s="77"/>
      <c r="AX139" s="121"/>
      <c r="AY139" s="77"/>
      <c r="AZ139" s="77"/>
      <c r="BA139" s="188">
        <f>(H139*6*2+J139*8)*2/60/1000*L139</f>
        <v>37.853333333333332</v>
      </c>
      <c r="BB139" s="283"/>
      <c r="BC139" s="62"/>
      <c r="BD139" s="284"/>
      <c r="BE139" s="131"/>
      <c r="BF139"/>
      <c r="BG139" s="57"/>
      <c r="BH139" s="57"/>
      <c r="BI139" s="57"/>
      <c r="BJ139" s="57"/>
      <c r="BK139" s="57"/>
      <c r="BL139" s="60"/>
      <c r="BM139" s="57"/>
      <c r="BN139" s="60"/>
      <c r="BO139" s="83"/>
      <c r="BQ139" s="109"/>
    </row>
    <row r="140" spans="1:70" s="50" customFormat="1" ht="14.95" x14ac:dyDescent="0.25">
      <c r="A140" s="116">
        <f t="shared" ref="A140" si="226">H140*J140*(RIGHT(F140,2))*7.85/(10^6)</f>
        <v>0.12559999999999999</v>
      </c>
      <c r="B140" s="116">
        <f t="shared" ref="B140" si="227">A140*L140</f>
        <v>4.2703999999999995</v>
      </c>
      <c r="C140" s="118" t="s">
        <v>80</v>
      </c>
      <c r="D140" s="117" t="s">
        <v>341</v>
      </c>
      <c r="E140" s="117"/>
      <c r="F140" s="355" t="s">
        <v>487</v>
      </c>
      <c r="G140" s="117" t="s">
        <v>83</v>
      </c>
      <c r="H140" s="119">
        <v>40</v>
      </c>
      <c r="I140" s="118" t="s">
        <v>77</v>
      </c>
      <c r="J140" s="119">
        <v>100</v>
      </c>
      <c r="K140" s="119">
        <v>2</v>
      </c>
      <c r="L140" s="119">
        <f>K$140*L$133</f>
        <v>34</v>
      </c>
      <c r="M140" s="116">
        <f t="shared" ref="M140" si="228">2*H140*J140/10^6*L140</f>
        <v>0.27200000000000002</v>
      </c>
      <c r="N140" s="118" t="s">
        <v>84</v>
      </c>
      <c r="P140" s="118"/>
      <c r="Q140" s="135"/>
      <c r="R140" s="118"/>
      <c r="S140" s="118"/>
      <c r="T140" s="118"/>
      <c r="U140" s="118"/>
      <c r="V140" s="118"/>
      <c r="W140" s="118"/>
      <c r="X140" s="118"/>
      <c r="Y140" s="118"/>
      <c r="Z140" s="118"/>
      <c r="AA140" s="118"/>
      <c r="AB140" s="118" t="s">
        <v>78</v>
      </c>
      <c r="AC140" s="347"/>
      <c r="AD140" s="353"/>
      <c r="AE140" s="136"/>
      <c r="AF140" s="137"/>
      <c r="AG140" s="137">
        <f t="shared" ref="AG140" si="229">IF(VALUE(MID(F140,SEARCH(" ",F140)+1,LEN(F140)))&lt;35,0,IF(VALUE(MID(F140,SEARCH(" ",F140)+1,LEN(F140)))&lt;40,3,IF(VALUE(MID(F140,SEARCH(" ",F140)+1,LEN(F140)))&lt;50,4,IF(VALUE(MID(F140,SEARCH(" ",F140)+1,LEN(F140)))&lt;60,5,IF(VALUE(MID(F140,SEARCH(" ",F140)+1,LEN(F140)))&lt;70,6,IF(VALUE(MID(F140,SEARCH(" ",F140)+1,LEN(F140)))&lt;80,7,IF(VALUE(MID(F140,SEARCH(" ",F140)+1,LEN(F140)))&lt;90,8,IF(VALUE(MID(F140,SEARCH(" ",F140)+1,LEN(F140)))&lt;100,9,10))))))))/60*Q140*L140</f>
        <v>0</v>
      </c>
      <c r="AH140" s="136"/>
      <c r="AI140" s="132">
        <f t="shared" si="225"/>
        <v>1.1333333333333333</v>
      </c>
      <c r="AJ140" s="343"/>
      <c r="AL140" s="165" t="str">
        <f t="shared" ref="AL140" si="230">IF(A140&gt;40,"30",IF(A140&gt;10,"10",IF(A140&gt;20,"20","2")))</f>
        <v>2</v>
      </c>
      <c r="AN140" s="66"/>
      <c r="AP140" s="146">
        <f>(VLOOKUP(F140,Terasehind!$A$2:$B$171,2,FALSE))</f>
        <v>0.92</v>
      </c>
      <c r="AQ140" s="50">
        <f>(VLOOKUP(F140,Terasehind!$A$2:$C$171,3,FALSE))</f>
        <v>1.1000000000000001</v>
      </c>
      <c r="AR140" s="138">
        <f t="shared" si="222"/>
        <v>4.3216448000000005</v>
      </c>
      <c r="AS140"/>
      <c r="AT140"/>
      <c r="AU140"/>
      <c r="AV140"/>
      <c r="AW140"/>
      <c r="AX140"/>
      <c r="AY140"/>
      <c r="AZ140"/>
      <c r="BA140" s="188">
        <f>(H140*2+J140*2)*2*2/60/1000*L140</f>
        <v>0.63466666666666671</v>
      </c>
      <c r="BB140" s="189"/>
      <c r="BC140" s="57"/>
      <c r="BD140" s="57"/>
      <c r="BE140" s="57"/>
      <c r="BF140" s="57"/>
      <c r="BG140" s="57"/>
      <c r="BH140" s="57"/>
      <c r="BI140" s="57"/>
      <c r="BJ140" s="57"/>
      <c r="BK140" s="109"/>
      <c r="BL140" s="109"/>
      <c r="BM140" s="109"/>
      <c r="BN140" s="83"/>
      <c r="BP140" s="83"/>
      <c r="BQ140" s="83"/>
    </row>
    <row r="141" spans="1:70" customFormat="1" ht="14.95" x14ac:dyDescent="0.25"/>
    <row r="142" spans="1:70" customFormat="1" ht="15.8" x14ac:dyDescent="0.25">
      <c r="B142" s="22"/>
      <c r="F142" s="296"/>
      <c r="M142" s="282"/>
      <c r="AD142" s="328" t="s">
        <v>393</v>
      </c>
      <c r="AS142" s="50"/>
      <c r="AT142" s="62"/>
      <c r="AU142" s="62"/>
      <c r="AV142" s="62"/>
      <c r="AW142" s="62"/>
      <c r="AX142" s="62"/>
      <c r="AY142" s="62"/>
      <c r="AZ142" s="77"/>
      <c r="BA142" s="192"/>
      <c r="BB142" s="283"/>
      <c r="BC142" s="62"/>
      <c r="BD142" s="284"/>
      <c r="BE142" s="131"/>
    </row>
    <row r="143" spans="1:70" s="50" customFormat="1" ht="14.95" x14ac:dyDescent="0.25">
      <c r="A143" s="148">
        <f>B143/L143</f>
        <v>2855.293075</v>
      </c>
      <c r="B143" s="285">
        <f>SUM(B149,B148,B147,B146,B145,B144,0)</f>
        <v>5710.5861500000001</v>
      </c>
      <c r="C143" s="286">
        <f>(SUM(B146:B148)/B143)</f>
        <v>0.15630395489261642</v>
      </c>
      <c r="D143" s="149" t="s">
        <v>76</v>
      </c>
      <c r="E143" s="149"/>
      <c r="F143" s="357" t="s">
        <v>416</v>
      </c>
      <c r="G143" s="287" t="s">
        <v>5</v>
      </c>
      <c r="H143" s="150">
        <v>160</v>
      </c>
      <c r="I143" s="151" t="s">
        <v>77</v>
      </c>
      <c r="J143" s="150">
        <f>J144</f>
        <v>7850</v>
      </c>
      <c r="K143" s="134">
        <v>2</v>
      </c>
      <c r="L143" s="150">
        <f>$L$129*$K$143</f>
        <v>2</v>
      </c>
      <c r="M143" s="148">
        <f>SUM(M149,M148,M147,M146,M145,M144,0)</f>
        <v>76.605999999999995</v>
      </c>
      <c r="N143" s="151"/>
      <c r="O143" s="151"/>
      <c r="P143" s="151"/>
      <c r="Q143" s="151"/>
      <c r="R143" s="120"/>
      <c r="S143" s="120"/>
      <c r="T143" s="120"/>
      <c r="U143" s="120"/>
      <c r="V143" s="120"/>
      <c r="W143" s="118"/>
      <c r="X143" s="118" t="s">
        <v>78</v>
      </c>
      <c r="Y143" s="151">
        <v>4</v>
      </c>
      <c r="Z143" s="151"/>
      <c r="AA143" s="151"/>
      <c r="AB143" s="151"/>
      <c r="AC143" s="148">
        <f>SUM(AC149,AC148,AC147,AC146,AC145,AC144,0)</f>
        <v>8.2481481481481502</v>
      </c>
      <c r="AD143" s="148">
        <f>SUM(AD149,AD148,AD147,AD146,AD145,AD144,0)</f>
        <v>0</v>
      </c>
      <c r="AE143" s="148">
        <f>SUM(AE149,AE148,AE147,AE146,AE145,AE144,0)</f>
        <v>0.33333333333333331</v>
      </c>
      <c r="AF143" s="148">
        <f>SUM(AF149,AF148,AF147,AF146,AF145,AF144,0)</f>
        <v>0</v>
      </c>
      <c r="AG143" s="148">
        <f>SUM(AG149,AG148,AG147,AG146,AG145,AG144,0)</f>
        <v>0.16666666666666666</v>
      </c>
      <c r="AH143" s="107">
        <f>SUM(AC143:AG143)</f>
        <v>8.7481481481481502</v>
      </c>
      <c r="AI143" s="107">
        <f>SUM(AI149,AI148,AI147,AI146,AI145,AI144,0)</f>
        <v>9</v>
      </c>
      <c r="AJ143" s="148">
        <f>SUM(AJ149,AJ148,AJ147,AJ146,AJ145,AJ144,0)</f>
        <v>307.24</v>
      </c>
      <c r="AK143" s="107">
        <f>AJ143*10/60</f>
        <v>51.206666666666671</v>
      </c>
      <c r="AL143" s="148">
        <f>AH143+AI143+AK143</f>
        <v>68.954814814814824</v>
      </c>
      <c r="AM143" s="288">
        <f>B143/AL143</f>
        <v>82.816351045773388</v>
      </c>
      <c r="AN143" s="148">
        <f>AL143*46</f>
        <v>3171.9214814814818</v>
      </c>
      <c r="AO143" s="148">
        <f>AN143/B143</f>
        <v>0.55544586810611052</v>
      </c>
      <c r="AP143" s="148">
        <f>AR143/B143</f>
        <v>1.0190831033693453</v>
      </c>
      <c r="AQ143" s="67"/>
      <c r="AR143" s="148">
        <f>SUM(AR149,AR148,AR147,AR146,AR145,AR144,0)</f>
        <v>5819.5618558000015</v>
      </c>
      <c r="AT143" s="62"/>
      <c r="AU143" s="62"/>
      <c r="AV143" s="62"/>
      <c r="AW143" s="62"/>
      <c r="AX143" s="62"/>
      <c r="AY143" s="62"/>
      <c r="AZ143" s="77"/>
      <c r="BA143" s="148">
        <f>SUM(BA148,BA147,BA146,BA145,BA144,0)</f>
        <v>9.7279999999999998</v>
      </c>
      <c r="BB143" s="283"/>
      <c r="BC143" s="62"/>
      <c r="BD143" s="289"/>
      <c r="BF143" s="19"/>
      <c r="BG143" s="57"/>
      <c r="BH143" s="57"/>
      <c r="BI143" s="57"/>
      <c r="BJ143" s="57"/>
      <c r="BK143" s="60"/>
    </row>
    <row r="144" spans="1:70" s="50" customFormat="1" ht="14.95" x14ac:dyDescent="0.25">
      <c r="A144" s="116">
        <f>H144*J144*(RIGHT(F144,2))*7.85/(10^6)</f>
        <v>859.63387499999999</v>
      </c>
      <c r="B144" s="116">
        <f t="shared" ref="B144:B146" si="231">A144*L144</f>
        <v>1719.26775</v>
      </c>
      <c r="C144" s="118" t="s">
        <v>345</v>
      </c>
      <c r="D144" s="117" t="s">
        <v>76</v>
      </c>
      <c r="E144" s="290"/>
      <c r="F144" s="372" t="s">
        <v>87</v>
      </c>
      <c r="G144" s="292" t="s">
        <v>83</v>
      </c>
      <c r="H144" s="293">
        <v>930</v>
      </c>
      <c r="I144" s="291" t="s">
        <v>77</v>
      </c>
      <c r="J144" s="293">
        <v>7850</v>
      </c>
      <c r="K144" s="119">
        <v>1</v>
      </c>
      <c r="L144" s="119">
        <f>K$144*L$143</f>
        <v>2</v>
      </c>
      <c r="M144" s="116">
        <f t="shared" ref="M144:M146" si="232">2*H144*J144/10^6*L144</f>
        <v>29.202000000000002</v>
      </c>
      <c r="N144" s="118" t="s">
        <v>84</v>
      </c>
      <c r="P144" s="118"/>
      <c r="Q144" s="294"/>
      <c r="R144" s="118"/>
      <c r="S144" s="118"/>
      <c r="T144" s="118"/>
      <c r="U144" s="118"/>
      <c r="V144" s="118"/>
      <c r="W144" s="118"/>
      <c r="X144" s="118"/>
      <c r="Y144" s="118"/>
      <c r="Z144" s="118"/>
      <c r="AA144" s="118"/>
      <c r="AB144" s="118" t="s">
        <v>78</v>
      </c>
      <c r="AC144" s="136">
        <f>((((H144+J144)*2/1000)*L144*(5/(VLOOKUP(F144,[2]Plasmalõikus!$A$7:$E$46,2,FALSE)/1000*60)))+(Q144*L144*(5*(VLOOKUP(F144,[2]Plasmalõikus!$A$7:$E$48,3,FALSE))/60/60)))</f>
        <v>1.6259259259259258</v>
      </c>
      <c r="AD144" s="353"/>
      <c r="AE144" s="136"/>
      <c r="AF144" s="137"/>
      <c r="AG144" s="137">
        <f t="shared" ref="AG144:AG146" si="233">IF(VALUE(MID(F144,SEARCH(" ",F144)+1,LEN(F144)))&lt;35,0,IF(VALUE(MID(F144,SEARCH(" ",F144)+1,LEN(F144)))&lt;40,3,IF(VALUE(MID(F144,SEARCH(" ",F144)+1,LEN(F144)))&lt;50,4,IF(VALUE(MID(F144,SEARCH(" ",F144)+1,LEN(F144)))&lt;60,5,IF(VALUE(MID(F144,SEARCH(" ",F144)+1,LEN(F144)))&lt;70,6,IF(VALUE(MID(F144,SEARCH(" ",F144)+1,LEN(F144)))&lt;80,7,IF(VALUE(MID(F144,SEARCH(" ",F144)+1,LEN(F144)))&lt;90,8,IF(VALUE(MID(F144,SEARCH(" ",F144)+1,LEN(F144)))&lt;100,9,10))))))))/60*Q144*L144</f>
        <v>0</v>
      </c>
      <c r="AH144" s="136"/>
      <c r="AI144" s="132">
        <f t="shared" ref="AI144:AI146" si="234">AL144*L144/60</f>
        <v>1.3333333333333333</v>
      </c>
      <c r="AJ144" s="343">
        <f>(J144*4*AK144)*L144/1000</f>
        <v>125.6</v>
      </c>
      <c r="AK144" s="69">
        <v>2</v>
      </c>
      <c r="AL144" s="165" t="str">
        <f>IF(AND(J144&gt;0,J144&lt;2999),"20",IF(AND(J144&gt;0,J144&lt;5999),"30",IF(AND(J144&gt;0,J144&lt;7999),"40",IF(AND(J144&gt;0,J144&lt;11999),"60",IF(AND(J144&gt;0,J144&lt;14999),"120",IF(AND(J144&gt;0,J144&lt;17999),"180",IF(AND(J144&gt;0,J144&lt;22000),"360","error")))))))</f>
        <v>40</v>
      </c>
      <c r="AP144" s="146">
        <f>(VLOOKUP(F144,Terasehind!$A$2:$B$171,2,FALSE))</f>
        <v>0.92</v>
      </c>
      <c r="AQ144" s="50">
        <f>(VLOOKUP(F144,Terasehind!$A$2:$C$171,3,FALSE))</f>
        <v>1.1000000000000001</v>
      </c>
      <c r="AR144" s="138">
        <f t="shared" ref="AR144:AR145" si="235">AP144*AQ144*B144</f>
        <v>1739.8989630000003</v>
      </c>
      <c r="AT144" s="62"/>
      <c r="AU144" s="62"/>
      <c r="AV144" s="62"/>
      <c r="AW144" s="62"/>
      <c r="AX144" s="62"/>
      <c r="AY144" s="62"/>
      <c r="AZ144" s="77"/>
      <c r="BA144" s="188"/>
      <c r="BB144" s="283"/>
      <c r="BC144" s="62"/>
      <c r="BD144" s="284"/>
      <c r="BE144" s="131"/>
      <c r="BF144"/>
      <c r="BG144" s="57"/>
      <c r="BH144" s="57"/>
      <c r="BI144" s="57"/>
      <c r="BJ144" s="57"/>
      <c r="BK144" s="57"/>
      <c r="BL144" s="109"/>
      <c r="BM144" s="109"/>
      <c r="BN144" s="109"/>
      <c r="BO144" s="83"/>
      <c r="BQ144" s="83"/>
      <c r="BR144" s="83"/>
    </row>
    <row r="145" spans="1:70" s="50" customFormat="1" ht="14.95" x14ac:dyDescent="0.25">
      <c r="A145" s="116">
        <f t="shared" ref="A145:A146" si="236">H145*J145*(RIGHT(F145,2))*7.85/(10^6)</f>
        <v>739.47</v>
      </c>
      <c r="B145" s="116">
        <f t="shared" si="231"/>
        <v>2957.88</v>
      </c>
      <c r="C145" s="118" t="s">
        <v>345</v>
      </c>
      <c r="D145" s="117" t="s">
        <v>81</v>
      </c>
      <c r="E145" s="117"/>
      <c r="F145" s="372" t="s">
        <v>89</v>
      </c>
      <c r="G145" s="292" t="s">
        <v>83</v>
      </c>
      <c r="H145" s="293">
        <v>400</v>
      </c>
      <c r="I145" s="291" t="s">
        <v>77</v>
      </c>
      <c r="J145" s="293">
        <f>J144</f>
        <v>7850</v>
      </c>
      <c r="K145" s="119">
        <v>2</v>
      </c>
      <c r="L145" s="119">
        <f>K$145*L$143</f>
        <v>4</v>
      </c>
      <c r="M145" s="116">
        <f t="shared" si="232"/>
        <v>25.12</v>
      </c>
      <c r="N145" s="118" t="s">
        <v>84</v>
      </c>
      <c r="P145" s="118"/>
      <c r="Q145" s="135"/>
      <c r="R145" s="118"/>
      <c r="S145" s="118"/>
      <c r="T145" s="118"/>
      <c r="U145" s="118"/>
      <c r="V145" s="118"/>
      <c r="W145" s="118"/>
      <c r="X145" s="118"/>
      <c r="Y145" s="118"/>
      <c r="Z145" s="118"/>
      <c r="AA145" s="118"/>
      <c r="AB145" s="118" t="s">
        <v>78</v>
      </c>
      <c r="AC145" s="136">
        <f>((((H145+J145)*2/1000)*L145*(5/(VLOOKUP(F145,[2]Plasmalõikus!$A$7:$E$46,2,FALSE)/1000*60)))+(Q145*L145*(5*(VLOOKUP(F145,[2]Plasmalõikus!$A$7:$E$48,3,FALSE))/60/60)))</f>
        <v>4.5833333333333339</v>
      </c>
      <c r="AD145" s="353"/>
      <c r="AE145" s="136"/>
      <c r="AF145" s="137"/>
      <c r="AG145" s="137">
        <f t="shared" si="233"/>
        <v>0</v>
      </c>
      <c r="AH145" s="136"/>
      <c r="AI145" s="132">
        <f t="shared" si="234"/>
        <v>2.6666666666666665</v>
      </c>
      <c r="AJ145" s="343"/>
      <c r="AL145" s="165" t="str">
        <f t="shared" ref="AL145" si="237">IF(AND(J145&gt;0,J145&lt;2999),"20",IF(AND(J145&gt;0,J145&lt;5999),"30",IF(AND(J145&gt;0,J145&lt;7999),"40",IF(AND(J145&gt;0,J145&lt;11999),"60",IF(AND(J145&gt;0,J145&lt;14999),"120",IF(AND(J145&gt;0,J145&lt;17999),"180",IF(AND(J145&gt;0,J145&lt;22000),"360","error")))))))</f>
        <v>40</v>
      </c>
      <c r="AN145" s="66"/>
      <c r="AP145" s="146">
        <f>(VLOOKUP(F145,Terasehind!$A$2:$B$171,2,FALSE))</f>
        <v>0.92</v>
      </c>
      <c r="AQ145" s="50">
        <f>(VLOOKUP(F145,Terasehind!$A$2:$C$171,3,FALSE))</f>
        <v>1.1000000000000001</v>
      </c>
      <c r="AR145" s="138">
        <f t="shared" si="235"/>
        <v>2993.3745600000007</v>
      </c>
      <c r="AT145" s="62"/>
      <c r="AU145" s="62"/>
      <c r="AV145" s="62"/>
      <c r="AW145" s="62"/>
      <c r="AX145" s="62"/>
      <c r="AY145" s="62"/>
      <c r="AZ145" s="77"/>
      <c r="BA145" s="188">
        <f t="shared" ref="BA145:BA146" si="238">(H145*2+J145*2)*2*2/60/1000*L145</f>
        <v>4.4000000000000004</v>
      </c>
      <c r="BB145" s="283"/>
      <c r="BC145" s="62"/>
      <c r="BD145" s="284"/>
      <c r="BE145" s="131"/>
      <c r="BF145"/>
      <c r="BG145" s="57"/>
      <c r="BH145" s="57"/>
      <c r="BI145" s="57"/>
      <c r="BJ145" s="57"/>
      <c r="BK145" s="57"/>
      <c r="BL145" s="109"/>
      <c r="BM145" s="109"/>
      <c r="BN145" s="109"/>
      <c r="BO145" s="83"/>
      <c r="BQ145" s="83"/>
      <c r="BR145" s="83"/>
    </row>
    <row r="146" spans="1:70" s="50" customFormat="1" ht="14.95" x14ac:dyDescent="0.25">
      <c r="A146" s="116">
        <f t="shared" si="236"/>
        <v>90.432000000000002</v>
      </c>
      <c r="B146" s="116">
        <f t="shared" si="231"/>
        <v>361.72800000000001</v>
      </c>
      <c r="C146" s="118" t="s">
        <v>346</v>
      </c>
      <c r="D146" s="117" t="s">
        <v>88</v>
      </c>
      <c r="E146" s="117"/>
      <c r="F146" s="355" t="s">
        <v>89</v>
      </c>
      <c r="G146" s="117" t="s">
        <v>83</v>
      </c>
      <c r="H146" s="119">
        <v>300</v>
      </c>
      <c r="I146" s="118" t="s">
        <v>77</v>
      </c>
      <c r="J146" s="119">
        <v>1280</v>
      </c>
      <c r="K146" s="119">
        <v>2</v>
      </c>
      <c r="L146" s="119">
        <f>K$146*L$143</f>
        <v>4</v>
      </c>
      <c r="M146" s="116">
        <f t="shared" si="232"/>
        <v>3.0720000000000001</v>
      </c>
      <c r="N146" s="118" t="s">
        <v>84</v>
      </c>
      <c r="P146" s="118"/>
      <c r="Q146" s="135">
        <v>8</v>
      </c>
      <c r="R146" s="118"/>
      <c r="S146" s="118"/>
      <c r="T146" s="118"/>
      <c r="U146" s="118"/>
      <c r="V146" s="118"/>
      <c r="W146" s="118"/>
      <c r="X146" s="118"/>
      <c r="Y146" s="118"/>
      <c r="Z146" s="118"/>
      <c r="AA146" s="118"/>
      <c r="AB146" s="118" t="s">
        <v>78</v>
      </c>
      <c r="AC146" s="136">
        <f>((((H146+J146)*2/1000)*L146*(5/(VLOOKUP(F146,[2]Plasmalõikus!$A$7:$E$46,2,FALSE)/1000*60)))+(Q146*L146*(5*(VLOOKUP(F146,[2]Plasmalõikus!$A$7:$E$48,3,FALSE))/60/60)))</f>
        <v>1.7666666666666668</v>
      </c>
      <c r="AD146" s="353"/>
      <c r="AE146" s="136"/>
      <c r="AF146" s="137"/>
      <c r="AG146" s="137">
        <f t="shared" si="233"/>
        <v>0</v>
      </c>
      <c r="AH146" s="136"/>
      <c r="AI146" s="132">
        <f t="shared" si="234"/>
        <v>2</v>
      </c>
      <c r="AJ146" s="343">
        <f>(H146*4*AK146+J146*2*AK146)*L146/1000</f>
        <v>30.08</v>
      </c>
      <c r="AK146" s="50">
        <v>2</v>
      </c>
      <c r="AL146" s="69" t="str">
        <f>IF(AND(Q146&gt;0,A146&lt;3),"10",IF(AND(Q146&gt;0,A146&lt;10),"15",IF(AND(Q146&gt;0,A146&lt;20),"20",IF(AND(Q146&gt;0,A146&lt;500),"30",IF(AND(Q146=0,A146&lt;3),"2",IF(AND(Q146=0,A146&lt;10),"5",IF(AND(Q146=0,A146&lt;20),"10",IF(AND(Q146=0,A146&lt;500),"20","2"))))))))</f>
        <v>30</v>
      </c>
      <c r="AN146" s="66"/>
      <c r="AP146" s="146">
        <f>(VLOOKUP(F146,Terasehind!$A$2:$B$171,2,FALSE))</f>
        <v>0.92</v>
      </c>
      <c r="AQ146" s="50">
        <f>(VLOOKUP(F146,Terasehind!$A$2:$C$171,3,FALSE))</f>
        <v>1.1000000000000001</v>
      </c>
      <c r="AR146" s="138">
        <f>AP146*AQ146*B146</f>
        <v>366.06873600000011</v>
      </c>
      <c r="AT146" s="62"/>
      <c r="AU146" s="62"/>
      <c r="AV146" s="62"/>
      <c r="AW146" s="62"/>
      <c r="AX146" s="62"/>
      <c r="AY146" s="62"/>
      <c r="AZ146" s="77"/>
      <c r="BA146" s="188">
        <f t="shared" si="238"/>
        <v>0.84266666666666667</v>
      </c>
      <c r="BB146" s="283"/>
      <c r="BC146" s="62"/>
      <c r="BD146" s="284"/>
      <c r="BE146" s="131"/>
      <c r="BF146"/>
      <c r="BG146" s="57"/>
      <c r="BH146" s="57"/>
      <c r="BI146" s="57"/>
      <c r="BJ146" s="57"/>
      <c r="BK146" s="57"/>
      <c r="BL146" s="109"/>
      <c r="BM146" s="109"/>
      <c r="BN146" s="109"/>
      <c r="BO146" s="83"/>
      <c r="BQ146" s="83"/>
      <c r="BR146" s="83"/>
    </row>
    <row r="147" spans="1:70" s="50" customFormat="1" ht="14.95" x14ac:dyDescent="0.25">
      <c r="A147" s="116">
        <f xml:space="preserve"> 15.1*J147/10^3</f>
        <v>114.911</v>
      </c>
      <c r="B147" s="116">
        <f>A147*L147</f>
        <v>459.64400000000001</v>
      </c>
      <c r="C147" s="117"/>
      <c r="D147" s="117" t="s">
        <v>76</v>
      </c>
      <c r="E147" s="117"/>
      <c r="F147" s="355" t="s">
        <v>408</v>
      </c>
      <c r="G147" s="140" t="s">
        <v>83</v>
      </c>
      <c r="H147" s="119">
        <v>100</v>
      </c>
      <c r="I147" s="118" t="s">
        <v>77</v>
      </c>
      <c r="J147" s="119">
        <v>7610</v>
      </c>
      <c r="K147" s="50">
        <v>2</v>
      </c>
      <c r="L147" s="119">
        <f>K$147*L$143</f>
        <v>4</v>
      </c>
      <c r="M147" s="131">
        <f xml:space="preserve"> 0.39*J147*L147/10^3</f>
        <v>11.871600000000001</v>
      </c>
      <c r="N147" s="118"/>
      <c r="O147" s="118"/>
      <c r="P147" s="118" t="s">
        <v>78</v>
      </c>
      <c r="Q147" s="135">
        <v>4</v>
      </c>
      <c r="R147" s="118"/>
      <c r="S147" s="118"/>
      <c r="T147" s="118"/>
      <c r="U147" s="118"/>
      <c r="V147" s="118"/>
      <c r="W147" s="118"/>
      <c r="Y147" s="118"/>
      <c r="Z147" s="118"/>
      <c r="AA147" s="118"/>
      <c r="AB147" s="118" t="s">
        <v>78</v>
      </c>
      <c r="AC147" s="116"/>
      <c r="AD147" s="83"/>
      <c r="AE147" s="136"/>
      <c r="AF147" s="137"/>
      <c r="AG147" s="132">
        <f>Q147*L147*0.5/60+L147*0.5/60</f>
        <v>0.16666666666666666</v>
      </c>
      <c r="AH147" s="83"/>
      <c r="AI147" s="132">
        <f>AL147*L147/60</f>
        <v>1.3333333333333333</v>
      </c>
      <c r="AJ147" s="343">
        <f>(J147*2*AK147)*L147/1000</f>
        <v>121.76</v>
      </c>
      <c r="AK147" s="50">
        <f>(VLOOKUP(F147,[2]Koostamine!$A$12:$P$1612,7,FALSE))</f>
        <v>2</v>
      </c>
      <c r="AL147" s="69">
        <f>VLOOKUP(F147,[2]Koostamine!$A$12:$P$1612,IF(J147&lt;1499,11,IF(J147&lt;2999,12,IF(J147&lt;5999,13,IF(J147&lt;9999,14,IF(J147&lt;12999,15,IF(J147&gt;13000,16)))))),FALSE)</f>
        <v>20</v>
      </c>
      <c r="AP147" s="146">
        <f>(VLOOKUP(F147,Terasehind!$A$2:$B$171,2,FALSE))</f>
        <v>1</v>
      </c>
      <c r="AQ147" s="50">
        <f>(VLOOKUP(F147,Terasehind!$A$2:$C$171,3,FALSE))</f>
        <v>1.1000000000000001</v>
      </c>
      <c r="AR147" s="138">
        <f>AP147*AQ147*B147</f>
        <v>505.60840000000007</v>
      </c>
      <c r="AT147" s="62"/>
      <c r="AU147" s="62"/>
      <c r="AV147" s="62"/>
      <c r="AW147" s="62"/>
      <c r="AX147" s="62"/>
      <c r="AY147" s="62"/>
      <c r="AZ147"/>
      <c r="BA147" s="188">
        <f>(H147*4*2+J147*4)*2/60/1000*L147</f>
        <v>4.1653333333333329</v>
      </c>
      <c r="BB147" s="189"/>
      <c r="BC147" s="57"/>
      <c r="BD147" s="57"/>
      <c r="BE147" s="57"/>
      <c r="BF147" s="57"/>
      <c r="BG147" s="57"/>
      <c r="BH147" s="57"/>
      <c r="BI147" s="57"/>
      <c r="BJ147" s="60"/>
      <c r="BK147" s="57"/>
      <c r="BL147" s="60"/>
      <c r="BM147" s="83"/>
      <c r="BO147" s="109"/>
    </row>
    <row r="148" spans="1:70" s="50" customFormat="1" ht="14.95" x14ac:dyDescent="0.25">
      <c r="A148" s="116">
        <f t="shared" ref="A148" si="239">H148*J148*(RIGHT(F148,2))*7.85/(10^6)</f>
        <v>35.607599999999998</v>
      </c>
      <c r="B148" s="116">
        <f t="shared" ref="B148" si="240">A148*L148</f>
        <v>71.215199999999996</v>
      </c>
      <c r="C148" s="118"/>
      <c r="D148" s="117" t="s">
        <v>340</v>
      </c>
      <c r="E148" s="117"/>
      <c r="F148" s="355" t="s">
        <v>87</v>
      </c>
      <c r="G148" s="117" t="s">
        <v>83</v>
      </c>
      <c r="H148" s="119">
        <v>360</v>
      </c>
      <c r="I148" s="118" t="s">
        <v>77</v>
      </c>
      <c r="J148" s="119">
        <v>840</v>
      </c>
      <c r="K148" s="119">
        <v>1</v>
      </c>
      <c r="L148" s="119">
        <f>K$148*L$143</f>
        <v>2</v>
      </c>
      <c r="M148" s="116">
        <f t="shared" ref="M148" si="241">2*H148*J148/10^6*L148</f>
        <v>1.2096</v>
      </c>
      <c r="N148" s="118" t="s">
        <v>84</v>
      </c>
      <c r="P148" s="118"/>
      <c r="Q148" s="135">
        <v>2</v>
      </c>
      <c r="R148" s="118"/>
      <c r="S148" s="118"/>
      <c r="T148" s="118"/>
      <c r="U148" s="118"/>
      <c r="V148" s="118"/>
      <c r="W148" s="118"/>
      <c r="X148" s="118"/>
      <c r="Y148" s="118"/>
      <c r="Z148" s="118"/>
      <c r="AA148" s="118"/>
      <c r="AB148" s="118" t="s">
        <v>78</v>
      </c>
      <c r="AC148" s="136">
        <f>((((H148+J148)*2/1000)*L148*(5/(VLOOKUP(F148,[2]Plasmalõikus!$A$7:$E$46,2,FALSE)/1000*60)))+(Q148*L148*(5*(VLOOKUP(F148,[2]Plasmalõikus!$A$7:$E$48,3,FALSE))/60/60)))</f>
        <v>0.2722222222222222</v>
      </c>
      <c r="AD148" s="353"/>
      <c r="AE148" s="136"/>
      <c r="AF148" s="137"/>
      <c r="AG148" s="137">
        <f t="shared" ref="AG148" si="242">IF(VALUE(MID(F148,SEARCH(" ",F148)+1,LEN(F148)))&lt;35,0,IF(VALUE(MID(F148,SEARCH(" ",F148)+1,LEN(F148)))&lt;40,3,IF(VALUE(MID(F148,SEARCH(" ",F148)+1,LEN(F148)))&lt;50,4,IF(VALUE(MID(F148,SEARCH(" ",F148)+1,LEN(F148)))&lt;60,5,IF(VALUE(MID(F148,SEARCH(" ",F148)+1,LEN(F148)))&lt;70,6,IF(VALUE(MID(F148,SEARCH(" ",F148)+1,LEN(F148)))&lt;80,7,IF(VALUE(MID(F148,SEARCH(" ",F148)+1,LEN(F148)))&lt;90,8,IF(VALUE(MID(F148,SEARCH(" ",F148)+1,LEN(F148)))&lt;100,9,10))))))))/60*Q148*L148</f>
        <v>0</v>
      </c>
      <c r="AH148" s="136"/>
      <c r="AI148" s="132">
        <f t="shared" ref="AI148:AI149" si="243">AL148*L148/60</f>
        <v>1</v>
      </c>
      <c r="AJ148" s="343">
        <f>(H148*4*AK148+J148*2*AK148)*L148/1000</f>
        <v>12.48</v>
      </c>
      <c r="AK148" s="50">
        <v>2</v>
      </c>
      <c r="AL148" s="69" t="str">
        <f>IF(AND(Q148&gt;0,A148&lt;3),"10",IF(AND(Q148&gt;0,A148&lt;10),"15",IF(AND(Q148&gt;0,A148&lt;20),"20",IF(AND(Q148&gt;0,A148&lt;500),"30",IF(AND(Q148=0,A148&lt;3),"2",IF(AND(Q148=0,A148&lt;10),"5",IF(AND(Q148=0,A148&lt;20),"10",IF(AND(Q148=0,A148&lt;500),"20","2"))))))))</f>
        <v>30</v>
      </c>
      <c r="AN148" s="66"/>
      <c r="AP148" s="146">
        <f>(VLOOKUP(F148,Terasehind!$A$2:$B$171,2,FALSE))</f>
        <v>0.92</v>
      </c>
      <c r="AQ148" s="50">
        <f>(VLOOKUP(F148,Terasehind!$A$2:$C$171,3,FALSE))</f>
        <v>1.1000000000000001</v>
      </c>
      <c r="AR148" s="138">
        <f t="shared" ref="AR148:AR149" si="244">AP148*AQ148*B148</f>
        <v>72.069782400000008</v>
      </c>
      <c r="AT148" s="62"/>
      <c r="AU148" s="62"/>
      <c r="AV148" s="62"/>
      <c r="AW148" s="62"/>
      <c r="AX148" s="62"/>
      <c r="AY148" s="62"/>
      <c r="AZ148" s="77"/>
      <c r="BA148" s="188">
        <f t="shared" ref="BA148" si="245">(H148*2+J148*2)*2*2/60/1000*L148</f>
        <v>0.32</v>
      </c>
      <c r="BB148" s="283"/>
      <c r="BC148" s="62"/>
      <c r="BD148" s="284"/>
      <c r="BE148" s="131"/>
      <c r="BF148"/>
      <c r="BG148" s="57"/>
      <c r="BH148" s="57"/>
      <c r="BI148" s="57"/>
      <c r="BJ148" s="57"/>
      <c r="BK148" s="57"/>
      <c r="BL148" s="109"/>
      <c r="BM148" s="109"/>
      <c r="BN148" s="109"/>
      <c r="BO148" s="83"/>
      <c r="BQ148" s="83"/>
      <c r="BR148" s="83"/>
    </row>
    <row r="149" spans="1:70" s="50" customFormat="1" ht="14.95" x14ac:dyDescent="0.25">
      <c r="A149" s="116">
        <f xml:space="preserve"> 8.96*J149/10^3</f>
        <v>70.425600000000003</v>
      </c>
      <c r="B149" s="116">
        <f>A149*L149</f>
        <v>140.85120000000001</v>
      </c>
      <c r="C149" s="295"/>
      <c r="D149" s="117" t="s">
        <v>343</v>
      </c>
      <c r="E149" s="117"/>
      <c r="F149" s="355" t="s">
        <v>406</v>
      </c>
      <c r="G149" s="140" t="s">
        <v>79</v>
      </c>
      <c r="H149" s="119">
        <v>100</v>
      </c>
      <c r="I149" s="118" t="s">
        <v>77</v>
      </c>
      <c r="J149" s="119">
        <v>7860</v>
      </c>
      <c r="K149" s="119">
        <v>1</v>
      </c>
      <c r="L149" s="119">
        <f>K$149*L$143</f>
        <v>2</v>
      </c>
      <c r="M149" s="131">
        <f xml:space="preserve"> 0.39*J149*L149/10^3</f>
        <v>6.1307999999999998</v>
      </c>
      <c r="N149" s="118"/>
      <c r="O149" s="118"/>
      <c r="P149" s="118" t="s">
        <v>78</v>
      </c>
      <c r="Q149" s="135"/>
      <c r="R149" s="118"/>
      <c r="S149" s="118"/>
      <c r="T149" s="118"/>
      <c r="U149" s="118"/>
      <c r="V149" s="118"/>
      <c r="W149" s="118"/>
      <c r="Y149" s="118"/>
      <c r="Z149" s="118"/>
      <c r="AA149" s="118"/>
      <c r="AB149" s="118" t="s">
        <v>78</v>
      </c>
      <c r="AC149" s="116"/>
      <c r="AD149" s="83"/>
      <c r="AE149" s="136">
        <f t="shared" ref="AE149" si="246">(H149/20/60)*2*L149</f>
        <v>0.33333333333333331</v>
      </c>
      <c r="AF149" s="137"/>
      <c r="AG149" s="132"/>
      <c r="AH149" s="83"/>
      <c r="AI149" s="132">
        <f t="shared" si="243"/>
        <v>0.66666666666666663</v>
      </c>
      <c r="AJ149" s="70">
        <f>(H149*4*AK149)*2*L149/1000+(J149*2*AK149*1/2)*L149/1000</f>
        <v>17.32</v>
      </c>
      <c r="AK149" s="50">
        <f>(VLOOKUP(F149,[2]Koostamine!$A$12:$P$1612,7,FALSE))</f>
        <v>1</v>
      </c>
      <c r="AL149" s="69">
        <f>VLOOKUP(F149,[2]Koostamine!$A$12:$P$1612,IF(J149&lt;1499,11,IF(J149&lt;2999,12,IF(J149&lt;5999,13,IF(J149&lt;9999,14,IF(J149&lt;12999,15,IF(J149&gt;13000,16)))))),FALSE)</f>
        <v>20</v>
      </c>
      <c r="AP149" s="146">
        <f>(VLOOKUP(F149,Terasehind!$A$2:$B$171,2,FALSE))</f>
        <v>0.92</v>
      </c>
      <c r="AQ149" s="50">
        <f>(VLOOKUP(F149,Terasehind!$A$2:$C$171,3,FALSE))</f>
        <v>1.1000000000000001</v>
      </c>
      <c r="AR149" s="138">
        <f t="shared" si="244"/>
        <v>142.54141440000004</v>
      </c>
      <c r="AT149" s="60"/>
      <c r="AU149" s="77"/>
      <c r="AV149" s="77"/>
      <c r="AW149" s="77"/>
      <c r="AX149" s="121"/>
      <c r="AY149" s="77"/>
      <c r="AZ149" s="77"/>
      <c r="BA149" s="188">
        <f>(H149*6*2+J149*8)*2/60/1000*L149</f>
        <v>4.2720000000000002</v>
      </c>
      <c r="BB149" s="283"/>
      <c r="BC149" s="62"/>
      <c r="BD149" s="284"/>
      <c r="BE149" s="131"/>
      <c r="BF149"/>
      <c r="BG149" s="57"/>
      <c r="BH149" s="57"/>
      <c r="BI149" s="57"/>
      <c r="BJ149" s="57"/>
      <c r="BK149" s="57"/>
      <c r="BL149" s="60"/>
      <c r="BM149" s="57"/>
      <c r="BN149" s="60"/>
      <c r="BO149" s="83"/>
      <c r="BQ149" s="109"/>
    </row>
    <row r="150" spans="1:70" customFormat="1" ht="14.95" x14ac:dyDescent="0.25"/>
    <row r="151" spans="1:70" customFormat="1" ht="15.8" x14ac:dyDescent="0.25">
      <c r="B151" s="22"/>
      <c r="F151" s="296"/>
      <c r="M151" s="282"/>
      <c r="AD151" s="328" t="s">
        <v>393</v>
      </c>
      <c r="AS151" s="50"/>
      <c r="AT151" s="62"/>
      <c r="AU151" s="62"/>
      <c r="AV151" s="62"/>
      <c r="AW151" s="62"/>
      <c r="AX151" s="62"/>
      <c r="AY151" s="62"/>
      <c r="AZ151" s="77"/>
      <c r="BA151" s="192"/>
      <c r="BB151" s="283"/>
      <c r="BC151" s="62"/>
      <c r="BD151" s="284"/>
      <c r="BE151" s="131"/>
    </row>
    <row r="152" spans="1:70" s="50" customFormat="1" ht="14.95" x14ac:dyDescent="0.25">
      <c r="A152" s="148">
        <f>B152/L152</f>
        <v>4056.0282500000003</v>
      </c>
      <c r="B152" s="285">
        <f>SUM(B159,B158,B157,B156,B155,B154,B153,0)</f>
        <v>8112.0565000000006</v>
      </c>
      <c r="C152" s="286">
        <f>(SUM(B155:B156)/B152)</f>
        <v>0.16814034764180943</v>
      </c>
      <c r="D152" s="149" t="s">
        <v>76</v>
      </c>
      <c r="E152" s="149"/>
      <c r="F152" s="357" t="s">
        <v>417</v>
      </c>
      <c r="G152" s="287" t="s">
        <v>5</v>
      </c>
      <c r="H152" s="150">
        <v>160</v>
      </c>
      <c r="I152" s="151" t="s">
        <v>77</v>
      </c>
      <c r="J152" s="150">
        <f>J153</f>
        <v>7830</v>
      </c>
      <c r="K152" s="134">
        <v>2</v>
      </c>
      <c r="L152" s="150">
        <f>$L$129*$K$152</f>
        <v>2</v>
      </c>
      <c r="M152" s="148">
        <f>SUM(M159,M158,M157,M156,M155,M154,M153,0)</f>
        <v>95.110399999999998</v>
      </c>
      <c r="N152" s="151"/>
      <c r="O152" s="151"/>
      <c r="P152" s="151"/>
      <c r="Q152" s="151"/>
      <c r="R152" s="120"/>
      <c r="S152" s="120"/>
      <c r="T152" s="120"/>
      <c r="U152" s="120"/>
      <c r="V152" s="120"/>
      <c r="W152" s="118"/>
      <c r="X152" s="118" t="s">
        <v>78</v>
      </c>
      <c r="Y152" s="151">
        <v>4</v>
      </c>
      <c r="Z152" s="151"/>
      <c r="AA152" s="151"/>
      <c r="AB152" s="151"/>
      <c r="AC152" s="148">
        <f>SUM(AC159,AC158,AC157,AC156,AC155,AC154,AC153,0)</f>
        <v>7.5462962962962958</v>
      </c>
      <c r="AD152" s="148">
        <f>SUM(AD159,AD158,AD157,AD156,AD155,AD154,AD153,0)</f>
        <v>0</v>
      </c>
      <c r="AE152" s="148">
        <f>SUM(AE159,AE158,AE157,AE156,AE155,AE154,AE153,0)</f>
        <v>1.3333333333333333</v>
      </c>
      <c r="AF152" s="148">
        <f>SUM(AF159,AF158,AF157,AF156,AF155,AF154,AF153,0)</f>
        <v>0</v>
      </c>
      <c r="AG152" s="148">
        <f>SUM(AG159,AG158,AG157,AG156,AG155,AG154,AG153,0)</f>
        <v>0.16666666666666666</v>
      </c>
      <c r="AH152" s="107">
        <f>SUM(AC152:AG152)</f>
        <v>9.0462962962962958</v>
      </c>
      <c r="AI152" s="107">
        <f>SUM(AI159,AI158,AI157,AI156,AI155,AI154,AI153,0)</f>
        <v>18.533333333333331</v>
      </c>
      <c r="AJ152" s="148">
        <f>SUM(AJ159,AJ158,AJ157,AJ156,AJ155,AJ154,AJ153,0)</f>
        <v>482.91999999999996</v>
      </c>
      <c r="AK152" s="107">
        <f>AJ152*10/60</f>
        <v>80.486666666666665</v>
      </c>
      <c r="AL152" s="148">
        <f>AH152+AI152+AK152</f>
        <v>108.06629629629629</v>
      </c>
      <c r="AM152" s="288">
        <f>B152/AL152</f>
        <v>75.065554923418077</v>
      </c>
      <c r="AN152" s="148">
        <f>AL152*46</f>
        <v>4971.0496296296296</v>
      </c>
      <c r="AO152" s="148">
        <f>AN152/B152</f>
        <v>0.61279770790916321</v>
      </c>
      <c r="AP152" s="148">
        <f>AR152/B152</f>
        <v>1.2570273505861309</v>
      </c>
      <c r="AQ152" s="67"/>
      <c r="AR152" s="148">
        <f>SUM(AR159,AR158,AR157,AR156,AR155,AR154,AR153,0)</f>
        <v>10197.076890000002</v>
      </c>
      <c r="AT152" s="62"/>
      <c r="AU152" s="62"/>
      <c r="AV152" s="62"/>
      <c r="AW152" s="62"/>
      <c r="AX152" s="62"/>
      <c r="AY152" s="62"/>
      <c r="AZ152" s="77"/>
      <c r="BA152" s="148">
        <f>SUM(BA156,BA155,BA154,BA153,0)</f>
        <v>9.674666666666667</v>
      </c>
      <c r="BB152" s="283"/>
      <c r="BC152" s="62"/>
      <c r="BD152" s="289"/>
      <c r="BF152" s="19"/>
      <c r="BG152" s="57"/>
      <c r="BH152" s="57"/>
      <c r="BI152" s="57"/>
      <c r="BJ152" s="57"/>
      <c r="BK152" s="60"/>
    </row>
    <row r="153" spans="1:70" s="50" customFormat="1" ht="14.95" x14ac:dyDescent="0.25">
      <c r="A153" s="116">
        <f>H153*J153*(RIGHT(F153,2))*7.85/(10^6)</f>
        <v>1124.8186499999999</v>
      </c>
      <c r="B153" s="116">
        <f t="shared" ref="B153:B155" si="247">A153*L153</f>
        <v>2249.6372999999999</v>
      </c>
      <c r="C153" s="118" t="s">
        <v>345</v>
      </c>
      <c r="D153" s="117" t="s">
        <v>76</v>
      </c>
      <c r="E153" s="290"/>
      <c r="F153" s="372" t="s">
        <v>87</v>
      </c>
      <c r="G153" s="292" t="s">
        <v>83</v>
      </c>
      <c r="H153" s="293">
        <v>1220</v>
      </c>
      <c r="I153" s="291" t="s">
        <v>77</v>
      </c>
      <c r="J153" s="293">
        <v>7830</v>
      </c>
      <c r="K153" s="119">
        <v>1</v>
      </c>
      <c r="L153" s="119">
        <f>K$153*L$152</f>
        <v>2</v>
      </c>
      <c r="M153" s="116">
        <f t="shared" ref="M153:M155" si="248">2*H153*J153/10^6*L153</f>
        <v>38.2104</v>
      </c>
      <c r="N153" s="118" t="s">
        <v>84</v>
      </c>
      <c r="P153" s="118"/>
      <c r="Q153" s="294"/>
      <c r="R153" s="118"/>
      <c r="S153" s="118"/>
      <c r="T153" s="118"/>
      <c r="U153" s="118"/>
      <c r="V153" s="118"/>
      <c r="W153" s="118"/>
      <c r="X153" s="118"/>
      <c r="Y153" s="118"/>
      <c r="Z153" s="118"/>
      <c r="AA153" s="118"/>
      <c r="AB153" s="118" t="s">
        <v>78</v>
      </c>
      <c r="AC153" s="136">
        <f>((((H153+J153)*2/1000)*L153*(5/(VLOOKUP(F153,[2]Plasmalõikus!$A$7:$E$46,2,FALSE)/1000*60)))+(Q153*L153*(5*(VLOOKUP(F153,[2]Plasmalõikus!$A$7:$E$48,3,FALSE))/60/60)))</f>
        <v>1.675925925925926</v>
      </c>
      <c r="AD153" s="353"/>
      <c r="AE153" s="136"/>
      <c r="AF153" s="137"/>
      <c r="AG153" s="137">
        <f t="shared" ref="AG153:AG155" si="249">IF(VALUE(MID(F153,SEARCH(" ",F153)+1,LEN(F153)))&lt;35,0,IF(VALUE(MID(F153,SEARCH(" ",F153)+1,LEN(F153)))&lt;40,3,IF(VALUE(MID(F153,SEARCH(" ",F153)+1,LEN(F153)))&lt;50,4,IF(VALUE(MID(F153,SEARCH(" ",F153)+1,LEN(F153)))&lt;60,5,IF(VALUE(MID(F153,SEARCH(" ",F153)+1,LEN(F153)))&lt;70,6,IF(VALUE(MID(F153,SEARCH(" ",F153)+1,LEN(F153)))&lt;80,7,IF(VALUE(MID(F153,SEARCH(" ",F153)+1,LEN(F153)))&lt;90,8,IF(VALUE(MID(F153,SEARCH(" ",F153)+1,LEN(F153)))&lt;100,9,10))))))))/60*Q153*L153</f>
        <v>0</v>
      </c>
      <c r="AH153" s="136"/>
      <c r="AI153" s="132">
        <f t="shared" ref="AI153:AI155" si="250">AL153*L153/60</f>
        <v>1.3333333333333333</v>
      </c>
      <c r="AJ153" s="343">
        <f>(J153*4*AK153)*L153/1000</f>
        <v>125.28</v>
      </c>
      <c r="AK153" s="69">
        <v>2</v>
      </c>
      <c r="AL153" s="165" t="str">
        <f>IF(AND(J153&gt;0,J153&lt;2999),"20",IF(AND(J153&gt;0,J153&lt;5999),"30",IF(AND(J153&gt;0,J153&lt;7999),"40",IF(AND(J153&gt;0,J153&lt;11999),"60",IF(AND(J153&gt;0,J153&lt;14999),"120",IF(AND(J153&gt;0,J153&lt;17999),"180",IF(AND(J153&gt;0,J153&lt;22000),"360","error")))))))</f>
        <v>40</v>
      </c>
      <c r="AP153" s="146">
        <f>(VLOOKUP(F153,Terasehind!$A$2:$B$171,2,FALSE))</f>
        <v>0.92</v>
      </c>
      <c r="AQ153" s="50">
        <f>(VLOOKUP(F153,Terasehind!$A$2:$C$171,3,FALSE))</f>
        <v>1.1000000000000001</v>
      </c>
      <c r="AR153" s="138">
        <f t="shared" ref="AR153:AR154" si="251">AP153*AQ153*B153</f>
        <v>2276.6329476000005</v>
      </c>
      <c r="AT153" s="62"/>
      <c r="AU153" s="62"/>
      <c r="AV153" s="62"/>
      <c r="AW153" s="62"/>
      <c r="AX153" s="62"/>
      <c r="AY153" s="62"/>
      <c r="AZ153" s="77"/>
      <c r="BA153" s="188"/>
      <c r="BB153" s="283"/>
      <c r="BC153" s="62"/>
      <c r="BD153" s="284"/>
      <c r="BE153" s="131"/>
      <c r="BF153"/>
      <c r="BG153" s="57"/>
      <c r="BH153" s="57"/>
      <c r="BI153" s="57"/>
      <c r="BJ153" s="57"/>
      <c r="BK153" s="57"/>
      <c r="BL153" s="109"/>
      <c r="BM153" s="109"/>
      <c r="BN153" s="109"/>
      <c r="BO153" s="83"/>
      <c r="BQ153" s="83"/>
      <c r="BR153" s="83"/>
    </row>
    <row r="154" spans="1:70" s="50" customFormat="1" ht="14.95" x14ac:dyDescent="0.25">
      <c r="A154" s="116">
        <f t="shared" ref="A154:A155" si="252">H154*J154*(RIGHT(F154,2))*7.85/(10^6)</f>
        <v>983.44799999999998</v>
      </c>
      <c r="B154" s="116">
        <f t="shared" si="247"/>
        <v>3933.7919999999999</v>
      </c>
      <c r="C154" s="118" t="s">
        <v>345</v>
      </c>
      <c r="D154" s="117" t="s">
        <v>81</v>
      </c>
      <c r="E154" s="117"/>
      <c r="F154" s="372" t="s">
        <v>92</v>
      </c>
      <c r="G154" s="292" t="s">
        <v>83</v>
      </c>
      <c r="H154" s="293">
        <v>400</v>
      </c>
      <c r="I154" s="291" t="s">
        <v>77</v>
      </c>
      <c r="J154" s="293">
        <f>J153</f>
        <v>7830</v>
      </c>
      <c r="K154" s="119">
        <v>2</v>
      </c>
      <c r="L154" s="119">
        <f>K$154*L$152</f>
        <v>4</v>
      </c>
      <c r="M154" s="116">
        <f t="shared" si="248"/>
        <v>25.056000000000001</v>
      </c>
      <c r="N154" s="118" t="s">
        <v>84</v>
      </c>
      <c r="P154" s="118"/>
      <c r="Q154" s="135"/>
      <c r="R154" s="118"/>
      <c r="S154" s="118"/>
      <c r="T154" s="118"/>
      <c r="U154" s="118"/>
      <c r="V154" s="118"/>
      <c r="W154" s="118"/>
      <c r="X154" s="118"/>
      <c r="Y154" s="118"/>
      <c r="Z154" s="118"/>
      <c r="AA154" s="118"/>
      <c r="AB154" s="118" t="s">
        <v>78</v>
      </c>
      <c r="AC154" s="347"/>
      <c r="AD154" s="353"/>
      <c r="AE154" s="136"/>
      <c r="AF154" s="137"/>
      <c r="AG154" s="137">
        <f t="shared" si="249"/>
        <v>0</v>
      </c>
      <c r="AH154" s="136"/>
      <c r="AI154" s="132">
        <f t="shared" si="250"/>
        <v>2.6666666666666665</v>
      </c>
      <c r="AJ154" s="343"/>
      <c r="AL154" s="165" t="str">
        <f t="shared" ref="AL154" si="253">IF(AND(J154&gt;0,J154&lt;2999),"20",IF(AND(J154&gt;0,J154&lt;5999),"30",IF(AND(J154&gt;0,J154&lt;7999),"40",IF(AND(J154&gt;0,J154&lt;11999),"60",IF(AND(J154&gt;0,J154&lt;14999),"120",IF(AND(J154&gt;0,J154&lt;17999),"180",IF(AND(J154&gt;0,J154&lt;22000),"360","error")))))))</f>
        <v>40</v>
      </c>
      <c r="AN154" s="66"/>
      <c r="AP154" s="146">
        <f>(VLOOKUP(F154,Terasehind!$A$2:$B$171,2,FALSE))</f>
        <v>1.37</v>
      </c>
      <c r="AQ154" s="50">
        <f>(VLOOKUP(F154,Terasehind!$A$2:$C$171,3,FALSE))</f>
        <v>1.1000000000000001</v>
      </c>
      <c r="AR154" s="138">
        <f t="shared" si="251"/>
        <v>5928.2245440000015</v>
      </c>
      <c r="AT154" s="62"/>
      <c r="AU154" s="62"/>
      <c r="AV154" s="62"/>
      <c r="AW154" s="62"/>
      <c r="AX154" s="62"/>
      <c r="AY154" s="62"/>
      <c r="AZ154" s="77"/>
      <c r="BA154" s="188">
        <f t="shared" ref="BA154:BA155" si="254">(H154*2+J154*2)*2*2/60/1000*L154</f>
        <v>4.3893333333333331</v>
      </c>
      <c r="BB154" s="283"/>
      <c r="BC154" s="62"/>
      <c r="BD154" s="284"/>
      <c r="BE154" s="131"/>
      <c r="BF154"/>
      <c r="BG154" s="57"/>
      <c r="BH154" s="57"/>
      <c r="BI154" s="57"/>
      <c r="BJ154" s="57"/>
      <c r="BK154" s="57"/>
      <c r="BL154" s="109"/>
      <c r="BM154" s="109"/>
      <c r="BN154" s="109"/>
      <c r="BO154" s="83"/>
      <c r="BQ154" s="83"/>
      <c r="BR154" s="83"/>
    </row>
    <row r="155" spans="1:70" s="50" customFormat="1" ht="14.95" x14ac:dyDescent="0.25">
      <c r="A155" s="116">
        <f t="shared" si="252"/>
        <v>226.08</v>
      </c>
      <c r="B155" s="116">
        <f t="shared" si="247"/>
        <v>904.32</v>
      </c>
      <c r="C155" s="118" t="s">
        <v>346</v>
      </c>
      <c r="D155" s="117" t="s">
        <v>85</v>
      </c>
      <c r="E155" s="117"/>
      <c r="F155" s="355" t="s">
        <v>89</v>
      </c>
      <c r="G155" s="117" t="s">
        <v>83</v>
      </c>
      <c r="H155" s="119">
        <v>600</v>
      </c>
      <c r="I155" s="118" t="s">
        <v>77</v>
      </c>
      <c r="J155" s="119">
        <v>1600</v>
      </c>
      <c r="K155" s="119">
        <v>2</v>
      </c>
      <c r="L155" s="119">
        <f>K$155*L$152</f>
        <v>4</v>
      </c>
      <c r="M155" s="116">
        <f t="shared" si="248"/>
        <v>7.68</v>
      </c>
      <c r="N155" s="118" t="s">
        <v>84</v>
      </c>
      <c r="P155" s="118"/>
      <c r="Q155" s="135">
        <v>16</v>
      </c>
      <c r="R155" s="118"/>
      <c r="S155" s="118"/>
      <c r="T155" s="118"/>
      <c r="U155" s="118"/>
      <c r="V155" s="118"/>
      <c r="W155" s="118"/>
      <c r="X155" s="118"/>
      <c r="Y155" s="118"/>
      <c r="Z155" s="118"/>
      <c r="AA155" s="118"/>
      <c r="AB155" s="118" t="s">
        <v>78</v>
      </c>
      <c r="AC155" s="136">
        <f>((((H155+J155)*2/1000)*L155*(5/(VLOOKUP(F155,[2]Plasmalõikus!$A$7:$E$46,2,FALSE)/1000*60)))+(Q155*L155*(5*(VLOOKUP(F155,[2]Plasmalõikus!$A$7:$E$48,3,FALSE))/60/60)))</f>
        <v>3</v>
      </c>
      <c r="AD155" s="353"/>
      <c r="AE155" s="136"/>
      <c r="AF155" s="137"/>
      <c r="AG155" s="137">
        <f t="shared" si="249"/>
        <v>0</v>
      </c>
      <c r="AH155" s="136"/>
      <c r="AI155" s="132">
        <f t="shared" si="250"/>
        <v>2</v>
      </c>
      <c r="AJ155" s="343">
        <f>(H153*2*AK155+H154*4*AK155)*L155/1000</f>
        <v>96.96</v>
      </c>
      <c r="AK155" s="50">
        <v>6</v>
      </c>
      <c r="AL155" s="69" t="str">
        <f>IF(AND(Q155&gt;0,A155&lt;3),"10",IF(AND(Q155&gt;0,A155&lt;10),"15",IF(AND(Q155&gt;0,A155&lt;20),"20",IF(AND(Q155&gt;0,A155&lt;500),"30",IF(AND(Q155=0,A155&lt;3),"2",IF(AND(Q155=0,A155&lt;10),"5",IF(AND(Q155=0,A155&lt;20),"10",IF(AND(Q155=0,A155&lt;500),"20","2"))))))))</f>
        <v>30</v>
      </c>
      <c r="AN155" s="66"/>
      <c r="AP155" s="146">
        <f>(VLOOKUP(F155,Terasehind!$A$2:$B$171,2,FALSE))</f>
        <v>0.92</v>
      </c>
      <c r="AQ155" s="50">
        <f>(VLOOKUP(F155,Terasehind!$A$2:$C$171,3,FALSE))</f>
        <v>1.1000000000000001</v>
      </c>
      <c r="AR155" s="138">
        <f>AP155*AQ155*B155</f>
        <v>915.17184000000032</v>
      </c>
      <c r="AT155" s="62"/>
      <c r="AU155" s="62"/>
      <c r="AV155" s="62"/>
      <c r="AW155" s="62"/>
      <c r="AX155" s="62"/>
      <c r="AY155" s="62"/>
      <c r="AZ155" s="77"/>
      <c r="BA155" s="188">
        <f t="shared" si="254"/>
        <v>1.1733333333333333</v>
      </c>
      <c r="BB155" s="283"/>
      <c r="BC155" s="62"/>
      <c r="BD155" s="284"/>
      <c r="BE155" s="131"/>
      <c r="BF155"/>
      <c r="BG155" s="57"/>
      <c r="BH155" s="57"/>
      <c r="BI155" s="57"/>
      <c r="BJ155" s="57"/>
      <c r="BK155" s="57"/>
      <c r="BL155" s="109"/>
      <c r="BM155" s="109"/>
      <c r="BN155" s="109"/>
      <c r="BO155" s="83"/>
      <c r="BQ155" s="83"/>
      <c r="BR155" s="83"/>
    </row>
    <row r="156" spans="1:70" s="50" customFormat="1" ht="14.95" x14ac:dyDescent="0.25">
      <c r="A156" s="116">
        <f xml:space="preserve"> 15.1*J156/10^3</f>
        <v>114.911</v>
      </c>
      <c r="B156" s="116">
        <f>A156*L156</f>
        <v>459.64400000000001</v>
      </c>
      <c r="C156" s="117"/>
      <c r="D156" s="117" t="s">
        <v>88</v>
      </c>
      <c r="E156" s="117"/>
      <c r="F156" s="355" t="s">
        <v>408</v>
      </c>
      <c r="G156" s="140" t="s">
        <v>83</v>
      </c>
      <c r="H156" s="119">
        <v>100</v>
      </c>
      <c r="I156" s="118" t="s">
        <v>77</v>
      </c>
      <c r="J156" s="119">
        <v>7610</v>
      </c>
      <c r="K156" s="50">
        <v>2</v>
      </c>
      <c r="L156" s="119">
        <f>K$156*L$152</f>
        <v>4</v>
      </c>
      <c r="M156" s="131">
        <f xml:space="preserve"> 0.39*J156*L156/10^3</f>
        <v>11.871600000000001</v>
      </c>
      <c r="N156" s="118"/>
      <c r="O156" s="118"/>
      <c r="P156" s="118" t="s">
        <v>78</v>
      </c>
      <c r="Q156" s="135">
        <v>4</v>
      </c>
      <c r="R156" s="118"/>
      <c r="S156" s="118"/>
      <c r="T156" s="118"/>
      <c r="U156" s="118"/>
      <c r="V156" s="118"/>
      <c r="W156" s="118"/>
      <c r="Y156" s="118"/>
      <c r="Z156" s="118"/>
      <c r="AA156" s="118"/>
      <c r="AB156" s="118" t="s">
        <v>78</v>
      </c>
      <c r="AC156" s="116"/>
      <c r="AD156" s="83"/>
      <c r="AE156" s="136"/>
      <c r="AF156" s="137"/>
      <c r="AG156" s="132">
        <f>Q156*L156*0.5/60+L156*0.5/60</f>
        <v>0.16666666666666666</v>
      </c>
      <c r="AH156" s="83"/>
      <c r="AI156" s="132">
        <f>AL156*L156/60</f>
        <v>1.3333333333333333</v>
      </c>
      <c r="AJ156" s="343">
        <f>(J156*2*AK156)*L156/1000</f>
        <v>121.76</v>
      </c>
      <c r="AK156" s="50">
        <f>(VLOOKUP(F156,[2]Koostamine!$A$12:$P$1612,7,FALSE))</f>
        <v>2</v>
      </c>
      <c r="AL156" s="69">
        <f>VLOOKUP(F156,[2]Koostamine!$A$12:$P$1612,IF(J156&lt;1499,11,IF(J156&lt;2999,12,IF(J156&lt;5999,13,IF(J156&lt;9999,14,IF(J156&lt;12999,15,IF(J156&gt;13000,16)))))),FALSE)</f>
        <v>20</v>
      </c>
      <c r="AP156" s="146">
        <f>(VLOOKUP(F156,Terasehind!$A$2:$B$171,2,FALSE))</f>
        <v>1</v>
      </c>
      <c r="AQ156" s="50">
        <f>(VLOOKUP(F156,Terasehind!$A$2:$C$171,3,FALSE))</f>
        <v>1.1000000000000001</v>
      </c>
      <c r="AR156" s="138">
        <f>AP156*AQ156*B156</f>
        <v>505.60840000000007</v>
      </c>
      <c r="AT156" s="62"/>
      <c r="AU156" s="62"/>
      <c r="AV156" s="62"/>
      <c r="AW156" s="62"/>
      <c r="AX156" s="62"/>
      <c r="AY156" s="62"/>
      <c r="AZ156"/>
      <c r="BA156" s="188">
        <f t="shared" ref="BA156" si="255">(H156*2+J156*2)*2*2/60/1000*L156</f>
        <v>4.1120000000000001</v>
      </c>
      <c r="BB156" s="189"/>
      <c r="BC156" s="57"/>
      <c r="BD156" s="57"/>
      <c r="BE156" s="57"/>
      <c r="BF156" s="57"/>
      <c r="BG156" s="57"/>
      <c r="BH156" s="57"/>
      <c r="BI156" s="57"/>
      <c r="BJ156" s="60"/>
      <c r="BK156" s="57"/>
      <c r="BL156" s="60"/>
      <c r="BM156" s="83"/>
      <c r="BO156" s="109"/>
    </row>
    <row r="157" spans="1:70" s="50" customFormat="1" ht="14.95" x14ac:dyDescent="0.25">
      <c r="A157" s="116">
        <f xml:space="preserve"> 6.13*J157/10^3</f>
        <v>12.045449999999999</v>
      </c>
      <c r="B157" s="116">
        <f>A157*L157</f>
        <v>96.363599999999991</v>
      </c>
      <c r="C157" s="295"/>
      <c r="D157" s="117" t="s">
        <v>340</v>
      </c>
      <c r="E157" s="117"/>
      <c r="F157" s="355" t="s">
        <v>459</v>
      </c>
      <c r="G157" s="140" t="s">
        <v>79</v>
      </c>
      <c r="H157" s="119">
        <v>100</v>
      </c>
      <c r="I157" s="118" t="s">
        <v>77</v>
      </c>
      <c r="J157" s="119">
        <f>7860/4</f>
        <v>1965</v>
      </c>
      <c r="K157" s="119">
        <v>4</v>
      </c>
      <c r="L157" s="119">
        <f>K$157*L$152</f>
        <v>8</v>
      </c>
      <c r="M157" s="131">
        <f xml:space="preserve"> 0.27*J157*L157/10^3</f>
        <v>4.2444000000000006</v>
      </c>
      <c r="N157" s="118"/>
      <c r="O157" s="118"/>
      <c r="P157" s="118" t="s">
        <v>78</v>
      </c>
      <c r="Q157" s="135"/>
      <c r="R157" s="118"/>
      <c r="S157" s="118"/>
      <c r="T157" s="118"/>
      <c r="U157" s="118"/>
      <c r="V157" s="118"/>
      <c r="W157" s="118"/>
      <c r="Y157" s="118"/>
      <c r="Z157" s="118"/>
      <c r="AA157" s="118"/>
      <c r="AB157" s="118" t="s">
        <v>78</v>
      </c>
      <c r="AC157" s="116"/>
      <c r="AD157" s="83"/>
      <c r="AE157" s="136">
        <f t="shared" ref="AE157" si="256">(H157/20/60)*2*L157</f>
        <v>1.3333333333333333</v>
      </c>
      <c r="AF157" s="137"/>
      <c r="AG157" s="132"/>
      <c r="AH157" s="83"/>
      <c r="AI157" s="132">
        <f t="shared" ref="AI157:AI159" si="257">AL157*L157/60</f>
        <v>0.66666666666666663</v>
      </c>
      <c r="AJ157" s="70">
        <f>(J157*2*AK157)*1/2*L157/1000+(H157*4*AK157)*2*L157/1000</f>
        <v>22.12</v>
      </c>
      <c r="AK157" s="50">
        <f>(VLOOKUP(F157,[2]Koostamine!$A$12:$P$1612,7,FALSE))</f>
        <v>1</v>
      </c>
      <c r="AL157" s="69">
        <f>VLOOKUP(F157,[2]Koostamine!$A$12:$P$1612,IF(J157&lt;1499,11,IF(J157&lt;2999,12,IF(J157&lt;5999,13,IF(J157&lt;9999,14,IF(J157&lt;12999,15,IF(J157&gt;13000,16)))))),FALSE)</f>
        <v>5</v>
      </c>
      <c r="AP157" s="146">
        <f>(VLOOKUP(F157,Terasehind!$A$2:$B$171,2,FALSE))</f>
        <v>0.92</v>
      </c>
      <c r="AQ157" s="50">
        <f>(VLOOKUP(F157,Terasehind!$A$2:$C$171,3,FALSE))</f>
        <v>1.1000000000000001</v>
      </c>
      <c r="AR157" s="138">
        <f t="shared" ref="AR157:AR159" si="258">AP157*AQ157*B157</f>
        <v>97.519963200000007</v>
      </c>
      <c r="AT157" s="60"/>
      <c r="AU157" s="77"/>
      <c r="AV157" s="77"/>
      <c r="AW157" s="77"/>
      <c r="AX157" s="121"/>
      <c r="AY157" s="77"/>
      <c r="AZ157" s="77"/>
      <c r="BA157" s="188">
        <f>(H157*6*2+J157*8)*2/60/1000*L157</f>
        <v>4.5119999999999996</v>
      </c>
      <c r="BB157" s="283"/>
      <c r="BC157" s="62"/>
      <c r="BD157" s="284"/>
      <c r="BE157" s="131"/>
      <c r="BF157"/>
      <c r="BG157" s="57"/>
      <c r="BH157" s="57"/>
      <c r="BI157" s="57"/>
      <c r="BJ157" s="57"/>
      <c r="BK157" s="57"/>
      <c r="BL157" s="60"/>
      <c r="BM157" s="57"/>
      <c r="BN157" s="60"/>
      <c r="BO157" s="83"/>
      <c r="BQ157" s="109"/>
    </row>
    <row r="158" spans="1:70" s="50" customFormat="1" ht="14.95" x14ac:dyDescent="0.25">
      <c r="A158" s="116">
        <f t="shared" ref="A158:A159" si="259">H158*J158*(RIGHT(F158,2))*7.85/(10^6)</f>
        <v>0.12559999999999999</v>
      </c>
      <c r="B158" s="116">
        <f t="shared" ref="B158:B159" si="260">A158*L158</f>
        <v>2.0095999999999998</v>
      </c>
      <c r="C158" s="118" t="s">
        <v>80</v>
      </c>
      <c r="D158" s="117" t="s">
        <v>341</v>
      </c>
      <c r="E158" s="117"/>
      <c r="F158" s="355" t="s">
        <v>487</v>
      </c>
      <c r="G158" s="117" t="s">
        <v>83</v>
      </c>
      <c r="H158" s="119">
        <v>40</v>
      </c>
      <c r="I158" s="118" t="s">
        <v>77</v>
      </c>
      <c r="J158" s="119">
        <v>100</v>
      </c>
      <c r="K158" s="119">
        <f>4*2</f>
        <v>8</v>
      </c>
      <c r="L158" s="119">
        <f>K$158*L$152</f>
        <v>16</v>
      </c>
      <c r="M158" s="116">
        <f t="shared" ref="M158:M159" si="261">2*H158*J158/10^6*L158</f>
        <v>0.128</v>
      </c>
      <c r="N158" s="118" t="s">
        <v>84</v>
      </c>
      <c r="P158" s="118"/>
      <c r="Q158" s="135"/>
      <c r="R158" s="118"/>
      <c r="S158" s="118"/>
      <c r="T158" s="118"/>
      <c r="U158" s="118"/>
      <c r="V158" s="118"/>
      <c r="W158" s="118"/>
      <c r="X158" s="118"/>
      <c r="Y158" s="118"/>
      <c r="Z158" s="118"/>
      <c r="AA158" s="118"/>
      <c r="AB158" s="118" t="s">
        <v>78</v>
      </c>
      <c r="AC158" s="347"/>
      <c r="AD158" s="353"/>
      <c r="AE158" s="136"/>
      <c r="AF158" s="137"/>
      <c r="AG158" s="137">
        <f t="shared" ref="AG158:AG159" si="262">IF(VALUE(MID(F158,SEARCH(" ",F158)+1,LEN(F158)))&lt;35,0,IF(VALUE(MID(F158,SEARCH(" ",F158)+1,LEN(F158)))&lt;40,3,IF(VALUE(MID(F158,SEARCH(" ",F158)+1,LEN(F158)))&lt;50,4,IF(VALUE(MID(F158,SEARCH(" ",F158)+1,LEN(F158)))&lt;60,5,IF(VALUE(MID(F158,SEARCH(" ",F158)+1,LEN(F158)))&lt;70,6,IF(VALUE(MID(F158,SEARCH(" ",F158)+1,LEN(F158)))&lt;80,7,IF(VALUE(MID(F158,SEARCH(" ",F158)+1,LEN(F158)))&lt;90,8,IF(VALUE(MID(F158,SEARCH(" ",F158)+1,LEN(F158)))&lt;100,9,10))))))))/60*Q158*L158</f>
        <v>0</v>
      </c>
      <c r="AH158" s="136"/>
      <c r="AI158" s="132">
        <f t="shared" si="257"/>
        <v>0.53333333333333333</v>
      </c>
      <c r="AJ158" s="343"/>
      <c r="AL158" s="165" t="str">
        <f t="shared" ref="AL158" si="263">IF(A158&gt;40,"30",IF(A158&gt;10,"10",IF(A158&gt;20,"20","2")))</f>
        <v>2</v>
      </c>
      <c r="AN158" s="66"/>
      <c r="AP158" s="146">
        <f>(VLOOKUP(F158,Terasehind!$A$2:$B$171,2,FALSE))</f>
        <v>0.92</v>
      </c>
      <c r="AQ158" s="50">
        <f>(VLOOKUP(F158,Terasehind!$A$2:$C$171,3,FALSE))</f>
        <v>1.1000000000000001</v>
      </c>
      <c r="AR158" s="138">
        <f t="shared" si="258"/>
        <v>2.0337152000000005</v>
      </c>
      <c r="AS158"/>
      <c r="AT158"/>
      <c r="AU158"/>
      <c r="AV158"/>
      <c r="AW158"/>
      <c r="AX158"/>
      <c r="AY158"/>
      <c r="AZ158"/>
      <c r="BA158" s="188">
        <f>(H158*2+J158*2)*2*2/60/1000*L158</f>
        <v>0.29866666666666669</v>
      </c>
      <c r="BB158" s="189"/>
      <c r="BC158" s="57"/>
      <c r="BD158" s="57"/>
      <c r="BE158" s="57"/>
      <c r="BF158" s="57"/>
      <c r="BG158" s="57"/>
      <c r="BH158" s="57"/>
      <c r="BI158" s="57"/>
      <c r="BJ158" s="57"/>
      <c r="BK158" s="109"/>
      <c r="BL158" s="109"/>
      <c r="BM158" s="109"/>
      <c r="BN158" s="83"/>
      <c r="BP158" s="83"/>
      <c r="BQ158" s="83"/>
    </row>
    <row r="159" spans="1:70" s="50" customFormat="1" ht="14.95" x14ac:dyDescent="0.25">
      <c r="A159" s="116">
        <f t="shared" si="259"/>
        <v>23.314499999999999</v>
      </c>
      <c r="B159" s="116">
        <f t="shared" si="260"/>
        <v>466.28999999999996</v>
      </c>
      <c r="C159" s="118" t="s">
        <v>93</v>
      </c>
      <c r="D159" s="117" t="s">
        <v>342</v>
      </c>
      <c r="E159" s="117"/>
      <c r="F159" s="355" t="s">
        <v>87</v>
      </c>
      <c r="G159" s="117" t="s">
        <v>83</v>
      </c>
      <c r="H159" s="119">
        <v>180</v>
      </c>
      <c r="I159" s="118" t="s">
        <v>77</v>
      </c>
      <c r="J159" s="119">
        <v>1100</v>
      </c>
      <c r="K159" s="119">
        <v>10</v>
      </c>
      <c r="L159" s="119">
        <f>K$159*L$152</f>
        <v>20</v>
      </c>
      <c r="M159" s="116">
        <f t="shared" si="261"/>
        <v>7.92</v>
      </c>
      <c r="N159" s="118" t="s">
        <v>84</v>
      </c>
      <c r="P159" s="118"/>
      <c r="Q159" s="135">
        <v>2</v>
      </c>
      <c r="R159" s="118"/>
      <c r="S159" s="118"/>
      <c r="T159" s="118"/>
      <c r="U159" s="118"/>
      <c r="V159" s="118"/>
      <c r="W159" s="118"/>
      <c r="X159" s="118"/>
      <c r="Y159" s="118"/>
      <c r="Z159" s="118"/>
      <c r="AA159" s="118"/>
      <c r="AB159" s="118" t="s">
        <v>78</v>
      </c>
      <c r="AC159" s="136">
        <f>((((H159+J159)*2/1000)*L159*(5/(VLOOKUP(F159,[2]Plasmalõikus!$A$7:$E$46,2,FALSE)/1000*60)))+(Q159*L159*(5*(VLOOKUP(F159,[2]Plasmalõikus!$A$7:$E$48,3,FALSE))/60/60)))</f>
        <v>2.8703703703703702</v>
      </c>
      <c r="AD159" s="353"/>
      <c r="AE159" s="136"/>
      <c r="AF159" s="137"/>
      <c r="AG159" s="137">
        <f t="shared" si="262"/>
        <v>0</v>
      </c>
      <c r="AH159" s="136"/>
      <c r="AI159" s="132">
        <f t="shared" si="257"/>
        <v>10</v>
      </c>
      <c r="AJ159" s="343">
        <f>(H159*4*AK159+J159*2*AK159)*L159/1000</f>
        <v>116.8</v>
      </c>
      <c r="AK159" s="50">
        <v>2</v>
      </c>
      <c r="AL159" s="69" t="str">
        <f>IF(AND(Q159&gt;0,A159&lt;3),"10",IF(AND(Q159&gt;0,A159&lt;10),"15",IF(AND(Q159&gt;0,A159&lt;20),"20",IF(AND(Q159&gt;0,A159&lt;500),"30",IF(AND(Q159=0,A159&lt;3),"2",IF(AND(Q159=0,A159&lt;10),"5",IF(AND(Q159=0,A159&lt;20),"10",IF(AND(Q159=0,A159&lt;500),"20","2"))))))))</f>
        <v>30</v>
      </c>
      <c r="AN159" s="66"/>
      <c r="AP159" s="146">
        <f>(VLOOKUP(F159,Terasehind!$A$2:$B$171,2,FALSE))</f>
        <v>0.92</v>
      </c>
      <c r="AQ159" s="50">
        <f>(VLOOKUP(F159,Terasehind!$A$2:$C$171,3,FALSE))</f>
        <v>1.1000000000000001</v>
      </c>
      <c r="AR159" s="138">
        <f t="shared" si="258"/>
        <v>471.88548000000009</v>
      </c>
      <c r="AT159" s="62"/>
      <c r="AU159" s="62"/>
      <c r="AV159" s="62"/>
      <c r="AW159" s="62"/>
      <c r="AX159" s="62"/>
      <c r="AY159" s="62"/>
      <c r="AZ159" s="77"/>
      <c r="BA159" s="188">
        <f t="shared" ref="BA159" si="264">(H159*2+J159*2)*2*2/60/1000*L159</f>
        <v>3.4133333333333331</v>
      </c>
      <c r="BB159" s="283"/>
      <c r="BC159" s="62"/>
      <c r="BD159" s="284"/>
      <c r="BE159" s="131"/>
      <c r="BF159"/>
      <c r="BG159" s="57"/>
      <c r="BH159" s="57"/>
      <c r="BI159" s="57"/>
      <c r="BJ159" s="57"/>
      <c r="BK159" s="57"/>
      <c r="BL159" s="109"/>
      <c r="BM159" s="109"/>
      <c r="BN159" s="109"/>
      <c r="BO159" s="83"/>
      <c r="BQ159" s="83"/>
      <c r="BR159" s="83"/>
    </row>
    <row r="160" spans="1:70" customFormat="1" ht="14.95" x14ac:dyDescent="0.25">
      <c r="BA160" s="188"/>
    </row>
    <row r="161" spans="1:69" customFormat="1" ht="14.95" x14ac:dyDescent="0.25"/>
    <row r="162" spans="1:69" customFormat="1" ht="15.8" thickBot="1" x14ac:dyDescent="0.3">
      <c r="G162" s="140"/>
      <c r="AD162" s="328" t="s">
        <v>393</v>
      </c>
      <c r="AW162" s="117"/>
      <c r="AX162" s="117"/>
      <c r="AY162" s="346">
        <f>AY163+BA162*$AV$2</f>
        <v>151494.27351654242</v>
      </c>
      <c r="AZ162" s="345">
        <f>AY162/B163</f>
        <v>2.5622791909458886</v>
      </c>
      <c r="BA162">
        <f>BA163*46</f>
        <v>2357.6533333333332</v>
      </c>
    </row>
    <row r="163" spans="1:69" s="50" customFormat="1" ht="15.8" thickBot="1" x14ac:dyDescent="0.3">
      <c r="A163" s="153">
        <f>B163/L163</f>
        <v>59124.811243000004</v>
      </c>
      <c r="B163" s="153">
        <f>B$266+B$258+B$249+B$239+B$230+B$223+B$218+B$207+B$200+B$189+B$174+B$167</f>
        <v>59124.811243000004</v>
      </c>
      <c r="C163" s="154"/>
      <c r="D163" s="154" t="s">
        <v>76</v>
      </c>
      <c r="E163" s="154"/>
      <c r="F163" s="155" t="s">
        <v>418</v>
      </c>
      <c r="G163" s="351" t="s">
        <v>449</v>
      </c>
      <c r="H163" s="156">
        <v>150</v>
      </c>
      <c r="I163" s="157" t="s">
        <v>77</v>
      </c>
      <c r="J163" s="156">
        <v>7500</v>
      </c>
      <c r="K163" s="156">
        <v>1</v>
      </c>
      <c r="L163" s="156">
        <f>$L$11*$K$163</f>
        <v>1</v>
      </c>
      <c r="M163" s="153">
        <f>M$266+M$258+M$249+M$239+M$230+M$223+M$218+M$207+M$200+M$189+M$174+M$167</f>
        <v>1119.8187310000001</v>
      </c>
      <c r="N163" s="157"/>
      <c r="O163" s="157"/>
      <c r="P163" s="157"/>
      <c r="Q163" s="157"/>
      <c r="R163" s="157"/>
      <c r="S163" s="157"/>
      <c r="T163" s="157"/>
      <c r="U163" s="157"/>
      <c r="V163" s="157"/>
      <c r="W163" s="157"/>
      <c r="X163" s="157"/>
      <c r="Y163" s="157">
        <v>3</v>
      </c>
      <c r="Z163" s="157"/>
      <c r="AA163" s="157"/>
      <c r="AB163" s="157"/>
      <c r="AC163" s="153">
        <f>AC$266+AC$258+AC$249+AC$239+AC$230+AC$223+AC$218+AC$207+AC$200+AC$189+AC$174+AC$167</f>
        <v>58.212057226399338</v>
      </c>
      <c r="AD163" s="153">
        <f>AD$266+AD$258+AD$249+AD$239+AD$230+AD$223+AD$218+AD$207+AD$200+AD$189+AD$174+AD$167</f>
        <v>0.25152000000000002</v>
      </c>
      <c r="AE163" s="153">
        <f>AE$266+AE$258+AE$249+AE$239+AE$230+AE$223+AE$218+AE$207+AE$200+AE$189+AE$174+AE$167</f>
        <v>115.51666666666667</v>
      </c>
      <c r="AF163" s="153">
        <f>AF$266+AF$258+AF$249+AF$239+AF$230+AF$223+AF$218+AF$207+AF$200+AF$189+AF$174+AF$167</f>
        <v>50.35766666666666</v>
      </c>
      <c r="AG163" s="153">
        <f>AG$266+AG$258+AG$249+AG$239+AG$230+AG$223+AG$218+AG$207+AG$200+AG$189+AG$174+AG$167</f>
        <v>38.949999999999996</v>
      </c>
      <c r="AH163" s="107">
        <f>SUM(AC163:AG163)</f>
        <v>263.28791055973267</v>
      </c>
      <c r="AI163" s="107">
        <f>AI$266+AI$258+AI$249+AI$239+AI$230+AI$223+AI$218+AI$207+AI$200+AI$189+AI$174+AI$167</f>
        <v>212.16933333333333</v>
      </c>
      <c r="AJ163" s="153">
        <f>AJ$266+AJ$258+AJ$249+AJ$239+AJ$230+AJ$223+AJ$218+AJ$207+AJ$200+AJ$189+AJ$174+AJ$167</f>
        <v>3487.308</v>
      </c>
      <c r="AK163" s="107">
        <f>AJ163*10/60</f>
        <v>581.21800000000007</v>
      </c>
      <c r="AL163" s="133">
        <f>AH163+AI163+AK163</f>
        <v>1056.6752438930662</v>
      </c>
      <c r="AM163" s="173">
        <f>B163/AL163</f>
        <v>55.953625851182842</v>
      </c>
      <c r="AN163" s="158">
        <f>AL163*46</f>
        <v>48607.061219081043</v>
      </c>
      <c r="AO163" s="159">
        <f>AN163/B163</f>
        <v>0.82210936825334568</v>
      </c>
      <c r="AP163" s="159">
        <f>AR163/B163</f>
        <v>1.0585612369447679</v>
      </c>
      <c r="AQ163" s="67"/>
      <c r="AR163" s="159">
        <f>AR$266+AR$258+AR$249+AR$239+AR$230+AR$223+AR$218+AR$207+AR$200+AR$189+AR$174+AR$167</f>
        <v>62587.233323516004</v>
      </c>
      <c r="AS163" s="168">
        <f>$AU$2</f>
        <v>1.1000000000000001</v>
      </c>
      <c r="AT163" s="128">
        <f>HLOOKUP(G163,$AB$1:$AK$2,2,FALSE)</f>
        <v>20</v>
      </c>
      <c r="AU163" s="166">
        <f>IF(AND(G163="HDG"),B163*AT163,M163*AT163)</f>
        <v>22396.374620000002</v>
      </c>
      <c r="AV163" s="68">
        <f>B163*pakendus</f>
        <v>1773.74433729</v>
      </c>
      <c r="AW163" s="159">
        <f>(AN163+AU163+AV163)+AU162</f>
        <v>72777.180176371039</v>
      </c>
      <c r="AX163" s="129">
        <f>$AV$2</f>
        <v>1.1000000000000001</v>
      </c>
      <c r="AY163" s="108">
        <f>(AR163*AS163)+(AW163*AX163)</f>
        <v>148900.85484987576</v>
      </c>
      <c r="AZ163" s="130">
        <f>ROUND(AY163/B163,3)</f>
        <v>2.5179999999999998</v>
      </c>
      <c r="BA163" s="159">
        <f>BA$266+BA$258+BA$249+BA$239+BA$230+BA$223+BA$218+BA$207+BA$200+BA$189+BA$174+BA$167</f>
        <v>51.25333333333333</v>
      </c>
      <c r="BB163" s="159">
        <f>B163/20000</f>
        <v>2.9562405621500001</v>
      </c>
      <c r="BC163" s="57"/>
      <c r="BD163" s="57"/>
      <c r="BE163" s="57"/>
      <c r="BF163" s="57"/>
      <c r="BG163" s="57"/>
      <c r="BH163" s="57"/>
      <c r="BI163" s="83"/>
    </row>
    <row r="164" spans="1:69" s="50" customFormat="1" ht="14.95" x14ac:dyDescent="0.25">
      <c r="A164" s="116"/>
      <c r="B164" s="160"/>
      <c r="C164" s="255"/>
      <c r="D164" s="161" t="s">
        <v>74</v>
      </c>
      <c r="E164" s="117"/>
      <c r="F164" s="118"/>
      <c r="G164" s="117"/>
      <c r="H164" s="119"/>
      <c r="I164" s="118"/>
      <c r="J164" s="119"/>
      <c r="K164" s="119"/>
      <c r="L164" s="119"/>
      <c r="M164" s="112"/>
      <c r="N164" s="118"/>
      <c r="O164" s="118"/>
      <c r="P164" s="118"/>
      <c r="Q164" s="118"/>
      <c r="R164" s="118"/>
      <c r="S164" s="118"/>
      <c r="T164" s="118"/>
      <c r="U164" s="118"/>
      <c r="V164" s="118"/>
      <c r="W164" s="118"/>
      <c r="X164" s="118"/>
      <c r="Y164" s="118"/>
      <c r="Z164" s="118"/>
      <c r="AA164" s="118"/>
      <c r="AB164" s="118"/>
      <c r="AD164" s="83"/>
      <c r="AE164" s="83"/>
      <c r="AF164" s="114"/>
      <c r="AG164" s="114"/>
      <c r="AH164" s="83"/>
      <c r="AI164" s="83"/>
      <c r="AJ164" s="83"/>
      <c r="AK164" s="83"/>
      <c r="AL164" s="83"/>
      <c r="AM164" s="60"/>
      <c r="AN164" s="66"/>
      <c r="AO164" s="61"/>
      <c r="AP164" s="62"/>
      <c r="AQ164" s="62"/>
      <c r="AT164" s="60"/>
      <c r="AU164" s="77"/>
      <c r="AV164" s="77"/>
      <c r="AW164" s="77"/>
      <c r="AX164" s="121"/>
      <c r="AY164" s="77"/>
      <c r="AZ164" s="77"/>
      <c r="BA164" s="192"/>
      <c r="BB164" s="188"/>
      <c r="BC164" s="57"/>
      <c r="BD164" s="57"/>
      <c r="BE164" s="131"/>
      <c r="BF164" s="57"/>
      <c r="BG164" s="57"/>
      <c r="BH164" s="57"/>
      <c r="BI164" s="57"/>
      <c r="BJ164" s="57"/>
      <c r="BK164" s="83"/>
      <c r="BL164" s="109"/>
      <c r="BN164" s="57"/>
      <c r="BO164" s="60"/>
    </row>
    <row r="165" spans="1:69" s="50" customFormat="1" ht="14.95" x14ac:dyDescent="0.25">
      <c r="A165" s="116"/>
      <c r="B165" s="160"/>
      <c r="C165" s="255"/>
      <c r="D165" s="161"/>
      <c r="E165" s="117"/>
      <c r="F165" s="118"/>
      <c r="G165" s="117"/>
      <c r="H165" s="119"/>
      <c r="I165" s="118"/>
      <c r="J165" s="119"/>
      <c r="K165" s="119"/>
      <c r="L165" s="119"/>
      <c r="M165" s="112"/>
      <c r="N165" s="118"/>
      <c r="O165" s="118"/>
      <c r="P165" s="118"/>
      <c r="Q165" s="118"/>
      <c r="R165" s="118"/>
      <c r="S165" s="118"/>
      <c r="T165" s="118"/>
      <c r="U165" s="118"/>
      <c r="V165" s="118"/>
      <c r="W165" s="118"/>
      <c r="X165" s="118"/>
      <c r="Y165" s="118"/>
      <c r="Z165" s="118"/>
      <c r="AA165" s="118"/>
      <c r="AB165" s="118"/>
      <c r="AD165" s="83"/>
      <c r="AE165" s="83"/>
      <c r="AF165" s="114"/>
      <c r="AG165" s="114"/>
      <c r="AH165" s="83"/>
      <c r="AI165" s="83"/>
      <c r="AJ165" s="83"/>
      <c r="AK165" s="83"/>
      <c r="AL165" s="83"/>
      <c r="AM165" s="60"/>
      <c r="AN165" s="66"/>
      <c r="AO165" s="61"/>
      <c r="AP165" s="62"/>
      <c r="AQ165" s="62"/>
      <c r="AT165" s="60"/>
      <c r="AU165" s="77"/>
      <c r="AV165" s="77"/>
      <c r="AW165" s="77"/>
      <c r="AX165" s="121"/>
      <c r="AY165" s="77"/>
      <c r="AZ165" s="77"/>
      <c r="BA165" s="192"/>
      <c r="BB165" s="188"/>
      <c r="BC165" s="57"/>
      <c r="BD165" s="57"/>
      <c r="BE165" s="131"/>
      <c r="BF165" s="57"/>
      <c r="BG165" s="57"/>
      <c r="BH165" s="57"/>
      <c r="BI165" s="57"/>
      <c r="BJ165" s="57"/>
      <c r="BK165" s="83"/>
      <c r="BL165" s="109"/>
      <c r="BN165" s="57"/>
      <c r="BO165" s="60"/>
    </row>
    <row r="166" spans="1:69" s="50" customFormat="1" ht="14.95" x14ac:dyDescent="0.25">
      <c r="A166" s="116"/>
      <c r="B166" s="116"/>
      <c r="C166" s="118"/>
      <c r="D166" s="117"/>
      <c r="E166" s="117"/>
      <c r="F166" s="269"/>
      <c r="G166" s="117"/>
      <c r="H166" s="119"/>
      <c r="I166" s="118"/>
      <c r="J166" s="119"/>
      <c r="K166" s="119"/>
      <c r="L166" s="119"/>
      <c r="M166" s="119"/>
      <c r="N166" s="119"/>
      <c r="O166" s="119"/>
      <c r="P166" s="119"/>
      <c r="Q166" s="119"/>
      <c r="R166" s="118"/>
      <c r="S166" s="118"/>
      <c r="T166" s="118"/>
      <c r="U166" s="118"/>
      <c r="V166" s="118"/>
      <c r="W166" s="118"/>
      <c r="X166" s="118"/>
      <c r="Y166" s="118"/>
      <c r="Z166" s="118"/>
      <c r="AA166" s="118"/>
      <c r="AB166" s="118"/>
      <c r="AC166" s="136"/>
      <c r="AD166" s="136"/>
      <c r="AE166" s="136"/>
      <c r="AF166" s="136"/>
      <c r="AG166" s="136"/>
      <c r="AH166" s="136"/>
      <c r="AI166" s="132"/>
      <c r="AJ166" s="60"/>
      <c r="AN166" s="66"/>
      <c r="AP166" s="146"/>
      <c r="AR166" s="138"/>
      <c r="AT166" s="62"/>
      <c r="AU166" s="62"/>
      <c r="AV166" s="62"/>
      <c r="AW166" s="62"/>
      <c r="AX166" s="62"/>
      <c r="AY166" s="62"/>
      <c r="AZ166"/>
      <c r="BA166" s="192"/>
      <c r="BB166" s="188"/>
      <c r="BC166" s="57"/>
      <c r="BD166" s="57"/>
      <c r="BE166" s="57"/>
      <c r="BF166" s="57"/>
      <c r="BG166" s="57"/>
      <c r="BH166" s="57"/>
      <c r="BI166" s="57"/>
      <c r="BJ166" s="109"/>
      <c r="BK166" s="109"/>
      <c r="BL166" s="109"/>
      <c r="BM166" s="83"/>
      <c r="BO166" s="83"/>
      <c r="BP166" s="83"/>
    </row>
    <row r="167" spans="1:69" s="50" customFormat="1" ht="14.95" x14ac:dyDescent="0.25">
      <c r="A167" s="148">
        <f>B167/L167</f>
        <v>195.91183000000001</v>
      </c>
      <c r="B167" s="148">
        <f>SUM(B172,B171,B170,B169,B168,0)</f>
        <v>783.64732000000004</v>
      </c>
      <c r="C167" s="152"/>
      <c r="D167" s="149" t="s">
        <v>76</v>
      </c>
      <c r="E167" s="149"/>
      <c r="F167" s="275"/>
      <c r="G167" s="174" t="str">
        <f>$G$163</f>
        <v>C3VH</v>
      </c>
      <c r="H167" s="150"/>
      <c r="I167" s="151" t="s">
        <v>77</v>
      </c>
      <c r="J167" s="150">
        <f>J168</f>
        <v>3740</v>
      </c>
      <c r="K167" s="134">
        <v>4</v>
      </c>
      <c r="L167" s="150">
        <f>$L$163*$K$167</f>
        <v>4</v>
      </c>
      <c r="M167" s="148">
        <f>SUM(M172,M171,M170,M169,M168,0)</f>
        <v>19.767999999999997</v>
      </c>
      <c r="N167" s="151"/>
      <c r="O167" s="151"/>
      <c r="P167" s="151"/>
      <c r="Q167" s="151"/>
      <c r="R167" s="120"/>
      <c r="S167" s="120"/>
      <c r="T167" s="120"/>
      <c r="U167" s="120"/>
      <c r="V167" s="120"/>
      <c r="W167" s="118"/>
      <c r="X167" s="118" t="s">
        <v>78</v>
      </c>
      <c r="Y167" s="151">
        <v>4</v>
      </c>
      <c r="Z167" s="151"/>
      <c r="AA167" s="151"/>
      <c r="AB167" s="151"/>
      <c r="AC167" s="148">
        <f>SUM(AC172,AC171,AC170,AC169,AC168,0)</f>
        <v>1.4937037037037038</v>
      </c>
      <c r="AD167" s="148">
        <f>SUM(AD172,AD171,AD170,AD169,AD168,0)</f>
        <v>0</v>
      </c>
      <c r="AE167" s="148">
        <f>SUM(AE172,AE171,AE170,AE169,AE168,0)</f>
        <v>1.2666666666666666</v>
      </c>
      <c r="AF167" s="148">
        <f>SUM(AF172,AF171,AF170,AF169,AF168,0)</f>
        <v>0</v>
      </c>
      <c r="AG167" s="148">
        <f>SUM(AG172,AG171,AG170,AG169,AG168,0)</f>
        <v>0.13333333333333333</v>
      </c>
      <c r="AH167" s="107">
        <f>SUM(AC167:AG167)</f>
        <v>2.8937037037037037</v>
      </c>
      <c r="AI167" s="107">
        <f>SUM(AI172,AI171,AI170,AI169,AI168,0)</f>
        <v>5.9999999999999991</v>
      </c>
      <c r="AJ167" s="148">
        <f>SUM(AJ172,AJ171,AJ170,AJ169,AJ168,0)</f>
        <v>36.480000000000004</v>
      </c>
      <c r="AK167" s="107">
        <f>AJ167*10/60</f>
        <v>6.080000000000001</v>
      </c>
      <c r="AL167" s="148">
        <f>AH167+AI167+AK167</f>
        <v>14.973703703703706</v>
      </c>
      <c r="AM167" s="148">
        <f>B167/AL167</f>
        <v>52.334902273120775</v>
      </c>
      <c r="AN167" s="148">
        <f>AL167*46</f>
        <v>688.79037037037051</v>
      </c>
      <c r="AO167" s="148">
        <f>AN167/B167</f>
        <v>0.87895454089011682</v>
      </c>
      <c r="AP167" s="148">
        <f>AR167/B167</f>
        <v>0.9764692819213624</v>
      </c>
      <c r="AQ167" s="67"/>
      <c r="AR167" s="148">
        <f>SUM(AR172,AR171,AR170,AR169,AR168,0)</f>
        <v>765.20753584000011</v>
      </c>
      <c r="AT167" s="62"/>
      <c r="AU167" s="62"/>
      <c r="AV167" s="62"/>
      <c r="AW167" s="62"/>
      <c r="AX167" s="62"/>
      <c r="AY167" s="62"/>
      <c r="AZ167"/>
      <c r="BA167" s="148">
        <f>SUM(BA172,BA171,BA170,BA169,BA168,0)</f>
        <v>1.4666666666666668</v>
      </c>
      <c r="BB167" s="188"/>
      <c r="BC167" s="57"/>
      <c r="BD167" s="57"/>
      <c r="BE167" s="57"/>
      <c r="BF167" s="57"/>
      <c r="BG167" s="57"/>
      <c r="BH167" s="57"/>
      <c r="BI167" s="60"/>
    </row>
    <row r="168" spans="1:69" s="50" customFormat="1" ht="14.95" x14ac:dyDescent="0.25">
      <c r="A168" s="116">
        <f xml:space="preserve"> 42.3*J168/10^3</f>
        <v>158.202</v>
      </c>
      <c r="B168" s="116">
        <f>A168*L168</f>
        <v>632.80799999999999</v>
      </c>
      <c r="C168" s="299" t="s">
        <v>354</v>
      </c>
      <c r="D168" s="117" t="s">
        <v>76</v>
      </c>
      <c r="E168" s="117"/>
      <c r="F168" s="355" t="s">
        <v>456</v>
      </c>
      <c r="G168" s="140" t="s">
        <v>83</v>
      </c>
      <c r="H168" s="119">
        <v>190</v>
      </c>
      <c r="I168" s="118" t="s">
        <v>77</v>
      </c>
      <c r="J168" s="119">
        <v>3740</v>
      </c>
      <c r="K168" s="50">
        <v>1</v>
      </c>
      <c r="L168" s="119">
        <f>K$168*L$167</f>
        <v>4</v>
      </c>
      <c r="M168" s="131">
        <f xml:space="preserve"> 1.14*J168*L168/10^3</f>
        <v>17.054399999999998</v>
      </c>
      <c r="N168" s="118"/>
      <c r="O168" s="118"/>
      <c r="P168" s="118" t="s">
        <v>78</v>
      </c>
      <c r="Q168" s="135">
        <v>4</v>
      </c>
      <c r="R168" s="118"/>
      <c r="S168" s="118"/>
      <c r="T168" s="118"/>
      <c r="U168" s="118"/>
      <c r="V168" s="118"/>
      <c r="W168" s="118"/>
      <c r="Y168" s="118"/>
      <c r="Z168" s="118"/>
      <c r="AA168" s="118"/>
      <c r="AB168" s="118" t="s">
        <v>78</v>
      </c>
      <c r="AC168" s="116"/>
      <c r="AD168" s="83"/>
      <c r="AE168" s="136">
        <f>(H168/20/60)*2*L168</f>
        <v>1.2666666666666666</v>
      </c>
      <c r="AF168" s="137"/>
      <c r="AG168" s="132">
        <f>Q168*L168*0.5/60</f>
        <v>0.13333333333333333</v>
      </c>
      <c r="AH168" s="83"/>
      <c r="AI168" s="132">
        <f>AL168*L168/60</f>
        <v>1.3333333333333333</v>
      </c>
      <c r="AJ168" s="70"/>
      <c r="AK168" s="50">
        <f>(VLOOKUP(F168,[2]Koostamine!$A$12:$P$1612,7,FALSE))</f>
        <v>3</v>
      </c>
      <c r="AL168" s="69">
        <f>VLOOKUP(F168,[2]Koostamine!$A$12:$P$1612,IF(J168&lt;1499,11,IF(J168&lt;2999,12,IF(J168&lt;5999,13,IF(J168&lt;9999,14,IF(J168&lt;12999,15,IF(J168&gt;13000,16)))))),FALSE)</f>
        <v>20</v>
      </c>
      <c r="AP168" s="146">
        <f>(VLOOKUP(F168,Terasehind!$A$2:$B$171,2,FALSE))</f>
        <v>0.88</v>
      </c>
      <c r="AQ168" s="50">
        <f>(VLOOKUP(F168,Terasehind!$A$2:$C$171,3,FALSE))</f>
        <v>1.1000000000000001</v>
      </c>
      <c r="AR168" s="138">
        <f>AP168*AQ168*B168</f>
        <v>612.55814400000008</v>
      </c>
      <c r="AT168" s="62"/>
      <c r="AU168" s="62"/>
      <c r="AV168" s="62"/>
      <c r="AW168" s="62"/>
      <c r="AX168" s="62"/>
      <c r="AY168" s="62"/>
      <c r="AZ168"/>
      <c r="BA168" s="188"/>
      <c r="BB168" s="189"/>
      <c r="BC168" s="57"/>
      <c r="BD168" s="57"/>
      <c r="BE168" s="57"/>
      <c r="BF168" s="57"/>
      <c r="BG168" s="57"/>
      <c r="BH168" s="57"/>
      <c r="BI168" s="57"/>
      <c r="BJ168" s="60"/>
      <c r="BK168" s="57"/>
      <c r="BL168" s="60"/>
      <c r="BM168" s="83"/>
      <c r="BO168" s="109"/>
    </row>
    <row r="169" spans="1:69" s="50" customFormat="1" ht="14.95" x14ac:dyDescent="0.25">
      <c r="A169" s="116">
        <f t="shared" ref="A169" si="265">H169*J169*(RIGHT(F169,2))*7.85/(10^6)</f>
        <v>3.8151000000000002</v>
      </c>
      <c r="B169" s="116">
        <f t="shared" ref="B169" si="266">A169*L169</f>
        <v>30.520800000000001</v>
      </c>
      <c r="C169" s="118" t="s">
        <v>80</v>
      </c>
      <c r="D169" s="117" t="s">
        <v>81</v>
      </c>
      <c r="E169" s="117"/>
      <c r="F169" s="355" t="s">
        <v>87</v>
      </c>
      <c r="G169" s="117" t="s">
        <v>83</v>
      </c>
      <c r="H169" s="119">
        <v>180</v>
      </c>
      <c r="I169" s="118" t="s">
        <v>77</v>
      </c>
      <c r="J169" s="119">
        <v>180</v>
      </c>
      <c r="K169" s="119">
        <v>2</v>
      </c>
      <c r="L169" s="119">
        <f>K$169*L$167</f>
        <v>8</v>
      </c>
      <c r="M169" s="116">
        <f t="shared" ref="M169" si="267">2*H169*J169/10^6*L169</f>
        <v>0.51839999999999997</v>
      </c>
      <c r="N169" s="118" t="s">
        <v>84</v>
      </c>
      <c r="P169" s="118"/>
      <c r="Q169" s="135">
        <v>4</v>
      </c>
      <c r="R169" s="118"/>
      <c r="S169" s="118"/>
      <c r="T169" s="118"/>
      <c r="U169" s="118"/>
      <c r="V169" s="118"/>
      <c r="W169" s="118"/>
      <c r="X169" s="118"/>
      <c r="Y169" s="118"/>
      <c r="Z169" s="118"/>
      <c r="AA169" s="118"/>
      <c r="AB169" s="118" t="s">
        <v>78</v>
      </c>
      <c r="AC169" s="136">
        <f>((((H169+J169)*2/1000)*L169*(5/(VLOOKUP(F169,[2]Plasmalõikus!$A$7:$E$46,2,FALSE)/1000*60)))+(Q169*L169*(5*(VLOOKUP(F169,[2]Plasmalõikus!$A$7:$E$48,3,FALSE))/60/60)))</f>
        <v>0.66666666666666674</v>
      </c>
      <c r="AD169" s="353" t="str">
        <f t="shared" ref="AD169" si="268">IF(C169="WQ",0.012*((H169+J169)*2/1000*L169),IF(OR(VALUE(MID(F169,6,10))&gt;=20,H169&gt;300,J169&gt;300),0.012*((H169+J169)*2/1000*L169)," "))</f>
        <v xml:space="preserve"> </v>
      </c>
      <c r="AE169" s="136"/>
      <c r="AF169" s="137"/>
      <c r="AG169" s="137">
        <f t="shared" ref="AG169" si="269">IF(VALUE(MID(F169,SEARCH(" ",F169)+1,LEN(F169)))&lt;35,0,IF(VALUE(MID(F169,SEARCH(" ",F169)+1,LEN(F169)))&lt;40,3,IF(VALUE(MID(F169,SEARCH(" ",F169)+1,LEN(F169)))&lt;50,4,IF(VALUE(MID(F169,SEARCH(" ",F169)+1,LEN(F169)))&lt;60,5,IF(VALUE(MID(F169,SEARCH(" ",F169)+1,LEN(F169)))&lt;70,6,IF(VALUE(MID(F169,SEARCH(" ",F169)+1,LEN(F169)))&lt;80,7,IF(VALUE(MID(F169,SEARCH(" ",F169)+1,LEN(F169)))&lt;90,8,IF(VALUE(MID(F169,SEARCH(" ",F169)+1,LEN(F169)))&lt;100,9,10))))))))/60*Q169*L169</f>
        <v>0</v>
      </c>
      <c r="AH169" s="136"/>
      <c r="AI169" s="132">
        <f t="shared" ref="AI169" si="270">AL169*L169/60</f>
        <v>2</v>
      </c>
      <c r="AJ169" s="70">
        <f>(50*4*AK169+J169*2*AK169)*L169/1000</f>
        <v>8.9600000000000009</v>
      </c>
      <c r="AK169" s="50">
        <v>2</v>
      </c>
      <c r="AL169" s="69" t="str">
        <f t="shared" ref="AL169" si="271">IF(AND(Q169&gt;0,A169&lt;3),"10",IF(AND(Q169&gt;0,A169&lt;10),"15",IF(AND(Q169&gt;0,A169&lt;20),"20",IF(AND(Q169&gt;0,A169&lt;500),"30",IF(AND(Q169=0,A169&lt;3),"2",IF(AND(Q169=0,A169&lt;10),"5",IF(AND(Q169=0,A169&lt;20),"10",IF(AND(Q169=0,A169&lt;500),"20","2"))))))))</f>
        <v>15</v>
      </c>
      <c r="AN169" s="66"/>
      <c r="AP169" s="146">
        <f>(VLOOKUP(F169,Terasehind!$A$2:$B$171,2,FALSE))</f>
        <v>0.92</v>
      </c>
      <c r="AQ169" s="50">
        <f>(VLOOKUP(F169,Terasehind!$A$2:$C$171,3,FALSE))</f>
        <v>1.1000000000000001</v>
      </c>
      <c r="AR169" s="138">
        <f t="shared" ref="AR169" si="272">AP169*AQ169*B169</f>
        <v>30.887049600000008</v>
      </c>
      <c r="AS169"/>
      <c r="AT169"/>
      <c r="AU169"/>
      <c r="AV169"/>
      <c r="AW169"/>
      <c r="AX169"/>
      <c r="AY169"/>
      <c r="AZ169"/>
      <c r="BA169" s="188">
        <f>(H169*2+J169*2)*2*2/60/1000*L169</f>
        <v>0.38400000000000001</v>
      </c>
      <c r="BB169" s="189"/>
      <c r="BC169" s="57"/>
      <c r="BD169" s="57"/>
      <c r="BE169" s="57"/>
      <c r="BF169" s="57"/>
      <c r="BG169" s="57"/>
      <c r="BH169" s="57"/>
      <c r="BI169" s="57"/>
      <c r="BJ169" s="57"/>
      <c r="BK169" s="109"/>
      <c r="BL169" s="109"/>
      <c r="BM169" s="109"/>
      <c r="BN169" s="83"/>
      <c r="BP169" s="83"/>
      <c r="BQ169" s="83"/>
    </row>
    <row r="170" spans="1:69" s="50" customFormat="1" x14ac:dyDescent="0.25">
      <c r="A170" s="116">
        <f t="shared" ref="A170:A172" si="273">H170*J170*(RIGHT(F170,2))*7.85/(10^6)</f>
        <v>2.2608000000000001</v>
      </c>
      <c r="B170" s="116">
        <f t="shared" ref="B170:B172" si="274">A170*L170</f>
        <v>9.0432000000000006</v>
      </c>
      <c r="C170" s="118" t="s">
        <v>489</v>
      </c>
      <c r="D170" s="117" t="s">
        <v>85</v>
      </c>
      <c r="E170" s="117"/>
      <c r="F170" s="355" t="s">
        <v>87</v>
      </c>
      <c r="G170" s="117" t="s">
        <v>83</v>
      </c>
      <c r="H170" s="119">
        <v>120</v>
      </c>
      <c r="I170" s="118" t="s">
        <v>77</v>
      </c>
      <c r="J170" s="119">
        <v>160</v>
      </c>
      <c r="K170" s="119">
        <v>1</v>
      </c>
      <c r="L170" s="119">
        <f>K$170*L$167</f>
        <v>4</v>
      </c>
      <c r="M170" s="116">
        <f t="shared" ref="M170:M172" si="275">2*H170*J170/10^6*L170</f>
        <v>0.15359999999999999</v>
      </c>
      <c r="N170" s="118" t="s">
        <v>84</v>
      </c>
      <c r="P170" s="118"/>
      <c r="Q170" s="135">
        <v>1</v>
      </c>
      <c r="R170" s="118"/>
      <c r="S170" s="118"/>
      <c r="T170" s="118"/>
      <c r="U170" s="118"/>
      <c r="V170" s="118"/>
      <c r="W170" s="118"/>
      <c r="X170" s="118"/>
      <c r="Y170" s="118"/>
      <c r="Z170" s="118"/>
      <c r="AA170" s="118"/>
      <c r="AB170" s="118" t="s">
        <v>78</v>
      </c>
      <c r="AC170" s="136">
        <f>((((H170+J170)*2/1000)*L170*(5/(VLOOKUP(F170,[2]Plasmalõikus!$A$7:$E$46,2,FALSE)/1000*60)))+(Q170*L170*(5*(VLOOKUP(F170,[2]Plasmalõikus!$A$7:$E$48,3,FALSE))/60/60)))</f>
        <v>0.15370370370370373</v>
      </c>
      <c r="AD170" s="353" t="str">
        <f t="shared" ref="AD170" si="276">IF(C170="WQ",0.012*((H170+J170)*2/1000*L170),IF(OR(VALUE(MID(F170,6,10))&gt;=20,H170&gt;300,J170&gt;300),0.012*((H170+J170)*2/1000*L170)," "))</f>
        <v xml:space="preserve"> </v>
      </c>
      <c r="AE170" s="136"/>
      <c r="AF170" s="137"/>
      <c r="AG170" s="137">
        <f t="shared" ref="AG170:AG172" si="277">IF(VALUE(MID(F170,SEARCH(" ",F170)+1,LEN(F170)))&lt;35,0,IF(VALUE(MID(F170,SEARCH(" ",F170)+1,LEN(F170)))&lt;40,3,IF(VALUE(MID(F170,SEARCH(" ",F170)+1,LEN(F170)))&lt;50,4,IF(VALUE(MID(F170,SEARCH(" ",F170)+1,LEN(F170)))&lt;60,5,IF(VALUE(MID(F170,SEARCH(" ",F170)+1,LEN(F170)))&lt;70,6,IF(VALUE(MID(F170,SEARCH(" ",F170)+1,LEN(F170)))&lt;80,7,IF(VALUE(MID(F170,SEARCH(" ",F170)+1,LEN(F170)))&lt;90,8,IF(VALUE(MID(F170,SEARCH(" ",F170)+1,LEN(F170)))&lt;100,9,10))))))))/60*Q170*L170</f>
        <v>0</v>
      </c>
      <c r="AH170" s="136"/>
      <c r="AI170" s="132">
        <f t="shared" ref="AI170:AI172" si="278">AL170*L170/60</f>
        <v>0.66666666666666663</v>
      </c>
      <c r="AJ170" s="70">
        <f>(H170*2*AK170)*L170/1000</f>
        <v>1.92</v>
      </c>
      <c r="AK170" s="50">
        <v>2</v>
      </c>
      <c r="AL170" s="69" t="str">
        <f t="shared" ref="AL170:AL172" si="279">IF(AND(Q170&gt;0,A170&lt;3),"10",IF(AND(Q170&gt;0,A170&lt;10),"15",IF(AND(Q170&gt;0,A170&lt;20),"20",IF(AND(Q170&gt;0,A170&lt;500),"30",IF(AND(Q170=0,A170&lt;3),"2",IF(AND(Q170=0,A170&lt;10),"5",IF(AND(Q170=0,A170&lt;20),"10",IF(AND(Q170=0,A170&lt;500),"20","2"))))))))</f>
        <v>10</v>
      </c>
      <c r="AN170" s="66"/>
      <c r="AP170" s="146">
        <f>(VLOOKUP(F170,Terasehind!$A$2:$B$171,2,FALSE))</f>
        <v>0.92</v>
      </c>
      <c r="AQ170" s="50">
        <f>(VLOOKUP(F170,Terasehind!$A$2:$C$171,3,FALSE))</f>
        <v>1.1000000000000001</v>
      </c>
      <c r="AR170" s="138">
        <f t="shared" ref="AR170:AR172" si="280">AP170*AQ170*B170</f>
        <v>9.1517184000000018</v>
      </c>
      <c r="AS170"/>
      <c r="AT170"/>
      <c r="AU170"/>
      <c r="AV170"/>
      <c r="AW170"/>
      <c r="AX170"/>
      <c r="AY170"/>
      <c r="AZ170"/>
      <c r="BA170" s="188">
        <f t="shared" ref="BA170:BA172" si="281">(H170*2+J170*2)*2*2/60/1000*L170</f>
        <v>0.14933333333333335</v>
      </c>
      <c r="BB170" s="189"/>
      <c r="BC170" s="57"/>
      <c r="BD170" s="57"/>
      <c r="BE170" s="57"/>
      <c r="BF170" s="57"/>
      <c r="BG170" s="57"/>
      <c r="BH170" s="57"/>
      <c r="BI170" s="57"/>
      <c r="BJ170" s="57"/>
      <c r="BK170" s="109"/>
      <c r="BL170" s="109"/>
      <c r="BM170" s="109"/>
      <c r="BN170" s="83"/>
      <c r="BP170" s="83"/>
      <c r="BQ170" s="83"/>
    </row>
    <row r="171" spans="1:69" s="50" customFormat="1" ht="14.95" x14ac:dyDescent="0.25">
      <c r="A171" s="116">
        <f t="shared" si="273"/>
        <v>12.634575</v>
      </c>
      <c r="B171" s="116">
        <f t="shared" si="274"/>
        <v>101.0766</v>
      </c>
      <c r="C171" s="118" t="s">
        <v>383</v>
      </c>
      <c r="D171" s="117" t="s">
        <v>340</v>
      </c>
      <c r="E171" s="117"/>
      <c r="F171" s="355" t="s">
        <v>87</v>
      </c>
      <c r="G171" s="117" t="s">
        <v>83</v>
      </c>
      <c r="H171" s="119">
        <v>290</v>
      </c>
      <c r="I171" s="118" t="s">
        <v>77</v>
      </c>
      <c r="J171" s="119">
        <v>370</v>
      </c>
      <c r="K171" s="119">
        <v>2</v>
      </c>
      <c r="L171" s="119">
        <f>K$171*L$167</f>
        <v>8</v>
      </c>
      <c r="M171" s="116">
        <f t="shared" si="275"/>
        <v>1.7168000000000001</v>
      </c>
      <c r="N171" s="118" t="s">
        <v>84</v>
      </c>
      <c r="P171" s="118"/>
      <c r="Q171" s="135"/>
      <c r="R171" s="118"/>
      <c r="S171" s="118"/>
      <c r="T171" s="118"/>
      <c r="U171" s="118"/>
      <c r="V171" s="118"/>
      <c r="W171" s="118"/>
      <c r="X171" s="118"/>
      <c r="Y171" s="118"/>
      <c r="Z171" s="118"/>
      <c r="AA171" s="118"/>
      <c r="AB171" s="118" t="s">
        <v>78</v>
      </c>
      <c r="AC171" s="136">
        <f>((((H171+J171)*2/1000)*L171*(5/(VLOOKUP(F171,[2]Plasmalõikus!$A$7:$E$46,2,FALSE)/1000*60)))+(Q171*L171*(5*(VLOOKUP(F171,[2]Plasmalõikus!$A$7:$E$48,3,FALSE))/60/60)))</f>
        <v>0.48888888888888887</v>
      </c>
      <c r="AD171" s="353"/>
      <c r="AE171" s="136"/>
      <c r="AF171" s="137"/>
      <c r="AG171" s="137">
        <f t="shared" si="277"/>
        <v>0</v>
      </c>
      <c r="AH171" s="136"/>
      <c r="AI171" s="132">
        <f t="shared" si="278"/>
        <v>1.3333333333333333</v>
      </c>
      <c r="AJ171" s="70">
        <f>(H171*2*AK171+J171*2*AK171)*L171/1000</f>
        <v>21.12</v>
      </c>
      <c r="AK171" s="50">
        <v>2</v>
      </c>
      <c r="AL171" s="69" t="str">
        <f t="shared" si="279"/>
        <v>10</v>
      </c>
      <c r="AN171" s="66"/>
      <c r="AP171" s="146">
        <f>(VLOOKUP(F171,Terasehind!$A$2:$B$171,2,FALSE))</f>
        <v>0.92</v>
      </c>
      <c r="AQ171" s="50">
        <f>(VLOOKUP(F171,Terasehind!$A$2:$C$171,3,FALSE))</f>
        <v>1.1000000000000001</v>
      </c>
      <c r="AR171" s="138">
        <f t="shared" si="280"/>
        <v>102.28951920000003</v>
      </c>
      <c r="AS171"/>
      <c r="AT171"/>
      <c r="AU171"/>
      <c r="AV171"/>
      <c r="AW171"/>
      <c r="AX171"/>
      <c r="AY171"/>
      <c r="AZ171"/>
      <c r="BA171" s="188">
        <f t="shared" si="281"/>
        <v>0.70399999999999996</v>
      </c>
      <c r="BB171" s="189"/>
      <c r="BC171" s="57"/>
      <c r="BD171" s="57"/>
      <c r="BE171" s="57"/>
      <c r="BF171" s="57"/>
      <c r="BG171" s="57"/>
      <c r="BH171" s="57"/>
      <c r="BI171" s="57"/>
      <c r="BJ171" s="57"/>
      <c r="BK171" s="109"/>
      <c r="BL171" s="109"/>
      <c r="BM171" s="109"/>
      <c r="BN171" s="83"/>
      <c r="BP171" s="83"/>
      <c r="BQ171" s="83"/>
    </row>
    <row r="172" spans="1:69" s="50" customFormat="1" ht="14.95" x14ac:dyDescent="0.25">
      <c r="A172" s="116">
        <f t="shared" si="273"/>
        <v>2.5496799999999999</v>
      </c>
      <c r="B172" s="116">
        <f t="shared" si="274"/>
        <v>10.19872</v>
      </c>
      <c r="C172" s="118" t="s">
        <v>93</v>
      </c>
      <c r="D172" s="117" t="s">
        <v>340</v>
      </c>
      <c r="E172" s="117"/>
      <c r="F172" s="355" t="s">
        <v>337</v>
      </c>
      <c r="G172" s="117" t="s">
        <v>83</v>
      </c>
      <c r="H172" s="119">
        <v>140</v>
      </c>
      <c r="I172" s="118" t="s">
        <v>77</v>
      </c>
      <c r="J172" s="119">
        <v>290</v>
      </c>
      <c r="K172" s="119">
        <v>1</v>
      </c>
      <c r="L172" s="119">
        <f>K$172*L$167</f>
        <v>4</v>
      </c>
      <c r="M172" s="116">
        <f t="shared" si="275"/>
        <v>0.32479999999999998</v>
      </c>
      <c r="N172" s="118" t="s">
        <v>84</v>
      </c>
      <c r="P172" s="118"/>
      <c r="Q172" s="135">
        <v>2</v>
      </c>
      <c r="R172" s="118"/>
      <c r="S172" s="118"/>
      <c r="T172" s="118"/>
      <c r="U172" s="118"/>
      <c r="V172" s="118"/>
      <c r="W172" s="118"/>
      <c r="X172" s="118"/>
      <c r="Y172" s="118"/>
      <c r="Z172" s="118"/>
      <c r="AA172" s="118"/>
      <c r="AB172" s="118" t="s">
        <v>78</v>
      </c>
      <c r="AC172" s="136">
        <f>((((H172+J172)*2/1000)*L172*(5/(VLOOKUP(F172,[2]Plasmalõikus!$A$7:$E$46,2,FALSE)/1000*60)))+(Q172*L172*(5*(VLOOKUP(F172,[2]Plasmalõikus!$A$7:$E$48,3,FALSE))/60/60)))</f>
        <v>0.18444444444444441</v>
      </c>
      <c r="AD172" s="353" t="str">
        <f t="shared" ref="AD172" si="282">IF(C172="WQ",0.012*((H172+J172)*2/1000*L172),IF(OR(VALUE(MID(F172,6,10))&gt;=20,H172&gt;300,J172&gt;300),0.012*((H172+J172)*2/1000*L172)," "))</f>
        <v xml:space="preserve"> </v>
      </c>
      <c r="AE172" s="136"/>
      <c r="AF172" s="137"/>
      <c r="AG172" s="137">
        <f t="shared" si="277"/>
        <v>0</v>
      </c>
      <c r="AH172" s="136"/>
      <c r="AI172" s="132">
        <f t="shared" si="278"/>
        <v>0.66666666666666663</v>
      </c>
      <c r="AJ172" s="70">
        <f>(H172*2*AK172)*2*L172/1000</f>
        <v>4.4800000000000004</v>
      </c>
      <c r="AK172" s="50">
        <v>2</v>
      </c>
      <c r="AL172" s="69" t="str">
        <f t="shared" si="279"/>
        <v>10</v>
      </c>
      <c r="AN172" s="66"/>
      <c r="AP172" s="146">
        <f>(VLOOKUP(F172,Terasehind!$A$2:$B$171,2,FALSE))</f>
        <v>0.92</v>
      </c>
      <c r="AQ172" s="50">
        <f>(VLOOKUP(F172,Terasehind!$A$2:$C$171,3,FALSE))</f>
        <v>1.1000000000000001</v>
      </c>
      <c r="AR172" s="138">
        <f t="shared" si="280"/>
        <v>10.321104640000001</v>
      </c>
      <c r="AS172"/>
      <c r="AT172"/>
      <c r="AU172"/>
      <c r="AV172"/>
      <c r="AW172"/>
      <c r="AX172"/>
      <c r="AY172"/>
      <c r="AZ172"/>
      <c r="BA172" s="188">
        <f t="shared" si="281"/>
        <v>0.22933333333333333</v>
      </c>
      <c r="BB172" s="189"/>
      <c r="BC172" s="57"/>
      <c r="BD172" s="57"/>
      <c r="BE172" s="57"/>
      <c r="BF172" s="57"/>
      <c r="BG172" s="57"/>
      <c r="BH172" s="57"/>
      <c r="BI172" s="57"/>
      <c r="BJ172" s="57"/>
      <c r="BK172" s="109"/>
      <c r="BL172" s="109"/>
      <c r="BM172" s="109"/>
      <c r="BN172" s="83"/>
      <c r="BP172" s="83"/>
      <c r="BQ172" s="83"/>
    </row>
    <row r="173" spans="1:69" s="50" customFormat="1" ht="14.95" x14ac:dyDescent="0.25">
      <c r="A173" s="116"/>
      <c r="B173" s="116"/>
      <c r="C173" s="118"/>
      <c r="D173" s="117"/>
      <c r="E173" s="117"/>
      <c r="F173" s="269"/>
      <c r="G173" s="117"/>
      <c r="H173" s="119"/>
      <c r="I173" s="118"/>
      <c r="J173" s="119"/>
      <c r="K173" s="119"/>
      <c r="L173" s="119"/>
      <c r="M173" s="119"/>
      <c r="N173" s="119"/>
      <c r="O173" s="119"/>
      <c r="P173" s="119"/>
      <c r="Q173" s="119"/>
      <c r="R173" s="118"/>
      <c r="S173" s="118"/>
      <c r="T173" s="118"/>
      <c r="U173" s="118"/>
      <c r="V173" s="118"/>
      <c r="W173" s="118"/>
      <c r="X173" s="118"/>
      <c r="Y173" s="118"/>
      <c r="Z173" s="118"/>
      <c r="AA173" s="118"/>
      <c r="AB173" s="118"/>
      <c r="AC173" s="136"/>
      <c r="AD173" s="136"/>
      <c r="AE173" s="136"/>
      <c r="AF173" s="136"/>
      <c r="AG173" s="136"/>
      <c r="AH173" s="136"/>
      <c r="AI173" s="132"/>
      <c r="AJ173" s="60"/>
      <c r="AN173" s="66"/>
      <c r="AP173" s="146"/>
      <c r="AR173" s="138"/>
      <c r="AT173" s="62"/>
      <c r="AU173" s="62"/>
      <c r="AV173" s="62"/>
      <c r="AW173" s="62"/>
      <c r="AX173" s="62"/>
      <c r="AY173" s="62"/>
      <c r="AZ173"/>
      <c r="BA173" s="192"/>
      <c r="BB173" s="188"/>
      <c r="BC173" s="57"/>
      <c r="BD173" s="57"/>
      <c r="BE173" s="57"/>
      <c r="BF173" s="57"/>
      <c r="BG173" s="57"/>
      <c r="BH173" s="57"/>
      <c r="BI173" s="57"/>
      <c r="BJ173" s="109"/>
      <c r="BK173" s="109"/>
      <c r="BL173" s="109"/>
      <c r="BM173" s="83"/>
      <c r="BO173" s="83"/>
      <c r="BP173" s="83"/>
    </row>
    <row r="174" spans="1:69" s="50" customFormat="1" x14ac:dyDescent="0.25">
      <c r="A174" s="148">
        <f>B174/L174</f>
        <v>837.26031750000004</v>
      </c>
      <c r="B174" s="148">
        <f>SUM(B186,B185,B184,B183,B182,B181,B180,B179,B178,B177,B176,B175,0)</f>
        <v>10047.123810000001</v>
      </c>
      <c r="C174" s="152"/>
      <c r="D174" s="149" t="s">
        <v>76</v>
      </c>
      <c r="E174" s="149"/>
      <c r="F174" s="365"/>
      <c r="G174" s="174" t="str">
        <f>$G$163</f>
        <v>C3VH</v>
      </c>
      <c r="H174" s="150"/>
      <c r="I174" s="151" t="s">
        <v>77</v>
      </c>
      <c r="J174" s="150">
        <f>J175</f>
        <v>3560</v>
      </c>
      <c r="K174" s="134">
        <v>12</v>
      </c>
      <c r="L174" s="150">
        <f>$L$163*$K$174</f>
        <v>12</v>
      </c>
      <c r="M174" s="148">
        <f>SUM(M186,M185,M184,M183,M182,M181,M180,M179,M178,M177,M176,M175,0)</f>
        <v>138.15348</v>
      </c>
      <c r="N174" s="151"/>
      <c r="O174" s="151"/>
      <c r="P174" s="151"/>
      <c r="Q174" s="151"/>
      <c r="R174" s="120"/>
      <c r="S174" s="120"/>
      <c r="T174" s="120"/>
      <c r="U174" s="120"/>
      <c r="V174" s="120"/>
      <c r="W174" s="118"/>
      <c r="X174" s="118" t="s">
        <v>78</v>
      </c>
      <c r="Y174" s="151">
        <v>4</v>
      </c>
      <c r="Z174" s="151"/>
      <c r="AA174" s="151"/>
      <c r="AB174" s="151"/>
      <c r="AC174" s="148">
        <f>SUM(AC186,AC185,AC184,AC183,AC182,AC181,AC180,AC179,AC178,AC177,AC176,AC175,0)</f>
        <v>19.686083333333336</v>
      </c>
      <c r="AD174" s="148">
        <f>SUM(AD186,AD185,AD184,AD183,AD182,AD181,AD180,AD179,AD178,AD177,AD176,AD175,0)</f>
        <v>0.18864</v>
      </c>
      <c r="AE174" s="148">
        <f>SUM(AE186,AE185,AE184,AE183,AE182,AE181,AE180,AE179,AE178,AE177,AE176,AE175,0)</f>
        <v>10.600000000000001</v>
      </c>
      <c r="AF174" s="148">
        <f>SUM(AF186,AF185,AF184,AF183,AF182,AF181,AF180,AF179,AF178,AF177,AF176,AF175,0)</f>
        <v>13.080000000000002</v>
      </c>
      <c r="AG174" s="148">
        <f>SUM(AG186,AG185,AG184,AG183,AG182,AG181,AG180,AG179,AG178,AG177,AG176,AG175,0)</f>
        <v>17.299999999999997</v>
      </c>
      <c r="AH174" s="107">
        <f>SUM(AC174:AG174)</f>
        <v>60.854723333333339</v>
      </c>
      <c r="AI174" s="107">
        <f>SUM(AI186,AI185,AI184,AI183,AI182,AI181,AI180,AI179,AI178,AI177,AI176,AI175,0)</f>
        <v>61.8</v>
      </c>
      <c r="AJ174" s="148">
        <f>SUM(AJ186,AJ185,AJ184,AJ183,AJ182,AJ181,AJ180,AJ179,AJ178,AJ177,AJ176,AJ175,0)</f>
        <v>804</v>
      </c>
      <c r="AK174" s="107">
        <f>AJ174*10/60</f>
        <v>134</v>
      </c>
      <c r="AL174" s="148">
        <f>AH174+AI174+AK174</f>
        <v>256.65472333333332</v>
      </c>
      <c r="AM174" s="148">
        <f>B174/AL174</f>
        <v>39.146459802148982</v>
      </c>
      <c r="AN174" s="148">
        <f>AL174*46</f>
        <v>11806.117273333333</v>
      </c>
      <c r="AO174" s="148">
        <f>AN174/B174</f>
        <v>1.1750743293899284</v>
      </c>
      <c r="AP174" s="148">
        <f>AR174/B174</f>
        <v>1.1135404614586908</v>
      </c>
      <c r="AQ174" s="67"/>
      <c r="AR174" s="148">
        <f>SUM(AR186,AR185,AR184,AR183,AR182,AR181,AR180,AR179,AR178,AR177,AR176,AR175,0)</f>
        <v>11187.878883720001</v>
      </c>
      <c r="AT174" s="62"/>
      <c r="AU174" s="62"/>
      <c r="AV174" s="62"/>
      <c r="AW174" s="62"/>
      <c r="AX174" s="62"/>
      <c r="AY174" s="62"/>
      <c r="AZ174"/>
      <c r="BA174" s="148">
        <f>SUM(BA186,BA185,BA184,BA181,BA180,BA179,BA178,BA177,BA176,BA175,0)</f>
        <v>21.28</v>
      </c>
      <c r="BB174" s="188"/>
      <c r="BC174" s="57"/>
      <c r="BD174" s="57"/>
      <c r="BE174" s="57"/>
      <c r="BF174" s="57"/>
      <c r="BG174" s="57"/>
      <c r="BH174" s="57"/>
      <c r="BI174" s="60"/>
    </row>
    <row r="175" spans="1:69" s="50" customFormat="1" x14ac:dyDescent="0.25">
      <c r="A175" s="116">
        <f xml:space="preserve"> 105*J175/10^3</f>
        <v>373.8</v>
      </c>
      <c r="B175" s="116">
        <f>A175*L175</f>
        <v>4485.6000000000004</v>
      </c>
      <c r="C175" s="299" t="s">
        <v>354</v>
      </c>
      <c r="D175" s="117" t="s">
        <v>76</v>
      </c>
      <c r="E175" s="117"/>
      <c r="F175" s="355" t="s">
        <v>403</v>
      </c>
      <c r="G175" s="140" t="s">
        <v>83</v>
      </c>
      <c r="H175" s="119">
        <v>330</v>
      </c>
      <c r="I175" s="118" t="s">
        <v>77</v>
      </c>
      <c r="J175" s="119">
        <v>3560</v>
      </c>
      <c r="K175" s="50">
        <v>1</v>
      </c>
      <c r="L175" s="119">
        <f>K$175*L$174</f>
        <v>12</v>
      </c>
      <c r="M175" s="131">
        <f xml:space="preserve"> 1.79*J175*L175/10^3</f>
        <v>76.468800000000002</v>
      </c>
      <c r="N175" s="118"/>
      <c r="O175" s="118"/>
      <c r="P175" s="118" t="s">
        <v>78</v>
      </c>
      <c r="Q175" s="135">
        <v>4</v>
      </c>
      <c r="R175" s="118"/>
      <c r="S175" s="118"/>
      <c r="T175" s="118"/>
      <c r="U175" s="118"/>
      <c r="V175" s="118"/>
      <c r="W175" s="118"/>
      <c r="Y175" s="118"/>
      <c r="Z175" s="118"/>
      <c r="AA175" s="118"/>
      <c r="AB175" s="118" t="s">
        <v>78</v>
      </c>
      <c r="AC175" s="116"/>
      <c r="AD175" s="83"/>
      <c r="AE175" s="136">
        <f>(H175/20/60)*2*L175</f>
        <v>6.6000000000000005</v>
      </c>
      <c r="AF175" s="137">
        <f>(550*4)*20/60/1000*L175</f>
        <v>8.8000000000000007</v>
      </c>
      <c r="AG175" s="132">
        <f>Q175*L175*0.5/60</f>
        <v>0.4</v>
      </c>
      <c r="AH175" s="83"/>
      <c r="AI175" s="132">
        <f>AL175*L175/60</f>
        <v>6</v>
      </c>
      <c r="AJ175" s="70">
        <f>(H175*6*AK175)*2*L175/1000</f>
        <v>142.56</v>
      </c>
      <c r="AK175" s="50">
        <f>(VLOOKUP(F175,[2]Koostamine!$A$12:$P$1612,7,FALSE))</f>
        <v>3</v>
      </c>
      <c r="AL175" s="69">
        <f>VLOOKUP(F175,[2]Koostamine!$A$12:$P$1612,IF(J175&lt;1499,11,IF(J175&lt;2999,12,IF(J175&lt;5999,13,IF(J175&lt;9999,14,IF(J175&lt;12999,15,IF(J175&gt;13000,16)))))),FALSE)</f>
        <v>30</v>
      </c>
      <c r="AP175" s="146">
        <f>(VLOOKUP(F175,Terasehind!$A$2:$B$171,2,FALSE))</f>
        <v>0.9</v>
      </c>
      <c r="AQ175" s="50">
        <f>(VLOOKUP(F175,Terasehind!$A$2:$C$171,3,FALSE))</f>
        <v>1.1000000000000001</v>
      </c>
      <c r="AR175" s="138">
        <f>AP175*AQ175*B175</f>
        <v>4440.7440000000006</v>
      </c>
      <c r="AT175" s="62"/>
      <c r="AU175" s="62"/>
      <c r="AV175" s="62"/>
      <c r="AW175" s="62"/>
      <c r="AX175" s="62"/>
      <c r="AY175" s="62"/>
      <c r="AZ175"/>
      <c r="BA175" s="188"/>
      <c r="BB175" s="189"/>
      <c r="BC175" s="57"/>
      <c r="BD175" s="57"/>
      <c r="BE175" s="57"/>
      <c r="BF175" s="57"/>
      <c r="BG175" s="57"/>
      <c r="BH175" s="57"/>
      <c r="BI175" s="57"/>
      <c r="BJ175" s="60"/>
      <c r="BK175" s="57"/>
      <c r="BL175" s="60"/>
      <c r="BM175" s="83"/>
      <c r="BO175" s="109"/>
    </row>
    <row r="176" spans="1:69" s="50" customFormat="1" x14ac:dyDescent="0.25">
      <c r="A176" s="116">
        <f t="shared" ref="A176:A181" si="283">H176*J176*(RIGHT(F176,2))*7.85/(10^6)</f>
        <v>74.260999999999996</v>
      </c>
      <c r="B176" s="116">
        <f t="shared" ref="B176:B181" si="284">A176*L176</f>
        <v>891.13199999999995</v>
      </c>
      <c r="C176" s="118" t="s">
        <v>80</v>
      </c>
      <c r="D176" s="117" t="s">
        <v>81</v>
      </c>
      <c r="E176" s="117"/>
      <c r="F176" s="355" t="s">
        <v>92</v>
      </c>
      <c r="G176" s="117" t="s">
        <v>83</v>
      </c>
      <c r="H176" s="119">
        <v>430</v>
      </c>
      <c r="I176" s="118" t="s">
        <v>77</v>
      </c>
      <c r="J176" s="119">
        <v>550</v>
      </c>
      <c r="K176" s="119">
        <v>1</v>
      </c>
      <c r="L176" s="119">
        <f>K$176*L$174</f>
        <v>12</v>
      </c>
      <c r="M176" s="116">
        <f t="shared" ref="M176:M181" si="285">2*H176*J176/10^6*L176</f>
        <v>5.6760000000000002</v>
      </c>
      <c r="N176" s="118" t="s">
        <v>84</v>
      </c>
      <c r="P176" s="118"/>
      <c r="Q176" s="135">
        <v>8</v>
      </c>
      <c r="R176" s="118"/>
      <c r="S176" s="118"/>
      <c r="T176" s="118"/>
      <c r="U176" s="118"/>
      <c r="V176" s="118"/>
      <c r="W176" s="118"/>
      <c r="X176" s="118"/>
      <c r="Y176" s="118"/>
      <c r="Z176" s="118"/>
      <c r="AA176" s="118"/>
      <c r="AB176" s="118" t="s">
        <v>78</v>
      </c>
      <c r="AC176" s="347"/>
      <c r="AD176" s="353"/>
      <c r="AE176" s="136"/>
      <c r="AF176" s="137"/>
      <c r="AG176" s="137">
        <f t="shared" ref="AG176:AG181" si="286">IF(VALUE(MID(F176,SEARCH(" ",F176)+1,LEN(F176)))&lt;35,0,IF(VALUE(MID(F176,SEARCH(" ",F176)+1,LEN(F176)))&lt;40,3,IF(VALUE(MID(F176,SEARCH(" ",F176)+1,LEN(F176)))&lt;50,4,IF(VALUE(MID(F176,SEARCH(" ",F176)+1,LEN(F176)))&lt;60,5,IF(VALUE(MID(F176,SEARCH(" ",F176)+1,LEN(F176)))&lt;70,6,IF(VALUE(MID(F176,SEARCH(" ",F176)+1,LEN(F176)))&lt;80,7,IF(VALUE(MID(F176,SEARCH(" ",F176)+1,LEN(F176)))&lt;90,8,IF(VALUE(MID(F176,SEARCH(" ",F176)+1,LEN(F176)))&lt;100,9,10))))))))/60*Q176*L176</f>
        <v>6.4</v>
      </c>
      <c r="AH176" s="136"/>
      <c r="AI176" s="132">
        <f t="shared" ref="AI176:AI182" si="287">AL176*L176/60</f>
        <v>6</v>
      </c>
      <c r="AJ176" s="70"/>
      <c r="AK176" s="50">
        <v>6</v>
      </c>
      <c r="AL176" s="165" t="str">
        <f t="shared" ref="AL176:AL177" si="288">IF(A176&gt;40,"30",IF(A176&gt;10,"10",IF(A176&gt;20,"20","2")))</f>
        <v>30</v>
      </c>
      <c r="AN176" s="66"/>
      <c r="AP176" s="146">
        <f>(VLOOKUP(F176,Terasehind!$A$2:$B$171,2,FALSE))</f>
        <v>1.37</v>
      </c>
      <c r="AQ176" s="50">
        <f>(VLOOKUP(F176,Terasehind!$A$2:$C$171,3,FALSE))</f>
        <v>1.1000000000000001</v>
      </c>
      <c r="AR176" s="138">
        <f t="shared" ref="AR176:AR182" si="289">AP176*AQ176*B176</f>
        <v>1342.9359240000001</v>
      </c>
      <c r="AS176"/>
      <c r="AT176"/>
      <c r="AU176"/>
      <c r="AV176"/>
      <c r="AW176"/>
      <c r="AX176"/>
      <c r="AY176"/>
      <c r="AZ176"/>
      <c r="BA176" s="188">
        <f>(H176*2+J176*2)*2*2/60/1000*L176</f>
        <v>1.5679999999999998</v>
      </c>
      <c r="BB176" s="189"/>
      <c r="BC176" s="57"/>
      <c r="BD176" s="57"/>
      <c r="BE176" s="57"/>
      <c r="BF176" s="57"/>
      <c r="BG176" s="57"/>
      <c r="BH176" s="57"/>
      <c r="BI176" s="57"/>
      <c r="BJ176" s="57"/>
      <c r="BK176" s="109"/>
      <c r="BL176" s="109"/>
      <c r="BM176" s="109"/>
      <c r="BN176" s="83"/>
      <c r="BP176" s="83"/>
      <c r="BQ176" s="83"/>
    </row>
    <row r="177" spans="1:69" s="50" customFormat="1" x14ac:dyDescent="0.25">
      <c r="A177" s="116">
        <f t="shared" si="283"/>
        <v>101.108</v>
      </c>
      <c r="B177" s="116">
        <f t="shared" si="284"/>
        <v>1213.296</v>
      </c>
      <c r="C177" s="118" t="s">
        <v>80</v>
      </c>
      <c r="D177" s="117" t="s">
        <v>85</v>
      </c>
      <c r="E177" s="117"/>
      <c r="F177" s="355" t="s">
        <v>92</v>
      </c>
      <c r="G177" s="117" t="s">
        <v>83</v>
      </c>
      <c r="H177" s="119">
        <v>230</v>
      </c>
      <c r="I177" s="118" t="s">
        <v>77</v>
      </c>
      <c r="J177" s="119">
        <v>1400</v>
      </c>
      <c r="K177" s="119">
        <v>1</v>
      </c>
      <c r="L177" s="119">
        <f>K$177*L$174</f>
        <v>12</v>
      </c>
      <c r="M177" s="116">
        <f t="shared" si="285"/>
        <v>7.7279999999999998</v>
      </c>
      <c r="N177" s="118" t="s">
        <v>84</v>
      </c>
      <c r="P177" s="118"/>
      <c r="Q177" s="135">
        <v>10</v>
      </c>
      <c r="R177" s="118"/>
      <c r="S177" s="118"/>
      <c r="T177" s="118"/>
      <c r="U177" s="118"/>
      <c r="V177" s="118"/>
      <c r="W177" s="118"/>
      <c r="X177" s="118"/>
      <c r="Y177" s="118"/>
      <c r="Z177" s="118"/>
      <c r="AA177" s="118"/>
      <c r="AB177" s="118" t="s">
        <v>78</v>
      </c>
      <c r="AC177" s="136">
        <f>((((H177+J177)*2/1000)*L177*(5/(VLOOKUP(F177,[2]Plasmalõikus!$A$7:$E$46,2,FALSE)/1000*60)))+(Q177*L177*(5*(VLOOKUP(F177,[2]Plasmalõikus!$A$7:$E$48,3,FALSE))/60/60)))</f>
        <v>7.4083333333333332</v>
      </c>
      <c r="AD177" s="353"/>
      <c r="AE177" s="136"/>
      <c r="AF177" s="137"/>
      <c r="AG177" s="137">
        <f t="shared" si="286"/>
        <v>8</v>
      </c>
      <c r="AH177" s="136"/>
      <c r="AI177" s="132">
        <f t="shared" si="287"/>
        <v>6</v>
      </c>
      <c r="AJ177" s="70"/>
      <c r="AK177" s="50">
        <v>6</v>
      </c>
      <c r="AL177" s="165" t="str">
        <f t="shared" si="288"/>
        <v>30</v>
      </c>
      <c r="AN177" s="66"/>
      <c r="AP177" s="146">
        <f>(VLOOKUP(F177,Terasehind!$A$2:$B$171,2,FALSE))</f>
        <v>1.37</v>
      </c>
      <c r="AQ177" s="50">
        <f>(VLOOKUP(F177,Terasehind!$A$2:$C$171,3,FALSE))</f>
        <v>1.1000000000000001</v>
      </c>
      <c r="AR177" s="138">
        <f t="shared" si="289"/>
        <v>1828.4370720000004</v>
      </c>
      <c r="AS177"/>
      <c r="AT177"/>
      <c r="AU177"/>
      <c r="AV177"/>
      <c r="AW177"/>
      <c r="AX177"/>
      <c r="AY177"/>
      <c r="AZ177"/>
      <c r="BA177" s="188">
        <f>(H177*2+J177*2)*2*2/60/1000*L177</f>
        <v>2.6080000000000001</v>
      </c>
      <c r="BB177" s="189"/>
      <c r="BC177" s="57"/>
      <c r="BD177" s="57"/>
      <c r="BE177" s="57"/>
      <c r="BF177" s="57"/>
      <c r="BG177" s="57"/>
      <c r="BH177" s="57"/>
      <c r="BI177" s="57"/>
      <c r="BJ177" s="57"/>
      <c r="BK177" s="109"/>
      <c r="BL177" s="109"/>
      <c r="BM177" s="109"/>
      <c r="BN177" s="83"/>
      <c r="BP177" s="83"/>
      <c r="BQ177" s="83"/>
    </row>
    <row r="178" spans="1:69" s="50" customFormat="1" x14ac:dyDescent="0.25">
      <c r="A178" s="116">
        <f t="shared" si="283"/>
        <v>172.609725</v>
      </c>
      <c r="B178" s="116">
        <f t="shared" si="284"/>
        <v>2071.3166999999999</v>
      </c>
      <c r="C178" s="118"/>
      <c r="D178" s="117" t="s">
        <v>88</v>
      </c>
      <c r="E178" s="117"/>
      <c r="F178" s="355" t="s">
        <v>89</v>
      </c>
      <c r="G178" s="117" t="s">
        <v>83</v>
      </c>
      <c r="H178" s="119">
        <v>535</v>
      </c>
      <c r="I178" s="118" t="s">
        <v>77</v>
      </c>
      <c r="J178" s="119">
        <v>1370</v>
      </c>
      <c r="K178" s="119">
        <v>1</v>
      </c>
      <c r="L178" s="119">
        <f>K$178*L$174</f>
        <v>12</v>
      </c>
      <c r="M178" s="116">
        <f t="shared" si="285"/>
        <v>17.590800000000002</v>
      </c>
      <c r="N178" s="118" t="s">
        <v>84</v>
      </c>
      <c r="P178" s="118"/>
      <c r="Q178" s="135"/>
      <c r="R178" s="118"/>
      <c r="S178" s="118"/>
      <c r="T178" s="118"/>
      <c r="U178" s="118"/>
      <c r="V178" s="118"/>
      <c r="W178" s="118"/>
      <c r="X178" s="118"/>
      <c r="Y178" s="118"/>
      <c r="Z178" s="118"/>
      <c r="AA178" s="118"/>
      <c r="AB178" s="118" t="s">
        <v>78</v>
      </c>
      <c r="AC178" s="136">
        <f>((((H178+J178)*2/1000)*L178*(5/(VLOOKUP(F178,[2]Plasmalõikus!$A$7:$E$46,2,FALSE)/1000*60)))+(Q178*L178*(5*(VLOOKUP(F178,[2]Plasmalõikus!$A$7:$E$48,3,FALSE))/60/60)))</f>
        <v>3.1750000000000003</v>
      </c>
      <c r="AD178" s="353"/>
      <c r="AE178" s="136"/>
      <c r="AF178" s="137">
        <f>(H178*2)*20/60/1000*L178</f>
        <v>4.28</v>
      </c>
      <c r="AG178" s="137">
        <f t="shared" si="286"/>
        <v>0</v>
      </c>
      <c r="AH178" s="136"/>
      <c r="AI178" s="132">
        <f t="shared" si="287"/>
        <v>4</v>
      </c>
      <c r="AJ178" s="70">
        <f>(H178*4*AK178+J178*2*AK178)*L178/1000</f>
        <v>351.36</v>
      </c>
      <c r="AK178" s="50">
        <v>6</v>
      </c>
      <c r="AL178" s="69" t="str">
        <f>IF(AND(Q178&gt;0,A178&lt;3),"10",IF(AND(Q178&gt;0,A178&lt;10),"15",IF(AND(Q178&gt;0,A178&lt;20),"20",IF(AND(Q178&gt;0,A178&lt;500),"30",IF(AND(Q178=0,A178&lt;3),"2",IF(AND(Q178=0,A178&lt;10),"5",IF(AND(Q178=0,A178&lt;20),"10",IF(AND(Q178=0,A178&lt;500),"20","2"))))))))</f>
        <v>20</v>
      </c>
      <c r="AN178" s="66"/>
      <c r="AP178" s="146">
        <f>(VLOOKUP(F178,Terasehind!$A$2:$B$171,2,FALSE))</f>
        <v>0.92</v>
      </c>
      <c r="AQ178" s="50">
        <f>(VLOOKUP(F178,Terasehind!$A$2:$C$171,3,FALSE))</f>
        <v>1.1000000000000001</v>
      </c>
      <c r="AR178" s="138">
        <f t="shared" si="289"/>
        <v>2096.1725004000004</v>
      </c>
      <c r="AS178"/>
      <c r="AT178"/>
      <c r="AU178"/>
      <c r="AV178"/>
      <c r="AW178"/>
      <c r="AX178"/>
      <c r="AY178"/>
      <c r="AZ178"/>
      <c r="BA178" s="188">
        <f t="shared" ref="BA178:BA181" si="290">(H178*2+J178*2)*2*2/60/1000*L178</f>
        <v>3.048</v>
      </c>
      <c r="BB178" s="189"/>
      <c r="BC178" s="57"/>
      <c r="BD178" s="57"/>
      <c r="BE178" s="57"/>
      <c r="BF178" s="57"/>
      <c r="BG178" s="57"/>
      <c r="BH178" s="57"/>
      <c r="BI178" s="57"/>
      <c r="BJ178" s="57"/>
      <c r="BK178" s="109"/>
      <c r="BL178" s="109"/>
      <c r="BM178" s="109"/>
      <c r="BN178" s="83"/>
      <c r="BP178" s="83"/>
      <c r="BQ178" s="83"/>
    </row>
    <row r="179" spans="1:69" s="50" customFormat="1" x14ac:dyDescent="0.25">
      <c r="A179" s="116">
        <f t="shared" ref="A179" si="291">H179*J179*(RIGHT(F179,2))*7.85/(10^6)</f>
        <v>12.634575</v>
      </c>
      <c r="B179" s="116">
        <f t="shared" ref="B179" si="292">A179*L179</f>
        <v>303.22980000000001</v>
      </c>
      <c r="C179" s="118" t="s">
        <v>383</v>
      </c>
      <c r="D179" s="117" t="s">
        <v>340</v>
      </c>
      <c r="E179" s="117"/>
      <c r="F179" s="355" t="s">
        <v>87</v>
      </c>
      <c r="G179" s="117" t="s">
        <v>83</v>
      </c>
      <c r="H179" s="119">
        <v>290</v>
      </c>
      <c r="I179" s="118" t="s">
        <v>77</v>
      </c>
      <c r="J179" s="119">
        <v>370</v>
      </c>
      <c r="K179" s="119">
        <v>2</v>
      </c>
      <c r="L179" s="119">
        <f>K$179*L$174</f>
        <v>24</v>
      </c>
      <c r="M179" s="116">
        <f t="shared" ref="M179" si="293">2*H179*J179/10^6*L179</f>
        <v>5.1504000000000003</v>
      </c>
      <c r="N179" s="118" t="s">
        <v>84</v>
      </c>
      <c r="P179" s="118"/>
      <c r="Q179" s="135"/>
      <c r="R179" s="118"/>
      <c r="S179" s="118"/>
      <c r="T179" s="118"/>
      <c r="U179" s="118"/>
      <c r="V179" s="118"/>
      <c r="W179" s="118"/>
      <c r="X179" s="118"/>
      <c r="Y179" s="118"/>
      <c r="Z179" s="118"/>
      <c r="AA179" s="118"/>
      <c r="AB179" s="118" t="s">
        <v>78</v>
      </c>
      <c r="AC179" s="136">
        <f>((((H179+J179)*2/1000)*L179*(5/(VLOOKUP(F179,[2]Plasmalõikus!$A$7:$E$46,2,FALSE)/1000*60)))+(Q179*L179*(5*(VLOOKUP(F179,[2]Plasmalõikus!$A$7:$E$48,3,FALSE))/60/60)))</f>
        <v>1.4666666666666666</v>
      </c>
      <c r="AD179" s="353"/>
      <c r="AE179" s="136"/>
      <c r="AF179" s="137"/>
      <c r="AG179" s="137">
        <f t="shared" ref="AG179" si="294">IF(VALUE(MID(F179,SEARCH(" ",F179)+1,LEN(F179)))&lt;35,0,IF(VALUE(MID(F179,SEARCH(" ",F179)+1,LEN(F179)))&lt;40,3,IF(VALUE(MID(F179,SEARCH(" ",F179)+1,LEN(F179)))&lt;50,4,IF(VALUE(MID(F179,SEARCH(" ",F179)+1,LEN(F179)))&lt;60,5,IF(VALUE(MID(F179,SEARCH(" ",F179)+1,LEN(F179)))&lt;70,6,IF(VALUE(MID(F179,SEARCH(" ",F179)+1,LEN(F179)))&lt;80,7,IF(VALUE(MID(F179,SEARCH(" ",F179)+1,LEN(F179)))&lt;90,8,IF(VALUE(MID(F179,SEARCH(" ",F179)+1,LEN(F179)))&lt;100,9,10))))))))/60*Q179*L179</f>
        <v>0</v>
      </c>
      <c r="AH179" s="136"/>
      <c r="AI179" s="132">
        <f t="shared" ref="AI179" si="295">AL179*L179/60</f>
        <v>4</v>
      </c>
      <c r="AJ179" s="70">
        <f>(H179*2*AK179+J179*2*AK179)*L179/1000</f>
        <v>63.36</v>
      </c>
      <c r="AK179" s="50">
        <v>2</v>
      </c>
      <c r="AL179" s="69" t="str">
        <f t="shared" ref="AL179:AL181" si="296">IF(AND(Q179&gt;0,A179&lt;3),"10",IF(AND(Q179&gt;0,A179&lt;10),"15",IF(AND(Q179&gt;0,A179&lt;20),"20",IF(AND(Q179&gt;0,A179&lt;500),"30",IF(AND(Q179=0,A179&lt;3),"2",IF(AND(Q179=0,A179&lt;10),"5",IF(AND(Q179=0,A179&lt;20),"10",IF(AND(Q179=0,A179&lt;500),"20","2"))))))))</f>
        <v>10</v>
      </c>
      <c r="AN179" s="66"/>
      <c r="AP179" s="146">
        <f>(VLOOKUP(F179,Terasehind!$A$2:$B$171,2,FALSE))</f>
        <v>0.92</v>
      </c>
      <c r="AQ179" s="50">
        <f>(VLOOKUP(F179,Terasehind!$A$2:$C$171,3,FALSE))</f>
        <v>1.1000000000000001</v>
      </c>
      <c r="AR179" s="138">
        <f t="shared" ref="AR179" si="297">AP179*AQ179*B179</f>
        <v>306.86855760000009</v>
      </c>
      <c r="AS179"/>
      <c r="AT179"/>
      <c r="AU179"/>
      <c r="AV179"/>
      <c r="AW179"/>
      <c r="AX179"/>
      <c r="AY179"/>
      <c r="AZ179"/>
      <c r="BA179" s="188">
        <f t="shared" si="290"/>
        <v>2.1120000000000001</v>
      </c>
      <c r="BB179" s="189"/>
      <c r="BC179" s="57"/>
      <c r="BD179" s="57"/>
      <c r="BE179" s="57"/>
      <c r="BF179" s="57"/>
      <c r="BG179" s="57"/>
      <c r="BH179" s="57"/>
      <c r="BI179" s="57"/>
      <c r="BJ179" s="57"/>
      <c r="BK179" s="109"/>
      <c r="BL179" s="109"/>
      <c r="BM179" s="109"/>
      <c r="BN179" s="83"/>
      <c r="BP179" s="83"/>
      <c r="BQ179" s="83"/>
    </row>
    <row r="180" spans="1:69" s="50" customFormat="1" x14ac:dyDescent="0.25">
      <c r="A180" s="116">
        <f t="shared" si="283"/>
        <v>3.3578375</v>
      </c>
      <c r="B180" s="116">
        <f t="shared" si="284"/>
        <v>282.05835000000002</v>
      </c>
      <c r="C180" s="118" t="s">
        <v>93</v>
      </c>
      <c r="D180" s="117" t="s">
        <v>340</v>
      </c>
      <c r="E180" s="117"/>
      <c r="F180" s="355" t="s">
        <v>82</v>
      </c>
      <c r="G180" s="117" t="s">
        <v>83</v>
      </c>
      <c r="H180" s="119">
        <v>145</v>
      </c>
      <c r="I180" s="118" t="s">
        <v>77</v>
      </c>
      <c r="J180" s="119">
        <v>295</v>
      </c>
      <c r="K180" s="119">
        <v>7</v>
      </c>
      <c r="L180" s="119">
        <f>K$180*L$174</f>
        <v>84</v>
      </c>
      <c r="M180" s="116">
        <f t="shared" si="285"/>
        <v>7.1862000000000004</v>
      </c>
      <c r="N180" s="118" t="s">
        <v>84</v>
      </c>
      <c r="P180" s="118"/>
      <c r="Q180" s="135">
        <v>2</v>
      </c>
      <c r="R180" s="118"/>
      <c r="S180" s="118"/>
      <c r="T180" s="118"/>
      <c r="U180" s="118"/>
      <c r="V180" s="118"/>
      <c r="W180" s="118"/>
      <c r="X180" s="118"/>
      <c r="Y180" s="118"/>
      <c r="Z180" s="118"/>
      <c r="AA180" s="118"/>
      <c r="AB180" s="118" t="s">
        <v>78</v>
      </c>
      <c r="AC180" s="136">
        <f>((((H180+J180)*2/1000)*L180*(5/(VLOOKUP(F180,[2]Plasmalõikus!$A$7:$E$46,2,FALSE)/1000*60)))+(Q180*L180*(5*(VLOOKUP(F180,[2]Plasmalõikus!$A$7:$E$48,3,FALSE))/60/60)))</f>
        <v>4.3306666666666667</v>
      </c>
      <c r="AD180" s="353"/>
      <c r="AE180" s="136"/>
      <c r="AF180" s="137"/>
      <c r="AG180" s="137">
        <f t="shared" si="286"/>
        <v>0</v>
      </c>
      <c r="AH180" s="136"/>
      <c r="AI180" s="132">
        <f t="shared" si="287"/>
        <v>21</v>
      </c>
      <c r="AJ180" s="70">
        <f>(H180*2*AK180)*2*L180/1000</f>
        <v>97.44</v>
      </c>
      <c r="AK180" s="50">
        <v>2</v>
      </c>
      <c r="AL180" s="69" t="str">
        <f t="shared" si="296"/>
        <v>15</v>
      </c>
      <c r="AN180" s="66"/>
      <c r="AP180" s="146">
        <f>(VLOOKUP(F180,Terasehind!$A$2:$B$171,2,FALSE))</f>
        <v>0.92</v>
      </c>
      <c r="AQ180" s="50">
        <f>(VLOOKUP(F180,Terasehind!$A$2:$C$171,3,FALSE))</f>
        <v>1.1000000000000001</v>
      </c>
      <c r="AR180" s="138">
        <f t="shared" si="289"/>
        <v>285.44305020000007</v>
      </c>
      <c r="AS180"/>
      <c r="AT180"/>
      <c r="AU180"/>
      <c r="AV180"/>
      <c r="AW180"/>
      <c r="AX180"/>
      <c r="AY180"/>
      <c r="AZ180"/>
      <c r="BA180" s="188">
        <f t="shared" si="290"/>
        <v>4.9279999999999999</v>
      </c>
      <c r="BB180" s="189"/>
      <c r="BC180" s="57"/>
      <c r="BD180" s="57"/>
      <c r="BE180" s="57"/>
      <c r="BF180" s="57"/>
      <c r="BG180" s="57"/>
      <c r="BH180" s="57"/>
      <c r="BI180" s="57"/>
      <c r="BJ180" s="57"/>
      <c r="BK180" s="109"/>
      <c r="BL180" s="109"/>
      <c r="BM180" s="109"/>
      <c r="BN180" s="83"/>
      <c r="BP180" s="83"/>
      <c r="BQ180" s="83"/>
    </row>
    <row r="181" spans="1:69" s="50" customFormat="1" x14ac:dyDescent="0.25">
      <c r="A181" s="116">
        <f t="shared" si="283"/>
        <v>2.5496799999999999</v>
      </c>
      <c r="B181" s="116">
        <f t="shared" si="284"/>
        <v>30.596159999999998</v>
      </c>
      <c r="C181" s="118" t="s">
        <v>93</v>
      </c>
      <c r="D181" s="117" t="s">
        <v>340</v>
      </c>
      <c r="E181" s="117"/>
      <c r="F181" s="355" t="s">
        <v>337</v>
      </c>
      <c r="G181" s="117" t="s">
        <v>83</v>
      </c>
      <c r="H181" s="119">
        <v>140</v>
      </c>
      <c r="I181" s="118" t="s">
        <v>77</v>
      </c>
      <c r="J181" s="119">
        <v>290</v>
      </c>
      <c r="K181" s="119">
        <v>1</v>
      </c>
      <c r="L181" s="119">
        <f>K$181*L$174</f>
        <v>12</v>
      </c>
      <c r="M181" s="116">
        <f t="shared" si="285"/>
        <v>0.97439999999999993</v>
      </c>
      <c r="N181" s="118" t="s">
        <v>84</v>
      </c>
      <c r="P181" s="118"/>
      <c r="Q181" s="135">
        <v>2</v>
      </c>
      <c r="R181" s="118"/>
      <c r="S181" s="118"/>
      <c r="T181" s="118"/>
      <c r="U181" s="118"/>
      <c r="V181" s="118"/>
      <c r="W181" s="118"/>
      <c r="X181" s="118"/>
      <c r="Y181" s="118"/>
      <c r="Z181" s="118"/>
      <c r="AA181" s="118"/>
      <c r="AB181" s="118" t="s">
        <v>78</v>
      </c>
      <c r="AC181" s="136">
        <f>((((H181+J181)*2/1000)*L181*(5/(VLOOKUP(F181,[2]Plasmalõikus!$A$7:$E$46,2,FALSE)/1000*60)))+(Q181*L181*(5*(VLOOKUP(F181,[2]Plasmalõikus!$A$7:$E$48,3,FALSE))/60/60)))</f>
        <v>0.55333333333333323</v>
      </c>
      <c r="AD181" s="353" t="str">
        <f t="shared" ref="AD181" si="298">IF(C181="WQ",0.012*((H181+J181)*2/1000*L181),IF(OR(VALUE(MID(F181,6,10))&gt;=20,H181&gt;300,J181&gt;300),0.012*((H181+J181)*2/1000*L181)," "))</f>
        <v xml:space="preserve"> </v>
      </c>
      <c r="AE181" s="136"/>
      <c r="AF181" s="137"/>
      <c r="AG181" s="137">
        <f t="shared" si="286"/>
        <v>0</v>
      </c>
      <c r="AH181" s="136"/>
      <c r="AI181" s="132">
        <f t="shared" si="287"/>
        <v>2</v>
      </c>
      <c r="AJ181" s="70">
        <f>(H181*2*AK181)*2*L181/1000</f>
        <v>13.44</v>
      </c>
      <c r="AK181" s="50">
        <v>2</v>
      </c>
      <c r="AL181" s="69" t="str">
        <f t="shared" si="296"/>
        <v>10</v>
      </c>
      <c r="AN181" s="66"/>
      <c r="AP181" s="146">
        <f>(VLOOKUP(F181,Terasehind!$A$2:$B$171,2,FALSE))</f>
        <v>0.92</v>
      </c>
      <c r="AQ181" s="50">
        <f>(VLOOKUP(F181,Terasehind!$A$2:$C$171,3,FALSE))</f>
        <v>1.1000000000000001</v>
      </c>
      <c r="AR181" s="138">
        <f t="shared" si="289"/>
        <v>30.963313920000004</v>
      </c>
      <c r="AS181"/>
      <c r="AT181"/>
      <c r="AU181"/>
      <c r="AV181"/>
      <c r="AW181"/>
      <c r="AX181"/>
      <c r="AY181"/>
      <c r="AZ181"/>
      <c r="BA181" s="188">
        <f t="shared" si="290"/>
        <v>0.68799999999999994</v>
      </c>
      <c r="BB181" s="189"/>
      <c r="BC181" s="57"/>
      <c r="BD181" s="57"/>
      <c r="BE181" s="57"/>
      <c r="BF181" s="57"/>
      <c r="BG181" s="57"/>
      <c r="BH181" s="57"/>
      <c r="BI181" s="57"/>
      <c r="BJ181" s="57"/>
      <c r="BK181" s="109"/>
      <c r="BL181" s="109"/>
      <c r="BM181" s="109"/>
      <c r="BN181" s="83"/>
      <c r="BP181" s="83"/>
      <c r="BQ181" s="83"/>
    </row>
    <row r="182" spans="1:69" s="50" customFormat="1" x14ac:dyDescent="0.25">
      <c r="A182" s="116">
        <f xml:space="preserve"> 10.5*J182/10^3</f>
        <v>7.35</v>
      </c>
      <c r="B182" s="116">
        <f>A182*L182</f>
        <v>176.39999999999998</v>
      </c>
      <c r="C182" s="295"/>
      <c r="D182" s="117" t="s">
        <v>343</v>
      </c>
      <c r="E182" s="117"/>
      <c r="F182" s="355" t="s">
        <v>485</v>
      </c>
      <c r="G182" s="140" t="s">
        <v>79</v>
      </c>
      <c r="H182" s="119">
        <v>100</v>
      </c>
      <c r="I182" s="118" t="s">
        <v>77</v>
      </c>
      <c r="J182" s="119">
        <v>700</v>
      </c>
      <c r="K182" s="119">
        <v>2</v>
      </c>
      <c r="L182" s="119">
        <f>K$182*L$174</f>
        <v>24</v>
      </c>
      <c r="M182" s="131">
        <f xml:space="preserve"> 0.283*J182*L182/10^3</f>
        <v>4.7543999999999995</v>
      </c>
      <c r="N182" s="118"/>
      <c r="O182" s="118"/>
      <c r="P182" s="118" t="s">
        <v>78</v>
      </c>
      <c r="Q182" s="135"/>
      <c r="R182" s="118"/>
      <c r="S182" s="118"/>
      <c r="T182" s="118"/>
      <c r="U182" s="118"/>
      <c r="V182" s="118"/>
      <c r="W182" s="118"/>
      <c r="Y182" s="118"/>
      <c r="Z182" s="118"/>
      <c r="AA182" s="118"/>
      <c r="AB182" s="118" t="s">
        <v>78</v>
      </c>
      <c r="AC182" s="116"/>
      <c r="AD182" s="83"/>
      <c r="AE182" s="136">
        <f t="shared" ref="AE182" si="299">(H182/20/60)*2*L182</f>
        <v>4</v>
      </c>
      <c r="AF182" s="137"/>
      <c r="AG182" s="132"/>
      <c r="AH182" s="83"/>
      <c r="AI182" s="132">
        <f t="shared" si="287"/>
        <v>0.8</v>
      </c>
      <c r="AJ182" s="70">
        <f>(J182*2*AK182)*1/2*L182/1000+(H182*4*AK182)*2*L182/1000</f>
        <v>36</v>
      </c>
      <c r="AK182" s="50">
        <f>(VLOOKUP(F182,[2]Koostamine!$A$12:$P$1612,7,FALSE))</f>
        <v>1</v>
      </c>
      <c r="AL182" s="69">
        <f>VLOOKUP(F182,[2]Koostamine!$A$12:$P$1612,IF(J182&lt;1499,11,IF(J182&lt;2999,12,IF(J182&lt;5999,13,IF(J182&lt;9999,14,IF(J182&lt;12999,15,IF(J182&gt;13000,16)))))),FALSE)</f>
        <v>2</v>
      </c>
      <c r="AP182" s="146">
        <f>(VLOOKUP(F182,Terasehind!$A$2:$B$171,2,FALSE))</f>
        <v>0.92</v>
      </c>
      <c r="AQ182" s="50">
        <f>(VLOOKUP(F182,Terasehind!$A$2:$C$171,3,FALSE))</f>
        <v>1.1000000000000001</v>
      </c>
      <c r="AR182" s="138">
        <f t="shared" si="289"/>
        <v>178.51680000000002</v>
      </c>
      <c r="AT182" s="60"/>
      <c r="AU182" s="77"/>
      <c r="AV182" s="77"/>
      <c r="AW182" s="77"/>
      <c r="AX182" s="121"/>
      <c r="AY182" s="77"/>
      <c r="AZ182" s="77"/>
      <c r="BA182" s="188"/>
      <c r="BB182" s="283"/>
      <c r="BC182" s="62"/>
      <c r="BD182" s="284"/>
      <c r="BE182" s="131"/>
      <c r="BF182"/>
      <c r="BG182" s="57"/>
      <c r="BH182" s="57"/>
      <c r="BI182" s="57"/>
      <c r="BJ182" s="57"/>
      <c r="BK182" s="57"/>
      <c r="BL182" s="60"/>
      <c r="BM182" s="57"/>
      <c r="BN182" s="60"/>
      <c r="BO182" s="83"/>
      <c r="BQ182" s="109"/>
    </row>
    <row r="183" spans="1:69" s="50" customFormat="1" x14ac:dyDescent="0.25">
      <c r="A183" s="116">
        <f t="shared" ref="A183" si="300">H183*J183*(RIGHT(F183,2))*7.85/(10^6)</f>
        <v>0.19625000000000001</v>
      </c>
      <c r="B183" s="116">
        <f t="shared" ref="B183" si="301">A183*L183</f>
        <v>9.42</v>
      </c>
      <c r="C183" s="118" t="s">
        <v>80</v>
      </c>
      <c r="D183" s="117" t="s">
        <v>85</v>
      </c>
      <c r="E183" s="117"/>
      <c r="F183" s="355" t="s">
        <v>324</v>
      </c>
      <c r="G183" s="117" t="s">
        <v>83</v>
      </c>
      <c r="H183" s="119">
        <v>50</v>
      </c>
      <c r="I183" s="118" t="s">
        <v>77</v>
      </c>
      <c r="J183" s="119">
        <v>100</v>
      </c>
      <c r="K183" s="119">
        <v>4</v>
      </c>
      <c r="L183" s="119">
        <f>K$183*L$174</f>
        <v>48</v>
      </c>
      <c r="M183" s="116">
        <f t="shared" ref="M183" si="302">2*H183*J183/10^6*L183</f>
        <v>0.48</v>
      </c>
      <c r="N183" s="118" t="s">
        <v>84</v>
      </c>
      <c r="P183" s="118"/>
      <c r="Q183" s="135"/>
      <c r="R183" s="118"/>
      <c r="S183" s="118"/>
      <c r="T183" s="118"/>
      <c r="U183" s="118"/>
      <c r="V183" s="118"/>
      <c r="W183" s="118"/>
      <c r="X183" s="118"/>
      <c r="Y183" s="118"/>
      <c r="Z183" s="118"/>
      <c r="AA183" s="118"/>
      <c r="AB183" s="118" t="s">
        <v>78</v>
      </c>
      <c r="AC183" s="136">
        <f>((((H183+J183)*2/1000)*L183*(5/(VLOOKUP(F183,[2]Plasmalõikus!$A$7:$E$46,2,FALSE)/1000*60)))+(Q183*L183*(5*(VLOOKUP(F183,[2]Plasmalõikus!$A$7:$E$48,3,FALSE))/60/60)))</f>
        <v>0.33333333333333326</v>
      </c>
      <c r="AD183" s="353"/>
      <c r="AE183" s="136"/>
      <c r="AF183" s="137"/>
      <c r="AG183" s="137">
        <f t="shared" ref="AG183" si="303">IF(VALUE(MID(F183,SEARCH(" ",F183)+1,LEN(F183)))&lt;35,0,IF(VALUE(MID(F183,SEARCH(" ",F183)+1,LEN(F183)))&lt;40,3,IF(VALUE(MID(F183,SEARCH(" ",F183)+1,LEN(F183)))&lt;50,4,IF(VALUE(MID(F183,SEARCH(" ",F183)+1,LEN(F183)))&lt;60,5,IF(VALUE(MID(F183,SEARCH(" ",F183)+1,LEN(F183)))&lt;70,6,IF(VALUE(MID(F183,SEARCH(" ",F183)+1,LEN(F183)))&lt;80,7,IF(VALUE(MID(F183,SEARCH(" ",F183)+1,LEN(F183)))&lt;90,8,IF(VALUE(MID(F183,SEARCH(" ",F183)+1,LEN(F183)))&lt;100,9,10))))))))/60*Q183*L183</f>
        <v>0</v>
      </c>
      <c r="AH183" s="136"/>
      <c r="AI183" s="132">
        <f t="shared" ref="AI183" si="304">AL183*L183/60</f>
        <v>1.6</v>
      </c>
      <c r="AJ183" s="70"/>
      <c r="AL183" s="165" t="str">
        <f t="shared" ref="AL183" si="305">IF(A183&gt;40,"30",IF(A183&gt;10,"10",IF(A183&gt;20,"20","2")))</f>
        <v>2</v>
      </c>
      <c r="AN183" s="66"/>
      <c r="AP183" s="146">
        <f>(VLOOKUP(F183,Terasehind!$A$2:$B$171,2,FALSE))</f>
        <v>0.92</v>
      </c>
      <c r="AQ183" s="50">
        <f>(VLOOKUP(F183,Terasehind!$A$2:$C$171,3,FALSE))</f>
        <v>1.1000000000000001</v>
      </c>
      <c r="AR183" s="138">
        <f t="shared" ref="AR183" si="306">AP183*AQ183*B183</f>
        <v>9.5330400000000015</v>
      </c>
      <c r="AS183"/>
      <c r="AT183"/>
      <c r="AU183"/>
      <c r="AV183"/>
      <c r="AW183"/>
      <c r="AX183"/>
      <c r="AY183"/>
      <c r="AZ183"/>
      <c r="BA183" s="188">
        <f>(H183*2+J183*2)*2*2/60/1000*L183</f>
        <v>0.96</v>
      </c>
      <c r="BB183" s="189"/>
      <c r="BC183" s="57"/>
      <c r="BD183" s="57"/>
      <c r="BE183" s="57"/>
      <c r="BF183" s="57"/>
      <c r="BG183" s="57"/>
      <c r="BH183" s="57"/>
      <c r="BI183" s="57"/>
      <c r="BJ183" s="57"/>
      <c r="BK183" s="109"/>
      <c r="BL183" s="109"/>
      <c r="BM183" s="109"/>
      <c r="BN183" s="83"/>
      <c r="BP183" s="83"/>
      <c r="BQ183" s="83"/>
    </row>
    <row r="184" spans="1:69" s="50" customFormat="1" x14ac:dyDescent="0.25">
      <c r="A184" s="116">
        <f xml:space="preserve"> 23*J184/10^3</f>
        <v>6.44</v>
      </c>
      <c r="B184" s="116">
        <f>A184*L184</f>
        <v>309.12</v>
      </c>
      <c r="C184" s="117"/>
      <c r="D184" s="117" t="s">
        <v>76</v>
      </c>
      <c r="E184" s="117"/>
      <c r="F184" s="355" t="s">
        <v>409</v>
      </c>
      <c r="G184" s="140" t="s">
        <v>83</v>
      </c>
      <c r="H184" s="119">
        <v>200</v>
      </c>
      <c r="I184" s="118" t="s">
        <v>77</v>
      </c>
      <c r="J184" s="119">
        <v>280</v>
      </c>
      <c r="K184" s="50">
        <v>4</v>
      </c>
      <c r="L184" s="119">
        <f>K$184*L$174</f>
        <v>48</v>
      </c>
      <c r="M184" s="131">
        <f xml:space="preserve"> 0.587*J184*L184/10^3</f>
        <v>7.8892799999999985</v>
      </c>
      <c r="N184" s="118"/>
      <c r="O184" s="118"/>
      <c r="P184" s="118" t="s">
        <v>78</v>
      </c>
      <c r="Q184" s="135">
        <v>4</v>
      </c>
      <c r="R184" s="118"/>
      <c r="S184" s="118"/>
      <c r="T184" s="118"/>
      <c r="U184" s="118"/>
      <c r="V184" s="118"/>
      <c r="W184" s="118"/>
      <c r="Y184" s="118"/>
      <c r="Z184" s="118"/>
      <c r="AA184" s="118"/>
      <c r="AB184" s="118" t="s">
        <v>78</v>
      </c>
      <c r="AC184" s="116"/>
      <c r="AD184" s="83"/>
      <c r="AE184" s="136"/>
      <c r="AF184" s="137"/>
      <c r="AG184" s="132">
        <f>Q184*L184*0.5/60+L184*0.5/60</f>
        <v>2</v>
      </c>
      <c r="AH184" s="83"/>
      <c r="AI184" s="132">
        <f>AL184*L184/60</f>
        <v>8</v>
      </c>
      <c r="AJ184" s="70">
        <f>(H184*4*AK184)*L184/1000</f>
        <v>76.8</v>
      </c>
      <c r="AK184" s="50">
        <f>(VLOOKUP(F184,[2]Koostamine!$A$12:$P$1612,7,FALSE))</f>
        <v>2</v>
      </c>
      <c r="AL184" s="69">
        <f>VLOOKUP(F184,[2]Koostamine!$A$12:$P$1612,IF(J184&lt;1499,11,IF(J184&lt;2999,12,IF(J184&lt;5999,13,IF(J184&lt;9999,14,IF(J184&lt;12999,15,IF(J184&gt;13000,16)))))),FALSE)</f>
        <v>10</v>
      </c>
      <c r="AP184" s="146">
        <f>(VLOOKUP(F184,Terasehind!$A$2:$B$171,2,FALSE))</f>
        <v>1</v>
      </c>
      <c r="AQ184" s="50">
        <f>(VLOOKUP(F184,Terasehind!$A$2:$C$171,3,FALSE))</f>
        <v>1.1000000000000001</v>
      </c>
      <c r="AR184" s="138">
        <f>AP184*AQ184*B184</f>
        <v>340.03200000000004</v>
      </c>
      <c r="AT184" s="62"/>
      <c r="AU184" s="62"/>
      <c r="AV184" s="62"/>
      <c r="AW184" s="62"/>
      <c r="AX184" s="62"/>
      <c r="AY184" s="62"/>
      <c r="AZ184"/>
      <c r="BA184" s="188">
        <f>(H184*4*2+J184*4)*2/60/1000*L184</f>
        <v>4.3520000000000003</v>
      </c>
      <c r="BB184" s="189"/>
      <c r="BC184" s="57"/>
      <c r="BD184" s="57"/>
      <c r="BE184" s="57"/>
      <c r="BF184" s="57"/>
      <c r="BG184" s="57"/>
      <c r="BH184" s="57"/>
      <c r="BI184" s="57"/>
      <c r="BJ184" s="60"/>
      <c r="BK184" s="57"/>
      <c r="BL184" s="60"/>
      <c r="BM184" s="83"/>
      <c r="BO184" s="109"/>
    </row>
    <row r="185" spans="1:69" s="50" customFormat="1" x14ac:dyDescent="0.25">
      <c r="A185" s="116">
        <f xml:space="preserve"> 23.2*J185/10^3</f>
        <v>7.8879999999999999</v>
      </c>
      <c r="B185" s="116">
        <f>A185*L185</f>
        <v>94.656000000000006</v>
      </c>
      <c r="C185" s="117"/>
      <c r="D185" s="117" t="s">
        <v>76</v>
      </c>
      <c r="E185" s="117"/>
      <c r="F185" s="355" t="s">
        <v>404</v>
      </c>
      <c r="G185" s="140" t="s">
        <v>83</v>
      </c>
      <c r="H185" s="119">
        <v>120</v>
      </c>
      <c r="I185" s="118" t="s">
        <v>77</v>
      </c>
      <c r="J185" s="119">
        <v>340</v>
      </c>
      <c r="K185" s="50">
        <v>1</v>
      </c>
      <c r="L185" s="119">
        <f>K$185*L$174</f>
        <v>12</v>
      </c>
      <c r="M185" s="131">
        <f xml:space="preserve"> 0.48*J185*L185/10^3</f>
        <v>1.9583999999999999</v>
      </c>
      <c r="N185" s="118"/>
      <c r="O185" s="118"/>
      <c r="P185" s="118" t="s">
        <v>78</v>
      </c>
      <c r="Q185" s="135">
        <v>4</v>
      </c>
      <c r="R185" s="118"/>
      <c r="S185" s="118"/>
      <c r="T185" s="118"/>
      <c r="U185" s="118"/>
      <c r="V185" s="118"/>
      <c r="W185" s="118"/>
      <c r="Y185" s="118"/>
      <c r="Z185" s="118"/>
      <c r="AA185" s="118"/>
      <c r="AB185" s="118" t="s">
        <v>78</v>
      </c>
      <c r="AC185" s="116"/>
      <c r="AD185" s="83"/>
      <c r="AE185" s="136"/>
      <c r="AF185" s="137"/>
      <c r="AG185" s="132">
        <f>Q185*L185*0.5/60+L185*0.5/60</f>
        <v>0.5</v>
      </c>
      <c r="AH185" s="83"/>
      <c r="AI185" s="132">
        <f>AL185*L185/60</f>
        <v>0.4</v>
      </c>
      <c r="AJ185" s="70">
        <f>(H185*4*AK185)*2*L185/1000</f>
        <v>23.04</v>
      </c>
      <c r="AK185" s="50">
        <f>(VLOOKUP(F185,[2]Koostamine!$A$12:$P$1612,7,FALSE))</f>
        <v>2</v>
      </c>
      <c r="AL185" s="69">
        <f>VLOOKUP(F185,[2]Koostamine!$A$12:$P$1612,IF(J185&lt;1499,11,IF(J185&lt;2999,12,IF(J185&lt;5999,13,IF(J185&lt;9999,14,IF(J185&lt;12999,15,IF(J185&gt;13000,16)))))),FALSE)</f>
        <v>2</v>
      </c>
      <c r="AP185" s="146">
        <f>(VLOOKUP(F185,Terasehind!$A$2:$B$171,2,FALSE))</f>
        <v>1.4</v>
      </c>
      <c r="AQ185" s="50">
        <f>(VLOOKUP(F185,Terasehind!$A$2:$C$171,3,FALSE))</f>
        <v>1.1000000000000001</v>
      </c>
      <c r="AR185" s="138">
        <f>AP185*AQ185*B185</f>
        <v>145.77024</v>
      </c>
      <c r="AT185" s="62"/>
      <c r="AU185" s="62"/>
      <c r="AV185" s="62"/>
      <c r="AW185" s="62"/>
      <c r="AX185" s="62"/>
      <c r="AY185" s="62"/>
      <c r="AZ185"/>
      <c r="BA185" s="188">
        <f>(H185*4*2+J185*4)*2/60/1000*L185</f>
        <v>0.92799999999999994</v>
      </c>
      <c r="BB185" s="189"/>
      <c r="BC185" s="57"/>
      <c r="BD185" s="57"/>
      <c r="BE185" s="57"/>
      <c r="BF185" s="57"/>
      <c r="BG185" s="57"/>
      <c r="BH185" s="57"/>
      <c r="BI185" s="57"/>
      <c r="BJ185" s="60"/>
      <c r="BK185" s="57"/>
      <c r="BL185" s="60"/>
      <c r="BM185" s="83"/>
      <c r="BO185" s="109"/>
    </row>
    <row r="186" spans="1:69" s="50" customFormat="1" x14ac:dyDescent="0.25">
      <c r="A186" s="116">
        <f t="shared" ref="A186" si="307">H186*J186*(RIGHT(F186,2))*7.85/(10^6)</f>
        <v>15.024900000000001</v>
      </c>
      <c r="B186" s="116">
        <f t="shared" ref="B186" si="308">A186*L186</f>
        <v>180.2988</v>
      </c>
      <c r="C186" s="118" t="s">
        <v>80</v>
      </c>
      <c r="D186" s="117" t="s">
        <v>85</v>
      </c>
      <c r="E186" s="117"/>
      <c r="F186" s="355" t="s">
        <v>86</v>
      </c>
      <c r="G186" s="117" t="s">
        <v>83</v>
      </c>
      <c r="H186" s="119">
        <v>220</v>
      </c>
      <c r="I186" s="118" t="s">
        <v>77</v>
      </c>
      <c r="J186" s="119">
        <v>435</v>
      </c>
      <c r="K186" s="119">
        <v>1</v>
      </c>
      <c r="L186" s="119">
        <f>K$186*L$174</f>
        <v>12</v>
      </c>
      <c r="M186" s="116">
        <f t="shared" ref="M186" si="309">2*H186*J186/10^6*L186</f>
        <v>2.2967999999999997</v>
      </c>
      <c r="N186" s="118" t="s">
        <v>84</v>
      </c>
      <c r="P186" s="118"/>
      <c r="Q186" s="135">
        <v>8</v>
      </c>
      <c r="R186" s="118"/>
      <c r="S186" s="118"/>
      <c r="T186" s="118"/>
      <c r="U186" s="118"/>
      <c r="V186" s="118"/>
      <c r="W186" s="118"/>
      <c r="X186" s="118"/>
      <c r="Y186" s="118"/>
      <c r="Z186" s="118"/>
      <c r="AA186" s="118"/>
      <c r="AB186" s="118" t="s">
        <v>78</v>
      </c>
      <c r="AC186" s="136">
        <f>((((H186+J186)*2/1000)*L186*(5/(VLOOKUP(F186,[2]Plasmalõikus!$A$7:$E$46,2,FALSE)/1000*60)))+(Q186*L186*(5*(VLOOKUP(F186,[2]Plasmalõikus!$A$7:$E$48,3,FALSE))/60/60)))</f>
        <v>2.4187500000000002</v>
      </c>
      <c r="AD186" s="353">
        <f t="shared" ref="AD186" si="310">IF(C186="WQ",0.012*((H186+J186)*2/1000*L186),IF(OR(VALUE(MID(F186,6,10))&gt;=20,H186&gt;300,J186&gt;300),0.012*((H186+J186)*2/1000*L186)," "))</f>
        <v>0.18864</v>
      </c>
      <c r="AE186" s="136"/>
      <c r="AF186" s="137"/>
      <c r="AG186" s="137">
        <f t="shared" ref="AG186" si="311">IF(VALUE(MID(F186,SEARCH(" ",F186)+1,LEN(F186)))&lt;35,0,IF(VALUE(MID(F186,SEARCH(" ",F186)+1,LEN(F186)))&lt;40,3,IF(VALUE(MID(F186,SEARCH(" ",F186)+1,LEN(F186)))&lt;50,4,IF(VALUE(MID(F186,SEARCH(" ",F186)+1,LEN(F186)))&lt;60,5,IF(VALUE(MID(F186,SEARCH(" ",F186)+1,LEN(F186)))&lt;70,6,IF(VALUE(MID(F186,SEARCH(" ",F186)+1,LEN(F186)))&lt;80,7,IF(VALUE(MID(F186,SEARCH(" ",F186)+1,LEN(F186)))&lt;90,8,IF(VALUE(MID(F186,SEARCH(" ",F186)+1,LEN(F186)))&lt;100,9,10))))))))/60*Q186*L186</f>
        <v>0</v>
      </c>
      <c r="AH186" s="136"/>
      <c r="AI186" s="132">
        <f t="shared" ref="AI186" si="312">AL186*L186/60</f>
        <v>2</v>
      </c>
      <c r="AJ186" s="70"/>
      <c r="AK186" s="50">
        <v>6</v>
      </c>
      <c r="AL186" s="165" t="str">
        <f t="shared" ref="AL186" si="313">IF(A186&gt;40,"30",IF(A186&gt;10,"10",IF(A186&gt;20,"20","2")))</f>
        <v>10</v>
      </c>
      <c r="AN186" s="66"/>
      <c r="AP186" s="146">
        <f>(VLOOKUP(F186,Terasehind!$A$2:$B$171,2,FALSE))</f>
        <v>0.92</v>
      </c>
      <c r="AQ186" s="50">
        <f>(VLOOKUP(F186,Terasehind!$A$2:$C$171,3,FALSE))</f>
        <v>1.1000000000000001</v>
      </c>
      <c r="AR186" s="138">
        <f t="shared" ref="AR186" si="314">AP186*AQ186*B186</f>
        <v>182.46238560000003</v>
      </c>
      <c r="AS186"/>
      <c r="AT186"/>
      <c r="AU186"/>
      <c r="AV186"/>
      <c r="AW186"/>
      <c r="AX186"/>
      <c r="AY186"/>
      <c r="AZ186"/>
      <c r="BA186" s="188">
        <f t="shared" ref="BA186" si="315">(H186*2+J186*2)*2*2/60/1000*L186</f>
        <v>1.048</v>
      </c>
      <c r="BB186" s="189"/>
      <c r="BC186" s="57"/>
      <c r="BD186" s="57"/>
      <c r="BE186" s="57"/>
      <c r="BF186" s="57"/>
      <c r="BG186" s="57"/>
      <c r="BH186" s="57"/>
      <c r="BI186" s="57"/>
      <c r="BJ186" s="57"/>
      <c r="BK186" s="109"/>
      <c r="BL186" s="109"/>
      <c r="BM186" s="109"/>
      <c r="BN186" s="83"/>
      <c r="BP186" s="83"/>
      <c r="BQ186" s="83"/>
    </row>
    <row r="187" spans="1:69" s="50" customFormat="1" x14ac:dyDescent="0.25">
      <c r="A187" s="116"/>
      <c r="B187" s="116"/>
      <c r="C187" s="118"/>
      <c r="D187" s="117"/>
      <c r="E187" s="117"/>
      <c r="F187" s="269"/>
      <c r="G187" s="117"/>
      <c r="H187" s="119"/>
      <c r="I187" s="118"/>
      <c r="J187" s="119"/>
      <c r="K187" s="119"/>
      <c r="L187" s="119"/>
      <c r="M187" s="119"/>
      <c r="N187" s="119"/>
      <c r="O187" s="119"/>
      <c r="P187" s="119"/>
      <c r="Q187" s="119"/>
      <c r="R187" s="118"/>
      <c r="S187" s="118"/>
      <c r="T187" s="118"/>
      <c r="U187" s="118"/>
      <c r="V187" s="118"/>
      <c r="W187" s="118"/>
      <c r="X187" s="118"/>
      <c r="Y187" s="118"/>
      <c r="Z187" s="118"/>
      <c r="AA187" s="118"/>
      <c r="AB187" s="118"/>
      <c r="AC187" s="136"/>
      <c r="AD187" s="136"/>
      <c r="AE187" s="136"/>
      <c r="AF187" s="136"/>
      <c r="AG187" s="136"/>
      <c r="AH187" s="136"/>
      <c r="AI187" s="132"/>
      <c r="AJ187" s="60"/>
      <c r="AN187" s="66"/>
      <c r="AP187" s="146"/>
      <c r="AR187" s="138"/>
      <c r="AT187" s="62"/>
      <c r="AU187" s="62"/>
      <c r="AV187" s="62"/>
      <c r="AW187" s="62"/>
      <c r="AX187" s="62"/>
      <c r="AY187" s="62"/>
      <c r="AZ187"/>
      <c r="BA187" s="192"/>
      <c r="BB187" s="188"/>
      <c r="BC187" s="57"/>
      <c r="BD187" s="57"/>
      <c r="BE187" s="57"/>
      <c r="BF187" s="57"/>
      <c r="BG187" s="57"/>
      <c r="BH187" s="57"/>
      <c r="BI187" s="57"/>
      <c r="BJ187" s="109"/>
      <c r="BK187" s="109"/>
      <c r="BL187" s="109"/>
      <c r="BM187" s="83"/>
      <c r="BO187" s="83"/>
      <c r="BP187" s="83"/>
    </row>
    <row r="188" spans="1:69" s="50" customFormat="1" x14ac:dyDescent="0.25">
      <c r="A188" s="116"/>
      <c r="B188" s="116"/>
      <c r="C188" s="118"/>
      <c r="D188" s="117"/>
      <c r="E188" s="117"/>
      <c r="F188" s="269"/>
      <c r="G188" s="117"/>
      <c r="H188" s="119"/>
      <c r="I188" s="118"/>
      <c r="J188" s="119"/>
      <c r="K188" s="119"/>
      <c r="L188" s="119"/>
      <c r="M188" s="119"/>
      <c r="N188" s="119"/>
      <c r="O188" s="119"/>
      <c r="P188" s="119"/>
      <c r="Q188" s="119"/>
      <c r="R188" s="118"/>
      <c r="S188" s="118"/>
      <c r="T188" s="118"/>
      <c r="U188" s="118"/>
      <c r="V188" s="118"/>
      <c r="W188" s="118"/>
      <c r="X188" s="118"/>
      <c r="Y188" s="118"/>
      <c r="Z188" s="118"/>
      <c r="AA188" s="118"/>
      <c r="AB188" s="118"/>
      <c r="AC188" s="136"/>
      <c r="AD188" s="136"/>
      <c r="AE188" s="136"/>
      <c r="AF188" s="136"/>
      <c r="AG188" s="136"/>
      <c r="AH188" s="136"/>
      <c r="AI188" s="132"/>
      <c r="AJ188" s="60"/>
      <c r="AN188" s="66"/>
      <c r="AP188" s="146"/>
      <c r="AR188" s="138"/>
      <c r="AT188" s="62"/>
      <c r="AU188" s="62"/>
      <c r="AV188" s="62"/>
      <c r="AW188" s="62"/>
      <c r="AX188" s="62"/>
      <c r="AY188" s="62"/>
      <c r="AZ188"/>
      <c r="BA188" s="192"/>
      <c r="BB188" s="188"/>
      <c r="BC188" s="57"/>
      <c r="BD188" s="57"/>
      <c r="BE188" s="57"/>
      <c r="BF188" s="57"/>
      <c r="BG188" s="57"/>
      <c r="BH188" s="57"/>
      <c r="BI188" s="57"/>
      <c r="BJ188" s="109"/>
      <c r="BK188" s="109"/>
      <c r="BL188" s="109"/>
      <c r="BM188" s="83"/>
      <c r="BO188" s="83"/>
      <c r="BP188" s="83"/>
    </row>
    <row r="189" spans="1:69" s="50" customFormat="1" x14ac:dyDescent="0.25">
      <c r="A189" s="148">
        <f>B189/L189</f>
        <v>665.12863000000004</v>
      </c>
      <c r="B189" s="148">
        <f>SUM(B198,B197,B196,B195,B194,B193,B192,B191,B190,0)</f>
        <v>2660.5145200000002</v>
      </c>
      <c r="C189" s="152"/>
      <c r="D189" s="149" t="s">
        <v>76</v>
      </c>
      <c r="E189" s="149"/>
      <c r="F189" s="365"/>
      <c r="G189" s="174" t="str">
        <f>$G$163</f>
        <v>C3VH</v>
      </c>
      <c r="H189" s="150"/>
      <c r="I189" s="151" t="s">
        <v>77</v>
      </c>
      <c r="J189" s="150">
        <f>J190</f>
        <v>3570</v>
      </c>
      <c r="K189" s="134">
        <v>4</v>
      </c>
      <c r="L189" s="150">
        <f>$L$163*$K$189</f>
        <v>4</v>
      </c>
      <c r="M189" s="148">
        <f>SUM(M198,M197,M196,M195,M194,M193,M192,M191,M190,0)</f>
        <v>38.951360000000001</v>
      </c>
      <c r="N189" s="151"/>
      <c r="O189" s="151"/>
      <c r="P189" s="151"/>
      <c r="Q189" s="151"/>
      <c r="R189" s="120"/>
      <c r="S189" s="120"/>
      <c r="T189" s="120"/>
      <c r="U189" s="120"/>
      <c r="V189" s="120"/>
      <c r="W189" s="118"/>
      <c r="X189" s="118" t="s">
        <v>78</v>
      </c>
      <c r="Y189" s="151">
        <v>4</v>
      </c>
      <c r="Z189" s="151"/>
      <c r="AA189" s="151"/>
      <c r="AB189" s="151"/>
      <c r="AC189" s="148">
        <f>SUM(AC198,AC197,AC196,AC195,AC194,AC193,AC192,AC191,AC190,0)</f>
        <v>4.6356944444444448</v>
      </c>
      <c r="AD189" s="148">
        <f>SUM(AD198,AD197,AD196,AD195,AD194,AD193,AD192,AD191,AD190,0)</f>
        <v>6.2880000000000005E-2</v>
      </c>
      <c r="AE189" s="148">
        <f>SUM(AE198,AE197,AE196,AE195,AE194,AE193,AE192,AE191,AE190,0)</f>
        <v>2.2000000000000002</v>
      </c>
      <c r="AF189" s="148">
        <f>SUM(AF198,AF197,AF196,AF195,AF194,AF193,AF192,AF191,AF190,0)</f>
        <v>2.9333333333333336</v>
      </c>
      <c r="AG189" s="148">
        <f>SUM(AG198,AG197,AG196,AG195,AG194,AG193,AG192,AG191,AG190,0)</f>
        <v>3.1</v>
      </c>
      <c r="AH189" s="107">
        <f>SUM(AC189:AG189)</f>
        <v>12.931907777777779</v>
      </c>
      <c r="AI189" s="107">
        <f>SUM(AI198,AI197,AI196,AI195,AI194,AI193,AI192,AI191,AI190,0)</f>
        <v>16.119333333333334</v>
      </c>
      <c r="AJ189" s="148">
        <f>SUM(AJ198,AJ197,AJ196,AJ195,AJ194,AJ193,AJ192,AJ191,AJ190,0)</f>
        <v>272.88</v>
      </c>
      <c r="AK189" s="107">
        <f>AJ189*10/60</f>
        <v>45.480000000000004</v>
      </c>
      <c r="AL189" s="148">
        <f>AH189+AI189+AK189</f>
        <v>74.531241111111115</v>
      </c>
      <c r="AM189" s="148">
        <f>B189/AL189</f>
        <v>35.696635133630842</v>
      </c>
      <c r="AN189" s="148">
        <f>AL189*46</f>
        <v>3428.4370911111114</v>
      </c>
      <c r="AO189" s="148">
        <f>AN189/B189</f>
        <v>1.2886368652899181</v>
      </c>
      <c r="AP189" s="148">
        <f>AR189/B189</f>
        <v>1.0645375655532978</v>
      </c>
      <c r="AQ189" s="67"/>
      <c r="AR189" s="148">
        <f>SUM(AR198,AR197,AR196,AR195,AR194,AR193,AR192,AR191,AR190,0)</f>
        <v>2832.2176502400007</v>
      </c>
      <c r="AT189" s="62"/>
      <c r="AU189" s="62"/>
      <c r="AV189" s="62"/>
      <c r="AW189" s="62"/>
      <c r="AX189" s="62"/>
      <c r="AY189" s="62"/>
      <c r="AZ189"/>
      <c r="BA189" s="148">
        <f>SUM(BA198,BA197,BA196,BA195,BA194,BA193,BA192,BA191,BA190,0)</f>
        <v>5.2293333333333338</v>
      </c>
      <c r="BB189" s="188"/>
      <c r="BC189" s="57"/>
      <c r="BD189" s="57"/>
      <c r="BE189" s="57"/>
      <c r="BF189" s="57"/>
      <c r="BG189" s="57"/>
      <c r="BH189" s="57"/>
      <c r="BI189" s="60"/>
    </row>
    <row r="190" spans="1:69" s="50" customFormat="1" x14ac:dyDescent="0.25">
      <c r="A190" s="116">
        <f xml:space="preserve"> 105*J190/10^3</f>
        <v>374.85</v>
      </c>
      <c r="B190" s="116">
        <f>A190*L190</f>
        <v>1499.4</v>
      </c>
      <c r="C190" s="299" t="s">
        <v>354</v>
      </c>
      <c r="D190" s="117" t="s">
        <v>76</v>
      </c>
      <c r="E190" s="117"/>
      <c r="F190" s="355" t="s">
        <v>403</v>
      </c>
      <c r="G190" s="140" t="s">
        <v>83</v>
      </c>
      <c r="H190" s="119">
        <v>330</v>
      </c>
      <c r="I190" s="118" t="s">
        <v>77</v>
      </c>
      <c r="J190" s="119">
        <v>3570</v>
      </c>
      <c r="K190" s="50">
        <v>1</v>
      </c>
      <c r="L190" s="119">
        <f>K$190*L$189</f>
        <v>4</v>
      </c>
      <c r="M190" s="131">
        <f xml:space="preserve"> 1.79*J190*L190/10^3</f>
        <v>25.561199999999999</v>
      </c>
      <c r="N190" s="118"/>
      <c r="O190" s="118"/>
      <c r="P190" s="118" t="s">
        <v>78</v>
      </c>
      <c r="Q190" s="135">
        <v>4</v>
      </c>
      <c r="R190" s="118"/>
      <c r="S190" s="118"/>
      <c r="T190" s="118"/>
      <c r="U190" s="118"/>
      <c r="V190" s="118"/>
      <c r="W190" s="118"/>
      <c r="Y190" s="118"/>
      <c r="Z190" s="118"/>
      <c r="AA190" s="118"/>
      <c r="AB190" s="118" t="s">
        <v>78</v>
      </c>
      <c r="AC190" s="116"/>
      <c r="AD190" s="83"/>
      <c r="AE190" s="136">
        <f>(H190/20/60)*2*L190</f>
        <v>2.2000000000000002</v>
      </c>
      <c r="AF190" s="137">
        <f>(550*4)*20/60/1000*L190</f>
        <v>2.9333333333333336</v>
      </c>
      <c r="AG190" s="132">
        <f>Q190*L190*0.5/60</f>
        <v>0.13333333333333333</v>
      </c>
      <c r="AH190" s="83"/>
      <c r="AI190" s="132">
        <f>AL190*L190/60</f>
        <v>0.11933333333333333</v>
      </c>
      <c r="AJ190" s="70">
        <f>(H190*6*AK190)*2*L190/1000</f>
        <v>150.47999999999999</v>
      </c>
      <c r="AK190" s="50">
        <f>(VLOOKUP(F190,[2]Koostamine!$A$12:$E$1603,3,FALSE))</f>
        <v>9.5</v>
      </c>
      <c r="AL190" s="69">
        <f>VLOOKUP(F190,[2]Koostamine!$A$12:$K$1603,IF(J190&lt;1499,6,IF(J190&lt;2999,7,IF(J190&lt;5999,8,IF(J190&lt;9999,9,IF(J190&lt;12999,10,IF(J190&gt;13000,11)))))),FALSE)</f>
        <v>1.79</v>
      </c>
      <c r="AP190" s="146">
        <f>(VLOOKUP(F190,Terasehind!$A$2:$B$171,2,FALSE))</f>
        <v>0.9</v>
      </c>
      <c r="AQ190" s="50">
        <f>(VLOOKUP(F190,Terasehind!$A$2:$C$171,3,FALSE))</f>
        <v>1.1000000000000001</v>
      </c>
      <c r="AR190" s="138">
        <f>AP190*AQ190*B190</f>
        <v>1484.4060000000002</v>
      </c>
      <c r="AT190" s="62"/>
      <c r="AU190" s="62"/>
      <c r="AV190" s="62"/>
      <c r="AW190" s="62"/>
      <c r="AX190" s="62"/>
      <c r="AY190" s="62"/>
      <c r="AZ190"/>
      <c r="BA190" s="188"/>
      <c r="BB190" s="189"/>
      <c r="BC190" s="57"/>
      <c r="BD190" s="57"/>
      <c r="BE190" s="57"/>
      <c r="BF190" s="57"/>
      <c r="BG190" s="57"/>
      <c r="BH190" s="57"/>
      <c r="BI190" s="57"/>
      <c r="BJ190" s="60"/>
      <c r="BK190" s="57"/>
      <c r="BL190" s="60"/>
      <c r="BM190" s="83"/>
      <c r="BO190" s="109"/>
    </row>
    <row r="191" spans="1:69" s="50" customFormat="1" x14ac:dyDescent="0.25">
      <c r="A191" s="116">
        <f t="shared" ref="A191:A194" si="316">H191*J191*(RIGHT(F191,2))*7.85/(10^6)</f>
        <v>74.260999999999996</v>
      </c>
      <c r="B191" s="116">
        <f t="shared" ref="B191:B194" si="317">A191*L191</f>
        <v>297.04399999999998</v>
      </c>
      <c r="C191" s="118" t="s">
        <v>80</v>
      </c>
      <c r="D191" s="117" t="s">
        <v>81</v>
      </c>
      <c r="E191" s="117"/>
      <c r="F191" s="355" t="s">
        <v>92</v>
      </c>
      <c r="G191" s="117" t="s">
        <v>83</v>
      </c>
      <c r="H191" s="119">
        <v>430</v>
      </c>
      <c r="I191" s="118" t="s">
        <v>77</v>
      </c>
      <c r="J191" s="119">
        <v>550</v>
      </c>
      <c r="K191" s="119">
        <v>1</v>
      </c>
      <c r="L191" s="119">
        <f>K$191*L$189</f>
        <v>4</v>
      </c>
      <c r="M191" s="116">
        <f t="shared" ref="M191:M194" si="318">2*H191*J191/10^6*L191</f>
        <v>1.8919999999999999</v>
      </c>
      <c r="N191" s="118" t="s">
        <v>84</v>
      </c>
      <c r="P191" s="118"/>
      <c r="Q191" s="135">
        <v>8</v>
      </c>
      <c r="R191" s="118"/>
      <c r="S191" s="118"/>
      <c r="T191" s="118"/>
      <c r="U191" s="118"/>
      <c r="V191" s="118"/>
      <c r="W191" s="118"/>
      <c r="X191" s="118"/>
      <c r="Y191" s="118"/>
      <c r="Z191" s="118"/>
      <c r="AA191" s="118"/>
      <c r="AB191" s="118" t="s">
        <v>78</v>
      </c>
      <c r="AC191" s="347"/>
      <c r="AD191" s="353"/>
      <c r="AE191" s="136"/>
      <c r="AF191" s="137"/>
      <c r="AG191" s="137">
        <f t="shared" ref="AG191:AG194" si="319">IF(VALUE(MID(F191,SEARCH(" ",F191)+1,LEN(F191)))&lt;35,0,IF(VALUE(MID(F191,SEARCH(" ",F191)+1,LEN(F191)))&lt;40,3,IF(VALUE(MID(F191,SEARCH(" ",F191)+1,LEN(F191)))&lt;50,4,IF(VALUE(MID(F191,SEARCH(" ",F191)+1,LEN(F191)))&lt;60,5,IF(VALUE(MID(F191,SEARCH(" ",F191)+1,LEN(F191)))&lt;70,6,IF(VALUE(MID(F191,SEARCH(" ",F191)+1,LEN(F191)))&lt;80,7,IF(VALUE(MID(F191,SEARCH(" ",F191)+1,LEN(F191)))&lt;90,8,IF(VALUE(MID(F191,SEARCH(" ",F191)+1,LEN(F191)))&lt;100,9,10))))))))/60*Q191*L191</f>
        <v>2.1333333333333333</v>
      </c>
      <c r="AH191" s="136"/>
      <c r="AI191" s="132">
        <f t="shared" ref="AI191:AI194" si="320">AL191*L191/60</f>
        <v>2</v>
      </c>
      <c r="AJ191" s="70"/>
      <c r="AK191" s="50">
        <v>6</v>
      </c>
      <c r="AL191" s="69" t="str">
        <f t="shared" ref="AL191:AL195" si="321">IF(AND(Q191&gt;0,A191&lt;3),"10",IF(AND(Q191&gt;0,A191&lt;10),"15",IF(AND(Q191&gt;0,A191&lt;20),"20",IF(AND(Q191&gt;0,A191&lt;500),"30",IF(AND(Q191=0,A191&lt;3),"2",IF(AND(Q191=0,A191&lt;10),"5",IF(AND(Q191=0,A191&lt;20),"10",IF(AND(Q191=0,A191&lt;500),"20","2"))))))))</f>
        <v>30</v>
      </c>
      <c r="AN191" s="66"/>
      <c r="AP191" s="146">
        <f>(VLOOKUP(F191,Terasehind!$A$2:$B$171,2,FALSE))</f>
        <v>1.37</v>
      </c>
      <c r="AQ191" s="50">
        <f>(VLOOKUP(F191,Terasehind!$A$2:$C$171,3,FALSE))</f>
        <v>1.1000000000000001</v>
      </c>
      <c r="AR191" s="138">
        <f t="shared" ref="AR191:AR194" si="322">AP191*AQ191*B191</f>
        <v>447.64530800000006</v>
      </c>
      <c r="AS191"/>
      <c r="AT191"/>
      <c r="AU191"/>
      <c r="AV191"/>
      <c r="AW191"/>
      <c r="AX191"/>
      <c r="AY191"/>
      <c r="AZ191"/>
      <c r="BA191" s="188">
        <f>(H191*2+J191*2)*2*2/60/1000*L191</f>
        <v>0.52266666666666661</v>
      </c>
      <c r="BB191" s="189"/>
      <c r="BC191" s="57"/>
      <c r="BD191" s="57"/>
      <c r="BE191" s="57"/>
      <c r="BF191" s="57"/>
      <c r="BG191" s="57"/>
      <c r="BH191" s="57"/>
      <c r="BI191" s="57"/>
      <c r="BJ191" s="57"/>
      <c r="BK191" s="109"/>
      <c r="BL191" s="109"/>
      <c r="BM191" s="109"/>
      <c r="BN191" s="83"/>
      <c r="BP191" s="83"/>
      <c r="BQ191" s="83"/>
    </row>
    <row r="192" spans="1:69" s="50" customFormat="1" x14ac:dyDescent="0.25">
      <c r="A192" s="116">
        <f t="shared" ref="A192" si="323">H192*J192*(RIGHT(F192,2))*7.85/(10^6)</f>
        <v>22.749300000000002</v>
      </c>
      <c r="B192" s="116">
        <f t="shared" ref="B192" si="324">A192*L192</f>
        <v>90.997200000000007</v>
      </c>
      <c r="C192" s="118" t="s">
        <v>80</v>
      </c>
      <c r="D192" s="117" t="s">
        <v>85</v>
      </c>
      <c r="E192" s="117"/>
      <c r="F192" s="355" t="s">
        <v>86</v>
      </c>
      <c r="G192" s="117" t="s">
        <v>83</v>
      </c>
      <c r="H192" s="119">
        <v>230</v>
      </c>
      <c r="I192" s="118" t="s">
        <v>77</v>
      </c>
      <c r="J192" s="119">
        <v>630</v>
      </c>
      <c r="K192" s="119">
        <v>1</v>
      </c>
      <c r="L192" s="119">
        <f>K$192*L$189</f>
        <v>4</v>
      </c>
      <c r="M192" s="116">
        <f t="shared" ref="M192" si="325">2*H192*J192/10^6*L192</f>
        <v>1.1592</v>
      </c>
      <c r="N192" s="118" t="s">
        <v>84</v>
      </c>
      <c r="P192" s="118"/>
      <c r="Q192" s="135">
        <v>8</v>
      </c>
      <c r="R192" s="118"/>
      <c r="S192" s="118"/>
      <c r="T192" s="118"/>
      <c r="U192" s="118"/>
      <c r="V192" s="118"/>
      <c r="W192" s="118"/>
      <c r="X192" s="118"/>
      <c r="Y192" s="118"/>
      <c r="Z192" s="118"/>
      <c r="AA192" s="118"/>
      <c r="AB192" s="118" t="s">
        <v>78</v>
      </c>
      <c r="AC192" s="136">
        <f>((((H192+J192)*2/1000)*L192*(5/(VLOOKUP(F192,[2]Plasmalõikus!$A$7:$E$46,2,FALSE)/1000*60)))+(Q192*L192*(5*(VLOOKUP(F192,[2]Plasmalõikus!$A$7:$E$48,3,FALSE))/60/60)))</f>
        <v>0.89166666666666661</v>
      </c>
      <c r="AD192" s="353"/>
      <c r="AE192" s="136"/>
      <c r="AF192" s="137"/>
      <c r="AG192" s="137">
        <f t="shared" ref="AG192" si="326">IF(VALUE(MID(F192,SEARCH(" ",F192)+1,LEN(F192)))&lt;35,0,IF(VALUE(MID(F192,SEARCH(" ",F192)+1,LEN(F192)))&lt;40,3,IF(VALUE(MID(F192,SEARCH(" ",F192)+1,LEN(F192)))&lt;50,4,IF(VALUE(MID(F192,SEARCH(" ",F192)+1,LEN(F192)))&lt;60,5,IF(VALUE(MID(F192,SEARCH(" ",F192)+1,LEN(F192)))&lt;70,6,IF(VALUE(MID(F192,SEARCH(" ",F192)+1,LEN(F192)))&lt;80,7,IF(VALUE(MID(F192,SEARCH(" ",F192)+1,LEN(F192)))&lt;90,8,IF(VALUE(MID(F192,SEARCH(" ",F192)+1,LEN(F192)))&lt;100,9,10))))))))/60*Q192*L192</f>
        <v>0</v>
      </c>
      <c r="AH192" s="136"/>
      <c r="AI192" s="132">
        <f t="shared" ref="AI192" si="327">AL192*L192/60</f>
        <v>2</v>
      </c>
      <c r="AJ192" s="70"/>
      <c r="AK192" s="50">
        <v>6</v>
      </c>
      <c r="AL192" s="69" t="str">
        <f t="shared" si="321"/>
        <v>30</v>
      </c>
      <c r="AN192" s="66"/>
      <c r="AP192" s="146">
        <f>(VLOOKUP(F192,Terasehind!$A$2:$B$171,2,FALSE))</f>
        <v>0.92</v>
      </c>
      <c r="AQ192" s="50">
        <f>(VLOOKUP(F192,Terasehind!$A$2:$C$171,3,FALSE))</f>
        <v>1.1000000000000001</v>
      </c>
      <c r="AR192" s="138">
        <f t="shared" ref="AR192" si="328">AP192*AQ192*B192</f>
        <v>92.089166400000025</v>
      </c>
      <c r="AS192"/>
      <c r="AT192"/>
      <c r="AU192"/>
      <c r="AV192"/>
      <c r="AW192"/>
      <c r="AX192"/>
      <c r="AY192"/>
      <c r="AZ192"/>
      <c r="BA192" s="188">
        <f t="shared" ref="BA192:BA198" si="329">(H192*2+J192*2)*2*2/60/1000*L192</f>
        <v>0.45866666666666667</v>
      </c>
      <c r="BB192" s="189"/>
      <c r="BC192" s="57"/>
      <c r="BD192" s="57"/>
      <c r="BE192" s="57"/>
      <c r="BF192" s="57"/>
      <c r="BG192" s="57"/>
      <c r="BH192" s="57"/>
      <c r="BI192" s="57"/>
      <c r="BJ192" s="57"/>
      <c r="BK192" s="109"/>
      <c r="BL192" s="109"/>
      <c r="BM192" s="109"/>
      <c r="BN192" s="83"/>
      <c r="BP192" s="83"/>
      <c r="BQ192" s="83"/>
    </row>
    <row r="193" spans="1:69" s="50" customFormat="1" x14ac:dyDescent="0.25">
      <c r="A193" s="116">
        <f t="shared" si="316"/>
        <v>125.2565625</v>
      </c>
      <c r="B193" s="116">
        <f t="shared" si="317"/>
        <v>501.02625</v>
      </c>
      <c r="C193" s="118"/>
      <c r="D193" s="117" t="s">
        <v>88</v>
      </c>
      <c r="E193" s="117"/>
      <c r="F193" s="355" t="s">
        <v>89</v>
      </c>
      <c r="G193" s="117" t="s">
        <v>83</v>
      </c>
      <c r="H193" s="119">
        <v>575</v>
      </c>
      <c r="I193" s="118" t="s">
        <v>77</v>
      </c>
      <c r="J193" s="119">
        <v>925</v>
      </c>
      <c r="K193" s="119">
        <v>1</v>
      </c>
      <c r="L193" s="119">
        <f>K$193*L$189</f>
        <v>4</v>
      </c>
      <c r="M193" s="116">
        <f t="shared" si="318"/>
        <v>4.2549999999999999</v>
      </c>
      <c r="N193" s="118" t="s">
        <v>84</v>
      </c>
      <c r="P193" s="118"/>
      <c r="Q193" s="135">
        <v>8</v>
      </c>
      <c r="R193" s="118"/>
      <c r="S193" s="118"/>
      <c r="T193" s="118"/>
      <c r="U193" s="118"/>
      <c r="V193" s="118"/>
      <c r="W193" s="118"/>
      <c r="X193" s="118"/>
      <c r="Y193" s="118"/>
      <c r="Z193" s="118"/>
      <c r="AA193" s="118"/>
      <c r="AB193" s="118" t="s">
        <v>78</v>
      </c>
      <c r="AC193" s="136">
        <f>((((H193+J193)*2/1000)*L193*(5/(VLOOKUP(F193,[2]Plasmalõikus!$A$7:$E$46,2,FALSE)/1000*60)))+(Q193*L193*(5*(VLOOKUP(F193,[2]Plasmalõikus!$A$7:$E$48,3,FALSE))/60/60)))</f>
        <v>1.7222222222222223</v>
      </c>
      <c r="AD193" s="353"/>
      <c r="AE193" s="136"/>
      <c r="AF193" s="137"/>
      <c r="AG193" s="137">
        <f t="shared" si="319"/>
        <v>0</v>
      </c>
      <c r="AH193" s="136"/>
      <c r="AI193" s="132">
        <f t="shared" si="320"/>
        <v>2</v>
      </c>
      <c r="AJ193" s="70">
        <f>(H193*4*AK193+J193*2*AK193)*L193/1000</f>
        <v>33.200000000000003</v>
      </c>
      <c r="AK193" s="50">
        <v>2</v>
      </c>
      <c r="AL193" s="69" t="str">
        <f t="shared" si="321"/>
        <v>30</v>
      </c>
      <c r="AN193" s="66"/>
      <c r="AP193" s="146">
        <f>(VLOOKUP(F193,Terasehind!$A$2:$B$171,2,FALSE))</f>
        <v>0.92</v>
      </c>
      <c r="AQ193" s="50">
        <f>(VLOOKUP(F193,Terasehind!$A$2:$C$171,3,FALSE))</f>
        <v>1.1000000000000001</v>
      </c>
      <c r="AR193" s="138">
        <f t="shared" si="322"/>
        <v>507.03856500000012</v>
      </c>
      <c r="AS193"/>
      <c r="AT193"/>
      <c r="AU193"/>
      <c r="AV193"/>
      <c r="AW193"/>
      <c r="AX193"/>
      <c r="AY193"/>
      <c r="AZ193"/>
      <c r="BA193" s="188">
        <f t="shared" si="329"/>
        <v>0.8</v>
      </c>
      <c r="BB193" s="189"/>
      <c r="BC193" s="57"/>
      <c r="BD193" s="57"/>
      <c r="BE193" s="57"/>
      <c r="BF193" s="57"/>
      <c r="BG193" s="57"/>
      <c r="BH193" s="57"/>
      <c r="BI193" s="57"/>
      <c r="BJ193" s="57"/>
      <c r="BK193" s="109"/>
      <c r="BL193" s="109"/>
      <c r="BM193" s="109"/>
      <c r="BN193" s="83"/>
      <c r="BP193" s="83"/>
      <c r="BQ193" s="83"/>
    </row>
    <row r="194" spans="1:69" s="50" customFormat="1" x14ac:dyDescent="0.25">
      <c r="A194" s="116">
        <f t="shared" si="316"/>
        <v>3.3578375</v>
      </c>
      <c r="B194" s="116">
        <f t="shared" si="317"/>
        <v>67.156750000000002</v>
      </c>
      <c r="C194" s="118"/>
      <c r="D194" s="117" t="s">
        <v>340</v>
      </c>
      <c r="E194" s="117"/>
      <c r="F194" s="355" t="s">
        <v>82</v>
      </c>
      <c r="G194" s="117" t="s">
        <v>83</v>
      </c>
      <c r="H194" s="119">
        <v>145</v>
      </c>
      <c r="I194" s="118" t="s">
        <v>77</v>
      </c>
      <c r="J194" s="119">
        <v>295</v>
      </c>
      <c r="K194" s="119">
        <v>5</v>
      </c>
      <c r="L194" s="119">
        <f>K$194*L$189</f>
        <v>20</v>
      </c>
      <c r="M194" s="116">
        <f t="shared" si="318"/>
        <v>1.7110000000000001</v>
      </c>
      <c r="N194" s="118" t="s">
        <v>84</v>
      </c>
      <c r="P194" s="118"/>
      <c r="Q194" s="135">
        <v>2</v>
      </c>
      <c r="R194" s="118"/>
      <c r="S194" s="118"/>
      <c r="T194" s="118"/>
      <c r="U194" s="118"/>
      <c r="V194" s="118"/>
      <c r="W194" s="118"/>
      <c r="X194" s="118"/>
      <c r="Y194" s="118"/>
      <c r="Z194" s="118"/>
      <c r="AA194" s="118"/>
      <c r="AB194" s="118" t="s">
        <v>78</v>
      </c>
      <c r="AC194" s="136">
        <f>((((H194+J194)*2/1000)*L194*(5/(VLOOKUP(F194,[2]Plasmalõikus!$A$7:$E$46,2,FALSE)/1000*60)))+(Q194*L194*(5*(VLOOKUP(F194,[2]Plasmalõikus!$A$7:$E$48,3,FALSE))/60/60)))</f>
        <v>1.0311111111111111</v>
      </c>
      <c r="AD194" s="353"/>
      <c r="AE194" s="136"/>
      <c r="AF194" s="137"/>
      <c r="AG194" s="137">
        <f t="shared" si="319"/>
        <v>0</v>
      </c>
      <c r="AH194" s="136"/>
      <c r="AI194" s="132">
        <f t="shared" si="320"/>
        <v>5</v>
      </c>
      <c r="AJ194" s="70">
        <f t="shared" ref="AJ194:AJ195" si="330">(H194*4*AK194+J194*2*AK194)*L194/1000</f>
        <v>46.8</v>
      </c>
      <c r="AK194" s="50">
        <v>2</v>
      </c>
      <c r="AL194" s="69" t="str">
        <f t="shared" si="321"/>
        <v>15</v>
      </c>
      <c r="AN194" s="66"/>
      <c r="AP194" s="146">
        <f>(VLOOKUP(F194,Terasehind!$A$2:$B$171,2,FALSE))</f>
        <v>0.92</v>
      </c>
      <c r="AQ194" s="50">
        <f>(VLOOKUP(F194,Terasehind!$A$2:$C$171,3,FALSE))</f>
        <v>1.1000000000000001</v>
      </c>
      <c r="AR194" s="138">
        <f t="shared" si="322"/>
        <v>67.962631000000016</v>
      </c>
      <c r="AS194"/>
      <c r="AT194"/>
      <c r="AU194"/>
      <c r="AV194"/>
      <c r="AW194"/>
      <c r="AX194"/>
      <c r="AY194"/>
      <c r="AZ194"/>
      <c r="BA194" s="188">
        <f t="shared" si="329"/>
        <v>1.1733333333333333</v>
      </c>
      <c r="BB194" s="189"/>
      <c r="BC194" s="57"/>
      <c r="BD194" s="57"/>
      <c r="BE194" s="57"/>
      <c r="BF194" s="57"/>
      <c r="BG194" s="57"/>
      <c r="BH194" s="57"/>
      <c r="BI194" s="57"/>
      <c r="BJ194" s="57"/>
      <c r="BK194" s="109"/>
      <c r="BL194" s="109"/>
      <c r="BM194" s="109"/>
      <c r="BN194" s="83"/>
      <c r="BP194" s="83"/>
      <c r="BQ194" s="83"/>
    </row>
    <row r="195" spans="1:69" s="50" customFormat="1" x14ac:dyDescent="0.25">
      <c r="A195" s="116">
        <f t="shared" ref="A195" si="331">H195*J195*(RIGHT(F195,2))*7.85/(10^6)</f>
        <v>2.5496799999999999</v>
      </c>
      <c r="B195" s="116">
        <f t="shared" ref="B195" si="332">A195*L195</f>
        <v>10.19872</v>
      </c>
      <c r="C195" s="118"/>
      <c r="D195" s="117" t="s">
        <v>340</v>
      </c>
      <c r="E195" s="117"/>
      <c r="F195" s="355" t="s">
        <v>337</v>
      </c>
      <c r="G195" s="117" t="s">
        <v>83</v>
      </c>
      <c r="H195" s="119">
        <v>140</v>
      </c>
      <c r="I195" s="118" t="s">
        <v>77</v>
      </c>
      <c r="J195" s="119">
        <v>290</v>
      </c>
      <c r="K195" s="119">
        <v>1</v>
      </c>
      <c r="L195" s="119">
        <f>K$195*L$189</f>
        <v>4</v>
      </c>
      <c r="M195" s="116">
        <f t="shared" ref="M195" si="333">2*H195*J195/10^6*L195</f>
        <v>0.32479999999999998</v>
      </c>
      <c r="N195" s="118" t="s">
        <v>84</v>
      </c>
      <c r="P195" s="118"/>
      <c r="Q195" s="135">
        <v>2</v>
      </c>
      <c r="R195" s="118"/>
      <c r="S195" s="118"/>
      <c r="T195" s="118"/>
      <c r="U195" s="118"/>
      <c r="V195" s="118"/>
      <c r="W195" s="118"/>
      <c r="X195" s="118"/>
      <c r="Y195" s="118"/>
      <c r="Z195" s="118"/>
      <c r="AA195" s="118"/>
      <c r="AB195" s="118" t="s">
        <v>78</v>
      </c>
      <c r="AC195" s="136">
        <f>((((H195+J195)*2/1000)*L195*(5/(VLOOKUP(F195,[2]Plasmalõikus!$A$7:$E$46,2,FALSE)/1000*60)))+(Q195*L195*(5*(VLOOKUP(F195,[2]Plasmalõikus!$A$7:$E$48,3,FALSE))/60/60)))</f>
        <v>0.18444444444444441</v>
      </c>
      <c r="AD195" s="353"/>
      <c r="AE195" s="136"/>
      <c r="AF195" s="137"/>
      <c r="AG195" s="137">
        <f t="shared" ref="AG195" si="334">IF(VALUE(MID(F195,SEARCH(" ",F195)+1,LEN(F195)))&lt;35,0,IF(VALUE(MID(F195,SEARCH(" ",F195)+1,LEN(F195)))&lt;40,3,IF(VALUE(MID(F195,SEARCH(" ",F195)+1,LEN(F195)))&lt;50,4,IF(VALUE(MID(F195,SEARCH(" ",F195)+1,LEN(F195)))&lt;60,5,IF(VALUE(MID(F195,SEARCH(" ",F195)+1,LEN(F195)))&lt;70,6,IF(VALUE(MID(F195,SEARCH(" ",F195)+1,LEN(F195)))&lt;80,7,IF(VALUE(MID(F195,SEARCH(" ",F195)+1,LEN(F195)))&lt;90,8,IF(VALUE(MID(F195,SEARCH(" ",F195)+1,LEN(F195)))&lt;100,9,10))))))))/60*Q195*L195</f>
        <v>0</v>
      </c>
      <c r="AH195" s="136"/>
      <c r="AI195" s="132">
        <f t="shared" ref="AI195" si="335">AL195*L195/60</f>
        <v>0.66666666666666663</v>
      </c>
      <c r="AJ195" s="70">
        <f t="shared" si="330"/>
        <v>9.1199999999999992</v>
      </c>
      <c r="AK195" s="50">
        <v>2</v>
      </c>
      <c r="AL195" s="69" t="str">
        <f t="shared" si="321"/>
        <v>10</v>
      </c>
      <c r="AN195" s="66"/>
      <c r="AP195" s="146">
        <f>(VLOOKUP(F195,Terasehind!$A$2:$B$171,2,FALSE))</f>
        <v>0.92</v>
      </c>
      <c r="AQ195" s="50">
        <f>(VLOOKUP(F195,Terasehind!$A$2:$C$171,3,FALSE))</f>
        <v>1.1000000000000001</v>
      </c>
      <c r="AR195" s="138">
        <f t="shared" ref="AR195" si="336">AP195*AQ195*B195</f>
        <v>10.321104640000001</v>
      </c>
      <c r="AS195"/>
      <c r="AT195"/>
      <c r="AU195"/>
      <c r="AV195"/>
      <c r="AW195"/>
      <c r="AX195"/>
      <c r="AY195"/>
      <c r="AZ195"/>
      <c r="BA195" s="188">
        <f t="shared" si="329"/>
        <v>0.22933333333333333</v>
      </c>
      <c r="BB195" s="189"/>
      <c r="BC195" s="57"/>
      <c r="BD195" s="57"/>
      <c r="BE195" s="57"/>
      <c r="BF195" s="57"/>
      <c r="BG195" s="57"/>
      <c r="BH195" s="57"/>
      <c r="BI195" s="57"/>
      <c r="BJ195" s="57"/>
      <c r="BK195" s="109"/>
      <c r="BL195" s="109"/>
      <c r="BM195" s="109"/>
      <c r="BN195" s="83"/>
      <c r="BP195" s="83"/>
      <c r="BQ195" s="83"/>
    </row>
    <row r="196" spans="1:69" s="50" customFormat="1" x14ac:dyDescent="0.25">
      <c r="A196" s="116">
        <f xml:space="preserve"> 23*J196/10^3</f>
        <v>6.44</v>
      </c>
      <c r="B196" s="116">
        <f>A196*L196</f>
        <v>103.04</v>
      </c>
      <c r="C196" s="117"/>
      <c r="D196" s="117" t="s">
        <v>76</v>
      </c>
      <c r="E196" s="117"/>
      <c r="F196" s="355" t="s">
        <v>409</v>
      </c>
      <c r="G196" s="140" t="s">
        <v>83</v>
      </c>
      <c r="H196" s="119">
        <v>200</v>
      </c>
      <c r="I196" s="118" t="s">
        <v>77</v>
      </c>
      <c r="J196" s="119">
        <v>280</v>
      </c>
      <c r="K196" s="50">
        <v>4</v>
      </c>
      <c r="L196" s="119">
        <f>K$196*L$189</f>
        <v>16</v>
      </c>
      <c r="M196" s="131">
        <f xml:space="preserve"> 0.587*J196*L196/10^3</f>
        <v>2.6297599999999997</v>
      </c>
      <c r="N196" s="118"/>
      <c r="O196" s="118"/>
      <c r="P196" s="118" t="s">
        <v>78</v>
      </c>
      <c r="Q196" s="135">
        <v>4</v>
      </c>
      <c r="R196" s="118"/>
      <c r="S196" s="118"/>
      <c r="T196" s="118"/>
      <c r="U196" s="118"/>
      <c r="V196" s="118"/>
      <c r="W196" s="118"/>
      <c r="Y196" s="118"/>
      <c r="Z196" s="118"/>
      <c r="AA196" s="118"/>
      <c r="AB196" s="118" t="s">
        <v>78</v>
      </c>
      <c r="AC196" s="116"/>
      <c r="AD196" s="83"/>
      <c r="AE196" s="136"/>
      <c r="AF196" s="137"/>
      <c r="AG196" s="132">
        <f>Q196*L196*0.5/60+L196*0.5/60</f>
        <v>0.66666666666666663</v>
      </c>
      <c r="AH196" s="83"/>
      <c r="AI196" s="132">
        <f>AL196*L196/60</f>
        <v>2.6666666666666665</v>
      </c>
      <c r="AJ196" s="70">
        <f>(H196*4*AK196)*L196/1000</f>
        <v>25.6</v>
      </c>
      <c r="AK196" s="50">
        <f>(VLOOKUP(F196,[2]Koostamine!$A$12:$P$1612,7,FALSE))</f>
        <v>2</v>
      </c>
      <c r="AL196" s="69">
        <f>VLOOKUP(F196,[2]Koostamine!$A$12:$P$1612,IF(J196&lt;1499,11,IF(J196&lt;2999,12,IF(J196&lt;5999,13,IF(J196&lt;9999,14,IF(J196&lt;12999,15,IF(J196&gt;13000,16)))))),FALSE)</f>
        <v>10</v>
      </c>
      <c r="AP196" s="146">
        <f>(VLOOKUP(F196,Terasehind!$A$2:$B$171,2,FALSE))</f>
        <v>1</v>
      </c>
      <c r="AQ196" s="50">
        <f>(VLOOKUP(F196,Terasehind!$A$2:$C$171,3,FALSE))</f>
        <v>1.1000000000000001</v>
      </c>
      <c r="AR196" s="138">
        <f>AP196*AQ196*B196</f>
        <v>113.34400000000002</v>
      </c>
      <c r="AT196" s="62"/>
      <c r="AU196" s="62"/>
      <c r="AV196" s="62"/>
      <c r="AW196" s="62"/>
      <c r="AX196" s="62"/>
      <c r="AY196" s="62"/>
      <c r="AZ196"/>
      <c r="BA196" s="188">
        <f>(H196*4*2+J196*4)*2/60/1000*L196</f>
        <v>1.4506666666666668</v>
      </c>
      <c r="BB196" s="189"/>
      <c r="BC196" s="57"/>
      <c r="BD196" s="57"/>
      <c r="BE196" s="57"/>
      <c r="BF196" s="57"/>
      <c r="BG196" s="57"/>
      <c r="BH196" s="57"/>
      <c r="BI196" s="57"/>
      <c r="BJ196" s="60"/>
      <c r="BK196" s="57"/>
      <c r="BL196" s="60"/>
      <c r="BM196" s="83"/>
      <c r="BO196" s="109"/>
    </row>
    <row r="197" spans="1:69" s="50" customFormat="1" x14ac:dyDescent="0.25">
      <c r="A197" s="116">
        <f xml:space="preserve"> 23.2*J197/10^3</f>
        <v>7.8879999999999999</v>
      </c>
      <c r="B197" s="116">
        <f>A197*L197</f>
        <v>31.552</v>
      </c>
      <c r="C197" s="117"/>
      <c r="D197" s="117" t="s">
        <v>76</v>
      </c>
      <c r="E197" s="117"/>
      <c r="F197" s="355" t="s">
        <v>404</v>
      </c>
      <c r="G197" s="140" t="s">
        <v>83</v>
      </c>
      <c r="H197" s="119">
        <v>120</v>
      </c>
      <c r="I197" s="118" t="s">
        <v>77</v>
      </c>
      <c r="J197" s="119">
        <v>340</v>
      </c>
      <c r="K197" s="50">
        <v>1</v>
      </c>
      <c r="L197" s="119">
        <f>K$197*L$189</f>
        <v>4</v>
      </c>
      <c r="M197" s="131">
        <f xml:space="preserve"> 0.48*J197*L197/10^3</f>
        <v>0.65279999999999994</v>
      </c>
      <c r="N197" s="118"/>
      <c r="O197" s="118"/>
      <c r="P197" s="118" t="s">
        <v>78</v>
      </c>
      <c r="Q197" s="135">
        <v>4</v>
      </c>
      <c r="R197" s="118"/>
      <c r="S197" s="118"/>
      <c r="T197" s="118"/>
      <c r="U197" s="118"/>
      <c r="V197" s="118"/>
      <c r="W197" s="118"/>
      <c r="Y197" s="118"/>
      <c r="Z197" s="118"/>
      <c r="AA197" s="118"/>
      <c r="AB197" s="118" t="s">
        <v>78</v>
      </c>
      <c r="AC197" s="116"/>
      <c r="AD197" s="83"/>
      <c r="AE197" s="136"/>
      <c r="AF197" s="137"/>
      <c r="AG197" s="132">
        <f>Q197*L197*0.5/60+L197*0.5/60</f>
        <v>0.16666666666666666</v>
      </c>
      <c r="AH197" s="83"/>
      <c r="AI197" s="132">
        <f>AL197*L197/60</f>
        <v>1</v>
      </c>
      <c r="AJ197" s="70">
        <f>(H197*4*AK197)*2*L197/1000</f>
        <v>7.68</v>
      </c>
      <c r="AK197" s="50">
        <f>(VLOOKUP(F197,[2]Koostamine!$A$12:$P$1612,7,FALSE))</f>
        <v>2</v>
      </c>
      <c r="AL197" s="69" t="str">
        <f>IF(AND(Q197&gt;0,A197&lt;3),"10",IF(AND(Q197&gt;0,A197&lt;10),"15",IF(AND(Q197&gt;0,A197&lt;20),"20",IF(AND(Q197&gt;0,A197&lt;500),"30",IF(AND(Q197=0,A197&lt;3),"2",IF(AND(Q197=0,A197&lt;10),"5",IF(AND(Q197=0,A197&lt;20),"10",IF(AND(Q197=0,A197&lt;500),"20","2"))))))))</f>
        <v>15</v>
      </c>
      <c r="AP197" s="146">
        <f>(VLOOKUP(F197,Terasehind!$A$2:$B$171,2,FALSE))</f>
        <v>1.4</v>
      </c>
      <c r="AQ197" s="50">
        <f>(VLOOKUP(F197,Terasehind!$A$2:$C$171,3,FALSE))</f>
        <v>1.1000000000000001</v>
      </c>
      <c r="AR197" s="138">
        <f>AP197*AQ197*B197</f>
        <v>48.59008</v>
      </c>
      <c r="AT197" s="62"/>
      <c r="AU197" s="62"/>
      <c r="AV197" s="62"/>
      <c r="AW197" s="62"/>
      <c r="AX197" s="62"/>
      <c r="AY197" s="62"/>
      <c r="AZ197"/>
      <c r="BA197" s="188">
        <f t="shared" si="329"/>
        <v>0.24533333333333335</v>
      </c>
      <c r="BB197" s="189"/>
      <c r="BC197" s="57"/>
      <c r="BD197" s="57"/>
      <c r="BE197" s="57"/>
      <c r="BF197" s="57"/>
      <c r="BG197" s="57"/>
      <c r="BH197" s="57"/>
      <c r="BI197" s="57"/>
      <c r="BJ197" s="60"/>
      <c r="BK197" s="57"/>
      <c r="BL197" s="60"/>
      <c r="BM197" s="83"/>
      <c r="BO197" s="109"/>
    </row>
    <row r="198" spans="1:69" s="50" customFormat="1" x14ac:dyDescent="0.25">
      <c r="A198" s="116">
        <f t="shared" ref="A198" si="337">H198*J198*(RIGHT(F198,2))*7.85/(10^6)</f>
        <v>15.024900000000001</v>
      </c>
      <c r="B198" s="116">
        <f t="shared" ref="B198" si="338">A198*L198</f>
        <v>60.099600000000002</v>
      </c>
      <c r="C198" s="118" t="s">
        <v>80</v>
      </c>
      <c r="D198" s="117" t="s">
        <v>85</v>
      </c>
      <c r="E198" s="117"/>
      <c r="F198" s="355" t="s">
        <v>86</v>
      </c>
      <c r="G198" s="117" t="s">
        <v>83</v>
      </c>
      <c r="H198" s="119">
        <v>220</v>
      </c>
      <c r="I198" s="118" t="s">
        <v>77</v>
      </c>
      <c r="J198" s="119">
        <v>435</v>
      </c>
      <c r="K198" s="119">
        <v>1</v>
      </c>
      <c r="L198" s="119">
        <f>K$198*L$189</f>
        <v>4</v>
      </c>
      <c r="M198" s="116">
        <f t="shared" ref="M198" si="339">2*H198*J198/10^6*L198</f>
        <v>0.76559999999999995</v>
      </c>
      <c r="N198" s="118" t="s">
        <v>84</v>
      </c>
      <c r="P198" s="118"/>
      <c r="Q198" s="135">
        <v>8</v>
      </c>
      <c r="R198" s="118"/>
      <c r="S198" s="118"/>
      <c r="T198" s="118"/>
      <c r="U198" s="118"/>
      <c r="V198" s="118"/>
      <c r="W198" s="118"/>
      <c r="X198" s="118"/>
      <c r="Y198" s="118"/>
      <c r="Z198" s="118"/>
      <c r="AA198" s="118"/>
      <c r="AB198" s="118" t="s">
        <v>78</v>
      </c>
      <c r="AC198" s="136">
        <f>((((H198+J198)*2/1000)*L198*(5/(VLOOKUP(F198,[2]Plasmalõikus!$A$7:$E$46,2,FALSE)/1000*60)))+(Q198*L198*(5*(VLOOKUP(F198,[2]Plasmalõikus!$A$7:$E$48,3,FALSE))/60/60)))</f>
        <v>0.80625000000000002</v>
      </c>
      <c r="AD198" s="353">
        <f t="shared" ref="AD198" si="340">IF(C198="WQ",0.012*((H198+J198)*2/1000*L198),IF(OR(VALUE(MID(F198,6,10))&gt;=20,H198&gt;300,J198&gt;300),0.012*((H198+J198)*2/1000*L198)," "))</f>
        <v>6.2880000000000005E-2</v>
      </c>
      <c r="AE198" s="136"/>
      <c r="AF198" s="137"/>
      <c r="AG198" s="137">
        <f t="shared" ref="AG198" si="341">IF(VALUE(MID(F198,SEARCH(" ",F198)+1,LEN(F198)))&lt;35,0,IF(VALUE(MID(F198,SEARCH(" ",F198)+1,LEN(F198)))&lt;40,3,IF(VALUE(MID(F198,SEARCH(" ",F198)+1,LEN(F198)))&lt;50,4,IF(VALUE(MID(F198,SEARCH(" ",F198)+1,LEN(F198)))&lt;60,5,IF(VALUE(MID(F198,SEARCH(" ",F198)+1,LEN(F198)))&lt;70,6,IF(VALUE(MID(F198,SEARCH(" ",F198)+1,LEN(F198)))&lt;80,7,IF(VALUE(MID(F198,SEARCH(" ",F198)+1,LEN(F198)))&lt;90,8,IF(VALUE(MID(F198,SEARCH(" ",F198)+1,LEN(F198)))&lt;100,9,10))))))))/60*Q198*L198</f>
        <v>0</v>
      </c>
      <c r="AH198" s="136"/>
      <c r="AI198" s="132">
        <f t="shared" ref="AI198" si="342">AL198*L198/60</f>
        <v>0.66666666666666663</v>
      </c>
      <c r="AJ198" s="70"/>
      <c r="AK198" s="50">
        <v>6</v>
      </c>
      <c r="AL198" s="165" t="str">
        <f t="shared" ref="AL198" si="343">IF(A198&gt;40,"30",IF(A198&gt;10,"10",IF(A198&gt;20,"20","2")))</f>
        <v>10</v>
      </c>
      <c r="AN198" s="66"/>
      <c r="AP198" s="146">
        <f>(VLOOKUP(F198,Terasehind!$A$2:$B$171,2,FALSE))</f>
        <v>0.92</v>
      </c>
      <c r="AQ198" s="50">
        <f>(VLOOKUP(F198,Terasehind!$A$2:$C$171,3,FALSE))</f>
        <v>1.1000000000000001</v>
      </c>
      <c r="AR198" s="138">
        <f t="shared" ref="AR198" si="344">AP198*AQ198*B198</f>
        <v>60.820795200000013</v>
      </c>
      <c r="AS198"/>
      <c r="AT198"/>
      <c r="AU198"/>
      <c r="AV198"/>
      <c r="AW198"/>
      <c r="AX198"/>
      <c r="AY198"/>
      <c r="AZ198"/>
      <c r="BA198" s="188">
        <f t="shared" si="329"/>
        <v>0.34933333333333333</v>
      </c>
      <c r="BB198" s="189"/>
      <c r="BC198" s="57"/>
      <c r="BD198" s="57"/>
      <c r="BE198" s="57"/>
      <c r="BF198" s="57"/>
      <c r="BG198" s="57"/>
      <c r="BH198" s="57"/>
      <c r="BI198" s="57"/>
      <c r="BJ198" s="57"/>
      <c r="BK198" s="109"/>
      <c r="BL198" s="109"/>
      <c r="BM198" s="109"/>
      <c r="BN198" s="83"/>
      <c r="BP198" s="83"/>
      <c r="BQ198" s="83"/>
    </row>
    <row r="199" spans="1:69" s="50" customFormat="1" x14ac:dyDescent="0.25">
      <c r="A199" s="116"/>
      <c r="B199" s="116"/>
      <c r="C199" s="118"/>
      <c r="D199" s="117"/>
      <c r="E199" s="117"/>
      <c r="F199" s="269"/>
      <c r="G199" s="117"/>
      <c r="H199" s="119"/>
      <c r="I199" s="118"/>
      <c r="J199" s="119"/>
      <c r="K199" s="119"/>
      <c r="L199" s="119"/>
      <c r="M199" s="119"/>
      <c r="N199" s="119"/>
      <c r="O199" s="119"/>
      <c r="P199" s="119"/>
      <c r="Q199" s="119"/>
      <c r="R199" s="118"/>
      <c r="S199" s="118"/>
      <c r="T199" s="118"/>
      <c r="U199" s="118"/>
      <c r="V199" s="118"/>
      <c r="W199" s="118"/>
      <c r="X199" s="118"/>
      <c r="Y199" s="118"/>
      <c r="Z199" s="118"/>
      <c r="AA199" s="118"/>
      <c r="AB199" s="118"/>
      <c r="AC199" s="136"/>
      <c r="AD199" s="136"/>
      <c r="AE199" s="136"/>
      <c r="AF199" s="136"/>
      <c r="AG199" s="136"/>
      <c r="AH199" s="136"/>
      <c r="AI199" s="132"/>
      <c r="AJ199" s="60"/>
      <c r="AN199" s="66"/>
      <c r="AP199" s="146"/>
      <c r="AR199" s="138"/>
      <c r="AT199" s="62"/>
      <c r="AU199" s="62"/>
      <c r="AV199" s="62"/>
      <c r="AW199" s="62"/>
      <c r="AX199" s="62"/>
      <c r="AY199" s="62"/>
      <c r="AZ199"/>
      <c r="BA199" s="192"/>
      <c r="BB199" s="188"/>
      <c r="BC199" s="57"/>
      <c r="BD199" s="57"/>
      <c r="BE199" s="57"/>
      <c r="BF199" s="57"/>
      <c r="BG199" s="57"/>
      <c r="BH199" s="57"/>
      <c r="BI199" s="57"/>
      <c r="BJ199" s="109"/>
      <c r="BK199" s="109"/>
      <c r="BL199" s="109"/>
      <c r="BM199" s="83"/>
      <c r="BO199" s="83"/>
      <c r="BP199" s="83"/>
    </row>
    <row r="200" spans="1:69" s="50" customFormat="1" x14ac:dyDescent="0.25">
      <c r="A200" s="148">
        <f>B200/L200</f>
        <v>519.21225000000004</v>
      </c>
      <c r="B200" s="148">
        <f>SUM(B205,B204,B203,B202,B201,0)</f>
        <v>1557.6367500000001</v>
      </c>
      <c r="C200" s="152"/>
      <c r="D200" s="149" t="s">
        <v>76</v>
      </c>
      <c r="E200" s="149"/>
      <c r="F200" s="275"/>
      <c r="G200" s="174" t="str">
        <f>$G$163</f>
        <v>C3VH</v>
      </c>
      <c r="H200" s="150"/>
      <c r="I200" s="151" t="s">
        <v>77</v>
      </c>
      <c r="J200" s="150">
        <f>J201</f>
        <v>6885</v>
      </c>
      <c r="K200" s="134">
        <v>3</v>
      </c>
      <c r="L200" s="150">
        <f>$L$163*$K$200</f>
        <v>3</v>
      </c>
      <c r="M200" s="148">
        <f>SUM(M205,M204,M203,M202,M201,0)</f>
        <v>34.706114999999997</v>
      </c>
      <c r="N200" s="151"/>
      <c r="O200" s="151"/>
      <c r="P200" s="151"/>
      <c r="Q200" s="151"/>
      <c r="R200" s="120"/>
      <c r="S200" s="120"/>
      <c r="T200" s="120"/>
      <c r="U200" s="120"/>
      <c r="V200" s="120"/>
      <c r="W200" s="118"/>
      <c r="X200" s="118" t="s">
        <v>78</v>
      </c>
      <c r="Y200" s="151">
        <v>4</v>
      </c>
      <c r="Z200" s="151"/>
      <c r="AA200" s="151"/>
      <c r="AB200" s="151"/>
      <c r="AC200" s="148">
        <f>SUM(AC205,AC204,AC203,AC202,AC201,0)</f>
        <v>1.2633333333333334</v>
      </c>
      <c r="AD200" s="148">
        <f>SUM(AD205,AD204,AD203,AD202,AD201,0)</f>
        <v>0</v>
      </c>
      <c r="AE200" s="148">
        <f>SUM(AE205,AE204,AE203,AE202,AE201,0)</f>
        <v>1.75</v>
      </c>
      <c r="AF200" s="148">
        <f>SUM(AF205,AF204,AF203,AF202,AF201,0)</f>
        <v>0.59499999999999997</v>
      </c>
      <c r="AG200" s="148">
        <f>SUM(AG205,AG204,AG203,AG202,AG201,0)</f>
        <v>0.57499999999999996</v>
      </c>
      <c r="AH200" s="107">
        <f>SUM(AC200:AG200)</f>
        <v>4.1833333333333336</v>
      </c>
      <c r="AI200" s="107">
        <f>SUM(AI205,AI204,AI203,AI202,AI201,0)</f>
        <v>7.6</v>
      </c>
      <c r="AJ200" s="148">
        <f>SUM(AJ205,AJ204,AJ203,AJ202,AJ201,0)</f>
        <v>52.41</v>
      </c>
      <c r="AK200" s="107">
        <f>AJ200*10/60</f>
        <v>8.7349999999999977</v>
      </c>
      <c r="AL200" s="148">
        <f>AH200+AI200+AK200</f>
        <v>20.518333333333331</v>
      </c>
      <c r="AM200" s="148">
        <f>B200/AL200</f>
        <v>75.914389570303001</v>
      </c>
      <c r="AN200" s="148">
        <f>AL200*46</f>
        <v>943.84333333333325</v>
      </c>
      <c r="AO200" s="148">
        <f>AN200/B200</f>
        <v>0.60594572729061069</v>
      </c>
      <c r="AP200" s="148">
        <f>AR200/B200</f>
        <v>0.9763595697135421</v>
      </c>
      <c r="AQ200" s="67"/>
      <c r="AR200" s="148">
        <f>SUM(AR205,AR204,AR203,AR202,AR201,0)</f>
        <v>1520.8135470000002</v>
      </c>
      <c r="AT200" s="62"/>
      <c r="AU200" s="62"/>
      <c r="AV200" s="62"/>
      <c r="AW200" s="62"/>
      <c r="AX200" s="62"/>
      <c r="AY200" s="62"/>
      <c r="AZ200"/>
      <c r="BA200" s="148">
        <f>SUM(BA205,BA204,BA203,BA202,BA201,0)</f>
        <v>1.2079999999999997</v>
      </c>
      <c r="BB200" s="188"/>
      <c r="BC200" s="57"/>
      <c r="BD200" s="57"/>
      <c r="BE200" s="57"/>
      <c r="BF200" s="57"/>
      <c r="BG200" s="57"/>
      <c r="BH200" s="57"/>
      <c r="BI200" s="60"/>
    </row>
    <row r="201" spans="1:69" s="50" customFormat="1" x14ac:dyDescent="0.25">
      <c r="A201" s="116">
        <f xml:space="preserve"> 68.2*J201/10^3</f>
        <v>469.55700000000002</v>
      </c>
      <c r="B201" s="116">
        <f>A201*L201</f>
        <v>1408.671</v>
      </c>
      <c r="C201" s="299" t="s">
        <v>354</v>
      </c>
      <c r="D201" s="117" t="s">
        <v>76</v>
      </c>
      <c r="E201" s="117"/>
      <c r="F201" s="355" t="s">
        <v>384</v>
      </c>
      <c r="G201" s="140" t="s">
        <v>83</v>
      </c>
      <c r="H201" s="119">
        <v>250</v>
      </c>
      <c r="I201" s="118" t="s">
        <v>77</v>
      </c>
      <c r="J201" s="119">
        <v>6885</v>
      </c>
      <c r="K201" s="50">
        <v>1</v>
      </c>
      <c r="L201" s="119">
        <f>K$201*L$200</f>
        <v>3</v>
      </c>
      <c r="M201" s="131">
        <f xml:space="preserve"> 1.48*J201*L201/10^3</f>
        <v>30.569399999999998</v>
      </c>
      <c r="N201" s="118"/>
      <c r="O201" s="118"/>
      <c r="P201" s="118" t="s">
        <v>78</v>
      </c>
      <c r="Q201" s="135">
        <v>4</v>
      </c>
      <c r="R201" s="118"/>
      <c r="S201" s="118"/>
      <c r="T201" s="118"/>
      <c r="U201" s="118"/>
      <c r="V201" s="118"/>
      <c r="W201" s="118"/>
      <c r="Y201" s="118"/>
      <c r="Z201" s="118"/>
      <c r="AA201" s="118"/>
      <c r="AB201" s="118" t="s">
        <v>78</v>
      </c>
      <c r="AC201" s="116"/>
      <c r="AD201" s="83"/>
      <c r="AE201" s="136">
        <f>(H201/20/60)*2*L201</f>
        <v>1.25</v>
      </c>
      <c r="AF201" s="137"/>
      <c r="AG201" s="132">
        <f>Q201*L201*0.5/60</f>
        <v>0.1</v>
      </c>
      <c r="AH201" s="83"/>
      <c r="AI201" s="132">
        <f>AL201*L201/60</f>
        <v>1.5</v>
      </c>
      <c r="AJ201" s="70"/>
      <c r="AK201" s="50">
        <f>(VLOOKUP(F201,[2]Koostamine!$A$12:$P$1612,7,FALSE))</f>
        <v>3</v>
      </c>
      <c r="AL201" s="69">
        <f>VLOOKUP(F201,[2]Koostamine!$A$12:$P$1612,IF(J201&lt;1499,11,IF(J201&lt;2999,12,IF(J201&lt;5999,13,IF(J201&lt;9999,14,IF(J201&lt;12999,15,IF(J201&gt;13000,16)))))),FALSE)</f>
        <v>30</v>
      </c>
      <c r="AP201" s="146">
        <f>(VLOOKUP(F201,Terasehind!$A$2:$B$171,2,FALSE))</f>
        <v>0.88</v>
      </c>
      <c r="AQ201" s="50">
        <f>(VLOOKUP(F201,Terasehind!$A$2:$C$171,3,FALSE))</f>
        <v>1.1000000000000001</v>
      </c>
      <c r="AR201" s="138">
        <f>AP201*AQ201*B201</f>
        <v>1363.5935280000001</v>
      </c>
      <c r="AT201" s="62"/>
      <c r="AU201" s="62"/>
      <c r="AV201" s="62"/>
      <c r="AW201" s="62"/>
      <c r="AX201" s="62"/>
      <c r="AY201" s="62"/>
      <c r="AZ201"/>
      <c r="BA201" s="188"/>
      <c r="BB201" s="189"/>
      <c r="BC201" s="57"/>
      <c r="BD201" s="57"/>
      <c r="BE201" s="57"/>
      <c r="BF201" s="57"/>
      <c r="BG201" s="57"/>
      <c r="BH201" s="57"/>
      <c r="BI201" s="57"/>
      <c r="BJ201" s="60"/>
      <c r="BK201" s="57"/>
      <c r="BL201" s="60"/>
      <c r="BM201" s="83"/>
      <c r="BO201" s="109"/>
    </row>
    <row r="202" spans="1:69" s="50" customFormat="1" x14ac:dyDescent="0.25">
      <c r="A202" s="116">
        <f t="shared" ref="A202:A203" si="345">H202*J202*(RIGHT(F202,2))*7.85/(10^6)</f>
        <v>4.8983999999999996</v>
      </c>
      <c r="B202" s="116">
        <f t="shared" ref="B202:B203" si="346">A202*L202</f>
        <v>29.3904</v>
      </c>
      <c r="C202" s="118" t="s">
        <v>80</v>
      </c>
      <c r="D202" s="117" t="s">
        <v>81</v>
      </c>
      <c r="E202" s="117"/>
      <c r="F202" s="355" t="s">
        <v>339</v>
      </c>
      <c r="G202" s="117" t="s">
        <v>83</v>
      </c>
      <c r="H202" s="119">
        <v>200</v>
      </c>
      <c r="I202" s="118" t="s">
        <v>77</v>
      </c>
      <c r="J202" s="119">
        <v>260</v>
      </c>
      <c r="K202" s="119">
        <v>2</v>
      </c>
      <c r="L202" s="119">
        <f>K$202*L$200</f>
        <v>6</v>
      </c>
      <c r="M202" s="116">
        <f t="shared" ref="M202:M203" si="347">2*H202*J202/10^6*L202</f>
        <v>0.624</v>
      </c>
      <c r="N202" s="118" t="s">
        <v>84</v>
      </c>
      <c r="P202" s="118"/>
      <c r="Q202" s="135">
        <v>4</v>
      </c>
      <c r="R202" s="118"/>
      <c r="S202" s="118"/>
      <c r="T202" s="118"/>
      <c r="U202" s="118"/>
      <c r="V202" s="118"/>
      <c r="W202" s="118"/>
      <c r="X202" s="118"/>
      <c r="Y202" s="118"/>
      <c r="Z202" s="118"/>
      <c r="AA202" s="118"/>
      <c r="AB202" s="118" t="s">
        <v>78</v>
      </c>
      <c r="AC202" s="136">
        <f>((((H202+J202)*2/1000)*L202*(5/(VLOOKUP(F202,[2]Plasmalõikus!$A$7:$E$46,2,FALSE)/1000*60)))+(Q202*L202*(5*(VLOOKUP(F202,[2]Plasmalõikus!$A$7:$E$48,3,FALSE))/60/60)))</f>
        <v>0.51333333333333342</v>
      </c>
      <c r="AD202" s="353" t="str">
        <f t="shared" ref="AD202:AD203" si="348">IF(C202="WQ",0.012*((H202+J202)*2/1000*L202),IF(OR(VALUE(MID(F202,6,10))&gt;=20,H202&gt;300,J202&gt;300),0.012*((H202+J202)*2/1000*L202)," "))</f>
        <v xml:space="preserve"> </v>
      </c>
      <c r="AE202" s="136"/>
      <c r="AF202" s="137"/>
      <c r="AG202" s="137">
        <f t="shared" ref="AG202:AG203" si="349">IF(VALUE(MID(F202,SEARCH(" ",F202)+1,LEN(F202)))&lt;35,0,IF(VALUE(MID(F202,SEARCH(" ",F202)+1,LEN(F202)))&lt;40,3,IF(VALUE(MID(F202,SEARCH(" ",F202)+1,LEN(F202)))&lt;50,4,IF(VALUE(MID(F202,SEARCH(" ",F202)+1,LEN(F202)))&lt;60,5,IF(VALUE(MID(F202,SEARCH(" ",F202)+1,LEN(F202)))&lt;70,6,IF(VALUE(MID(F202,SEARCH(" ",F202)+1,LEN(F202)))&lt;80,7,IF(VALUE(MID(F202,SEARCH(" ",F202)+1,LEN(F202)))&lt;90,8,IF(VALUE(MID(F202,SEARCH(" ",F202)+1,LEN(F202)))&lt;100,9,10))))))))/60*Q202*L202</f>
        <v>0</v>
      </c>
      <c r="AH202" s="136"/>
      <c r="AI202" s="132">
        <f t="shared" ref="AI202:AI203" si="350">AL202*L202/60</f>
        <v>1.5</v>
      </c>
      <c r="AJ202" s="70">
        <f>(50*4*AK202+J202*2*AK202)*L202/1000</f>
        <v>8.64</v>
      </c>
      <c r="AK202" s="50">
        <v>2</v>
      </c>
      <c r="AL202" s="69" t="str">
        <f t="shared" ref="AL202:AL203" si="351">IF(AND(Q202&gt;0,A202&lt;3),"10",IF(AND(Q202&gt;0,A202&lt;10),"15",IF(AND(Q202&gt;0,A202&lt;20),"20",IF(AND(Q202&gt;0,A202&lt;500),"30",IF(AND(Q202=0,A202&lt;3),"2",IF(AND(Q202=0,A202&lt;10),"5",IF(AND(Q202=0,A202&lt;20),"10",IF(AND(Q202=0,A202&lt;500),"20","2"))))))))</f>
        <v>15</v>
      </c>
      <c r="AN202" s="66"/>
      <c r="AP202" s="146">
        <f>(VLOOKUP(F202,Terasehind!$A$2:$B$171,2,FALSE))</f>
        <v>0.92</v>
      </c>
      <c r="AQ202" s="50">
        <f>(VLOOKUP(F202,Terasehind!$A$2:$C$171,3,FALSE))</f>
        <v>1.1000000000000001</v>
      </c>
      <c r="AR202" s="138">
        <f t="shared" ref="AR202:AR203" si="352">AP202*AQ202*B202</f>
        <v>29.743084800000005</v>
      </c>
      <c r="AS202"/>
      <c r="AT202"/>
      <c r="AU202"/>
      <c r="AV202"/>
      <c r="AW202"/>
      <c r="AX202"/>
      <c r="AY202"/>
      <c r="AZ202"/>
      <c r="BA202" s="188">
        <f>(H202*2+J202*2)*2*2/60/1000*L202</f>
        <v>0.36799999999999999</v>
      </c>
      <c r="BB202" s="189"/>
      <c r="BC202" s="57"/>
      <c r="BD202" s="57"/>
      <c r="BE202" s="57"/>
      <c r="BF202" s="57"/>
      <c r="BG202" s="57"/>
      <c r="BH202" s="57"/>
      <c r="BI202" s="57"/>
      <c r="BJ202" s="57"/>
      <c r="BK202" s="109"/>
      <c r="BL202" s="109"/>
      <c r="BM202" s="109"/>
      <c r="BN202" s="83"/>
      <c r="BP202" s="83"/>
      <c r="BQ202" s="83"/>
    </row>
    <row r="203" spans="1:69" s="50" customFormat="1" x14ac:dyDescent="0.25">
      <c r="A203" s="116">
        <f t="shared" si="345"/>
        <v>1.7662500000000001</v>
      </c>
      <c r="B203" s="116">
        <f t="shared" si="346"/>
        <v>31.7925</v>
      </c>
      <c r="C203" s="118" t="s">
        <v>93</v>
      </c>
      <c r="D203" s="117" t="s">
        <v>85</v>
      </c>
      <c r="E203" s="117"/>
      <c r="F203" s="355" t="s">
        <v>337</v>
      </c>
      <c r="G203" s="117" t="s">
        <v>83</v>
      </c>
      <c r="H203" s="119">
        <v>125</v>
      </c>
      <c r="I203" s="118" t="s">
        <v>77</v>
      </c>
      <c r="J203" s="119">
        <v>225</v>
      </c>
      <c r="K203" s="119">
        <v>6</v>
      </c>
      <c r="L203" s="119">
        <f>K$203*L$200</f>
        <v>18</v>
      </c>
      <c r="M203" s="116">
        <f t="shared" si="347"/>
        <v>1.0125</v>
      </c>
      <c r="N203" s="118" t="s">
        <v>84</v>
      </c>
      <c r="P203" s="118"/>
      <c r="Q203" s="135">
        <v>2</v>
      </c>
      <c r="R203" s="118"/>
      <c r="S203" s="118"/>
      <c r="T203" s="118"/>
      <c r="U203" s="118"/>
      <c r="V203" s="118"/>
      <c r="W203" s="118"/>
      <c r="X203" s="118"/>
      <c r="Y203" s="118"/>
      <c r="Z203" s="118"/>
      <c r="AA203" s="118"/>
      <c r="AB203" s="118" t="s">
        <v>78</v>
      </c>
      <c r="AC203" s="136">
        <f>((((H203+J203)*2/1000)*L203*(5/(VLOOKUP(F203,[2]Plasmalõikus!$A$7:$E$46,2,FALSE)/1000*60)))+(Q203*L203*(5*(VLOOKUP(F203,[2]Plasmalõikus!$A$7:$E$48,3,FALSE))/60/60)))</f>
        <v>0.75</v>
      </c>
      <c r="AD203" s="353" t="str">
        <f t="shared" si="348"/>
        <v xml:space="preserve"> </v>
      </c>
      <c r="AE203" s="136"/>
      <c r="AF203" s="137"/>
      <c r="AG203" s="137">
        <f t="shared" si="349"/>
        <v>0</v>
      </c>
      <c r="AH203" s="136"/>
      <c r="AI203" s="132">
        <f t="shared" si="350"/>
        <v>3</v>
      </c>
      <c r="AJ203" s="70">
        <f>(J203*2*AK203+100*2*AK203)*L203/1000</f>
        <v>23.4</v>
      </c>
      <c r="AK203" s="50">
        <v>2</v>
      </c>
      <c r="AL203" s="69" t="str">
        <f t="shared" si="351"/>
        <v>10</v>
      </c>
      <c r="AN203" s="66"/>
      <c r="AP203" s="146">
        <f>(VLOOKUP(F203,Terasehind!$A$2:$B$171,2,FALSE))</f>
        <v>0.92</v>
      </c>
      <c r="AQ203" s="50">
        <f>(VLOOKUP(F203,Terasehind!$A$2:$C$171,3,FALSE))</f>
        <v>1.1000000000000001</v>
      </c>
      <c r="AR203" s="138">
        <f t="shared" si="352"/>
        <v>32.17401000000001</v>
      </c>
      <c r="AS203"/>
      <c r="AT203"/>
      <c r="AU203"/>
      <c r="AV203"/>
      <c r="AW203"/>
      <c r="AX203"/>
      <c r="AY203"/>
      <c r="AZ203"/>
      <c r="BA203" s="188">
        <f t="shared" ref="BA203" si="353">(H203*2+J203*2)*2*2/60/1000*L203</f>
        <v>0.83999999999999986</v>
      </c>
      <c r="BB203" s="189"/>
      <c r="BC203" s="57"/>
      <c r="BD203" s="57"/>
      <c r="BE203" s="57"/>
      <c r="BF203" s="57"/>
      <c r="BG203" s="57"/>
      <c r="BH203" s="57"/>
      <c r="BI203" s="57"/>
      <c r="BJ203" s="57"/>
      <c r="BK203" s="109"/>
      <c r="BL203" s="109"/>
      <c r="BM203" s="109"/>
      <c r="BN203" s="83"/>
      <c r="BP203" s="83"/>
      <c r="BQ203" s="83"/>
    </row>
    <row r="204" spans="1:69" s="50" customFormat="1" x14ac:dyDescent="0.25">
      <c r="A204" s="116">
        <f xml:space="preserve"> 23*J204/10^3</f>
        <v>8.1649999999999991</v>
      </c>
      <c r="B204" s="116">
        <f>A204*L204</f>
        <v>73.484999999999985</v>
      </c>
      <c r="C204" s="117"/>
      <c r="D204" s="117" t="s">
        <v>88</v>
      </c>
      <c r="E204" s="117"/>
      <c r="F204" s="355" t="s">
        <v>409</v>
      </c>
      <c r="G204" s="140" t="s">
        <v>83</v>
      </c>
      <c r="H204" s="119">
        <v>200</v>
      </c>
      <c r="I204" s="118" t="s">
        <v>77</v>
      </c>
      <c r="J204" s="119">
        <v>355</v>
      </c>
      <c r="K204" s="50">
        <v>3</v>
      </c>
      <c r="L204" s="119">
        <f>K$204*L$200</f>
        <v>9</v>
      </c>
      <c r="M204" s="131">
        <f xml:space="preserve"> 0.587*J204*L204/10^3</f>
        <v>1.8754649999999999</v>
      </c>
      <c r="N204" s="118"/>
      <c r="O204" s="118"/>
      <c r="P204" s="118" t="s">
        <v>78</v>
      </c>
      <c r="Q204" s="135">
        <v>4</v>
      </c>
      <c r="R204" s="118"/>
      <c r="S204" s="118"/>
      <c r="T204" s="118"/>
      <c r="U204" s="118"/>
      <c r="V204" s="118"/>
      <c r="W204" s="118"/>
      <c r="Y204" s="118"/>
      <c r="Z204" s="118"/>
      <c r="AA204" s="118"/>
      <c r="AB204" s="118" t="s">
        <v>78</v>
      </c>
      <c r="AC204" s="116"/>
      <c r="AD204" s="83"/>
      <c r="AE204" s="136"/>
      <c r="AF204" s="137"/>
      <c r="AG204" s="132">
        <f>Q204*L204*0.5/60+L204*0.5/60</f>
        <v>0.375</v>
      </c>
      <c r="AH204" s="83"/>
      <c r="AI204" s="132">
        <f>AL204*L204/60</f>
        <v>1.5</v>
      </c>
      <c r="AJ204" s="70">
        <f>(H204*4*AK204)*L204/1000</f>
        <v>14.4</v>
      </c>
      <c r="AK204" s="50">
        <f>(VLOOKUP(F204,[2]Koostamine!$A$12:$P$1612,7,FALSE))</f>
        <v>2</v>
      </c>
      <c r="AL204" s="69">
        <f>VLOOKUP(F204,[2]Koostamine!$A$12:$P$1612,IF(J204&lt;1499,11,IF(J204&lt;2999,12,IF(J204&lt;5999,13,IF(J204&lt;9999,14,IF(J204&lt;12999,15,IF(J204&gt;13000,16)))))),FALSE)</f>
        <v>10</v>
      </c>
      <c r="AP204" s="146">
        <f>(VLOOKUP(F204,Terasehind!$A$2:$B$171,2,FALSE))</f>
        <v>1</v>
      </c>
      <c r="AQ204" s="50">
        <f>(VLOOKUP(F204,Terasehind!$A$2:$C$171,3,FALSE))</f>
        <v>1.1000000000000001</v>
      </c>
      <c r="AR204" s="138">
        <f>AP204*AQ204*B204</f>
        <v>80.833499999999987</v>
      </c>
      <c r="AT204" s="62"/>
      <c r="AU204" s="62"/>
      <c r="AV204" s="62"/>
      <c r="AW204" s="62"/>
      <c r="AX204" s="62"/>
      <c r="AY204" s="62"/>
      <c r="AZ204"/>
      <c r="BA204" s="192"/>
      <c r="BB204" s="189"/>
      <c r="BC204" s="57"/>
      <c r="BD204" s="57"/>
      <c r="BE204" s="57"/>
      <c r="BF204" s="57"/>
      <c r="BG204" s="57"/>
      <c r="BH204" s="57"/>
      <c r="BI204" s="57"/>
      <c r="BJ204" s="60"/>
      <c r="BK204" s="57"/>
      <c r="BL204" s="60"/>
      <c r="BM204" s="83"/>
      <c r="BO204" s="109"/>
    </row>
    <row r="205" spans="1:69" s="50" customFormat="1" x14ac:dyDescent="0.25">
      <c r="A205" s="116">
        <f xml:space="preserve"> 8.01*J205/10^3</f>
        <v>4.7659500000000001</v>
      </c>
      <c r="B205" s="116">
        <f>A205*L205</f>
        <v>14.29785</v>
      </c>
      <c r="C205" s="299" t="s">
        <v>354</v>
      </c>
      <c r="D205" s="117" t="s">
        <v>340</v>
      </c>
      <c r="E205" s="117"/>
      <c r="F205" s="355" t="s">
        <v>407</v>
      </c>
      <c r="G205" s="140" t="s">
        <v>79</v>
      </c>
      <c r="H205" s="119">
        <v>100</v>
      </c>
      <c r="I205" s="118" t="s">
        <v>77</v>
      </c>
      <c r="J205" s="119">
        <v>595</v>
      </c>
      <c r="K205" s="50">
        <v>1</v>
      </c>
      <c r="L205" s="119">
        <f>K$205*L$200</f>
        <v>3</v>
      </c>
      <c r="M205" s="131">
        <f xml:space="preserve"> 0.35*J205*L205/10^3</f>
        <v>0.62475000000000003</v>
      </c>
      <c r="N205" s="118"/>
      <c r="O205" s="118"/>
      <c r="P205" s="118" t="s">
        <v>78</v>
      </c>
      <c r="Q205" s="135">
        <v>4</v>
      </c>
      <c r="R205" s="118"/>
      <c r="S205" s="118"/>
      <c r="T205" s="118"/>
      <c r="U205" s="118"/>
      <c r="V205" s="118"/>
      <c r="W205" s="118"/>
      <c r="Y205" s="118"/>
      <c r="Z205" s="118"/>
      <c r="AA205" s="118"/>
      <c r="AB205" s="118" t="s">
        <v>78</v>
      </c>
      <c r="AC205" s="116"/>
      <c r="AD205" s="83"/>
      <c r="AE205" s="136">
        <f>(H205/20/60)*2*L205</f>
        <v>0.5</v>
      </c>
      <c r="AF205" s="137">
        <f>(J205*2)*10/60/1000*L205</f>
        <v>0.59499999999999997</v>
      </c>
      <c r="AG205" s="132">
        <f>Q205*L205*0.5/60</f>
        <v>0.1</v>
      </c>
      <c r="AH205" s="83"/>
      <c r="AI205" s="132">
        <f>AL205*L205/60</f>
        <v>0.1</v>
      </c>
      <c r="AJ205" s="70">
        <f>(H205*4*AK205)*2*L205/1000+(J205*2*AK205)*L205/1000</f>
        <v>5.97</v>
      </c>
      <c r="AK205" s="50">
        <f>(VLOOKUP(F205,[2]Koostamine!$A$12:$P$1612,7,FALSE))</f>
        <v>1</v>
      </c>
      <c r="AL205" s="69">
        <f>VLOOKUP(F205,[2]Koostamine!$A$12:$P$1612,IF(J205&lt;1499,11,IF(J205&lt;2999,12,IF(J205&lt;5999,13,IF(J205&lt;9999,14,IF(J205&lt;12999,15,IF(J205&gt;13000,16)))))),FALSE)</f>
        <v>2</v>
      </c>
      <c r="AP205" s="146">
        <f>(VLOOKUP(F205,Terasehind!$A$2:$B$171,2,FALSE))</f>
        <v>0.92</v>
      </c>
      <c r="AQ205" s="50">
        <f>(VLOOKUP(F205,Terasehind!$A$2:$C$171,3,FALSE))</f>
        <v>1.1000000000000001</v>
      </c>
      <c r="AR205" s="138">
        <f>AP205*AQ205*B205</f>
        <v>14.469424200000004</v>
      </c>
      <c r="AT205" s="62"/>
      <c r="AU205" s="62"/>
      <c r="AV205" s="62"/>
      <c r="AW205" s="62"/>
      <c r="AX205" s="62"/>
      <c r="AY205" s="62"/>
      <c r="AZ205"/>
      <c r="BA205" s="192"/>
      <c r="BB205" s="189"/>
      <c r="BC205" s="57"/>
      <c r="BD205" s="57"/>
      <c r="BE205" s="57"/>
      <c r="BF205" s="57"/>
      <c r="BG205" s="57"/>
      <c r="BH205" s="57"/>
      <c r="BI205" s="57"/>
      <c r="BJ205" s="60"/>
      <c r="BK205" s="57"/>
      <c r="BL205" s="60"/>
      <c r="BM205" s="83"/>
      <c r="BO205" s="109"/>
    </row>
    <row r="206" spans="1:69" s="50" customFormat="1" x14ac:dyDescent="0.25">
      <c r="A206" s="116"/>
      <c r="B206" s="116"/>
      <c r="C206" s="118"/>
      <c r="D206" s="117"/>
      <c r="E206" s="117"/>
      <c r="F206" s="269"/>
      <c r="G206" s="117"/>
      <c r="H206" s="119"/>
      <c r="I206" s="118"/>
      <c r="J206" s="119"/>
      <c r="K206" s="119"/>
      <c r="L206" s="119"/>
      <c r="M206" s="119"/>
      <c r="N206" s="119"/>
      <c r="O206" s="119"/>
      <c r="P206" s="119"/>
      <c r="Q206" s="119"/>
      <c r="R206" s="118"/>
      <c r="S206" s="118"/>
      <c r="T206" s="118"/>
      <c r="U206" s="118"/>
      <c r="V206" s="118"/>
      <c r="W206" s="118"/>
      <c r="X206" s="118"/>
      <c r="Y206" s="118"/>
      <c r="Z206" s="118"/>
      <c r="AA206" s="118"/>
      <c r="AB206" s="118"/>
      <c r="AC206" s="136"/>
      <c r="AD206" s="136"/>
      <c r="AE206" s="136"/>
      <c r="AF206" s="136"/>
      <c r="AG206" s="136"/>
      <c r="AH206" s="136"/>
      <c r="AI206" s="132"/>
      <c r="AJ206" s="60"/>
      <c r="AN206" s="66"/>
      <c r="AP206" s="146"/>
      <c r="AR206" s="138"/>
      <c r="AT206" s="62"/>
      <c r="AU206" s="62"/>
      <c r="AV206" s="62"/>
      <c r="AW206" s="62"/>
      <c r="AX206" s="62"/>
      <c r="AY206" s="62"/>
      <c r="AZ206"/>
      <c r="BA206" s="192"/>
      <c r="BB206" s="188"/>
      <c r="BC206" s="57"/>
      <c r="BD206" s="57"/>
      <c r="BE206" s="57"/>
      <c r="BF206" s="57"/>
      <c r="BG206" s="57"/>
      <c r="BH206" s="57"/>
      <c r="BI206" s="57"/>
      <c r="BJ206" s="109"/>
      <c r="BK206" s="109"/>
      <c r="BL206" s="109"/>
      <c r="BM206" s="83"/>
      <c r="BO206" s="83"/>
      <c r="BP206" s="83"/>
    </row>
    <row r="207" spans="1:69" s="50" customFormat="1" x14ac:dyDescent="0.25">
      <c r="A207" s="148">
        <f>B207/L207</f>
        <v>686.46477000000004</v>
      </c>
      <c r="B207" s="148">
        <f>SUM(B216,B215,B214,B213,B212,B211,B210,B209,B208,0)</f>
        <v>5491.7181600000004</v>
      </c>
      <c r="C207" s="152"/>
      <c r="D207" s="149" t="s">
        <v>76</v>
      </c>
      <c r="E207" s="149"/>
      <c r="F207" s="365"/>
      <c r="G207" s="174" t="str">
        <f>$G$163</f>
        <v>C3VH</v>
      </c>
      <c r="H207" s="150"/>
      <c r="I207" s="151" t="s">
        <v>77</v>
      </c>
      <c r="J207" s="150">
        <f>J208</f>
        <v>4397.5</v>
      </c>
      <c r="K207" s="134">
        <v>8</v>
      </c>
      <c r="L207" s="150">
        <f>$L$163*$K$207</f>
        <v>8</v>
      </c>
      <c r="M207" s="148">
        <f>SUM(M216,M215,M214,M213,M212,M211,M210,M209,M208,0)</f>
        <v>90.48912</v>
      </c>
      <c r="N207" s="151"/>
      <c r="O207" s="151"/>
      <c r="P207" s="151"/>
      <c r="Q207" s="151"/>
      <c r="R207" s="120"/>
      <c r="S207" s="120"/>
      <c r="T207" s="120"/>
      <c r="U207" s="120"/>
      <c r="V207" s="120"/>
      <c r="W207" s="118"/>
      <c r="X207" s="118" t="s">
        <v>78</v>
      </c>
      <c r="Y207" s="151">
        <v>4</v>
      </c>
      <c r="Z207" s="151"/>
      <c r="AA207" s="151"/>
      <c r="AB207" s="151"/>
      <c r="AC207" s="148">
        <f>SUM(AC216,AC215,AC214,AC213,AC212,AC211,AC210,AC209,AC208,0)</f>
        <v>6.6085185185185189</v>
      </c>
      <c r="AD207" s="148">
        <f>SUM(AD216,AD215,AD214,AD213,AD212,AD211,AD210,AD209,AD208,0)</f>
        <v>0</v>
      </c>
      <c r="AE207" s="148">
        <f>SUM(AE216,AE215,AE214,AE213,AE212,AE211,AE210,AE209,AE208,0)</f>
        <v>3.3333333333333335</v>
      </c>
      <c r="AF207" s="148">
        <f>SUM(AF216,AF215,AF214,AF213,AF212,AF211,AF210,AF209,AF208,0)</f>
        <v>5.8666666666666671</v>
      </c>
      <c r="AG207" s="148">
        <f>SUM(AG216,AG215,AG214,AG213,AG212,AG211,AG210,AG209,AG208,0)</f>
        <v>5.8666666666666663</v>
      </c>
      <c r="AH207" s="107">
        <f>SUM(AC207:AG207)</f>
        <v>21.675185185185185</v>
      </c>
      <c r="AI207" s="107">
        <f>SUM(AI216,AI215,AI214,AI213,AI212,AI211,AI210,AI209,AI208,0)</f>
        <v>21.066666666666666</v>
      </c>
      <c r="AJ207" s="148">
        <f>SUM(AJ216,AJ215,AJ214,AJ213,AJ212,AJ211,AJ210,AJ209,AJ208,0)</f>
        <v>317.47199999999998</v>
      </c>
      <c r="AK207" s="107">
        <f>AJ207*10/60</f>
        <v>52.911999999999999</v>
      </c>
      <c r="AL207" s="148">
        <f>AH207+AI207+AK207</f>
        <v>95.65385185185184</v>
      </c>
      <c r="AM207" s="148">
        <f>B207/AL207</f>
        <v>57.412409993750629</v>
      </c>
      <c r="AN207" s="148">
        <f>AL207*46</f>
        <v>4400.077185185185</v>
      </c>
      <c r="AO207" s="148">
        <f>AN207/B207</f>
        <v>0.80122050276250611</v>
      </c>
      <c r="AP207" s="148">
        <f>AR207/B207</f>
        <v>1.1221055269012568</v>
      </c>
      <c r="AQ207" s="67"/>
      <c r="AR207" s="148">
        <f>SUM(AR216,AR215,AR214,AR213,AR212,AR211,AR210,AR209,AR208,0)</f>
        <v>6162.2872995200005</v>
      </c>
      <c r="AT207" s="62"/>
      <c r="AU207" s="62"/>
      <c r="AV207" s="62"/>
      <c r="AW207" s="62"/>
      <c r="AX207" s="62"/>
      <c r="AY207" s="62"/>
      <c r="AZ207"/>
      <c r="BA207" s="148">
        <f>SUM(BA216,BA215,BA214,BA213,BA212,BA211,BA210,BA209,BA208,0)</f>
        <v>12.481066666666669</v>
      </c>
      <c r="BB207" s="188"/>
      <c r="BC207" s="57"/>
      <c r="BD207" s="57"/>
      <c r="BE207" s="57"/>
      <c r="BF207" s="57"/>
      <c r="BG207" s="57"/>
      <c r="BH207" s="57"/>
      <c r="BI207" s="60"/>
    </row>
    <row r="208" spans="1:69" s="50" customFormat="1" x14ac:dyDescent="0.25">
      <c r="A208" s="116">
        <f xml:space="preserve"> 68.2*J208/10^3</f>
        <v>299.90949999999998</v>
      </c>
      <c r="B208" s="116">
        <f>A208*L208</f>
        <v>2399.2759999999998</v>
      </c>
      <c r="C208" s="299" t="s">
        <v>354</v>
      </c>
      <c r="D208" s="117" t="s">
        <v>76</v>
      </c>
      <c r="E208" s="117"/>
      <c r="F208" s="355" t="s">
        <v>384</v>
      </c>
      <c r="G208" s="140" t="s">
        <v>83</v>
      </c>
      <c r="H208" s="119">
        <v>250</v>
      </c>
      <c r="I208" s="118" t="s">
        <v>77</v>
      </c>
      <c r="J208" s="119">
        <f>8795/2</f>
        <v>4397.5</v>
      </c>
      <c r="K208" s="50">
        <v>1</v>
      </c>
      <c r="L208" s="119">
        <f>K$208*L$207</f>
        <v>8</v>
      </c>
      <c r="M208" s="131">
        <f xml:space="preserve"> 1.48*J208*L208/10^3</f>
        <v>52.066400000000002</v>
      </c>
      <c r="N208" s="118"/>
      <c r="O208" s="118"/>
      <c r="P208" s="118" t="s">
        <v>78</v>
      </c>
      <c r="Q208" s="135">
        <v>4</v>
      </c>
      <c r="R208" s="118"/>
      <c r="S208" s="118"/>
      <c r="T208" s="118"/>
      <c r="U208" s="118"/>
      <c r="V208" s="118"/>
      <c r="W208" s="118"/>
      <c r="Y208" s="118"/>
      <c r="Z208" s="118"/>
      <c r="AA208" s="118"/>
      <c r="AB208" s="118" t="s">
        <v>78</v>
      </c>
      <c r="AC208" s="116"/>
      <c r="AD208" s="83"/>
      <c r="AE208" s="136">
        <f>(H208/20/60)*2*L208</f>
        <v>3.3333333333333335</v>
      </c>
      <c r="AF208" s="137">
        <f>(H208*4+150*4*2)*20/60/1000*L208</f>
        <v>5.8666666666666671</v>
      </c>
      <c r="AG208" s="132">
        <f>Q208*L208*0.5/60</f>
        <v>0.26666666666666666</v>
      </c>
      <c r="AH208" s="83"/>
      <c r="AI208" s="132">
        <f>AL208*L208/60</f>
        <v>2.6666666666666665</v>
      </c>
      <c r="AJ208" s="70">
        <f>(H208*4*AK208)*2*L208/1000</f>
        <v>48</v>
      </c>
      <c r="AK208" s="50">
        <f>(VLOOKUP(F208,[2]Koostamine!$A$12:$P$1612,7,FALSE))</f>
        <v>3</v>
      </c>
      <c r="AL208" s="69">
        <f>VLOOKUP(F208,[2]Koostamine!$A$12:$P$1612,IF(J208&lt;1499,11,IF(J208&lt;2999,12,IF(J208&lt;5999,13,IF(J208&lt;9999,14,IF(J208&lt;12999,15,IF(J208&gt;13000,16)))))),FALSE)</f>
        <v>20</v>
      </c>
      <c r="AP208" s="146">
        <f>(VLOOKUP(F208,Terasehind!$A$2:$B$171,2,FALSE))</f>
        <v>0.88</v>
      </c>
      <c r="AQ208" s="50">
        <f>(VLOOKUP(F208,Terasehind!$A$2:$C$171,3,FALSE))</f>
        <v>1.1000000000000001</v>
      </c>
      <c r="AR208" s="138">
        <f>AP208*AQ208*B208</f>
        <v>2322.4991679999998</v>
      </c>
      <c r="AT208" s="62"/>
      <c r="AU208" s="62"/>
      <c r="AV208" s="62"/>
      <c r="AW208" s="62"/>
      <c r="AX208" s="62"/>
      <c r="AY208" s="62"/>
      <c r="AZ208"/>
      <c r="BA208" s="188"/>
      <c r="BB208" s="189"/>
      <c r="BC208" s="57"/>
      <c r="BD208" s="57"/>
      <c r="BE208" s="57"/>
      <c r="BF208" s="57"/>
      <c r="BG208" s="57"/>
      <c r="BH208" s="57"/>
      <c r="BI208" s="57"/>
      <c r="BJ208" s="60"/>
      <c r="BK208" s="57"/>
      <c r="BL208" s="60"/>
      <c r="BM208" s="83"/>
      <c r="BO208" s="109"/>
    </row>
    <row r="209" spans="1:69" s="50" customFormat="1" x14ac:dyDescent="0.25">
      <c r="A209" s="116">
        <f t="shared" ref="A209:A214" si="354">H209*J209*(RIGHT(F209,2))*7.85/(10^6)</f>
        <v>4.4273999999999996</v>
      </c>
      <c r="B209" s="116">
        <f t="shared" ref="B209:B214" si="355">A209*L209</f>
        <v>35.419199999999996</v>
      </c>
      <c r="C209" s="118" t="s">
        <v>80</v>
      </c>
      <c r="D209" s="117" t="s">
        <v>81</v>
      </c>
      <c r="E209" s="117"/>
      <c r="F209" s="355" t="s">
        <v>339</v>
      </c>
      <c r="G209" s="117" t="s">
        <v>83</v>
      </c>
      <c r="H209" s="119">
        <v>200</v>
      </c>
      <c r="I209" s="118" t="s">
        <v>77</v>
      </c>
      <c r="J209" s="119">
        <v>235</v>
      </c>
      <c r="K209" s="119">
        <v>1</v>
      </c>
      <c r="L209" s="119">
        <f>K$209*L$207</f>
        <v>8</v>
      </c>
      <c r="M209" s="116">
        <f t="shared" ref="M209:M214" si="356">2*H209*J209/10^6*L209</f>
        <v>0.752</v>
      </c>
      <c r="N209" s="118" t="s">
        <v>84</v>
      </c>
      <c r="P209" s="118"/>
      <c r="Q209" s="135">
        <v>8</v>
      </c>
      <c r="R209" s="118"/>
      <c r="S209" s="118"/>
      <c r="T209" s="118"/>
      <c r="U209" s="118"/>
      <c r="V209" s="118"/>
      <c r="W209" s="118"/>
      <c r="X209" s="118"/>
      <c r="Y209" s="118"/>
      <c r="Z209" s="118"/>
      <c r="AA209" s="118"/>
      <c r="AB209" s="118" t="s">
        <v>78</v>
      </c>
      <c r="AC209" s="136">
        <f>((((H209+J209)*2/1000)*L209*(5/(VLOOKUP(F209,[2]Plasmalõikus!$A$7:$E$46,2,FALSE)/1000*60)))+(Q209*L209*(5*(VLOOKUP(F209,[2]Plasmalõikus!$A$7:$E$48,3,FALSE))/60/60)))</f>
        <v>1.0455555555555556</v>
      </c>
      <c r="AD209" s="353"/>
      <c r="AE209" s="136"/>
      <c r="AF209" s="137"/>
      <c r="AG209" s="137">
        <f t="shared" ref="AG209:AG214" si="357">IF(VALUE(MID(F209,SEARCH(" ",F209)+1,LEN(F209)))&lt;35,0,IF(VALUE(MID(F209,SEARCH(" ",F209)+1,LEN(F209)))&lt;40,3,IF(VALUE(MID(F209,SEARCH(" ",F209)+1,LEN(F209)))&lt;50,4,IF(VALUE(MID(F209,SEARCH(" ",F209)+1,LEN(F209)))&lt;60,5,IF(VALUE(MID(F209,SEARCH(" ",F209)+1,LEN(F209)))&lt;70,6,IF(VALUE(MID(F209,SEARCH(" ",F209)+1,LEN(F209)))&lt;80,7,IF(VALUE(MID(F209,SEARCH(" ",F209)+1,LEN(F209)))&lt;90,8,IF(VALUE(MID(F209,SEARCH(" ",F209)+1,LEN(F209)))&lt;100,9,10))))))))/60*Q209*L209</f>
        <v>0</v>
      </c>
      <c r="AH209" s="136"/>
      <c r="AI209" s="132">
        <f t="shared" ref="AI209:AI214" si="358">AL209*L209/60</f>
        <v>2</v>
      </c>
      <c r="AJ209" s="70"/>
      <c r="AK209" s="50">
        <v>6</v>
      </c>
      <c r="AL209" s="69" t="str">
        <f t="shared" ref="AL209:AL214" si="359">IF(AND(Q209&gt;0,A209&lt;3),"10",IF(AND(Q209&gt;0,A209&lt;10),"15",IF(AND(Q209&gt;0,A209&lt;20),"20",IF(AND(Q209&gt;0,A209&lt;500),"30",IF(AND(Q209=0,A209&lt;3),"2",IF(AND(Q209=0,A209&lt;10),"5",IF(AND(Q209=0,A209&lt;20),"10",IF(AND(Q209=0,A209&lt;500),"20","2"))))))))</f>
        <v>15</v>
      </c>
      <c r="AN209" s="66"/>
      <c r="AP209" s="146">
        <f>(VLOOKUP(F209,Terasehind!$A$2:$B$171,2,FALSE))</f>
        <v>0.92</v>
      </c>
      <c r="AQ209" s="50">
        <f>(VLOOKUP(F209,Terasehind!$A$2:$C$171,3,FALSE))</f>
        <v>1.1000000000000001</v>
      </c>
      <c r="AR209" s="138">
        <f t="shared" ref="AR209:AR214" si="360">AP209*AQ209*B209</f>
        <v>35.844230400000008</v>
      </c>
      <c r="AS209"/>
      <c r="AT209"/>
      <c r="AU209"/>
      <c r="AV209"/>
      <c r="AW209"/>
      <c r="AX209"/>
      <c r="AY209"/>
      <c r="AZ209"/>
      <c r="BA209" s="188">
        <f>(H209*2+J209*2)*2*2/60/1000*L209</f>
        <v>0.46400000000000002</v>
      </c>
      <c r="BB209" s="189"/>
      <c r="BC209" s="57"/>
      <c r="BD209" s="57"/>
      <c r="BE209" s="57"/>
      <c r="BF209" s="57"/>
      <c r="BG209" s="57"/>
      <c r="BH209" s="57"/>
      <c r="BI209" s="57"/>
      <c r="BJ209" s="57"/>
      <c r="BK209" s="109"/>
      <c r="BL209" s="109"/>
      <c r="BM209" s="109"/>
      <c r="BN209" s="83"/>
      <c r="BP209" s="83"/>
      <c r="BQ209" s="83"/>
    </row>
    <row r="210" spans="1:69" s="50" customFormat="1" x14ac:dyDescent="0.25">
      <c r="A210" s="116">
        <f t="shared" si="354"/>
        <v>54.8872</v>
      </c>
      <c r="B210" s="116">
        <f t="shared" si="355"/>
        <v>439.0976</v>
      </c>
      <c r="C210" s="118" t="s">
        <v>80</v>
      </c>
      <c r="D210" s="117" t="s">
        <v>85</v>
      </c>
      <c r="E210" s="117"/>
      <c r="F210" s="355" t="s">
        <v>92</v>
      </c>
      <c r="G210" s="117" t="s">
        <v>83</v>
      </c>
      <c r="H210" s="119">
        <v>230</v>
      </c>
      <c r="I210" s="118" t="s">
        <v>77</v>
      </c>
      <c r="J210" s="119">
        <v>760</v>
      </c>
      <c r="K210" s="119">
        <v>1</v>
      </c>
      <c r="L210" s="119">
        <f>K$210*L$207</f>
        <v>8</v>
      </c>
      <c r="M210" s="116">
        <f t="shared" si="356"/>
        <v>2.7968000000000002</v>
      </c>
      <c r="N210" s="118" t="s">
        <v>84</v>
      </c>
      <c r="P210" s="118"/>
      <c r="Q210" s="135">
        <v>8</v>
      </c>
      <c r="R210" s="118"/>
      <c r="S210" s="118"/>
      <c r="T210" s="118"/>
      <c r="U210" s="118"/>
      <c r="V210" s="118"/>
      <c r="W210" s="118"/>
      <c r="X210" s="118"/>
      <c r="Y210" s="118"/>
      <c r="Z210" s="118"/>
      <c r="AA210" s="118"/>
      <c r="AB210" s="118" t="s">
        <v>78</v>
      </c>
      <c r="AC210" s="347"/>
      <c r="AD210" s="353"/>
      <c r="AE210" s="136"/>
      <c r="AF210" s="137"/>
      <c r="AG210" s="137">
        <f t="shared" si="357"/>
        <v>4.2666666666666666</v>
      </c>
      <c r="AH210" s="136"/>
      <c r="AI210" s="132">
        <f t="shared" si="358"/>
        <v>4</v>
      </c>
      <c r="AJ210" s="70"/>
      <c r="AK210" s="50">
        <v>6</v>
      </c>
      <c r="AL210" s="69" t="str">
        <f t="shared" si="359"/>
        <v>30</v>
      </c>
      <c r="AN210" s="66"/>
      <c r="AP210" s="146">
        <f>(VLOOKUP(F210,Terasehind!$A$2:$B$171,2,FALSE))</f>
        <v>1.37</v>
      </c>
      <c r="AQ210" s="50">
        <f>(VLOOKUP(F210,Terasehind!$A$2:$C$171,3,FALSE))</f>
        <v>1.1000000000000001</v>
      </c>
      <c r="AR210" s="138">
        <f t="shared" si="360"/>
        <v>661.7200832000002</v>
      </c>
      <c r="AS210"/>
      <c r="AT210"/>
      <c r="AU210"/>
      <c r="AV210"/>
      <c r="AW210"/>
      <c r="AX210"/>
      <c r="AY210"/>
      <c r="AZ210"/>
      <c r="BA210" s="188">
        <f t="shared" ref="BA210:BA216" si="361">(H210*2+J210*2)*2*2/60/1000*L210</f>
        <v>1.056</v>
      </c>
      <c r="BB210" s="189"/>
      <c r="BC210" s="57"/>
      <c r="BD210" s="57"/>
      <c r="BE210" s="57"/>
      <c r="BF210" s="57"/>
      <c r="BG210" s="57"/>
      <c r="BH210" s="57"/>
      <c r="BI210" s="57"/>
      <c r="BJ210" s="57"/>
      <c r="BK210" s="109"/>
      <c r="BL210" s="109"/>
      <c r="BM210" s="109"/>
      <c r="BN210" s="83"/>
      <c r="BP210" s="83"/>
      <c r="BQ210" s="83"/>
    </row>
    <row r="211" spans="1:69" s="50" customFormat="1" x14ac:dyDescent="0.25">
      <c r="A211" s="116">
        <f t="shared" ref="A211" si="362">H211*J211*(RIGHT(F211,2))*7.85/(10^6)</f>
        <v>88.416120000000006</v>
      </c>
      <c r="B211" s="116">
        <f t="shared" ref="B211" si="363">A211*L211</f>
        <v>1414.6579200000001</v>
      </c>
      <c r="C211" s="118"/>
      <c r="D211" s="117" t="s">
        <v>88</v>
      </c>
      <c r="E211" s="117"/>
      <c r="F211" s="355" t="s">
        <v>89</v>
      </c>
      <c r="G211" s="117" t="s">
        <v>83</v>
      </c>
      <c r="H211" s="119">
        <v>494</v>
      </c>
      <c r="I211" s="118" t="s">
        <v>77</v>
      </c>
      <c r="J211" s="119">
        <v>760</v>
      </c>
      <c r="K211" s="119">
        <v>2</v>
      </c>
      <c r="L211" s="119">
        <f>K$211*L$207</f>
        <v>16</v>
      </c>
      <c r="M211" s="116">
        <f t="shared" ref="M211" si="364">2*H211*J211/10^6*L211</f>
        <v>12.01408</v>
      </c>
      <c r="N211" s="118" t="s">
        <v>84</v>
      </c>
      <c r="P211" s="118"/>
      <c r="Q211" s="135"/>
      <c r="R211" s="118"/>
      <c r="S211" s="118"/>
      <c r="T211" s="118"/>
      <c r="U211" s="118"/>
      <c r="V211" s="118"/>
      <c r="W211" s="118"/>
      <c r="X211" s="118"/>
      <c r="Y211" s="118"/>
      <c r="Z211" s="118"/>
      <c r="AA211" s="118"/>
      <c r="AB211" s="118" t="s">
        <v>78</v>
      </c>
      <c r="AC211" s="136">
        <f>((((H211+J211)*2/1000)*L211*(5/(VLOOKUP(F211,[2]Plasmalõikus!$A$7:$E$46,2,FALSE)/1000*60)))+(Q211*L211*(5*(VLOOKUP(F211,[2]Plasmalõikus!$A$7:$E$48,3,FALSE))/60/60)))</f>
        <v>2.7866666666666666</v>
      </c>
      <c r="AD211" s="353"/>
      <c r="AE211" s="136"/>
      <c r="AF211" s="137"/>
      <c r="AG211" s="137">
        <f t="shared" ref="AG211" si="365">IF(VALUE(MID(F211,SEARCH(" ",F211)+1,LEN(F211)))&lt;35,0,IF(VALUE(MID(F211,SEARCH(" ",F211)+1,LEN(F211)))&lt;40,3,IF(VALUE(MID(F211,SEARCH(" ",F211)+1,LEN(F211)))&lt;50,4,IF(VALUE(MID(F211,SEARCH(" ",F211)+1,LEN(F211)))&lt;60,5,IF(VALUE(MID(F211,SEARCH(" ",F211)+1,LEN(F211)))&lt;70,6,IF(VALUE(MID(F211,SEARCH(" ",F211)+1,LEN(F211)))&lt;80,7,IF(VALUE(MID(F211,SEARCH(" ",F211)+1,LEN(F211)))&lt;90,8,IF(VALUE(MID(F211,SEARCH(" ",F211)+1,LEN(F211)))&lt;100,9,10))))))))/60*Q211*L211</f>
        <v>0</v>
      </c>
      <c r="AH211" s="136"/>
      <c r="AI211" s="132">
        <f t="shared" ref="AI211" si="366">AL211*L211/60</f>
        <v>5.333333333333333</v>
      </c>
      <c r="AJ211" s="70">
        <f>(H211*4*AK211+J211*2*AK211)*L211/1000</f>
        <v>111.872</v>
      </c>
      <c r="AK211" s="50">
        <v>2</v>
      </c>
      <c r="AL211" s="69" t="str">
        <f t="shared" si="359"/>
        <v>20</v>
      </c>
      <c r="AN211" s="66"/>
      <c r="AP211" s="146">
        <f>(VLOOKUP(F211,Terasehind!$A$2:$B$171,2,FALSE))</f>
        <v>0.92</v>
      </c>
      <c r="AQ211" s="50">
        <f>(VLOOKUP(F211,Terasehind!$A$2:$C$171,3,FALSE))</f>
        <v>1.1000000000000001</v>
      </c>
      <c r="AR211" s="138">
        <f t="shared" ref="AR211" si="367">AP211*AQ211*B211</f>
        <v>1431.6338150400004</v>
      </c>
      <c r="AS211"/>
      <c r="AT211"/>
      <c r="AU211"/>
      <c r="AV211"/>
      <c r="AW211"/>
      <c r="AX211"/>
      <c r="AY211"/>
      <c r="AZ211"/>
      <c r="BA211" s="188">
        <f t="shared" ref="BA211" si="368">(H211*2+J211*2)*2*2/60/1000*L211</f>
        <v>2.6751999999999998</v>
      </c>
      <c r="BB211" s="189"/>
      <c r="BC211" s="57"/>
      <c r="BD211" s="57"/>
      <c r="BE211" s="57"/>
      <c r="BF211" s="57"/>
      <c r="BG211" s="57"/>
      <c r="BH211" s="57"/>
      <c r="BI211" s="57"/>
      <c r="BJ211" s="57"/>
      <c r="BK211" s="109"/>
      <c r="BL211" s="109"/>
      <c r="BM211" s="109"/>
      <c r="BN211" s="83"/>
      <c r="BP211" s="83"/>
      <c r="BQ211" s="83"/>
    </row>
    <row r="212" spans="1:69" s="50" customFormat="1" x14ac:dyDescent="0.25">
      <c r="A212" s="116">
        <f t="shared" si="354"/>
        <v>3.1086</v>
      </c>
      <c r="B212" s="116">
        <f t="shared" si="355"/>
        <v>49.7376</v>
      </c>
      <c r="C212" s="118"/>
      <c r="D212" s="117" t="s">
        <v>340</v>
      </c>
      <c r="E212" s="117"/>
      <c r="F212" s="355" t="s">
        <v>87</v>
      </c>
      <c r="G212" s="117" t="s">
        <v>83</v>
      </c>
      <c r="H212" s="119">
        <v>120</v>
      </c>
      <c r="I212" s="118" t="s">
        <v>77</v>
      </c>
      <c r="J212" s="119">
        <v>220</v>
      </c>
      <c r="K212" s="119">
        <v>2</v>
      </c>
      <c r="L212" s="119">
        <f>K$212*L$207</f>
        <v>16</v>
      </c>
      <c r="M212" s="116">
        <f t="shared" si="356"/>
        <v>0.8448</v>
      </c>
      <c r="N212" s="118" t="s">
        <v>84</v>
      </c>
      <c r="P212" s="118"/>
      <c r="Q212" s="135"/>
      <c r="R212" s="118"/>
      <c r="S212" s="118"/>
      <c r="T212" s="118"/>
      <c r="U212" s="118"/>
      <c r="V212" s="118"/>
      <c r="W212" s="118"/>
      <c r="X212" s="118"/>
      <c r="Y212" s="118"/>
      <c r="Z212" s="118"/>
      <c r="AA212" s="118"/>
      <c r="AB212" s="118" t="s">
        <v>78</v>
      </c>
      <c r="AC212" s="136">
        <f>((((H212+J212)*2/1000)*L212*(5/(VLOOKUP(F212,[2]Plasmalõikus!$A$7:$E$46,2,FALSE)/1000*60)))+(Q212*L212*(5*(VLOOKUP(F212,[2]Plasmalõikus!$A$7:$E$48,3,FALSE))/60/60)))</f>
        <v>0.50370370370370376</v>
      </c>
      <c r="AD212" s="353"/>
      <c r="AE212" s="136"/>
      <c r="AF212" s="137"/>
      <c r="AG212" s="137">
        <f t="shared" si="357"/>
        <v>0</v>
      </c>
      <c r="AH212" s="136"/>
      <c r="AI212" s="132">
        <f t="shared" si="358"/>
        <v>1.3333333333333333</v>
      </c>
      <c r="AJ212" s="70">
        <f>(H212*4*AK212+J212*2*AK212)*L212/1000</f>
        <v>29.44</v>
      </c>
      <c r="AK212" s="50">
        <v>2</v>
      </c>
      <c r="AL212" s="69" t="str">
        <f t="shared" si="359"/>
        <v>5</v>
      </c>
      <c r="AN212" s="66"/>
      <c r="AP212" s="146">
        <f>(VLOOKUP(F212,Terasehind!$A$2:$B$171,2,FALSE))</f>
        <v>0.92</v>
      </c>
      <c r="AQ212" s="50">
        <f>(VLOOKUP(F212,Terasehind!$A$2:$C$171,3,FALSE))</f>
        <v>1.1000000000000001</v>
      </c>
      <c r="AR212" s="138">
        <f t="shared" si="360"/>
        <v>50.334451200000011</v>
      </c>
      <c r="AS212"/>
      <c r="AT212"/>
      <c r="AU212"/>
      <c r="AV212"/>
      <c r="AW212"/>
      <c r="AX212"/>
      <c r="AY212"/>
      <c r="AZ212"/>
      <c r="BA212" s="188">
        <f t="shared" si="361"/>
        <v>0.72533333333333339</v>
      </c>
      <c r="BB212" s="189"/>
      <c r="BC212" s="57"/>
      <c r="BD212" s="57"/>
      <c r="BE212" s="57"/>
      <c r="BF212" s="57"/>
      <c r="BG212" s="57"/>
      <c r="BH212" s="57"/>
      <c r="BI212" s="57"/>
      <c r="BJ212" s="57"/>
      <c r="BK212" s="109"/>
      <c r="BL212" s="109"/>
      <c r="BM212" s="109"/>
      <c r="BN212" s="83"/>
      <c r="BP212" s="83"/>
      <c r="BQ212" s="83"/>
    </row>
    <row r="213" spans="1:69" s="50" customFormat="1" x14ac:dyDescent="0.25">
      <c r="A213" s="116">
        <f t="shared" si="354"/>
        <v>1.7662500000000001</v>
      </c>
      <c r="B213" s="116">
        <f t="shared" si="355"/>
        <v>56.52</v>
      </c>
      <c r="C213" s="118" t="s">
        <v>93</v>
      </c>
      <c r="D213" s="117" t="s">
        <v>341</v>
      </c>
      <c r="E213" s="117"/>
      <c r="F213" s="355" t="s">
        <v>337</v>
      </c>
      <c r="G213" s="117" t="s">
        <v>83</v>
      </c>
      <c r="H213" s="119">
        <v>125</v>
      </c>
      <c r="I213" s="118" t="s">
        <v>77</v>
      </c>
      <c r="J213" s="119">
        <v>225</v>
      </c>
      <c r="K213" s="119">
        <v>4</v>
      </c>
      <c r="L213" s="119">
        <f>K$213*L$207</f>
        <v>32</v>
      </c>
      <c r="M213" s="116">
        <f t="shared" si="356"/>
        <v>1.8</v>
      </c>
      <c r="N213" s="118" t="s">
        <v>84</v>
      </c>
      <c r="P213" s="118"/>
      <c r="Q213" s="135"/>
      <c r="R213" s="118"/>
      <c r="S213" s="118"/>
      <c r="T213" s="118"/>
      <c r="U213" s="118"/>
      <c r="V213" s="118"/>
      <c r="W213" s="118"/>
      <c r="X213" s="118"/>
      <c r="Y213" s="118"/>
      <c r="Z213" s="118"/>
      <c r="AA213" s="118"/>
      <c r="AB213" s="118" t="s">
        <v>78</v>
      </c>
      <c r="AC213" s="136">
        <f>((((H213+J213)*2/1000)*L213*(5/(VLOOKUP(F213,[2]Plasmalõikus!$A$7:$E$46,2,FALSE)/1000*60)))+(Q213*L213*(5*(VLOOKUP(F213,[2]Plasmalõikus!$A$7:$E$48,3,FALSE))/60/60)))</f>
        <v>0.62222222222222212</v>
      </c>
      <c r="AD213" s="353"/>
      <c r="AE213" s="136"/>
      <c r="AF213" s="137"/>
      <c r="AG213" s="137">
        <f t="shared" si="357"/>
        <v>0</v>
      </c>
      <c r="AH213" s="136"/>
      <c r="AI213" s="132">
        <f t="shared" si="358"/>
        <v>1.0666666666666667</v>
      </c>
      <c r="AJ213" s="70">
        <f>(H213*4*AK213+J213*2*AK213)*L213/1000</f>
        <v>60.8</v>
      </c>
      <c r="AK213" s="50">
        <v>2</v>
      </c>
      <c r="AL213" s="69" t="str">
        <f t="shared" si="359"/>
        <v>2</v>
      </c>
      <c r="AN213" s="66"/>
      <c r="AP213" s="146">
        <f>(VLOOKUP(F213,Terasehind!$A$2:$B$171,2,FALSE))</f>
        <v>0.92</v>
      </c>
      <c r="AQ213" s="50">
        <f>(VLOOKUP(F213,Terasehind!$A$2:$C$171,3,FALSE))</f>
        <v>1.1000000000000001</v>
      </c>
      <c r="AR213" s="138">
        <f t="shared" si="360"/>
        <v>57.19824000000002</v>
      </c>
      <c r="AS213"/>
      <c r="AT213"/>
      <c r="AU213"/>
      <c r="AV213"/>
      <c r="AW213"/>
      <c r="AX213"/>
      <c r="AY213"/>
      <c r="AZ213"/>
      <c r="BA213" s="188">
        <f t="shared" si="361"/>
        <v>1.4933333333333332</v>
      </c>
      <c r="BB213" s="189"/>
      <c r="BC213" s="57"/>
      <c r="BD213" s="57"/>
      <c r="BE213" s="57"/>
      <c r="BF213" s="57"/>
      <c r="BG213" s="57"/>
      <c r="BH213" s="57"/>
      <c r="BI213" s="57"/>
      <c r="BJ213" s="57"/>
      <c r="BK213" s="109"/>
      <c r="BL213" s="109"/>
      <c r="BM213" s="109"/>
      <c r="BN213" s="83"/>
      <c r="BP213" s="83"/>
      <c r="BQ213" s="83"/>
    </row>
    <row r="214" spans="1:69" s="50" customFormat="1" x14ac:dyDescent="0.25">
      <c r="A214" s="116">
        <f t="shared" si="354"/>
        <v>6.1920799999999998</v>
      </c>
      <c r="B214" s="116">
        <f t="shared" si="355"/>
        <v>49.536639999999998</v>
      </c>
      <c r="C214" s="118"/>
      <c r="D214" s="117" t="s">
        <v>342</v>
      </c>
      <c r="E214" s="117"/>
      <c r="F214" s="355" t="s">
        <v>337</v>
      </c>
      <c r="G214" s="117" t="s">
        <v>83</v>
      </c>
      <c r="H214" s="119">
        <v>290</v>
      </c>
      <c r="I214" s="118" t="s">
        <v>77</v>
      </c>
      <c r="J214" s="119">
        <v>340</v>
      </c>
      <c r="K214" s="119">
        <v>1</v>
      </c>
      <c r="L214" s="119">
        <f>K$214*L$207</f>
        <v>8</v>
      </c>
      <c r="M214" s="116">
        <f t="shared" si="356"/>
        <v>1.5775999999999999</v>
      </c>
      <c r="N214" s="118" t="s">
        <v>84</v>
      </c>
      <c r="P214" s="118"/>
      <c r="Q214" s="135"/>
      <c r="R214" s="118"/>
      <c r="S214" s="118"/>
      <c r="T214" s="118"/>
      <c r="U214" s="118"/>
      <c r="V214" s="118"/>
      <c r="W214" s="118"/>
      <c r="X214" s="118"/>
      <c r="Y214" s="118"/>
      <c r="Z214" s="118"/>
      <c r="AA214" s="118"/>
      <c r="AB214" s="118" t="s">
        <v>78</v>
      </c>
      <c r="AC214" s="136">
        <f>((((H214+J214)*2/1000)*L214*(5/(VLOOKUP(F214,[2]Plasmalõikus!$A$7:$E$46,2,FALSE)/1000*60)))+(Q214*L214*(5*(VLOOKUP(F214,[2]Plasmalõikus!$A$7:$E$48,3,FALSE))/60/60)))</f>
        <v>0.27999999999999997</v>
      </c>
      <c r="AD214" s="353"/>
      <c r="AE214" s="136"/>
      <c r="AF214" s="137"/>
      <c r="AG214" s="137">
        <f t="shared" si="357"/>
        <v>0</v>
      </c>
      <c r="AH214" s="136"/>
      <c r="AI214" s="132">
        <f t="shared" si="358"/>
        <v>0.66666666666666663</v>
      </c>
      <c r="AJ214" s="70">
        <f>(H214*2*AK214+J214*2*AK214)*L214/1000</f>
        <v>20.16</v>
      </c>
      <c r="AK214" s="50">
        <v>2</v>
      </c>
      <c r="AL214" s="69" t="str">
        <f t="shared" si="359"/>
        <v>5</v>
      </c>
      <c r="AN214" s="66"/>
      <c r="AP214" s="146">
        <f>(VLOOKUP(F214,Terasehind!$A$2:$B$171,2,FALSE))</f>
        <v>0.92</v>
      </c>
      <c r="AQ214" s="50">
        <f>(VLOOKUP(F214,Terasehind!$A$2:$C$171,3,FALSE))</f>
        <v>1.1000000000000001</v>
      </c>
      <c r="AR214" s="138">
        <f t="shared" si="360"/>
        <v>50.131079680000013</v>
      </c>
      <c r="AS214"/>
      <c r="AT214"/>
      <c r="AU214"/>
      <c r="AV214"/>
      <c r="AW214"/>
      <c r="AX214"/>
      <c r="AY214"/>
      <c r="AZ214"/>
      <c r="BA214" s="188">
        <f t="shared" si="361"/>
        <v>0.67200000000000004</v>
      </c>
      <c r="BB214" s="189"/>
      <c r="BC214" s="57"/>
      <c r="BD214" s="57"/>
      <c r="BE214" s="57"/>
      <c r="BF214" s="57"/>
      <c r="BG214" s="57"/>
      <c r="BH214" s="57"/>
      <c r="BI214" s="57"/>
      <c r="BJ214" s="57"/>
      <c r="BK214" s="109"/>
      <c r="BL214" s="109"/>
      <c r="BM214" s="109"/>
      <c r="BN214" s="83"/>
      <c r="BP214" s="83"/>
      <c r="BQ214" s="83"/>
    </row>
    <row r="215" spans="1:69" s="50" customFormat="1" x14ac:dyDescent="0.25">
      <c r="A215" s="116">
        <f xml:space="preserve"> 31.3*J215/10^3</f>
        <v>29.171600000000002</v>
      </c>
      <c r="B215" s="116">
        <f>A215*L215</f>
        <v>933.49120000000005</v>
      </c>
      <c r="C215" s="117"/>
      <c r="D215" s="117" t="s">
        <v>343</v>
      </c>
      <c r="E215" s="117"/>
      <c r="F215" s="355" t="s">
        <v>405</v>
      </c>
      <c r="G215" s="140" t="s">
        <v>83</v>
      </c>
      <c r="H215" s="119">
        <v>140</v>
      </c>
      <c r="I215" s="118" t="s">
        <v>77</v>
      </c>
      <c r="J215" s="119">
        <v>932</v>
      </c>
      <c r="K215" s="50">
        <v>4</v>
      </c>
      <c r="L215" s="119">
        <f>K$215*L$207</f>
        <v>32</v>
      </c>
      <c r="M215" s="131">
        <f xml:space="preserve"> 0.56*J215*L215/10^3</f>
        <v>16.701440000000002</v>
      </c>
      <c r="N215" s="118"/>
      <c r="O215" s="118"/>
      <c r="P215" s="118" t="s">
        <v>78</v>
      </c>
      <c r="Q215" s="135">
        <v>4</v>
      </c>
      <c r="R215" s="118"/>
      <c r="S215" s="118"/>
      <c r="T215" s="118"/>
      <c r="U215" s="118"/>
      <c r="V215" s="118"/>
      <c r="W215" s="118"/>
      <c r="Y215" s="118"/>
      <c r="Z215" s="118"/>
      <c r="AA215" s="118"/>
      <c r="AB215" s="118" t="s">
        <v>78</v>
      </c>
      <c r="AC215" s="116"/>
      <c r="AD215" s="83"/>
      <c r="AE215" s="136"/>
      <c r="AF215" s="137"/>
      <c r="AG215" s="132">
        <f>Q215*L215*0.5/60+L215*0.5/60</f>
        <v>1.3333333333333333</v>
      </c>
      <c r="AH215" s="83"/>
      <c r="AI215" s="132">
        <f>AL215*L215/60</f>
        <v>2.6666666666666665</v>
      </c>
      <c r="AJ215" s="70">
        <f>(300*2*AK215)*L215/1000</f>
        <v>38.4</v>
      </c>
      <c r="AK215" s="50">
        <f>(VLOOKUP(F215,[2]Koostamine!$A$12:$P$1612,7,FALSE))</f>
        <v>2</v>
      </c>
      <c r="AL215" s="69">
        <f>VLOOKUP(F215,[2]Koostamine!$A$12:$P$1612,IF(J215&lt;1499,11,IF(J215&lt;2999,12,IF(J215&lt;5999,13,IF(J215&lt;9999,14,IF(J215&lt;12999,15,IF(J215&gt;13000,16)))))),FALSE)</f>
        <v>5</v>
      </c>
      <c r="AP215" s="146">
        <f>(VLOOKUP(F215,Terasehind!$A$2:$B$171,2,FALSE))</f>
        <v>1.4</v>
      </c>
      <c r="AQ215" s="50">
        <f>(VLOOKUP(F215,Terasehind!$A$2:$C$171,3,FALSE))</f>
        <v>1.1000000000000001</v>
      </c>
      <c r="AR215" s="138">
        <f>AP215*AQ215*B215</f>
        <v>1437.576448</v>
      </c>
      <c r="AT215" s="62"/>
      <c r="AU215" s="62"/>
      <c r="AV215" s="62"/>
      <c r="AW215" s="62"/>
      <c r="AX215" s="62"/>
      <c r="AY215" s="62"/>
      <c r="AZ215"/>
      <c r="BA215" s="188">
        <f t="shared" si="361"/>
        <v>4.5738666666666665</v>
      </c>
      <c r="BB215" s="189"/>
      <c r="BC215" s="57"/>
      <c r="BD215" s="57"/>
      <c r="BE215" s="57"/>
      <c r="BF215" s="57"/>
      <c r="BG215" s="57"/>
      <c r="BH215" s="57"/>
      <c r="BI215" s="57"/>
      <c r="BJ215" s="60"/>
      <c r="BK215" s="57"/>
      <c r="BL215" s="60"/>
      <c r="BM215" s="83"/>
      <c r="BO215" s="109"/>
    </row>
    <row r="216" spans="1:69" s="50" customFormat="1" x14ac:dyDescent="0.25">
      <c r="A216" s="116">
        <f t="shared" ref="A216" si="369">H216*J216*(RIGHT(F216,2))*7.85/(10^6)</f>
        <v>14.24775</v>
      </c>
      <c r="B216" s="116">
        <f t="shared" ref="B216" si="370">A216*L216</f>
        <v>113.982</v>
      </c>
      <c r="C216" s="118"/>
      <c r="D216" s="117" t="s">
        <v>344</v>
      </c>
      <c r="E216" s="117"/>
      <c r="F216" s="355" t="s">
        <v>87</v>
      </c>
      <c r="G216" s="117" t="s">
        <v>83</v>
      </c>
      <c r="H216" s="119">
        <v>220</v>
      </c>
      <c r="I216" s="118" t="s">
        <v>77</v>
      </c>
      <c r="J216" s="119">
        <v>550</v>
      </c>
      <c r="K216" s="119">
        <v>1</v>
      </c>
      <c r="L216" s="119">
        <f>K$216*L$207</f>
        <v>8</v>
      </c>
      <c r="M216" s="116">
        <f t="shared" ref="M216" si="371">2*H216*J216/10^6*L216</f>
        <v>1.9359999999999999</v>
      </c>
      <c r="N216" s="118" t="s">
        <v>84</v>
      </c>
      <c r="P216" s="118"/>
      <c r="Q216" s="135">
        <v>8</v>
      </c>
      <c r="R216" s="118"/>
      <c r="S216" s="118"/>
      <c r="T216" s="118"/>
      <c r="U216" s="118"/>
      <c r="V216" s="118"/>
      <c r="W216" s="118"/>
      <c r="X216" s="118"/>
      <c r="Y216" s="118"/>
      <c r="Z216" s="118"/>
      <c r="AA216" s="118"/>
      <c r="AB216" s="118" t="s">
        <v>78</v>
      </c>
      <c r="AC216" s="136">
        <f>((((H216+J216)*2/1000)*L216*(5/(VLOOKUP(F216,[2]Plasmalõikus!$A$7:$E$46,2,FALSE)/1000*60)))+(Q216*L216*(5*(VLOOKUP(F216,[2]Plasmalõikus!$A$7:$E$48,3,FALSE))/60/60)))</f>
        <v>1.3703703703703702</v>
      </c>
      <c r="AD216" s="353"/>
      <c r="AE216" s="136"/>
      <c r="AF216" s="137"/>
      <c r="AG216" s="137">
        <f t="shared" ref="AG216" si="372">IF(VALUE(MID(F216,SEARCH(" ",F216)+1,LEN(F216)))&lt;35,0,IF(VALUE(MID(F216,SEARCH(" ",F216)+1,LEN(F216)))&lt;40,3,IF(VALUE(MID(F216,SEARCH(" ",F216)+1,LEN(F216)))&lt;50,4,IF(VALUE(MID(F216,SEARCH(" ",F216)+1,LEN(F216)))&lt;60,5,IF(VALUE(MID(F216,SEARCH(" ",F216)+1,LEN(F216)))&lt;70,6,IF(VALUE(MID(F216,SEARCH(" ",F216)+1,LEN(F216)))&lt;80,7,IF(VALUE(MID(F216,SEARCH(" ",F216)+1,LEN(F216)))&lt;90,8,IF(VALUE(MID(F216,SEARCH(" ",F216)+1,LEN(F216)))&lt;100,9,10))))))))/60*Q216*L216</f>
        <v>0</v>
      </c>
      <c r="AH216" s="136"/>
      <c r="AI216" s="132">
        <f t="shared" ref="AI216" si="373">AL216*L216/60</f>
        <v>1.3333333333333333</v>
      </c>
      <c r="AJ216" s="70">
        <f>(J216*2*AK216)*L216/1000</f>
        <v>8.8000000000000007</v>
      </c>
      <c r="AK216" s="50">
        <v>1</v>
      </c>
      <c r="AL216" s="165" t="str">
        <f t="shared" ref="AL216" si="374">IF(A216&gt;40,"30",IF(A216&gt;10,"10",IF(A216&gt;20,"20","2")))</f>
        <v>10</v>
      </c>
      <c r="AN216" s="66"/>
      <c r="AP216" s="146">
        <f>(VLOOKUP(F216,Terasehind!$A$2:$B$171,2,FALSE))</f>
        <v>0.92</v>
      </c>
      <c r="AQ216" s="50">
        <f>(VLOOKUP(F216,Terasehind!$A$2:$C$171,3,FALSE))</f>
        <v>1.1000000000000001</v>
      </c>
      <c r="AR216" s="138">
        <f t="shared" ref="AR216" si="375">AP216*AQ216*B216</f>
        <v>115.34978400000003</v>
      </c>
      <c r="AS216"/>
      <c r="AT216"/>
      <c r="AU216"/>
      <c r="AV216"/>
      <c r="AW216"/>
      <c r="AX216"/>
      <c r="AY216"/>
      <c r="AZ216"/>
      <c r="BA216" s="188">
        <f t="shared" si="361"/>
        <v>0.82133333333333336</v>
      </c>
      <c r="BB216" s="189"/>
      <c r="BC216" s="57"/>
      <c r="BD216" s="57"/>
      <c r="BE216" s="57"/>
      <c r="BF216" s="57"/>
      <c r="BG216" s="57"/>
      <c r="BH216" s="57"/>
      <c r="BI216" s="57"/>
      <c r="BJ216" s="57"/>
      <c r="BK216" s="109"/>
      <c r="BL216" s="109"/>
      <c r="BM216" s="109"/>
      <c r="BN216" s="83"/>
      <c r="BP216" s="83"/>
      <c r="BQ216" s="83"/>
    </row>
    <row r="217" spans="1:69" s="50" customFormat="1" x14ac:dyDescent="0.25">
      <c r="A217" s="116"/>
      <c r="B217" s="116"/>
      <c r="C217" s="118"/>
      <c r="D217" s="117"/>
      <c r="E217" s="117"/>
      <c r="F217" s="269"/>
      <c r="G217" s="117"/>
      <c r="H217" s="119"/>
      <c r="I217" s="118"/>
      <c r="J217" s="119"/>
      <c r="K217" s="119"/>
      <c r="L217" s="119"/>
      <c r="M217" s="119"/>
      <c r="N217" s="119"/>
      <c r="O217" s="119"/>
      <c r="P217" s="119"/>
      <c r="Q217" s="119"/>
      <c r="R217" s="118"/>
      <c r="S217" s="118"/>
      <c r="T217" s="118"/>
      <c r="U217" s="118"/>
      <c r="V217" s="118"/>
      <c r="W217" s="118"/>
      <c r="X217" s="118"/>
      <c r="Y217" s="118"/>
      <c r="Z217" s="118"/>
      <c r="AA217" s="118"/>
      <c r="AB217" s="118"/>
      <c r="AC217" s="136"/>
      <c r="AD217" s="136"/>
      <c r="AE217" s="136"/>
      <c r="AF217" s="136"/>
      <c r="AG217" s="136"/>
      <c r="AH217" s="136"/>
      <c r="AI217" s="132"/>
      <c r="AJ217" s="60"/>
      <c r="AN217" s="66"/>
      <c r="AP217" s="146"/>
      <c r="AR217" s="138"/>
      <c r="AT217" s="62"/>
      <c r="AU217" s="62"/>
      <c r="AV217" s="62"/>
      <c r="AW217" s="62"/>
      <c r="AX217" s="62"/>
      <c r="AY217" s="62"/>
      <c r="AZ217"/>
      <c r="BA217" s="192"/>
      <c r="BB217" s="188"/>
      <c r="BC217" s="57"/>
      <c r="BD217" s="57"/>
      <c r="BE217" s="57"/>
      <c r="BF217" s="57"/>
      <c r="BG217" s="57"/>
      <c r="BH217" s="57"/>
      <c r="BI217" s="57"/>
      <c r="BJ217" s="109"/>
      <c r="BK217" s="109"/>
      <c r="BL217" s="109"/>
      <c r="BM217" s="83"/>
      <c r="BO217" s="83"/>
      <c r="BP217" s="83"/>
    </row>
    <row r="218" spans="1:69" s="50" customFormat="1" x14ac:dyDescent="0.25">
      <c r="A218" s="148">
        <f>B218/L218</f>
        <v>554.09678400000007</v>
      </c>
      <c r="B218" s="148">
        <f>SUM(B221,B220,B219,0)</f>
        <v>3878.6774880000003</v>
      </c>
      <c r="C218" s="152"/>
      <c r="D218" s="149" t="s">
        <v>76</v>
      </c>
      <c r="E218" s="149"/>
      <c r="F218" s="365"/>
      <c r="G218" s="174" t="str">
        <f>$G$163</f>
        <v>C3VH</v>
      </c>
      <c r="H218" s="150"/>
      <c r="I218" s="151" t="s">
        <v>77</v>
      </c>
      <c r="J218" s="150">
        <f>J219</f>
        <v>8070</v>
      </c>
      <c r="K218" s="134">
        <v>7</v>
      </c>
      <c r="L218" s="150">
        <f>$L$163*$K$218</f>
        <v>7</v>
      </c>
      <c r="M218" s="148">
        <f>SUM(M221,M220,M219,0)</f>
        <v>84.269136000000003</v>
      </c>
      <c r="N218" s="151"/>
      <c r="O218" s="151"/>
      <c r="P218" s="151"/>
      <c r="Q218" s="151"/>
      <c r="R218" s="120"/>
      <c r="S218" s="120"/>
      <c r="T218" s="120"/>
      <c r="U218" s="120"/>
      <c r="V218" s="120"/>
      <c r="W218" s="118"/>
      <c r="X218" s="118" t="s">
        <v>78</v>
      </c>
      <c r="Y218" s="151">
        <v>4</v>
      </c>
      <c r="Z218" s="151"/>
      <c r="AA218" s="151"/>
      <c r="AB218" s="151"/>
      <c r="AC218" s="148">
        <f>SUM(AC221,AC220,AC219,0)</f>
        <v>0.29399999999999998</v>
      </c>
      <c r="AD218" s="148">
        <f>SUM(AD221,AD220,AD219,0)</f>
        <v>0</v>
      </c>
      <c r="AE218" s="148">
        <f>SUM(AE221,AE220,AE219,0)</f>
        <v>2.916666666666667</v>
      </c>
      <c r="AF218" s="148">
        <f>SUM(AF221,AF220,AF219,0)</f>
        <v>7</v>
      </c>
      <c r="AG218" s="148">
        <f>SUM(AG221,AG220,AG219,0)</f>
        <v>0.23333333333333334</v>
      </c>
      <c r="AH218" s="107">
        <f>SUM(AC218:AG218)</f>
        <v>10.443999999999999</v>
      </c>
      <c r="AI218" s="107">
        <f>SUM(AI221,AI220,AI219,0)</f>
        <v>3.9666666666666668</v>
      </c>
      <c r="AJ218" s="148">
        <f>SUM(AJ221,AJ220,AJ219,0)</f>
        <v>17.808</v>
      </c>
      <c r="AK218" s="107">
        <f>AJ218*10/60</f>
        <v>2.9679999999999995</v>
      </c>
      <c r="AL218" s="148">
        <f>AH218+AI218+AK218</f>
        <v>17.378666666666664</v>
      </c>
      <c r="AM218" s="148">
        <f>B218/AL218</f>
        <v>223.18613748657361</v>
      </c>
      <c r="AN218" s="148">
        <f>AL218*46</f>
        <v>799.41866666666658</v>
      </c>
      <c r="AO218" s="148">
        <f>AN218/B218</f>
        <v>0.20610599080226144</v>
      </c>
      <c r="AP218" s="148">
        <f>AR218/B218</f>
        <v>0.96829562073040309</v>
      </c>
      <c r="AQ218" s="67"/>
      <c r="AR218" s="148">
        <f>SUM(AR221,AR220,AR219,0)</f>
        <v>3755.7064258560008</v>
      </c>
      <c r="AT218" s="62"/>
      <c r="AU218" s="62"/>
      <c r="AV218" s="62"/>
      <c r="AW218" s="62"/>
      <c r="AX218" s="62"/>
      <c r="AY218" s="62"/>
      <c r="AZ218"/>
      <c r="BA218" s="148">
        <f>SUM(BA221,BA220,BA219,0)</f>
        <v>0.58800000000000008</v>
      </c>
      <c r="BB218" s="188"/>
      <c r="BC218" s="57"/>
      <c r="BD218" s="57"/>
      <c r="BE218" s="57"/>
      <c r="BF218" s="57"/>
      <c r="BG218" s="57"/>
      <c r="BH218" s="57"/>
      <c r="BI218" s="60"/>
    </row>
    <row r="219" spans="1:69" s="50" customFormat="1" x14ac:dyDescent="0.25">
      <c r="A219" s="116">
        <f xml:space="preserve"> 68.2*J219/10^3</f>
        <v>550.37400000000002</v>
      </c>
      <c r="B219" s="116">
        <f>A219*L219</f>
        <v>3852.6180000000004</v>
      </c>
      <c r="C219" s="299" t="s">
        <v>354</v>
      </c>
      <c r="D219" s="117" t="s">
        <v>76</v>
      </c>
      <c r="E219" s="117"/>
      <c r="F219" s="355" t="s">
        <v>384</v>
      </c>
      <c r="G219" s="140" t="s">
        <v>83</v>
      </c>
      <c r="H219" s="119">
        <v>250</v>
      </c>
      <c r="I219" s="118" t="s">
        <v>77</v>
      </c>
      <c r="J219" s="119">
        <v>8070</v>
      </c>
      <c r="K219" s="50">
        <v>1</v>
      </c>
      <c r="L219" s="119">
        <f>K$219*L$218</f>
        <v>7</v>
      </c>
      <c r="M219" s="131">
        <f xml:space="preserve"> 1.48*J219*L219/10^3</f>
        <v>83.605199999999996</v>
      </c>
      <c r="N219" s="118"/>
      <c r="O219" s="118"/>
      <c r="P219" s="118" t="s">
        <v>78</v>
      </c>
      <c r="Q219" s="135">
        <v>4</v>
      </c>
      <c r="R219" s="118"/>
      <c r="S219" s="118"/>
      <c r="T219" s="118"/>
      <c r="U219" s="118"/>
      <c r="V219" s="118"/>
      <c r="W219" s="118"/>
      <c r="Y219" s="118"/>
      <c r="Z219" s="118"/>
      <c r="AA219" s="118"/>
      <c r="AB219" s="118" t="s">
        <v>78</v>
      </c>
      <c r="AC219" s="116"/>
      <c r="AD219" s="83"/>
      <c r="AE219" s="136">
        <f>(H219/20/60)*2*L219</f>
        <v>2.916666666666667</v>
      </c>
      <c r="AF219" s="137">
        <f>(H219*6*2)*20/60/1000*L219</f>
        <v>7</v>
      </c>
      <c r="AG219" s="132">
        <f>Q219*L219*0.5/60</f>
        <v>0.23333333333333334</v>
      </c>
      <c r="AH219" s="83"/>
      <c r="AI219" s="132">
        <f>AL219*L219/60</f>
        <v>3.5</v>
      </c>
      <c r="AJ219" s="70"/>
      <c r="AK219" s="50">
        <f>(VLOOKUP(F219,[2]Koostamine!$A$12:$P$1612,7,FALSE))</f>
        <v>3</v>
      </c>
      <c r="AL219" s="69">
        <f>VLOOKUP(F219,[2]Koostamine!$A$12:$P$1612,IF(J219&lt;1499,11,IF(J219&lt;2999,12,IF(J219&lt;5999,13,IF(J219&lt;9999,14,IF(J219&lt;12999,15,IF(J219&gt;13000,16)))))),FALSE)</f>
        <v>30</v>
      </c>
      <c r="AP219" s="146">
        <f>(VLOOKUP(F219,Terasehind!$A$2:$B$171,2,FALSE))</f>
        <v>0.88</v>
      </c>
      <c r="AQ219" s="50">
        <f>(VLOOKUP(F219,Terasehind!$A$2:$C$171,3,FALSE))</f>
        <v>1.1000000000000001</v>
      </c>
      <c r="AR219" s="138">
        <f>AP219*AQ219*B219</f>
        <v>3729.3342240000006</v>
      </c>
      <c r="AT219" s="62"/>
      <c r="AU219" s="62"/>
      <c r="AV219" s="62"/>
      <c r="AW219" s="62"/>
      <c r="AX219" s="62"/>
      <c r="AY219" s="62"/>
      <c r="AZ219"/>
      <c r="BA219" s="188"/>
      <c r="BB219" s="189"/>
      <c r="BC219" s="57"/>
      <c r="BD219" s="57"/>
      <c r="BE219" s="57"/>
      <c r="BF219" s="57"/>
      <c r="BG219" s="57"/>
      <c r="BH219" s="57"/>
      <c r="BI219" s="57"/>
      <c r="BJ219" s="60"/>
      <c r="BK219" s="57"/>
      <c r="BL219" s="60"/>
      <c r="BM219" s="83"/>
      <c r="BO219" s="109"/>
    </row>
    <row r="220" spans="1:69" s="50" customFormat="1" x14ac:dyDescent="0.25">
      <c r="A220" s="116">
        <f t="shared" ref="A220" si="376">H220*J220*(RIGHT(F220,2))*7.85/(10^6)</f>
        <v>2.2155840000000002</v>
      </c>
      <c r="B220" s="116">
        <f t="shared" ref="B220" si="377">A220*L220</f>
        <v>15.509088000000002</v>
      </c>
      <c r="C220" s="118"/>
      <c r="D220" s="117" t="s">
        <v>81</v>
      </c>
      <c r="E220" s="117"/>
      <c r="F220" s="355" t="s">
        <v>82</v>
      </c>
      <c r="G220" s="117" t="s">
        <v>83</v>
      </c>
      <c r="H220" s="119">
        <v>126</v>
      </c>
      <c r="I220" s="118" t="s">
        <v>77</v>
      </c>
      <c r="J220" s="119">
        <v>224</v>
      </c>
      <c r="K220" s="119">
        <v>1</v>
      </c>
      <c r="L220" s="119">
        <f>K$220*L$218</f>
        <v>7</v>
      </c>
      <c r="M220" s="116">
        <f t="shared" ref="M220" si="378">2*H220*J220/10^6*L220</f>
        <v>0.39513599999999999</v>
      </c>
      <c r="N220" s="118" t="s">
        <v>84</v>
      </c>
      <c r="P220" s="118"/>
      <c r="Q220" s="135"/>
      <c r="R220" s="118"/>
      <c r="S220" s="118"/>
      <c r="T220" s="118"/>
      <c r="U220" s="118"/>
      <c r="V220" s="118"/>
      <c r="W220" s="118"/>
      <c r="X220" s="118"/>
      <c r="Y220" s="118"/>
      <c r="Z220" s="118"/>
      <c r="AA220" s="118"/>
      <c r="AB220" s="118" t="s">
        <v>78</v>
      </c>
      <c r="AC220" s="136">
        <f>((((H220+J220)*2/1000)*L220*(5/(VLOOKUP(F220,[2]Plasmalõikus!$A$7:$E$46,2,FALSE)/1000*60)))+(Q220*L220*(5*(VLOOKUP(F220,[2]Plasmalõikus!$A$7:$E$48,3,FALSE))/60/60)))</f>
        <v>0.1633333333333333</v>
      </c>
      <c r="AD220" s="353" t="str">
        <f t="shared" ref="AD220:AD221" si="379">IF(C220="WQ",0.012*((H220+J220)*2/1000*L220),IF(OR(VALUE(MID(F220,6,10))&gt;=20,H220&gt;300,J220&gt;300),0.012*((H220+J220)*2/1000*L220)," "))</f>
        <v xml:space="preserve"> </v>
      </c>
      <c r="AE220" s="136"/>
      <c r="AF220" s="137"/>
      <c r="AG220" s="137">
        <f t="shared" ref="AG220" si="380">IF(VALUE(MID(F220,SEARCH(" ",F220)+1,LEN(F220)))&lt;35,0,IF(VALUE(MID(F220,SEARCH(" ",F220)+1,LEN(F220)))&lt;40,3,IF(VALUE(MID(F220,SEARCH(" ",F220)+1,LEN(F220)))&lt;50,4,IF(VALUE(MID(F220,SEARCH(" ",F220)+1,LEN(F220)))&lt;60,5,IF(VALUE(MID(F220,SEARCH(" ",F220)+1,LEN(F220)))&lt;70,6,IF(VALUE(MID(F220,SEARCH(" ",F220)+1,LEN(F220)))&lt;80,7,IF(VALUE(MID(F220,SEARCH(" ",F220)+1,LEN(F220)))&lt;90,8,IF(VALUE(MID(F220,SEARCH(" ",F220)+1,LEN(F220)))&lt;100,9,10))))))))/60*Q220*L220</f>
        <v>0</v>
      </c>
      <c r="AH220" s="136"/>
      <c r="AI220" s="132">
        <f t="shared" ref="AI220" si="381">AL220*L220/60</f>
        <v>0.23333333333333334</v>
      </c>
      <c r="AJ220" s="70">
        <f>(H220*4*AK220+J220*2*AK220)*L220/1000</f>
        <v>13.327999999999999</v>
      </c>
      <c r="AK220" s="50">
        <v>2</v>
      </c>
      <c r="AL220" s="69" t="str">
        <f t="shared" ref="AL220:AL221" si="382">IF(AND(Q220&gt;0,A220&lt;3),"10",IF(AND(Q220&gt;0,A220&lt;10),"15",IF(AND(Q220&gt;0,A220&lt;20),"20",IF(AND(Q220&gt;0,A220&lt;500),"30",IF(AND(Q220=0,A220&lt;3),"2",IF(AND(Q220=0,A220&lt;10),"5",IF(AND(Q220=0,A220&lt;20),"10",IF(AND(Q220=0,A220&lt;500),"20","2"))))))))</f>
        <v>2</v>
      </c>
      <c r="AN220" s="66"/>
      <c r="AP220" s="146">
        <f>(VLOOKUP(F220,Terasehind!$A$2:$B$171,2,FALSE))</f>
        <v>0.92</v>
      </c>
      <c r="AQ220" s="50">
        <f>(VLOOKUP(F220,Terasehind!$A$2:$C$171,3,FALSE))</f>
        <v>1.1000000000000001</v>
      </c>
      <c r="AR220" s="138">
        <f t="shared" ref="AR220" si="383">AP220*AQ220*B220</f>
        <v>15.695197056000005</v>
      </c>
      <c r="AS220"/>
      <c r="AT220"/>
      <c r="AU220"/>
      <c r="AV220"/>
      <c r="AW220"/>
      <c r="AX220"/>
      <c r="AY220"/>
      <c r="AZ220"/>
      <c r="BA220" s="188">
        <f t="shared" ref="BA220" si="384">(H220*2+J220*2)*2*2/60/1000*L220</f>
        <v>0.32666666666666666</v>
      </c>
      <c r="BB220" s="189"/>
      <c r="BC220" s="57"/>
      <c r="BD220" s="57"/>
      <c r="BE220" s="57"/>
      <c r="BF220" s="57"/>
      <c r="BG220" s="57"/>
      <c r="BH220" s="57"/>
      <c r="BI220" s="57"/>
      <c r="BJ220" s="57"/>
      <c r="BK220" s="109"/>
      <c r="BL220" s="109"/>
      <c r="BM220" s="109"/>
      <c r="BN220" s="83"/>
      <c r="BP220" s="83"/>
      <c r="BQ220" s="83"/>
    </row>
    <row r="221" spans="1:69" s="50" customFormat="1" x14ac:dyDescent="0.25">
      <c r="A221" s="116">
        <f t="shared" ref="A221" si="385">H221*J221*(RIGHT(F221,2))*7.85/(10^6)</f>
        <v>1.5072000000000001</v>
      </c>
      <c r="B221" s="116">
        <f t="shared" ref="B221" si="386">A221*L221</f>
        <v>10.5504</v>
      </c>
      <c r="C221" s="118"/>
      <c r="D221" s="117" t="s">
        <v>85</v>
      </c>
      <c r="E221" s="117"/>
      <c r="F221" s="355" t="s">
        <v>82</v>
      </c>
      <c r="G221" s="117" t="s">
        <v>83</v>
      </c>
      <c r="H221" s="119">
        <v>120</v>
      </c>
      <c r="I221" s="118" t="s">
        <v>77</v>
      </c>
      <c r="J221" s="119">
        <v>160</v>
      </c>
      <c r="K221" s="119">
        <v>1</v>
      </c>
      <c r="L221" s="119">
        <f>K$221*L$218</f>
        <v>7</v>
      </c>
      <c r="M221" s="116">
        <f t="shared" ref="M221" si="387">2*H221*J221/10^6*L221</f>
        <v>0.26879999999999998</v>
      </c>
      <c r="N221" s="118" t="s">
        <v>84</v>
      </c>
      <c r="P221" s="118"/>
      <c r="Q221" s="135"/>
      <c r="R221" s="118"/>
      <c r="S221" s="118"/>
      <c r="T221" s="118"/>
      <c r="U221" s="118"/>
      <c r="V221" s="118"/>
      <c r="W221" s="118"/>
      <c r="X221" s="118"/>
      <c r="Y221" s="118"/>
      <c r="Z221" s="118"/>
      <c r="AA221" s="118"/>
      <c r="AB221" s="118" t="s">
        <v>78</v>
      </c>
      <c r="AC221" s="136">
        <f>((((H221+J221)*2/1000)*L221*(5/(VLOOKUP(F221,[2]Plasmalõikus!$A$7:$E$46,2,FALSE)/1000*60)))+(Q221*L221*(5*(VLOOKUP(F221,[2]Plasmalõikus!$A$7:$E$48,3,FALSE))/60/60)))</f>
        <v>0.13066666666666668</v>
      </c>
      <c r="AD221" s="353" t="str">
        <f t="shared" si="379"/>
        <v xml:space="preserve"> </v>
      </c>
      <c r="AE221" s="136"/>
      <c r="AF221" s="137"/>
      <c r="AG221" s="137">
        <f t="shared" ref="AG221" si="388">IF(VALUE(MID(F221,SEARCH(" ",F221)+1,LEN(F221)))&lt;35,0,IF(VALUE(MID(F221,SEARCH(" ",F221)+1,LEN(F221)))&lt;40,3,IF(VALUE(MID(F221,SEARCH(" ",F221)+1,LEN(F221)))&lt;50,4,IF(VALUE(MID(F221,SEARCH(" ",F221)+1,LEN(F221)))&lt;60,5,IF(VALUE(MID(F221,SEARCH(" ",F221)+1,LEN(F221)))&lt;70,6,IF(VALUE(MID(F221,SEARCH(" ",F221)+1,LEN(F221)))&lt;80,7,IF(VALUE(MID(F221,SEARCH(" ",F221)+1,LEN(F221)))&lt;90,8,IF(VALUE(MID(F221,SEARCH(" ",F221)+1,LEN(F221)))&lt;100,9,10))))))))/60*Q221*L221</f>
        <v>0</v>
      </c>
      <c r="AH221" s="136"/>
      <c r="AI221" s="132">
        <f t="shared" ref="AI221" si="389">AL221*L221/60</f>
        <v>0.23333333333333334</v>
      </c>
      <c r="AJ221" s="70">
        <f>(J221*2*AK221)*L221/1000</f>
        <v>4.4800000000000004</v>
      </c>
      <c r="AK221" s="50">
        <v>2</v>
      </c>
      <c r="AL221" s="69" t="str">
        <f t="shared" si="382"/>
        <v>2</v>
      </c>
      <c r="AN221" s="66"/>
      <c r="AP221" s="146">
        <f>(VLOOKUP(F221,Terasehind!$A$2:$B$171,2,FALSE))</f>
        <v>0.92</v>
      </c>
      <c r="AQ221" s="50">
        <f>(VLOOKUP(F221,Terasehind!$A$2:$C$171,3,FALSE))</f>
        <v>1.1000000000000001</v>
      </c>
      <c r="AR221" s="138">
        <f t="shared" ref="AR221" si="390">AP221*AQ221*B221</f>
        <v>10.677004800000002</v>
      </c>
      <c r="AS221"/>
      <c r="AT221"/>
      <c r="AU221"/>
      <c r="AV221"/>
      <c r="AW221"/>
      <c r="AX221"/>
      <c r="AY221"/>
      <c r="AZ221"/>
      <c r="BA221" s="188">
        <f t="shared" ref="BA221" si="391">(H221*2+J221*2)*2*2/60/1000*L221</f>
        <v>0.26133333333333336</v>
      </c>
      <c r="BB221" s="189"/>
      <c r="BC221" s="57"/>
      <c r="BD221" s="57"/>
      <c r="BE221" s="57"/>
      <c r="BF221" s="57"/>
      <c r="BG221" s="57"/>
      <c r="BH221" s="57"/>
      <c r="BI221" s="57"/>
      <c r="BJ221" s="57"/>
      <c r="BK221" s="109"/>
      <c r="BL221" s="109"/>
      <c r="BM221" s="109"/>
      <c r="BN221" s="83"/>
      <c r="BP221" s="83"/>
      <c r="BQ221" s="83"/>
    </row>
    <row r="222" spans="1:69" s="50" customFormat="1" x14ac:dyDescent="0.25">
      <c r="A222" s="116"/>
      <c r="B222" s="116"/>
      <c r="C222" s="118"/>
      <c r="D222" s="117"/>
      <c r="E222" s="117"/>
      <c r="F222" s="269"/>
      <c r="G222" s="117"/>
      <c r="H222" s="119"/>
      <c r="I222" s="118"/>
      <c r="J222" s="119"/>
      <c r="K222" s="119"/>
      <c r="L222" s="119"/>
      <c r="M222" s="119"/>
      <c r="N222" s="119"/>
      <c r="O222" s="119"/>
      <c r="P222" s="119"/>
      <c r="Q222" s="119"/>
      <c r="R222" s="118"/>
      <c r="S222" s="118"/>
      <c r="T222" s="118"/>
      <c r="U222" s="118"/>
      <c r="V222" s="118"/>
      <c r="W222" s="118"/>
      <c r="X222" s="118"/>
      <c r="Y222" s="118"/>
      <c r="Z222" s="118"/>
      <c r="AA222" s="118"/>
      <c r="AB222" s="118"/>
      <c r="AC222" s="136"/>
      <c r="AD222" s="136"/>
      <c r="AE222" s="136"/>
      <c r="AF222" s="136"/>
      <c r="AG222" s="136"/>
      <c r="AH222" s="136"/>
      <c r="AI222" s="132"/>
      <c r="AJ222" s="60"/>
      <c r="AN222" s="66"/>
      <c r="AP222" s="146"/>
      <c r="AR222" s="138"/>
      <c r="AT222" s="62"/>
      <c r="AU222" s="62"/>
      <c r="AV222" s="62"/>
      <c r="AW222" s="62"/>
      <c r="AX222" s="62"/>
      <c r="AY222" s="62"/>
      <c r="AZ222"/>
      <c r="BA222" s="192"/>
      <c r="BB222" s="188"/>
      <c r="BC222" s="57"/>
      <c r="BD222" s="57"/>
      <c r="BE222" s="57"/>
      <c r="BF222" s="57"/>
      <c r="BG222" s="57"/>
      <c r="BH222" s="57"/>
      <c r="BI222" s="57"/>
      <c r="BJ222" s="109"/>
      <c r="BK222" s="109"/>
      <c r="BL222" s="109"/>
      <c r="BM222" s="83"/>
      <c r="BO222" s="83"/>
      <c r="BP222" s="83"/>
    </row>
    <row r="223" spans="1:69" s="50" customFormat="1" x14ac:dyDescent="0.25">
      <c r="A223" s="148">
        <f>B223/L223</f>
        <v>303.14829999999995</v>
      </c>
      <c r="B223" s="148">
        <f>SUM(B228,B227,B226,B225,B224,0)</f>
        <v>1212.5931999999998</v>
      </c>
      <c r="C223" s="152"/>
      <c r="D223" s="149" t="s">
        <v>76</v>
      </c>
      <c r="E223" s="149"/>
      <c r="F223" s="365"/>
      <c r="G223" s="174" t="str">
        <f>$G$163</f>
        <v>C3VH</v>
      </c>
      <c r="H223" s="150"/>
      <c r="I223" s="151" t="s">
        <v>77</v>
      </c>
      <c r="J223" s="150">
        <f>J224</f>
        <v>2965</v>
      </c>
      <c r="K223" s="134">
        <v>4</v>
      </c>
      <c r="L223" s="150">
        <f>$L$163*$K$223</f>
        <v>4</v>
      </c>
      <c r="M223" s="148">
        <f>SUM(M228,M227,M226,M225,M224,0)</f>
        <v>25.409599999999998</v>
      </c>
      <c r="N223" s="151"/>
      <c r="O223" s="151"/>
      <c r="P223" s="151"/>
      <c r="Q223" s="151"/>
      <c r="R223" s="120"/>
      <c r="S223" s="120"/>
      <c r="T223" s="120"/>
      <c r="U223" s="120"/>
      <c r="V223" s="120"/>
      <c r="W223" s="118"/>
      <c r="X223" s="118" t="s">
        <v>78</v>
      </c>
      <c r="Y223" s="151">
        <v>4</v>
      </c>
      <c r="Z223" s="151"/>
      <c r="AA223" s="151"/>
      <c r="AB223" s="151"/>
      <c r="AC223" s="148">
        <f>SUM(AC228,AC227,AC226,AC225,AC224,0)</f>
        <v>2.5365952380952379</v>
      </c>
      <c r="AD223" s="148">
        <f>SUM(AD228,AD227,AD226,AD225,AD224,0)</f>
        <v>0</v>
      </c>
      <c r="AE223" s="148">
        <f>SUM(AE228,AE227,AE226,AE225,AE224,0)</f>
        <v>1.6666666666666667</v>
      </c>
      <c r="AF223" s="148">
        <f>SUM(AF228,AF227,AF226,AF225,AF224,0)</f>
        <v>4</v>
      </c>
      <c r="AG223" s="148">
        <f>SUM(AG228,AG227,AG226,AG225,AG224,0)</f>
        <v>0.13333333333333333</v>
      </c>
      <c r="AH223" s="107">
        <f>SUM(AC223:AG223)</f>
        <v>8.3365952380952386</v>
      </c>
      <c r="AI223" s="107">
        <f>SUM(AI228,AI227,AI226,AI225,AI224,0)</f>
        <v>5.8666666666666663</v>
      </c>
      <c r="AJ223" s="148">
        <f>SUM(AJ228,AJ227,AJ226,AJ225,AJ224,0)</f>
        <v>81.44</v>
      </c>
      <c r="AK223" s="107">
        <f>AJ223*10/60</f>
        <v>13.573333333333332</v>
      </c>
      <c r="AL223" s="148">
        <f>AH223+AI223+AK223</f>
        <v>27.77659523809524</v>
      </c>
      <c r="AM223" s="148">
        <f>B223/AL223</f>
        <v>43.65521366481029</v>
      </c>
      <c r="AN223" s="148">
        <f>AL223*46</f>
        <v>1277.7233809523809</v>
      </c>
      <c r="AO223" s="148">
        <f>AN223/B223</f>
        <v>1.0537114845707374</v>
      </c>
      <c r="AP223" s="148">
        <f>AR223/B223</f>
        <v>0.98265010095718852</v>
      </c>
      <c r="AQ223" s="67"/>
      <c r="AR223" s="148">
        <f>SUM(AR228,AR227,AR226,AR225,AR224,0)</f>
        <v>1191.5548304000001</v>
      </c>
      <c r="AT223" s="62"/>
      <c r="AU223" s="62"/>
      <c r="AV223" s="62"/>
      <c r="AW223" s="62"/>
      <c r="AX223" s="62"/>
      <c r="AY223" s="62"/>
      <c r="AZ223"/>
      <c r="BA223" s="148">
        <f>SUM(BA226,BA225,BA224,0)</f>
        <v>1.1200000000000001</v>
      </c>
      <c r="BB223" s="188"/>
      <c r="BC223" s="57"/>
      <c r="BD223" s="57"/>
      <c r="BE223" s="57"/>
      <c r="BF223" s="57"/>
      <c r="BG223" s="57"/>
      <c r="BH223" s="57"/>
      <c r="BI223" s="60"/>
    </row>
    <row r="224" spans="1:69" s="50" customFormat="1" x14ac:dyDescent="0.25">
      <c r="A224" s="116">
        <f xml:space="preserve"> 68.2*J224/10^3</f>
        <v>202.21299999999999</v>
      </c>
      <c r="B224" s="116">
        <f>A224*L224</f>
        <v>808.85199999999998</v>
      </c>
      <c r="C224" s="299" t="s">
        <v>354</v>
      </c>
      <c r="D224" s="117" t="s">
        <v>76</v>
      </c>
      <c r="E224" s="117"/>
      <c r="F224" s="355" t="s">
        <v>384</v>
      </c>
      <c r="G224" s="140" t="s">
        <v>83</v>
      </c>
      <c r="H224" s="119">
        <v>250</v>
      </c>
      <c r="I224" s="118" t="s">
        <v>77</v>
      </c>
      <c r="J224" s="119">
        <v>2965</v>
      </c>
      <c r="K224" s="50">
        <v>1</v>
      </c>
      <c r="L224" s="119">
        <f>K$224*L$223</f>
        <v>4</v>
      </c>
      <c r="M224" s="131">
        <f xml:space="preserve"> 1.48*J224*L224/10^3</f>
        <v>17.552799999999998</v>
      </c>
      <c r="N224" s="118"/>
      <c r="O224" s="118"/>
      <c r="P224" s="118" t="s">
        <v>78</v>
      </c>
      <c r="Q224" s="135">
        <v>4</v>
      </c>
      <c r="R224" s="118"/>
      <c r="S224" s="118"/>
      <c r="T224" s="118"/>
      <c r="U224" s="118"/>
      <c r="V224" s="118"/>
      <c r="W224" s="118"/>
      <c r="Y224" s="118"/>
      <c r="Z224" s="118"/>
      <c r="AA224" s="118"/>
      <c r="AB224" s="118" t="s">
        <v>78</v>
      </c>
      <c r="AC224" s="116"/>
      <c r="AD224" s="83"/>
      <c r="AE224" s="136">
        <f>(H224/20/60)*2*L224</f>
        <v>1.6666666666666667</v>
      </c>
      <c r="AF224" s="137">
        <f>(H224*6*2)*20/60/1000*L224</f>
        <v>4</v>
      </c>
      <c r="AG224" s="132">
        <f>Q224*L224*0.5/60</f>
        <v>0.13333333333333333</v>
      </c>
      <c r="AH224" s="83"/>
      <c r="AI224" s="132">
        <f>AL224*L224/60</f>
        <v>0.66666666666666663</v>
      </c>
      <c r="AJ224" s="70">
        <f>(H224*4*AK224)*2*L224/1000</f>
        <v>24</v>
      </c>
      <c r="AK224" s="50">
        <f>(VLOOKUP(F224,[2]Koostamine!$A$12:$P$1612,7,FALSE))</f>
        <v>3</v>
      </c>
      <c r="AL224" s="69">
        <f>VLOOKUP(F224,[2]Koostamine!$A$12:$P$1612,IF(J224&lt;1499,11,IF(J224&lt;2999,12,IF(J224&lt;5999,13,IF(J224&lt;9999,14,IF(J224&lt;12999,15,IF(J224&gt;13000,16)))))),FALSE)</f>
        <v>10</v>
      </c>
      <c r="AP224" s="146">
        <f>(VLOOKUP(F224,Terasehind!$A$2:$B$171,2,FALSE))</f>
        <v>0.88</v>
      </c>
      <c r="AQ224" s="50">
        <f>(VLOOKUP(F224,Terasehind!$A$2:$C$171,3,FALSE))</f>
        <v>1.1000000000000001</v>
      </c>
      <c r="AR224" s="138">
        <f>AP224*AQ224*B224</f>
        <v>782.96873600000004</v>
      </c>
      <c r="AT224" s="62"/>
      <c r="AU224" s="62"/>
      <c r="AV224" s="62"/>
      <c r="AW224" s="62"/>
      <c r="AX224" s="62"/>
      <c r="AY224" s="62"/>
      <c r="AZ224"/>
      <c r="BA224" s="188"/>
      <c r="BB224" s="189"/>
      <c r="BC224" s="57"/>
      <c r="BD224" s="57"/>
      <c r="BE224" s="57"/>
      <c r="BF224" s="57"/>
      <c r="BG224" s="57"/>
      <c r="BH224" s="57"/>
      <c r="BI224" s="57"/>
      <c r="BJ224" s="60"/>
      <c r="BK224" s="57"/>
      <c r="BL224" s="60"/>
      <c r="BM224" s="83"/>
      <c r="BO224" s="109"/>
    </row>
    <row r="225" spans="1:69" s="50" customFormat="1" x14ac:dyDescent="0.25">
      <c r="A225" s="116">
        <f t="shared" ref="A225:A228" si="392">H225*J225*(RIGHT(F225,2))*7.85/(10^6)</f>
        <v>18.055</v>
      </c>
      <c r="B225" s="116">
        <f t="shared" ref="B225:B228" si="393">A225*L225</f>
        <v>72.22</v>
      </c>
      <c r="C225" s="118" t="s">
        <v>80</v>
      </c>
      <c r="D225" s="117" t="s">
        <v>81</v>
      </c>
      <c r="E225" s="117"/>
      <c r="F225" s="355" t="s">
        <v>86</v>
      </c>
      <c r="G225" s="117" t="s">
        <v>83</v>
      </c>
      <c r="H225" s="119">
        <v>250</v>
      </c>
      <c r="I225" s="118" t="s">
        <v>77</v>
      </c>
      <c r="J225" s="119">
        <v>460</v>
      </c>
      <c r="K225" s="119">
        <v>1</v>
      </c>
      <c r="L225" s="119">
        <f>K$225*L$223</f>
        <v>4</v>
      </c>
      <c r="M225" s="116">
        <f t="shared" ref="M225:M228" si="394">2*H225*J225/10^6*L225</f>
        <v>0.92</v>
      </c>
      <c r="N225" s="118" t="s">
        <v>84</v>
      </c>
      <c r="P225" s="118"/>
      <c r="Q225" s="135">
        <v>10</v>
      </c>
      <c r="R225" s="118"/>
      <c r="S225" s="118"/>
      <c r="T225" s="118"/>
      <c r="U225" s="118"/>
      <c r="V225" s="118"/>
      <c r="W225" s="118"/>
      <c r="X225" s="118"/>
      <c r="Y225" s="118"/>
      <c r="Z225" s="118"/>
      <c r="AA225" s="118"/>
      <c r="AB225" s="118" t="s">
        <v>78</v>
      </c>
      <c r="AC225" s="136">
        <f>((((H225+J225)*2/1000)*L225*(5/(VLOOKUP(F225,[2]Plasmalõikus!$A$7:$E$46,2,FALSE)/1000*60)))+(Q225*L225*(5*(VLOOKUP(F225,[2]Plasmalõikus!$A$7:$E$48,3,FALSE))/60/60)))</f>
        <v>0.96249999999999991</v>
      </c>
      <c r="AD225" s="353"/>
      <c r="AE225" s="136"/>
      <c r="AF225" s="137"/>
      <c r="AG225" s="137">
        <f t="shared" ref="AG225:AG228" si="395">IF(VALUE(MID(F225,SEARCH(" ",F225)+1,LEN(F225)))&lt;35,0,IF(VALUE(MID(F225,SEARCH(" ",F225)+1,LEN(F225)))&lt;40,3,IF(VALUE(MID(F225,SEARCH(" ",F225)+1,LEN(F225)))&lt;50,4,IF(VALUE(MID(F225,SEARCH(" ",F225)+1,LEN(F225)))&lt;60,5,IF(VALUE(MID(F225,SEARCH(" ",F225)+1,LEN(F225)))&lt;70,6,IF(VALUE(MID(F225,SEARCH(" ",F225)+1,LEN(F225)))&lt;80,7,IF(VALUE(MID(F225,SEARCH(" ",F225)+1,LEN(F225)))&lt;90,8,IF(VALUE(MID(F225,SEARCH(" ",F225)+1,LEN(F225)))&lt;100,9,10))))))))/60*Q225*L225</f>
        <v>0</v>
      </c>
      <c r="AH225" s="136"/>
      <c r="AI225" s="132">
        <f t="shared" ref="AI225:AI228" si="396">AL225*L225/60</f>
        <v>1.3333333333333333</v>
      </c>
      <c r="AJ225" s="70"/>
      <c r="AL225" s="69" t="str">
        <f t="shared" ref="AL225:AL228" si="397">IF(AND(Q225&gt;0,A225&lt;3),"10",IF(AND(Q225&gt;0,A225&lt;10),"15",IF(AND(Q225&gt;0,A225&lt;20),"20",IF(AND(Q225&gt;0,A225&lt;500),"30",IF(AND(Q225=0,A225&lt;3),"2",IF(AND(Q225=0,A225&lt;10),"5",IF(AND(Q225=0,A225&lt;20),"10",IF(AND(Q225=0,A225&lt;500),"20","2"))))))))</f>
        <v>20</v>
      </c>
      <c r="AN225" s="66"/>
      <c r="AP225" s="146">
        <f>(VLOOKUP(F225,Terasehind!$A$2:$B$171,2,FALSE))</f>
        <v>0.92</v>
      </c>
      <c r="AQ225" s="50">
        <f>(VLOOKUP(F225,Terasehind!$A$2:$C$171,3,FALSE))</f>
        <v>1.1000000000000001</v>
      </c>
      <c r="AR225" s="138">
        <f t="shared" ref="AR225:AR228" si="398">AP225*AQ225*B225</f>
        <v>73.086640000000017</v>
      </c>
      <c r="AS225"/>
      <c r="AT225"/>
      <c r="AU225"/>
      <c r="AV225"/>
      <c r="AW225"/>
      <c r="AX225"/>
      <c r="AY225"/>
      <c r="AZ225"/>
      <c r="BA225" s="188">
        <f t="shared" ref="BA225:BA228" si="399">(H225*2+J225*2)*2*2/60/1000*L225</f>
        <v>0.37866666666666671</v>
      </c>
      <c r="BB225" s="189"/>
      <c r="BC225" s="57"/>
      <c r="BD225" s="57"/>
      <c r="BE225" s="57"/>
      <c r="BF225" s="57"/>
      <c r="BG225" s="57"/>
      <c r="BH225" s="57"/>
      <c r="BI225" s="57"/>
      <c r="BJ225" s="57"/>
      <c r="BK225" s="109"/>
      <c r="BL225" s="109"/>
      <c r="BM225" s="109"/>
      <c r="BN225" s="83"/>
      <c r="BP225" s="83"/>
      <c r="BQ225" s="83"/>
    </row>
    <row r="226" spans="1:69" s="50" customFormat="1" x14ac:dyDescent="0.25">
      <c r="A226" s="116">
        <f t="shared" si="392"/>
        <v>33.582299999999996</v>
      </c>
      <c r="B226" s="116">
        <f t="shared" si="393"/>
        <v>134.32919999999999</v>
      </c>
      <c r="C226" s="118" t="s">
        <v>80</v>
      </c>
      <c r="D226" s="117" t="s">
        <v>85</v>
      </c>
      <c r="E226" s="117"/>
      <c r="F226" s="355" t="s">
        <v>82</v>
      </c>
      <c r="G226" s="117" t="s">
        <v>83</v>
      </c>
      <c r="H226" s="119">
        <v>460</v>
      </c>
      <c r="I226" s="118" t="s">
        <v>77</v>
      </c>
      <c r="J226" s="119">
        <v>930</v>
      </c>
      <c r="K226" s="119">
        <v>1</v>
      </c>
      <c r="L226" s="119">
        <f>K$226*L$223</f>
        <v>4</v>
      </c>
      <c r="M226" s="116">
        <f t="shared" si="394"/>
        <v>3.4224000000000001</v>
      </c>
      <c r="N226" s="118" t="s">
        <v>84</v>
      </c>
      <c r="P226" s="118"/>
      <c r="Q226" s="135"/>
      <c r="R226" s="118"/>
      <c r="S226" s="118"/>
      <c r="T226" s="118"/>
      <c r="U226" s="118"/>
      <c r="V226" s="118"/>
      <c r="W226" s="118"/>
      <c r="X226" s="118"/>
      <c r="Y226" s="118"/>
      <c r="Z226" s="118"/>
      <c r="AA226" s="118"/>
      <c r="AB226" s="118" t="s">
        <v>78</v>
      </c>
      <c r="AC226" s="136">
        <f>((((H226+J226)*2/1000)*L226*(5/(VLOOKUP(F226,[2]Plasmalõikus!$A$7:$E$46,2,FALSE)/1000*60)))+(Q226*L226*(5*(VLOOKUP(F226,[2]Plasmalõikus!$A$7:$E$48,3,FALSE))/60/60)))</f>
        <v>0.37066666666666664</v>
      </c>
      <c r="AD226" s="353"/>
      <c r="AE226" s="136"/>
      <c r="AF226" s="137"/>
      <c r="AG226" s="137">
        <f t="shared" si="395"/>
        <v>0</v>
      </c>
      <c r="AH226" s="136"/>
      <c r="AI226" s="132">
        <f t="shared" si="396"/>
        <v>1.3333333333333333</v>
      </c>
      <c r="AJ226" s="70"/>
      <c r="AL226" s="69" t="str">
        <f t="shared" si="397"/>
        <v>20</v>
      </c>
      <c r="AN226" s="66"/>
      <c r="AP226" s="146">
        <f>(VLOOKUP(F226,Terasehind!$A$2:$B$171,2,FALSE))</f>
        <v>0.92</v>
      </c>
      <c r="AQ226" s="50">
        <f>(VLOOKUP(F226,Terasehind!$A$2:$C$171,3,FALSE))</f>
        <v>1.1000000000000001</v>
      </c>
      <c r="AR226" s="138">
        <f t="shared" si="398"/>
        <v>135.94115040000003</v>
      </c>
      <c r="AS226"/>
      <c r="AT226"/>
      <c r="AU226"/>
      <c r="AV226"/>
      <c r="AW226"/>
      <c r="AX226"/>
      <c r="AY226"/>
      <c r="AZ226"/>
      <c r="BA226" s="188">
        <f t="shared" si="399"/>
        <v>0.7413333333333334</v>
      </c>
      <c r="BB226" s="189"/>
      <c r="BC226" s="57"/>
      <c r="BD226" s="57"/>
      <c r="BE226" s="57"/>
      <c r="BF226" s="57"/>
      <c r="BG226" s="57"/>
      <c r="BH226" s="57"/>
      <c r="BI226" s="57"/>
      <c r="BJ226" s="57"/>
      <c r="BK226" s="109"/>
      <c r="BL226" s="109"/>
      <c r="BM226" s="109"/>
      <c r="BN226" s="83"/>
      <c r="BP226" s="83"/>
      <c r="BQ226" s="83"/>
    </row>
    <row r="227" spans="1:69" s="50" customFormat="1" x14ac:dyDescent="0.25">
      <c r="A227" s="116">
        <f t="shared" si="392"/>
        <v>39.501199999999997</v>
      </c>
      <c r="B227" s="116">
        <f t="shared" si="393"/>
        <v>158.00479999999999</v>
      </c>
      <c r="C227" s="118" t="s">
        <v>93</v>
      </c>
      <c r="D227" s="117" t="s">
        <v>341</v>
      </c>
      <c r="E227" s="117"/>
      <c r="F227" s="355" t="s">
        <v>167</v>
      </c>
      <c r="G227" s="117" t="s">
        <v>83</v>
      </c>
      <c r="H227" s="119">
        <v>370</v>
      </c>
      <c r="I227" s="118" t="s">
        <v>77</v>
      </c>
      <c r="J227" s="119">
        <v>850</v>
      </c>
      <c r="K227" s="119">
        <v>1</v>
      </c>
      <c r="L227" s="119">
        <f>K$227*L$223</f>
        <v>4</v>
      </c>
      <c r="M227" s="116">
        <f t="shared" si="394"/>
        <v>2.516</v>
      </c>
      <c r="N227" s="118" t="s">
        <v>84</v>
      </c>
      <c r="P227" s="118"/>
      <c r="Q227" s="135">
        <v>6</v>
      </c>
      <c r="R227" s="118"/>
      <c r="S227" s="118"/>
      <c r="T227" s="118"/>
      <c r="U227" s="118"/>
      <c r="V227" s="118"/>
      <c r="W227" s="118"/>
      <c r="X227" s="118"/>
      <c r="Y227" s="118"/>
      <c r="Z227" s="118"/>
      <c r="AA227" s="118"/>
      <c r="AB227" s="118" t="s">
        <v>78</v>
      </c>
      <c r="AC227" s="136">
        <f>((((H227+J227)*2/1000)*L227*(5/(VLOOKUP(F227,[2]Plasmalõikus!$A$7:$E$46,2,FALSE)/1000*60)))+(Q227*L227*(5*(VLOOKUP(F227,[2]Plasmalõikus!$A$7:$E$48,3,FALSE))/60/60)))</f>
        <v>0.79809523809523808</v>
      </c>
      <c r="AD227" s="353"/>
      <c r="AE227" s="136"/>
      <c r="AF227" s="137"/>
      <c r="AG227" s="137">
        <f t="shared" si="395"/>
        <v>0</v>
      </c>
      <c r="AH227" s="136"/>
      <c r="AI227" s="132">
        <f t="shared" si="396"/>
        <v>2</v>
      </c>
      <c r="AJ227" s="70">
        <f>(H227*4*AK227+J227*2*AK227)*L227/1000</f>
        <v>25.44</v>
      </c>
      <c r="AK227" s="50">
        <v>2</v>
      </c>
      <c r="AL227" s="69" t="str">
        <f t="shared" si="397"/>
        <v>30</v>
      </c>
      <c r="AN227" s="66"/>
      <c r="AP227" s="146">
        <f>(VLOOKUP(F227,Terasehind!$A$2:$B$171,2,FALSE))</f>
        <v>0.92</v>
      </c>
      <c r="AQ227" s="50">
        <f>(VLOOKUP(F227,Terasehind!$A$2:$C$171,3,FALSE))</f>
        <v>1.1000000000000001</v>
      </c>
      <c r="AR227" s="138">
        <f t="shared" si="398"/>
        <v>159.90085760000002</v>
      </c>
      <c r="AS227"/>
      <c r="AT227"/>
      <c r="AU227"/>
      <c r="AV227"/>
      <c r="AW227"/>
      <c r="AX227"/>
      <c r="AY227"/>
      <c r="AZ227"/>
      <c r="BA227" s="188">
        <f t="shared" si="399"/>
        <v>0.65066666666666662</v>
      </c>
      <c r="BB227" s="189"/>
      <c r="BC227" s="57"/>
      <c r="BD227" s="57"/>
      <c r="BE227" s="57"/>
      <c r="BF227" s="57"/>
      <c r="BG227" s="57"/>
      <c r="BH227" s="57"/>
      <c r="BI227" s="57"/>
      <c r="BJ227" s="57"/>
      <c r="BK227" s="109"/>
      <c r="BL227" s="109"/>
      <c r="BM227" s="109"/>
      <c r="BN227" s="83"/>
      <c r="BP227" s="83"/>
      <c r="BQ227" s="83"/>
    </row>
    <row r="228" spans="1:69" s="50" customFormat="1" x14ac:dyDescent="0.25">
      <c r="A228" s="116">
        <f t="shared" si="392"/>
        <v>2.4491999999999998</v>
      </c>
      <c r="B228" s="116">
        <f t="shared" si="393"/>
        <v>39.187199999999997</v>
      </c>
      <c r="C228" s="118"/>
      <c r="D228" s="117" t="s">
        <v>342</v>
      </c>
      <c r="E228" s="117"/>
      <c r="F228" s="355" t="s">
        <v>82</v>
      </c>
      <c r="G228" s="117" t="s">
        <v>83</v>
      </c>
      <c r="H228" s="119">
        <v>120</v>
      </c>
      <c r="I228" s="118" t="s">
        <v>77</v>
      </c>
      <c r="J228" s="119">
        <v>260</v>
      </c>
      <c r="K228" s="119">
        <v>4</v>
      </c>
      <c r="L228" s="119">
        <f>K$228*L$223</f>
        <v>16</v>
      </c>
      <c r="M228" s="116">
        <f t="shared" si="394"/>
        <v>0.99839999999999995</v>
      </c>
      <c r="N228" s="118" t="s">
        <v>84</v>
      </c>
      <c r="P228" s="118"/>
      <c r="Q228" s="135"/>
      <c r="R228" s="118"/>
      <c r="S228" s="118"/>
      <c r="T228" s="118"/>
      <c r="U228" s="118"/>
      <c r="V228" s="118"/>
      <c r="W228" s="118"/>
      <c r="X228" s="118"/>
      <c r="Y228" s="118"/>
      <c r="Z228" s="118"/>
      <c r="AA228" s="118"/>
      <c r="AB228" s="118" t="s">
        <v>78</v>
      </c>
      <c r="AC228" s="136">
        <f>((((H228+J228)*2/1000)*L228*(5/(VLOOKUP(F228,[2]Plasmalõikus!$A$7:$E$46,2,FALSE)/1000*60)))+(Q228*L228*(5*(VLOOKUP(F228,[2]Plasmalõikus!$A$7:$E$48,3,FALSE))/60/60)))</f>
        <v>0.40533333333333332</v>
      </c>
      <c r="AD228" s="353"/>
      <c r="AE228" s="136"/>
      <c r="AF228" s="137"/>
      <c r="AG228" s="137">
        <f t="shared" si="395"/>
        <v>0</v>
      </c>
      <c r="AH228" s="136"/>
      <c r="AI228" s="132">
        <f t="shared" si="396"/>
        <v>0.53333333333333333</v>
      </c>
      <c r="AJ228" s="70">
        <f>(H228*4*AK228+J228*2*AK228)*L228/1000</f>
        <v>32</v>
      </c>
      <c r="AK228" s="50">
        <v>2</v>
      </c>
      <c r="AL228" s="69" t="str">
        <f t="shared" si="397"/>
        <v>2</v>
      </c>
      <c r="AN228" s="66"/>
      <c r="AP228" s="146">
        <f>(VLOOKUP(F228,Terasehind!$A$2:$B$171,2,FALSE))</f>
        <v>0.92</v>
      </c>
      <c r="AQ228" s="50">
        <f>(VLOOKUP(F228,Terasehind!$A$2:$C$171,3,FALSE))</f>
        <v>1.1000000000000001</v>
      </c>
      <c r="AR228" s="138">
        <f t="shared" si="398"/>
        <v>39.657446400000005</v>
      </c>
      <c r="AS228"/>
      <c r="AT228"/>
      <c r="AU228"/>
      <c r="AV228"/>
      <c r="AW228"/>
      <c r="AX228"/>
      <c r="AY228"/>
      <c r="AZ228"/>
      <c r="BA228" s="188">
        <f t="shared" si="399"/>
        <v>0.81066666666666665</v>
      </c>
      <c r="BB228" s="189"/>
      <c r="BC228" s="57"/>
      <c r="BD228" s="57"/>
      <c r="BE228" s="57"/>
      <c r="BF228" s="57"/>
      <c r="BG228" s="57"/>
      <c r="BH228" s="57"/>
      <c r="BI228" s="57"/>
      <c r="BJ228" s="57"/>
      <c r="BK228" s="109"/>
      <c r="BL228" s="109"/>
      <c r="BM228" s="109"/>
      <c r="BN228" s="83"/>
      <c r="BP228" s="83"/>
      <c r="BQ228" s="83"/>
    </row>
    <row r="229" spans="1:69" s="50" customFormat="1" x14ac:dyDescent="0.25">
      <c r="A229" s="116"/>
      <c r="B229" s="116"/>
      <c r="C229" s="118"/>
      <c r="D229" s="117"/>
      <c r="E229" s="117"/>
      <c r="F229" s="269"/>
      <c r="G229" s="117"/>
      <c r="H229" s="119"/>
      <c r="I229" s="118"/>
      <c r="J229" s="119"/>
      <c r="K229" s="119"/>
      <c r="L229" s="119"/>
      <c r="M229" s="119"/>
      <c r="N229" s="119"/>
      <c r="O229" s="119"/>
      <c r="P229" s="119"/>
      <c r="Q229" s="119"/>
      <c r="R229" s="118"/>
      <c r="S229" s="118"/>
      <c r="T229" s="118"/>
      <c r="U229" s="118"/>
      <c r="V229" s="118"/>
      <c r="W229" s="118"/>
      <c r="X229" s="118"/>
      <c r="Y229" s="118"/>
      <c r="Z229" s="118"/>
      <c r="AA229" s="118"/>
      <c r="AB229" s="118"/>
      <c r="AC229" s="136"/>
      <c r="AD229" s="136"/>
      <c r="AE229" s="136"/>
      <c r="AF229" s="136"/>
      <c r="AG229" s="136"/>
      <c r="AH229" s="136"/>
      <c r="AI229" s="132"/>
      <c r="AJ229" s="60"/>
      <c r="AN229" s="66"/>
      <c r="AP229" s="146"/>
      <c r="AR229" s="138"/>
      <c r="AT229" s="62"/>
      <c r="AU229" s="62"/>
      <c r="AV229" s="62"/>
      <c r="AW229" s="62"/>
      <c r="AX229" s="62"/>
      <c r="AY229" s="62"/>
      <c r="AZ229"/>
      <c r="BA229" s="192"/>
      <c r="BB229" s="188"/>
      <c r="BC229" s="57"/>
      <c r="BD229" s="57"/>
      <c r="BE229" s="57"/>
      <c r="BF229" s="57"/>
      <c r="BG229" s="57"/>
      <c r="BH229" s="57"/>
      <c r="BI229" s="57"/>
      <c r="BJ229" s="109"/>
      <c r="BK229" s="109"/>
      <c r="BL229" s="109"/>
      <c r="BM229" s="83"/>
      <c r="BO229" s="83"/>
      <c r="BP229" s="83"/>
    </row>
    <row r="230" spans="1:69" s="50" customFormat="1" x14ac:dyDescent="0.25">
      <c r="A230" s="148">
        <f>B230/L230</f>
        <v>1083.183925</v>
      </c>
      <c r="B230" s="148">
        <f>SUM(B237,B236,B235,B234,B233,B232,B231,0)</f>
        <v>7582.2874750000001</v>
      </c>
      <c r="C230" s="152"/>
      <c r="D230" s="149" t="s">
        <v>76</v>
      </c>
      <c r="E230" s="149"/>
      <c r="F230" s="365"/>
      <c r="G230" s="174" t="str">
        <f>$G$163</f>
        <v>C3VH</v>
      </c>
      <c r="H230" s="150"/>
      <c r="I230" s="151" t="s">
        <v>77</v>
      </c>
      <c r="J230" s="150">
        <f>J231</f>
        <v>8830</v>
      </c>
      <c r="K230" s="134">
        <v>7</v>
      </c>
      <c r="L230" s="150">
        <f>$L$163*$K$230</f>
        <v>7</v>
      </c>
      <c r="M230" s="148">
        <f>SUM(M237,M236,M235,M234,M233,M232,M231,0)</f>
        <v>146.80441999999999</v>
      </c>
      <c r="N230" s="151"/>
      <c r="O230" s="151"/>
      <c r="P230" s="151"/>
      <c r="Q230" s="151"/>
      <c r="R230" s="120"/>
      <c r="S230" s="120"/>
      <c r="T230" s="120"/>
      <c r="U230" s="120"/>
      <c r="V230" s="120"/>
      <c r="W230" s="118"/>
      <c r="X230" s="118" t="s">
        <v>78</v>
      </c>
      <c r="Y230" s="151">
        <v>4</v>
      </c>
      <c r="Z230" s="151"/>
      <c r="AA230" s="151"/>
      <c r="AB230" s="151"/>
      <c r="AC230" s="148">
        <f>SUM(AC237,AC236,AC235,AC234,AC233,AC232,AC231,0)</f>
        <v>2.9170760233918127</v>
      </c>
      <c r="AD230" s="148">
        <f>SUM(AD237,AD236,AD235,AD234,AD233,AD232,AD231,0)</f>
        <v>0</v>
      </c>
      <c r="AE230" s="148">
        <f>SUM(AE237,AE236,AE235,AE234,AE233,AE232,AE231,0)</f>
        <v>4.7833333333333332</v>
      </c>
      <c r="AF230" s="148">
        <f>SUM(AF237,AF236,AF235,AF234,AF233,AF232,AF231,0)</f>
        <v>8.0826666666666664</v>
      </c>
      <c r="AG230" s="148">
        <f>SUM(AG237,AG236,AG235,AG234,AG233,AG232,AG231,0)</f>
        <v>1.6916666666666669</v>
      </c>
      <c r="AH230" s="107">
        <f>SUM(AC230:AG230)</f>
        <v>17.474742690058481</v>
      </c>
      <c r="AI230" s="107">
        <f>SUM(AI237,AI236,AI235,AI234,AI233,AI232,AI231,0)</f>
        <v>15.516666666666669</v>
      </c>
      <c r="AJ230" s="148">
        <f>SUM(AJ237,AJ236,AJ235,AJ234,AJ233,AJ232,AJ231,0)</f>
        <v>195.53800000000001</v>
      </c>
      <c r="AK230" s="107">
        <f>AJ230*10/60</f>
        <v>32.589666666666666</v>
      </c>
      <c r="AL230" s="148">
        <f>AH230+AI230+AK230</f>
        <v>65.581076023391816</v>
      </c>
      <c r="AM230" s="148">
        <f>B230/AL230</f>
        <v>115.61700317779948</v>
      </c>
      <c r="AN230" s="148">
        <f>AL230*46</f>
        <v>3016.7294970760236</v>
      </c>
      <c r="AO230" s="148">
        <f>AN230/B230</f>
        <v>0.39786535488434821</v>
      </c>
      <c r="AP230" s="148">
        <f>AR230/B230</f>
        <v>1.0045465363603878</v>
      </c>
      <c r="AQ230" s="67"/>
      <c r="AR230" s="148">
        <f>SUM(AR237,AR236,AR235,AR234,AR233,AR232,AR231,0)</f>
        <v>7616.7606207000008</v>
      </c>
      <c r="AT230" s="62"/>
      <c r="AU230" s="62"/>
      <c r="AV230" s="62"/>
      <c r="AW230" s="62"/>
      <c r="AX230" s="62"/>
      <c r="AY230" s="62"/>
      <c r="AZ230"/>
      <c r="BA230" s="148">
        <f>SUM(BA234,BA233,BA232,BA231,0)</f>
        <v>2.7682666666666664</v>
      </c>
      <c r="BB230" s="188"/>
      <c r="BC230" s="57"/>
      <c r="BD230" s="57"/>
      <c r="BE230" s="57"/>
      <c r="BF230" s="57"/>
      <c r="BG230" s="57"/>
      <c r="BH230" s="57"/>
      <c r="BI230" s="60"/>
    </row>
    <row r="231" spans="1:69" s="50" customFormat="1" x14ac:dyDescent="0.25">
      <c r="A231" s="116">
        <f xml:space="preserve"> 97.6*J231/10^3</f>
        <v>861.80799999999999</v>
      </c>
      <c r="B231" s="116">
        <f>A231*L231</f>
        <v>6032.6559999999999</v>
      </c>
      <c r="C231" s="299" t="s">
        <v>354</v>
      </c>
      <c r="D231" s="117" t="s">
        <v>76</v>
      </c>
      <c r="E231" s="117"/>
      <c r="F231" s="355" t="s">
        <v>402</v>
      </c>
      <c r="G231" s="140" t="s">
        <v>83</v>
      </c>
      <c r="H231" s="119">
        <v>310</v>
      </c>
      <c r="I231" s="118" t="s">
        <v>77</v>
      </c>
      <c r="J231" s="119">
        <v>8830</v>
      </c>
      <c r="K231" s="50">
        <v>1</v>
      </c>
      <c r="L231" s="119">
        <f>K$231*L$230</f>
        <v>7</v>
      </c>
      <c r="M231" s="131">
        <f xml:space="preserve"> 1.76*J231*L231/10^3</f>
        <v>108.78559999999999</v>
      </c>
      <c r="N231" s="118"/>
      <c r="O231" s="118"/>
      <c r="P231" s="118" t="s">
        <v>78</v>
      </c>
      <c r="Q231" s="135">
        <v>4</v>
      </c>
      <c r="R231" s="118"/>
      <c r="S231" s="118"/>
      <c r="T231" s="118"/>
      <c r="U231" s="118"/>
      <c r="V231" s="118"/>
      <c r="W231" s="118"/>
      <c r="Y231" s="118"/>
      <c r="Z231" s="118"/>
      <c r="AA231" s="118"/>
      <c r="AB231" s="118" t="s">
        <v>78</v>
      </c>
      <c r="AC231" s="116"/>
      <c r="AD231" s="83"/>
      <c r="AE231" s="136">
        <f>(H231/20/60)*2*L231</f>
        <v>3.6166666666666671</v>
      </c>
      <c r="AF231" s="137">
        <f>(J234*4)*20/60/1000*L231</f>
        <v>8.0826666666666664</v>
      </c>
      <c r="AG231" s="132">
        <f>Q231*L231*0.5/60</f>
        <v>0.23333333333333334</v>
      </c>
      <c r="AH231" s="83"/>
      <c r="AI231" s="132">
        <f>AL231*L231/60</f>
        <v>4.666666666666667</v>
      </c>
      <c r="AJ231" s="70">
        <f>(H231*4*AK231)*2*L231/1000</f>
        <v>52.08</v>
      </c>
      <c r="AK231" s="50">
        <f>(VLOOKUP(F231,[2]Koostamine!$A$12:$P$1612,7,FALSE))</f>
        <v>3</v>
      </c>
      <c r="AL231" s="69">
        <f>VLOOKUP(F231,[2]Koostamine!$A$12:$P$1612,IF(J231&lt;1499,11,IF(J231&lt;2999,12,IF(J231&lt;5999,13,IF(J231&lt;9999,14,IF(J231&lt;12999,15,IF(J231&gt;13000,16)))))),FALSE)</f>
        <v>40</v>
      </c>
      <c r="AP231" s="146">
        <f>(VLOOKUP(F231,Terasehind!$A$2:$B$171,2,FALSE))</f>
        <v>0.9</v>
      </c>
      <c r="AQ231" s="50">
        <f>(VLOOKUP(F231,Terasehind!$A$2:$C$171,3,FALSE))</f>
        <v>1.1000000000000001</v>
      </c>
      <c r="AR231" s="138">
        <f>AP231*AQ231*B231</f>
        <v>5972.3294400000004</v>
      </c>
      <c r="AT231" s="62"/>
      <c r="AU231" s="62"/>
      <c r="AV231" s="62"/>
      <c r="AW231" s="62"/>
      <c r="AX231" s="62"/>
      <c r="AY231" s="62"/>
      <c r="AZ231"/>
      <c r="BA231" s="188"/>
      <c r="BB231" s="189"/>
      <c r="BC231" s="57"/>
      <c r="BD231" s="57"/>
      <c r="BE231" s="57"/>
      <c r="BF231" s="57"/>
      <c r="BG231" s="57"/>
      <c r="BH231" s="57"/>
      <c r="BI231" s="57"/>
      <c r="BJ231" s="60"/>
      <c r="BK231" s="57"/>
      <c r="BL231" s="60"/>
      <c r="BM231" s="83"/>
      <c r="BO231" s="109"/>
    </row>
    <row r="232" spans="1:69" s="50" customFormat="1" x14ac:dyDescent="0.25">
      <c r="A232" s="116">
        <f t="shared" ref="A232:A234" si="400">H232*J232*(RIGHT(F232,2))*7.85/(10^6)</f>
        <v>7.1317250000000003</v>
      </c>
      <c r="B232" s="116">
        <f t="shared" ref="B232:B234" si="401">A232*L232</f>
        <v>99.844149999999999</v>
      </c>
      <c r="C232" s="118" t="s">
        <v>80</v>
      </c>
      <c r="D232" s="117" t="s">
        <v>81</v>
      </c>
      <c r="E232" s="117"/>
      <c r="F232" s="355" t="s">
        <v>82</v>
      </c>
      <c r="G232" s="117" t="s">
        <v>83</v>
      </c>
      <c r="H232" s="119">
        <v>230</v>
      </c>
      <c r="I232" s="118" t="s">
        <v>77</v>
      </c>
      <c r="J232" s="119">
        <v>395</v>
      </c>
      <c r="K232" s="119">
        <v>2</v>
      </c>
      <c r="L232" s="119">
        <f>K$232*L$230</f>
        <v>14</v>
      </c>
      <c r="M232" s="116">
        <f t="shared" ref="M232:M234" si="402">2*H232*J232/10^6*L232</f>
        <v>2.5438000000000001</v>
      </c>
      <c r="N232" s="118" t="s">
        <v>84</v>
      </c>
      <c r="P232" s="118"/>
      <c r="Q232" s="135">
        <v>8</v>
      </c>
      <c r="R232" s="118"/>
      <c r="S232" s="118"/>
      <c r="T232" s="118"/>
      <c r="U232" s="118"/>
      <c r="V232" s="118"/>
      <c r="W232" s="118"/>
      <c r="X232" s="118"/>
      <c r="Y232" s="118"/>
      <c r="Z232" s="118"/>
      <c r="AA232" s="118"/>
      <c r="AB232" s="118" t="s">
        <v>78</v>
      </c>
      <c r="AC232" s="136">
        <f>((((H232+J232)*2/1000)*L232*(5/(VLOOKUP(F232,[2]Plasmalõikus!$A$7:$E$46,2,FALSE)/1000*60)))+(Q232*L232*(5*(VLOOKUP(F232,[2]Plasmalõikus!$A$7:$E$48,3,FALSE))/60/60)))</f>
        <v>1.8277777777777775</v>
      </c>
      <c r="AD232" s="353"/>
      <c r="AE232" s="136"/>
      <c r="AF232" s="137"/>
      <c r="AG232" s="137">
        <f t="shared" ref="AG232:AG234" si="403">IF(VALUE(MID(F232,SEARCH(" ",F232)+1,LEN(F232)))&lt;35,0,IF(VALUE(MID(F232,SEARCH(" ",F232)+1,LEN(F232)))&lt;40,3,IF(VALUE(MID(F232,SEARCH(" ",F232)+1,LEN(F232)))&lt;50,4,IF(VALUE(MID(F232,SEARCH(" ",F232)+1,LEN(F232)))&lt;60,5,IF(VALUE(MID(F232,SEARCH(" ",F232)+1,LEN(F232)))&lt;70,6,IF(VALUE(MID(F232,SEARCH(" ",F232)+1,LEN(F232)))&lt;80,7,IF(VALUE(MID(F232,SEARCH(" ",F232)+1,LEN(F232)))&lt;90,8,IF(VALUE(MID(F232,SEARCH(" ",F232)+1,LEN(F232)))&lt;100,9,10))))))))/60*Q232*L232</f>
        <v>0</v>
      </c>
      <c r="AH232" s="136"/>
      <c r="AI232" s="132">
        <f t="shared" ref="AI232:AI234" si="404">AL232*L232/60</f>
        <v>3.5</v>
      </c>
      <c r="AJ232" s="70"/>
      <c r="AK232" s="50">
        <v>6</v>
      </c>
      <c r="AL232" s="69" t="str">
        <f t="shared" ref="AL232:AL234" si="405">IF(AND(Q232&gt;0,A232&lt;3),"10",IF(AND(Q232&gt;0,A232&lt;10),"15",IF(AND(Q232&gt;0,A232&lt;20),"20",IF(AND(Q232&gt;0,A232&lt;500),"30",IF(AND(Q232=0,A232&lt;3),"2",IF(AND(Q232=0,A232&lt;10),"5",IF(AND(Q232=0,A232&lt;20),"10",IF(AND(Q232=0,A232&lt;500),"20","2"))))))))</f>
        <v>15</v>
      </c>
      <c r="AN232" s="66"/>
      <c r="AP232" s="146">
        <f>(VLOOKUP(F232,Terasehind!$A$2:$B$171,2,FALSE))</f>
        <v>0.92</v>
      </c>
      <c r="AQ232" s="50">
        <f>(VLOOKUP(F232,Terasehind!$A$2:$C$171,3,FALSE))</f>
        <v>1.1000000000000001</v>
      </c>
      <c r="AR232" s="138">
        <f t="shared" ref="AR232:AR234" si="406">AP232*AQ232*B232</f>
        <v>101.04227980000002</v>
      </c>
      <c r="AS232"/>
      <c r="AT232"/>
      <c r="AU232"/>
      <c r="AV232"/>
      <c r="AW232"/>
      <c r="AX232"/>
      <c r="AY232"/>
      <c r="AZ232"/>
      <c r="BA232" s="188">
        <f>(H232*2+J232*2)*2*2/60/1000*L232</f>
        <v>1.1666666666666665</v>
      </c>
      <c r="BB232" s="189"/>
      <c r="BC232" s="57"/>
      <c r="BD232" s="57"/>
      <c r="BE232" s="57"/>
      <c r="BF232" s="57"/>
      <c r="BG232" s="57"/>
      <c r="BH232" s="57"/>
      <c r="BI232" s="57"/>
      <c r="BJ232" s="57"/>
      <c r="BK232" s="109"/>
      <c r="BL232" s="109"/>
      <c r="BM232" s="109"/>
      <c r="BN232" s="83"/>
      <c r="BP232" s="83"/>
      <c r="BQ232" s="83"/>
    </row>
    <row r="233" spans="1:69" s="50" customFormat="1" x14ac:dyDescent="0.25">
      <c r="A233" s="116">
        <f t="shared" si="400"/>
        <v>1.7662500000000001</v>
      </c>
      <c r="B233" s="116">
        <f t="shared" si="401"/>
        <v>24.727500000000003</v>
      </c>
      <c r="C233" s="118"/>
      <c r="D233" s="117" t="s">
        <v>85</v>
      </c>
      <c r="E233" s="117"/>
      <c r="F233" s="355" t="s">
        <v>82</v>
      </c>
      <c r="G233" s="117" t="s">
        <v>83</v>
      </c>
      <c r="H233" s="119">
        <v>150</v>
      </c>
      <c r="I233" s="118" t="s">
        <v>77</v>
      </c>
      <c r="J233" s="119">
        <v>150</v>
      </c>
      <c r="K233" s="119">
        <v>2</v>
      </c>
      <c r="L233" s="119">
        <f>K$233*L$230</f>
        <v>14</v>
      </c>
      <c r="M233" s="116">
        <f t="shared" si="402"/>
        <v>0.63</v>
      </c>
      <c r="N233" s="118" t="s">
        <v>84</v>
      </c>
      <c r="P233" s="118"/>
      <c r="Q233" s="135"/>
      <c r="R233" s="118"/>
      <c r="S233" s="118"/>
      <c r="T233" s="118"/>
      <c r="U233" s="118"/>
      <c r="V233" s="118"/>
      <c r="W233" s="118"/>
      <c r="X233" s="118"/>
      <c r="Y233" s="118"/>
      <c r="Z233" s="118"/>
      <c r="AA233" s="118"/>
      <c r="AB233" s="118" t="s">
        <v>78</v>
      </c>
      <c r="AC233" s="136">
        <f>((((H233+J233)*2/1000)*L233*(5/(VLOOKUP(F233,[2]Plasmalõikus!$A$7:$E$46,2,FALSE)/1000*60)))+(Q233*L233*(5*(VLOOKUP(F233,[2]Plasmalõikus!$A$7:$E$48,3,FALSE))/60/60)))</f>
        <v>0.28000000000000003</v>
      </c>
      <c r="AD233" s="353"/>
      <c r="AE233" s="136"/>
      <c r="AF233" s="137"/>
      <c r="AG233" s="137">
        <f t="shared" si="403"/>
        <v>0</v>
      </c>
      <c r="AH233" s="136"/>
      <c r="AI233" s="132">
        <f t="shared" si="404"/>
        <v>0.46666666666666667</v>
      </c>
      <c r="AJ233" s="70">
        <f>(H233*4*AK233+J233*2*AK233)*L233/1000</f>
        <v>12.6</v>
      </c>
      <c r="AK233" s="50">
        <v>1</v>
      </c>
      <c r="AL233" s="69" t="str">
        <f t="shared" si="405"/>
        <v>2</v>
      </c>
      <c r="AN233" s="66"/>
      <c r="AP233" s="146">
        <f>(VLOOKUP(F233,Terasehind!$A$2:$B$171,2,FALSE))</f>
        <v>0.92</v>
      </c>
      <c r="AQ233" s="50">
        <f>(VLOOKUP(F233,Terasehind!$A$2:$C$171,3,FALSE))</f>
        <v>1.1000000000000001</v>
      </c>
      <c r="AR233" s="138">
        <f t="shared" si="406"/>
        <v>25.02423000000001</v>
      </c>
      <c r="AS233"/>
      <c r="AT233"/>
      <c r="AU233"/>
      <c r="AV233"/>
      <c r="AW233"/>
      <c r="AX233"/>
      <c r="AY233"/>
      <c r="AZ233"/>
      <c r="BA233" s="188">
        <f t="shared" ref="BA233:BA234" si="407">(H233*2+J233*2)*2*2/60/1000*L233</f>
        <v>0.56000000000000005</v>
      </c>
      <c r="BB233" s="189"/>
      <c r="BC233" s="57"/>
      <c r="BD233" s="57"/>
      <c r="BE233" s="57"/>
      <c r="BF233" s="57"/>
      <c r="BG233" s="57"/>
      <c r="BH233" s="57"/>
      <c r="BI233" s="57"/>
      <c r="BJ233" s="57"/>
      <c r="BK233" s="109"/>
      <c r="BL233" s="109"/>
      <c r="BM233" s="109"/>
      <c r="BN233" s="83"/>
      <c r="BP233" s="83"/>
      <c r="BQ233" s="83"/>
    </row>
    <row r="234" spans="1:69" s="50" customFormat="1" x14ac:dyDescent="0.25">
      <c r="A234" s="116">
        <f t="shared" si="400"/>
        <v>25.492875000000002</v>
      </c>
      <c r="B234" s="116">
        <f t="shared" si="401"/>
        <v>178.45012500000001</v>
      </c>
      <c r="C234" s="118"/>
      <c r="D234" s="117" t="s">
        <v>88</v>
      </c>
      <c r="E234" s="117"/>
      <c r="F234" s="355" t="s">
        <v>87</v>
      </c>
      <c r="G234" s="117" t="s">
        <v>83</v>
      </c>
      <c r="H234" s="119">
        <v>250</v>
      </c>
      <c r="I234" s="118" t="s">
        <v>77</v>
      </c>
      <c r="J234" s="119">
        <v>866</v>
      </c>
      <c r="K234" s="119">
        <v>1</v>
      </c>
      <c r="L234" s="119">
        <f>K$234*L$230</f>
        <v>7</v>
      </c>
      <c r="M234" s="116">
        <f t="shared" si="402"/>
        <v>3.0310000000000001</v>
      </c>
      <c r="N234" s="118" t="s">
        <v>84</v>
      </c>
      <c r="P234" s="118"/>
      <c r="Q234" s="135"/>
      <c r="R234" s="118"/>
      <c r="S234" s="118"/>
      <c r="T234" s="118"/>
      <c r="U234" s="118"/>
      <c r="V234" s="118"/>
      <c r="W234" s="118"/>
      <c r="X234" s="118"/>
      <c r="Y234" s="118"/>
      <c r="Z234" s="118"/>
      <c r="AA234" s="118"/>
      <c r="AB234" s="118" t="s">
        <v>78</v>
      </c>
      <c r="AC234" s="136">
        <f>((((H234+J234)*2/1000)*L234*(5/(VLOOKUP(F234,[2]Plasmalõikus!$A$7:$E$46,2,FALSE)/1000*60)))+(Q234*L234*(5*(VLOOKUP(F234,[2]Plasmalõikus!$A$7:$E$48,3,FALSE))/60/60)))</f>
        <v>0.72333333333333338</v>
      </c>
      <c r="AD234" s="353"/>
      <c r="AE234" s="136"/>
      <c r="AF234" s="137"/>
      <c r="AG234" s="137">
        <f t="shared" si="403"/>
        <v>0</v>
      </c>
      <c r="AH234" s="136"/>
      <c r="AI234" s="132">
        <f t="shared" si="404"/>
        <v>2.3333333333333335</v>
      </c>
      <c r="AJ234" s="70">
        <f>(H234*4*AK234+J234*2*AK234)*L234/1000</f>
        <v>38.247999999999998</v>
      </c>
      <c r="AK234" s="50">
        <v>2</v>
      </c>
      <c r="AL234" s="69" t="str">
        <f t="shared" si="405"/>
        <v>20</v>
      </c>
      <c r="AN234" s="66"/>
      <c r="AP234" s="146">
        <f>(VLOOKUP(F234,Terasehind!$A$2:$B$171,2,FALSE))</f>
        <v>0.92</v>
      </c>
      <c r="AQ234" s="50">
        <f>(VLOOKUP(F234,Terasehind!$A$2:$C$171,3,FALSE))</f>
        <v>1.1000000000000001</v>
      </c>
      <c r="AR234" s="138">
        <f t="shared" si="406"/>
        <v>180.59152650000004</v>
      </c>
      <c r="AS234"/>
      <c r="AT234"/>
      <c r="AU234"/>
      <c r="AV234"/>
      <c r="AW234"/>
      <c r="AX234"/>
      <c r="AY234"/>
      <c r="AZ234"/>
      <c r="BA234" s="188">
        <f t="shared" si="407"/>
        <v>1.0416000000000001</v>
      </c>
      <c r="BB234" s="189"/>
      <c r="BC234" s="57"/>
      <c r="BD234" s="57"/>
      <c r="BE234" s="57"/>
      <c r="BF234" s="57"/>
      <c r="BG234" s="57"/>
      <c r="BH234" s="57"/>
      <c r="BI234" s="57"/>
      <c r="BJ234" s="57"/>
      <c r="BK234" s="109"/>
      <c r="BL234" s="109"/>
      <c r="BM234" s="109"/>
      <c r="BN234" s="83"/>
      <c r="BP234" s="83"/>
      <c r="BQ234" s="83"/>
    </row>
    <row r="235" spans="1:69" s="50" customFormat="1" x14ac:dyDescent="0.25">
      <c r="A235" s="116">
        <f xml:space="preserve"> 33.8*J235/10^3</f>
        <v>41.235999999999997</v>
      </c>
      <c r="B235" s="116">
        <f>A235*L235</f>
        <v>865.9559999999999</v>
      </c>
      <c r="C235" s="117"/>
      <c r="D235" s="117" t="s">
        <v>340</v>
      </c>
      <c r="E235" s="117"/>
      <c r="F235" s="355" t="s">
        <v>391</v>
      </c>
      <c r="G235" s="140" t="s">
        <v>83</v>
      </c>
      <c r="H235" s="119">
        <v>150</v>
      </c>
      <c r="I235" s="118" t="s">
        <v>77</v>
      </c>
      <c r="J235" s="119">
        <v>1220</v>
      </c>
      <c r="K235" s="50">
        <v>3</v>
      </c>
      <c r="L235" s="119">
        <f>K$235*L$230</f>
        <v>21</v>
      </c>
      <c r="M235" s="131">
        <f xml:space="preserve"> 0.586*J235*L235/10^3</f>
        <v>15.01332</v>
      </c>
      <c r="N235" s="118"/>
      <c r="O235" s="118"/>
      <c r="P235" s="118" t="s">
        <v>78</v>
      </c>
      <c r="Q235" s="135">
        <v>4</v>
      </c>
      <c r="R235" s="118"/>
      <c r="S235" s="118"/>
      <c r="T235" s="118"/>
      <c r="U235" s="118"/>
      <c r="V235" s="118"/>
      <c r="W235" s="118"/>
      <c r="Y235" s="118"/>
      <c r="Z235" s="118"/>
      <c r="AA235" s="118"/>
      <c r="AB235" s="118" t="s">
        <v>78</v>
      </c>
      <c r="AC235" s="116"/>
      <c r="AD235" s="83"/>
      <c r="AE235" s="136"/>
      <c r="AF235" s="137"/>
      <c r="AG235" s="132">
        <f>Q235*L235*0.5/60+L235*0.5/60</f>
        <v>0.875</v>
      </c>
      <c r="AH235" s="83"/>
      <c r="AI235" s="132">
        <f>AL235*L235/60</f>
        <v>1.75</v>
      </c>
      <c r="AJ235" s="70">
        <f>(H235*4*AK235)*L235/1000</f>
        <v>25.2</v>
      </c>
      <c r="AK235" s="50">
        <f>(VLOOKUP(F235,[2]Koostamine!$A$12:$P$1612,7,FALSE))</f>
        <v>2</v>
      </c>
      <c r="AL235" s="69">
        <f>VLOOKUP(F235,[2]Koostamine!$A$12:$P$1612,IF(J235&lt;1499,11,IF(J235&lt;2999,12,IF(J235&lt;5999,13,IF(J235&lt;9999,14,IF(J235&lt;12999,15,IF(J235&gt;13000,16)))))),FALSE)</f>
        <v>5</v>
      </c>
      <c r="AP235" s="146">
        <f>(VLOOKUP(F235,Terasehind!$A$2:$B$171,2,FALSE))</f>
        <v>1</v>
      </c>
      <c r="AQ235" s="50">
        <f>(VLOOKUP(F235,Terasehind!$A$2:$C$171,3,FALSE))</f>
        <v>1.1000000000000001</v>
      </c>
      <c r="AR235" s="138">
        <f>AP235*AQ235*B235</f>
        <v>952.55160000000001</v>
      </c>
      <c r="AT235" s="62"/>
      <c r="AU235" s="62"/>
      <c r="AV235" s="62"/>
      <c r="AW235" s="62"/>
      <c r="AX235" s="62"/>
      <c r="AY235" s="62"/>
      <c r="AZ235"/>
      <c r="BA235" s="192"/>
      <c r="BB235" s="189"/>
      <c r="BC235" s="57"/>
      <c r="BD235" s="57"/>
      <c r="BE235" s="57"/>
      <c r="BF235" s="57"/>
      <c r="BG235" s="57"/>
      <c r="BH235" s="57"/>
      <c r="BI235" s="57"/>
      <c r="BJ235" s="60"/>
      <c r="BK235" s="57"/>
      <c r="BL235" s="60"/>
      <c r="BM235" s="83"/>
      <c r="BO235" s="109"/>
    </row>
    <row r="236" spans="1:69" s="50" customFormat="1" x14ac:dyDescent="0.25">
      <c r="A236" s="116">
        <f xml:space="preserve"> 6.13*J236/10^3</f>
        <v>54.127900000000004</v>
      </c>
      <c r="B236" s="116">
        <f>A236*L236</f>
        <v>378.89530000000002</v>
      </c>
      <c r="C236" s="295"/>
      <c r="D236" s="117" t="s">
        <v>340</v>
      </c>
      <c r="E236" s="117"/>
      <c r="F236" s="355" t="s">
        <v>459</v>
      </c>
      <c r="G236" s="140" t="s">
        <v>79</v>
      </c>
      <c r="H236" s="119">
        <v>100</v>
      </c>
      <c r="I236" s="118" t="s">
        <v>77</v>
      </c>
      <c r="J236" s="119">
        <f>J231</f>
        <v>8830</v>
      </c>
      <c r="K236" s="119">
        <v>1</v>
      </c>
      <c r="L236" s="119">
        <f>K$236*L$230</f>
        <v>7</v>
      </c>
      <c r="M236" s="131">
        <f xml:space="preserve"> 0.27*J236*L236/10^3</f>
        <v>16.688700000000004</v>
      </c>
      <c r="N236" s="118"/>
      <c r="O236" s="118"/>
      <c r="P236" s="118" t="s">
        <v>78</v>
      </c>
      <c r="Q236" s="135"/>
      <c r="R236" s="118"/>
      <c r="S236" s="118"/>
      <c r="T236" s="118"/>
      <c r="U236" s="118"/>
      <c r="V236" s="118"/>
      <c r="W236" s="118"/>
      <c r="Y236" s="118"/>
      <c r="Z236" s="118"/>
      <c r="AA236" s="118"/>
      <c r="AB236" s="118" t="s">
        <v>78</v>
      </c>
      <c r="AC236" s="136"/>
      <c r="AD236" s="83"/>
      <c r="AE236" s="136">
        <f t="shared" ref="AE236" si="408">(H236/20/60)*2*L236</f>
        <v>1.1666666666666665</v>
      </c>
      <c r="AF236" s="137"/>
      <c r="AG236" s="132">
        <f>L236*5/60</f>
        <v>0.58333333333333337</v>
      </c>
      <c r="AH236" s="83"/>
      <c r="AI236" s="132">
        <f t="shared" ref="AI236:AI237" si="409">AL236*L236/60</f>
        <v>2.3333333333333335</v>
      </c>
      <c r="AJ236" s="70">
        <f>(J236*2*AK236)*1/2*L236/1000+(H236*4*AK236)*2*L236/1000</f>
        <v>67.41</v>
      </c>
      <c r="AK236" s="50">
        <f>(VLOOKUP(F236,[2]Koostamine!$A$12:$P$1612,7,FALSE))</f>
        <v>1</v>
      </c>
      <c r="AL236" s="69">
        <f>VLOOKUP(F236,[2]Koostamine!$A$12:$P$1612,IF(J236&lt;1499,11,IF(J236&lt;2999,12,IF(J236&lt;5999,13,IF(J236&lt;9999,14,IF(J236&lt;12999,15,IF(J236&gt;13000,16)))))),FALSE)</f>
        <v>20</v>
      </c>
      <c r="AP236" s="146">
        <f>(VLOOKUP(F236,Terasehind!$A$2:$B$171,2,FALSE))</f>
        <v>0.92</v>
      </c>
      <c r="AQ236" s="50">
        <f>(VLOOKUP(F236,Terasehind!$A$2:$C$171,3,FALSE))</f>
        <v>1.1000000000000001</v>
      </c>
      <c r="AR236" s="138">
        <f t="shared" ref="AR236:AR237" si="410">AP236*AQ236*B236</f>
        <v>383.44204360000009</v>
      </c>
      <c r="AT236" s="60"/>
      <c r="AU236" s="77"/>
      <c r="AV236" s="77"/>
      <c r="AW236" s="77"/>
      <c r="AX236" s="121"/>
      <c r="AY236" s="77"/>
      <c r="AZ236" s="77"/>
      <c r="BA236" s="188"/>
      <c r="BB236" s="283"/>
      <c r="BC236" s="62"/>
      <c r="BD236" s="284"/>
      <c r="BE236" s="131"/>
      <c r="BF236"/>
      <c r="BG236" s="57"/>
      <c r="BH236" s="57"/>
      <c r="BI236" s="57"/>
      <c r="BJ236" s="57"/>
      <c r="BK236" s="57"/>
      <c r="BL236" s="60"/>
      <c r="BM236" s="57"/>
      <c r="BN236" s="60"/>
      <c r="BO236" s="83"/>
      <c r="BQ236" s="109"/>
    </row>
    <row r="237" spans="1:69" s="50" customFormat="1" x14ac:dyDescent="0.25">
      <c r="A237" s="116">
        <f t="shared" ref="A237" si="411">H237*J237*(RIGHT(F237,2))*7.85/(10^6)</f>
        <v>0.12559999999999999</v>
      </c>
      <c r="B237" s="116">
        <f t="shared" ref="B237" si="412">A237*L237</f>
        <v>1.7584</v>
      </c>
      <c r="C237" s="118" t="s">
        <v>80</v>
      </c>
      <c r="D237" s="117" t="s">
        <v>81</v>
      </c>
      <c r="E237" s="117"/>
      <c r="F237" s="355" t="s">
        <v>487</v>
      </c>
      <c r="G237" s="117" t="s">
        <v>83</v>
      </c>
      <c r="H237" s="119">
        <v>40</v>
      </c>
      <c r="I237" s="118" t="s">
        <v>77</v>
      </c>
      <c r="J237" s="119">
        <v>100</v>
      </c>
      <c r="K237" s="119">
        <v>2</v>
      </c>
      <c r="L237" s="119">
        <f>K$237*L$230</f>
        <v>14</v>
      </c>
      <c r="M237" s="116">
        <f t="shared" ref="M237" si="413">2*H237*J237/10^6*L237</f>
        <v>0.112</v>
      </c>
      <c r="N237" s="118" t="s">
        <v>84</v>
      </c>
      <c r="P237" s="118"/>
      <c r="Q237" s="135"/>
      <c r="R237" s="118"/>
      <c r="S237" s="118"/>
      <c r="T237" s="118"/>
      <c r="U237" s="118"/>
      <c r="V237" s="118"/>
      <c r="W237" s="118"/>
      <c r="X237" s="118"/>
      <c r="Y237" s="118"/>
      <c r="Z237" s="118"/>
      <c r="AA237" s="118"/>
      <c r="AB237" s="118" t="s">
        <v>78</v>
      </c>
      <c r="AC237" s="136">
        <f>((((H237+J237)*2/1000)*L237*(5/(VLOOKUP(F237,[2]Plasmalõikus!$A$7:$E$46,2,FALSE)/1000*60)))+(Q237*L237*(5*(VLOOKUP(F237,[2]Plasmalõikus!$A$7:$E$48,3,FALSE))/60/60)))</f>
        <v>8.5964912280701758E-2</v>
      </c>
      <c r="AD237" s="353"/>
      <c r="AE237" s="136"/>
      <c r="AF237" s="137"/>
      <c r="AG237" s="137">
        <f t="shared" ref="AG237" si="414">IF(VALUE(MID(F237,SEARCH(" ",F237)+1,LEN(F237)))&lt;35,0,IF(VALUE(MID(F237,SEARCH(" ",F237)+1,LEN(F237)))&lt;40,3,IF(VALUE(MID(F237,SEARCH(" ",F237)+1,LEN(F237)))&lt;50,4,IF(VALUE(MID(F237,SEARCH(" ",F237)+1,LEN(F237)))&lt;60,5,IF(VALUE(MID(F237,SEARCH(" ",F237)+1,LEN(F237)))&lt;70,6,IF(VALUE(MID(F237,SEARCH(" ",F237)+1,LEN(F237)))&lt;80,7,IF(VALUE(MID(F237,SEARCH(" ",F237)+1,LEN(F237)))&lt;90,8,IF(VALUE(MID(F237,SEARCH(" ",F237)+1,LEN(F237)))&lt;100,9,10))))))))/60*Q237*L237</f>
        <v>0</v>
      </c>
      <c r="AH237" s="136"/>
      <c r="AI237" s="132">
        <f t="shared" si="409"/>
        <v>0.46666666666666667</v>
      </c>
      <c r="AJ237" s="70"/>
      <c r="AK237" s="50">
        <v>6</v>
      </c>
      <c r="AL237" s="69" t="str">
        <f t="shared" ref="AL237" si="415">IF(AND(Q237&gt;0,A237&lt;3),"10",IF(AND(Q237&gt;0,A237&lt;10),"15",IF(AND(Q237&gt;0,A237&lt;20),"20",IF(AND(Q237&gt;0,A237&lt;500),"30",IF(AND(Q237=0,A237&lt;3),"2",IF(AND(Q237=0,A237&lt;10),"5",IF(AND(Q237=0,A237&lt;20),"10",IF(AND(Q237=0,A237&lt;500),"20","2"))))))))</f>
        <v>2</v>
      </c>
      <c r="AN237" s="66"/>
      <c r="AP237" s="146">
        <f>(VLOOKUP(F237,Terasehind!$A$2:$B$171,2,FALSE))</f>
        <v>0.92</v>
      </c>
      <c r="AQ237" s="50">
        <f>(VLOOKUP(F237,Terasehind!$A$2:$C$171,3,FALSE))</f>
        <v>1.1000000000000001</v>
      </c>
      <c r="AR237" s="138">
        <f t="shared" si="410"/>
        <v>1.7795008000000003</v>
      </c>
      <c r="AS237"/>
      <c r="AT237"/>
      <c r="AU237"/>
      <c r="AV237"/>
      <c r="AW237"/>
      <c r="AX237"/>
      <c r="AY237"/>
      <c r="AZ237"/>
      <c r="BA237" s="188">
        <f>(H237*2+J237*2)*2*2/60/1000*L237</f>
        <v>0.26133333333333336</v>
      </c>
      <c r="BB237" s="189"/>
      <c r="BC237" s="57"/>
      <c r="BD237" s="57"/>
      <c r="BE237" s="57"/>
      <c r="BF237" s="57"/>
      <c r="BG237" s="57"/>
      <c r="BH237" s="57"/>
      <c r="BI237" s="57"/>
      <c r="BJ237" s="57"/>
      <c r="BK237" s="109"/>
      <c r="BL237" s="109"/>
      <c r="BM237" s="109"/>
      <c r="BN237" s="83"/>
      <c r="BP237" s="83"/>
      <c r="BQ237" s="83"/>
    </row>
    <row r="238" spans="1:69" s="50" customFormat="1" x14ac:dyDescent="0.25">
      <c r="A238" s="116"/>
      <c r="B238" s="116"/>
      <c r="C238" s="118"/>
      <c r="D238" s="117"/>
      <c r="E238" s="117"/>
      <c r="F238" s="269"/>
      <c r="G238" s="117"/>
      <c r="H238" s="119"/>
      <c r="I238" s="118"/>
      <c r="J238" s="119"/>
      <c r="K238" s="119"/>
      <c r="L238" s="119"/>
      <c r="M238" s="119"/>
      <c r="N238" s="119"/>
      <c r="O238" s="119"/>
      <c r="P238" s="119"/>
      <c r="Q238" s="119"/>
      <c r="R238" s="118"/>
      <c r="S238" s="118"/>
      <c r="T238" s="118"/>
      <c r="U238" s="118"/>
      <c r="V238" s="118"/>
      <c r="W238" s="118"/>
      <c r="X238" s="118"/>
      <c r="Y238" s="118"/>
      <c r="Z238" s="118"/>
      <c r="AA238" s="118"/>
      <c r="AB238" s="118"/>
      <c r="AC238" s="136"/>
      <c r="AD238" s="136"/>
      <c r="AE238" s="136"/>
      <c r="AF238" s="136"/>
      <c r="AG238" s="136"/>
      <c r="AH238" s="136"/>
      <c r="AI238" s="132"/>
      <c r="AJ238" s="60"/>
      <c r="AN238" s="66"/>
      <c r="AP238" s="146"/>
      <c r="AR238" s="138"/>
      <c r="AT238" s="62"/>
      <c r="AU238" s="62"/>
      <c r="AV238" s="62"/>
      <c r="AW238" s="62"/>
      <c r="AX238" s="62"/>
      <c r="AY238" s="62"/>
      <c r="AZ238"/>
      <c r="BA238" s="192"/>
      <c r="BB238" s="188"/>
      <c r="BC238" s="57"/>
      <c r="BD238" s="57"/>
      <c r="BE238" s="57"/>
      <c r="BF238" s="57"/>
      <c r="BG238" s="57"/>
      <c r="BH238" s="57"/>
      <c r="BI238" s="57"/>
      <c r="BJ238" s="109"/>
      <c r="BK238" s="109"/>
      <c r="BL238" s="109"/>
      <c r="BM238" s="83"/>
      <c r="BO238" s="83"/>
      <c r="BP238" s="83"/>
    </row>
    <row r="239" spans="1:69" s="50" customFormat="1" x14ac:dyDescent="0.25">
      <c r="A239" s="148">
        <f>B239/L239</f>
        <v>3331.5578800000003</v>
      </c>
      <c r="B239" s="148">
        <f>SUM(B247,B246,B245,B244,B243,B242,B241,B240,0)</f>
        <v>6663.1157600000006</v>
      </c>
      <c r="C239" s="152"/>
      <c r="D239" s="149" t="s">
        <v>76</v>
      </c>
      <c r="E239" s="149"/>
      <c r="F239" s="365"/>
      <c r="G239" s="174" t="str">
        <f>$G$163</f>
        <v>C3VH</v>
      </c>
      <c r="H239" s="150"/>
      <c r="I239" s="151" t="s">
        <v>77</v>
      </c>
      <c r="J239" s="150">
        <v>20700</v>
      </c>
      <c r="K239" s="134">
        <v>2</v>
      </c>
      <c r="L239" s="150">
        <f>$L$163*$K$239</f>
        <v>2</v>
      </c>
      <c r="M239" s="148">
        <f>SUM(M247,M246,M245,M244,M243,M242,M241,M240,0)</f>
        <v>133.8184</v>
      </c>
      <c r="N239" s="151"/>
      <c r="O239" s="151"/>
      <c r="P239" s="151"/>
      <c r="Q239" s="151"/>
      <c r="R239" s="120"/>
      <c r="S239" s="120"/>
      <c r="T239" s="120"/>
      <c r="U239" s="120"/>
      <c r="V239" s="120"/>
      <c r="W239" s="118"/>
      <c r="X239" s="118" t="s">
        <v>78</v>
      </c>
      <c r="Y239" s="151">
        <v>4</v>
      </c>
      <c r="Z239" s="151"/>
      <c r="AA239" s="151"/>
      <c r="AB239" s="151"/>
      <c r="AC239" s="148">
        <f>SUM(AC247,AC246,AC245,AC244,AC243,AC242,AC241,AC240,0)</f>
        <v>4.6399532163742689</v>
      </c>
      <c r="AD239" s="148">
        <f>SUM(AD247,AD246,AD245,AD244,AD243,AD242,AD241,AD240,0)</f>
        <v>0</v>
      </c>
      <c r="AE239" s="148">
        <f>SUM(AE247,AE246,AE245,AE244,AE243,AE242,AE241,AE240,0)</f>
        <v>49</v>
      </c>
      <c r="AF239" s="148">
        <f>SUM(AF247,AF246,AF245,AF244,AF243,AF242,AF241,AF240,0)</f>
        <v>2.9333333333333336</v>
      </c>
      <c r="AG239" s="148">
        <f>SUM(AG247,AG246,AG245,AG244,AG243,AG242,AG241,AG240,0)</f>
        <v>6.833333333333333</v>
      </c>
      <c r="AH239" s="107">
        <f>SUM(AC239:AG239)</f>
        <v>63.406619883040939</v>
      </c>
      <c r="AI239" s="107">
        <f>SUM(AI247,AI246,AI245,AI244,AI243,AI242,AI241,AI240,0)</f>
        <v>20.533333333333331</v>
      </c>
      <c r="AJ239" s="148">
        <f>SUM(AJ247,AJ246,AJ245,AJ244,AJ243,AJ242,AJ241,AJ240,0)</f>
        <v>619.28</v>
      </c>
      <c r="AK239" s="107">
        <f>AJ239*10/60</f>
        <v>103.21333333333332</v>
      </c>
      <c r="AL239" s="148">
        <f>AH239+AI239+AK239</f>
        <v>187.15328654970762</v>
      </c>
      <c r="AM239" s="148">
        <f>B239/AL239</f>
        <v>35.602451246456134</v>
      </c>
      <c r="AN239" s="148">
        <f>AL239*46</f>
        <v>8609.0511812865498</v>
      </c>
      <c r="AO239" s="148">
        <f>AN239/B239</f>
        <v>1.2920458673355766</v>
      </c>
      <c r="AP239" s="148">
        <f>AR239/B239</f>
        <v>1.0673758051473503</v>
      </c>
      <c r="AQ239" s="67"/>
      <c r="AR239" s="148">
        <f>SUM(AR247,AR246,AR245,AR244,AR243,AR242,AR241,AR240,0)</f>
        <v>7112.0485491199997</v>
      </c>
      <c r="AT239" s="62"/>
      <c r="AU239" s="62"/>
      <c r="AV239" s="62"/>
      <c r="AW239" s="62"/>
      <c r="AX239" s="62"/>
      <c r="AY239" s="62"/>
      <c r="AZ239"/>
      <c r="BA239" s="148">
        <f>SUM(BA243,BA240,0)</f>
        <v>0.14399999999999999</v>
      </c>
      <c r="BB239" s="188"/>
      <c r="BC239" s="57"/>
      <c r="BD239" s="57"/>
      <c r="BE239" s="57"/>
      <c r="BF239" s="57"/>
      <c r="BG239" s="57"/>
      <c r="BH239" s="57"/>
      <c r="BI239" s="60"/>
    </row>
    <row r="240" spans="1:69" s="50" customFormat="1" x14ac:dyDescent="0.25">
      <c r="A240" s="319">
        <f xml:space="preserve"> 106*J240/10^3</f>
        <v>1272</v>
      </c>
      <c r="B240" s="319">
        <f>A240*L240</f>
        <v>2544</v>
      </c>
      <c r="C240" s="320" t="s">
        <v>354</v>
      </c>
      <c r="D240" s="321" t="s">
        <v>76</v>
      </c>
      <c r="E240" s="321"/>
      <c r="F240" s="360" t="s">
        <v>401</v>
      </c>
      <c r="G240" s="323" t="s">
        <v>83</v>
      </c>
      <c r="H240" s="324">
        <v>550</v>
      </c>
      <c r="I240" s="322" t="s">
        <v>77</v>
      </c>
      <c r="J240" s="324">
        <v>12000</v>
      </c>
      <c r="K240" s="325">
        <v>1</v>
      </c>
      <c r="L240" s="324">
        <f>K$240*L$239</f>
        <v>2</v>
      </c>
      <c r="M240" s="326">
        <f xml:space="preserve"> 1.9*J240*L240/10^3</f>
        <v>45.6</v>
      </c>
      <c r="N240" s="322"/>
      <c r="O240" s="322"/>
      <c r="P240" s="322" t="s">
        <v>78</v>
      </c>
      <c r="Q240" s="135">
        <v>16</v>
      </c>
      <c r="R240" s="118"/>
      <c r="S240" s="118"/>
      <c r="T240" s="118"/>
      <c r="U240" s="118"/>
      <c r="V240" s="118"/>
      <c r="W240" s="118"/>
      <c r="Y240" s="118"/>
      <c r="Z240" s="118"/>
      <c r="AA240" s="118"/>
      <c r="AB240" s="118" t="s">
        <v>78</v>
      </c>
      <c r="AC240" s="116"/>
      <c r="AD240" s="83"/>
      <c r="AE240" s="136">
        <f>(H240/20/60)*2*L240</f>
        <v>1.8333333333333333</v>
      </c>
      <c r="AF240" s="137">
        <f>(H240*4)*2*20/60/1000*L240</f>
        <v>2.9333333333333336</v>
      </c>
      <c r="AG240" s="132">
        <f>Q240*L240*0.5/60</f>
        <v>0.26666666666666666</v>
      </c>
      <c r="AH240" s="83"/>
      <c r="AI240" s="132">
        <f>AL240*L240/60</f>
        <v>3</v>
      </c>
      <c r="AJ240" s="70">
        <f>(H240*4*AK240)*1*L240/1000</f>
        <v>26.4</v>
      </c>
      <c r="AK240" s="50">
        <f>(VLOOKUP(F240,[2]Koostamine!$A$12:$P$1612,7,FALSE))</f>
        <v>6</v>
      </c>
      <c r="AL240" s="69">
        <f>VLOOKUP(F240,[2]Koostamine!$A$12:$P$1612,IF(J240&lt;1499,11,IF(J240&lt;2999,12,IF(J240&lt;5999,13,IF(J240&lt;9999,14,IF(J240&lt;12999,15,IF(J240&gt;13000,16)))))),FALSE)</f>
        <v>90</v>
      </c>
      <c r="AP240" s="146">
        <f>(VLOOKUP(F240,Terasehind!$A$2:$B$171,2,FALSE))</f>
        <v>0.95</v>
      </c>
      <c r="AQ240" s="50">
        <f>(VLOOKUP(F240,Terasehind!$A$2:$C$171,3,FALSE))</f>
        <v>1.1299999999999999</v>
      </c>
      <c r="AR240" s="138">
        <f>AP240*AQ240*B240</f>
        <v>2730.9839999999999</v>
      </c>
      <c r="AT240" s="62"/>
      <c r="AU240" s="62"/>
      <c r="AV240" s="62"/>
      <c r="AW240" s="62"/>
      <c r="AX240" s="62"/>
      <c r="AY240" s="62"/>
      <c r="AZ240"/>
      <c r="BA240" s="188"/>
      <c r="BB240" s="189"/>
      <c r="BC240" s="57"/>
      <c r="BD240" s="57"/>
      <c r="BE240" s="57"/>
      <c r="BF240" s="57"/>
      <c r="BG240" s="57"/>
      <c r="BH240" s="57"/>
      <c r="BI240" s="57"/>
      <c r="BJ240" s="60"/>
      <c r="BK240" s="57"/>
      <c r="BL240" s="60"/>
      <c r="BM240" s="83"/>
      <c r="BO240" s="109"/>
    </row>
    <row r="241" spans="1:69" s="50" customFormat="1" x14ac:dyDescent="0.25">
      <c r="A241" s="319">
        <f xml:space="preserve"> 106*J241/10^3</f>
        <v>922.2</v>
      </c>
      <c r="B241" s="319">
        <f>A241*L241</f>
        <v>1844.4</v>
      </c>
      <c r="C241" s="320" t="s">
        <v>354</v>
      </c>
      <c r="D241" s="321" t="s">
        <v>76</v>
      </c>
      <c r="E241" s="321"/>
      <c r="F241" s="360" t="s">
        <v>401</v>
      </c>
      <c r="G241" s="323" t="s">
        <v>83</v>
      </c>
      <c r="H241" s="324">
        <v>550</v>
      </c>
      <c r="I241" s="322" t="s">
        <v>77</v>
      </c>
      <c r="J241" s="324">
        <f>J239-J240</f>
        <v>8700</v>
      </c>
      <c r="K241" s="325">
        <v>1</v>
      </c>
      <c r="L241" s="324">
        <f>K$241*L$239</f>
        <v>2</v>
      </c>
      <c r="M241" s="326">
        <f xml:space="preserve"> 1.9*J241*L241/10^3</f>
        <v>33.06</v>
      </c>
      <c r="N241" s="322"/>
      <c r="O241" s="322"/>
      <c r="P241" s="322" t="s">
        <v>78</v>
      </c>
      <c r="Q241" s="135">
        <v>10</v>
      </c>
      <c r="R241" s="118"/>
      <c r="S241" s="118"/>
      <c r="T241" s="118"/>
      <c r="U241" s="118"/>
      <c r="V241" s="118"/>
      <c r="W241" s="118"/>
      <c r="Y241" s="118"/>
      <c r="Z241" s="118"/>
      <c r="AA241" s="118"/>
      <c r="AB241" s="118" t="s">
        <v>78</v>
      </c>
      <c r="AC241" s="116"/>
      <c r="AD241" s="83"/>
      <c r="AE241" s="136">
        <f>(H241/20/60)*2*L241</f>
        <v>1.8333333333333333</v>
      </c>
      <c r="AF241" s="137"/>
      <c r="AG241" s="132">
        <f>Q241*L241*0.5/60</f>
        <v>0.16666666666666666</v>
      </c>
      <c r="AH241" s="83"/>
      <c r="AI241" s="132">
        <f>AL241*L241/60</f>
        <v>1.3333333333333333</v>
      </c>
      <c r="AJ241" s="70">
        <f>(H241*4*AK241)*1*L241/1000</f>
        <v>26.4</v>
      </c>
      <c r="AK241" s="50">
        <f>(VLOOKUP(F241,[2]Koostamine!$A$12:$P$1612,7,FALSE))</f>
        <v>6</v>
      </c>
      <c r="AL241" s="69">
        <f>VLOOKUP(F241,[2]Koostamine!$A$12:$P$1612,IF(J241&lt;1499,11,IF(J241&lt;2999,12,IF(J241&lt;5999,13,IF(J241&lt;9999,14,IF(J241&lt;12999,15,IF(J241&gt;13000,16)))))),FALSE)</f>
        <v>40</v>
      </c>
      <c r="AP241" s="146">
        <f>(VLOOKUP(F241,Terasehind!$A$2:$B$171,2,FALSE))</f>
        <v>0.95</v>
      </c>
      <c r="AQ241" s="50">
        <f>(VLOOKUP(F241,Terasehind!$A$2:$C$171,3,FALSE))</f>
        <v>1.1299999999999999</v>
      </c>
      <c r="AR241" s="138">
        <f>AP241*AQ241*B241</f>
        <v>1979.9633999999999</v>
      </c>
      <c r="AT241" s="62"/>
      <c r="AU241" s="62"/>
      <c r="AV241" s="62"/>
      <c r="AW241" s="62"/>
      <c r="AX241" s="62"/>
      <c r="AY241" s="62"/>
      <c r="AZ241"/>
      <c r="BA241" s="188">
        <f>(H241*4*2+J241*8)*2/60/1000*L241</f>
        <v>4.9333333333333327</v>
      </c>
      <c r="BB241" s="189"/>
      <c r="BC241" s="57"/>
      <c r="BD241" s="57"/>
      <c r="BE241" s="57"/>
      <c r="BF241" s="57"/>
      <c r="BG241" s="57"/>
      <c r="BH241" s="57"/>
      <c r="BI241" s="57"/>
      <c r="BJ241" s="60"/>
      <c r="BK241" s="57"/>
      <c r="BL241" s="60"/>
      <c r="BM241" s="83"/>
      <c r="BO241" s="109"/>
    </row>
    <row r="242" spans="1:69" s="50" customFormat="1" x14ac:dyDescent="0.25">
      <c r="A242" s="116">
        <f xml:space="preserve"> 106*J242/10^3</f>
        <v>50.35</v>
      </c>
      <c r="B242" s="116">
        <f>A242*L242</f>
        <v>1611.2</v>
      </c>
      <c r="C242" s="299" t="s">
        <v>354</v>
      </c>
      <c r="D242" s="117" t="s">
        <v>81</v>
      </c>
      <c r="E242" s="117"/>
      <c r="F242" s="355" t="s">
        <v>401</v>
      </c>
      <c r="G242" s="140" t="s">
        <v>83</v>
      </c>
      <c r="H242" s="119">
        <v>550</v>
      </c>
      <c r="I242" s="118" t="s">
        <v>77</v>
      </c>
      <c r="J242" s="119">
        <v>475</v>
      </c>
      <c r="K242" s="50">
        <v>16</v>
      </c>
      <c r="L242" s="119">
        <f>K$242*L$239</f>
        <v>32</v>
      </c>
      <c r="M242" s="131">
        <f xml:space="preserve"> 1.9*J242*L242/10^3</f>
        <v>28.88</v>
      </c>
      <c r="N242" s="118"/>
      <c r="O242" s="118"/>
      <c r="P242" s="118" t="s">
        <v>78</v>
      </c>
      <c r="Q242" s="135">
        <v>4</v>
      </c>
      <c r="R242" s="118"/>
      <c r="S242" s="118"/>
      <c r="T242" s="118"/>
      <c r="U242" s="118"/>
      <c r="V242" s="118"/>
      <c r="W242" s="118"/>
      <c r="Y242" s="118"/>
      <c r="Z242" s="118"/>
      <c r="AA242" s="118"/>
      <c r="AB242" s="118" t="s">
        <v>78</v>
      </c>
      <c r="AC242" s="116"/>
      <c r="AD242" s="83"/>
      <c r="AE242" s="136">
        <f>(H242/20/60)*2*L242</f>
        <v>29.333333333333332</v>
      </c>
      <c r="AF242" s="137"/>
      <c r="AG242" s="132">
        <f>Q242*L242*0.5/60</f>
        <v>1.0666666666666667</v>
      </c>
      <c r="AH242" s="83"/>
      <c r="AI242" s="132">
        <f>AL242*L242/60</f>
        <v>5.333333333333333</v>
      </c>
      <c r="AJ242" s="70">
        <f>(H242*4*AK242)*2*L242/1000</f>
        <v>422.4</v>
      </c>
      <c r="AK242" s="50">
        <v>3</v>
      </c>
      <c r="AL242" s="69">
        <f>VLOOKUP(F242,[2]Koostamine!$A$12:$P$1612,IF(J242&lt;1499,11,IF(J242&lt;2999,12,IF(J242&lt;5999,13,IF(J242&lt;9999,14,IF(J242&lt;12999,15,IF(J242&gt;13000,16)))))),FALSE)</f>
        <v>10</v>
      </c>
      <c r="AP242" s="146">
        <f>(VLOOKUP(F242,Terasehind!$A$2:$B$171,2,FALSE))</f>
        <v>0.95</v>
      </c>
      <c r="AQ242" s="50">
        <f>(VLOOKUP(F242,Terasehind!$A$2:$C$171,3,FALSE))</f>
        <v>1.1299999999999999</v>
      </c>
      <c r="AR242" s="138">
        <f>AP242*AQ242*B242</f>
        <v>1729.6232</v>
      </c>
      <c r="AT242" s="62"/>
      <c r="AU242" s="62"/>
      <c r="AV242" s="62"/>
      <c r="AW242" s="62"/>
      <c r="AX242" s="62"/>
      <c r="AY242" s="62"/>
      <c r="AZ242"/>
      <c r="BA242" s="188"/>
      <c r="BB242" s="189"/>
      <c r="BC242" s="57"/>
      <c r="BD242" s="57"/>
      <c r="BE242" s="57"/>
      <c r="BF242" s="57"/>
      <c r="BG242" s="57"/>
      <c r="BH242" s="57"/>
      <c r="BI242" s="57"/>
      <c r="BJ242" s="60"/>
      <c r="BK242" s="57"/>
      <c r="BL242" s="60"/>
      <c r="BM242" s="83"/>
      <c r="BO242" s="109"/>
    </row>
    <row r="243" spans="1:69" s="50" customFormat="1" x14ac:dyDescent="0.25">
      <c r="A243" s="116">
        <f t="shared" ref="A243:A244" si="416">H243*J243*(RIGHT(F243,2))*7.85/(10^6)</f>
        <v>0.86350000000000005</v>
      </c>
      <c r="B243" s="116">
        <f t="shared" ref="B243:B244" si="417">A243*L243</f>
        <v>3.4540000000000002</v>
      </c>
      <c r="C243" s="118"/>
      <c r="D243" s="117" t="s">
        <v>85</v>
      </c>
      <c r="E243" s="117"/>
      <c r="F243" s="355" t="s">
        <v>82</v>
      </c>
      <c r="G243" s="117" t="s">
        <v>83</v>
      </c>
      <c r="H243" s="119">
        <v>50</v>
      </c>
      <c r="I243" s="118" t="s">
        <v>77</v>
      </c>
      <c r="J243" s="119">
        <v>220</v>
      </c>
      <c r="K243" s="119">
        <v>2</v>
      </c>
      <c r="L243" s="119">
        <f>K$243*L$239</f>
        <v>4</v>
      </c>
      <c r="M243" s="116">
        <f t="shared" ref="M243:M244" si="418">2*H243*J243/10^6*L243</f>
        <v>8.7999999999999995E-2</v>
      </c>
      <c r="N243" s="118" t="s">
        <v>84</v>
      </c>
      <c r="P243" s="118"/>
      <c r="Q243" s="135"/>
      <c r="R243" s="118"/>
      <c r="S243" s="118"/>
      <c r="T243" s="118"/>
      <c r="U243" s="118"/>
      <c r="V243" s="118"/>
      <c r="W243" s="118"/>
      <c r="X243" s="118"/>
      <c r="Y243" s="118"/>
      <c r="Z243" s="118"/>
      <c r="AA243" s="118"/>
      <c r="AB243" s="118" t="s">
        <v>78</v>
      </c>
      <c r="AC243" s="136">
        <f>((((H243+J243)*2/1000)*L243*(5/(VLOOKUP(F243,[2]Plasmalõikus!$A$7:$E$46,2,FALSE)/1000*60)))+(Q243*L243*(5*(VLOOKUP(F243,[2]Plasmalõikus!$A$7:$E$48,3,FALSE))/60/60)))</f>
        <v>7.2000000000000008E-2</v>
      </c>
      <c r="AD243" s="353" t="str">
        <f t="shared" ref="AD243" si="419">IF(C243="WQ",0.012*((H243+J243)*2/1000*L243),IF(OR(VALUE(MID(F243,6,10))&gt;=20,H243&gt;300,J243&gt;300),0.012*((H243+J243)*2/1000*L243)," "))</f>
        <v xml:space="preserve"> </v>
      </c>
      <c r="AE243" s="136"/>
      <c r="AF243" s="137"/>
      <c r="AG243" s="137">
        <f t="shared" ref="AG243:AG244" si="420">IF(VALUE(MID(F243,SEARCH(" ",F243)+1,LEN(F243)))&lt;35,0,IF(VALUE(MID(F243,SEARCH(" ",F243)+1,LEN(F243)))&lt;40,3,IF(VALUE(MID(F243,SEARCH(" ",F243)+1,LEN(F243)))&lt;50,4,IF(VALUE(MID(F243,SEARCH(" ",F243)+1,LEN(F243)))&lt;60,5,IF(VALUE(MID(F243,SEARCH(" ",F243)+1,LEN(F243)))&lt;70,6,IF(VALUE(MID(F243,SEARCH(" ",F243)+1,LEN(F243)))&lt;80,7,IF(VALUE(MID(F243,SEARCH(" ",F243)+1,LEN(F243)))&lt;90,8,IF(VALUE(MID(F243,SEARCH(" ",F243)+1,LEN(F243)))&lt;100,9,10))))))))/60*Q243*L243</f>
        <v>0</v>
      </c>
      <c r="AH243" s="136"/>
      <c r="AI243" s="132">
        <f t="shared" ref="AI243:AI247" si="421">AL243*L243/60</f>
        <v>0.13333333333333333</v>
      </c>
      <c r="AJ243" s="70">
        <f>(J243*2*AK243)*L243/1000</f>
        <v>1.76</v>
      </c>
      <c r="AK243" s="50">
        <v>1</v>
      </c>
      <c r="AL243" s="69" t="str">
        <f>IF(AND(Q243&gt;0,A243&lt;3),"10",IF(AND(Q243&gt;0,A243&lt;10),"15",IF(AND(Q243&gt;0,A243&lt;20),"20",IF(AND(Q243&gt;0,A243&lt;500),"30",IF(AND(Q243=0,A243&lt;3),"2",IF(AND(Q243=0,A243&lt;10),"5",IF(AND(Q243=0,A243&lt;20),"10",IF(AND(Q243=0,A243&lt;500),"20","2"))))))))</f>
        <v>2</v>
      </c>
      <c r="AN243" s="66"/>
      <c r="AP243" s="146">
        <f>(VLOOKUP(F243,Terasehind!$A$2:$B$171,2,FALSE))</f>
        <v>0.92</v>
      </c>
      <c r="AQ243" s="50">
        <f>(VLOOKUP(F243,Terasehind!$A$2:$C$171,3,FALSE))</f>
        <v>1.1000000000000001</v>
      </c>
      <c r="AR243" s="138">
        <f t="shared" ref="AR243:AR247" si="422">AP243*AQ243*B243</f>
        <v>3.495448000000001</v>
      </c>
      <c r="AS243"/>
      <c r="AT243"/>
      <c r="AU243"/>
      <c r="AV243"/>
      <c r="AW243"/>
      <c r="AX243"/>
      <c r="AY243"/>
      <c r="AZ243"/>
      <c r="BA243" s="188">
        <f t="shared" ref="BA243:BA244" si="423">(H243*2+J243*2)*2*2/60/1000*L243</f>
        <v>0.14399999999999999</v>
      </c>
      <c r="BB243" s="189"/>
      <c r="BC243" s="57"/>
      <c r="BD243" s="57"/>
      <c r="BE243" s="57"/>
      <c r="BF243" s="57"/>
      <c r="BG243" s="57"/>
      <c r="BH243" s="57"/>
      <c r="BI243" s="57"/>
      <c r="BJ243" s="57"/>
      <c r="BK243" s="109"/>
      <c r="BL243" s="109"/>
      <c r="BM243" s="109"/>
      <c r="BN243" s="83"/>
      <c r="BP243" s="83"/>
      <c r="BQ243" s="83"/>
    </row>
    <row r="244" spans="1:69" s="50" customFormat="1" x14ac:dyDescent="0.25">
      <c r="A244" s="116">
        <f t="shared" si="416"/>
        <v>16.164719999999999</v>
      </c>
      <c r="B244" s="116">
        <f t="shared" si="417"/>
        <v>129.31775999999999</v>
      </c>
      <c r="C244" s="118" t="s">
        <v>479</v>
      </c>
      <c r="D244" s="117" t="s">
        <v>88</v>
      </c>
      <c r="E244" s="117"/>
      <c r="F244" s="355" t="s">
        <v>339</v>
      </c>
      <c r="G244" s="117" t="s">
        <v>83</v>
      </c>
      <c r="H244" s="119">
        <v>390</v>
      </c>
      <c r="I244" s="118" t="s">
        <v>77</v>
      </c>
      <c r="J244" s="119">
        <v>440</v>
      </c>
      <c r="K244" s="119">
        <v>4</v>
      </c>
      <c r="L244" s="119">
        <f>K$244*L$239</f>
        <v>8</v>
      </c>
      <c r="M244" s="116">
        <f t="shared" si="418"/>
        <v>2.7456</v>
      </c>
      <c r="N244" s="118" t="s">
        <v>84</v>
      </c>
      <c r="P244" s="118"/>
      <c r="Q244" s="135">
        <v>20</v>
      </c>
      <c r="R244" s="118"/>
      <c r="S244" s="118"/>
      <c r="T244" s="118"/>
      <c r="U244" s="118"/>
      <c r="V244" s="118"/>
      <c r="W244" s="118"/>
      <c r="X244" s="118"/>
      <c r="Y244" s="118"/>
      <c r="Z244" s="118"/>
      <c r="AA244" s="118"/>
      <c r="AB244" s="118" t="s">
        <v>78</v>
      </c>
      <c r="AC244" s="136">
        <f>((((H244+J244)*2/1000)*L244*(5/(VLOOKUP(F244,[2]Plasmalõikus!$A$7:$E$46,2,FALSE)/1000*60)))+(Q244*L244*(5*(VLOOKUP(F244,[2]Plasmalõikus!$A$7:$E$48,3,FALSE))/60/60)))</f>
        <v>2.4422222222222221</v>
      </c>
      <c r="AD244" s="353"/>
      <c r="AE244" s="136"/>
      <c r="AF244" s="137"/>
      <c r="AG244" s="137">
        <f t="shared" si="420"/>
        <v>0</v>
      </c>
      <c r="AH244" s="136"/>
      <c r="AI244" s="132">
        <f t="shared" si="421"/>
        <v>2.6666666666666665</v>
      </c>
      <c r="AJ244" s="70"/>
      <c r="AL244" s="69" t="str">
        <f t="shared" ref="AL244" si="424">IF(AND(Q244&gt;0,A244&lt;3),"10",IF(AND(Q244&gt;0,A244&lt;10),"15",IF(AND(Q244&gt;0,A244&lt;20),"20",IF(AND(Q244&gt;0,A244&lt;500),"30",IF(AND(Q244=0,A244&lt;3),"2",IF(AND(Q244=0,A244&lt;10),"5",IF(AND(Q244=0,A244&lt;20),"10",IF(AND(Q244=0,A244&lt;500),"20","2"))))))))</f>
        <v>20</v>
      </c>
      <c r="AN244" s="66"/>
      <c r="AP244" s="146">
        <f>(VLOOKUP(F244,Terasehind!$A$2:$B$171,2,FALSE))</f>
        <v>0.92</v>
      </c>
      <c r="AQ244" s="50">
        <f>(VLOOKUP(F244,Terasehind!$A$2:$C$171,3,FALSE))</f>
        <v>1.1000000000000001</v>
      </c>
      <c r="AR244" s="138">
        <f t="shared" si="422"/>
        <v>130.86957312000001</v>
      </c>
      <c r="AS244"/>
      <c r="AT244"/>
      <c r="AU244"/>
      <c r="AV244"/>
      <c r="AW244"/>
      <c r="AX244"/>
      <c r="AY244"/>
      <c r="AZ244"/>
      <c r="BA244" s="188">
        <f t="shared" si="423"/>
        <v>0.88533333333333342</v>
      </c>
      <c r="BB244" s="189"/>
      <c r="BC244" s="57"/>
      <c r="BD244" s="57"/>
      <c r="BE244" s="57"/>
      <c r="BF244" s="57"/>
      <c r="BG244" s="57"/>
      <c r="BH244" s="57"/>
      <c r="BI244" s="57"/>
      <c r="BJ244" s="57"/>
      <c r="BK244" s="109"/>
      <c r="BL244" s="109"/>
      <c r="BM244" s="109"/>
      <c r="BN244" s="83"/>
      <c r="BP244" s="83"/>
      <c r="BQ244" s="83"/>
    </row>
    <row r="245" spans="1:69" s="50" customFormat="1" x14ac:dyDescent="0.25">
      <c r="A245" s="116">
        <f xml:space="preserve"> 11.3*J245/10^3</f>
        <v>6.2714999999999996</v>
      </c>
      <c r="B245" s="116">
        <f>A245*L245</f>
        <v>401.37599999999998</v>
      </c>
      <c r="C245" s="295"/>
      <c r="D245" s="117" t="s">
        <v>340</v>
      </c>
      <c r="E245" s="117"/>
      <c r="F245" s="355" t="s">
        <v>461</v>
      </c>
      <c r="G245" s="140" t="s">
        <v>79</v>
      </c>
      <c r="H245" s="119">
        <v>150</v>
      </c>
      <c r="I245" s="118" t="s">
        <v>77</v>
      </c>
      <c r="J245" s="119">
        <v>555</v>
      </c>
      <c r="K245" s="119">
        <f>16*2</f>
        <v>32</v>
      </c>
      <c r="L245" s="119">
        <f>K$245*L$239</f>
        <v>64</v>
      </c>
      <c r="M245" s="131">
        <f xml:space="preserve"> 0.49*J245*L245/10^3</f>
        <v>17.404799999999998</v>
      </c>
      <c r="N245" s="118"/>
      <c r="O245" s="118"/>
      <c r="P245" s="118" t="s">
        <v>78</v>
      </c>
      <c r="Q245" s="135"/>
      <c r="R245" s="118"/>
      <c r="S245" s="118"/>
      <c r="T245" s="118"/>
      <c r="U245" s="118"/>
      <c r="V245" s="118"/>
      <c r="W245" s="118"/>
      <c r="Y245" s="118"/>
      <c r="Z245" s="118"/>
      <c r="AA245" s="118"/>
      <c r="AB245" s="118" t="s">
        <v>78</v>
      </c>
      <c r="AC245" s="136"/>
      <c r="AD245" s="83"/>
      <c r="AE245" s="136">
        <f t="shared" ref="AE245" si="425">(H245/20/60)*2*L245</f>
        <v>16</v>
      </c>
      <c r="AF245" s="137"/>
      <c r="AG245" s="132">
        <f>L245*5/60</f>
        <v>5.333333333333333</v>
      </c>
      <c r="AH245" s="83"/>
      <c r="AI245" s="132">
        <f t="shared" si="421"/>
        <v>2.1333333333333333</v>
      </c>
      <c r="AJ245" s="70">
        <f>(J245*2*AK245)*1/2*L245/1000+(H245*4*AK245)*2*L245/1000</f>
        <v>112.32</v>
      </c>
      <c r="AK245" s="50">
        <f>(VLOOKUP(F245,[2]Koostamine!$A$12:$P$1612,7,FALSE))</f>
        <v>1</v>
      </c>
      <c r="AL245" s="69">
        <f>VLOOKUP(F245,[2]Koostamine!$A$12:$P$1612,IF(J245&lt;1499,11,IF(J245&lt;2999,12,IF(J245&lt;5999,13,IF(J245&lt;9999,14,IF(J245&lt;12999,15,IF(J245&gt;13000,16)))))),FALSE)</f>
        <v>2</v>
      </c>
      <c r="AP245" s="146">
        <f>(VLOOKUP(F245,Terasehind!$A$2:$B$171,2,FALSE))</f>
        <v>0.92</v>
      </c>
      <c r="AQ245" s="50">
        <f>(VLOOKUP(F245,Terasehind!$A$2:$C$171,3,FALSE))</f>
        <v>1.1000000000000001</v>
      </c>
      <c r="AR245" s="138">
        <f t="shared" si="422"/>
        <v>406.19251200000008</v>
      </c>
      <c r="AT245" s="60"/>
      <c r="AU245" s="77"/>
      <c r="AV245" s="77"/>
      <c r="AW245" s="77"/>
      <c r="AX245" s="121"/>
      <c r="AY245" s="77"/>
      <c r="AZ245" s="77"/>
      <c r="BA245" s="188"/>
      <c r="BB245" s="283"/>
      <c r="BC245" s="62"/>
      <c r="BD245" s="284"/>
      <c r="BE245" s="131"/>
      <c r="BF245"/>
      <c r="BG245" s="57"/>
      <c r="BH245" s="57"/>
      <c r="BI245" s="57"/>
      <c r="BJ245" s="57"/>
      <c r="BK245" s="57"/>
      <c r="BL245" s="60"/>
      <c r="BM245" s="57"/>
      <c r="BN245" s="60"/>
      <c r="BO245" s="83"/>
      <c r="BQ245" s="109"/>
    </row>
    <row r="246" spans="1:69" s="50" customFormat="1" x14ac:dyDescent="0.25">
      <c r="A246" s="116">
        <f t="shared" ref="A246:A247" si="426">H246*J246*(RIGHT(F246,2))*7.85/(10^6)</f>
        <v>0.47099999999999997</v>
      </c>
      <c r="B246" s="116">
        <f t="shared" ref="B246:B247" si="427">A246*L246</f>
        <v>60.287999999999997</v>
      </c>
      <c r="C246" s="118" t="s">
        <v>80</v>
      </c>
      <c r="D246" s="117" t="s">
        <v>81</v>
      </c>
      <c r="E246" s="117"/>
      <c r="F246" s="355" t="s">
        <v>487</v>
      </c>
      <c r="G246" s="117" t="s">
        <v>83</v>
      </c>
      <c r="H246" s="119">
        <v>100</v>
      </c>
      <c r="I246" s="118" t="s">
        <v>77</v>
      </c>
      <c r="J246" s="119">
        <v>150</v>
      </c>
      <c r="K246" s="119">
        <f>16*2*2</f>
        <v>64</v>
      </c>
      <c r="L246" s="119">
        <f>K$246*L$239</f>
        <v>128</v>
      </c>
      <c r="M246" s="116">
        <f t="shared" ref="M246:M247" si="428">2*H246*J246/10^6*L246</f>
        <v>3.84</v>
      </c>
      <c r="N246" s="118" t="s">
        <v>84</v>
      </c>
      <c r="P246" s="118"/>
      <c r="Q246" s="135"/>
      <c r="R246" s="118"/>
      <c r="S246" s="118"/>
      <c r="T246" s="118"/>
      <c r="U246" s="118"/>
      <c r="V246" s="118"/>
      <c r="W246" s="118"/>
      <c r="X246" s="118"/>
      <c r="Y246" s="118"/>
      <c r="Z246" s="118"/>
      <c r="AA246" s="118"/>
      <c r="AB246" s="118" t="s">
        <v>78</v>
      </c>
      <c r="AC246" s="136">
        <f>((((H246+J246)*2/1000)*L246*(5/(VLOOKUP(F246,[2]Plasmalõikus!$A$7:$E$46,2,FALSE)/1000*60)))+(Q246*L246*(5*(VLOOKUP(F246,[2]Plasmalõikus!$A$7:$E$48,3,FALSE))/60/60)))</f>
        <v>1.4035087719298245</v>
      </c>
      <c r="AD246" s="353"/>
      <c r="AE246" s="136"/>
      <c r="AF246" s="137"/>
      <c r="AG246" s="137">
        <f t="shared" ref="AG246:AG247" si="429">IF(VALUE(MID(F246,SEARCH(" ",F246)+1,LEN(F246)))&lt;35,0,IF(VALUE(MID(F246,SEARCH(" ",F246)+1,LEN(F246)))&lt;40,3,IF(VALUE(MID(F246,SEARCH(" ",F246)+1,LEN(F246)))&lt;50,4,IF(VALUE(MID(F246,SEARCH(" ",F246)+1,LEN(F246)))&lt;60,5,IF(VALUE(MID(F246,SEARCH(" ",F246)+1,LEN(F246)))&lt;70,6,IF(VALUE(MID(F246,SEARCH(" ",F246)+1,LEN(F246)))&lt;80,7,IF(VALUE(MID(F246,SEARCH(" ",F246)+1,LEN(F246)))&lt;90,8,IF(VALUE(MID(F246,SEARCH(" ",F246)+1,LEN(F246)))&lt;100,9,10))))))))/60*Q246*L246</f>
        <v>0</v>
      </c>
      <c r="AH246" s="136"/>
      <c r="AI246" s="132">
        <f t="shared" si="421"/>
        <v>4.2666666666666666</v>
      </c>
      <c r="AJ246" s="70"/>
      <c r="AK246" s="50">
        <v>6</v>
      </c>
      <c r="AL246" s="69" t="str">
        <f t="shared" ref="AL246:AL247" si="430">IF(AND(Q246&gt;0,A246&lt;3),"10",IF(AND(Q246&gt;0,A246&lt;10),"15",IF(AND(Q246&gt;0,A246&lt;20),"20",IF(AND(Q246&gt;0,A246&lt;500),"30",IF(AND(Q246=0,A246&lt;3),"2",IF(AND(Q246=0,A246&lt;10),"5",IF(AND(Q246=0,A246&lt;20),"10",IF(AND(Q246=0,A246&lt;500),"20","2"))))))))</f>
        <v>2</v>
      </c>
      <c r="AN246" s="66"/>
      <c r="AP246" s="146">
        <f>(VLOOKUP(F246,Terasehind!$A$2:$B$171,2,FALSE))</f>
        <v>0.92</v>
      </c>
      <c r="AQ246" s="50">
        <f>(VLOOKUP(F246,Terasehind!$A$2:$C$171,3,FALSE))</f>
        <v>1.1000000000000001</v>
      </c>
      <c r="AR246" s="138">
        <f t="shared" si="422"/>
        <v>61.01145600000001</v>
      </c>
      <c r="AS246"/>
      <c r="AT246"/>
      <c r="AU246"/>
      <c r="AV246"/>
      <c r="AW246"/>
      <c r="AX246"/>
      <c r="AY246"/>
      <c r="AZ246"/>
      <c r="BA246" s="188">
        <f>(H246*2+J246*2)*2*2/60/1000*L246</f>
        <v>4.2666666666666666</v>
      </c>
      <c r="BB246" s="189"/>
      <c r="BC246" s="57"/>
      <c r="BD246" s="57"/>
      <c r="BE246" s="57"/>
      <c r="BF246" s="57"/>
      <c r="BG246" s="57"/>
      <c r="BH246" s="57"/>
      <c r="BI246" s="57"/>
      <c r="BJ246" s="57"/>
      <c r="BK246" s="109"/>
      <c r="BL246" s="109"/>
      <c r="BM246" s="109"/>
      <c r="BN246" s="83"/>
      <c r="BP246" s="83"/>
      <c r="BQ246" s="83"/>
    </row>
    <row r="247" spans="1:69" s="50" customFormat="1" x14ac:dyDescent="0.25">
      <c r="A247" s="116">
        <f t="shared" si="426"/>
        <v>3.4540000000000002</v>
      </c>
      <c r="B247" s="116">
        <f t="shared" si="427"/>
        <v>69.08</v>
      </c>
      <c r="C247" s="118" t="s">
        <v>93</v>
      </c>
      <c r="D247" s="117" t="s">
        <v>88</v>
      </c>
      <c r="E247" s="117"/>
      <c r="F247" s="355" t="s">
        <v>337</v>
      </c>
      <c r="G247" s="117" t="s">
        <v>83</v>
      </c>
      <c r="H247" s="119">
        <v>100</v>
      </c>
      <c r="I247" s="118" t="s">
        <v>77</v>
      </c>
      <c r="J247" s="119">
        <v>550</v>
      </c>
      <c r="K247" s="119">
        <v>10</v>
      </c>
      <c r="L247" s="119">
        <f>K$247*L$239</f>
        <v>20</v>
      </c>
      <c r="M247" s="116">
        <f t="shared" si="428"/>
        <v>2.2000000000000002</v>
      </c>
      <c r="N247" s="118" t="s">
        <v>84</v>
      </c>
      <c r="P247" s="118"/>
      <c r="Q247" s="135"/>
      <c r="R247" s="118"/>
      <c r="S247" s="118"/>
      <c r="T247" s="118"/>
      <c r="U247" s="118"/>
      <c r="V247" s="118"/>
      <c r="W247" s="118"/>
      <c r="X247" s="118"/>
      <c r="Y247" s="118"/>
      <c r="Z247" s="118"/>
      <c r="AA247" s="118"/>
      <c r="AB247" s="118" t="s">
        <v>78</v>
      </c>
      <c r="AC247" s="136">
        <f>((((H247+J247)*2/1000)*L247*(5/(VLOOKUP(F247,[2]Plasmalõikus!$A$7:$E$46,2,FALSE)/1000*60)))+(Q247*L247*(5*(VLOOKUP(F247,[2]Plasmalõikus!$A$7:$E$48,3,FALSE))/60/60)))</f>
        <v>0.72222222222222221</v>
      </c>
      <c r="AD247" s="353"/>
      <c r="AE247" s="136"/>
      <c r="AF247" s="137"/>
      <c r="AG247" s="137">
        <f t="shared" si="429"/>
        <v>0</v>
      </c>
      <c r="AH247" s="136"/>
      <c r="AI247" s="132">
        <f t="shared" si="421"/>
        <v>1.6666666666666667</v>
      </c>
      <c r="AJ247" s="70">
        <f>(J247*2*AK247+H247*4*AK247)*L247/1000</f>
        <v>30</v>
      </c>
      <c r="AK247" s="50">
        <v>1</v>
      </c>
      <c r="AL247" s="69" t="str">
        <f t="shared" si="430"/>
        <v>5</v>
      </c>
      <c r="AN247" s="66"/>
      <c r="AP247" s="146">
        <f>(VLOOKUP(F247,Terasehind!$A$2:$B$171,2,FALSE))</f>
        <v>0.92</v>
      </c>
      <c r="AQ247" s="50">
        <f>(VLOOKUP(F247,Terasehind!$A$2:$C$171,3,FALSE))</f>
        <v>1.1000000000000001</v>
      </c>
      <c r="AR247" s="138">
        <f t="shared" si="422"/>
        <v>69.908960000000008</v>
      </c>
      <c r="AS247"/>
      <c r="AT247"/>
      <c r="AU247"/>
      <c r="AV247"/>
      <c r="AW247"/>
      <c r="AX247"/>
      <c r="AY247"/>
      <c r="AZ247"/>
      <c r="BA247" s="188">
        <f t="shared" ref="BA247" si="431">(H247*2+J247*2)*2*2/60/1000*L247</f>
        <v>1.7333333333333334</v>
      </c>
      <c r="BB247" s="189"/>
      <c r="BC247" s="57"/>
      <c r="BD247" s="57"/>
      <c r="BE247" s="57"/>
      <c r="BF247" s="57"/>
      <c r="BG247" s="57"/>
      <c r="BH247" s="57"/>
      <c r="BI247" s="57"/>
      <c r="BJ247" s="57"/>
      <c r="BK247" s="109"/>
      <c r="BL247" s="109"/>
      <c r="BM247" s="109"/>
      <c r="BN247" s="83"/>
      <c r="BP247" s="83"/>
      <c r="BQ247" s="83"/>
    </row>
    <row r="248" spans="1:69" s="50" customFormat="1" x14ac:dyDescent="0.25">
      <c r="A248" s="116"/>
      <c r="B248" s="116"/>
      <c r="C248" s="118"/>
      <c r="D248" s="117"/>
      <c r="E248" s="117"/>
      <c r="F248" s="269"/>
      <c r="G248" s="117"/>
      <c r="H248" s="119"/>
      <c r="I248" s="118"/>
      <c r="J248" s="119"/>
      <c r="K248" s="119"/>
      <c r="L248" s="119"/>
      <c r="M248" s="119"/>
      <c r="N248" s="119"/>
      <c r="O248" s="119"/>
      <c r="P248" s="119"/>
      <c r="Q248" s="119"/>
      <c r="R248" s="118"/>
      <c r="S248" s="118"/>
      <c r="T248" s="118"/>
      <c r="U248" s="118"/>
      <c r="V248" s="118"/>
      <c r="W248" s="118"/>
      <c r="X248" s="118"/>
      <c r="Y248" s="118"/>
      <c r="Z248" s="118"/>
      <c r="AA248" s="118"/>
      <c r="AB248" s="118"/>
      <c r="AC248" s="136"/>
      <c r="AD248" s="136"/>
      <c r="AE248" s="136"/>
      <c r="AF248" s="136"/>
      <c r="AG248" s="136"/>
      <c r="AH248" s="136"/>
      <c r="AI248" s="132"/>
      <c r="AJ248" s="60"/>
      <c r="AN248" s="66"/>
      <c r="AP248" s="146"/>
      <c r="AR248" s="138"/>
      <c r="AT248" s="62"/>
      <c r="AU248" s="62"/>
      <c r="AV248" s="62"/>
      <c r="AW248" s="62"/>
      <c r="AX248" s="62"/>
      <c r="AY248" s="62"/>
      <c r="AZ248"/>
      <c r="BA248" s="192"/>
      <c r="BB248" s="188"/>
      <c r="BC248" s="57"/>
      <c r="BD248" s="57"/>
      <c r="BE248" s="57"/>
      <c r="BF248" s="57"/>
      <c r="BG248" s="57"/>
      <c r="BH248" s="57"/>
      <c r="BI248" s="57"/>
      <c r="BJ248" s="109"/>
      <c r="BK248" s="109"/>
      <c r="BL248" s="109"/>
      <c r="BM248" s="83"/>
      <c r="BO248" s="83"/>
      <c r="BP248" s="83"/>
    </row>
    <row r="249" spans="1:69" s="50" customFormat="1" x14ac:dyDescent="0.25">
      <c r="A249" s="148">
        <f>B249/L249</f>
        <v>569.15044</v>
      </c>
      <c r="B249" s="148">
        <f>SUM(B256,B255,B254,B253,B252,B251,B250,0)</f>
        <v>2276.60176</v>
      </c>
      <c r="C249" s="152"/>
      <c r="D249" s="149" t="s">
        <v>76</v>
      </c>
      <c r="E249" s="149"/>
      <c r="F249" s="365"/>
      <c r="G249" s="174" t="str">
        <f>$G$163</f>
        <v>C3VH</v>
      </c>
      <c r="H249" s="150"/>
      <c r="I249" s="151" t="s">
        <v>77</v>
      </c>
      <c r="J249" s="150">
        <f>J250</f>
        <v>3500</v>
      </c>
      <c r="K249" s="134">
        <v>4</v>
      </c>
      <c r="L249" s="150">
        <f>$L$163*$K$249</f>
        <v>4</v>
      </c>
      <c r="M249" s="148">
        <f>SUM(M256,M255,M254,M253,M252,M251,M250,0)</f>
        <v>46.452799999999996</v>
      </c>
      <c r="N249" s="151"/>
      <c r="O249" s="151"/>
      <c r="P249" s="151"/>
      <c r="Q249" s="151"/>
      <c r="R249" s="120"/>
      <c r="S249" s="120"/>
      <c r="T249" s="120"/>
      <c r="U249" s="120"/>
      <c r="V249" s="120"/>
      <c r="W249" s="118"/>
      <c r="X249" s="118" t="s">
        <v>78</v>
      </c>
      <c r="Y249" s="151">
        <v>4</v>
      </c>
      <c r="Z249" s="151"/>
      <c r="AA249" s="151"/>
      <c r="AB249" s="151"/>
      <c r="AC249" s="148">
        <f>SUM(AC256,AC255,AC254,AC253,AC252,AC251,AC250,0)</f>
        <v>4.3815438596491223</v>
      </c>
      <c r="AD249" s="148">
        <f>SUM(AD256,AD255,AD254,AD253,AD252,AD251,AD250,0)</f>
        <v>0</v>
      </c>
      <c r="AE249" s="148">
        <f>SUM(AE256,AE255,AE254,AE253,AE252,AE251,AE250,0)</f>
        <v>14.999999999999998</v>
      </c>
      <c r="AF249" s="148">
        <f>SUM(AF256,AF255,AF254,AF253,AF252,AF251,AF250,0)</f>
        <v>5.8666666666666671</v>
      </c>
      <c r="AG249" s="148">
        <f>SUM(AG256,AG255,AG254,AG253,AG252,AG251,AG250,0)</f>
        <v>2.1333333333333333</v>
      </c>
      <c r="AH249" s="107">
        <f>SUM(AC249:AG249)</f>
        <v>27.381543859649121</v>
      </c>
      <c r="AI249" s="107">
        <f>SUM(AI256,AI255,AI254,AI253,AI252,AI251,AI250,0)</f>
        <v>11.200000000000001</v>
      </c>
      <c r="AJ249" s="148">
        <f>SUM(AJ256,AJ255,AJ254,AJ253,AJ252,AJ251,AJ250,0)</f>
        <v>250</v>
      </c>
      <c r="AK249" s="107">
        <f>AJ249*10/60</f>
        <v>41.666666666666664</v>
      </c>
      <c r="AL249" s="148">
        <f>AH249+AI249+AK249</f>
        <v>80.248210526315788</v>
      </c>
      <c r="AM249" s="148">
        <f>B249/AL249</f>
        <v>28.369501887564635</v>
      </c>
      <c r="AN249" s="148">
        <f>AL249*46</f>
        <v>3691.4176842105262</v>
      </c>
      <c r="AO249" s="148">
        <f>AN249/B249</f>
        <v>1.6214595583069944</v>
      </c>
      <c r="AP249" s="148">
        <f>AR249/B249</f>
        <v>1.0629699157923869</v>
      </c>
      <c r="AQ249" s="67"/>
      <c r="AR249" s="148">
        <f>SUM(AR256,AR255,AR254,AR253,AR252,AR251,AR250,0)</f>
        <v>2419.9591811199998</v>
      </c>
      <c r="AT249" s="62"/>
      <c r="AU249" s="62"/>
      <c r="AV249" s="62"/>
      <c r="AW249" s="62"/>
      <c r="AX249" s="62"/>
      <c r="AY249" s="62"/>
      <c r="AZ249"/>
      <c r="BA249" s="148">
        <f>SUM(BA251,BA250,0)</f>
        <v>0.28799999999999998</v>
      </c>
      <c r="BB249" s="188"/>
      <c r="BC249" s="57"/>
      <c r="BD249" s="57"/>
      <c r="BE249" s="57"/>
      <c r="BF249" s="57"/>
      <c r="BG249" s="57"/>
      <c r="BH249" s="57"/>
      <c r="BI249" s="60"/>
    </row>
    <row r="250" spans="1:69" s="50" customFormat="1" x14ac:dyDescent="0.25">
      <c r="A250" s="366">
        <f xml:space="preserve"> 106*J250/10^3</f>
        <v>371</v>
      </c>
      <c r="B250" s="366">
        <f>A250*L250</f>
        <v>1484</v>
      </c>
      <c r="C250" s="367" t="s">
        <v>354</v>
      </c>
      <c r="D250" s="269" t="s">
        <v>76</v>
      </c>
      <c r="E250" s="269"/>
      <c r="F250" s="355" t="s">
        <v>401</v>
      </c>
      <c r="G250" s="368" t="s">
        <v>83</v>
      </c>
      <c r="H250" s="369">
        <v>550</v>
      </c>
      <c r="I250" s="355" t="s">
        <v>77</v>
      </c>
      <c r="J250" s="369">
        <v>3500</v>
      </c>
      <c r="K250" s="370">
        <v>1</v>
      </c>
      <c r="L250" s="369">
        <f>K$250*L$249</f>
        <v>4</v>
      </c>
      <c r="M250" s="371">
        <f xml:space="preserve"> 1.9*J250*L250/10^3</f>
        <v>26.6</v>
      </c>
      <c r="N250" s="355"/>
      <c r="O250" s="355"/>
      <c r="P250" s="355" t="s">
        <v>78</v>
      </c>
      <c r="Q250" s="135">
        <v>16</v>
      </c>
      <c r="R250" s="118"/>
      <c r="S250" s="118"/>
      <c r="T250" s="118"/>
      <c r="U250" s="118"/>
      <c r="V250" s="118"/>
      <c r="W250" s="118"/>
      <c r="Y250" s="118"/>
      <c r="Z250" s="118"/>
      <c r="AA250" s="118"/>
      <c r="AB250" s="118" t="s">
        <v>78</v>
      </c>
      <c r="AC250" s="116"/>
      <c r="AD250" s="83"/>
      <c r="AE250" s="136">
        <f>(H250/20/60)*2*L250</f>
        <v>3.6666666666666665</v>
      </c>
      <c r="AF250" s="137">
        <f>(H250*4)*2*20/60/1000*L250</f>
        <v>5.8666666666666671</v>
      </c>
      <c r="AG250" s="132">
        <f>Q250*L250*0.5/60</f>
        <v>0.53333333333333333</v>
      </c>
      <c r="AH250" s="83"/>
      <c r="AI250" s="132">
        <f>AL250*L250/60</f>
        <v>2</v>
      </c>
      <c r="AJ250" s="70">
        <f>(H250*4*AK250)*1*L250/1000</f>
        <v>52.8</v>
      </c>
      <c r="AK250" s="50">
        <f>(VLOOKUP(F250,[2]Koostamine!$A$12:$P$1612,7,FALSE))</f>
        <v>6</v>
      </c>
      <c r="AL250" s="69">
        <f>VLOOKUP(F250,[2]Koostamine!$A$12:$P$1612,IF(J250&lt;1499,11,IF(J250&lt;2999,12,IF(J250&lt;5999,13,IF(J250&lt;9999,14,IF(J250&lt;12999,15,IF(J250&gt;13000,16)))))),FALSE)</f>
        <v>30</v>
      </c>
      <c r="AP250" s="146">
        <f>(VLOOKUP(F250,Terasehind!$A$2:$B$171,2,FALSE))</f>
        <v>0.95</v>
      </c>
      <c r="AQ250" s="50">
        <f>(VLOOKUP(F250,Terasehind!$A$2:$C$171,3,FALSE))</f>
        <v>1.1299999999999999</v>
      </c>
      <c r="AR250" s="138">
        <f>AP250*AQ250*B250</f>
        <v>1593.0739999999998</v>
      </c>
      <c r="AT250" s="62"/>
      <c r="AU250" s="62"/>
      <c r="AV250" s="62"/>
      <c r="AW250" s="62"/>
      <c r="AX250" s="62"/>
      <c r="AY250" s="62"/>
      <c r="AZ250"/>
      <c r="BA250" s="188"/>
      <c r="BB250" s="189"/>
      <c r="BC250" s="57"/>
      <c r="BD250" s="57"/>
      <c r="BE250" s="57"/>
      <c r="BF250" s="57"/>
      <c r="BG250" s="57"/>
      <c r="BH250" s="57"/>
      <c r="BI250" s="57"/>
      <c r="BJ250" s="60"/>
      <c r="BK250" s="57"/>
      <c r="BL250" s="60"/>
      <c r="BM250" s="83"/>
      <c r="BO250" s="109"/>
    </row>
    <row r="251" spans="1:69" s="50" customFormat="1" x14ac:dyDescent="0.25">
      <c r="A251" s="116">
        <f t="shared" ref="A251:A253" si="432">H251*J251*(RIGHT(F251,2))*7.85/(10^6)</f>
        <v>0.86350000000000005</v>
      </c>
      <c r="B251" s="116">
        <f t="shared" ref="B251:B253" si="433">A251*L251</f>
        <v>6.9080000000000004</v>
      </c>
      <c r="C251" s="118"/>
      <c r="D251" s="117" t="s">
        <v>85</v>
      </c>
      <c r="E251" s="117"/>
      <c r="F251" s="355" t="s">
        <v>82</v>
      </c>
      <c r="G251" s="117" t="s">
        <v>83</v>
      </c>
      <c r="H251" s="119">
        <v>50</v>
      </c>
      <c r="I251" s="118" t="s">
        <v>77</v>
      </c>
      <c r="J251" s="119">
        <v>220</v>
      </c>
      <c r="K251" s="119">
        <v>2</v>
      </c>
      <c r="L251" s="119">
        <f>K$251*L$249</f>
        <v>8</v>
      </c>
      <c r="M251" s="116">
        <f t="shared" ref="M251:M253" si="434">2*H251*J251/10^6*L251</f>
        <v>0.17599999999999999</v>
      </c>
      <c r="N251" s="118" t="s">
        <v>84</v>
      </c>
      <c r="P251" s="118"/>
      <c r="Q251" s="135"/>
      <c r="R251" s="118"/>
      <c r="S251" s="118"/>
      <c r="T251" s="118"/>
      <c r="U251" s="118"/>
      <c r="V251" s="118"/>
      <c r="W251" s="118"/>
      <c r="X251" s="118"/>
      <c r="Y251" s="118"/>
      <c r="Z251" s="118"/>
      <c r="AA251" s="118"/>
      <c r="AB251" s="118" t="s">
        <v>78</v>
      </c>
      <c r="AC251" s="136">
        <f>((((H251+J251)*2/1000)*L251*(5/(VLOOKUP(F251,[2]Plasmalõikus!$A$7:$E$46,2,FALSE)/1000*60)))+(Q251*L251*(5*(VLOOKUP(F251,[2]Plasmalõikus!$A$7:$E$48,3,FALSE))/60/60)))</f>
        <v>0.14400000000000002</v>
      </c>
      <c r="AD251" s="353" t="str">
        <f t="shared" ref="AD251" si="435">IF(C251="WQ",0.012*((H251+J251)*2/1000*L251),IF(OR(VALUE(MID(F251,6,10))&gt;=20,H251&gt;300,J251&gt;300),0.012*((H251+J251)*2/1000*L251)," "))</f>
        <v xml:space="preserve"> </v>
      </c>
      <c r="AE251" s="136"/>
      <c r="AF251" s="137"/>
      <c r="AG251" s="137">
        <f t="shared" ref="AG251:AG253" si="436">IF(VALUE(MID(F251,SEARCH(" ",F251)+1,LEN(F251)))&lt;35,0,IF(VALUE(MID(F251,SEARCH(" ",F251)+1,LEN(F251)))&lt;40,3,IF(VALUE(MID(F251,SEARCH(" ",F251)+1,LEN(F251)))&lt;50,4,IF(VALUE(MID(F251,SEARCH(" ",F251)+1,LEN(F251)))&lt;60,5,IF(VALUE(MID(F251,SEARCH(" ",F251)+1,LEN(F251)))&lt;70,6,IF(VALUE(MID(F251,SEARCH(" ",F251)+1,LEN(F251)))&lt;80,7,IF(VALUE(MID(F251,SEARCH(" ",F251)+1,LEN(F251)))&lt;90,8,IF(VALUE(MID(F251,SEARCH(" ",F251)+1,LEN(F251)))&lt;100,9,10))))))))/60*Q251*L251</f>
        <v>0</v>
      </c>
      <c r="AH251" s="136"/>
      <c r="AI251" s="132">
        <f t="shared" ref="AI251:AI256" si="437">AL251*L251/60</f>
        <v>0.26666666666666666</v>
      </c>
      <c r="AJ251" s="70">
        <f>(J251*2*AK251)*L251/1000</f>
        <v>3.52</v>
      </c>
      <c r="AK251" s="50">
        <v>1</v>
      </c>
      <c r="AL251" s="69" t="str">
        <f>IF(AND(Q251&gt;0,A251&lt;3),"10",IF(AND(Q251&gt;0,A251&lt;10),"15",IF(AND(Q251&gt;0,A251&lt;20),"20",IF(AND(Q251&gt;0,A251&lt;500),"30",IF(AND(Q251=0,A251&lt;3),"2",IF(AND(Q251=0,A251&lt;10),"5",IF(AND(Q251=0,A251&lt;20),"10",IF(AND(Q251=0,A251&lt;500),"20","2"))))))))</f>
        <v>2</v>
      </c>
      <c r="AN251" s="66"/>
      <c r="AP251" s="146">
        <f>(VLOOKUP(F251,Terasehind!$A$2:$B$171,2,FALSE))</f>
        <v>0.92</v>
      </c>
      <c r="AQ251" s="50">
        <f>(VLOOKUP(F251,Terasehind!$A$2:$C$171,3,FALSE))</f>
        <v>1.1000000000000001</v>
      </c>
      <c r="AR251" s="138">
        <f t="shared" ref="AR251:AR256" si="438">AP251*AQ251*B251</f>
        <v>6.990896000000002</v>
      </c>
      <c r="AS251"/>
      <c r="AT251"/>
      <c r="AU251"/>
      <c r="AV251"/>
      <c r="AW251"/>
      <c r="AX251"/>
      <c r="AY251"/>
      <c r="AZ251"/>
      <c r="BA251" s="188">
        <f t="shared" ref="BA251:BA253" si="439">(H251*2+J251*2)*2*2/60/1000*L251</f>
        <v>0.28799999999999998</v>
      </c>
      <c r="BB251" s="189"/>
      <c r="BC251" s="57"/>
      <c r="BD251" s="57"/>
      <c r="BE251" s="57"/>
      <c r="BF251" s="57"/>
      <c r="BG251" s="57"/>
      <c r="BH251" s="57"/>
      <c r="BI251" s="57"/>
      <c r="BJ251" s="57"/>
      <c r="BK251" s="109"/>
      <c r="BL251" s="109"/>
      <c r="BM251" s="109"/>
      <c r="BN251" s="83"/>
      <c r="BP251" s="83"/>
      <c r="BQ251" s="83"/>
    </row>
    <row r="252" spans="1:69" s="50" customFormat="1" x14ac:dyDescent="0.25">
      <c r="A252" s="116">
        <f xml:space="preserve"> 106*J252/10^3</f>
        <v>50.35</v>
      </c>
      <c r="B252" s="116">
        <f>A252*L252</f>
        <v>402.8</v>
      </c>
      <c r="C252" s="299" t="s">
        <v>354</v>
      </c>
      <c r="D252" s="117" t="s">
        <v>81</v>
      </c>
      <c r="E252" s="117"/>
      <c r="F252" s="355" t="s">
        <v>401</v>
      </c>
      <c r="G252" s="140" t="s">
        <v>83</v>
      </c>
      <c r="H252" s="119">
        <v>550</v>
      </c>
      <c r="I252" s="118" t="s">
        <v>77</v>
      </c>
      <c r="J252" s="119">
        <v>475</v>
      </c>
      <c r="K252" s="50">
        <v>2</v>
      </c>
      <c r="L252" s="119">
        <f>K$252*L$249</f>
        <v>8</v>
      </c>
      <c r="M252" s="131">
        <f xml:space="preserve"> 1.9*J252*L252/10^3</f>
        <v>7.22</v>
      </c>
      <c r="N252" s="118"/>
      <c r="O252" s="118"/>
      <c r="P252" s="118" t="s">
        <v>78</v>
      </c>
      <c r="Q252" s="135">
        <v>4</v>
      </c>
      <c r="R252" s="118"/>
      <c r="S252" s="118"/>
      <c r="T252" s="118"/>
      <c r="U252" s="118"/>
      <c r="V252" s="118"/>
      <c r="W252" s="118"/>
      <c r="Y252" s="118"/>
      <c r="Z252" s="118"/>
      <c r="AA252" s="118"/>
      <c r="AB252" s="118" t="s">
        <v>78</v>
      </c>
      <c r="AC252" s="116"/>
      <c r="AD252" s="83"/>
      <c r="AE252" s="136">
        <f>(H252/20/60)*2*L252</f>
        <v>7.333333333333333</v>
      </c>
      <c r="AF252" s="137"/>
      <c r="AG252" s="132">
        <f>Q252*L252*0.5/60</f>
        <v>0.26666666666666666</v>
      </c>
      <c r="AH252" s="83"/>
      <c r="AI252" s="132">
        <f>AL252*L252/60</f>
        <v>1.3333333333333333</v>
      </c>
      <c r="AJ252" s="70">
        <f>(H252*4*AK252)*2*L252/1000</f>
        <v>105.6</v>
      </c>
      <c r="AK252" s="50">
        <v>3</v>
      </c>
      <c r="AL252" s="69">
        <f>VLOOKUP(F252,[2]Koostamine!$A$12:$P$1612,IF(J252&lt;1499,11,IF(J252&lt;2999,12,IF(J252&lt;5999,13,IF(J252&lt;9999,14,IF(J252&lt;12999,15,IF(J252&gt;13000,16)))))),FALSE)</f>
        <v>10</v>
      </c>
      <c r="AP252" s="146">
        <f>(VLOOKUP(F252,Terasehind!$A$2:$B$171,2,FALSE))</f>
        <v>0.95</v>
      </c>
      <c r="AQ252" s="50">
        <f>(VLOOKUP(F252,Terasehind!$A$2:$C$171,3,FALSE))</f>
        <v>1.1299999999999999</v>
      </c>
      <c r="AR252" s="138">
        <f>AP252*AQ252*B252</f>
        <v>432.4058</v>
      </c>
      <c r="AT252" s="62"/>
      <c r="AU252" s="62"/>
      <c r="AV252" s="62"/>
      <c r="AW252" s="62"/>
      <c r="AX252" s="62"/>
      <c r="AY252" s="62"/>
      <c r="AZ252"/>
      <c r="BA252" s="188"/>
      <c r="BB252" s="189"/>
      <c r="BC252" s="57"/>
      <c r="BD252" s="57"/>
      <c r="BE252" s="57"/>
      <c r="BF252" s="57"/>
      <c r="BG252" s="57"/>
      <c r="BH252" s="57"/>
      <c r="BI252" s="57"/>
      <c r="BJ252" s="60"/>
      <c r="BK252" s="57"/>
      <c r="BL252" s="60"/>
      <c r="BM252" s="83"/>
      <c r="BO252" s="109"/>
    </row>
    <row r="253" spans="1:69" s="50" customFormat="1" x14ac:dyDescent="0.25">
      <c r="A253" s="116">
        <f t="shared" si="432"/>
        <v>16.164719999999999</v>
      </c>
      <c r="B253" s="116">
        <f t="shared" si="433"/>
        <v>129.31775999999999</v>
      </c>
      <c r="C253" s="118" t="s">
        <v>479</v>
      </c>
      <c r="D253" s="117" t="s">
        <v>88</v>
      </c>
      <c r="E253" s="117"/>
      <c r="F253" s="355" t="s">
        <v>339</v>
      </c>
      <c r="G253" s="117" t="s">
        <v>83</v>
      </c>
      <c r="H253" s="119">
        <v>390</v>
      </c>
      <c r="I253" s="118" t="s">
        <v>77</v>
      </c>
      <c r="J253" s="119">
        <v>440</v>
      </c>
      <c r="K253" s="119">
        <v>2</v>
      </c>
      <c r="L253" s="119">
        <f>K$253*L$249</f>
        <v>8</v>
      </c>
      <c r="M253" s="116">
        <f t="shared" si="434"/>
        <v>2.7456</v>
      </c>
      <c r="N253" s="118" t="s">
        <v>84</v>
      </c>
      <c r="P253" s="118"/>
      <c r="Q253" s="135">
        <v>20</v>
      </c>
      <c r="R253" s="118"/>
      <c r="S253" s="118"/>
      <c r="T253" s="118"/>
      <c r="U253" s="118"/>
      <c r="V253" s="118"/>
      <c r="W253" s="118"/>
      <c r="X253" s="118"/>
      <c r="Y253" s="118"/>
      <c r="Z253" s="118"/>
      <c r="AA253" s="118"/>
      <c r="AB253" s="118" t="s">
        <v>78</v>
      </c>
      <c r="AC253" s="136">
        <f>((((H253+J253)*2/1000)*L253*(5/(VLOOKUP(F253,[2]Plasmalõikus!$A$7:$E$46,2,FALSE)/1000*60)))+(Q253*L253*(5*(VLOOKUP(F253,[2]Plasmalõikus!$A$7:$E$48,3,FALSE))/60/60)))</f>
        <v>2.4422222222222221</v>
      </c>
      <c r="AD253" s="353"/>
      <c r="AE253" s="136"/>
      <c r="AF253" s="137"/>
      <c r="AG253" s="137">
        <f t="shared" si="436"/>
        <v>0</v>
      </c>
      <c r="AH253" s="136"/>
      <c r="AI253" s="132">
        <f t="shared" si="437"/>
        <v>2.6666666666666665</v>
      </c>
      <c r="AJ253" s="70"/>
      <c r="AL253" s="69" t="str">
        <f t="shared" ref="AL253" si="440">IF(AND(Q253&gt;0,A253&lt;3),"10",IF(AND(Q253&gt;0,A253&lt;10),"15",IF(AND(Q253&gt;0,A253&lt;20),"20",IF(AND(Q253&gt;0,A253&lt;500),"30",IF(AND(Q253=0,A253&lt;3),"2",IF(AND(Q253=0,A253&lt;10),"5",IF(AND(Q253=0,A253&lt;20),"10",IF(AND(Q253=0,A253&lt;500),"20","2"))))))))</f>
        <v>20</v>
      </c>
      <c r="AN253" s="66"/>
      <c r="AP253" s="146">
        <f>(VLOOKUP(F253,Terasehind!$A$2:$B$171,2,FALSE))</f>
        <v>0.92</v>
      </c>
      <c r="AQ253" s="50">
        <f>(VLOOKUP(F253,Terasehind!$A$2:$C$171,3,FALSE))</f>
        <v>1.1000000000000001</v>
      </c>
      <c r="AR253" s="138">
        <f t="shared" si="438"/>
        <v>130.86957312000001</v>
      </c>
      <c r="AS253"/>
      <c r="AT253"/>
      <c r="AU253"/>
      <c r="AV253"/>
      <c r="AW253"/>
      <c r="AX253"/>
      <c r="AY253"/>
      <c r="AZ253"/>
      <c r="BA253" s="188">
        <f t="shared" si="439"/>
        <v>0.88533333333333342</v>
      </c>
      <c r="BB253" s="189"/>
      <c r="BC253" s="57"/>
      <c r="BD253" s="57"/>
      <c r="BE253" s="57"/>
      <c r="BF253" s="57"/>
      <c r="BG253" s="57"/>
      <c r="BH253" s="57"/>
      <c r="BI253" s="57"/>
      <c r="BJ253" s="57"/>
      <c r="BK253" s="109"/>
      <c r="BL253" s="109"/>
      <c r="BM253" s="109"/>
      <c r="BN253" s="83"/>
      <c r="BP253" s="83"/>
      <c r="BQ253" s="83"/>
    </row>
    <row r="254" spans="1:69" s="50" customFormat="1" x14ac:dyDescent="0.25">
      <c r="A254" s="116">
        <f xml:space="preserve"> 11.3*J254/10^3</f>
        <v>6.2714999999999996</v>
      </c>
      <c r="B254" s="116">
        <f>A254*L254</f>
        <v>100.34399999999999</v>
      </c>
      <c r="C254" s="295"/>
      <c r="D254" s="117" t="s">
        <v>340</v>
      </c>
      <c r="E254" s="117"/>
      <c r="F254" s="355" t="s">
        <v>461</v>
      </c>
      <c r="G254" s="140" t="s">
        <v>79</v>
      </c>
      <c r="H254" s="119">
        <v>150</v>
      </c>
      <c r="I254" s="118" t="s">
        <v>77</v>
      </c>
      <c r="J254" s="119">
        <v>555</v>
      </c>
      <c r="K254" s="119">
        <f>2*2</f>
        <v>4</v>
      </c>
      <c r="L254" s="119">
        <f>K$254*L$249</f>
        <v>16</v>
      </c>
      <c r="M254" s="131">
        <f xml:space="preserve"> 0.49*J254*L254/10^3</f>
        <v>4.3511999999999995</v>
      </c>
      <c r="N254" s="118"/>
      <c r="O254" s="118"/>
      <c r="P254" s="118" t="s">
        <v>78</v>
      </c>
      <c r="Q254" s="135"/>
      <c r="R254" s="118"/>
      <c r="S254" s="118"/>
      <c r="T254" s="118"/>
      <c r="U254" s="118"/>
      <c r="V254" s="118"/>
      <c r="W254" s="118"/>
      <c r="Y254" s="118"/>
      <c r="Z254" s="118"/>
      <c r="AA254" s="118"/>
      <c r="AB254" s="118" t="s">
        <v>78</v>
      </c>
      <c r="AC254" s="136"/>
      <c r="AD254" s="83"/>
      <c r="AE254" s="136">
        <f t="shared" ref="AE254" si="441">(H254/20/60)*2*L254</f>
        <v>4</v>
      </c>
      <c r="AF254" s="137"/>
      <c r="AG254" s="132">
        <f>L254*5/60</f>
        <v>1.3333333333333333</v>
      </c>
      <c r="AH254" s="83"/>
      <c r="AI254" s="132">
        <f t="shared" si="437"/>
        <v>0.53333333333333333</v>
      </c>
      <c r="AJ254" s="70">
        <f>(H254*4*AK254)*2*L254/1000+(J254*2*AK254*1/2)*L254/1000</f>
        <v>28.08</v>
      </c>
      <c r="AK254" s="50">
        <f>(VLOOKUP(F254,[2]Koostamine!$A$12:$P$1612,7,FALSE))</f>
        <v>1</v>
      </c>
      <c r="AL254" s="69">
        <f>VLOOKUP(F254,[2]Koostamine!$A$12:$P$1612,IF(J254&lt;1499,11,IF(J254&lt;2999,12,IF(J254&lt;5999,13,IF(J254&lt;9999,14,IF(J254&lt;12999,15,IF(J254&gt;13000,16)))))),FALSE)</f>
        <v>2</v>
      </c>
      <c r="AP254" s="146">
        <f>(VLOOKUP(F254,Terasehind!$A$2:$B$171,2,FALSE))</f>
        <v>0.92</v>
      </c>
      <c r="AQ254" s="50">
        <f>(VLOOKUP(F254,Terasehind!$A$2:$C$171,3,FALSE))</f>
        <v>1.1000000000000001</v>
      </c>
      <c r="AR254" s="138">
        <f t="shared" si="438"/>
        <v>101.54812800000002</v>
      </c>
      <c r="AT254" s="60"/>
      <c r="AU254" s="77"/>
      <c r="AV254" s="77"/>
      <c r="AW254" s="77"/>
      <c r="AX254" s="121"/>
      <c r="AY254" s="77"/>
      <c r="AZ254" s="77"/>
      <c r="BA254" s="188"/>
      <c r="BB254" s="283"/>
      <c r="BC254" s="62"/>
      <c r="BD254" s="284"/>
      <c r="BE254" s="131"/>
      <c r="BF254"/>
      <c r="BG254" s="57"/>
      <c r="BH254" s="57"/>
      <c r="BI254" s="57"/>
      <c r="BJ254" s="57"/>
      <c r="BK254" s="57"/>
      <c r="BL254" s="60"/>
      <c r="BM254" s="57"/>
      <c r="BN254" s="60"/>
      <c r="BO254" s="83"/>
      <c r="BQ254" s="109"/>
    </row>
    <row r="255" spans="1:69" s="50" customFormat="1" x14ac:dyDescent="0.25">
      <c r="A255" s="116">
        <f t="shared" ref="A255:A256" si="442">H255*J255*(RIGHT(F255,2))*7.85/(10^6)</f>
        <v>0.47099999999999997</v>
      </c>
      <c r="B255" s="116">
        <f t="shared" ref="B255:B256" si="443">A255*L255</f>
        <v>15.071999999999999</v>
      </c>
      <c r="C255" s="118" t="s">
        <v>80</v>
      </c>
      <c r="D255" s="117" t="s">
        <v>81</v>
      </c>
      <c r="E255" s="117"/>
      <c r="F255" s="355" t="s">
        <v>487</v>
      </c>
      <c r="G255" s="117" t="s">
        <v>83</v>
      </c>
      <c r="H255" s="119">
        <v>100</v>
      </c>
      <c r="I255" s="118" t="s">
        <v>77</v>
      </c>
      <c r="J255" s="119">
        <v>150</v>
      </c>
      <c r="K255" s="119">
        <f>2*2*2</f>
        <v>8</v>
      </c>
      <c r="L255" s="119">
        <f>K$255*L$249</f>
        <v>32</v>
      </c>
      <c r="M255" s="116">
        <f t="shared" ref="M255:M256" si="444">2*H255*J255/10^6*L255</f>
        <v>0.96</v>
      </c>
      <c r="N255" s="118" t="s">
        <v>84</v>
      </c>
      <c r="P255" s="118"/>
      <c r="Q255" s="135"/>
      <c r="R255" s="118"/>
      <c r="S255" s="118"/>
      <c r="T255" s="118"/>
      <c r="U255" s="118"/>
      <c r="V255" s="118"/>
      <c r="W255" s="118"/>
      <c r="X255" s="118"/>
      <c r="Y255" s="118"/>
      <c r="Z255" s="118"/>
      <c r="AA255" s="118"/>
      <c r="AB255" s="118" t="s">
        <v>78</v>
      </c>
      <c r="AC255" s="136">
        <f>((((H255+J255)*2/1000)*L255*(5/(VLOOKUP(F255,[2]Plasmalõikus!$A$7:$E$46,2,FALSE)/1000*60)))+(Q255*L255*(5*(VLOOKUP(F255,[2]Plasmalõikus!$A$7:$E$48,3,FALSE))/60/60)))</f>
        <v>0.35087719298245612</v>
      </c>
      <c r="AD255" s="353"/>
      <c r="AE255" s="136"/>
      <c r="AF255" s="137"/>
      <c r="AG255" s="137">
        <f t="shared" ref="AG255:AG256" si="445">IF(VALUE(MID(F255,SEARCH(" ",F255)+1,LEN(F255)))&lt;35,0,IF(VALUE(MID(F255,SEARCH(" ",F255)+1,LEN(F255)))&lt;40,3,IF(VALUE(MID(F255,SEARCH(" ",F255)+1,LEN(F255)))&lt;50,4,IF(VALUE(MID(F255,SEARCH(" ",F255)+1,LEN(F255)))&lt;60,5,IF(VALUE(MID(F255,SEARCH(" ",F255)+1,LEN(F255)))&lt;70,6,IF(VALUE(MID(F255,SEARCH(" ",F255)+1,LEN(F255)))&lt;80,7,IF(VALUE(MID(F255,SEARCH(" ",F255)+1,LEN(F255)))&lt;90,8,IF(VALUE(MID(F255,SEARCH(" ",F255)+1,LEN(F255)))&lt;100,9,10))))))))/60*Q255*L255</f>
        <v>0</v>
      </c>
      <c r="AH255" s="136"/>
      <c r="AI255" s="132">
        <f t="shared" si="437"/>
        <v>1.0666666666666667</v>
      </c>
      <c r="AJ255" s="70"/>
      <c r="AK255" s="50">
        <v>6</v>
      </c>
      <c r="AL255" s="69" t="str">
        <f t="shared" ref="AL255:AL256" si="446">IF(AND(Q255&gt;0,A255&lt;3),"10",IF(AND(Q255&gt;0,A255&lt;10),"15",IF(AND(Q255&gt;0,A255&lt;20),"20",IF(AND(Q255&gt;0,A255&lt;500),"30",IF(AND(Q255=0,A255&lt;3),"2",IF(AND(Q255=0,A255&lt;10),"5",IF(AND(Q255=0,A255&lt;20),"10",IF(AND(Q255=0,A255&lt;500),"20","2"))))))))</f>
        <v>2</v>
      </c>
      <c r="AN255" s="66"/>
      <c r="AP255" s="146">
        <f>(VLOOKUP(F255,Terasehind!$A$2:$B$171,2,FALSE))</f>
        <v>0.92</v>
      </c>
      <c r="AQ255" s="50">
        <f>(VLOOKUP(F255,Terasehind!$A$2:$C$171,3,FALSE))</f>
        <v>1.1000000000000001</v>
      </c>
      <c r="AR255" s="138">
        <f t="shared" si="438"/>
        <v>15.252864000000002</v>
      </c>
      <c r="AS255"/>
      <c r="AT255"/>
      <c r="AU255"/>
      <c r="AV255"/>
      <c r="AW255"/>
      <c r="AX255"/>
      <c r="AY255"/>
      <c r="AZ255"/>
      <c r="BA255" s="188">
        <f>(H255*2+J255*2)*2*2/60/1000*L255</f>
        <v>1.0666666666666667</v>
      </c>
      <c r="BB255" s="189"/>
      <c r="BC255" s="57"/>
      <c r="BD255" s="57"/>
      <c r="BE255" s="57"/>
      <c r="BF255" s="57"/>
      <c r="BG255" s="57"/>
      <c r="BH255" s="57"/>
      <c r="BI255" s="57"/>
      <c r="BJ255" s="57"/>
      <c r="BK255" s="109"/>
      <c r="BL255" s="109"/>
      <c r="BM255" s="109"/>
      <c r="BN255" s="83"/>
      <c r="BP255" s="83"/>
      <c r="BQ255" s="83"/>
    </row>
    <row r="256" spans="1:69" s="50" customFormat="1" x14ac:dyDescent="0.25">
      <c r="A256" s="116">
        <f t="shared" si="442"/>
        <v>3.4540000000000002</v>
      </c>
      <c r="B256" s="116">
        <f t="shared" si="443"/>
        <v>138.16</v>
      </c>
      <c r="C256" s="118" t="s">
        <v>93</v>
      </c>
      <c r="D256" s="117" t="s">
        <v>88</v>
      </c>
      <c r="E256" s="117"/>
      <c r="F256" s="355" t="s">
        <v>337</v>
      </c>
      <c r="G256" s="117" t="s">
        <v>83</v>
      </c>
      <c r="H256" s="119">
        <v>100</v>
      </c>
      <c r="I256" s="118" t="s">
        <v>77</v>
      </c>
      <c r="J256" s="119">
        <v>550</v>
      </c>
      <c r="K256" s="119">
        <v>10</v>
      </c>
      <c r="L256" s="119">
        <f>K$256*L$249</f>
        <v>40</v>
      </c>
      <c r="M256" s="116">
        <f t="shared" si="444"/>
        <v>4.4000000000000004</v>
      </c>
      <c r="N256" s="118" t="s">
        <v>84</v>
      </c>
      <c r="P256" s="118"/>
      <c r="Q256" s="135"/>
      <c r="R256" s="118"/>
      <c r="S256" s="118"/>
      <c r="T256" s="118"/>
      <c r="U256" s="118"/>
      <c r="V256" s="118"/>
      <c r="W256" s="118"/>
      <c r="X256" s="118"/>
      <c r="Y256" s="118"/>
      <c r="Z256" s="118"/>
      <c r="AA256" s="118"/>
      <c r="AB256" s="118" t="s">
        <v>78</v>
      </c>
      <c r="AC256" s="136">
        <f>((((H256+J256)*2/1000)*L256*(5/(VLOOKUP(F256,[2]Plasmalõikus!$A$7:$E$46,2,FALSE)/1000*60)))+(Q256*L256*(5*(VLOOKUP(F256,[2]Plasmalõikus!$A$7:$E$48,3,FALSE))/60/60)))</f>
        <v>1.4444444444444444</v>
      </c>
      <c r="AD256" s="353"/>
      <c r="AE256" s="136"/>
      <c r="AF256" s="137"/>
      <c r="AG256" s="137">
        <f t="shared" si="445"/>
        <v>0</v>
      </c>
      <c r="AH256" s="136"/>
      <c r="AI256" s="132">
        <f t="shared" si="437"/>
        <v>3.3333333333333335</v>
      </c>
      <c r="AJ256" s="70">
        <f>(J256*2*AK256+H256*4*AK256)*L256/1000</f>
        <v>60</v>
      </c>
      <c r="AK256" s="50">
        <v>1</v>
      </c>
      <c r="AL256" s="69" t="str">
        <f t="shared" si="446"/>
        <v>5</v>
      </c>
      <c r="AN256" s="66"/>
      <c r="AP256" s="146">
        <f>(VLOOKUP(F256,Terasehind!$A$2:$B$171,2,FALSE))</f>
        <v>0.92</v>
      </c>
      <c r="AQ256" s="50">
        <f>(VLOOKUP(F256,Terasehind!$A$2:$C$171,3,FALSE))</f>
        <v>1.1000000000000001</v>
      </c>
      <c r="AR256" s="138">
        <f t="shared" si="438"/>
        <v>139.81792000000002</v>
      </c>
      <c r="AS256"/>
      <c r="AT256"/>
      <c r="AU256"/>
      <c r="AV256"/>
      <c r="AW256"/>
      <c r="AX256"/>
      <c r="AY256"/>
      <c r="AZ256"/>
      <c r="BA256" s="188">
        <f t="shared" ref="BA256" si="447">(H256*2+J256*2)*2*2/60/1000*L256</f>
        <v>3.4666666666666668</v>
      </c>
      <c r="BB256" s="189"/>
      <c r="BC256" s="57"/>
      <c r="BD256" s="57"/>
      <c r="BE256" s="57"/>
      <c r="BF256" s="57"/>
      <c r="BG256" s="57"/>
      <c r="BH256" s="57"/>
      <c r="BI256" s="57"/>
      <c r="BJ256" s="57"/>
      <c r="BK256" s="109"/>
      <c r="BL256" s="109"/>
      <c r="BM256" s="109"/>
      <c r="BN256" s="83"/>
      <c r="BP256" s="83"/>
      <c r="BQ256" s="83"/>
    </row>
    <row r="257" spans="1:69" s="50" customFormat="1" x14ac:dyDescent="0.25">
      <c r="A257" s="116"/>
      <c r="B257" s="116"/>
      <c r="C257" s="118"/>
      <c r="D257" s="117"/>
      <c r="E257" s="117"/>
      <c r="F257" s="269"/>
      <c r="G257" s="117"/>
      <c r="H257" s="119"/>
      <c r="I257" s="118"/>
      <c r="J257" s="119"/>
      <c r="K257" s="119"/>
      <c r="L257" s="119"/>
      <c r="M257" s="119"/>
      <c r="N257" s="119"/>
      <c r="O257" s="119"/>
      <c r="P257" s="119"/>
      <c r="Q257" s="119"/>
      <c r="R257" s="118"/>
      <c r="S257" s="118"/>
      <c r="T257" s="118"/>
      <c r="U257" s="118"/>
      <c r="V257" s="118"/>
      <c r="W257" s="118"/>
      <c r="X257" s="118"/>
      <c r="Y257" s="118"/>
      <c r="Z257" s="118"/>
      <c r="AA257" s="118"/>
      <c r="AB257" s="118"/>
      <c r="AC257" s="136"/>
      <c r="AD257" s="136"/>
      <c r="AE257" s="136"/>
      <c r="AF257" s="136"/>
      <c r="AG257" s="136"/>
      <c r="AH257" s="136"/>
      <c r="AI257" s="132"/>
      <c r="AJ257" s="60"/>
      <c r="AN257" s="66"/>
      <c r="AP257" s="146"/>
      <c r="AR257" s="138"/>
      <c r="AT257" s="62"/>
      <c r="AU257" s="62"/>
      <c r="AV257" s="62"/>
      <c r="AW257" s="62"/>
      <c r="AX257" s="62"/>
      <c r="AY257" s="62"/>
      <c r="AZ257"/>
      <c r="BA257" s="192"/>
      <c r="BB257" s="188"/>
      <c r="BC257" s="57"/>
      <c r="BD257" s="57"/>
      <c r="BE257" s="57"/>
      <c r="BF257" s="57"/>
      <c r="BG257" s="57"/>
      <c r="BH257" s="57"/>
      <c r="BI257" s="57"/>
      <c r="BJ257" s="109"/>
      <c r="BK257" s="109"/>
      <c r="BL257" s="109"/>
      <c r="BM257" s="83"/>
      <c r="BO257" s="83"/>
      <c r="BP257" s="83"/>
    </row>
    <row r="258" spans="1:69" s="50" customFormat="1" x14ac:dyDescent="0.25">
      <c r="A258" s="148">
        <f>B258/L258</f>
        <v>1088.9849999999999</v>
      </c>
      <c r="B258" s="148">
        <f>SUM(B264,B263,B262,B261,B260,B259,0)</f>
        <v>16334.775</v>
      </c>
      <c r="C258" s="152"/>
      <c r="D258" s="149" t="s">
        <v>76</v>
      </c>
      <c r="E258" s="149"/>
      <c r="F258" s="365"/>
      <c r="G258" s="174" t="str">
        <f>$G$163</f>
        <v>C3VH</v>
      </c>
      <c r="H258" s="150"/>
      <c r="I258" s="151" t="s">
        <v>77</v>
      </c>
      <c r="J258" s="150">
        <f>J259</f>
        <v>8460</v>
      </c>
      <c r="K258" s="134">
        <v>15</v>
      </c>
      <c r="L258" s="150">
        <f>$L$163*$K$258</f>
        <v>15</v>
      </c>
      <c r="M258" s="148">
        <f>SUM(M264,M263,M262,M261,M260,M259,0)</f>
        <v>341.55</v>
      </c>
      <c r="N258" s="151"/>
      <c r="O258" s="151"/>
      <c r="P258" s="151"/>
      <c r="Q258" s="151"/>
      <c r="R258" s="120"/>
      <c r="S258" s="120"/>
      <c r="T258" s="120"/>
      <c r="U258" s="120"/>
      <c r="V258" s="120"/>
      <c r="W258" s="118"/>
      <c r="X258" s="118" t="s">
        <v>78</v>
      </c>
      <c r="Y258" s="151">
        <v>4</v>
      </c>
      <c r="Z258" s="151"/>
      <c r="AA258" s="151"/>
      <c r="AB258" s="151"/>
      <c r="AC258" s="148">
        <f>SUM(AC264,AC263,AC262,AC261,AC260,AC259,0)</f>
        <v>9.7555555555555564</v>
      </c>
      <c r="AD258" s="148">
        <f>SUM(AD264,AD263,AD262,AD261,AD260,AD259,0)</f>
        <v>0</v>
      </c>
      <c r="AE258" s="148">
        <f>SUM(AE264,AE263,AE262,AE261,AE260,AE259,0)</f>
        <v>20</v>
      </c>
      <c r="AF258" s="148">
        <f>SUM(AF264,AF263,AF262,AF261,AF260,AF259,0)</f>
        <v>0</v>
      </c>
      <c r="AG258" s="148">
        <f>SUM(AG264,AG263,AG262,AG261,AG260,AG259,0)</f>
        <v>0.5</v>
      </c>
      <c r="AH258" s="107">
        <f>SUM(AC258:AG258)</f>
        <v>30.255555555555556</v>
      </c>
      <c r="AI258" s="107">
        <f>SUM(AI264,AI263,AI262,AI261,AI260,AI259,0)</f>
        <v>39.5</v>
      </c>
      <c r="AJ258" s="148">
        <f>SUM(AJ264,AJ263,AJ262,AJ261,AJ260,AJ259,0)</f>
        <v>840</v>
      </c>
      <c r="AK258" s="107">
        <f>AJ258*10/60</f>
        <v>140</v>
      </c>
      <c r="AL258" s="148">
        <f>AH258+AI258+AK258</f>
        <v>209.75555555555556</v>
      </c>
      <c r="AM258" s="148">
        <f>B258/AL258</f>
        <v>77.875291344422081</v>
      </c>
      <c r="AN258" s="148">
        <f>AL258*46</f>
        <v>9648.7555555555555</v>
      </c>
      <c r="AO258" s="148">
        <f>AN258/B258</f>
        <v>0.59068799879738509</v>
      </c>
      <c r="AP258" s="148">
        <f>AR258/B258</f>
        <v>1.0626441686524606</v>
      </c>
      <c r="AQ258" s="67"/>
      <c r="AR258" s="148">
        <f>SUM(AR264,AR263,AR262,AR261,AR260,AR259,0)</f>
        <v>17358.053399999997</v>
      </c>
      <c r="AT258" s="62"/>
      <c r="AU258" s="62"/>
      <c r="AV258" s="62"/>
      <c r="AW258" s="62"/>
      <c r="AX258" s="62"/>
      <c r="AY258" s="62"/>
      <c r="AZ258"/>
      <c r="BA258" s="148">
        <f>SUM(BA263,BA262,BA261,BA260,BA259,0)</f>
        <v>4.68</v>
      </c>
      <c r="BB258" s="188"/>
      <c r="BC258" s="57"/>
      <c r="BD258" s="57"/>
      <c r="BE258" s="57"/>
      <c r="BF258" s="57"/>
      <c r="BG258" s="57"/>
      <c r="BH258" s="57"/>
      <c r="BI258" s="60"/>
    </row>
    <row r="259" spans="1:69" s="50" customFormat="1" x14ac:dyDescent="0.25">
      <c r="A259" s="116">
        <f xml:space="preserve"> 106*J259/10^3</f>
        <v>896.76</v>
      </c>
      <c r="B259" s="116">
        <f>A259*L259</f>
        <v>13451.4</v>
      </c>
      <c r="C259" s="299" t="s">
        <v>354</v>
      </c>
      <c r="D259" s="117" t="s">
        <v>76</v>
      </c>
      <c r="E259" s="117"/>
      <c r="F259" s="355" t="s">
        <v>401</v>
      </c>
      <c r="G259" s="140" t="s">
        <v>83</v>
      </c>
      <c r="H259" s="119">
        <v>550</v>
      </c>
      <c r="I259" s="118" t="s">
        <v>77</v>
      </c>
      <c r="J259" s="119">
        <v>8460</v>
      </c>
      <c r="K259" s="50">
        <v>1</v>
      </c>
      <c r="L259" s="119">
        <f>K$259*L$258</f>
        <v>15</v>
      </c>
      <c r="M259" s="131">
        <f xml:space="preserve"> 1.9*J259*L259/10^3</f>
        <v>241.11</v>
      </c>
      <c r="N259" s="118"/>
      <c r="O259" s="118"/>
      <c r="P259" s="118" t="s">
        <v>78</v>
      </c>
      <c r="Q259" s="135">
        <v>4</v>
      </c>
      <c r="R259" s="118"/>
      <c r="S259" s="118"/>
      <c r="T259" s="118"/>
      <c r="U259" s="118"/>
      <c r="V259" s="118"/>
      <c r="W259" s="118"/>
      <c r="Y259" s="118"/>
      <c r="Z259" s="118"/>
      <c r="AA259" s="118"/>
      <c r="AB259" s="118" t="s">
        <v>78</v>
      </c>
      <c r="AC259" s="116"/>
      <c r="AD259" s="83"/>
      <c r="AE259" s="136">
        <f>(H259/20/60)*2*L259</f>
        <v>13.75</v>
      </c>
      <c r="AF259" s="137"/>
      <c r="AG259" s="132">
        <f>Q259*L259*0.5/60</f>
        <v>0.5</v>
      </c>
      <c r="AH259" s="83"/>
      <c r="AI259" s="132">
        <f>AL259*L259/60</f>
        <v>10</v>
      </c>
      <c r="AJ259" s="70">
        <f>(H259*4*AK259)*2*L259/1000</f>
        <v>198</v>
      </c>
      <c r="AK259" s="50">
        <v>3</v>
      </c>
      <c r="AL259" s="69">
        <f>VLOOKUP(F259,[2]Koostamine!$A$12:$P$1612,IF(J259&lt;1499,11,IF(J259&lt;2999,12,IF(J259&lt;5999,13,IF(J259&lt;9999,14,IF(J259&lt;12999,15,IF(J259&gt;13000,16)))))),FALSE)</f>
        <v>40</v>
      </c>
      <c r="AP259" s="146">
        <f>(VLOOKUP(F259,Terasehind!$A$2:$B$171,2,FALSE))</f>
        <v>0.95</v>
      </c>
      <c r="AQ259" s="50">
        <f>(VLOOKUP(F259,Terasehind!$A$2:$C$171,3,FALSE))</f>
        <v>1.1299999999999999</v>
      </c>
      <c r="AR259" s="138">
        <f>AP259*AQ259*B259</f>
        <v>14440.077899999998</v>
      </c>
      <c r="AT259" s="62"/>
      <c r="AU259" s="62"/>
      <c r="AV259" s="62"/>
      <c r="AW259" s="62"/>
      <c r="AX259" s="62"/>
      <c r="AY259" s="62"/>
      <c r="AZ259"/>
      <c r="BA259" s="188"/>
      <c r="BB259" s="189"/>
      <c r="BC259" s="57"/>
      <c r="BD259" s="57"/>
      <c r="BE259" s="57"/>
      <c r="BF259" s="57"/>
      <c r="BG259" s="57"/>
      <c r="BH259" s="57"/>
      <c r="BI259" s="57"/>
      <c r="BJ259" s="60"/>
      <c r="BK259" s="57"/>
      <c r="BL259" s="60"/>
      <c r="BM259" s="83"/>
      <c r="BO259" s="109"/>
    </row>
    <row r="260" spans="1:69" s="50" customFormat="1" x14ac:dyDescent="0.25">
      <c r="A260" s="116">
        <f xml:space="preserve"> 6.13*J260/10^3</f>
        <v>51.491999999999997</v>
      </c>
      <c r="B260" s="116">
        <f>A260*L260</f>
        <v>772.38</v>
      </c>
      <c r="C260" s="299"/>
      <c r="D260" s="117" t="s">
        <v>81</v>
      </c>
      <c r="E260" s="117"/>
      <c r="F260" s="355" t="s">
        <v>459</v>
      </c>
      <c r="G260" s="140" t="s">
        <v>79</v>
      </c>
      <c r="H260" s="119">
        <v>100</v>
      </c>
      <c r="I260" s="118" t="s">
        <v>77</v>
      </c>
      <c r="J260" s="119">
        <v>8400</v>
      </c>
      <c r="K260" s="50">
        <v>1</v>
      </c>
      <c r="L260" s="119">
        <f>K$260*L$258</f>
        <v>15</v>
      </c>
      <c r="M260" s="131">
        <f xml:space="preserve"> 0.27*J260*L260/10^3</f>
        <v>34.020000000000003</v>
      </c>
      <c r="N260" s="118"/>
      <c r="O260" s="118"/>
      <c r="P260" s="118" t="s">
        <v>78</v>
      </c>
      <c r="Q260" s="135"/>
      <c r="R260" s="118"/>
      <c r="S260" s="118"/>
      <c r="T260" s="118"/>
      <c r="U260" s="118"/>
      <c r="V260" s="118"/>
      <c r="W260" s="118"/>
      <c r="Y260" s="118"/>
      <c r="Z260" s="118"/>
      <c r="AA260" s="118"/>
      <c r="AB260" s="118" t="s">
        <v>78</v>
      </c>
      <c r="AC260" s="116"/>
      <c r="AD260" s="83"/>
      <c r="AE260" s="136">
        <f>(H260/20/60)*2*L260</f>
        <v>2.5</v>
      </c>
      <c r="AF260" s="137"/>
      <c r="AG260" s="132">
        <f>Q260*L260*0.5/60</f>
        <v>0</v>
      </c>
      <c r="AH260" s="83"/>
      <c r="AI260" s="132">
        <f>AL260*L260/60</f>
        <v>5</v>
      </c>
      <c r="AJ260" s="70">
        <f t="shared" ref="AJ260:AJ261" si="448">(J260*2*AK260)*1/2*L260/1000+(H260*4*AK260)*2*L260/1000</f>
        <v>138</v>
      </c>
      <c r="AK260" s="50">
        <v>1</v>
      </c>
      <c r="AL260" s="69">
        <f>VLOOKUP(F260,[2]Koostamine!$A$12:$P$1612,IF(J260&lt;1499,11,IF(J260&lt;2999,12,IF(J260&lt;5999,13,IF(J260&lt;9999,14,IF(J260&lt;12999,15,IF(J260&gt;13000,16)))))),FALSE)</f>
        <v>20</v>
      </c>
      <c r="AP260" s="146">
        <f>(VLOOKUP(F260,Terasehind!$A$2:$B$171,2,FALSE))</f>
        <v>0.92</v>
      </c>
      <c r="AQ260" s="50">
        <f>(VLOOKUP(F260,Terasehind!$A$2:$C$171,3,FALSE))</f>
        <v>1.1000000000000001</v>
      </c>
      <c r="AR260" s="138">
        <f>AP260*AQ260*B260</f>
        <v>781.6485600000002</v>
      </c>
      <c r="AT260" s="62"/>
      <c r="AU260" s="62"/>
      <c r="AV260" s="62"/>
      <c r="AW260" s="62"/>
      <c r="AX260" s="62"/>
      <c r="AY260" s="62"/>
      <c r="AZ260"/>
      <c r="BA260" s="188"/>
      <c r="BB260" s="189"/>
      <c r="BC260" s="57"/>
      <c r="BD260" s="57"/>
      <c r="BE260" s="57"/>
      <c r="BF260" s="57"/>
      <c r="BG260" s="57"/>
      <c r="BH260" s="57"/>
      <c r="BI260" s="57"/>
      <c r="BJ260" s="60"/>
      <c r="BK260" s="57"/>
      <c r="BL260" s="60"/>
      <c r="BM260" s="83"/>
      <c r="BO260" s="109"/>
    </row>
    <row r="261" spans="1:69" s="50" customFormat="1" x14ac:dyDescent="0.25">
      <c r="A261" s="116">
        <f xml:space="preserve"> 8.96*J261/10^3</f>
        <v>75.263999999999996</v>
      </c>
      <c r="B261" s="116">
        <f>A261*L261</f>
        <v>1128.96</v>
      </c>
      <c r="C261" s="299"/>
      <c r="D261" s="117" t="s">
        <v>85</v>
      </c>
      <c r="E261" s="117"/>
      <c r="F261" s="355" t="s">
        <v>460</v>
      </c>
      <c r="G261" s="140" t="s">
        <v>79</v>
      </c>
      <c r="H261" s="119">
        <v>150</v>
      </c>
      <c r="I261" s="118" t="s">
        <v>77</v>
      </c>
      <c r="J261" s="119">
        <v>8400</v>
      </c>
      <c r="K261" s="50">
        <v>1</v>
      </c>
      <c r="L261" s="119">
        <f>K$261*L$258</f>
        <v>15</v>
      </c>
      <c r="M261" s="131">
        <f xml:space="preserve"> 0.39*J261*L261/10^3</f>
        <v>49.14</v>
      </c>
      <c r="N261" s="118"/>
      <c r="O261" s="118"/>
      <c r="P261" s="118" t="s">
        <v>78</v>
      </c>
      <c r="Q261" s="135"/>
      <c r="R261" s="118"/>
      <c r="S261" s="118"/>
      <c r="T261" s="118"/>
      <c r="U261" s="118"/>
      <c r="V261" s="118"/>
      <c r="W261" s="118"/>
      <c r="Y261" s="118"/>
      <c r="Z261" s="118"/>
      <c r="AA261" s="118"/>
      <c r="AB261" s="118" t="s">
        <v>78</v>
      </c>
      <c r="AC261" s="116"/>
      <c r="AD261" s="83"/>
      <c r="AE261" s="136">
        <f>(H261/20/60)*2*L261</f>
        <v>3.75</v>
      </c>
      <c r="AF261" s="137"/>
      <c r="AG261" s="132">
        <f>Q261*L261*0.5/60</f>
        <v>0</v>
      </c>
      <c r="AH261" s="83"/>
      <c r="AI261" s="132">
        <f>AL261*L261/60</f>
        <v>5</v>
      </c>
      <c r="AJ261" s="70">
        <f t="shared" si="448"/>
        <v>144</v>
      </c>
      <c r="AK261" s="50">
        <v>1</v>
      </c>
      <c r="AL261" s="69">
        <v>20</v>
      </c>
      <c r="AP261" s="146">
        <f>(VLOOKUP(F261,Terasehind!$A$2:$B$171,2,FALSE))</f>
        <v>0.92</v>
      </c>
      <c r="AQ261" s="50">
        <f>(VLOOKUP(F261,Terasehind!$A$2:$C$171,3,FALSE))</f>
        <v>1.1000000000000001</v>
      </c>
      <c r="AR261" s="138">
        <f>AP261*AQ261*B261</f>
        <v>1142.5075200000003</v>
      </c>
      <c r="AT261" s="62"/>
      <c r="AU261" s="62"/>
      <c r="AV261" s="62"/>
      <c r="AW261" s="62"/>
      <c r="AX261" s="62"/>
      <c r="AY261" s="62"/>
      <c r="AZ261"/>
      <c r="BA261" s="188"/>
      <c r="BB261" s="189"/>
      <c r="BC261" s="57"/>
      <c r="BD261" s="57"/>
      <c r="BE261" s="57"/>
      <c r="BF261" s="57"/>
      <c r="BG261" s="57"/>
      <c r="BH261" s="57"/>
      <c r="BI261" s="57"/>
      <c r="BJ261" s="60"/>
      <c r="BK261" s="57"/>
      <c r="BL261" s="60"/>
      <c r="BM261" s="83"/>
      <c r="BO261" s="109"/>
    </row>
    <row r="262" spans="1:69" s="50" customFormat="1" x14ac:dyDescent="0.25">
      <c r="A262" s="116">
        <f t="shared" ref="A262" si="449">H262*J262*(RIGHT(F262,2))*7.85/(10^6)</f>
        <v>14.24775</v>
      </c>
      <c r="B262" s="116">
        <f t="shared" ref="B262" si="450">A262*L262</f>
        <v>427.4325</v>
      </c>
      <c r="C262" s="118" t="s">
        <v>80</v>
      </c>
      <c r="D262" s="117" t="s">
        <v>88</v>
      </c>
      <c r="E262" s="117"/>
      <c r="F262" s="355" t="s">
        <v>87</v>
      </c>
      <c r="G262" s="117" t="s">
        <v>83</v>
      </c>
      <c r="H262" s="119">
        <v>220</v>
      </c>
      <c r="I262" s="118" t="s">
        <v>77</v>
      </c>
      <c r="J262" s="119">
        <v>550</v>
      </c>
      <c r="K262" s="119">
        <v>2</v>
      </c>
      <c r="L262" s="119">
        <f>K$262*L$258</f>
        <v>30</v>
      </c>
      <c r="M262" s="116">
        <f t="shared" ref="M262" si="451">2*H262*J262/10^6*L262</f>
        <v>7.26</v>
      </c>
      <c r="N262" s="118" t="s">
        <v>84</v>
      </c>
      <c r="P262" s="118"/>
      <c r="Q262" s="135">
        <v>8</v>
      </c>
      <c r="R262" s="118"/>
      <c r="S262" s="118"/>
      <c r="T262" s="118"/>
      <c r="U262" s="118"/>
      <c r="V262" s="118"/>
      <c r="W262" s="118"/>
      <c r="X262" s="118"/>
      <c r="Y262" s="118"/>
      <c r="Z262" s="118"/>
      <c r="AA262" s="118"/>
      <c r="AB262" s="118" t="s">
        <v>78</v>
      </c>
      <c r="AC262" s="136">
        <f>((((H262+J262)*2/1000)*L262*(5/(VLOOKUP(F262,[2]Plasmalõikus!$A$7:$E$46,2,FALSE)/1000*60)))+(Q262*L262*(5*(VLOOKUP(F262,[2]Plasmalõikus!$A$7:$E$48,3,FALSE))/60/60)))</f>
        <v>5.1388888888888893</v>
      </c>
      <c r="AD262" s="353"/>
      <c r="AE262" s="136"/>
      <c r="AF262" s="137"/>
      <c r="AG262" s="137">
        <f t="shared" ref="AG262" si="452">IF(VALUE(MID(F262,SEARCH(" ",F262)+1,LEN(F262)))&lt;35,0,IF(VALUE(MID(F262,SEARCH(" ",F262)+1,LEN(F262)))&lt;40,3,IF(VALUE(MID(F262,SEARCH(" ",F262)+1,LEN(F262)))&lt;50,4,IF(VALUE(MID(F262,SEARCH(" ",F262)+1,LEN(F262)))&lt;60,5,IF(VALUE(MID(F262,SEARCH(" ",F262)+1,LEN(F262)))&lt;70,6,IF(VALUE(MID(F262,SEARCH(" ",F262)+1,LEN(F262)))&lt;80,7,IF(VALUE(MID(F262,SEARCH(" ",F262)+1,LEN(F262)))&lt;90,8,IF(VALUE(MID(F262,SEARCH(" ",F262)+1,LEN(F262)))&lt;100,9,10))))))))/60*Q262*L262</f>
        <v>0</v>
      </c>
      <c r="AH262" s="136"/>
      <c r="AI262" s="132">
        <f t="shared" ref="AI262" si="453">AL262*L262/60</f>
        <v>10</v>
      </c>
      <c r="AJ262" s="70"/>
      <c r="AK262" s="50">
        <v>6</v>
      </c>
      <c r="AL262" s="69" t="str">
        <f t="shared" ref="AL262" si="454">IF(AND(Q262&gt;0,A262&lt;3),"10",IF(AND(Q262&gt;0,A262&lt;10),"15",IF(AND(Q262&gt;0,A262&lt;20),"20",IF(AND(Q262&gt;0,A262&lt;500),"30",IF(AND(Q262=0,A262&lt;3),"2",IF(AND(Q262=0,A262&lt;10),"5",IF(AND(Q262=0,A262&lt;20),"10",IF(AND(Q262=0,A262&lt;500),"20","2"))))))))</f>
        <v>20</v>
      </c>
      <c r="AN262" s="66"/>
      <c r="AP262" s="146">
        <f>(VLOOKUP(F262,Terasehind!$A$2:$B$171,2,FALSE))</f>
        <v>0.92</v>
      </c>
      <c r="AQ262" s="50">
        <f>(VLOOKUP(F262,Terasehind!$A$2:$C$171,3,FALSE))</f>
        <v>1.1000000000000001</v>
      </c>
      <c r="AR262" s="138">
        <f t="shared" ref="AR262" si="455">AP262*AQ262*B262</f>
        <v>432.56169000000011</v>
      </c>
      <c r="AS262"/>
      <c r="AT262"/>
      <c r="AU262"/>
      <c r="AV262"/>
      <c r="AW262"/>
      <c r="AX262"/>
      <c r="AY262"/>
      <c r="AZ262"/>
      <c r="BA262" s="188">
        <f>(H262*2+J262*2)*2*2/60/1000*L262</f>
        <v>3.08</v>
      </c>
      <c r="BB262" s="189"/>
      <c r="BC262" s="57"/>
      <c r="BD262" s="57"/>
      <c r="BE262" s="57"/>
      <c r="BF262" s="57"/>
      <c r="BG262" s="57"/>
      <c r="BH262" s="57"/>
      <c r="BI262" s="57"/>
      <c r="BJ262" s="57"/>
      <c r="BK262" s="109"/>
      <c r="BL262" s="109"/>
      <c r="BM262" s="109"/>
      <c r="BN262" s="83"/>
      <c r="BP262" s="83"/>
      <c r="BQ262" s="83"/>
    </row>
    <row r="263" spans="1:69" s="50" customFormat="1" x14ac:dyDescent="0.25">
      <c r="A263" s="116">
        <f t="shared" ref="A263" si="456">H263*J263*(RIGHT(F263,2))*7.85/(10^6)</f>
        <v>0.294375</v>
      </c>
      <c r="B263" s="116">
        <f t="shared" ref="B263" si="457">A263*L263</f>
        <v>17.662500000000001</v>
      </c>
      <c r="C263" s="118" t="s">
        <v>80</v>
      </c>
      <c r="D263" s="117" t="s">
        <v>88</v>
      </c>
      <c r="E263" s="117"/>
      <c r="F263" s="355" t="s">
        <v>324</v>
      </c>
      <c r="G263" s="117" t="s">
        <v>83</v>
      </c>
      <c r="H263" s="119">
        <v>150</v>
      </c>
      <c r="I263" s="118" t="s">
        <v>77</v>
      </c>
      <c r="J263" s="119">
        <v>50</v>
      </c>
      <c r="K263" s="119">
        <v>4</v>
      </c>
      <c r="L263" s="119">
        <f>K$263*L$258</f>
        <v>60</v>
      </c>
      <c r="M263" s="116">
        <f t="shared" ref="M263" si="458">2*H263*J263/10^6*L263</f>
        <v>0.89999999999999991</v>
      </c>
      <c r="N263" s="118" t="s">
        <v>84</v>
      </c>
      <c r="P263" s="118"/>
      <c r="Q263" s="135"/>
      <c r="R263" s="118"/>
      <c r="S263" s="118"/>
      <c r="T263" s="118"/>
      <c r="U263" s="118"/>
      <c r="V263" s="118"/>
      <c r="W263" s="118"/>
      <c r="X263" s="118"/>
      <c r="Y263" s="118"/>
      <c r="Z263" s="118"/>
      <c r="AA263" s="118"/>
      <c r="AB263" s="118" t="s">
        <v>78</v>
      </c>
      <c r="AC263" s="136">
        <f>((((H263+J263)*2/1000)*L263*(5/(VLOOKUP(F263,[2]Plasmalõikus!$A$7:$E$46,2,FALSE)/1000*60)))+(Q263*L263*(5*(VLOOKUP(F263,[2]Plasmalõikus!$A$7:$E$48,3,FALSE))/60/60)))</f>
        <v>0.55555555555555558</v>
      </c>
      <c r="AD263" s="353"/>
      <c r="AE263" s="136"/>
      <c r="AF263" s="137"/>
      <c r="AG263" s="137">
        <f t="shared" ref="AG263" si="459">IF(VALUE(MID(F263,SEARCH(" ",F263)+1,LEN(F263)))&lt;35,0,IF(VALUE(MID(F263,SEARCH(" ",F263)+1,LEN(F263)))&lt;40,3,IF(VALUE(MID(F263,SEARCH(" ",F263)+1,LEN(F263)))&lt;50,4,IF(VALUE(MID(F263,SEARCH(" ",F263)+1,LEN(F263)))&lt;60,5,IF(VALUE(MID(F263,SEARCH(" ",F263)+1,LEN(F263)))&lt;70,6,IF(VALUE(MID(F263,SEARCH(" ",F263)+1,LEN(F263)))&lt;80,7,IF(VALUE(MID(F263,SEARCH(" ",F263)+1,LEN(F263)))&lt;90,8,IF(VALUE(MID(F263,SEARCH(" ",F263)+1,LEN(F263)))&lt;100,9,10))))))))/60*Q263*L263</f>
        <v>0</v>
      </c>
      <c r="AH263" s="136"/>
      <c r="AI263" s="132">
        <f t="shared" ref="AI263" si="460">AL263*L263/60</f>
        <v>2</v>
      </c>
      <c r="AJ263" s="70"/>
      <c r="AK263" s="50">
        <v>6</v>
      </c>
      <c r="AL263" s="69" t="str">
        <f t="shared" ref="AL263" si="461">IF(AND(Q263&gt;0,A263&lt;3),"10",IF(AND(Q263&gt;0,A263&lt;10),"15",IF(AND(Q263&gt;0,A263&lt;20),"20",IF(AND(Q263&gt;0,A263&lt;500),"30",IF(AND(Q263=0,A263&lt;3),"2",IF(AND(Q263=0,A263&lt;10),"5",IF(AND(Q263=0,A263&lt;20),"10",IF(AND(Q263=0,A263&lt;500),"20","2"))))))))</f>
        <v>2</v>
      </c>
      <c r="AN263" s="66"/>
      <c r="AP263" s="146">
        <f>(VLOOKUP(F263,Terasehind!$A$2:$B$171,2,FALSE))</f>
        <v>0.92</v>
      </c>
      <c r="AQ263" s="50">
        <f>(VLOOKUP(F263,Terasehind!$A$2:$C$171,3,FALSE))</f>
        <v>1.1000000000000001</v>
      </c>
      <c r="AR263" s="138">
        <f t="shared" ref="AR263" si="462">AP263*AQ263*B263</f>
        <v>17.874450000000007</v>
      </c>
      <c r="AS263"/>
      <c r="AT263"/>
      <c r="AU263"/>
      <c r="AV263"/>
      <c r="AW263"/>
      <c r="AX263"/>
      <c r="AY263"/>
      <c r="AZ263"/>
      <c r="BA263" s="188">
        <f>(H263*2+J263*2)*2*2/60/1000*L263</f>
        <v>1.6</v>
      </c>
      <c r="BB263" s="189"/>
      <c r="BC263" s="57"/>
      <c r="BD263" s="57"/>
      <c r="BE263" s="57"/>
      <c r="BF263" s="57"/>
      <c r="BG263" s="57"/>
      <c r="BH263" s="57"/>
      <c r="BI263" s="57"/>
      <c r="BJ263" s="57"/>
      <c r="BK263" s="109"/>
      <c r="BL263" s="109"/>
      <c r="BM263" s="109"/>
      <c r="BN263" s="83"/>
      <c r="BP263" s="83"/>
      <c r="BQ263" s="83"/>
    </row>
    <row r="264" spans="1:69" s="50" customFormat="1" x14ac:dyDescent="0.25">
      <c r="A264" s="116">
        <f t="shared" ref="A264" si="463">H264*J264*(RIGHT(F264,2))*7.85/(10^6)</f>
        <v>35.795999999999999</v>
      </c>
      <c r="B264" s="116">
        <f t="shared" ref="B264" si="464">A264*L264</f>
        <v>536.93999999999994</v>
      </c>
      <c r="C264" s="118" t="s">
        <v>471</v>
      </c>
      <c r="D264" s="117" t="s">
        <v>88</v>
      </c>
      <c r="E264" s="117"/>
      <c r="F264" s="355" t="s">
        <v>87</v>
      </c>
      <c r="G264" s="117" t="s">
        <v>83</v>
      </c>
      <c r="H264" s="119">
        <v>304</v>
      </c>
      <c r="I264" s="118" t="s">
        <v>77</v>
      </c>
      <c r="J264" s="119">
        <v>1000</v>
      </c>
      <c r="K264" s="119">
        <v>1</v>
      </c>
      <c r="L264" s="119">
        <f>K$264*L$258</f>
        <v>15</v>
      </c>
      <c r="M264" s="116">
        <f t="shared" ref="M264" si="465">2*H264*J264/10^6*L264</f>
        <v>9.1199999999999992</v>
      </c>
      <c r="N264" s="118" t="s">
        <v>84</v>
      </c>
      <c r="P264" s="118"/>
      <c r="Q264" s="135">
        <v>12</v>
      </c>
      <c r="R264" s="118"/>
      <c r="S264" s="118"/>
      <c r="T264" s="118"/>
      <c r="U264" s="118"/>
      <c r="V264" s="118"/>
      <c r="W264" s="118"/>
      <c r="X264" s="118"/>
      <c r="Y264" s="118"/>
      <c r="Z264" s="118"/>
      <c r="AA264" s="118"/>
      <c r="AB264" s="118" t="s">
        <v>78</v>
      </c>
      <c r="AC264" s="136">
        <f>((((H264+J264)*2/1000)*L264*(5/(VLOOKUP(F264,[2]Plasmalõikus!$A$7:$E$46,2,FALSE)/1000*60)))+(Q264*L264*(5*(VLOOKUP(F264,[2]Plasmalõikus!$A$7:$E$48,3,FALSE))/60/60)))</f>
        <v>4.0611111111111109</v>
      </c>
      <c r="AD264" s="353"/>
      <c r="AE264" s="136"/>
      <c r="AF264" s="137"/>
      <c r="AG264" s="137">
        <f t="shared" ref="AG264" si="466">IF(VALUE(MID(F264,SEARCH(" ",F264)+1,LEN(F264)))&lt;35,0,IF(VALUE(MID(F264,SEARCH(" ",F264)+1,LEN(F264)))&lt;40,3,IF(VALUE(MID(F264,SEARCH(" ",F264)+1,LEN(F264)))&lt;50,4,IF(VALUE(MID(F264,SEARCH(" ",F264)+1,LEN(F264)))&lt;60,5,IF(VALUE(MID(F264,SEARCH(" ",F264)+1,LEN(F264)))&lt;70,6,IF(VALUE(MID(F264,SEARCH(" ",F264)+1,LEN(F264)))&lt;80,7,IF(VALUE(MID(F264,SEARCH(" ",F264)+1,LEN(F264)))&lt;90,8,IF(VALUE(MID(F264,SEARCH(" ",F264)+1,LEN(F264)))&lt;100,9,10))))))))/60*Q264*L264</f>
        <v>0</v>
      </c>
      <c r="AH264" s="136"/>
      <c r="AI264" s="132">
        <f t="shared" ref="AI264" si="467">AL264*L264/60</f>
        <v>7.5</v>
      </c>
      <c r="AJ264" s="70">
        <f>(1000*2*AK264)*2*L264/1000</f>
        <v>360</v>
      </c>
      <c r="AK264" s="50">
        <v>6</v>
      </c>
      <c r="AL264" s="69" t="str">
        <f t="shared" ref="AL264" si="468">IF(AND(Q264&gt;0,A264&lt;3),"10",IF(AND(Q264&gt;0,A264&lt;10),"15",IF(AND(Q264&gt;0,A264&lt;20),"20",IF(AND(Q264&gt;0,A264&lt;500),"30",IF(AND(Q264=0,A264&lt;3),"2",IF(AND(Q264=0,A264&lt;10),"5",IF(AND(Q264=0,A264&lt;20),"10",IF(AND(Q264=0,A264&lt;500),"20","2"))))))))</f>
        <v>30</v>
      </c>
      <c r="AN264" s="66"/>
      <c r="AP264" s="146">
        <f>(VLOOKUP(F264,Terasehind!$A$2:$B$171,2,FALSE))</f>
        <v>0.92</v>
      </c>
      <c r="AQ264" s="50">
        <f>(VLOOKUP(F264,Terasehind!$A$2:$C$171,3,FALSE))</f>
        <v>1.1000000000000001</v>
      </c>
      <c r="AR264" s="138">
        <f t="shared" ref="AR264" si="469">AP264*AQ264*B264</f>
        <v>543.38328000000001</v>
      </c>
      <c r="AS264"/>
      <c r="AT264"/>
      <c r="AU264"/>
      <c r="AV264"/>
      <c r="AW264"/>
      <c r="AX264"/>
      <c r="AY264"/>
      <c r="AZ264"/>
      <c r="BA264" s="188">
        <f>(H264*2+J264*2)*2*2/60/1000*L264</f>
        <v>2.6080000000000001</v>
      </c>
      <c r="BB264" s="189"/>
      <c r="BC264" s="57"/>
      <c r="BD264" s="57"/>
      <c r="BE264" s="57"/>
      <c r="BF264" s="57"/>
      <c r="BG264" s="57"/>
      <c r="BH264" s="57"/>
      <c r="BI264" s="57"/>
      <c r="BJ264" s="57"/>
      <c r="BK264" s="109"/>
      <c r="BL264" s="109"/>
      <c r="BM264" s="109"/>
      <c r="BN264" s="83"/>
      <c r="BP264" s="83"/>
      <c r="BQ264" s="83"/>
    </row>
    <row r="265" spans="1:69" s="50" customFormat="1" x14ac:dyDescent="0.25">
      <c r="A265" s="116"/>
      <c r="B265" s="116"/>
      <c r="C265" s="118"/>
      <c r="D265" s="117"/>
      <c r="E265" s="117"/>
      <c r="F265" s="269"/>
      <c r="G265" s="117"/>
      <c r="H265" s="119"/>
      <c r="I265" s="118"/>
      <c r="J265" s="119"/>
      <c r="K265" s="119"/>
      <c r="L265" s="119"/>
      <c r="M265" s="119"/>
      <c r="N265" s="119"/>
      <c r="O265" s="119"/>
      <c r="P265" s="119"/>
      <c r="Q265" s="119"/>
      <c r="R265" s="118"/>
      <c r="S265" s="118"/>
      <c r="T265" s="118"/>
      <c r="U265" s="118"/>
      <c r="V265" s="118"/>
      <c r="W265" s="118"/>
      <c r="X265" s="118"/>
      <c r="Y265" s="118"/>
      <c r="Z265" s="118"/>
      <c r="AA265" s="118"/>
      <c r="AB265" s="118"/>
      <c r="AC265" s="136"/>
      <c r="AD265" s="136"/>
      <c r="AE265" s="136"/>
      <c r="AF265" s="136"/>
      <c r="AG265" s="136"/>
      <c r="AH265" s="136"/>
      <c r="AI265" s="132"/>
      <c r="AJ265" s="60"/>
      <c r="AN265" s="66"/>
      <c r="AP265" s="146"/>
      <c r="AR265" s="138"/>
      <c r="AT265" s="62"/>
      <c r="AU265" s="62"/>
      <c r="AV265" s="62"/>
      <c r="AW265" s="62"/>
      <c r="AX265" s="62"/>
      <c r="AY265" s="62"/>
      <c r="AZ265"/>
      <c r="BA265" s="192"/>
      <c r="BB265" s="188"/>
      <c r="BC265" s="57"/>
      <c r="BD265" s="57"/>
      <c r="BE265" s="57"/>
      <c r="BF265" s="57"/>
      <c r="BG265" s="57"/>
      <c r="BH265" s="57"/>
      <c r="BI265" s="57"/>
      <c r="BJ265" s="109"/>
      <c r="BK265" s="109"/>
      <c r="BL265" s="109"/>
      <c r="BM265" s="83"/>
      <c r="BO265" s="83"/>
      <c r="BP265" s="83"/>
    </row>
    <row r="266" spans="1:69" s="50" customFormat="1" x14ac:dyDescent="0.25">
      <c r="A266" s="148">
        <f>B266/L266</f>
        <v>70.680000000000007</v>
      </c>
      <c r="B266" s="148">
        <f>SUM(B267,0)</f>
        <v>636.12000000000012</v>
      </c>
      <c r="C266" s="152"/>
      <c r="D266" s="149" t="s">
        <v>76</v>
      </c>
      <c r="E266" s="149"/>
      <c r="F266" s="365"/>
      <c r="G266" s="174" t="str">
        <f>$G$163</f>
        <v>C3VH</v>
      </c>
      <c r="H266" s="150"/>
      <c r="I266" s="151" t="s">
        <v>77</v>
      </c>
      <c r="J266" s="150">
        <f>J267</f>
        <v>3100</v>
      </c>
      <c r="K266" s="134">
        <v>9</v>
      </c>
      <c r="L266" s="150">
        <f>$L$163*$K$266</f>
        <v>9</v>
      </c>
      <c r="M266" s="148">
        <f>SUM(M267,0)</f>
        <v>19.446300000000001</v>
      </c>
      <c r="N266" s="151"/>
      <c r="O266" s="151"/>
      <c r="P266" s="151"/>
      <c r="Q266" s="151"/>
      <c r="R266" s="120"/>
      <c r="S266" s="120"/>
      <c r="T266" s="120"/>
      <c r="U266" s="120"/>
      <c r="V266" s="120"/>
      <c r="W266" s="118"/>
      <c r="X266" s="118" t="s">
        <v>78</v>
      </c>
      <c r="Y266" s="151">
        <v>4</v>
      </c>
      <c r="Z266" s="151"/>
      <c r="AA266" s="151"/>
      <c r="AB266" s="151"/>
      <c r="AC266" s="148">
        <f>SUM(AC267,0)</f>
        <v>0</v>
      </c>
      <c r="AD266" s="148">
        <f>SUM(AD267,0)</f>
        <v>0</v>
      </c>
      <c r="AE266" s="148">
        <f>SUM(AE267,0)</f>
        <v>3</v>
      </c>
      <c r="AF266" s="148">
        <f>SUM(AF267,0)</f>
        <v>0</v>
      </c>
      <c r="AG266" s="148">
        <f>SUM(AG267,0)</f>
        <v>0.45</v>
      </c>
      <c r="AH266" s="107">
        <f>SUM(AC266:AG266)</f>
        <v>3.45</v>
      </c>
      <c r="AI266" s="107">
        <f>SUM(AI267,0)</f>
        <v>3</v>
      </c>
      <c r="AJ266" s="148">
        <f>SUM(AJ267,0)</f>
        <v>0</v>
      </c>
      <c r="AK266" s="107">
        <f>AJ266*10/60</f>
        <v>0</v>
      </c>
      <c r="AL266" s="148">
        <f>AH266+AI266+AK266</f>
        <v>6.45</v>
      </c>
      <c r="AM266" s="148">
        <f>B266/AL266</f>
        <v>98.623255813953506</v>
      </c>
      <c r="AN266" s="148">
        <f>AL266*46</f>
        <v>296.7</v>
      </c>
      <c r="AO266" s="148">
        <f>AN266/B266</f>
        <v>0.46642142991888313</v>
      </c>
      <c r="AP266" s="148">
        <f>AR266/B266</f>
        <v>1.0449999999999999</v>
      </c>
      <c r="AQ266" s="67"/>
      <c r="AR266" s="148">
        <f>SUM(AR267,0)</f>
        <v>664.74540000000013</v>
      </c>
      <c r="AT266" s="62"/>
      <c r="AU266" s="62"/>
      <c r="AV266" s="62"/>
      <c r="AW266" s="62"/>
      <c r="AX266" s="62"/>
      <c r="AY266" s="62"/>
      <c r="AZ266"/>
      <c r="BA266" s="148">
        <f>SUM(BA267,0)</f>
        <v>0</v>
      </c>
      <c r="BB266" s="188"/>
      <c r="BC266" s="57"/>
      <c r="BD266" s="57"/>
      <c r="BE266" s="57"/>
      <c r="BF266" s="57"/>
      <c r="BG266" s="57"/>
      <c r="BH266" s="57"/>
      <c r="BI266" s="60"/>
    </row>
    <row r="267" spans="1:69" s="50" customFormat="1" x14ac:dyDescent="0.25">
      <c r="A267" s="116">
        <f xml:space="preserve"> 22.8*J267/10^3</f>
        <v>70.680000000000007</v>
      </c>
      <c r="B267" s="116">
        <f>A267*L267</f>
        <v>636.12000000000012</v>
      </c>
      <c r="C267" s="299" t="s">
        <v>354</v>
      </c>
      <c r="D267" s="117" t="s">
        <v>76</v>
      </c>
      <c r="E267" s="117"/>
      <c r="F267" s="355" t="s">
        <v>481</v>
      </c>
      <c r="G267" s="140" t="s">
        <v>83</v>
      </c>
      <c r="H267" s="119">
        <v>200</v>
      </c>
      <c r="I267" s="118" t="s">
        <v>77</v>
      </c>
      <c r="J267" s="119">
        <v>3100</v>
      </c>
      <c r="K267" s="50">
        <v>1</v>
      </c>
      <c r="L267" s="119">
        <f>K$267*L$266</f>
        <v>9</v>
      </c>
      <c r="M267" s="131">
        <f xml:space="preserve"> 0.697*J267*L267/10^3</f>
        <v>19.446300000000001</v>
      </c>
      <c r="N267" s="118"/>
      <c r="O267" s="118"/>
      <c r="P267" s="118" t="s">
        <v>78</v>
      </c>
      <c r="Q267" s="135">
        <v>6</v>
      </c>
      <c r="R267" s="118"/>
      <c r="S267" s="118"/>
      <c r="T267" s="118"/>
      <c r="U267" s="118"/>
      <c r="V267" s="118"/>
      <c r="W267" s="118"/>
      <c r="Y267" s="118"/>
      <c r="Z267" s="118"/>
      <c r="AA267" s="118"/>
      <c r="AB267" s="118" t="s">
        <v>78</v>
      </c>
      <c r="AC267" s="116"/>
      <c r="AD267" s="83"/>
      <c r="AE267" s="136">
        <f>(H267/20/60)*2*L267</f>
        <v>3</v>
      </c>
      <c r="AF267" s="137"/>
      <c r="AG267" s="132">
        <f>Q267*L267*0.5/60</f>
        <v>0.45</v>
      </c>
      <c r="AH267" s="83"/>
      <c r="AI267" s="132">
        <f>AL267*L267/60</f>
        <v>3</v>
      </c>
      <c r="AJ267" s="70"/>
      <c r="AK267" s="50">
        <v>3</v>
      </c>
      <c r="AL267" s="69">
        <f>VLOOKUP(F267,[2]Koostamine!$A$12:$P$1612,IF(J267&lt;1499,11,IF(J267&lt;2999,12,IF(J267&lt;5999,13,IF(J267&lt;9999,14,IF(J267&lt;12999,15,IF(J267&gt;13000,16)))))),FALSE)</f>
        <v>20</v>
      </c>
      <c r="AP267" s="146">
        <f>(VLOOKUP(F267,Terasehind!$A$2:$B$171,2,FALSE))</f>
        <v>0.95</v>
      </c>
      <c r="AQ267" s="50">
        <f>(VLOOKUP(F267,Terasehind!$A$2:$C$171,3,FALSE))</f>
        <v>1.1000000000000001</v>
      </c>
      <c r="AR267" s="138">
        <f>AP267*AQ267*B267</f>
        <v>664.74540000000013</v>
      </c>
      <c r="AT267" s="62"/>
      <c r="AU267" s="62"/>
      <c r="AV267" s="62"/>
      <c r="AW267" s="62"/>
      <c r="AX267" s="62"/>
      <c r="AY267" s="62"/>
      <c r="AZ267"/>
      <c r="BA267" s="188"/>
      <c r="BB267" s="189"/>
      <c r="BC267" s="57"/>
      <c r="BD267" s="57"/>
      <c r="BE267" s="57"/>
      <c r="BF267" s="57"/>
      <c r="BG267" s="57"/>
      <c r="BH267" s="57"/>
      <c r="BI267" s="57"/>
      <c r="BJ267" s="60"/>
      <c r="BK267" s="57"/>
      <c r="BL267" s="60"/>
      <c r="BM267" s="83"/>
      <c r="BO267" s="109"/>
    </row>
    <row r="269" spans="1:69" customFormat="1" ht="14.95" thickBot="1" x14ac:dyDescent="0.3">
      <c r="B269">
        <v>1585</v>
      </c>
      <c r="G269" s="140"/>
      <c r="AD269" s="328" t="s">
        <v>393</v>
      </c>
      <c r="AW269" s="117"/>
      <c r="AX269" s="117"/>
      <c r="AY269" s="346">
        <f>AY270+BA269*$AV$2</f>
        <v>64531.067564160592</v>
      </c>
      <c r="AZ269" s="345">
        <f>AY269/B270</f>
        <v>2.6585674954840486</v>
      </c>
      <c r="BA269">
        <f>BA270*46</f>
        <v>1242.1472000000003</v>
      </c>
    </row>
    <row r="270" spans="1:69" s="50" customFormat="1" ht="14.95" thickBot="1" x14ac:dyDescent="0.3">
      <c r="A270" s="153">
        <f>B270/L270</f>
        <v>24272.871640000001</v>
      </c>
      <c r="B270" s="153">
        <f>B$375+B$369+B$363+B$357+B$350+B$344+B$338+B$331+B$324+B$318+B$312+B$304+B$298+B$292+B$286+B$280+B$274</f>
        <v>24272.871640000001</v>
      </c>
      <c r="C270" s="154"/>
      <c r="D270" s="154" t="s">
        <v>76</v>
      </c>
      <c r="E270" s="154"/>
      <c r="F270" s="155" t="s">
        <v>431</v>
      </c>
      <c r="G270" s="351" t="s">
        <v>449</v>
      </c>
      <c r="H270" s="156">
        <v>150</v>
      </c>
      <c r="I270" s="157" t="s">
        <v>77</v>
      </c>
      <c r="J270" s="156">
        <v>7500</v>
      </c>
      <c r="K270" s="156">
        <v>1</v>
      </c>
      <c r="L270" s="156">
        <f>$L$11*$K$270</f>
        <v>1</v>
      </c>
      <c r="M270" s="153">
        <f>M$375+M$369+M$363+M$357+M$350+M$344+M$338+M$331+M$324+M$318+M$312+M$304+M$298+M$292+M$286+M$280+M$274</f>
        <v>434.93921</v>
      </c>
      <c r="N270" s="157"/>
      <c r="O270" s="157"/>
      <c r="P270" s="157"/>
      <c r="Q270" s="157"/>
      <c r="R270" s="157"/>
      <c r="S270" s="157"/>
      <c r="T270" s="157"/>
      <c r="U270" s="157"/>
      <c r="V270" s="157"/>
      <c r="W270" s="157"/>
      <c r="X270" s="157"/>
      <c r="Y270" s="157">
        <v>3</v>
      </c>
      <c r="Z270" s="157"/>
      <c r="AA270" s="157"/>
      <c r="AB270" s="157"/>
      <c r="AC270" s="153">
        <f>AC$375+AC$369+AC$363+AC$357+AC$350+AC$344+AC$338+AC$331+AC$324+AC$318+AC$312+AC$304+AC$298+AC$292+AC$286+AC$280+AC$274</f>
        <v>51.405546296296293</v>
      </c>
      <c r="AD270" s="153">
        <f>AD$375+AD$369+AD$363+AD$357+AD$350+AD$344+AD$338+AD$331+AD$324+AD$318+AD$312+AD$304+AD$298+AD$292+AD$286+AD$280+AD$274</f>
        <v>0.45600000000000007</v>
      </c>
      <c r="AE270" s="153">
        <f>AE$375+AE$369+AE$363+AE$357+AE$350+AE$344+AE$338+AE$331+AE$324+AE$318+AE$312+AE$304+AE$298+AE$292+AE$286+AE$280+AE$274</f>
        <v>35.633333333333326</v>
      </c>
      <c r="AF270" s="153">
        <f>AF$375+AF$369+AF$363+AF$357+AF$350+AF$344+AF$338+AF$331+AF$324+AF$318+AF$312+AF$304+AF$298+AF$292+AF$286+AF$280+AF$274</f>
        <v>57.013333333333343</v>
      </c>
      <c r="AG270" s="153">
        <f>AG$375+AG$369+AG$363+AG$357+AG$350+AG$344+AG$338+AG$331+AG$324+AG$318+AG$312+AG$304+AG$298+AG$292+AG$286+AG$280+AG$274</f>
        <v>0</v>
      </c>
      <c r="AH270" s="107">
        <f>SUM(AC270:AG270)</f>
        <v>144.50821296296297</v>
      </c>
      <c r="AI270" s="107">
        <f>AI$375+AI$369+AI$363+AI$357+AI$350+AI$344+AI$338+AI$331+AI$324+AI$318+AI$312+AI$304+AI$298+AI$292+AI$286+AI$280+AI$274</f>
        <v>178.09999999999997</v>
      </c>
      <c r="AJ270" s="153">
        <f>AJ$375+AJ$369+AJ$363+AJ$357+AJ$350+AJ$344+AJ$338+AJ$331+AJ$324+AJ$318+AJ$312+AJ$304+AJ$298+AJ$292+AJ$286+AJ$280+AJ$274</f>
        <v>964.16</v>
      </c>
      <c r="AK270" s="107">
        <f>AJ270*10/60</f>
        <v>160.69333333333333</v>
      </c>
      <c r="AL270" s="133">
        <f>AH270+AI270+AK270</f>
        <v>483.30154629629629</v>
      </c>
      <c r="AM270" s="173">
        <f>B270/AL270</f>
        <v>50.223037410104006</v>
      </c>
      <c r="AN270" s="158">
        <f>AL270*46</f>
        <v>22231.871129629628</v>
      </c>
      <c r="AO270" s="159">
        <f>AN270/B270</f>
        <v>0.91591433676899825</v>
      </c>
      <c r="AP270" s="159">
        <f>AR270/B270</f>
        <v>1.0614161595624041</v>
      </c>
      <c r="AQ270" s="67"/>
      <c r="AR270" s="159">
        <f>AR$375+AR$369+AR$363+AR$357+AR$350+AR$344+AR$338+AR$331+AR$324+AR$318+AR$312+AR$304+AR$298+AR$292+AR$286+AR$280+AR$274</f>
        <v>25763.618197679996</v>
      </c>
      <c r="AS270" s="168">
        <f>$AU$2</f>
        <v>1.1000000000000001</v>
      </c>
      <c r="AT270" s="128">
        <f>HLOOKUP(G270,$AB$1:$AK$2,2,FALSE)</f>
        <v>20</v>
      </c>
      <c r="AU270" s="166">
        <f>IF(AND(G270="HDG"),B270*AT270,M270*AT270)</f>
        <v>8698.7842000000001</v>
      </c>
      <c r="AV270" s="68">
        <f>B270*pakendus</f>
        <v>728.18614920000005</v>
      </c>
      <c r="AW270" s="159">
        <f>(AN270+AU270+AV270)+AU269</f>
        <v>31658.841478829625</v>
      </c>
      <c r="AX270" s="129">
        <f>$AV$2</f>
        <v>1.1000000000000001</v>
      </c>
      <c r="AY270" s="108">
        <f>(AR270*AS270)+(AW270*AX270)</f>
        <v>63164.705644160589</v>
      </c>
      <c r="AZ270" s="130">
        <f>ROUND(AY270/B270,3)</f>
        <v>2.6019999999999999</v>
      </c>
      <c r="BA270" s="159">
        <f>BA$375+BA$369+BA$357+BA$350+BA$344+BA$324+BA$318+BA$304+BA$292</f>
        <v>27.003200000000007</v>
      </c>
      <c r="BB270" s="159">
        <f>B270/20000</f>
        <v>1.213643582</v>
      </c>
      <c r="BC270" s="57"/>
      <c r="BD270" s="57"/>
      <c r="BE270" s="57"/>
      <c r="BF270" s="57"/>
      <c r="BG270" s="57"/>
      <c r="BH270" s="57"/>
      <c r="BI270" s="83"/>
    </row>
    <row r="271" spans="1:69" s="50" customFormat="1" x14ac:dyDescent="0.25">
      <c r="A271" s="116"/>
      <c r="B271" s="160">
        <f>SUMIF(F292:F469,"leht*",B292:B469)</f>
        <v>13031.675885000001</v>
      </c>
      <c r="C271" s="255">
        <f>B271/B270</f>
        <v>0.53688233012878073</v>
      </c>
      <c r="D271" s="161" t="s">
        <v>74</v>
      </c>
      <c r="E271" s="117"/>
      <c r="F271" s="118"/>
      <c r="G271" s="117"/>
      <c r="H271" s="119"/>
      <c r="I271" s="118"/>
      <c r="J271" s="119"/>
      <c r="K271" s="119"/>
      <c r="L271" s="119"/>
      <c r="M271" s="112"/>
      <c r="N271" s="118"/>
      <c r="O271" s="118"/>
      <c r="P271" s="118"/>
      <c r="Q271" s="118"/>
      <c r="R271" s="118"/>
      <c r="S271" s="118"/>
      <c r="T271" s="118"/>
      <c r="U271" s="118"/>
      <c r="V271" s="118"/>
      <c r="W271" s="118"/>
      <c r="X271" s="118"/>
      <c r="Y271" s="118"/>
      <c r="Z271" s="118"/>
      <c r="AA271" s="118"/>
      <c r="AB271" s="118"/>
      <c r="AD271" s="83"/>
      <c r="AE271" s="83"/>
      <c r="AF271" s="114"/>
      <c r="AG271" s="114"/>
      <c r="AH271" s="83"/>
      <c r="AI271" s="83"/>
      <c r="AJ271" s="83"/>
      <c r="AK271" s="83"/>
      <c r="AL271" s="83"/>
      <c r="AM271" s="60"/>
      <c r="AN271" s="66"/>
      <c r="AO271" s="61"/>
      <c r="AP271" s="62"/>
      <c r="AQ271" s="62"/>
      <c r="AT271" s="60"/>
      <c r="AU271" s="77"/>
      <c r="AV271" s="77"/>
      <c r="AW271" s="77"/>
      <c r="AX271" s="121"/>
      <c r="AY271" s="77"/>
      <c r="AZ271" s="77"/>
      <c r="BA271" s="192"/>
      <c r="BB271" s="188"/>
      <c r="BC271" s="57"/>
      <c r="BD271" s="57"/>
      <c r="BE271" s="131"/>
      <c r="BF271" s="57"/>
      <c r="BG271" s="57"/>
      <c r="BH271" s="57"/>
      <c r="BI271" s="57"/>
      <c r="BJ271" s="57"/>
      <c r="BK271" s="83"/>
      <c r="BL271" s="109"/>
      <c r="BN271" s="57"/>
      <c r="BO271" s="60"/>
    </row>
    <row r="272" spans="1:69" s="50" customFormat="1" x14ac:dyDescent="0.25">
      <c r="A272" s="116"/>
      <c r="B272" s="116"/>
      <c r="C272" s="118"/>
      <c r="D272" s="117"/>
      <c r="E272" s="117"/>
      <c r="F272" s="349" t="s">
        <v>422</v>
      </c>
      <c r="G272" s="117"/>
      <c r="H272" s="119"/>
      <c r="I272" s="118"/>
      <c r="J272" s="119"/>
      <c r="K272" s="119"/>
      <c r="L272" s="119"/>
      <c r="M272" s="119"/>
      <c r="N272" s="119"/>
      <c r="O272" s="119"/>
      <c r="P272" s="119"/>
      <c r="Q272" s="119"/>
      <c r="R272" s="118"/>
      <c r="S272" s="118"/>
      <c r="T272" s="118"/>
      <c r="U272" s="118"/>
      <c r="V272" s="118"/>
      <c r="W272" s="118"/>
      <c r="X272" s="118"/>
      <c r="Y272" s="118"/>
      <c r="Z272" s="118"/>
      <c r="AA272" s="118"/>
      <c r="AB272" s="118"/>
      <c r="AC272" s="136"/>
      <c r="AD272" s="136"/>
      <c r="AE272" s="136"/>
      <c r="AF272" s="136"/>
      <c r="AG272" s="136"/>
      <c r="AH272" s="136"/>
      <c r="AI272" s="132"/>
      <c r="AJ272" s="60"/>
      <c r="AN272" s="66"/>
      <c r="AP272" s="146"/>
      <c r="AR272" s="138"/>
      <c r="AT272" s="62"/>
      <c r="AU272" s="62"/>
      <c r="AV272" s="62"/>
      <c r="AW272" s="62"/>
      <c r="AX272" s="62"/>
      <c r="AY272" s="62"/>
      <c r="AZ272"/>
      <c r="BA272" s="192"/>
      <c r="BB272" s="188"/>
      <c r="BC272" s="57"/>
      <c r="BD272" s="57"/>
      <c r="BE272" s="57"/>
      <c r="BF272" s="57"/>
      <c r="BG272" s="57"/>
      <c r="BH272" s="57"/>
      <c r="BI272" s="57"/>
      <c r="BJ272" s="109"/>
      <c r="BK272" s="109"/>
      <c r="BL272" s="109"/>
      <c r="BM272" s="83"/>
      <c r="BO272" s="83"/>
      <c r="BP272" s="83"/>
    </row>
    <row r="273" spans="1:69" customFormat="1" x14ac:dyDescent="0.25"/>
    <row r="274" spans="1:69" s="50" customFormat="1" x14ac:dyDescent="0.25">
      <c r="A274" s="148">
        <f>B274/L274</f>
        <v>50.511359999999996</v>
      </c>
      <c r="B274" s="148">
        <f>SUM(B278,B277,B276,B275,0)</f>
        <v>202.04543999999999</v>
      </c>
      <c r="C274" s="152"/>
      <c r="D274" s="149" t="s">
        <v>76</v>
      </c>
      <c r="E274" s="149"/>
      <c r="F274" s="365"/>
      <c r="G274" s="174" t="str">
        <f>$G$163</f>
        <v>C3VH</v>
      </c>
      <c r="H274" s="150"/>
      <c r="I274" s="151" t="s">
        <v>77</v>
      </c>
      <c r="J274" s="150">
        <f>J275</f>
        <v>3000</v>
      </c>
      <c r="K274" s="134">
        <v>4</v>
      </c>
      <c r="L274" s="150">
        <f>$L$270*$K$274</f>
        <v>4</v>
      </c>
      <c r="M274" s="148">
        <f>SUM(M278,M277,M276,M275,0)</f>
        <v>6.5135999999999994</v>
      </c>
      <c r="N274" s="151"/>
      <c r="O274" s="151"/>
      <c r="P274" s="151"/>
      <c r="Q274" s="151"/>
      <c r="R274" s="120"/>
      <c r="S274" s="120"/>
      <c r="T274" s="120"/>
      <c r="U274" s="120"/>
      <c r="V274" s="120"/>
      <c r="W274" s="118"/>
      <c r="X274" s="118" t="s">
        <v>78</v>
      </c>
      <c r="Y274" s="151">
        <v>4</v>
      </c>
      <c r="Z274" s="151"/>
      <c r="AA274" s="151"/>
      <c r="AB274" s="151"/>
      <c r="AC274" s="148">
        <f>SUM(AC278,AC277,AC276,AC275,0)</f>
        <v>0.81148148148148147</v>
      </c>
      <c r="AD274" s="148">
        <f>SUM(AD278,AD277,AD276,AD275,0)</f>
        <v>0</v>
      </c>
      <c r="AE274" s="148">
        <f>SUM(AE278,AE277,AE276,AE275,0)</f>
        <v>0.8</v>
      </c>
      <c r="AF274" s="148">
        <f>SUM(AF278,AF277,AF276,AF275,0)</f>
        <v>1.28</v>
      </c>
      <c r="AG274" s="148">
        <f>SUM(AG278,AG277,AG276,AG275,0)</f>
        <v>0</v>
      </c>
      <c r="AH274" s="107">
        <f>SUM(AC274:AG274)</f>
        <v>2.8914814814814815</v>
      </c>
      <c r="AI274" s="107">
        <f>SUM(AI278,AI277,AI276,AI275,0)</f>
        <v>3.1999999999999997</v>
      </c>
      <c r="AJ274" s="148">
        <f>SUM(AJ278,AJ277,AJ276,AJ275,0)</f>
        <v>19.2</v>
      </c>
      <c r="AK274" s="107">
        <f>AJ274*10/60</f>
        <v>3.2</v>
      </c>
      <c r="AL274" s="148">
        <f>AH274+AI274+AK274</f>
        <v>9.2914814814814815</v>
      </c>
      <c r="AM274" s="148">
        <f>B274/AL274</f>
        <v>21.745234105313507</v>
      </c>
      <c r="AN274" s="148">
        <f>AL274*46</f>
        <v>427.40814814814814</v>
      </c>
      <c r="AO274" s="148">
        <f>AN274/B274</f>
        <v>2.1154060598850841</v>
      </c>
      <c r="AP274" s="148">
        <f>AR274/B274</f>
        <v>1.0120000000000002</v>
      </c>
      <c r="AQ274" s="67"/>
      <c r="AR274" s="148">
        <f>SUM(AR278,AR277,AR276,AR275,0)</f>
        <v>204.46998528000003</v>
      </c>
      <c r="AT274" s="62"/>
      <c r="AU274" s="62"/>
      <c r="AV274" s="62"/>
      <c r="AW274" s="62"/>
      <c r="AX274" s="62"/>
      <c r="AY274" s="62"/>
      <c r="AZ274"/>
      <c r="BA274" s="148">
        <f>SUM(BA277,BA276,BA275,0)</f>
        <v>0.53333333333333333</v>
      </c>
      <c r="BB274" s="188"/>
      <c r="BC274" s="57"/>
      <c r="BD274" s="57"/>
      <c r="BE274" s="57"/>
      <c r="BF274" s="57"/>
      <c r="BG274" s="57"/>
      <c r="BH274" s="57"/>
      <c r="BI274" s="60"/>
    </row>
    <row r="275" spans="1:69" s="50" customFormat="1" x14ac:dyDescent="0.25">
      <c r="A275" s="116">
        <f xml:space="preserve"> 14.3*J275/10^3</f>
        <v>42.9</v>
      </c>
      <c r="B275" s="116">
        <f>A275*L275</f>
        <v>171.6</v>
      </c>
      <c r="C275" s="299" t="s">
        <v>379</v>
      </c>
      <c r="D275" s="117" t="s">
        <v>76</v>
      </c>
      <c r="E275" s="117"/>
      <c r="F275" s="355" t="s">
        <v>424</v>
      </c>
      <c r="G275" s="140" t="s">
        <v>79</v>
      </c>
      <c r="H275" s="119">
        <v>120</v>
      </c>
      <c r="I275" s="118" t="s">
        <v>77</v>
      </c>
      <c r="J275" s="119">
        <v>3000</v>
      </c>
      <c r="K275" s="50">
        <v>1</v>
      </c>
      <c r="L275" s="119">
        <f>K$275*L$274</f>
        <v>4</v>
      </c>
      <c r="M275" s="131">
        <f xml:space="preserve"> 0.466*J275*L275/10^3</f>
        <v>5.5919999999999996</v>
      </c>
      <c r="N275" s="118"/>
      <c r="O275" s="118"/>
      <c r="P275" s="118" t="s">
        <v>78</v>
      </c>
      <c r="Q275" s="135"/>
      <c r="R275" s="118"/>
      <c r="S275" s="118"/>
      <c r="T275" s="118"/>
      <c r="U275" s="118"/>
      <c r="V275" s="118"/>
      <c r="W275" s="118"/>
      <c r="Y275" s="118"/>
      <c r="Z275" s="118"/>
      <c r="AA275" s="118"/>
      <c r="AB275" s="118" t="s">
        <v>78</v>
      </c>
      <c r="AC275" s="116"/>
      <c r="AD275" s="83"/>
      <c r="AE275" s="136">
        <f t="shared" ref="AE275" si="470">(H275/20/60)*2*L275</f>
        <v>0.8</v>
      </c>
      <c r="AF275" s="137">
        <f>(H275*4)*2*20/60/1000*L275</f>
        <v>1.28</v>
      </c>
      <c r="AG275" s="132">
        <f t="shared" ref="AG275" si="471">Q275*L275*0.5/60</f>
        <v>0</v>
      </c>
      <c r="AH275" s="83"/>
      <c r="AI275" s="132">
        <f t="shared" ref="AI275:AI278" si="472">AL275*L275/60</f>
        <v>0.66666666666666663</v>
      </c>
      <c r="AJ275" s="70">
        <f t="shared" ref="AJ275" si="473">(H275*4*AK275)*2*L275/1000</f>
        <v>3.84</v>
      </c>
      <c r="AK275" s="50">
        <f>(VLOOKUP(F275,[2]Koostamine!$A$12:$P$1612,7,FALSE))</f>
        <v>1</v>
      </c>
      <c r="AL275" s="69">
        <f>VLOOKUP(F275,[2]Koostamine!$A$12:$P$1612,IF(J275&lt;1499,11,IF(J275&lt;2999,12,IF(J275&lt;5999,13,IF(J275&lt;9999,14,IF(J275&lt;12999,15,IF(J275&gt;13000,16)))))),FALSE)</f>
        <v>10</v>
      </c>
      <c r="AP275" s="146">
        <f>(VLOOKUP(F275,Terasehind!$A$2:$B$171,2,FALSE))</f>
        <v>0.92</v>
      </c>
      <c r="AQ275" s="50">
        <f>(VLOOKUP(F275,Terasehind!$A$2:$C$171,3,FALSE))</f>
        <v>1.1000000000000001</v>
      </c>
      <c r="AR275" s="138">
        <f t="shared" ref="AR275:AR278" si="474">AP275*AQ275*B275</f>
        <v>173.65920000000003</v>
      </c>
      <c r="AT275" s="62"/>
      <c r="AU275" s="62"/>
      <c r="AV275" s="62"/>
      <c r="AW275" s="62"/>
      <c r="AX275" s="62"/>
      <c r="AY275" s="62"/>
      <c r="AZ275"/>
      <c r="BA275" s="188">
        <f>(H275*4)*2*2/60/1000*L275</f>
        <v>0.128</v>
      </c>
      <c r="BB275" s="189"/>
      <c r="BC275" s="57"/>
      <c r="BD275" s="57"/>
      <c r="BE275" s="57"/>
      <c r="BF275" s="57"/>
      <c r="BG275" s="57"/>
      <c r="BH275" s="57"/>
      <c r="BI275" s="57"/>
      <c r="BJ275" s="60"/>
      <c r="BK275" s="57"/>
      <c r="BL275" s="60"/>
      <c r="BM275" s="83"/>
      <c r="BO275" s="109"/>
    </row>
    <row r="276" spans="1:69" s="50" customFormat="1" x14ac:dyDescent="0.25">
      <c r="A276" s="116">
        <f t="shared" ref="A276:A278" si="475">H276*J276*(RIGHT(F276,2))*7.85/(10^6)</f>
        <v>0.28260000000000002</v>
      </c>
      <c r="B276" s="116">
        <f t="shared" ref="B276:B278" si="476">A276*L276</f>
        <v>4.5216000000000003</v>
      </c>
      <c r="C276" s="118" t="s">
        <v>80</v>
      </c>
      <c r="D276" s="117" t="s">
        <v>81</v>
      </c>
      <c r="E276" s="117"/>
      <c r="F276" s="355" t="s">
        <v>324</v>
      </c>
      <c r="G276" s="117" t="s">
        <v>83</v>
      </c>
      <c r="H276" s="119">
        <f>H275/2</f>
        <v>60</v>
      </c>
      <c r="I276" s="118" t="s">
        <v>77</v>
      </c>
      <c r="J276" s="119">
        <f>H275</f>
        <v>120</v>
      </c>
      <c r="K276" s="119">
        <v>4</v>
      </c>
      <c r="L276" s="119">
        <f>K$276*L$274</f>
        <v>16</v>
      </c>
      <c r="M276" s="116">
        <f t="shared" ref="M276:M278" si="477">2*H276*J276/10^6*L276</f>
        <v>0.23039999999999999</v>
      </c>
      <c r="N276" s="118" t="s">
        <v>84</v>
      </c>
      <c r="P276" s="118"/>
      <c r="Q276" s="135"/>
      <c r="R276" s="118"/>
      <c r="S276" s="118"/>
      <c r="T276" s="118"/>
      <c r="U276" s="118"/>
      <c r="V276" s="118"/>
      <c r="W276" s="118"/>
      <c r="X276" s="118"/>
      <c r="Y276" s="118"/>
      <c r="Z276" s="118"/>
      <c r="AA276" s="118"/>
      <c r="AB276" s="118" t="s">
        <v>78</v>
      </c>
      <c r="AC276" s="136">
        <f>((((H276+J276)*2/1000)*L276*(5/(VLOOKUP(F276,[2]Plasmalõikus!$A$7:$E$46,2,FALSE)/1000*60)))+(Q276*L276*(5*(VLOOKUP(F276,[2]Plasmalõikus!$A$7:$E$48,3,FALSE))/60/60)))</f>
        <v>0.13333333333333333</v>
      </c>
      <c r="AD276" s="353" t="str">
        <f t="shared" ref="AD276:AD278" si="478">IF(C276="WQ",0.012*((H276+J276)*2/1000*L276),IF(OR(VALUE(MID(F276,6,10))&gt;=20,H276&gt;300,J276&gt;300),0.012*((H276+J276)*2/1000*L276)," "))</f>
        <v xml:space="preserve"> </v>
      </c>
      <c r="AE276" s="136"/>
      <c r="AF276" s="137"/>
      <c r="AG276" s="137">
        <f t="shared" ref="AG276:AG278" si="479">IF(VALUE(MID(F276,SEARCH(" ",F276)+1,LEN(F276)))&lt;35,0,IF(VALUE(MID(F276,SEARCH(" ",F276)+1,LEN(F276)))&lt;40,3,IF(VALUE(MID(F276,SEARCH(" ",F276)+1,LEN(F276)))&lt;50,4,IF(VALUE(MID(F276,SEARCH(" ",F276)+1,LEN(F276)))&lt;60,5,IF(VALUE(MID(F276,SEARCH(" ",F276)+1,LEN(F276)))&lt;70,6,IF(VALUE(MID(F276,SEARCH(" ",F276)+1,LEN(F276)))&lt;80,7,IF(VALUE(MID(F276,SEARCH(" ",F276)+1,LEN(F276)))&lt;90,8,IF(VALUE(MID(F276,SEARCH(" ",F276)+1,LEN(F276)))&lt;100,9,10))))))))/60*Q276*L276</f>
        <v>0</v>
      </c>
      <c r="AH276" s="136"/>
      <c r="AI276" s="132">
        <f t="shared" si="472"/>
        <v>0.53333333333333333</v>
      </c>
      <c r="AJ276" s="70"/>
      <c r="AK276" s="50">
        <v>2</v>
      </c>
      <c r="AL276" s="69" t="str">
        <f t="shared" ref="AL276:AL278" si="480">IF(AND(Q276&gt;0,A276&lt;3),"10",IF(AND(Q276&gt;0,A276&lt;10),"15",IF(AND(Q276&gt;0,A276&lt;20),"20",IF(AND(Q276&gt;0,A276&lt;500),"30",IF(AND(Q276=0,A276&lt;3),"2",IF(AND(Q276=0,A276&lt;10),"5",IF(AND(Q276=0,A276&lt;20),"10",IF(AND(Q276=0,A276&lt;500),"20","2"))))))))</f>
        <v>2</v>
      </c>
      <c r="AN276" s="66"/>
      <c r="AP276" s="146">
        <f>(VLOOKUP(F276,Terasehind!$A$2:$B$171,2,FALSE))</f>
        <v>0.92</v>
      </c>
      <c r="AQ276" s="50">
        <f>(VLOOKUP(F276,Terasehind!$A$2:$C$171,3,FALSE))</f>
        <v>1.1000000000000001</v>
      </c>
      <c r="AR276" s="138">
        <f t="shared" si="474"/>
        <v>4.5758592000000009</v>
      </c>
      <c r="AS276"/>
      <c r="AT276"/>
      <c r="AU276"/>
      <c r="AV276"/>
      <c r="AW276"/>
      <c r="AX276"/>
      <c r="AY276"/>
      <c r="AZ276"/>
      <c r="BA276" s="188"/>
      <c r="BB276" s="189"/>
      <c r="BC276" s="57"/>
      <c r="BD276" s="57"/>
      <c r="BE276" s="57"/>
      <c r="BF276" s="57"/>
      <c r="BG276" s="57"/>
      <c r="BH276" s="57"/>
      <c r="BI276" s="57"/>
      <c r="BJ276" s="57"/>
      <c r="BK276" s="109"/>
      <c r="BL276" s="109"/>
      <c r="BM276" s="109"/>
      <c r="BN276" s="83"/>
      <c r="BP276" s="83"/>
      <c r="BQ276" s="83"/>
    </row>
    <row r="277" spans="1:69" s="50" customFormat="1" x14ac:dyDescent="0.25">
      <c r="A277" s="116">
        <f t="shared" si="475"/>
        <v>2.11008</v>
      </c>
      <c r="B277" s="116">
        <f t="shared" si="476"/>
        <v>16.88064</v>
      </c>
      <c r="C277" s="118"/>
      <c r="D277" s="117" t="s">
        <v>85</v>
      </c>
      <c r="E277" s="117"/>
      <c r="F277" s="355" t="s">
        <v>337</v>
      </c>
      <c r="G277" s="117" t="s">
        <v>83</v>
      </c>
      <c r="H277" s="119">
        <f>H275+20</f>
        <v>140</v>
      </c>
      <c r="I277" s="118" t="s">
        <v>77</v>
      </c>
      <c r="J277" s="119">
        <f>H275*2</f>
        <v>240</v>
      </c>
      <c r="K277" s="119">
        <v>2</v>
      </c>
      <c r="L277" s="119">
        <f>K$277*L$274</f>
        <v>8</v>
      </c>
      <c r="M277" s="116">
        <f t="shared" si="477"/>
        <v>0.53759999999999997</v>
      </c>
      <c r="N277" s="118" t="s">
        <v>84</v>
      </c>
      <c r="P277" s="118"/>
      <c r="Q277" s="135">
        <v>4</v>
      </c>
      <c r="R277" s="118"/>
      <c r="S277" s="118"/>
      <c r="T277" s="118"/>
      <c r="U277" s="118"/>
      <c r="V277" s="118"/>
      <c r="W277" s="118"/>
      <c r="X277" s="118"/>
      <c r="Y277" s="118"/>
      <c r="Z277" s="118"/>
      <c r="AA277" s="118"/>
      <c r="AB277" s="118" t="s">
        <v>78</v>
      </c>
      <c r="AC277" s="136">
        <f>((((H277+J277)*2/1000)*L277*(5/(VLOOKUP(F277,[2]Plasmalõikus!$A$7:$E$46,2,FALSE)/1000*60)))+(Q277*L277*(5*(VLOOKUP(F277,[2]Plasmalõikus!$A$7:$E$48,3,FALSE))/60/60)))</f>
        <v>0.52444444444444438</v>
      </c>
      <c r="AD277" s="353" t="str">
        <f t="shared" si="478"/>
        <v xml:space="preserve"> </v>
      </c>
      <c r="AE277" s="136"/>
      <c r="AF277" s="137"/>
      <c r="AG277" s="137">
        <f t="shared" si="479"/>
        <v>0</v>
      </c>
      <c r="AH277" s="136"/>
      <c r="AI277" s="132">
        <f t="shared" si="472"/>
        <v>1.3333333333333333</v>
      </c>
      <c r="AJ277" s="70">
        <f>(H277*3*AK277)*2*L277/1000</f>
        <v>13.44</v>
      </c>
      <c r="AK277" s="50">
        <v>2</v>
      </c>
      <c r="AL277" s="69" t="str">
        <f t="shared" si="480"/>
        <v>10</v>
      </c>
      <c r="AN277" s="66"/>
      <c r="AP277" s="146">
        <f>(VLOOKUP(F277,Terasehind!$A$2:$B$171,2,FALSE))</f>
        <v>0.92</v>
      </c>
      <c r="AQ277" s="50">
        <f>(VLOOKUP(F277,Terasehind!$A$2:$C$171,3,FALSE))</f>
        <v>1.1000000000000001</v>
      </c>
      <c r="AR277" s="138">
        <f t="shared" si="474"/>
        <v>17.083207680000005</v>
      </c>
      <c r="AS277"/>
      <c r="AT277"/>
      <c r="AU277"/>
      <c r="AV277"/>
      <c r="AW277"/>
      <c r="AX277"/>
      <c r="AY277"/>
      <c r="AZ277"/>
      <c r="BA277" s="188">
        <f t="shared" ref="BA277:BA278" si="481">(H277*2+J277*2)*2*2/60/1000*L277</f>
        <v>0.40533333333333332</v>
      </c>
      <c r="BB277" s="189"/>
      <c r="BC277" s="57"/>
      <c r="BD277" s="57"/>
      <c r="BE277" s="57"/>
      <c r="BF277" s="57"/>
      <c r="BG277" s="57"/>
      <c r="BH277" s="57"/>
      <c r="BI277" s="57"/>
      <c r="BJ277" s="57"/>
      <c r="BK277" s="109"/>
      <c r="BL277" s="109"/>
      <c r="BM277" s="109"/>
      <c r="BN277" s="83"/>
      <c r="BP277" s="83"/>
      <c r="BQ277" s="83"/>
    </row>
    <row r="278" spans="1:69" s="50" customFormat="1" x14ac:dyDescent="0.25">
      <c r="A278" s="116">
        <f t="shared" si="475"/>
        <v>2.2608000000000001</v>
      </c>
      <c r="B278" s="116">
        <f t="shared" si="476"/>
        <v>9.0432000000000006</v>
      </c>
      <c r="C278" s="118" t="s">
        <v>489</v>
      </c>
      <c r="D278" s="117" t="s">
        <v>85</v>
      </c>
      <c r="E278" s="117"/>
      <c r="F278" s="355" t="s">
        <v>87</v>
      </c>
      <c r="G278" s="117" t="s">
        <v>83</v>
      </c>
      <c r="H278" s="119">
        <v>120</v>
      </c>
      <c r="I278" s="118" t="s">
        <v>77</v>
      </c>
      <c r="J278" s="119">
        <v>160</v>
      </c>
      <c r="K278" s="119">
        <v>1</v>
      </c>
      <c r="L278" s="119">
        <f>K$278*L$274</f>
        <v>4</v>
      </c>
      <c r="M278" s="116">
        <f t="shared" si="477"/>
        <v>0.15359999999999999</v>
      </c>
      <c r="N278" s="118" t="s">
        <v>84</v>
      </c>
      <c r="P278" s="118"/>
      <c r="Q278" s="135">
        <v>1</v>
      </c>
      <c r="R278" s="118"/>
      <c r="S278" s="118"/>
      <c r="T278" s="118"/>
      <c r="U278" s="118"/>
      <c r="V278" s="118"/>
      <c r="W278" s="118"/>
      <c r="X278" s="118"/>
      <c r="Y278" s="118"/>
      <c r="Z278" s="118"/>
      <c r="AA278" s="118"/>
      <c r="AB278" s="118" t="s">
        <v>78</v>
      </c>
      <c r="AC278" s="136">
        <f>((((H278+J278)*2/1000)*L278*(5/(VLOOKUP(F278,[2]Plasmalõikus!$A$7:$E$46,2,FALSE)/1000*60)))+(Q278*L278*(5*(VLOOKUP(F278,[2]Plasmalõikus!$A$7:$E$48,3,FALSE))/60/60)))</f>
        <v>0.15370370370370373</v>
      </c>
      <c r="AD278" s="353" t="str">
        <f t="shared" si="478"/>
        <v xml:space="preserve"> </v>
      </c>
      <c r="AE278" s="136"/>
      <c r="AF278" s="137"/>
      <c r="AG278" s="137">
        <f t="shared" si="479"/>
        <v>0</v>
      </c>
      <c r="AH278" s="136"/>
      <c r="AI278" s="132">
        <f t="shared" si="472"/>
        <v>0.66666666666666663</v>
      </c>
      <c r="AJ278" s="70">
        <f>(H278*2*AK278)*L278/1000</f>
        <v>1.92</v>
      </c>
      <c r="AK278" s="50">
        <v>2</v>
      </c>
      <c r="AL278" s="69" t="str">
        <f t="shared" si="480"/>
        <v>10</v>
      </c>
      <c r="AN278" s="66"/>
      <c r="AP278" s="146">
        <f>(VLOOKUP(F278,Terasehind!$A$2:$B$171,2,FALSE))</f>
        <v>0.92</v>
      </c>
      <c r="AQ278" s="50">
        <f>(VLOOKUP(F278,Terasehind!$A$2:$C$171,3,FALSE))</f>
        <v>1.1000000000000001</v>
      </c>
      <c r="AR278" s="138">
        <f t="shared" si="474"/>
        <v>9.1517184000000018</v>
      </c>
      <c r="AS278"/>
      <c r="AT278"/>
      <c r="AU278"/>
      <c r="AV278"/>
      <c r="AW278"/>
      <c r="AX278"/>
      <c r="AY278"/>
      <c r="AZ278"/>
      <c r="BA278" s="188">
        <f t="shared" si="481"/>
        <v>0.14933333333333335</v>
      </c>
      <c r="BB278" s="189"/>
      <c r="BC278" s="57"/>
      <c r="BD278" s="57"/>
      <c r="BE278" s="57"/>
      <c r="BF278" s="57"/>
      <c r="BG278" s="57"/>
      <c r="BH278" s="57"/>
      <c r="BI278" s="57"/>
      <c r="BJ278" s="57"/>
      <c r="BK278" s="109"/>
      <c r="BL278" s="109"/>
      <c r="BM278" s="109"/>
      <c r="BN278" s="83"/>
      <c r="BP278" s="83"/>
      <c r="BQ278" s="83"/>
    </row>
    <row r="279" spans="1:69" customFormat="1" x14ac:dyDescent="0.25"/>
    <row r="280" spans="1:69" s="50" customFormat="1" x14ac:dyDescent="0.25">
      <c r="A280" s="148">
        <f>B280/L280</f>
        <v>51.566400000000002</v>
      </c>
      <c r="B280" s="148">
        <f>SUM(B284,B283,B282,B281,0)</f>
        <v>103.1328</v>
      </c>
      <c r="C280" s="152"/>
      <c r="D280" s="149" t="s">
        <v>76</v>
      </c>
      <c r="E280" s="149"/>
      <c r="F280" s="365"/>
      <c r="G280" s="174" t="str">
        <f>$G$163</f>
        <v>C3VH</v>
      </c>
      <c r="H280" s="150"/>
      <c r="I280" s="151" t="s">
        <v>77</v>
      </c>
      <c r="J280" s="150">
        <f>J281</f>
        <v>3000</v>
      </c>
      <c r="K280" s="134">
        <v>2</v>
      </c>
      <c r="L280" s="150">
        <f>$L$270*$K$280</f>
        <v>2</v>
      </c>
      <c r="M280" s="148">
        <f>SUM(M284,M283,M282,M281,0)</f>
        <v>3.2567999999999997</v>
      </c>
      <c r="N280" s="151"/>
      <c r="O280" s="151"/>
      <c r="P280" s="151"/>
      <c r="Q280" s="151"/>
      <c r="R280" s="120"/>
      <c r="S280" s="120"/>
      <c r="T280" s="120"/>
      <c r="U280" s="120"/>
      <c r="V280" s="120"/>
      <c r="W280" s="118"/>
      <c r="X280" s="118" t="s">
        <v>78</v>
      </c>
      <c r="Y280" s="151">
        <v>4</v>
      </c>
      <c r="Z280" s="151"/>
      <c r="AA280" s="151"/>
      <c r="AB280" s="151"/>
      <c r="AC280" s="148">
        <f>SUM(AC284,AC283,AC282,AC281,0)</f>
        <v>0.42262962962962958</v>
      </c>
      <c r="AD280" s="148">
        <f>SUM(AD284,AD283,AD282,AD281,0)</f>
        <v>0</v>
      </c>
      <c r="AE280" s="148">
        <f>SUM(AE284,AE283,AE282,AE281,0)</f>
        <v>0.4</v>
      </c>
      <c r="AF280" s="148">
        <f>SUM(AF284,AF283,AF282,AF281,0)</f>
        <v>0.64</v>
      </c>
      <c r="AG280" s="148">
        <f>SUM(AG284,AG283,AG282,AG281,0)</f>
        <v>0</v>
      </c>
      <c r="AH280" s="107">
        <f>SUM(AC280:AG280)</f>
        <v>1.4626296296296295</v>
      </c>
      <c r="AI280" s="107">
        <f>SUM(AI284,AI283,AI282,AI281,0)</f>
        <v>1.5999999999999999</v>
      </c>
      <c r="AJ280" s="148">
        <f>SUM(AJ284,AJ283,AJ282,AJ281,0)</f>
        <v>9.6</v>
      </c>
      <c r="AK280" s="107">
        <f>AJ280*10/60</f>
        <v>1.6</v>
      </c>
      <c r="AL280" s="148">
        <f>AH280+AI280+AK280</f>
        <v>4.6626296296296292</v>
      </c>
      <c r="AM280" s="148">
        <f>B280/AL280</f>
        <v>22.119020422428928</v>
      </c>
      <c r="AN280" s="148">
        <f>AL280*46</f>
        <v>214.48096296296293</v>
      </c>
      <c r="AO280" s="148">
        <f>AN280/B280</f>
        <v>2.0796581006523911</v>
      </c>
      <c r="AP280" s="148">
        <f>AR280/B280</f>
        <v>1.012</v>
      </c>
      <c r="AQ280" s="67"/>
      <c r="AR280" s="148">
        <f>SUM(AR284,AR283,AR282,AR281,0)</f>
        <v>104.37039360000001</v>
      </c>
      <c r="AT280" s="62"/>
      <c r="AU280" s="62"/>
      <c r="AV280" s="62"/>
      <c r="AW280" s="62"/>
      <c r="AX280" s="62"/>
      <c r="AY280" s="62"/>
      <c r="AZ280"/>
      <c r="BA280" s="148">
        <f>SUM(BA283,BA282,BA281,0)</f>
        <v>0.26666666666666666</v>
      </c>
      <c r="BB280" s="188"/>
      <c r="BC280" s="57"/>
      <c r="BD280" s="57"/>
      <c r="BE280" s="57"/>
      <c r="BF280" s="57"/>
      <c r="BG280" s="57"/>
      <c r="BH280" s="57"/>
      <c r="BI280" s="60"/>
    </row>
    <row r="281" spans="1:69" s="50" customFormat="1" x14ac:dyDescent="0.25">
      <c r="A281" s="116">
        <f xml:space="preserve"> 14.3*J281/10^3</f>
        <v>42.9</v>
      </c>
      <c r="B281" s="116">
        <f>A281*L281</f>
        <v>85.8</v>
      </c>
      <c r="C281" s="299" t="s">
        <v>379</v>
      </c>
      <c r="D281" s="117" t="s">
        <v>76</v>
      </c>
      <c r="E281" s="117"/>
      <c r="F281" s="355" t="s">
        <v>424</v>
      </c>
      <c r="G281" s="140" t="s">
        <v>79</v>
      </c>
      <c r="H281" s="119">
        <v>120</v>
      </c>
      <c r="I281" s="118" t="s">
        <v>77</v>
      </c>
      <c r="J281" s="119">
        <v>3000</v>
      </c>
      <c r="K281" s="50">
        <v>1</v>
      </c>
      <c r="L281" s="119">
        <f>K$281*L$280</f>
        <v>2</v>
      </c>
      <c r="M281" s="131">
        <f xml:space="preserve"> 0.466*J281*L281/10^3</f>
        <v>2.7959999999999998</v>
      </c>
      <c r="N281" s="118"/>
      <c r="O281" s="118"/>
      <c r="P281" s="118" t="s">
        <v>78</v>
      </c>
      <c r="Q281" s="135"/>
      <c r="R281" s="118"/>
      <c r="S281" s="118"/>
      <c r="T281" s="118"/>
      <c r="U281" s="118"/>
      <c r="V281" s="118"/>
      <c r="W281" s="118"/>
      <c r="Y281" s="118"/>
      <c r="Z281" s="118"/>
      <c r="AA281" s="118"/>
      <c r="AB281" s="118" t="s">
        <v>78</v>
      </c>
      <c r="AC281" s="116"/>
      <c r="AD281" s="83"/>
      <c r="AE281" s="136">
        <f t="shared" ref="AE281" si="482">(H281/20/60)*2*L281</f>
        <v>0.4</v>
      </c>
      <c r="AF281" s="137">
        <f>(H281*4)*2*20/60/1000*L281</f>
        <v>0.64</v>
      </c>
      <c r="AG281" s="132">
        <f t="shared" ref="AG281" si="483">Q281*L281*0.5/60</f>
        <v>0</v>
      </c>
      <c r="AH281" s="83"/>
      <c r="AI281" s="132">
        <f t="shared" ref="AI281:AI284" si="484">AL281*L281/60</f>
        <v>0.33333333333333331</v>
      </c>
      <c r="AJ281" s="70">
        <f t="shared" ref="AJ281" si="485">(H281*4*AK281)*2*L281/1000</f>
        <v>1.92</v>
      </c>
      <c r="AK281" s="50">
        <f>(VLOOKUP(F281,[2]Koostamine!$A$12:$P$1612,7,FALSE))</f>
        <v>1</v>
      </c>
      <c r="AL281" s="69">
        <f>VLOOKUP(F281,[2]Koostamine!$A$12:$P$1612,IF(J281&lt;1499,11,IF(J281&lt;2999,12,IF(J281&lt;5999,13,IF(J281&lt;9999,14,IF(J281&lt;12999,15,IF(J281&gt;13000,16)))))),FALSE)</f>
        <v>10</v>
      </c>
      <c r="AP281" s="146">
        <f>(VLOOKUP(F281,Terasehind!$A$2:$B$171,2,FALSE))</f>
        <v>0.92</v>
      </c>
      <c r="AQ281" s="50">
        <f>(VLOOKUP(F281,Terasehind!$A$2:$C$171,3,FALSE))</f>
        <v>1.1000000000000001</v>
      </c>
      <c r="AR281" s="138">
        <f t="shared" ref="AR281:AR284" si="486">AP281*AQ281*B281</f>
        <v>86.829600000000013</v>
      </c>
      <c r="AT281" s="62"/>
      <c r="AU281" s="62"/>
      <c r="AV281" s="62"/>
      <c r="AW281" s="62"/>
      <c r="AX281" s="62"/>
      <c r="AY281" s="62"/>
      <c r="AZ281"/>
      <c r="BA281" s="188">
        <f>(H281*4)*2*2/60/1000*L281</f>
        <v>6.4000000000000001E-2</v>
      </c>
      <c r="BB281" s="189"/>
      <c r="BC281" s="57"/>
      <c r="BD281" s="57"/>
      <c r="BE281" s="57"/>
      <c r="BF281" s="57"/>
      <c r="BG281" s="57"/>
      <c r="BH281" s="57"/>
      <c r="BI281" s="57"/>
      <c r="BJ281" s="60"/>
      <c r="BK281" s="57"/>
      <c r="BL281" s="60"/>
      <c r="BM281" s="83"/>
      <c r="BO281" s="109"/>
    </row>
    <row r="282" spans="1:69" s="50" customFormat="1" x14ac:dyDescent="0.25">
      <c r="A282" s="116">
        <f t="shared" ref="A282:A284" si="487">H282*J282*(RIGHT(F282,2))*7.85/(10^6)</f>
        <v>0.28260000000000002</v>
      </c>
      <c r="B282" s="116">
        <f t="shared" ref="B282:B284" si="488">A282*L282</f>
        <v>2.2608000000000001</v>
      </c>
      <c r="C282" s="118" t="s">
        <v>80</v>
      </c>
      <c r="D282" s="117" t="s">
        <v>81</v>
      </c>
      <c r="E282" s="117"/>
      <c r="F282" s="355" t="s">
        <v>324</v>
      </c>
      <c r="G282" s="117" t="s">
        <v>83</v>
      </c>
      <c r="H282" s="119">
        <f>H281/2</f>
        <v>60</v>
      </c>
      <c r="I282" s="118" t="s">
        <v>77</v>
      </c>
      <c r="J282" s="119">
        <f>H281</f>
        <v>120</v>
      </c>
      <c r="K282" s="119">
        <v>4</v>
      </c>
      <c r="L282" s="119">
        <f>K$282*L$280</f>
        <v>8</v>
      </c>
      <c r="M282" s="116">
        <f t="shared" ref="M282:M284" si="489">2*H282*J282/10^6*L282</f>
        <v>0.1152</v>
      </c>
      <c r="N282" s="118" t="s">
        <v>84</v>
      </c>
      <c r="P282" s="118"/>
      <c r="Q282" s="135"/>
      <c r="R282" s="118"/>
      <c r="S282" s="118"/>
      <c r="T282" s="118"/>
      <c r="U282" s="118"/>
      <c r="V282" s="118"/>
      <c r="W282" s="118"/>
      <c r="X282" s="118"/>
      <c r="Y282" s="118"/>
      <c r="Z282" s="118"/>
      <c r="AA282" s="118"/>
      <c r="AB282" s="118" t="s">
        <v>78</v>
      </c>
      <c r="AC282" s="136">
        <f>((((H282+J282)*2/1000)*L282*(5/(VLOOKUP(F282,[2]Plasmalõikus!$A$7:$E$46,2,FALSE)/1000*60)))+(Q282*L282*(5*(VLOOKUP(F282,[2]Plasmalõikus!$A$7:$E$48,3,FALSE))/60/60)))</f>
        <v>6.6666666666666666E-2</v>
      </c>
      <c r="AD282" s="353" t="str">
        <f t="shared" ref="AD282:AD284" si="490">IF(C282="WQ",0.012*((H282+J282)*2/1000*L282),IF(OR(VALUE(MID(F282,6,10))&gt;=20,H282&gt;300,J282&gt;300),0.012*((H282+J282)*2/1000*L282)," "))</f>
        <v xml:space="preserve"> </v>
      </c>
      <c r="AE282" s="136"/>
      <c r="AF282" s="137"/>
      <c r="AG282" s="137">
        <f t="shared" ref="AG282:AG284" si="491">IF(VALUE(MID(F282,SEARCH(" ",F282)+1,LEN(F282)))&lt;35,0,IF(VALUE(MID(F282,SEARCH(" ",F282)+1,LEN(F282)))&lt;40,3,IF(VALUE(MID(F282,SEARCH(" ",F282)+1,LEN(F282)))&lt;50,4,IF(VALUE(MID(F282,SEARCH(" ",F282)+1,LEN(F282)))&lt;60,5,IF(VALUE(MID(F282,SEARCH(" ",F282)+1,LEN(F282)))&lt;70,6,IF(VALUE(MID(F282,SEARCH(" ",F282)+1,LEN(F282)))&lt;80,7,IF(VALUE(MID(F282,SEARCH(" ",F282)+1,LEN(F282)))&lt;90,8,IF(VALUE(MID(F282,SEARCH(" ",F282)+1,LEN(F282)))&lt;100,9,10))))))))/60*Q282*L282</f>
        <v>0</v>
      </c>
      <c r="AH282" s="136"/>
      <c r="AI282" s="132">
        <f t="shared" si="484"/>
        <v>0.26666666666666666</v>
      </c>
      <c r="AJ282" s="70"/>
      <c r="AK282" s="50">
        <v>2</v>
      </c>
      <c r="AL282" s="69" t="str">
        <f t="shared" ref="AL282:AL284" si="492">IF(AND(Q282&gt;0,A282&lt;3),"10",IF(AND(Q282&gt;0,A282&lt;10),"15",IF(AND(Q282&gt;0,A282&lt;20),"20",IF(AND(Q282&gt;0,A282&lt;500),"30",IF(AND(Q282=0,A282&lt;3),"2",IF(AND(Q282=0,A282&lt;10),"5",IF(AND(Q282=0,A282&lt;20),"10",IF(AND(Q282=0,A282&lt;500),"20","2"))))))))</f>
        <v>2</v>
      </c>
      <c r="AN282" s="66"/>
      <c r="AP282" s="146">
        <f>(VLOOKUP(F282,Terasehind!$A$2:$B$171,2,FALSE))</f>
        <v>0.92</v>
      </c>
      <c r="AQ282" s="50">
        <f>(VLOOKUP(F282,Terasehind!$A$2:$C$171,3,FALSE))</f>
        <v>1.1000000000000001</v>
      </c>
      <c r="AR282" s="138">
        <f t="shared" si="486"/>
        <v>2.2879296000000005</v>
      </c>
      <c r="AS282"/>
      <c r="AT282"/>
      <c r="AU282"/>
      <c r="AV282"/>
      <c r="AW282"/>
      <c r="AX282"/>
      <c r="AY282"/>
      <c r="AZ282"/>
      <c r="BA282" s="188"/>
      <c r="BB282" s="189"/>
      <c r="BC282" s="57"/>
      <c r="BD282" s="57"/>
      <c r="BE282" s="57"/>
      <c r="BF282" s="57"/>
      <c r="BG282" s="57"/>
      <c r="BH282" s="57"/>
      <c r="BI282" s="57"/>
      <c r="BJ282" s="57"/>
      <c r="BK282" s="109"/>
      <c r="BL282" s="109"/>
      <c r="BM282" s="109"/>
      <c r="BN282" s="83"/>
      <c r="BP282" s="83"/>
      <c r="BQ282" s="83"/>
    </row>
    <row r="283" spans="1:69" s="50" customFormat="1" x14ac:dyDescent="0.25">
      <c r="A283" s="116">
        <f t="shared" si="487"/>
        <v>2.6375999999999999</v>
      </c>
      <c r="B283" s="116">
        <f t="shared" si="488"/>
        <v>10.5504</v>
      </c>
      <c r="C283" s="118"/>
      <c r="D283" s="117" t="s">
        <v>85</v>
      </c>
      <c r="E283" s="117"/>
      <c r="F283" s="355" t="s">
        <v>82</v>
      </c>
      <c r="G283" s="117" t="s">
        <v>83</v>
      </c>
      <c r="H283" s="119">
        <f>H281+20</f>
        <v>140</v>
      </c>
      <c r="I283" s="118" t="s">
        <v>77</v>
      </c>
      <c r="J283" s="119">
        <f>H281*2</f>
        <v>240</v>
      </c>
      <c r="K283" s="119">
        <v>2</v>
      </c>
      <c r="L283" s="119">
        <f>K$283*L$280</f>
        <v>4</v>
      </c>
      <c r="M283" s="116">
        <f t="shared" si="489"/>
        <v>0.26879999999999998</v>
      </c>
      <c r="N283" s="118" t="s">
        <v>84</v>
      </c>
      <c r="P283" s="118"/>
      <c r="Q283" s="135">
        <v>4</v>
      </c>
      <c r="R283" s="118"/>
      <c r="S283" s="118"/>
      <c r="T283" s="118"/>
      <c r="U283" s="118"/>
      <c r="V283" s="118"/>
      <c r="W283" s="118"/>
      <c r="X283" s="118"/>
      <c r="Y283" s="118"/>
      <c r="Z283" s="118"/>
      <c r="AA283" s="118"/>
      <c r="AB283" s="118" t="s">
        <v>78</v>
      </c>
      <c r="AC283" s="136">
        <f>((((H283+J283)*2/1000)*L283*(5/(VLOOKUP(F283,[2]Plasmalõikus!$A$7:$E$46,2,FALSE)/1000*60)))+(Q283*L283*(5*(VLOOKUP(F283,[2]Plasmalõikus!$A$7:$E$48,3,FALSE))/60/60)))</f>
        <v>0.27911111111111109</v>
      </c>
      <c r="AD283" s="353" t="str">
        <f t="shared" si="490"/>
        <v xml:space="preserve"> </v>
      </c>
      <c r="AE283" s="136"/>
      <c r="AF283" s="137"/>
      <c r="AG283" s="137">
        <f t="shared" si="491"/>
        <v>0</v>
      </c>
      <c r="AH283" s="136"/>
      <c r="AI283" s="132">
        <f t="shared" si="484"/>
        <v>0.66666666666666663</v>
      </c>
      <c r="AJ283" s="70">
        <f>(H283*3*AK283)*2*L283/1000</f>
        <v>6.72</v>
      </c>
      <c r="AK283" s="50">
        <v>2</v>
      </c>
      <c r="AL283" s="69" t="str">
        <f t="shared" si="492"/>
        <v>10</v>
      </c>
      <c r="AN283" s="66"/>
      <c r="AP283" s="146">
        <f>(VLOOKUP(F283,Terasehind!$A$2:$B$171,2,FALSE))</f>
        <v>0.92</v>
      </c>
      <c r="AQ283" s="50">
        <f>(VLOOKUP(F283,Terasehind!$A$2:$C$171,3,FALSE))</f>
        <v>1.1000000000000001</v>
      </c>
      <c r="AR283" s="138">
        <f t="shared" si="486"/>
        <v>10.677004800000002</v>
      </c>
      <c r="AS283"/>
      <c r="AT283"/>
      <c r="AU283"/>
      <c r="AV283"/>
      <c r="AW283"/>
      <c r="AX283"/>
      <c r="AY283"/>
      <c r="AZ283"/>
      <c r="BA283" s="188">
        <f t="shared" ref="BA283:BA284" si="493">(H283*2+J283*2)*2*2/60/1000*L283</f>
        <v>0.20266666666666666</v>
      </c>
      <c r="BB283" s="189"/>
      <c r="BC283" s="57"/>
      <c r="BD283" s="57"/>
      <c r="BE283" s="57"/>
      <c r="BF283" s="57"/>
      <c r="BG283" s="57"/>
      <c r="BH283" s="57"/>
      <c r="BI283" s="57"/>
      <c r="BJ283" s="57"/>
      <c r="BK283" s="109"/>
      <c r="BL283" s="109"/>
      <c r="BM283" s="109"/>
      <c r="BN283" s="83"/>
      <c r="BP283" s="83"/>
      <c r="BQ283" s="83"/>
    </row>
    <row r="284" spans="1:69" s="50" customFormat="1" x14ac:dyDescent="0.25">
      <c r="A284" s="116">
        <f t="shared" si="487"/>
        <v>2.2608000000000001</v>
      </c>
      <c r="B284" s="116">
        <f t="shared" si="488"/>
        <v>4.5216000000000003</v>
      </c>
      <c r="C284" s="118" t="s">
        <v>489</v>
      </c>
      <c r="D284" s="117" t="s">
        <v>85</v>
      </c>
      <c r="E284" s="117"/>
      <c r="F284" s="355" t="s">
        <v>87</v>
      </c>
      <c r="G284" s="117" t="s">
        <v>83</v>
      </c>
      <c r="H284" s="119">
        <v>120</v>
      </c>
      <c r="I284" s="118" t="s">
        <v>77</v>
      </c>
      <c r="J284" s="119">
        <v>160</v>
      </c>
      <c r="K284" s="119">
        <v>1</v>
      </c>
      <c r="L284" s="119">
        <f>K$284*L$280</f>
        <v>2</v>
      </c>
      <c r="M284" s="116">
        <f t="shared" si="489"/>
        <v>7.6799999999999993E-2</v>
      </c>
      <c r="N284" s="118" t="s">
        <v>84</v>
      </c>
      <c r="P284" s="118"/>
      <c r="Q284" s="135">
        <v>1</v>
      </c>
      <c r="R284" s="118"/>
      <c r="S284" s="118"/>
      <c r="T284" s="118"/>
      <c r="U284" s="118"/>
      <c r="V284" s="118"/>
      <c r="W284" s="118"/>
      <c r="X284" s="118"/>
      <c r="Y284" s="118"/>
      <c r="Z284" s="118"/>
      <c r="AA284" s="118"/>
      <c r="AB284" s="118" t="s">
        <v>78</v>
      </c>
      <c r="AC284" s="136">
        <f>((((H284+J284)*2/1000)*L284*(5/(VLOOKUP(F284,[2]Plasmalõikus!$A$7:$E$46,2,FALSE)/1000*60)))+(Q284*L284*(5*(VLOOKUP(F284,[2]Plasmalõikus!$A$7:$E$48,3,FALSE))/60/60)))</f>
        <v>7.6851851851851866E-2</v>
      </c>
      <c r="AD284" s="353" t="str">
        <f t="shared" si="490"/>
        <v xml:space="preserve"> </v>
      </c>
      <c r="AE284" s="136"/>
      <c r="AF284" s="137"/>
      <c r="AG284" s="137">
        <f t="shared" si="491"/>
        <v>0</v>
      </c>
      <c r="AH284" s="136"/>
      <c r="AI284" s="132">
        <f t="shared" si="484"/>
        <v>0.33333333333333331</v>
      </c>
      <c r="AJ284" s="70">
        <f>(H284*2*AK284)*L284/1000</f>
        <v>0.96</v>
      </c>
      <c r="AK284" s="50">
        <v>2</v>
      </c>
      <c r="AL284" s="69" t="str">
        <f t="shared" si="492"/>
        <v>10</v>
      </c>
      <c r="AN284" s="66"/>
      <c r="AP284" s="146">
        <f>(VLOOKUP(F284,Terasehind!$A$2:$B$171,2,FALSE))</f>
        <v>0.92</v>
      </c>
      <c r="AQ284" s="50">
        <f>(VLOOKUP(F284,Terasehind!$A$2:$C$171,3,FALSE))</f>
        <v>1.1000000000000001</v>
      </c>
      <c r="AR284" s="138">
        <f t="shared" si="486"/>
        <v>4.5758592000000009</v>
      </c>
      <c r="AS284"/>
      <c r="AT284"/>
      <c r="AU284"/>
      <c r="AV284"/>
      <c r="AW284"/>
      <c r="AX284"/>
      <c r="AY284"/>
      <c r="AZ284"/>
      <c r="BA284" s="188">
        <f t="shared" si="493"/>
        <v>7.4666666666666673E-2</v>
      </c>
      <c r="BB284" s="189"/>
      <c r="BC284" s="57"/>
      <c r="BD284" s="57"/>
      <c r="BE284" s="57"/>
      <c r="BF284" s="57"/>
      <c r="BG284" s="57"/>
      <c r="BH284" s="57"/>
      <c r="BI284" s="57"/>
      <c r="BJ284" s="57"/>
      <c r="BK284" s="109"/>
      <c r="BL284" s="109"/>
      <c r="BM284" s="109"/>
      <c r="BN284" s="83"/>
      <c r="BP284" s="83"/>
      <c r="BQ284" s="83"/>
    </row>
    <row r="285" spans="1:69" s="50" customFormat="1" x14ac:dyDescent="0.25">
      <c r="A285" s="116"/>
      <c r="B285" s="116"/>
      <c r="C285" s="118"/>
      <c r="D285" s="117"/>
      <c r="E285" s="117"/>
      <c r="F285" s="269"/>
      <c r="G285" s="117"/>
      <c r="H285" s="119"/>
      <c r="I285" s="118"/>
      <c r="J285" s="119"/>
      <c r="K285" s="119"/>
      <c r="L285" s="119"/>
      <c r="M285" s="119"/>
      <c r="N285" s="119"/>
      <c r="O285" s="119"/>
      <c r="P285" s="119"/>
      <c r="Q285" s="119"/>
      <c r="R285" s="118"/>
      <c r="S285" s="118"/>
      <c r="T285" s="118"/>
      <c r="U285" s="118"/>
      <c r="V285" s="118"/>
      <c r="W285" s="118"/>
      <c r="X285" s="118"/>
      <c r="Y285" s="118"/>
      <c r="Z285" s="118"/>
      <c r="AA285" s="118"/>
      <c r="AB285" s="118"/>
      <c r="AC285" s="136"/>
      <c r="AD285" s="136"/>
      <c r="AE285" s="136"/>
      <c r="AF285" s="136"/>
      <c r="AG285" s="136"/>
      <c r="AH285" s="136"/>
      <c r="AI285" s="132"/>
      <c r="AJ285" s="60"/>
      <c r="AN285" s="66"/>
      <c r="AP285" s="146"/>
      <c r="AR285" s="138"/>
      <c r="AT285" s="62"/>
      <c r="AU285" s="62"/>
      <c r="AV285" s="62"/>
      <c r="AW285" s="62"/>
      <c r="AX285" s="62"/>
      <c r="AY285" s="62"/>
      <c r="AZ285"/>
      <c r="BA285" s="192"/>
      <c r="BB285" s="188"/>
      <c r="BC285" s="57"/>
      <c r="BD285" s="57"/>
      <c r="BE285" s="57"/>
      <c r="BF285" s="57"/>
      <c r="BG285" s="57"/>
      <c r="BH285" s="57"/>
      <c r="BI285" s="57"/>
      <c r="BJ285" s="109"/>
      <c r="BK285" s="109"/>
      <c r="BL285" s="109"/>
      <c r="BM285" s="83"/>
      <c r="BO285" s="83"/>
      <c r="BP285" s="83"/>
    </row>
    <row r="286" spans="1:69" s="50" customFormat="1" x14ac:dyDescent="0.25">
      <c r="A286" s="148">
        <f>B286/L286</f>
        <v>84.153280000000009</v>
      </c>
      <c r="B286" s="148">
        <f>SUM(B290,B289,B288,B287,0)</f>
        <v>1178.1459200000002</v>
      </c>
      <c r="C286" s="152"/>
      <c r="D286" s="149" t="s">
        <v>76</v>
      </c>
      <c r="E286" s="149"/>
      <c r="F286" s="365"/>
      <c r="G286" s="174" t="str">
        <f>$G$163</f>
        <v>C3VH</v>
      </c>
      <c r="H286" s="150"/>
      <c r="I286" s="151" t="s">
        <v>77</v>
      </c>
      <c r="J286" s="150">
        <f>J287</f>
        <v>3610</v>
      </c>
      <c r="K286" s="134">
        <v>14</v>
      </c>
      <c r="L286" s="150">
        <f>$L$270*$K$286</f>
        <v>14</v>
      </c>
      <c r="M286" s="148">
        <f>SUM(M290,M289,M288,M287,0)</f>
        <v>31.587220000000002</v>
      </c>
      <c r="N286" s="151"/>
      <c r="O286" s="151"/>
      <c r="P286" s="151"/>
      <c r="Q286" s="151"/>
      <c r="R286" s="120"/>
      <c r="S286" s="120"/>
      <c r="T286" s="120"/>
      <c r="U286" s="120"/>
      <c r="V286" s="120"/>
      <c r="W286" s="118"/>
      <c r="X286" s="118" t="s">
        <v>78</v>
      </c>
      <c r="Y286" s="151">
        <v>4</v>
      </c>
      <c r="Z286" s="151"/>
      <c r="AA286" s="151"/>
      <c r="AB286" s="151"/>
      <c r="AC286" s="148">
        <f>SUM(AC290,AC289,AC288,AC287,0)</f>
        <v>3.0112962962962957</v>
      </c>
      <c r="AD286" s="148">
        <f>SUM(AD290,AD289,AD288,AD287,0)</f>
        <v>0</v>
      </c>
      <c r="AE286" s="148">
        <f>SUM(AE290,AE289,AE288,AE287,0)</f>
        <v>3.2666666666666666</v>
      </c>
      <c r="AF286" s="148">
        <f>SUM(AF290,AF289,AF288,AF287,0)</f>
        <v>5.2266666666666666</v>
      </c>
      <c r="AG286" s="148">
        <f>SUM(AG290,AG289,AG288,AG287,0)</f>
        <v>0</v>
      </c>
      <c r="AH286" s="107">
        <f>SUM(AC286:AG286)</f>
        <v>11.50462962962963</v>
      </c>
      <c r="AI286" s="107">
        <f>SUM(AI290,AI289,AI288,AI287,0)</f>
        <v>13.533333333333335</v>
      </c>
      <c r="AJ286" s="148">
        <f>SUM(AJ290,AJ289,AJ288,AJ287,0)</f>
        <v>76.16</v>
      </c>
      <c r="AK286" s="107">
        <f>AJ286*10/60</f>
        <v>12.693333333333332</v>
      </c>
      <c r="AL286" s="148">
        <f>AH286+AI286+AK286</f>
        <v>37.731296296296293</v>
      </c>
      <c r="AM286" s="148">
        <f>B286/AL286</f>
        <v>31.224634074277674</v>
      </c>
      <c r="AN286" s="148">
        <f>AL286*46</f>
        <v>1735.6396296296296</v>
      </c>
      <c r="AO286" s="148">
        <f>AN286/B286</f>
        <v>1.4731958072134472</v>
      </c>
      <c r="AP286" s="148">
        <f>AR286/B286</f>
        <v>1.0120000000000002</v>
      </c>
      <c r="AQ286" s="67"/>
      <c r="AR286" s="148">
        <f>SUM(AR290,AR289,AR288,AR287,0)</f>
        <v>1192.2836710400004</v>
      </c>
      <c r="AT286" s="62"/>
      <c r="AU286" s="62"/>
      <c r="AV286" s="62"/>
      <c r="AW286" s="62"/>
      <c r="AX286" s="62"/>
      <c r="AY286" s="62"/>
      <c r="AZ286"/>
      <c r="BA286" s="148">
        <f>SUM(BA289,BA288,BA287,0)</f>
        <v>2.1653333333333333</v>
      </c>
      <c r="BB286" s="188"/>
      <c r="BC286" s="57"/>
      <c r="BD286" s="57"/>
      <c r="BE286" s="57"/>
      <c r="BF286" s="57"/>
      <c r="BG286" s="57"/>
      <c r="BH286" s="57"/>
      <c r="BI286" s="60"/>
    </row>
    <row r="287" spans="1:69" s="50" customFormat="1" x14ac:dyDescent="0.25">
      <c r="A287" s="116">
        <f xml:space="preserve"> 20.7*J287/10^3</f>
        <v>74.727000000000004</v>
      </c>
      <c r="B287" s="116">
        <f>A287*L287</f>
        <v>1046.1780000000001</v>
      </c>
      <c r="C287" s="299" t="s">
        <v>379</v>
      </c>
      <c r="D287" s="117" t="s">
        <v>76</v>
      </c>
      <c r="E287" s="117"/>
      <c r="F287" s="355" t="s">
        <v>483</v>
      </c>
      <c r="G287" s="140" t="s">
        <v>79</v>
      </c>
      <c r="H287" s="119">
        <v>140</v>
      </c>
      <c r="I287" s="118" t="s">
        <v>77</v>
      </c>
      <c r="J287" s="119">
        <v>3610</v>
      </c>
      <c r="K287" s="50">
        <v>1</v>
      </c>
      <c r="L287" s="119">
        <f>K$287*L$286</f>
        <v>14</v>
      </c>
      <c r="M287" s="131">
        <f xml:space="preserve"> 0.543*J287*L287/10^3</f>
        <v>27.443220000000004</v>
      </c>
      <c r="N287" s="118"/>
      <c r="O287" s="118"/>
      <c r="P287" s="118" t="s">
        <v>78</v>
      </c>
      <c r="Q287" s="135"/>
      <c r="R287" s="118"/>
      <c r="S287" s="118"/>
      <c r="T287" s="118"/>
      <c r="U287" s="118"/>
      <c r="V287" s="118"/>
      <c r="W287" s="118"/>
      <c r="Y287" s="118"/>
      <c r="Z287" s="118"/>
      <c r="AA287" s="118"/>
      <c r="AB287" s="118" t="s">
        <v>78</v>
      </c>
      <c r="AC287" s="116"/>
      <c r="AD287" s="83"/>
      <c r="AE287" s="136">
        <f t="shared" ref="AE287" si="494">(H287/20/60)*2*L287</f>
        <v>3.2666666666666666</v>
      </c>
      <c r="AF287" s="137">
        <f>(H287*4)*2*20/60/1000*L287</f>
        <v>5.2266666666666666</v>
      </c>
      <c r="AG287" s="132">
        <f t="shared" ref="AG287" si="495">Q287*L287*0.5/60</f>
        <v>0</v>
      </c>
      <c r="AH287" s="83"/>
      <c r="AI287" s="132">
        <f t="shared" ref="AI287:AI290" si="496">AL287*L287/60</f>
        <v>4.666666666666667</v>
      </c>
      <c r="AJ287" s="70">
        <f t="shared" ref="AJ287" si="497">(H287*4*AK287)*2*L287/1000</f>
        <v>15.68</v>
      </c>
      <c r="AK287" s="50">
        <f>(VLOOKUP(F287,[2]Koostamine!$A$12:$P$1612,7,FALSE))</f>
        <v>1</v>
      </c>
      <c r="AL287" s="69">
        <f>VLOOKUP(F287,[2]Koostamine!$A$12:$P$1612,IF(J287&lt;1499,11,IF(J287&lt;2999,12,IF(J287&lt;5999,13,IF(J287&lt;9999,14,IF(J287&lt;12999,15,IF(J287&gt;13000,16)))))),FALSE)</f>
        <v>20</v>
      </c>
      <c r="AP287" s="146">
        <f>(VLOOKUP(F287,Terasehind!$A$2:$B$171,2,FALSE))</f>
        <v>0.92</v>
      </c>
      <c r="AQ287" s="50">
        <f>(VLOOKUP(F287,Terasehind!$A$2:$C$171,3,FALSE))</f>
        <v>1.1000000000000001</v>
      </c>
      <c r="AR287" s="138">
        <f t="shared" ref="AR287:AR290" si="498">AP287*AQ287*B287</f>
        <v>1058.7321360000003</v>
      </c>
      <c r="AT287" s="62"/>
      <c r="AU287" s="62"/>
      <c r="AV287" s="62"/>
      <c r="AW287" s="62"/>
      <c r="AX287" s="62"/>
      <c r="AY287" s="62"/>
      <c r="AZ287"/>
      <c r="BA287" s="188">
        <f>(H287*4)*2*2/60/1000*L287</f>
        <v>0.52266666666666672</v>
      </c>
      <c r="BB287" s="189"/>
      <c r="BC287" s="57"/>
      <c r="BD287" s="57"/>
      <c r="BE287" s="57"/>
      <c r="BF287" s="57"/>
      <c r="BG287" s="57"/>
      <c r="BH287" s="57"/>
      <c r="BI287" s="57"/>
      <c r="BJ287" s="60"/>
      <c r="BK287" s="57"/>
      <c r="BL287" s="60"/>
      <c r="BM287" s="83"/>
      <c r="BO287" s="109"/>
    </row>
    <row r="288" spans="1:69" s="50" customFormat="1" x14ac:dyDescent="0.25">
      <c r="A288" s="116">
        <f t="shared" ref="A288:A290" si="499">H288*J288*(RIGHT(F288,2))*7.85/(10^6)</f>
        <v>0.38464999999999999</v>
      </c>
      <c r="B288" s="116">
        <f t="shared" ref="B288:B290" si="500">A288*L288</f>
        <v>21.540399999999998</v>
      </c>
      <c r="C288" s="118" t="s">
        <v>80</v>
      </c>
      <c r="D288" s="117" t="s">
        <v>81</v>
      </c>
      <c r="E288" s="117"/>
      <c r="F288" s="355" t="s">
        <v>324</v>
      </c>
      <c r="G288" s="117" t="s">
        <v>83</v>
      </c>
      <c r="H288" s="119">
        <f>H287/2</f>
        <v>70</v>
      </c>
      <c r="I288" s="118" t="s">
        <v>77</v>
      </c>
      <c r="J288" s="119">
        <f>H287</f>
        <v>140</v>
      </c>
      <c r="K288" s="119">
        <v>4</v>
      </c>
      <c r="L288" s="119">
        <f>K$288*L$286</f>
        <v>56</v>
      </c>
      <c r="M288" s="116">
        <f t="shared" ref="M288:M290" si="501">2*H288*J288/10^6*L288</f>
        <v>1.0975999999999999</v>
      </c>
      <c r="N288" s="118" t="s">
        <v>84</v>
      </c>
      <c r="P288" s="118"/>
      <c r="Q288" s="135"/>
      <c r="R288" s="118"/>
      <c r="S288" s="118"/>
      <c r="T288" s="118"/>
      <c r="U288" s="118"/>
      <c r="V288" s="118"/>
      <c r="W288" s="118"/>
      <c r="X288" s="118"/>
      <c r="Y288" s="118"/>
      <c r="Z288" s="118"/>
      <c r="AA288" s="118"/>
      <c r="AB288" s="118" t="s">
        <v>78</v>
      </c>
      <c r="AC288" s="136">
        <f>((((H288+J288)*2/1000)*L288*(5/(VLOOKUP(F288,[2]Plasmalõikus!$A$7:$E$46,2,FALSE)/1000*60)))+(Q288*L288*(5*(VLOOKUP(F288,[2]Plasmalõikus!$A$7:$E$48,3,FALSE))/60/60)))</f>
        <v>0.5444444444444444</v>
      </c>
      <c r="AD288" s="353" t="str">
        <f t="shared" ref="AD288:AD290" si="502">IF(C288="WQ",0.012*((H288+J288)*2/1000*L288),IF(OR(VALUE(MID(F288,6,10))&gt;=20,H288&gt;300,J288&gt;300),0.012*((H288+J288)*2/1000*L288)," "))</f>
        <v xml:space="preserve"> </v>
      </c>
      <c r="AE288" s="136"/>
      <c r="AF288" s="137"/>
      <c r="AG288" s="137">
        <f t="shared" ref="AG288:AG290" si="503">IF(VALUE(MID(F288,SEARCH(" ",F288)+1,LEN(F288)))&lt;35,0,IF(VALUE(MID(F288,SEARCH(" ",F288)+1,LEN(F288)))&lt;40,3,IF(VALUE(MID(F288,SEARCH(" ",F288)+1,LEN(F288)))&lt;50,4,IF(VALUE(MID(F288,SEARCH(" ",F288)+1,LEN(F288)))&lt;60,5,IF(VALUE(MID(F288,SEARCH(" ",F288)+1,LEN(F288)))&lt;70,6,IF(VALUE(MID(F288,SEARCH(" ",F288)+1,LEN(F288)))&lt;80,7,IF(VALUE(MID(F288,SEARCH(" ",F288)+1,LEN(F288)))&lt;90,8,IF(VALUE(MID(F288,SEARCH(" ",F288)+1,LEN(F288)))&lt;100,9,10))))))))/60*Q288*L288</f>
        <v>0</v>
      </c>
      <c r="AH288" s="136"/>
      <c r="AI288" s="132">
        <f t="shared" si="496"/>
        <v>1.8666666666666667</v>
      </c>
      <c r="AJ288" s="70"/>
      <c r="AK288" s="50">
        <v>2</v>
      </c>
      <c r="AL288" s="69" t="str">
        <f t="shared" ref="AL288:AL290" si="504">IF(AND(Q288&gt;0,A288&lt;3),"10",IF(AND(Q288&gt;0,A288&lt;10),"15",IF(AND(Q288&gt;0,A288&lt;20),"20",IF(AND(Q288&gt;0,A288&lt;500),"30",IF(AND(Q288=0,A288&lt;3),"2",IF(AND(Q288=0,A288&lt;10),"5",IF(AND(Q288=0,A288&lt;20),"10",IF(AND(Q288=0,A288&lt;500),"20","2"))))))))</f>
        <v>2</v>
      </c>
      <c r="AN288" s="66"/>
      <c r="AP288" s="146">
        <f>(VLOOKUP(F288,Terasehind!$A$2:$B$171,2,FALSE))</f>
        <v>0.92</v>
      </c>
      <c r="AQ288" s="50">
        <f>(VLOOKUP(F288,Terasehind!$A$2:$C$171,3,FALSE))</f>
        <v>1.1000000000000001</v>
      </c>
      <c r="AR288" s="138">
        <f t="shared" si="498"/>
        <v>21.798884800000003</v>
      </c>
      <c r="AS288"/>
      <c r="AT288"/>
      <c r="AU288"/>
      <c r="AV288"/>
      <c r="AW288"/>
      <c r="AX288"/>
      <c r="AY288"/>
      <c r="AZ288"/>
      <c r="BA288" s="188"/>
      <c r="BB288" s="189"/>
      <c r="BC288" s="57"/>
      <c r="BD288" s="57"/>
      <c r="BE288" s="57"/>
      <c r="BF288" s="57"/>
      <c r="BG288" s="57"/>
      <c r="BH288" s="57"/>
      <c r="BI288" s="57"/>
      <c r="BJ288" s="57"/>
      <c r="BK288" s="109"/>
      <c r="BL288" s="109"/>
      <c r="BM288" s="109"/>
      <c r="BN288" s="83"/>
      <c r="BP288" s="83"/>
      <c r="BQ288" s="83"/>
    </row>
    <row r="289" spans="1:69" s="50" customFormat="1" x14ac:dyDescent="0.25">
      <c r="A289" s="116">
        <f t="shared" si="499"/>
        <v>2.8134399999999999</v>
      </c>
      <c r="B289" s="116">
        <f t="shared" si="500"/>
        <v>78.776319999999998</v>
      </c>
      <c r="C289" s="118"/>
      <c r="D289" s="117" t="s">
        <v>85</v>
      </c>
      <c r="E289" s="117"/>
      <c r="F289" s="355" t="s">
        <v>337</v>
      </c>
      <c r="G289" s="117" t="s">
        <v>83</v>
      </c>
      <c r="H289" s="119">
        <f>H287+20</f>
        <v>160</v>
      </c>
      <c r="I289" s="118" t="s">
        <v>77</v>
      </c>
      <c r="J289" s="119">
        <f>H287*2</f>
        <v>280</v>
      </c>
      <c r="K289" s="119">
        <v>2</v>
      </c>
      <c r="L289" s="119">
        <f>K$289*L$286</f>
        <v>28</v>
      </c>
      <c r="M289" s="116">
        <f t="shared" si="501"/>
        <v>2.5087999999999999</v>
      </c>
      <c r="N289" s="118" t="s">
        <v>84</v>
      </c>
      <c r="P289" s="118"/>
      <c r="Q289" s="135">
        <v>4</v>
      </c>
      <c r="R289" s="118"/>
      <c r="S289" s="118"/>
      <c r="T289" s="118"/>
      <c r="U289" s="118"/>
      <c r="V289" s="118"/>
      <c r="W289" s="118"/>
      <c r="X289" s="118"/>
      <c r="Y289" s="118"/>
      <c r="Z289" s="118"/>
      <c r="AA289" s="118"/>
      <c r="AB289" s="118" t="s">
        <v>78</v>
      </c>
      <c r="AC289" s="136">
        <f>((((H289+J289)*2/1000)*L289*(5/(VLOOKUP(F289,[2]Plasmalõikus!$A$7:$E$46,2,FALSE)/1000*60)))+(Q289*L289*(5*(VLOOKUP(F289,[2]Plasmalõikus!$A$7:$E$48,3,FALSE))/60/60)))</f>
        <v>1.9288888888888887</v>
      </c>
      <c r="AD289" s="353" t="str">
        <f t="shared" si="502"/>
        <v xml:space="preserve"> </v>
      </c>
      <c r="AE289" s="136"/>
      <c r="AF289" s="137"/>
      <c r="AG289" s="137">
        <f t="shared" si="503"/>
        <v>0</v>
      </c>
      <c r="AH289" s="136"/>
      <c r="AI289" s="132">
        <f t="shared" si="496"/>
        <v>4.666666666666667</v>
      </c>
      <c r="AJ289" s="70">
        <f>(H289*3*AK289)*2*L289/1000</f>
        <v>53.76</v>
      </c>
      <c r="AK289" s="50">
        <v>2</v>
      </c>
      <c r="AL289" s="69" t="str">
        <f t="shared" si="504"/>
        <v>10</v>
      </c>
      <c r="AN289" s="66"/>
      <c r="AP289" s="146">
        <f>(VLOOKUP(F289,Terasehind!$A$2:$B$171,2,FALSE))</f>
        <v>0.92</v>
      </c>
      <c r="AQ289" s="50">
        <f>(VLOOKUP(F289,Terasehind!$A$2:$C$171,3,FALSE))</f>
        <v>1.1000000000000001</v>
      </c>
      <c r="AR289" s="138">
        <f t="shared" si="498"/>
        <v>79.721635840000019</v>
      </c>
      <c r="AS289"/>
      <c r="AT289"/>
      <c r="AU289"/>
      <c r="AV289"/>
      <c r="AW289"/>
      <c r="AX289"/>
      <c r="AY289"/>
      <c r="AZ289"/>
      <c r="BA289" s="188">
        <f t="shared" ref="BA289:BA290" si="505">(H289*2+J289*2)*2*2/60/1000*L289</f>
        <v>1.6426666666666667</v>
      </c>
      <c r="BB289" s="189"/>
      <c r="BC289" s="57"/>
      <c r="BD289" s="57"/>
      <c r="BE289" s="57"/>
      <c r="BF289" s="57"/>
      <c r="BG289" s="57"/>
      <c r="BH289" s="57"/>
      <c r="BI289" s="57"/>
      <c r="BJ289" s="57"/>
      <c r="BK289" s="109"/>
      <c r="BL289" s="109"/>
      <c r="BM289" s="109"/>
      <c r="BN289" s="83"/>
      <c r="BP289" s="83"/>
      <c r="BQ289" s="83"/>
    </row>
    <row r="290" spans="1:69" s="50" customFormat="1" x14ac:dyDescent="0.25">
      <c r="A290" s="116">
        <f t="shared" si="499"/>
        <v>2.2608000000000001</v>
      </c>
      <c r="B290" s="116">
        <f t="shared" si="500"/>
        <v>31.651200000000003</v>
      </c>
      <c r="C290" s="118" t="s">
        <v>489</v>
      </c>
      <c r="D290" s="117" t="s">
        <v>85</v>
      </c>
      <c r="E290" s="117"/>
      <c r="F290" s="355" t="s">
        <v>87</v>
      </c>
      <c r="G290" s="117" t="s">
        <v>83</v>
      </c>
      <c r="H290" s="119">
        <v>120</v>
      </c>
      <c r="I290" s="118" t="s">
        <v>77</v>
      </c>
      <c r="J290" s="119">
        <v>160</v>
      </c>
      <c r="K290" s="119">
        <v>1</v>
      </c>
      <c r="L290" s="119">
        <f>K$290*L$286</f>
        <v>14</v>
      </c>
      <c r="M290" s="116">
        <f t="shared" si="501"/>
        <v>0.53759999999999997</v>
      </c>
      <c r="N290" s="118" t="s">
        <v>84</v>
      </c>
      <c r="P290" s="118"/>
      <c r="Q290" s="135">
        <v>1</v>
      </c>
      <c r="R290" s="118"/>
      <c r="S290" s="118"/>
      <c r="T290" s="118"/>
      <c r="U290" s="118"/>
      <c r="V290" s="118"/>
      <c r="W290" s="118"/>
      <c r="X290" s="118"/>
      <c r="Y290" s="118"/>
      <c r="Z290" s="118"/>
      <c r="AA290" s="118"/>
      <c r="AB290" s="118" t="s">
        <v>78</v>
      </c>
      <c r="AC290" s="136">
        <f>((((H290+J290)*2/1000)*L290*(5/(VLOOKUP(F290,[2]Plasmalõikus!$A$7:$E$46,2,FALSE)/1000*60)))+(Q290*L290*(5*(VLOOKUP(F290,[2]Plasmalõikus!$A$7:$E$48,3,FALSE))/60/60)))</f>
        <v>0.53796296296296298</v>
      </c>
      <c r="AD290" s="353" t="str">
        <f t="shared" si="502"/>
        <v xml:space="preserve"> </v>
      </c>
      <c r="AE290" s="136"/>
      <c r="AF290" s="137"/>
      <c r="AG290" s="137">
        <f t="shared" si="503"/>
        <v>0</v>
      </c>
      <c r="AH290" s="136"/>
      <c r="AI290" s="132">
        <f t="shared" si="496"/>
        <v>2.3333333333333335</v>
      </c>
      <c r="AJ290" s="70">
        <f>(H290*2*AK290)*L290/1000</f>
        <v>6.72</v>
      </c>
      <c r="AK290" s="50">
        <v>2</v>
      </c>
      <c r="AL290" s="69" t="str">
        <f t="shared" si="504"/>
        <v>10</v>
      </c>
      <c r="AN290" s="66"/>
      <c r="AP290" s="146">
        <f>(VLOOKUP(F290,Terasehind!$A$2:$B$171,2,FALSE))</f>
        <v>0.92</v>
      </c>
      <c r="AQ290" s="50">
        <f>(VLOOKUP(F290,Terasehind!$A$2:$C$171,3,FALSE))</f>
        <v>1.1000000000000001</v>
      </c>
      <c r="AR290" s="138">
        <f t="shared" si="498"/>
        <v>32.031014400000011</v>
      </c>
      <c r="AS290"/>
      <c r="AT290"/>
      <c r="AU290"/>
      <c r="AV290"/>
      <c r="AW290"/>
      <c r="AX290"/>
      <c r="AY290"/>
      <c r="AZ290"/>
      <c r="BA290" s="188">
        <f t="shared" si="505"/>
        <v>0.52266666666666672</v>
      </c>
      <c r="BB290" s="189"/>
      <c r="BC290" s="57"/>
      <c r="BD290" s="57"/>
      <c r="BE290" s="57"/>
      <c r="BF290" s="57"/>
      <c r="BG290" s="57"/>
      <c r="BH290" s="57"/>
      <c r="BI290" s="57"/>
      <c r="BJ290" s="57"/>
      <c r="BK290" s="109"/>
      <c r="BL290" s="109"/>
      <c r="BM290" s="109"/>
      <c r="BN290" s="83"/>
      <c r="BP290" s="83"/>
      <c r="BQ290" s="83"/>
    </row>
    <row r="291" spans="1:69" s="50" customFormat="1" x14ac:dyDescent="0.25">
      <c r="A291" s="116"/>
      <c r="B291" s="116"/>
      <c r="C291" s="118"/>
      <c r="D291" s="117"/>
      <c r="E291" s="117"/>
      <c r="F291" s="269"/>
      <c r="G291" s="117"/>
      <c r="H291" s="119"/>
      <c r="I291" s="118"/>
      <c r="J291" s="119"/>
      <c r="K291" s="119"/>
      <c r="L291" s="119"/>
      <c r="M291" s="119"/>
      <c r="N291" s="119"/>
      <c r="O291" s="119"/>
      <c r="P291" s="119"/>
      <c r="Q291" s="119"/>
      <c r="R291" s="118"/>
      <c r="S291" s="118"/>
      <c r="T291" s="118"/>
      <c r="U291" s="118"/>
      <c r="V291" s="118"/>
      <c r="W291" s="118"/>
      <c r="X291" s="118"/>
      <c r="Y291" s="118"/>
      <c r="Z291" s="118"/>
      <c r="AA291" s="118"/>
      <c r="AB291" s="118"/>
      <c r="AC291" s="136"/>
      <c r="AD291" s="136"/>
      <c r="AE291" s="136"/>
      <c r="AF291" s="136"/>
      <c r="AG291" s="136"/>
      <c r="AH291" s="136"/>
      <c r="AI291" s="132"/>
      <c r="AJ291" s="60"/>
      <c r="AN291" s="66"/>
      <c r="AP291" s="146"/>
      <c r="AR291" s="138"/>
      <c r="AT291" s="62"/>
      <c r="AU291" s="62"/>
      <c r="AV291" s="62"/>
      <c r="AW291" s="62"/>
      <c r="AX291" s="62"/>
      <c r="AY291" s="62"/>
      <c r="AZ291"/>
      <c r="BA291" s="192"/>
      <c r="BB291" s="188"/>
      <c r="BC291" s="57"/>
      <c r="BD291" s="57"/>
      <c r="BE291" s="57"/>
      <c r="BF291" s="57"/>
      <c r="BG291" s="57"/>
      <c r="BH291" s="57"/>
      <c r="BI291" s="57"/>
      <c r="BJ291" s="109"/>
      <c r="BK291" s="109"/>
      <c r="BL291" s="109"/>
      <c r="BM291" s="83"/>
      <c r="BO291" s="83"/>
      <c r="BP291" s="83"/>
    </row>
    <row r="292" spans="1:69" s="50" customFormat="1" x14ac:dyDescent="0.25">
      <c r="A292" s="148">
        <f>B292/L292</f>
        <v>119.70264999999999</v>
      </c>
      <c r="B292" s="148">
        <f>SUM(B296,B295,B294,B293,0)</f>
        <v>957.62119999999993</v>
      </c>
      <c r="C292" s="152"/>
      <c r="D292" s="149" t="s">
        <v>76</v>
      </c>
      <c r="E292" s="149"/>
      <c r="F292" s="365" t="s">
        <v>378</v>
      </c>
      <c r="G292" s="174" t="str">
        <f>$G$163</f>
        <v>C3VH</v>
      </c>
      <c r="H292" s="150"/>
      <c r="I292" s="151" t="s">
        <v>77</v>
      </c>
      <c r="J292" s="150">
        <f>J293</f>
        <v>4900</v>
      </c>
      <c r="K292" s="134">
        <v>8</v>
      </c>
      <c r="L292" s="150">
        <f>$L$270*$K$292</f>
        <v>8</v>
      </c>
      <c r="M292" s="148">
        <f>SUM(M296,M295,M294,M293,0)</f>
        <v>25.512799999999999</v>
      </c>
      <c r="N292" s="151"/>
      <c r="O292" s="151"/>
      <c r="P292" s="151"/>
      <c r="Q292" s="151"/>
      <c r="R292" s="120"/>
      <c r="S292" s="120"/>
      <c r="T292" s="120"/>
      <c r="U292" s="120"/>
      <c r="V292" s="120"/>
      <c r="W292" s="118"/>
      <c r="X292" s="118" t="s">
        <v>78</v>
      </c>
      <c r="Y292" s="151">
        <v>4</v>
      </c>
      <c r="Z292" s="151"/>
      <c r="AA292" s="151"/>
      <c r="AB292" s="151"/>
      <c r="AC292" s="148">
        <f>SUM(AC296,AC295,AC294,AC293,0)</f>
        <v>1.7696296296296297</v>
      </c>
      <c r="AD292" s="148">
        <f>SUM(AD296,AD295,AD294,AD293,0)</f>
        <v>0</v>
      </c>
      <c r="AE292" s="148">
        <f>SUM(AE296,AE295,AE294,AE293,0)</f>
        <v>2</v>
      </c>
      <c r="AF292" s="148">
        <f>SUM(AF296,AF295,AF294,AF293,0)</f>
        <v>3.2</v>
      </c>
      <c r="AG292" s="148">
        <f>SUM(AG296,AG295,AG294,AG293,0)</f>
        <v>0</v>
      </c>
      <c r="AH292" s="107">
        <f>SUM(AC292:AG292)</f>
        <v>6.9696296296296296</v>
      </c>
      <c r="AI292" s="107">
        <f>SUM(AI296,AI295,AI294,AI293,0)</f>
        <v>9.0666666666666664</v>
      </c>
      <c r="AJ292" s="148">
        <f>SUM(AJ296,AJ295,AJ294,AJ293,0)</f>
        <v>46.080000000000005</v>
      </c>
      <c r="AK292" s="107">
        <f>AJ292*10/60</f>
        <v>7.6800000000000015</v>
      </c>
      <c r="AL292" s="148">
        <f>AH292+AI292+AK292</f>
        <v>23.716296296296299</v>
      </c>
      <c r="AM292" s="148">
        <f>B292/AL292</f>
        <v>40.378193459724514</v>
      </c>
      <c r="AN292" s="148">
        <f>AL292*46</f>
        <v>1090.9496296296297</v>
      </c>
      <c r="AO292" s="148">
        <f>AN292/B292</f>
        <v>1.1392287781741151</v>
      </c>
      <c r="AP292" s="148">
        <f>AR292/B292</f>
        <v>1.0120000000000002</v>
      </c>
      <c r="AQ292" s="67"/>
      <c r="AR292" s="148">
        <f>SUM(AR296,AR295,AR294,AR293,0)</f>
        <v>969.11265440000022</v>
      </c>
      <c r="AT292" s="62"/>
      <c r="AU292" s="62"/>
      <c r="AV292" s="62"/>
      <c r="AW292" s="62"/>
      <c r="AX292" s="62"/>
      <c r="AY292" s="62"/>
      <c r="AZ292"/>
      <c r="BA292" s="148">
        <f>SUM(BA295,BA294,BA293,0)</f>
        <v>1.3226666666666667</v>
      </c>
      <c r="BB292" s="188"/>
      <c r="BC292" s="57"/>
      <c r="BD292" s="57"/>
      <c r="BE292" s="57"/>
      <c r="BF292" s="57"/>
      <c r="BG292" s="57"/>
      <c r="BH292" s="57"/>
      <c r="BI292" s="60"/>
    </row>
    <row r="293" spans="1:69" s="50" customFormat="1" x14ac:dyDescent="0.25">
      <c r="A293" s="116">
        <f xml:space="preserve"> 22.3*J293/10^3</f>
        <v>109.27</v>
      </c>
      <c r="B293" s="116">
        <f>A293*L293</f>
        <v>874.16</v>
      </c>
      <c r="C293" s="299" t="s">
        <v>379</v>
      </c>
      <c r="D293" s="117" t="s">
        <v>76</v>
      </c>
      <c r="E293" s="117"/>
      <c r="F293" s="355" t="s">
        <v>425</v>
      </c>
      <c r="G293" s="140" t="s">
        <v>79</v>
      </c>
      <c r="H293" s="119">
        <v>150</v>
      </c>
      <c r="I293" s="118" t="s">
        <v>77</v>
      </c>
      <c r="J293" s="119">
        <v>4900</v>
      </c>
      <c r="K293" s="50">
        <v>1</v>
      </c>
      <c r="L293" s="119">
        <f>K$293*L$292</f>
        <v>8</v>
      </c>
      <c r="M293" s="131">
        <f xml:space="preserve"> 0.583*J293*L293/10^3</f>
        <v>22.8536</v>
      </c>
      <c r="N293" s="118"/>
      <c r="O293" s="118"/>
      <c r="P293" s="118" t="s">
        <v>78</v>
      </c>
      <c r="Q293" s="135"/>
      <c r="R293" s="118"/>
      <c r="S293" s="118"/>
      <c r="T293" s="118"/>
      <c r="U293" s="118"/>
      <c r="V293" s="118"/>
      <c r="W293" s="118"/>
      <c r="Y293" s="118"/>
      <c r="Z293" s="118"/>
      <c r="AA293" s="118"/>
      <c r="AB293" s="118" t="s">
        <v>78</v>
      </c>
      <c r="AC293" s="116"/>
      <c r="AD293" s="83"/>
      <c r="AE293" s="136">
        <f t="shared" ref="AE293" si="506">(H293/20/60)*2*L293</f>
        <v>2</v>
      </c>
      <c r="AF293" s="137">
        <f>(H293*4)*2*20/60/1000*L293</f>
        <v>3.2</v>
      </c>
      <c r="AG293" s="132">
        <f t="shared" ref="AG293" si="507">Q293*L293*0.5/60</f>
        <v>0</v>
      </c>
      <c r="AH293" s="83"/>
      <c r="AI293" s="132">
        <f t="shared" ref="AI293" si="508">AL293*L293/60</f>
        <v>2.6666666666666665</v>
      </c>
      <c r="AJ293" s="70">
        <f t="shared" ref="AJ293" si="509">(H293*4*AK293)*2*L293/1000</f>
        <v>9.6</v>
      </c>
      <c r="AK293" s="50">
        <f>(VLOOKUP(F293,[2]Koostamine!$A$12:$P$1612,7,FALSE))</f>
        <v>1</v>
      </c>
      <c r="AL293" s="69">
        <f>VLOOKUP(F293,[2]Koostamine!$A$12:$P$1612,IF(J293&lt;1499,11,IF(J293&lt;2999,12,IF(J293&lt;5999,13,IF(J293&lt;9999,14,IF(J293&lt;12999,15,IF(J293&gt;13000,16)))))),FALSE)</f>
        <v>20</v>
      </c>
      <c r="AP293" s="146">
        <f>(VLOOKUP(F293,Terasehind!$A$2:$B$171,2,FALSE))</f>
        <v>0.92</v>
      </c>
      <c r="AQ293" s="50">
        <f>(VLOOKUP(F293,Terasehind!$A$2:$C$171,3,FALSE))</f>
        <v>1.1000000000000001</v>
      </c>
      <c r="AR293" s="138">
        <f t="shared" ref="AR293" si="510">AP293*AQ293*B293</f>
        <v>884.64992000000018</v>
      </c>
      <c r="AT293" s="62"/>
      <c r="AU293" s="62"/>
      <c r="AV293" s="62"/>
      <c r="AW293" s="62"/>
      <c r="AX293" s="62"/>
      <c r="AY293" s="62"/>
      <c r="AZ293"/>
      <c r="BA293" s="188">
        <f>(H293*4)*2*2/60/1000*L293</f>
        <v>0.32</v>
      </c>
      <c r="BB293" s="189"/>
      <c r="BC293" s="57"/>
      <c r="BD293" s="57"/>
      <c r="BE293" s="57"/>
      <c r="BF293" s="57"/>
      <c r="BG293" s="57"/>
      <c r="BH293" s="57"/>
      <c r="BI293" s="57"/>
      <c r="BJ293" s="60"/>
      <c r="BK293" s="57"/>
      <c r="BL293" s="60"/>
      <c r="BM293" s="83"/>
      <c r="BO293" s="109"/>
    </row>
    <row r="294" spans="1:69" s="50" customFormat="1" x14ac:dyDescent="0.25">
      <c r="A294" s="116">
        <f t="shared" ref="A294:A295" si="511">H294*J294*(RIGHT(F294,2))*7.85/(10^6)</f>
        <v>0.44156250000000002</v>
      </c>
      <c r="B294" s="116">
        <f t="shared" ref="B294:B295" si="512">A294*L294</f>
        <v>14.13</v>
      </c>
      <c r="C294" s="118" t="s">
        <v>80</v>
      </c>
      <c r="D294" s="117" t="s">
        <v>81</v>
      </c>
      <c r="E294" s="117"/>
      <c r="F294" s="355" t="s">
        <v>324</v>
      </c>
      <c r="G294" s="117" t="s">
        <v>83</v>
      </c>
      <c r="H294" s="119">
        <f>H293/2</f>
        <v>75</v>
      </c>
      <c r="I294" s="118" t="s">
        <v>77</v>
      </c>
      <c r="J294" s="119">
        <f>H293</f>
        <v>150</v>
      </c>
      <c r="K294" s="119">
        <v>4</v>
      </c>
      <c r="L294" s="119">
        <f>K$294*L$292</f>
        <v>32</v>
      </c>
      <c r="M294" s="116">
        <f t="shared" ref="M294:M295" si="513">2*H294*J294/10^6*L294</f>
        <v>0.72</v>
      </c>
      <c r="N294" s="118" t="s">
        <v>84</v>
      </c>
      <c r="P294" s="118"/>
      <c r="Q294" s="135"/>
      <c r="R294" s="118"/>
      <c r="S294" s="118"/>
      <c r="T294" s="118"/>
      <c r="U294" s="118"/>
      <c r="V294" s="118"/>
      <c r="W294" s="118"/>
      <c r="X294" s="118"/>
      <c r="Y294" s="118"/>
      <c r="Z294" s="118"/>
      <c r="AA294" s="118"/>
      <c r="AB294" s="118" t="s">
        <v>78</v>
      </c>
      <c r="AC294" s="136">
        <f>((((H294+J294)*2/1000)*L294*(5/(VLOOKUP(F294,[2]Plasmalõikus!$A$7:$E$46,2,FALSE)/1000*60)))+(Q294*L294*(5*(VLOOKUP(F294,[2]Plasmalõikus!$A$7:$E$48,3,FALSE))/60/60)))</f>
        <v>0.33333333333333331</v>
      </c>
      <c r="AD294" s="353" t="str">
        <f t="shared" ref="AD294:AD295" si="514">IF(C294="WQ",0.012*((H294+J294)*2/1000*L294),IF(OR(VALUE(MID(F294,6,10))&gt;=20,H294&gt;300,J294&gt;300),0.012*((H294+J294)*2/1000*L294)," "))</f>
        <v xml:space="preserve"> </v>
      </c>
      <c r="AE294" s="136"/>
      <c r="AF294" s="137"/>
      <c r="AG294" s="137">
        <f t="shared" ref="AG294:AG295" si="515">IF(VALUE(MID(F294,SEARCH(" ",F294)+1,LEN(F294)))&lt;35,0,IF(VALUE(MID(F294,SEARCH(" ",F294)+1,LEN(F294)))&lt;40,3,IF(VALUE(MID(F294,SEARCH(" ",F294)+1,LEN(F294)))&lt;50,4,IF(VALUE(MID(F294,SEARCH(" ",F294)+1,LEN(F294)))&lt;60,5,IF(VALUE(MID(F294,SEARCH(" ",F294)+1,LEN(F294)))&lt;70,6,IF(VALUE(MID(F294,SEARCH(" ",F294)+1,LEN(F294)))&lt;80,7,IF(VALUE(MID(F294,SEARCH(" ",F294)+1,LEN(F294)))&lt;90,8,IF(VALUE(MID(F294,SEARCH(" ",F294)+1,LEN(F294)))&lt;100,9,10))))))))/60*Q294*L294</f>
        <v>0</v>
      </c>
      <c r="AH294" s="136"/>
      <c r="AI294" s="132">
        <f t="shared" ref="AI294:AI295" si="516">AL294*L294/60</f>
        <v>1.0666666666666667</v>
      </c>
      <c r="AJ294" s="70"/>
      <c r="AK294" s="50">
        <v>2</v>
      </c>
      <c r="AL294" s="69" t="str">
        <f t="shared" ref="AL294:AL295" si="517">IF(AND(Q294&gt;0,A294&lt;3),"10",IF(AND(Q294&gt;0,A294&lt;10),"15",IF(AND(Q294&gt;0,A294&lt;20),"20",IF(AND(Q294&gt;0,A294&lt;500),"30",IF(AND(Q294=0,A294&lt;3),"2",IF(AND(Q294=0,A294&lt;10),"5",IF(AND(Q294=0,A294&lt;20),"10",IF(AND(Q294=0,A294&lt;500),"20","2"))))))))</f>
        <v>2</v>
      </c>
      <c r="AN294" s="66"/>
      <c r="AP294" s="146">
        <f>(VLOOKUP(F294,Terasehind!$A$2:$B$171,2,FALSE))</f>
        <v>0.92</v>
      </c>
      <c r="AQ294" s="50">
        <f>(VLOOKUP(F294,Terasehind!$A$2:$C$171,3,FALSE))</f>
        <v>1.1000000000000001</v>
      </c>
      <c r="AR294" s="138">
        <f t="shared" ref="AR294:AR295" si="518">AP294*AQ294*B294</f>
        <v>14.299560000000005</v>
      </c>
      <c r="AS294"/>
      <c r="AT294"/>
      <c r="AU294"/>
      <c r="AV294"/>
      <c r="AW294"/>
      <c r="AX294"/>
      <c r="AY294"/>
      <c r="AZ294"/>
      <c r="BA294" s="188"/>
      <c r="BB294" s="189"/>
      <c r="BC294" s="57"/>
      <c r="BD294" s="57"/>
      <c r="BE294" s="57"/>
      <c r="BF294" s="57"/>
      <c r="BG294" s="57"/>
      <c r="BH294" s="57"/>
      <c r="BI294" s="57"/>
      <c r="BJ294" s="57"/>
      <c r="BK294" s="109"/>
      <c r="BL294" s="109"/>
      <c r="BM294" s="109"/>
      <c r="BN294" s="83"/>
      <c r="BP294" s="83"/>
      <c r="BQ294" s="83"/>
    </row>
    <row r="295" spans="1:69" s="50" customFormat="1" x14ac:dyDescent="0.25">
      <c r="A295" s="116">
        <f t="shared" si="511"/>
        <v>3.2027999999999999</v>
      </c>
      <c r="B295" s="116">
        <f t="shared" si="512"/>
        <v>51.244799999999998</v>
      </c>
      <c r="C295" s="118"/>
      <c r="D295" s="117" t="s">
        <v>85</v>
      </c>
      <c r="E295" s="117"/>
      <c r="F295" s="355" t="s">
        <v>337</v>
      </c>
      <c r="G295" s="117" t="s">
        <v>83</v>
      </c>
      <c r="H295" s="119">
        <f>H293+20</f>
        <v>170</v>
      </c>
      <c r="I295" s="118" t="s">
        <v>77</v>
      </c>
      <c r="J295" s="119">
        <f>H293*2</f>
        <v>300</v>
      </c>
      <c r="K295" s="119">
        <v>2</v>
      </c>
      <c r="L295" s="119">
        <f>K$295*L$292</f>
        <v>16</v>
      </c>
      <c r="M295" s="116">
        <f t="shared" si="513"/>
        <v>1.6319999999999999</v>
      </c>
      <c r="N295" s="118" t="s">
        <v>84</v>
      </c>
      <c r="P295" s="118"/>
      <c r="Q295" s="135">
        <v>4</v>
      </c>
      <c r="R295" s="118"/>
      <c r="S295" s="118"/>
      <c r="T295" s="118"/>
      <c r="U295" s="118"/>
      <c r="V295" s="118"/>
      <c r="W295" s="118"/>
      <c r="X295" s="118"/>
      <c r="Y295" s="118"/>
      <c r="Z295" s="118"/>
      <c r="AA295" s="118"/>
      <c r="AB295" s="118" t="s">
        <v>78</v>
      </c>
      <c r="AC295" s="136">
        <f>((((H295+J295)*2/1000)*L295*(5/(VLOOKUP(F295,[2]Plasmalõikus!$A$7:$E$46,2,FALSE)/1000*60)))+(Q295*L295*(5*(VLOOKUP(F295,[2]Plasmalõikus!$A$7:$E$48,3,FALSE))/60/60)))</f>
        <v>1.1288888888888888</v>
      </c>
      <c r="AD295" s="353" t="str">
        <f t="shared" si="514"/>
        <v xml:space="preserve"> </v>
      </c>
      <c r="AE295" s="136"/>
      <c r="AF295" s="137"/>
      <c r="AG295" s="137">
        <f t="shared" si="515"/>
        <v>0</v>
      </c>
      <c r="AH295" s="136"/>
      <c r="AI295" s="132">
        <f t="shared" si="516"/>
        <v>4</v>
      </c>
      <c r="AJ295" s="70">
        <f>(H295*3*AK295)*2*L295/1000</f>
        <v>32.64</v>
      </c>
      <c r="AK295" s="50">
        <v>2</v>
      </c>
      <c r="AL295" s="69" t="str">
        <f t="shared" si="517"/>
        <v>15</v>
      </c>
      <c r="AN295" s="66"/>
      <c r="AP295" s="146">
        <f>(VLOOKUP(F295,Terasehind!$A$2:$B$171,2,FALSE))</f>
        <v>0.92</v>
      </c>
      <c r="AQ295" s="50">
        <f>(VLOOKUP(F295,Terasehind!$A$2:$C$171,3,FALSE))</f>
        <v>1.1000000000000001</v>
      </c>
      <c r="AR295" s="138">
        <f t="shared" si="518"/>
        <v>51.85973760000001</v>
      </c>
      <c r="AS295"/>
      <c r="AT295"/>
      <c r="AU295"/>
      <c r="AV295"/>
      <c r="AW295"/>
      <c r="AX295"/>
      <c r="AY295"/>
      <c r="AZ295"/>
      <c r="BA295" s="188">
        <f t="shared" ref="BA295" si="519">(H295*2+J295*2)*2*2/60/1000*L295</f>
        <v>1.0026666666666666</v>
      </c>
      <c r="BB295" s="189"/>
      <c r="BC295" s="57"/>
      <c r="BD295" s="57"/>
      <c r="BE295" s="57"/>
      <c r="BF295" s="57"/>
      <c r="BG295" s="57"/>
      <c r="BH295" s="57"/>
      <c r="BI295" s="57"/>
      <c r="BJ295" s="57"/>
      <c r="BK295" s="109"/>
      <c r="BL295" s="109"/>
      <c r="BM295" s="109"/>
      <c r="BN295" s="83"/>
      <c r="BP295" s="83"/>
      <c r="BQ295" s="83"/>
    </row>
    <row r="296" spans="1:69" s="50" customFormat="1" x14ac:dyDescent="0.25">
      <c r="A296" s="116">
        <f t="shared" ref="A296" si="520">H296*J296*(RIGHT(F296,2))*7.85/(10^6)</f>
        <v>2.2608000000000001</v>
      </c>
      <c r="B296" s="116">
        <f t="shared" ref="B296" si="521">A296*L296</f>
        <v>18.086400000000001</v>
      </c>
      <c r="C296" s="118" t="s">
        <v>489</v>
      </c>
      <c r="D296" s="117" t="s">
        <v>85</v>
      </c>
      <c r="E296" s="117"/>
      <c r="F296" s="355" t="s">
        <v>87</v>
      </c>
      <c r="G296" s="117" t="s">
        <v>83</v>
      </c>
      <c r="H296" s="119">
        <v>120</v>
      </c>
      <c r="I296" s="118" t="s">
        <v>77</v>
      </c>
      <c r="J296" s="119">
        <v>160</v>
      </c>
      <c r="K296" s="119">
        <v>1</v>
      </c>
      <c r="L296" s="119">
        <f>K$296*L$292</f>
        <v>8</v>
      </c>
      <c r="M296" s="116">
        <f t="shared" ref="M296" si="522">2*H296*J296/10^6*L296</f>
        <v>0.30719999999999997</v>
      </c>
      <c r="N296" s="118" t="s">
        <v>84</v>
      </c>
      <c r="P296" s="118"/>
      <c r="Q296" s="135">
        <v>1</v>
      </c>
      <c r="R296" s="118"/>
      <c r="S296" s="118"/>
      <c r="T296" s="118"/>
      <c r="U296" s="118"/>
      <c r="V296" s="118"/>
      <c r="W296" s="118"/>
      <c r="X296" s="118"/>
      <c r="Y296" s="118"/>
      <c r="Z296" s="118"/>
      <c r="AA296" s="118"/>
      <c r="AB296" s="118" t="s">
        <v>78</v>
      </c>
      <c r="AC296" s="136">
        <f>((((H296+J296)*2/1000)*L296*(5/(VLOOKUP(F296,[2]Plasmalõikus!$A$7:$E$46,2,FALSE)/1000*60)))+(Q296*L296*(5*(VLOOKUP(F296,[2]Plasmalõikus!$A$7:$E$48,3,FALSE))/60/60)))</f>
        <v>0.30740740740740746</v>
      </c>
      <c r="AD296" s="353" t="str">
        <f t="shared" ref="AD296" si="523">IF(C296="WQ",0.012*((H296+J296)*2/1000*L296),IF(OR(VALUE(MID(F296,6,10))&gt;=20,H296&gt;300,J296&gt;300),0.012*((H296+J296)*2/1000*L296)," "))</f>
        <v xml:space="preserve"> </v>
      </c>
      <c r="AE296" s="136"/>
      <c r="AF296" s="137"/>
      <c r="AG296" s="137">
        <f t="shared" ref="AG296" si="524">IF(VALUE(MID(F296,SEARCH(" ",F296)+1,LEN(F296)))&lt;35,0,IF(VALUE(MID(F296,SEARCH(" ",F296)+1,LEN(F296)))&lt;40,3,IF(VALUE(MID(F296,SEARCH(" ",F296)+1,LEN(F296)))&lt;50,4,IF(VALUE(MID(F296,SEARCH(" ",F296)+1,LEN(F296)))&lt;60,5,IF(VALUE(MID(F296,SEARCH(" ",F296)+1,LEN(F296)))&lt;70,6,IF(VALUE(MID(F296,SEARCH(" ",F296)+1,LEN(F296)))&lt;80,7,IF(VALUE(MID(F296,SEARCH(" ",F296)+1,LEN(F296)))&lt;90,8,IF(VALUE(MID(F296,SEARCH(" ",F296)+1,LEN(F296)))&lt;100,9,10))))))))/60*Q296*L296</f>
        <v>0</v>
      </c>
      <c r="AH296" s="136"/>
      <c r="AI296" s="132">
        <f t="shared" ref="AI296" si="525">AL296*L296/60</f>
        <v>1.3333333333333333</v>
      </c>
      <c r="AJ296" s="70">
        <f>(H296*2*AK296)*L296/1000</f>
        <v>3.84</v>
      </c>
      <c r="AK296" s="50">
        <v>2</v>
      </c>
      <c r="AL296" s="69" t="str">
        <f t="shared" ref="AL296" si="526">IF(AND(Q296&gt;0,A296&lt;3),"10",IF(AND(Q296&gt;0,A296&lt;10),"15",IF(AND(Q296&gt;0,A296&lt;20),"20",IF(AND(Q296&gt;0,A296&lt;500),"30",IF(AND(Q296=0,A296&lt;3),"2",IF(AND(Q296=0,A296&lt;10),"5",IF(AND(Q296=0,A296&lt;20),"10",IF(AND(Q296=0,A296&lt;500),"20","2"))))))))</f>
        <v>10</v>
      </c>
      <c r="AN296" s="66"/>
      <c r="AP296" s="146">
        <f>(VLOOKUP(F296,Terasehind!$A$2:$B$171,2,FALSE))</f>
        <v>0.92</v>
      </c>
      <c r="AQ296" s="50">
        <f>(VLOOKUP(F296,Terasehind!$A$2:$C$171,3,FALSE))</f>
        <v>1.1000000000000001</v>
      </c>
      <c r="AR296" s="138">
        <f t="shared" ref="AR296" si="527">AP296*AQ296*B296</f>
        <v>18.303436800000004</v>
      </c>
      <c r="AS296"/>
      <c r="AT296"/>
      <c r="AU296"/>
      <c r="AV296"/>
      <c r="AW296"/>
      <c r="AX296"/>
      <c r="AY296"/>
      <c r="AZ296"/>
      <c r="BA296" s="188">
        <f t="shared" ref="BA296" si="528">(H296*2+J296*2)*2*2/60/1000*L296</f>
        <v>0.29866666666666669</v>
      </c>
      <c r="BB296" s="189"/>
      <c r="BC296" s="57"/>
      <c r="BD296" s="57"/>
      <c r="BE296" s="57"/>
      <c r="BF296" s="57"/>
      <c r="BG296" s="57"/>
      <c r="BH296" s="57"/>
      <c r="BI296" s="57"/>
      <c r="BJ296" s="57"/>
      <c r="BK296" s="109"/>
      <c r="BL296" s="109"/>
      <c r="BM296" s="109"/>
      <c r="BN296" s="83"/>
      <c r="BP296" s="83"/>
      <c r="BQ296" s="83"/>
    </row>
    <row r="297" spans="1:69" s="50" customFormat="1" x14ac:dyDescent="0.25">
      <c r="A297" s="116"/>
      <c r="B297" s="116"/>
      <c r="C297" s="118"/>
      <c r="D297" s="117"/>
      <c r="E297" s="117"/>
      <c r="F297" s="269"/>
      <c r="G297" s="117"/>
      <c r="H297" s="119"/>
      <c r="I297" s="118"/>
      <c r="J297" s="119"/>
      <c r="K297" s="119"/>
      <c r="L297" s="119"/>
      <c r="M297" s="119"/>
      <c r="N297" s="119"/>
      <c r="O297" s="119"/>
      <c r="P297" s="119"/>
      <c r="Q297" s="119"/>
      <c r="R297" s="118"/>
      <c r="S297" s="118"/>
      <c r="T297" s="118"/>
      <c r="U297" s="118"/>
      <c r="V297" s="118"/>
      <c r="W297" s="118"/>
      <c r="X297" s="118"/>
      <c r="Y297" s="118"/>
      <c r="Z297" s="118"/>
      <c r="AA297" s="118"/>
      <c r="AB297" s="118"/>
      <c r="AC297" s="136"/>
      <c r="AD297" s="136"/>
      <c r="AE297" s="136"/>
      <c r="AF297" s="136"/>
      <c r="AG297" s="136"/>
      <c r="AH297" s="136"/>
      <c r="AI297" s="132"/>
      <c r="AJ297" s="60"/>
      <c r="AN297" s="66"/>
      <c r="AP297" s="146"/>
      <c r="AR297" s="138"/>
      <c r="AT297" s="62"/>
      <c r="AU297" s="62"/>
      <c r="AV297" s="62"/>
      <c r="AW297" s="62"/>
      <c r="AX297" s="62"/>
      <c r="AY297" s="62"/>
      <c r="AZ297"/>
      <c r="BA297" s="192"/>
      <c r="BB297" s="188"/>
      <c r="BC297" s="57"/>
      <c r="BD297" s="57"/>
      <c r="BE297" s="57"/>
      <c r="BF297" s="57"/>
      <c r="BG297" s="57"/>
      <c r="BH297" s="57"/>
      <c r="BI297" s="57"/>
      <c r="BJ297" s="109"/>
      <c r="BK297" s="109"/>
      <c r="BL297" s="109"/>
      <c r="BM297" s="83"/>
      <c r="BO297" s="83"/>
      <c r="BP297" s="83"/>
    </row>
    <row r="298" spans="1:69" s="50" customFormat="1" x14ac:dyDescent="0.25">
      <c r="A298" s="148">
        <f>B298/L298</f>
        <v>113.66795999999999</v>
      </c>
      <c r="B298" s="148">
        <f>SUM(B302,B301,B300,B299,0)</f>
        <v>1364.0155199999999</v>
      </c>
      <c r="C298" s="152"/>
      <c r="D298" s="149" t="s">
        <v>76</v>
      </c>
      <c r="E298" s="149"/>
      <c r="F298" s="365"/>
      <c r="G298" s="174" t="str">
        <f>$G$163</f>
        <v>C3VH</v>
      </c>
      <c r="H298" s="150"/>
      <c r="I298" s="151" t="s">
        <v>77</v>
      </c>
      <c r="J298" s="150">
        <f>J299</f>
        <v>3610</v>
      </c>
      <c r="K298" s="134">
        <v>12</v>
      </c>
      <c r="L298" s="150">
        <f>$L$270*$K$298</f>
        <v>12</v>
      </c>
      <c r="M298" s="148">
        <f>SUM(M302,M301,M300,M299,0)</f>
        <v>31.269480000000001</v>
      </c>
      <c r="N298" s="151"/>
      <c r="O298" s="151"/>
      <c r="P298" s="151"/>
      <c r="Q298" s="151"/>
      <c r="R298" s="120"/>
      <c r="S298" s="120"/>
      <c r="T298" s="120"/>
      <c r="U298" s="120"/>
      <c r="V298" s="120"/>
      <c r="W298" s="118"/>
      <c r="X298" s="118" t="s">
        <v>78</v>
      </c>
      <c r="Y298" s="151">
        <v>4</v>
      </c>
      <c r="Z298" s="151"/>
      <c r="AA298" s="151"/>
      <c r="AB298" s="151"/>
      <c r="AC298" s="148">
        <f>SUM(AC302,AC301,AC300,AC299,0)</f>
        <v>2.7277777777777774</v>
      </c>
      <c r="AD298" s="148">
        <f>SUM(AD302,AD301,AD300,AD299,0)</f>
        <v>0.28800000000000003</v>
      </c>
      <c r="AE298" s="148">
        <f>SUM(AE302,AE301,AE300,AE299,0)</f>
        <v>3.2</v>
      </c>
      <c r="AF298" s="148">
        <f>SUM(AF302,AF301,AF300,AF299,0)</f>
        <v>5.12</v>
      </c>
      <c r="AG298" s="148">
        <f>SUM(AG302,AG301,AG300,AG299,0)</f>
        <v>0</v>
      </c>
      <c r="AH298" s="107">
        <f>SUM(AC298:AG298)</f>
        <v>11.335777777777778</v>
      </c>
      <c r="AI298" s="107">
        <f>SUM(AI302,AI301,AI300,AI299,0)</f>
        <v>13.6</v>
      </c>
      <c r="AJ298" s="148">
        <f>SUM(AJ302,AJ301,AJ300,AJ299,0)</f>
        <v>88.32</v>
      </c>
      <c r="AK298" s="107">
        <f>AJ298*10/60</f>
        <v>14.719999999999999</v>
      </c>
      <c r="AL298" s="148">
        <f>AH298+AI298+AK298</f>
        <v>39.655777777777779</v>
      </c>
      <c r="AM298" s="148">
        <f>B298/AL298</f>
        <v>34.396388028086136</v>
      </c>
      <c r="AN298" s="148">
        <f>AL298*46</f>
        <v>1824.1657777777777</v>
      </c>
      <c r="AO298" s="148">
        <f>AN298/B298</f>
        <v>1.3373497229546023</v>
      </c>
      <c r="AP298" s="148">
        <f>AR298/B298</f>
        <v>1.0317732588849136</v>
      </c>
      <c r="AQ298" s="67"/>
      <c r="AR298" s="148">
        <f>SUM(AR302,AR301,AR300,AR299,0)</f>
        <v>1407.35473824</v>
      </c>
      <c r="AT298" s="62"/>
      <c r="AU298" s="62"/>
      <c r="AV298" s="62"/>
      <c r="AW298" s="62"/>
      <c r="AX298" s="62"/>
      <c r="AY298" s="62"/>
      <c r="AZ298"/>
      <c r="BA298" s="148">
        <f>SUM(BA301,BA300,BA299,0)</f>
        <v>2.1120000000000001</v>
      </c>
      <c r="BB298" s="188"/>
      <c r="BC298" s="57"/>
      <c r="BD298" s="57"/>
      <c r="BE298" s="57"/>
      <c r="BF298" s="57"/>
      <c r="BG298" s="57"/>
      <c r="BH298" s="57"/>
      <c r="BI298" s="60"/>
    </row>
    <row r="299" spans="1:69" s="50" customFormat="1" x14ac:dyDescent="0.25">
      <c r="A299" s="116">
        <f xml:space="preserve"> 28.3*J299/10^3</f>
        <v>102.163</v>
      </c>
      <c r="B299" s="116">
        <f>A299*L299</f>
        <v>1225.9559999999999</v>
      </c>
      <c r="C299" s="299" t="s">
        <v>379</v>
      </c>
      <c r="D299" s="117" t="s">
        <v>76</v>
      </c>
      <c r="E299" s="117"/>
      <c r="F299" s="355" t="s">
        <v>484</v>
      </c>
      <c r="G299" s="140" t="s">
        <v>79</v>
      </c>
      <c r="H299" s="119">
        <v>160</v>
      </c>
      <c r="I299" s="118" t="s">
        <v>77</v>
      </c>
      <c r="J299" s="119">
        <v>3610</v>
      </c>
      <c r="K299" s="50">
        <v>1</v>
      </c>
      <c r="L299" s="119">
        <f>K$299*L$298</f>
        <v>12</v>
      </c>
      <c r="M299" s="131">
        <f xml:space="preserve"> 0.619*J299*L299/10^3</f>
        <v>26.815080000000002</v>
      </c>
      <c r="N299" s="118"/>
      <c r="O299" s="118"/>
      <c r="P299" s="118" t="s">
        <v>78</v>
      </c>
      <c r="Q299" s="135"/>
      <c r="R299" s="118"/>
      <c r="S299" s="118"/>
      <c r="T299" s="118"/>
      <c r="U299" s="118"/>
      <c r="V299" s="118"/>
      <c r="W299" s="118"/>
      <c r="Y299" s="118"/>
      <c r="Z299" s="118"/>
      <c r="AA299" s="118"/>
      <c r="AB299" s="118" t="s">
        <v>78</v>
      </c>
      <c r="AC299" s="116"/>
      <c r="AD299" s="83"/>
      <c r="AE299" s="136">
        <f t="shared" ref="AE299" si="529">(H299/20/60)*2*L299</f>
        <v>3.2</v>
      </c>
      <c r="AF299" s="137">
        <f>(H299*4)*2*20/60/1000*L299</f>
        <v>5.12</v>
      </c>
      <c r="AG299" s="132">
        <f t="shared" ref="AG299" si="530">Q299*L299*0.5/60</f>
        <v>0</v>
      </c>
      <c r="AH299" s="83"/>
      <c r="AI299" s="132">
        <f t="shared" ref="AI299:AI302" si="531">AL299*L299/60</f>
        <v>4</v>
      </c>
      <c r="AJ299" s="70">
        <f t="shared" ref="AJ299" si="532">(H299*4*AK299)*2*L299/1000</f>
        <v>30.72</v>
      </c>
      <c r="AK299" s="50">
        <f>(VLOOKUP(F299,[2]Koostamine!$A$12:$P$1612,7,FALSE))</f>
        <v>2</v>
      </c>
      <c r="AL299" s="69">
        <f>VLOOKUP(F299,[2]Koostamine!$A$12:$P$1612,IF(J299&lt;1499,11,IF(J299&lt;2999,12,IF(J299&lt;5999,13,IF(J299&lt;9999,14,IF(J299&lt;12999,15,IF(J299&gt;13000,16)))))),FALSE)</f>
        <v>20</v>
      </c>
      <c r="AP299" s="146">
        <f>(VLOOKUP(F299,Terasehind!$A$2:$B$171,2,FALSE))</f>
        <v>0.94</v>
      </c>
      <c r="AQ299" s="50">
        <f>(VLOOKUP(F299,Terasehind!$A$2:$C$171,3,FALSE))</f>
        <v>1.1000000000000001</v>
      </c>
      <c r="AR299" s="138">
        <f t="shared" ref="AR299:AR302" si="533">AP299*AQ299*B299</f>
        <v>1267.638504</v>
      </c>
      <c r="AT299" s="62"/>
      <c r="AU299" s="62"/>
      <c r="AV299" s="62"/>
      <c r="AW299" s="62"/>
      <c r="AX299" s="62"/>
      <c r="AY299" s="62"/>
      <c r="AZ299"/>
      <c r="BA299" s="188">
        <f>(H299*4)*2*2/60/1000*L299</f>
        <v>0.51200000000000001</v>
      </c>
      <c r="BB299" s="189"/>
      <c r="BC299" s="57"/>
      <c r="BD299" s="57"/>
      <c r="BE299" s="57"/>
      <c r="BF299" s="57"/>
      <c r="BG299" s="57"/>
      <c r="BH299" s="57"/>
      <c r="BI299" s="57"/>
      <c r="BJ299" s="60"/>
      <c r="BK299" s="57"/>
      <c r="BL299" s="60"/>
      <c r="BM299" s="83"/>
      <c r="BO299" s="109"/>
    </row>
    <row r="300" spans="1:69" s="50" customFormat="1" x14ac:dyDescent="0.25">
      <c r="A300" s="116">
        <f t="shared" ref="A300:A302" si="534">H300*J300*(RIGHT(F300,2))*7.85/(10^6)</f>
        <v>0.50239999999999996</v>
      </c>
      <c r="B300" s="116">
        <f t="shared" ref="B300:B302" si="535">A300*L300</f>
        <v>24.115199999999998</v>
      </c>
      <c r="C300" s="118" t="s">
        <v>80</v>
      </c>
      <c r="D300" s="117" t="s">
        <v>81</v>
      </c>
      <c r="E300" s="117"/>
      <c r="F300" s="355" t="s">
        <v>324</v>
      </c>
      <c r="G300" s="117" t="s">
        <v>83</v>
      </c>
      <c r="H300" s="119">
        <f>H299/2</f>
        <v>80</v>
      </c>
      <c r="I300" s="118" t="s">
        <v>77</v>
      </c>
      <c r="J300" s="119">
        <f>H299</f>
        <v>160</v>
      </c>
      <c r="K300" s="119">
        <v>4</v>
      </c>
      <c r="L300" s="119">
        <f>K$300*L$298</f>
        <v>48</v>
      </c>
      <c r="M300" s="116">
        <f t="shared" ref="M300:M302" si="536">2*H300*J300/10^6*L300</f>
        <v>1.2288000000000001</v>
      </c>
      <c r="N300" s="118" t="s">
        <v>84</v>
      </c>
      <c r="P300" s="118"/>
      <c r="Q300" s="135"/>
      <c r="R300" s="118"/>
      <c r="S300" s="118"/>
      <c r="T300" s="118"/>
      <c r="U300" s="118"/>
      <c r="V300" s="118"/>
      <c r="W300" s="118"/>
      <c r="X300" s="118"/>
      <c r="Y300" s="118"/>
      <c r="Z300" s="118"/>
      <c r="AA300" s="118"/>
      <c r="AB300" s="118" t="s">
        <v>78</v>
      </c>
      <c r="AC300" s="136">
        <f>((((H300+J300)*2/1000)*L300*(5/(VLOOKUP(F300,[2]Plasmalõikus!$A$7:$E$46,2,FALSE)/1000*60)))+(Q300*L300*(5*(VLOOKUP(F300,[2]Plasmalõikus!$A$7:$E$48,3,FALSE))/60/60)))</f>
        <v>0.53333333333333333</v>
      </c>
      <c r="AD300" s="353" t="str">
        <f t="shared" ref="AD300:AD302" si="537">IF(C300="WQ",0.012*((H300+J300)*2/1000*L300),IF(OR(VALUE(MID(F300,6,10))&gt;=20,H300&gt;300,J300&gt;300),0.012*((H300+J300)*2/1000*L300)," "))</f>
        <v xml:space="preserve"> </v>
      </c>
      <c r="AE300" s="136"/>
      <c r="AF300" s="137"/>
      <c r="AG300" s="137">
        <f t="shared" ref="AG300:AG302" si="538">IF(VALUE(MID(F300,SEARCH(" ",F300)+1,LEN(F300)))&lt;35,0,IF(VALUE(MID(F300,SEARCH(" ",F300)+1,LEN(F300)))&lt;40,3,IF(VALUE(MID(F300,SEARCH(" ",F300)+1,LEN(F300)))&lt;50,4,IF(VALUE(MID(F300,SEARCH(" ",F300)+1,LEN(F300)))&lt;60,5,IF(VALUE(MID(F300,SEARCH(" ",F300)+1,LEN(F300)))&lt;70,6,IF(VALUE(MID(F300,SEARCH(" ",F300)+1,LEN(F300)))&lt;80,7,IF(VALUE(MID(F300,SEARCH(" ",F300)+1,LEN(F300)))&lt;90,8,IF(VALUE(MID(F300,SEARCH(" ",F300)+1,LEN(F300)))&lt;100,9,10))))))))/60*Q300*L300</f>
        <v>0</v>
      </c>
      <c r="AH300" s="136"/>
      <c r="AI300" s="132">
        <f t="shared" si="531"/>
        <v>1.6</v>
      </c>
      <c r="AJ300" s="70"/>
      <c r="AK300" s="50">
        <v>2</v>
      </c>
      <c r="AL300" s="69" t="str">
        <f t="shared" ref="AL300:AL302" si="539">IF(AND(Q300&gt;0,A300&lt;3),"10",IF(AND(Q300&gt;0,A300&lt;10),"15",IF(AND(Q300&gt;0,A300&lt;20),"20",IF(AND(Q300&gt;0,A300&lt;500),"30",IF(AND(Q300=0,A300&lt;3),"2",IF(AND(Q300=0,A300&lt;10),"5",IF(AND(Q300=0,A300&lt;20),"10",IF(AND(Q300=0,A300&lt;500),"20","2"))))))))</f>
        <v>2</v>
      </c>
      <c r="AN300" s="66"/>
      <c r="AP300" s="146">
        <f>(VLOOKUP(F300,Terasehind!$A$2:$B$171,2,FALSE))</f>
        <v>0.92</v>
      </c>
      <c r="AQ300" s="50">
        <f>(VLOOKUP(F300,Terasehind!$A$2:$C$171,3,FALSE))</f>
        <v>1.1000000000000001</v>
      </c>
      <c r="AR300" s="138">
        <f t="shared" si="533"/>
        <v>24.404582400000002</v>
      </c>
      <c r="AS300"/>
      <c r="AT300"/>
      <c r="AU300"/>
      <c r="AV300"/>
      <c r="AW300"/>
      <c r="AX300"/>
      <c r="AY300"/>
      <c r="AZ300"/>
      <c r="BA300" s="188"/>
      <c r="BB300" s="189"/>
      <c r="BC300" s="57"/>
      <c r="BD300" s="57"/>
      <c r="BE300" s="57"/>
      <c r="BF300" s="57"/>
      <c r="BG300" s="57"/>
      <c r="BH300" s="57"/>
      <c r="BI300" s="57"/>
      <c r="BJ300" s="57"/>
      <c r="BK300" s="109"/>
      <c r="BL300" s="109"/>
      <c r="BM300" s="109"/>
      <c r="BN300" s="83"/>
      <c r="BP300" s="83"/>
      <c r="BQ300" s="83"/>
    </row>
    <row r="301" spans="1:69" s="50" customFormat="1" x14ac:dyDescent="0.25">
      <c r="A301" s="116">
        <f t="shared" si="534"/>
        <v>3.6172800000000001</v>
      </c>
      <c r="B301" s="116">
        <f t="shared" si="535"/>
        <v>86.814719999999994</v>
      </c>
      <c r="C301" s="118"/>
      <c r="D301" s="117" t="s">
        <v>85</v>
      </c>
      <c r="E301" s="117"/>
      <c r="F301" s="355" t="s">
        <v>337</v>
      </c>
      <c r="G301" s="117" t="s">
        <v>83</v>
      </c>
      <c r="H301" s="119">
        <f>H299+20</f>
        <v>180</v>
      </c>
      <c r="I301" s="118" t="s">
        <v>77</v>
      </c>
      <c r="J301" s="119">
        <f>H299*2</f>
        <v>320</v>
      </c>
      <c r="K301" s="119">
        <v>2</v>
      </c>
      <c r="L301" s="119">
        <f>K$301*L$298</f>
        <v>24</v>
      </c>
      <c r="M301" s="116">
        <f t="shared" si="536"/>
        <v>2.7648000000000001</v>
      </c>
      <c r="N301" s="118" t="s">
        <v>84</v>
      </c>
      <c r="P301" s="118"/>
      <c r="Q301" s="135">
        <v>4</v>
      </c>
      <c r="R301" s="118"/>
      <c r="S301" s="118"/>
      <c r="T301" s="118"/>
      <c r="U301" s="118"/>
      <c r="V301" s="118"/>
      <c r="W301" s="118"/>
      <c r="X301" s="118"/>
      <c r="Y301" s="118"/>
      <c r="Z301" s="118"/>
      <c r="AA301" s="118"/>
      <c r="AB301" s="118" t="s">
        <v>78</v>
      </c>
      <c r="AC301" s="136">
        <f>((((H301+J301)*2/1000)*L301*(5/(VLOOKUP(F301,[2]Plasmalõikus!$A$7:$E$46,2,FALSE)/1000*60)))+(Q301*L301*(5*(VLOOKUP(F301,[2]Plasmalõikus!$A$7:$E$48,3,FALSE))/60/60)))</f>
        <v>1.7333333333333329</v>
      </c>
      <c r="AD301" s="353">
        <f t="shared" si="537"/>
        <v>0.28800000000000003</v>
      </c>
      <c r="AE301" s="136"/>
      <c r="AF301" s="137"/>
      <c r="AG301" s="137">
        <f t="shared" si="538"/>
        <v>0</v>
      </c>
      <c r="AH301" s="136"/>
      <c r="AI301" s="132">
        <f t="shared" si="531"/>
        <v>6</v>
      </c>
      <c r="AJ301" s="70">
        <f>(H301*3*AK301)*2*L301/1000</f>
        <v>51.84</v>
      </c>
      <c r="AK301" s="50">
        <v>2</v>
      </c>
      <c r="AL301" s="69" t="str">
        <f t="shared" si="539"/>
        <v>15</v>
      </c>
      <c r="AN301" s="66"/>
      <c r="AP301" s="146">
        <f>(VLOOKUP(F301,Terasehind!$A$2:$B$171,2,FALSE))</f>
        <v>0.92</v>
      </c>
      <c r="AQ301" s="50">
        <f>(VLOOKUP(F301,Terasehind!$A$2:$C$171,3,FALSE))</f>
        <v>1.1000000000000001</v>
      </c>
      <c r="AR301" s="138">
        <f t="shared" si="533"/>
        <v>87.856496640000017</v>
      </c>
      <c r="AS301"/>
      <c r="AT301"/>
      <c r="AU301"/>
      <c r="AV301"/>
      <c r="AW301"/>
      <c r="AX301"/>
      <c r="AY301"/>
      <c r="AZ301"/>
      <c r="BA301" s="188">
        <f t="shared" ref="BA301:BA302" si="540">(H301*2+J301*2)*2*2/60/1000*L301</f>
        <v>1.6</v>
      </c>
      <c r="BB301" s="189"/>
      <c r="BC301" s="57"/>
      <c r="BD301" s="57"/>
      <c r="BE301" s="57"/>
      <c r="BF301" s="57"/>
      <c r="BG301" s="57"/>
      <c r="BH301" s="57"/>
      <c r="BI301" s="57"/>
      <c r="BJ301" s="57"/>
      <c r="BK301" s="109"/>
      <c r="BL301" s="109"/>
      <c r="BM301" s="109"/>
      <c r="BN301" s="83"/>
      <c r="BP301" s="83"/>
      <c r="BQ301" s="83"/>
    </row>
    <row r="302" spans="1:69" s="50" customFormat="1" x14ac:dyDescent="0.25">
      <c r="A302" s="116">
        <f t="shared" si="534"/>
        <v>2.2608000000000001</v>
      </c>
      <c r="B302" s="116">
        <f t="shared" si="535"/>
        <v>27.129600000000003</v>
      </c>
      <c r="C302" s="118" t="s">
        <v>489</v>
      </c>
      <c r="D302" s="117" t="s">
        <v>85</v>
      </c>
      <c r="E302" s="117"/>
      <c r="F302" s="355" t="s">
        <v>87</v>
      </c>
      <c r="G302" s="117" t="s">
        <v>83</v>
      </c>
      <c r="H302" s="119">
        <v>120</v>
      </c>
      <c r="I302" s="118" t="s">
        <v>77</v>
      </c>
      <c r="J302" s="119">
        <v>160</v>
      </c>
      <c r="K302" s="119">
        <v>1</v>
      </c>
      <c r="L302" s="119">
        <f>K$302*L$298</f>
        <v>12</v>
      </c>
      <c r="M302" s="116">
        <f t="shared" si="536"/>
        <v>0.46079999999999999</v>
      </c>
      <c r="N302" s="118" t="s">
        <v>84</v>
      </c>
      <c r="P302" s="118"/>
      <c r="Q302" s="135">
        <v>1</v>
      </c>
      <c r="R302" s="118"/>
      <c r="S302" s="118"/>
      <c r="T302" s="118"/>
      <c r="U302" s="118"/>
      <c r="V302" s="118"/>
      <c r="W302" s="118"/>
      <c r="X302" s="118"/>
      <c r="Y302" s="118"/>
      <c r="Z302" s="118"/>
      <c r="AA302" s="118"/>
      <c r="AB302" s="118" t="s">
        <v>78</v>
      </c>
      <c r="AC302" s="136">
        <f>((((H302+J302)*2/1000)*L302*(5/(VLOOKUP(F302,[2]Plasmalõikus!$A$7:$E$46,2,FALSE)/1000*60)))+(Q302*L302*(5*(VLOOKUP(F302,[2]Plasmalõikus!$A$7:$E$48,3,FALSE))/60/60)))</f>
        <v>0.46111111111111114</v>
      </c>
      <c r="AD302" s="353" t="str">
        <f t="shared" si="537"/>
        <v xml:space="preserve"> </v>
      </c>
      <c r="AE302" s="136"/>
      <c r="AF302" s="137"/>
      <c r="AG302" s="137">
        <f t="shared" si="538"/>
        <v>0</v>
      </c>
      <c r="AH302" s="136"/>
      <c r="AI302" s="132">
        <f t="shared" si="531"/>
        <v>2</v>
      </c>
      <c r="AJ302" s="70">
        <f>(H302*2*AK302)*L302/1000</f>
        <v>5.76</v>
      </c>
      <c r="AK302" s="50">
        <v>2</v>
      </c>
      <c r="AL302" s="69" t="str">
        <f t="shared" si="539"/>
        <v>10</v>
      </c>
      <c r="AN302" s="66"/>
      <c r="AP302" s="146">
        <f>(VLOOKUP(F302,Terasehind!$A$2:$B$171,2,FALSE))</f>
        <v>0.92</v>
      </c>
      <c r="AQ302" s="50">
        <f>(VLOOKUP(F302,Terasehind!$A$2:$C$171,3,FALSE))</f>
        <v>1.1000000000000001</v>
      </c>
      <c r="AR302" s="138">
        <f t="shared" si="533"/>
        <v>27.455155200000011</v>
      </c>
      <c r="AS302"/>
      <c r="AT302"/>
      <c r="AU302"/>
      <c r="AV302"/>
      <c r="AW302"/>
      <c r="AX302"/>
      <c r="AY302"/>
      <c r="AZ302"/>
      <c r="BA302" s="188">
        <f t="shared" si="540"/>
        <v>0.44800000000000006</v>
      </c>
      <c r="BB302" s="189"/>
      <c r="BC302" s="57"/>
      <c r="BD302" s="57"/>
      <c r="BE302" s="57"/>
      <c r="BF302" s="57"/>
      <c r="BG302" s="57"/>
      <c r="BH302" s="57"/>
      <c r="BI302" s="57"/>
      <c r="BJ302" s="57"/>
      <c r="BK302" s="109"/>
      <c r="BL302" s="109"/>
      <c r="BM302" s="109"/>
      <c r="BN302" s="83"/>
      <c r="BP302" s="83"/>
      <c r="BQ302" s="83"/>
    </row>
    <row r="303" spans="1:69" s="50" customFormat="1" x14ac:dyDescent="0.25">
      <c r="A303" s="116"/>
      <c r="B303" s="116"/>
      <c r="C303" s="118"/>
      <c r="D303" s="117"/>
      <c r="E303" s="117"/>
      <c r="F303" s="269"/>
      <c r="G303" s="117"/>
      <c r="H303" s="119"/>
      <c r="I303" s="118"/>
      <c r="J303" s="119"/>
      <c r="K303" s="119"/>
      <c r="L303" s="119"/>
      <c r="M303" s="119"/>
      <c r="N303" s="119"/>
      <c r="O303" s="119"/>
      <c r="P303" s="119"/>
      <c r="Q303" s="119"/>
      <c r="R303" s="118"/>
      <c r="S303" s="118"/>
      <c r="T303" s="118"/>
      <c r="U303" s="118"/>
      <c r="V303" s="118"/>
      <c r="W303" s="118"/>
      <c r="X303" s="118"/>
      <c r="Y303" s="118"/>
      <c r="Z303" s="118"/>
      <c r="AA303" s="118"/>
      <c r="AB303" s="118"/>
      <c r="AC303" s="136"/>
      <c r="AD303" s="136"/>
      <c r="AE303" s="136"/>
      <c r="AF303" s="136"/>
      <c r="AG303" s="136"/>
      <c r="AH303" s="136"/>
      <c r="AI303" s="132"/>
      <c r="AJ303" s="60"/>
      <c r="AN303" s="66"/>
      <c r="AP303" s="146"/>
      <c r="AR303" s="138"/>
      <c r="AT303" s="62"/>
      <c r="AU303" s="62"/>
      <c r="AV303" s="62"/>
      <c r="AW303" s="62"/>
      <c r="AX303" s="62"/>
      <c r="AY303" s="62"/>
      <c r="AZ303"/>
      <c r="BA303" s="192"/>
      <c r="BB303" s="188"/>
      <c r="BC303" s="57"/>
      <c r="BD303" s="57"/>
      <c r="BE303" s="57"/>
      <c r="BF303" s="57"/>
      <c r="BG303" s="57"/>
      <c r="BH303" s="57"/>
      <c r="BI303" s="57"/>
      <c r="BJ303" s="109"/>
      <c r="BK303" s="109"/>
      <c r="BL303" s="109"/>
      <c r="BM303" s="83"/>
      <c r="BO303" s="83"/>
      <c r="BP303" s="83"/>
    </row>
    <row r="304" spans="1:69" s="50" customFormat="1" x14ac:dyDescent="0.25">
      <c r="A304" s="148">
        <f>B304/L304</f>
        <v>199.19264000000004</v>
      </c>
      <c r="B304" s="148">
        <f>SUM(B310,B309,B308,B307,B306,B305,0)</f>
        <v>796.77056000000016</v>
      </c>
      <c r="C304" s="152"/>
      <c r="D304" s="149" t="s">
        <v>76</v>
      </c>
      <c r="E304" s="149"/>
      <c r="F304" s="275" t="s">
        <v>378</v>
      </c>
      <c r="G304" s="174" t="str">
        <f>$G$163</f>
        <v>C3VH</v>
      </c>
      <c r="H304" s="150"/>
      <c r="I304" s="151" t="s">
        <v>77</v>
      </c>
      <c r="J304" s="150">
        <f>J305</f>
        <v>2545</v>
      </c>
      <c r="K304" s="134">
        <v>4</v>
      </c>
      <c r="L304" s="150">
        <f>$L$270*$K$304</f>
        <v>4</v>
      </c>
      <c r="M304" s="148">
        <f>SUM(M310,M309,M308,M307,M306,M305,0)</f>
        <v>11.04956</v>
      </c>
      <c r="N304" s="151"/>
      <c r="O304" s="151"/>
      <c r="P304" s="151"/>
      <c r="Q304" s="151"/>
      <c r="R304" s="120"/>
      <c r="S304" s="120"/>
      <c r="T304" s="120"/>
      <c r="U304" s="120"/>
      <c r="V304" s="120"/>
      <c r="W304" s="118"/>
      <c r="X304" s="118" t="s">
        <v>78</v>
      </c>
      <c r="Y304" s="151">
        <v>4</v>
      </c>
      <c r="Z304" s="151"/>
      <c r="AA304" s="151"/>
      <c r="AB304" s="151"/>
      <c r="AC304" s="148">
        <f>SUM(AC310,AC309,AC308,AC307,AC306,AC305,0)</f>
        <v>2.3937037037037037</v>
      </c>
      <c r="AD304" s="148">
        <f>SUM(AD310,AD309,AD308,AD307,AD306,AD305,0)</f>
        <v>0</v>
      </c>
      <c r="AE304" s="148">
        <f>SUM(AE310,AE309,AE308,AE307,AE306,AE305,0)</f>
        <v>1.2</v>
      </c>
      <c r="AF304" s="148">
        <f>SUM(AF310,AF309,AF308,AF307,AF306,AF305,0)</f>
        <v>1.92</v>
      </c>
      <c r="AG304" s="148">
        <f>SUM(AG310,AG309,AG308,AG307,AG306,AG305,0)</f>
        <v>0</v>
      </c>
      <c r="AH304" s="107">
        <f>SUM(AC304:AG304)</f>
        <v>5.5137037037037038</v>
      </c>
      <c r="AI304" s="107">
        <f>SUM(AI310,AI309,AI308,AI307,AI306,AI305,0)</f>
        <v>6.5333333333333332</v>
      </c>
      <c r="AJ304" s="148">
        <f>SUM(AJ310,AJ309,AJ308,AJ307,AJ306,AJ305,0)</f>
        <v>39.44</v>
      </c>
      <c r="AK304" s="107">
        <f>AJ304*10/60</f>
        <v>6.5733333333333333</v>
      </c>
      <c r="AL304" s="148">
        <f>AH304+AI304+AK304</f>
        <v>18.62037037037037</v>
      </c>
      <c r="AM304" s="148">
        <f>B304/AL304</f>
        <v>42.790263789159631</v>
      </c>
      <c r="AN304" s="148">
        <f>AL304*46</f>
        <v>856.53703703703707</v>
      </c>
      <c r="AO304" s="148">
        <f>AN304/B304</f>
        <v>1.0750109002986217</v>
      </c>
      <c r="AP304" s="148">
        <f>AR304/B304</f>
        <v>1.04699504298954</v>
      </c>
      <c r="AQ304" s="67"/>
      <c r="AR304" s="148">
        <f>SUM(AR310,AR309,AR308,AR307,AR306,AR305,0)</f>
        <v>834.21482672000013</v>
      </c>
      <c r="AT304" s="62"/>
      <c r="AU304" s="62"/>
      <c r="AV304" s="62"/>
      <c r="AW304" s="62"/>
      <c r="AX304" s="62"/>
      <c r="AY304" s="62"/>
      <c r="AZ304"/>
      <c r="BA304" s="148">
        <f>SUM(BA309,BA308,BA307,BA306,BA305,0)</f>
        <v>1.3738666666666668</v>
      </c>
      <c r="BB304" s="188"/>
      <c r="BC304" s="57"/>
      <c r="BD304" s="57"/>
      <c r="BE304" s="57"/>
      <c r="BF304" s="57"/>
      <c r="BG304" s="57"/>
      <c r="BH304" s="57"/>
      <c r="BI304" s="60"/>
    </row>
    <row r="305" spans="1:69" s="50" customFormat="1" x14ac:dyDescent="0.25">
      <c r="A305" s="116">
        <f xml:space="preserve"> 41.5*J305/10^3</f>
        <v>105.61750000000001</v>
      </c>
      <c r="B305" s="116">
        <f>A305*L305</f>
        <v>422.47</v>
      </c>
      <c r="C305" s="299" t="s">
        <v>379</v>
      </c>
      <c r="D305" s="117" t="s">
        <v>76</v>
      </c>
      <c r="E305" s="117"/>
      <c r="F305" s="355" t="s">
        <v>385</v>
      </c>
      <c r="G305" s="140" t="s">
        <v>79</v>
      </c>
      <c r="H305" s="119">
        <v>180</v>
      </c>
      <c r="I305" s="118" t="s">
        <v>77</v>
      </c>
      <c r="J305" s="119">
        <v>2545</v>
      </c>
      <c r="K305" s="50">
        <v>1</v>
      </c>
      <c r="L305" s="119">
        <f>K$305*L$304</f>
        <v>4</v>
      </c>
      <c r="M305" s="131">
        <f xml:space="preserve"> 0.686*J305*L305/10^3</f>
        <v>6.9834800000000001</v>
      </c>
      <c r="N305" s="118"/>
      <c r="O305" s="118"/>
      <c r="P305" s="118" t="s">
        <v>78</v>
      </c>
      <c r="Q305" s="135"/>
      <c r="R305" s="118"/>
      <c r="S305" s="118"/>
      <c r="T305" s="118"/>
      <c r="U305" s="118"/>
      <c r="V305" s="118"/>
      <c r="W305" s="118"/>
      <c r="Y305" s="118"/>
      <c r="Z305" s="118"/>
      <c r="AA305" s="118"/>
      <c r="AB305" s="118" t="s">
        <v>78</v>
      </c>
      <c r="AC305" s="116"/>
      <c r="AD305" s="83"/>
      <c r="AE305" s="136">
        <f t="shared" ref="AE305" si="541">(H305/20/60)*2*L305</f>
        <v>1.2</v>
      </c>
      <c r="AF305" s="137">
        <f>(H305*4)*2*20/60/1000*L305</f>
        <v>1.92</v>
      </c>
      <c r="AG305" s="132">
        <f t="shared" ref="AG305" si="542">Q305*L305*0.5/60</f>
        <v>0</v>
      </c>
      <c r="AH305" s="83"/>
      <c r="AI305" s="132">
        <f t="shared" ref="AI305:AI310" si="543">AL305*L305/60</f>
        <v>0.66666666666666663</v>
      </c>
      <c r="AJ305" s="70">
        <f t="shared" ref="AJ305" si="544">(H305*4*AK305)*2*L305/1000</f>
        <v>5.76</v>
      </c>
      <c r="AK305" s="318">
        <v>1</v>
      </c>
      <c r="AL305" s="69">
        <f>VLOOKUP(F305,[2]Koostamine!$A$12:$P$1612,IF(J305&lt;1499,11,IF(J305&lt;2999,12,IF(J305&lt;5999,13,IF(J305&lt;9999,14,IF(J305&lt;12999,15,IF(J305&gt;13000,16)))))),FALSE)</f>
        <v>10</v>
      </c>
      <c r="AP305" s="146">
        <f>(VLOOKUP(F305,Terasehind!$A$2:$B$171,2,FALSE))</f>
        <v>0.98</v>
      </c>
      <c r="AQ305" s="50">
        <f>(VLOOKUP(F305,Terasehind!$A$2:$C$171,3,FALSE))</f>
        <v>1.1000000000000001</v>
      </c>
      <c r="AR305" s="138">
        <f t="shared" ref="AR305:AR310" si="545">AP305*AQ305*B305</f>
        <v>455.42266000000006</v>
      </c>
      <c r="AT305" s="62"/>
      <c r="AU305" s="62"/>
      <c r="AV305" s="62"/>
      <c r="AW305" s="62"/>
      <c r="AX305" s="62"/>
      <c r="AY305" s="62"/>
      <c r="AZ305"/>
      <c r="BA305" s="188">
        <f>(H305*4)*2*2/60/1000*L305</f>
        <v>0.192</v>
      </c>
      <c r="BB305" s="189"/>
      <c r="BC305" s="57"/>
      <c r="BD305" s="57"/>
      <c r="BE305" s="57"/>
      <c r="BF305" s="57"/>
      <c r="BG305" s="57"/>
      <c r="BH305" s="57"/>
      <c r="BI305" s="57"/>
      <c r="BJ305" s="60"/>
      <c r="BK305" s="57"/>
      <c r="BL305" s="60"/>
      <c r="BM305" s="83"/>
      <c r="BO305" s="109"/>
    </row>
    <row r="306" spans="1:69" s="50" customFormat="1" x14ac:dyDescent="0.25">
      <c r="A306" s="116">
        <f t="shared" ref="A306:A310" si="546">H306*J306*(RIGHT(F306,2))*7.85/(10^6)</f>
        <v>0.63585000000000003</v>
      </c>
      <c r="B306" s="116">
        <f t="shared" ref="B306:B310" si="547">A306*L306</f>
        <v>10.1736</v>
      </c>
      <c r="C306" s="118" t="s">
        <v>80</v>
      </c>
      <c r="D306" s="117" t="s">
        <v>81</v>
      </c>
      <c r="E306" s="117"/>
      <c r="F306" s="355" t="s">
        <v>324</v>
      </c>
      <c r="G306" s="117" t="s">
        <v>83</v>
      </c>
      <c r="H306" s="119">
        <f>H305/2</f>
        <v>90</v>
      </c>
      <c r="I306" s="118" t="s">
        <v>77</v>
      </c>
      <c r="J306" s="119">
        <f>H305</f>
        <v>180</v>
      </c>
      <c r="K306" s="119">
        <v>4</v>
      </c>
      <c r="L306" s="119">
        <f>K$306*L$304</f>
        <v>16</v>
      </c>
      <c r="M306" s="116">
        <f t="shared" ref="M306:M310" si="548">2*H306*J306/10^6*L306</f>
        <v>0.51839999999999997</v>
      </c>
      <c r="N306" s="118" t="s">
        <v>84</v>
      </c>
      <c r="P306" s="118"/>
      <c r="Q306" s="135"/>
      <c r="R306" s="118"/>
      <c r="S306" s="118"/>
      <c r="T306" s="118"/>
      <c r="U306" s="118"/>
      <c r="V306" s="118"/>
      <c r="W306" s="118"/>
      <c r="X306" s="118"/>
      <c r="Y306" s="118"/>
      <c r="Z306" s="118"/>
      <c r="AA306" s="118"/>
      <c r="AB306" s="118" t="s">
        <v>78</v>
      </c>
      <c r="AC306" s="136">
        <f>((((H306+J306)*2/1000)*L306*(5/(VLOOKUP(F306,[2]Plasmalõikus!$A$7:$E$46,2,FALSE)/1000*60)))+(Q306*L306*(5*(VLOOKUP(F306,[2]Plasmalõikus!$A$7:$E$48,3,FALSE))/60/60)))</f>
        <v>0.2</v>
      </c>
      <c r="AD306" s="353" t="str">
        <f t="shared" ref="AD306:AD310" si="549">IF(C306="WQ",0.012*((H306+J306)*2/1000*L306),IF(OR(VALUE(MID(F306,6,10))&gt;=20,H306&gt;300,J306&gt;300),0.012*((H306+J306)*2/1000*L306)," "))</f>
        <v xml:space="preserve"> </v>
      </c>
      <c r="AE306" s="136"/>
      <c r="AF306" s="137"/>
      <c r="AG306" s="137">
        <f t="shared" ref="AG306:AG310" si="550">IF(VALUE(MID(F306,SEARCH(" ",F306)+1,LEN(F306)))&lt;35,0,IF(VALUE(MID(F306,SEARCH(" ",F306)+1,LEN(F306)))&lt;40,3,IF(VALUE(MID(F306,SEARCH(" ",F306)+1,LEN(F306)))&lt;50,4,IF(VALUE(MID(F306,SEARCH(" ",F306)+1,LEN(F306)))&lt;60,5,IF(VALUE(MID(F306,SEARCH(" ",F306)+1,LEN(F306)))&lt;70,6,IF(VALUE(MID(F306,SEARCH(" ",F306)+1,LEN(F306)))&lt;80,7,IF(VALUE(MID(F306,SEARCH(" ",F306)+1,LEN(F306)))&lt;90,8,IF(VALUE(MID(F306,SEARCH(" ",F306)+1,LEN(F306)))&lt;100,9,10))))))))/60*Q306*L306</f>
        <v>0</v>
      </c>
      <c r="AH306" s="136"/>
      <c r="AI306" s="132">
        <f t="shared" si="543"/>
        <v>0.53333333333333333</v>
      </c>
      <c r="AJ306" s="70"/>
      <c r="AK306" s="50">
        <v>2</v>
      </c>
      <c r="AL306" s="69" t="str">
        <f t="shared" ref="AL306:AL310" si="551">IF(AND(Q306&gt;0,A306&lt;3),"10",IF(AND(Q306&gt;0,A306&lt;10),"15",IF(AND(Q306&gt;0,A306&lt;20),"20",IF(AND(Q306&gt;0,A306&lt;500),"30",IF(AND(Q306=0,A306&lt;3),"2",IF(AND(Q306=0,A306&lt;10),"5",IF(AND(Q306=0,A306&lt;20),"10",IF(AND(Q306=0,A306&lt;500),"20","2"))))))))</f>
        <v>2</v>
      </c>
      <c r="AN306" s="66"/>
      <c r="AP306" s="146">
        <f>(VLOOKUP(F306,Terasehind!$A$2:$B$171,2,FALSE))</f>
        <v>0.92</v>
      </c>
      <c r="AQ306" s="50">
        <f>(VLOOKUP(F306,Terasehind!$A$2:$C$171,3,FALSE))</f>
        <v>1.1000000000000001</v>
      </c>
      <c r="AR306" s="138">
        <f t="shared" si="545"/>
        <v>10.295683200000003</v>
      </c>
      <c r="AS306"/>
      <c r="AT306"/>
      <c r="AU306"/>
      <c r="AV306"/>
      <c r="AW306"/>
      <c r="AX306"/>
      <c r="AY306"/>
      <c r="AZ306"/>
      <c r="BA306" s="188"/>
      <c r="BB306" s="189"/>
      <c r="BC306" s="57"/>
      <c r="BD306" s="57"/>
      <c r="BE306" s="57"/>
      <c r="BF306" s="57"/>
      <c r="BG306" s="57"/>
      <c r="BH306" s="57"/>
      <c r="BI306" s="57"/>
      <c r="BJ306" s="57"/>
      <c r="BK306" s="109"/>
      <c r="BL306" s="109"/>
      <c r="BM306" s="109"/>
      <c r="BN306" s="83"/>
      <c r="BP306" s="83"/>
      <c r="BQ306" s="83"/>
    </row>
    <row r="307" spans="1:69" s="50" customFormat="1" x14ac:dyDescent="0.25">
      <c r="A307" s="116">
        <f t="shared" ref="A307" si="552">H307*J307*(RIGHT(F307,2))*7.85/(10^6)</f>
        <v>43.65699</v>
      </c>
      <c r="B307" s="116">
        <f t="shared" ref="B307" si="553">A307*L307</f>
        <v>174.62796</v>
      </c>
      <c r="C307" s="118"/>
      <c r="D307" s="117" t="s">
        <v>85</v>
      </c>
      <c r="E307" s="117"/>
      <c r="F307" s="355" t="s">
        <v>89</v>
      </c>
      <c r="G307" s="117" t="s">
        <v>83</v>
      </c>
      <c r="H307" s="119">
        <v>310</v>
      </c>
      <c r="I307" s="118" t="s">
        <v>77</v>
      </c>
      <c r="J307" s="119">
        <v>598</v>
      </c>
      <c r="K307" s="119">
        <v>1</v>
      </c>
      <c r="L307" s="119">
        <f>K$307*L$304</f>
        <v>4</v>
      </c>
      <c r="M307" s="116">
        <f t="shared" ref="M307" si="554">2*H307*J307/10^6*L307</f>
        <v>1.4830399999999999</v>
      </c>
      <c r="N307" s="118" t="s">
        <v>84</v>
      </c>
      <c r="P307" s="118"/>
      <c r="Q307" s="135">
        <v>4</v>
      </c>
      <c r="R307" s="118"/>
      <c r="S307" s="118"/>
      <c r="T307" s="118"/>
      <c r="U307" s="118"/>
      <c r="V307" s="118"/>
      <c r="W307" s="118"/>
      <c r="X307" s="118"/>
      <c r="Y307" s="118"/>
      <c r="Z307" s="118"/>
      <c r="AA307" s="118"/>
      <c r="AB307" s="118" t="s">
        <v>78</v>
      </c>
      <c r="AC307" s="136">
        <f>((((H307+J307)*2/1000)*L307*(5/(VLOOKUP(F307,[2]Plasmalõikus!$A$7:$E$46,2,FALSE)/1000*60)))+(Q307*L307*(5*(VLOOKUP(F307,[2]Plasmalõikus!$A$7:$E$48,3,FALSE))/60/60)))</f>
        <v>0.94888888888888889</v>
      </c>
      <c r="AD307" s="353"/>
      <c r="AE307" s="136"/>
      <c r="AF307" s="137"/>
      <c r="AG307" s="137">
        <f t="shared" ref="AG307" si="555">IF(VALUE(MID(F307,SEARCH(" ",F307)+1,LEN(F307)))&lt;35,0,IF(VALUE(MID(F307,SEARCH(" ",F307)+1,LEN(F307)))&lt;40,3,IF(VALUE(MID(F307,SEARCH(" ",F307)+1,LEN(F307)))&lt;50,4,IF(VALUE(MID(F307,SEARCH(" ",F307)+1,LEN(F307)))&lt;60,5,IF(VALUE(MID(F307,SEARCH(" ",F307)+1,LEN(F307)))&lt;70,6,IF(VALUE(MID(F307,SEARCH(" ",F307)+1,LEN(F307)))&lt;80,7,IF(VALUE(MID(F307,SEARCH(" ",F307)+1,LEN(F307)))&lt;90,8,IF(VALUE(MID(F307,SEARCH(" ",F307)+1,LEN(F307)))&lt;100,9,10))))))))/60*Q307*L307</f>
        <v>0</v>
      </c>
      <c r="AH307" s="136"/>
      <c r="AI307" s="132">
        <f t="shared" ref="AI307" si="556">AL307*L307/60</f>
        <v>2</v>
      </c>
      <c r="AJ307" s="70">
        <f>(H307*3*AK307)*2*L307/1000</f>
        <v>14.88</v>
      </c>
      <c r="AK307" s="50">
        <v>2</v>
      </c>
      <c r="AL307" s="69" t="str">
        <f t="shared" si="551"/>
        <v>30</v>
      </c>
      <c r="AN307" s="66"/>
      <c r="AP307" s="146">
        <f>(VLOOKUP(F307,Terasehind!$A$2:$B$171,2,FALSE))</f>
        <v>0.92</v>
      </c>
      <c r="AQ307" s="50">
        <f>(VLOOKUP(F307,Terasehind!$A$2:$C$171,3,FALSE))</f>
        <v>1.1000000000000001</v>
      </c>
      <c r="AR307" s="138">
        <f t="shared" ref="AR307" si="557">AP307*AQ307*B307</f>
        <v>176.72349552000003</v>
      </c>
      <c r="AS307"/>
      <c r="AT307"/>
      <c r="AU307"/>
      <c r="AV307"/>
      <c r="AW307"/>
      <c r="AX307"/>
      <c r="AY307"/>
      <c r="AZ307"/>
      <c r="BA307" s="188">
        <f t="shared" ref="BA307:BA310" si="558">(H307*2+J307*2)*2*2/60/1000*L307</f>
        <v>0.48426666666666668</v>
      </c>
      <c r="BB307" s="189"/>
      <c r="BC307" s="57"/>
      <c r="BD307" s="57"/>
      <c r="BE307" s="57"/>
      <c r="BF307" s="57"/>
      <c r="BG307" s="57"/>
      <c r="BH307" s="57"/>
      <c r="BI307" s="57"/>
      <c r="BJ307" s="57"/>
      <c r="BK307" s="109"/>
      <c r="BL307" s="109"/>
      <c r="BM307" s="109"/>
      <c r="BN307" s="83"/>
      <c r="BP307" s="83"/>
      <c r="BQ307" s="83"/>
    </row>
    <row r="308" spans="1:69" s="50" customFormat="1" x14ac:dyDescent="0.25">
      <c r="A308" s="116">
        <f t="shared" si="546"/>
        <v>42.464575000000004</v>
      </c>
      <c r="B308" s="116">
        <f t="shared" si="547"/>
        <v>169.85830000000001</v>
      </c>
      <c r="C308" s="118"/>
      <c r="D308" s="117" t="s">
        <v>85</v>
      </c>
      <c r="E308" s="117"/>
      <c r="F308" s="355" t="s">
        <v>90</v>
      </c>
      <c r="G308" s="117" t="s">
        <v>83</v>
      </c>
      <c r="H308" s="119">
        <v>310</v>
      </c>
      <c r="I308" s="118" t="s">
        <v>77</v>
      </c>
      <c r="J308" s="119">
        <v>698</v>
      </c>
      <c r="K308" s="119">
        <v>1</v>
      </c>
      <c r="L308" s="119">
        <f>K$308*L$304</f>
        <v>4</v>
      </c>
      <c r="M308" s="116">
        <f t="shared" si="548"/>
        <v>1.7310399999999999</v>
      </c>
      <c r="N308" s="118" t="s">
        <v>84</v>
      </c>
      <c r="P308" s="118"/>
      <c r="Q308" s="135">
        <v>4</v>
      </c>
      <c r="R308" s="118"/>
      <c r="S308" s="118"/>
      <c r="T308" s="118"/>
      <c r="U308" s="118"/>
      <c r="V308" s="118"/>
      <c r="W308" s="118"/>
      <c r="X308" s="118"/>
      <c r="Y308" s="118"/>
      <c r="Z308" s="118"/>
      <c r="AA308" s="118"/>
      <c r="AB308" s="118" t="s">
        <v>78</v>
      </c>
      <c r="AC308" s="136">
        <f>((((H308+J308)*2/1000)*L308*(5/(VLOOKUP(F308,[2]Plasmalõikus!$A$7:$E$46,2,FALSE)/1000*60)))+(Q308*L308*(5*(VLOOKUP(F308,[2]Plasmalõikus!$A$7:$E$48,3,FALSE))/60/60)))</f>
        <v>0.88</v>
      </c>
      <c r="AD308" s="353"/>
      <c r="AE308" s="136"/>
      <c r="AF308" s="137"/>
      <c r="AG308" s="137">
        <f t="shared" si="550"/>
        <v>0</v>
      </c>
      <c r="AH308" s="136"/>
      <c r="AI308" s="132">
        <f t="shared" si="543"/>
        <v>2</v>
      </c>
      <c r="AJ308" s="70">
        <f>(H308*3*AK308)*2*L308/1000</f>
        <v>14.88</v>
      </c>
      <c r="AK308" s="50">
        <v>2</v>
      </c>
      <c r="AL308" s="69" t="str">
        <f t="shared" si="551"/>
        <v>30</v>
      </c>
      <c r="AN308" s="66"/>
      <c r="AP308" s="146">
        <f>(VLOOKUP(F308,Terasehind!$A$2:$B$171,2,FALSE))</f>
        <v>0.92</v>
      </c>
      <c r="AQ308" s="50">
        <f>(VLOOKUP(F308,Terasehind!$A$2:$C$171,3,FALSE))</f>
        <v>1.1000000000000001</v>
      </c>
      <c r="AR308" s="138">
        <f t="shared" si="545"/>
        <v>171.89659960000006</v>
      </c>
      <c r="AS308"/>
      <c r="AT308"/>
      <c r="AU308"/>
      <c r="AV308"/>
      <c r="AW308"/>
      <c r="AX308"/>
      <c r="AY308"/>
      <c r="AZ308"/>
      <c r="BA308" s="188">
        <f t="shared" si="558"/>
        <v>0.53760000000000008</v>
      </c>
      <c r="BB308" s="189"/>
      <c r="BC308" s="57"/>
      <c r="BD308" s="57"/>
      <c r="BE308" s="57"/>
      <c r="BF308" s="57"/>
      <c r="BG308" s="57"/>
      <c r="BH308" s="57"/>
      <c r="BI308" s="57"/>
      <c r="BJ308" s="57"/>
      <c r="BK308" s="109"/>
      <c r="BL308" s="109"/>
      <c r="BM308" s="109"/>
      <c r="BN308" s="83"/>
      <c r="BP308" s="83"/>
      <c r="BQ308" s="83"/>
    </row>
    <row r="309" spans="1:69" s="50" customFormat="1" x14ac:dyDescent="0.25">
      <c r="A309" s="116">
        <f t="shared" si="546"/>
        <v>2.649375</v>
      </c>
      <c r="B309" s="116">
        <f t="shared" si="547"/>
        <v>10.5975</v>
      </c>
      <c r="C309" s="118"/>
      <c r="D309" s="117" t="s">
        <v>88</v>
      </c>
      <c r="E309" s="117"/>
      <c r="F309" s="355" t="s">
        <v>87</v>
      </c>
      <c r="G309" s="117" t="s">
        <v>83</v>
      </c>
      <c r="H309" s="119">
        <v>150</v>
      </c>
      <c r="I309" s="118" t="s">
        <v>77</v>
      </c>
      <c r="J309" s="119">
        <v>150</v>
      </c>
      <c r="K309" s="119">
        <v>1</v>
      </c>
      <c r="L309" s="119">
        <f>K$309*L$304</f>
        <v>4</v>
      </c>
      <c r="M309" s="116">
        <f t="shared" si="548"/>
        <v>0.18</v>
      </c>
      <c r="N309" s="118" t="s">
        <v>84</v>
      </c>
      <c r="P309" s="118"/>
      <c r="Q309" s="135">
        <v>2</v>
      </c>
      <c r="R309" s="118"/>
      <c r="S309" s="118"/>
      <c r="T309" s="118"/>
      <c r="U309" s="118"/>
      <c r="V309" s="118"/>
      <c r="W309" s="118"/>
      <c r="X309" s="118"/>
      <c r="Y309" s="118"/>
      <c r="Z309" s="118"/>
      <c r="AA309" s="118"/>
      <c r="AB309" s="118" t="s">
        <v>78</v>
      </c>
      <c r="AC309" s="136">
        <f>((((H309+J309)*2/1000)*L309*(5/(VLOOKUP(F309,[2]Plasmalõikus!$A$7:$E$46,2,FALSE)/1000*60)))+(Q309*L309*(5*(VLOOKUP(F309,[2]Plasmalõikus!$A$7:$E$48,3,FALSE))/60/60)))</f>
        <v>0.21111111111111111</v>
      </c>
      <c r="AD309" s="353" t="str">
        <f t="shared" si="549"/>
        <v xml:space="preserve"> </v>
      </c>
      <c r="AE309" s="136"/>
      <c r="AF309" s="137"/>
      <c r="AG309" s="137">
        <f t="shared" si="550"/>
        <v>0</v>
      </c>
      <c r="AH309" s="136"/>
      <c r="AI309" s="132">
        <f t="shared" si="543"/>
        <v>0.66666666666666663</v>
      </c>
      <c r="AJ309" s="70">
        <f>(J309*2*AK309+100*2*AK309)*L309/1000</f>
        <v>2</v>
      </c>
      <c r="AK309" s="50">
        <v>1</v>
      </c>
      <c r="AL309" s="69" t="str">
        <f t="shared" si="551"/>
        <v>10</v>
      </c>
      <c r="AN309" s="66"/>
      <c r="AP309" s="146">
        <f>(VLOOKUP(F309,Terasehind!$A$2:$B$171,2,FALSE))</f>
        <v>0.92</v>
      </c>
      <c r="AQ309" s="50">
        <f>(VLOOKUP(F309,Terasehind!$A$2:$C$171,3,FALSE))</f>
        <v>1.1000000000000001</v>
      </c>
      <c r="AR309" s="138">
        <f t="shared" si="545"/>
        <v>10.724670000000003</v>
      </c>
      <c r="AS309"/>
      <c r="AT309"/>
      <c r="AU309"/>
      <c r="AV309"/>
      <c r="AW309"/>
      <c r="AX309"/>
      <c r="AY309"/>
      <c r="AZ309"/>
      <c r="BA309" s="188">
        <f t="shared" si="558"/>
        <v>0.16</v>
      </c>
      <c r="BB309" s="189"/>
      <c r="BC309" s="57"/>
      <c r="BD309" s="57"/>
      <c r="BE309" s="57"/>
      <c r="BF309" s="57"/>
      <c r="BG309" s="57"/>
      <c r="BH309" s="57"/>
      <c r="BI309" s="57"/>
      <c r="BJ309" s="57"/>
      <c r="BK309" s="109"/>
      <c r="BL309" s="109"/>
      <c r="BM309" s="109"/>
      <c r="BN309" s="83"/>
      <c r="BP309" s="83"/>
      <c r="BQ309" s="83"/>
    </row>
    <row r="310" spans="1:69" s="50" customFormat="1" x14ac:dyDescent="0.25">
      <c r="A310" s="116">
        <f t="shared" si="546"/>
        <v>2.2608000000000001</v>
      </c>
      <c r="B310" s="116">
        <f t="shared" si="547"/>
        <v>9.0432000000000006</v>
      </c>
      <c r="C310" s="118" t="s">
        <v>489</v>
      </c>
      <c r="D310" s="117" t="s">
        <v>85</v>
      </c>
      <c r="E310" s="117"/>
      <c r="F310" s="355" t="s">
        <v>87</v>
      </c>
      <c r="G310" s="117" t="s">
        <v>83</v>
      </c>
      <c r="H310" s="119">
        <v>120</v>
      </c>
      <c r="I310" s="118" t="s">
        <v>77</v>
      </c>
      <c r="J310" s="119">
        <v>160</v>
      </c>
      <c r="K310" s="119">
        <v>1</v>
      </c>
      <c r="L310" s="119">
        <f>K$310*L$304</f>
        <v>4</v>
      </c>
      <c r="M310" s="116">
        <f t="shared" si="548"/>
        <v>0.15359999999999999</v>
      </c>
      <c r="N310" s="118" t="s">
        <v>84</v>
      </c>
      <c r="P310" s="118"/>
      <c r="Q310" s="135">
        <v>1</v>
      </c>
      <c r="R310" s="118"/>
      <c r="S310" s="118"/>
      <c r="T310" s="118"/>
      <c r="U310" s="118"/>
      <c r="V310" s="118"/>
      <c r="W310" s="118"/>
      <c r="X310" s="118"/>
      <c r="Y310" s="118"/>
      <c r="Z310" s="118"/>
      <c r="AA310" s="118"/>
      <c r="AB310" s="118" t="s">
        <v>78</v>
      </c>
      <c r="AC310" s="136">
        <f>((((H310+J310)*2/1000)*L310*(5/(VLOOKUP(F310,[2]Plasmalõikus!$A$7:$E$46,2,FALSE)/1000*60)))+(Q310*L310*(5*(VLOOKUP(F310,[2]Plasmalõikus!$A$7:$E$48,3,FALSE))/60/60)))</f>
        <v>0.15370370370370373</v>
      </c>
      <c r="AD310" s="353" t="str">
        <f t="shared" si="549"/>
        <v xml:space="preserve"> </v>
      </c>
      <c r="AE310" s="136"/>
      <c r="AF310" s="137"/>
      <c r="AG310" s="137">
        <f t="shared" si="550"/>
        <v>0</v>
      </c>
      <c r="AH310" s="136"/>
      <c r="AI310" s="132">
        <f t="shared" si="543"/>
        <v>0.66666666666666663</v>
      </c>
      <c r="AJ310" s="70">
        <f>(H310*2*AK310)*L310/1000</f>
        <v>1.92</v>
      </c>
      <c r="AK310" s="50">
        <v>2</v>
      </c>
      <c r="AL310" s="69" t="str">
        <f t="shared" si="551"/>
        <v>10</v>
      </c>
      <c r="AN310" s="66"/>
      <c r="AP310" s="146">
        <f>(VLOOKUP(F310,Terasehind!$A$2:$B$171,2,FALSE))</f>
        <v>0.92</v>
      </c>
      <c r="AQ310" s="50">
        <f>(VLOOKUP(F310,Terasehind!$A$2:$C$171,3,FALSE))</f>
        <v>1.1000000000000001</v>
      </c>
      <c r="AR310" s="138">
        <f t="shared" si="545"/>
        <v>9.1517184000000018</v>
      </c>
      <c r="AS310"/>
      <c r="AT310"/>
      <c r="AU310"/>
      <c r="AV310"/>
      <c r="AW310"/>
      <c r="AX310"/>
      <c r="AY310"/>
      <c r="AZ310"/>
      <c r="BA310" s="188">
        <f t="shared" si="558"/>
        <v>0.14933333333333335</v>
      </c>
      <c r="BB310" s="189"/>
      <c r="BC310" s="57"/>
      <c r="BD310" s="57"/>
      <c r="BE310" s="57"/>
      <c r="BF310" s="57"/>
      <c r="BG310" s="57"/>
      <c r="BH310" s="57"/>
      <c r="BI310" s="57"/>
      <c r="BJ310" s="57"/>
      <c r="BK310" s="109"/>
      <c r="BL310" s="109"/>
      <c r="BM310" s="109"/>
      <c r="BN310" s="83"/>
      <c r="BP310" s="83"/>
      <c r="BQ310" s="83"/>
    </row>
    <row r="311" spans="1:69" customFormat="1" x14ac:dyDescent="0.25"/>
    <row r="312" spans="1:69" s="50" customFormat="1" x14ac:dyDescent="0.25">
      <c r="A312" s="148">
        <f>B312/L312</f>
        <v>255.6114</v>
      </c>
      <c r="B312" s="148">
        <f>SUM(B316,B315,B314,B313,0)</f>
        <v>511.22280000000001</v>
      </c>
      <c r="C312" s="152"/>
      <c r="D312" s="149" t="s">
        <v>76</v>
      </c>
      <c r="E312" s="149"/>
      <c r="F312" s="365"/>
      <c r="G312" s="174" t="str">
        <f>$G$163</f>
        <v>C3VH</v>
      </c>
      <c r="H312" s="150"/>
      <c r="I312" s="151" t="s">
        <v>77</v>
      </c>
      <c r="J312" s="150">
        <f>J313</f>
        <v>7500</v>
      </c>
      <c r="K312" s="134">
        <v>2</v>
      </c>
      <c r="L312" s="150">
        <f>$L$270*$K$312</f>
        <v>2</v>
      </c>
      <c r="M312" s="148">
        <f>SUM(M316,M315,M314,M313,0)</f>
        <v>12.9514</v>
      </c>
      <c r="N312" s="151"/>
      <c r="O312" s="151"/>
      <c r="P312" s="151"/>
      <c r="Q312" s="151"/>
      <c r="R312" s="120"/>
      <c r="S312" s="120"/>
      <c r="T312" s="120"/>
      <c r="U312" s="120"/>
      <c r="V312" s="120"/>
      <c r="W312" s="118"/>
      <c r="X312" s="118" t="s">
        <v>78</v>
      </c>
      <c r="Y312" s="151">
        <v>4</v>
      </c>
      <c r="Z312" s="151"/>
      <c r="AA312" s="151"/>
      <c r="AB312" s="151"/>
      <c r="AC312" s="148">
        <f>SUM(AC316,AC315,AC314,AC313,0)</f>
        <v>0.642989417989418</v>
      </c>
      <c r="AD312" s="148">
        <f>SUM(AD316,AD315,AD314,AD313,0)</f>
        <v>0</v>
      </c>
      <c r="AE312" s="148">
        <f>SUM(AE316,AE315,AE314,AE313,0)</f>
        <v>0.66666666666666663</v>
      </c>
      <c r="AF312" s="148">
        <f>SUM(AF316,AF315,AF314,AF313,0)</f>
        <v>1.0666666666666667</v>
      </c>
      <c r="AG312" s="148">
        <f>SUM(AG316,AG315,AG314,AG313,0)</f>
        <v>0</v>
      </c>
      <c r="AH312" s="107">
        <f>SUM(AC312:AG312)</f>
        <v>2.3763227513227516</v>
      </c>
      <c r="AI312" s="107">
        <f>SUM(AI316,AI315,AI314,AI313,0)</f>
        <v>2.9333333333333331</v>
      </c>
      <c r="AJ312" s="148">
        <f>SUM(AJ316,AJ315,AJ314,AJ313,0)</f>
        <v>14.719999999999999</v>
      </c>
      <c r="AK312" s="107">
        <f>AJ312*10/60</f>
        <v>2.4533333333333331</v>
      </c>
      <c r="AL312" s="148">
        <f>AH312+AI312+AK312</f>
        <v>7.7629894179894183</v>
      </c>
      <c r="AM312" s="148">
        <f>B312/AL312</f>
        <v>65.85385764088862</v>
      </c>
      <c r="AN312" s="148">
        <f>AL312*46</f>
        <v>357.09751322751322</v>
      </c>
      <c r="AO312" s="148">
        <f>AN312/B312</f>
        <v>0.69851640659906644</v>
      </c>
      <c r="AP312" s="148">
        <f>AR312/B312</f>
        <v>1.0314298845826126</v>
      </c>
      <c r="AQ312" s="67"/>
      <c r="AR312" s="148">
        <f>SUM(AR316,AR315,AR314,AR313,0)</f>
        <v>527.29047360000004</v>
      </c>
      <c r="AT312" s="62"/>
      <c r="AU312" s="62"/>
      <c r="AV312" s="62"/>
      <c r="AW312" s="62"/>
      <c r="AX312" s="62"/>
      <c r="AY312" s="62"/>
      <c r="AZ312"/>
      <c r="BA312" s="148">
        <f>SUM(BA315,BA314,BA313,0)</f>
        <v>0.46933333333333338</v>
      </c>
      <c r="BB312" s="188"/>
      <c r="BC312" s="57"/>
      <c r="BD312" s="57"/>
      <c r="BE312" s="57"/>
      <c r="BF312" s="57"/>
      <c r="BG312" s="57"/>
      <c r="BH312" s="57"/>
      <c r="BI312" s="60"/>
    </row>
    <row r="313" spans="1:69" s="50" customFormat="1" x14ac:dyDescent="0.25">
      <c r="A313" s="116">
        <f xml:space="preserve"> 30.1*J313/10^3</f>
        <v>225.75</v>
      </c>
      <c r="B313" s="116">
        <f>A313*L313</f>
        <v>451.5</v>
      </c>
      <c r="C313" s="299" t="s">
        <v>379</v>
      </c>
      <c r="D313" s="117" t="s">
        <v>76</v>
      </c>
      <c r="E313" s="117"/>
      <c r="F313" s="355" t="s">
        <v>458</v>
      </c>
      <c r="G313" s="140" t="s">
        <v>79</v>
      </c>
      <c r="H313" s="119">
        <v>200</v>
      </c>
      <c r="I313" s="118" t="s">
        <v>77</v>
      </c>
      <c r="J313" s="119">
        <v>7500</v>
      </c>
      <c r="K313" s="50">
        <v>1</v>
      </c>
      <c r="L313" s="119">
        <f>K$313*L$312</f>
        <v>2</v>
      </c>
      <c r="M313" s="131">
        <f xml:space="preserve"> 0.783*J313*L313/10^3</f>
        <v>11.744999999999999</v>
      </c>
      <c r="N313" s="118"/>
      <c r="O313" s="118"/>
      <c r="P313" s="118" t="s">
        <v>78</v>
      </c>
      <c r="Q313" s="135"/>
      <c r="R313" s="118"/>
      <c r="S313" s="118"/>
      <c r="T313" s="118"/>
      <c r="U313" s="118"/>
      <c r="V313" s="118"/>
      <c r="W313" s="118"/>
      <c r="Y313" s="118"/>
      <c r="Z313" s="118"/>
      <c r="AA313" s="118"/>
      <c r="AB313" s="118" t="s">
        <v>78</v>
      </c>
      <c r="AC313" s="116"/>
      <c r="AD313" s="83"/>
      <c r="AE313" s="136">
        <f t="shared" ref="AE313" si="559">(H313/20/60)*2*L313</f>
        <v>0.66666666666666663</v>
      </c>
      <c r="AF313" s="137">
        <f>(H313*4)*2*20/60/1000*L313</f>
        <v>1.0666666666666667</v>
      </c>
      <c r="AG313" s="132">
        <f t="shared" ref="AG313" si="560">Q313*L313*0.5/60</f>
        <v>0</v>
      </c>
      <c r="AH313" s="83"/>
      <c r="AI313" s="132">
        <f t="shared" ref="AI313:AI316" si="561">AL313*L313/60</f>
        <v>1</v>
      </c>
      <c r="AJ313" s="70">
        <f t="shared" ref="AJ313" si="562">(H313*4*AK313)*2*L313/1000</f>
        <v>3.2</v>
      </c>
      <c r="AK313" s="318">
        <v>1</v>
      </c>
      <c r="AL313" s="69">
        <f>VLOOKUP(F313,[2]Koostamine!$A$12:$P$1612,IF(J313&lt;1499,11,IF(J313&lt;2999,12,IF(J313&lt;5999,13,IF(J313&lt;9999,14,IF(J313&lt;12999,15,IF(J313&gt;13000,16)))))),FALSE)</f>
        <v>30</v>
      </c>
      <c r="AP313" s="146">
        <f>(VLOOKUP(F313,Terasehind!$A$2:$B$171,2,FALSE))</f>
        <v>0.94</v>
      </c>
      <c r="AQ313" s="50">
        <f>(VLOOKUP(F313,Terasehind!$A$2:$C$171,3,FALSE))</f>
        <v>1.1000000000000001</v>
      </c>
      <c r="AR313" s="138">
        <f t="shared" ref="AR313:AR316" si="563">AP313*AQ313*B313</f>
        <v>466.851</v>
      </c>
      <c r="AT313" s="62"/>
      <c r="AU313" s="62"/>
      <c r="AV313" s="62"/>
      <c r="AW313" s="62"/>
      <c r="AX313" s="62"/>
      <c r="AY313" s="62"/>
      <c r="AZ313"/>
      <c r="BA313" s="188">
        <f>(H313*4)*2*2/60/1000*L313</f>
        <v>0.10666666666666667</v>
      </c>
      <c r="BB313" s="189"/>
      <c r="BC313" s="57"/>
      <c r="BD313" s="57"/>
      <c r="BE313" s="57"/>
      <c r="BF313" s="57"/>
      <c r="BG313" s="57"/>
      <c r="BH313" s="57"/>
      <c r="BI313" s="57"/>
      <c r="BJ313" s="60"/>
      <c r="BK313" s="57"/>
      <c r="BL313" s="60"/>
      <c r="BM313" s="83"/>
      <c r="BO313" s="109"/>
    </row>
    <row r="314" spans="1:69" s="50" customFormat="1" x14ac:dyDescent="0.25">
      <c r="A314" s="116">
        <f t="shared" ref="A314:A316" si="564">H314*J314*(RIGHT(F314,2))*7.85/(10^6)</f>
        <v>0.94199999999999995</v>
      </c>
      <c r="B314" s="116">
        <f t="shared" ref="B314:B316" si="565">A314*L314</f>
        <v>7.5359999999999996</v>
      </c>
      <c r="C314" s="118" t="s">
        <v>80</v>
      </c>
      <c r="D314" s="117" t="s">
        <v>81</v>
      </c>
      <c r="E314" s="117"/>
      <c r="F314" s="355" t="s">
        <v>488</v>
      </c>
      <c r="G314" s="117" t="s">
        <v>83</v>
      </c>
      <c r="H314" s="119">
        <f>H313/2</f>
        <v>100</v>
      </c>
      <c r="I314" s="118" t="s">
        <v>77</v>
      </c>
      <c r="J314" s="119">
        <f>H313</f>
        <v>200</v>
      </c>
      <c r="K314" s="119">
        <v>4</v>
      </c>
      <c r="L314" s="119">
        <f>K$314*L$312</f>
        <v>8</v>
      </c>
      <c r="M314" s="116">
        <f t="shared" ref="M314:M316" si="566">2*H314*J314/10^6*L314</f>
        <v>0.32</v>
      </c>
      <c r="N314" s="118" t="s">
        <v>84</v>
      </c>
      <c r="P314" s="118"/>
      <c r="Q314" s="135"/>
      <c r="R314" s="118"/>
      <c r="S314" s="118"/>
      <c r="T314" s="118"/>
      <c r="U314" s="118"/>
      <c r="V314" s="118"/>
      <c r="W314" s="118"/>
      <c r="X314" s="118"/>
      <c r="Y314" s="118"/>
      <c r="Z314" s="118"/>
      <c r="AA314" s="118"/>
      <c r="AB314" s="118" t="s">
        <v>78</v>
      </c>
      <c r="AC314" s="136">
        <f>((((H314+J314)*2/1000)*L314*(5/(VLOOKUP(F314,[2]Plasmalõikus!$A$7:$E$46,2,FALSE)/1000*60)))+(Q314*L314*(5*(VLOOKUP(F314,[2]Plasmalõikus!$A$7:$E$48,3,FALSE))/60/60)))</f>
        <v>0.11428571428571427</v>
      </c>
      <c r="AD314" s="353" t="str">
        <f t="shared" ref="AD314" si="567">IF(C314="WQ",0.012*((H314+J314)*2/1000*L314),IF(OR(VALUE(MID(F314,6,10))&gt;=20,H314&gt;300,J314&gt;300),0.012*((H314+J314)*2/1000*L314)," "))</f>
        <v xml:space="preserve"> </v>
      </c>
      <c r="AE314" s="136"/>
      <c r="AF314" s="137"/>
      <c r="AG314" s="137">
        <f t="shared" ref="AG314:AG316" si="568">IF(VALUE(MID(F314,SEARCH(" ",F314)+1,LEN(F314)))&lt;35,0,IF(VALUE(MID(F314,SEARCH(" ",F314)+1,LEN(F314)))&lt;40,3,IF(VALUE(MID(F314,SEARCH(" ",F314)+1,LEN(F314)))&lt;50,4,IF(VALUE(MID(F314,SEARCH(" ",F314)+1,LEN(F314)))&lt;60,5,IF(VALUE(MID(F314,SEARCH(" ",F314)+1,LEN(F314)))&lt;70,6,IF(VALUE(MID(F314,SEARCH(" ",F314)+1,LEN(F314)))&lt;80,7,IF(VALUE(MID(F314,SEARCH(" ",F314)+1,LEN(F314)))&lt;90,8,IF(VALUE(MID(F314,SEARCH(" ",F314)+1,LEN(F314)))&lt;100,9,10))))))))/60*Q314*L314</f>
        <v>0</v>
      </c>
      <c r="AH314" s="136"/>
      <c r="AI314" s="132">
        <f t="shared" si="561"/>
        <v>0.26666666666666666</v>
      </c>
      <c r="AJ314" s="70"/>
      <c r="AK314" s="50">
        <v>2</v>
      </c>
      <c r="AL314" s="69" t="str">
        <f t="shared" ref="AL314:AL316" si="569">IF(AND(Q314&gt;0,A314&lt;3),"10",IF(AND(Q314&gt;0,A314&lt;10),"15",IF(AND(Q314&gt;0,A314&lt;20),"20",IF(AND(Q314&gt;0,A314&lt;500),"30",IF(AND(Q314=0,A314&lt;3),"2",IF(AND(Q314=0,A314&lt;10),"5",IF(AND(Q314=0,A314&lt;20),"10",IF(AND(Q314=0,A314&lt;500),"20","2"))))))))</f>
        <v>2</v>
      </c>
      <c r="AN314" s="66"/>
      <c r="AP314" s="146">
        <f>(VLOOKUP(F314,Terasehind!$A$2:$B$171,2,FALSE))</f>
        <v>0.92</v>
      </c>
      <c r="AQ314" s="50">
        <f>(VLOOKUP(F314,Terasehind!$A$2:$C$171,3,FALSE))</f>
        <v>1.1000000000000001</v>
      </c>
      <c r="AR314" s="138">
        <f t="shared" si="563"/>
        <v>7.6264320000000012</v>
      </c>
      <c r="AS314"/>
      <c r="AT314"/>
      <c r="AU314"/>
      <c r="AV314"/>
      <c r="AW314"/>
      <c r="AX314"/>
      <c r="AY314"/>
      <c r="AZ314"/>
      <c r="BA314" s="188"/>
      <c r="BB314" s="189"/>
      <c r="BC314" s="57"/>
      <c r="BD314" s="57"/>
      <c r="BE314" s="57"/>
      <c r="BF314" s="57"/>
      <c r="BG314" s="57"/>
      <c r="BH314" s="57"/>
      <c r="BI314" s="57"/>
      <c r="BJ314" s="57"/>
      <c r="BK314" s="109"/>
      <c r="BL314" s="109"/>
      <c r="BM314" s="109"/>
      <c r="BN314" s="83"/>
      <c r="BP314" s="83"/>
      <c r="BQ314" s="83"/>
    </row>
    <row r="315" spans="1:69" s="50" customFormat="1" x14ac:dyDescent="0.25">
      <c r="A315" s="116">
        <f t="shared" si="564"/>
        <v>11.9163</v>
      </c>
      <c r="B315" s="116">
        <f t="shared" si="565"/>
        <v>47.665199999999999</v>
      </c>
      <c r="C315" s="118"/>
      <c r="D315" s="117" t="s">
        <v>85</v>
      </c>
      <c r="E315" s="117"/>
      <c r="F315" s="355" t="s">
        <v>87</v>
      </c>
      <c r="G315" s="117" t="s">
        <v>83</v>
      </c>
      <c r="H315" s="119">
        <f>H313+20</f>
        <v>220</v>
      </c>
      <c r="I315" s="118" t="s">
        <v>77</v>
      </c>
      <c r="J315" s="119">
        <v>460</v>
      </c>
      <c r="K315" s="119">
        <v>2</v>
      </c>
      <c r="L315" s="119">
        <f>K$315*L$312</f>
        <v>4</v>
      </c>
      <c r="M315" s="116">
        <f t="shared" si="566"/>
        <v>0.80959999999999999</v>
      </c>
      <c r="N315" s="118" t="s">
        <v>84</v>
      </c>
      <c r="P315" s="118"/>
      <c r="Q315" s="135">
        <v>4</v>
      </c>
      <c r="R315" s="118"/>
      <c r="S315" s="118"/>
      <c r="T315" s="118"/>
      <c r="U315" s="118"/>
      <c r="V315" s="118"/>
      <c r="W315" s="118"/>
      <c r="X315" s="118"/>
      <c r="Y315" s="118"/>
      <c r="Z315" s="118"/>
      <c r="AA315" s="118"/>
      <c r="AB315" s="118" t="s">
        <v>78</v>
      </c>
      <c r="AC315" s="136">
        <f>((((H315+J315)*2/1000)*L315*(5/(VLOOKUP(F315,[2]Plasmalõikus!$A$7:$E$46,2,FALSE)/1000*60)))+(Q315*L315*(5*(VLOOKUP(F315,[2]Plasmalõikus!$A$7:$E$48,3,FALSE))/60/60)))</f>
        <v>0.45185185185185189</v>
      </c>
      <c r="AD315" s="353"/>
      <c r="AE315" s="136"/>
      <c r="AF315" s="137"/>
      <c r="AG315" s="137">
        <f t="shared" si="568"/>
        <v>0</v>
      </c>
      <c r="AH315" s="136"/>
      <c r="AI315" s="132">
        <f t="shared" si="561"/>
        <v>1.3333333333333333</v>
      </c>
      <c r="AJ315" s="70">
        <f>(H315*3*AK315)*2*L315/1000</f>
        <v>10.56</v>
      </c>
      <c r="AK315" s="50">
        <v>2</v>
      </c>
      <c r="AL315" s="69" t="str">
        <f t="shared" si="569"/>
        <v>20</v>
      </c>
      <c r="AN315" s="66"/>
      <c r="AP315" s="146">
        <f>(VLOOKUP(F315,Terasehind!$A$2:$B$171,2,FALSE))</f>
        <v>0.92</v>
      </c>
      <c r="AQ315" s="50">
        <f>(VLOOKUP(F315,Terasehind!$A$2:$C$171,3,FALSE))</f>
        <v>1.1000000000000001</v>
      </c>
      <c r="AR315" s="138">
        <f t="shared" si="563"/>
        <v>48.237182400000009</v>
      </c>
      <c r="AS315"/>
      <c r="AT315"/>
      <c r="AU315"/>
      <c r="AV315"/>
      <c r="AW315"/>
      <c r="AX315"/>
      <c r="AY315"/>
      <c r="AZ315"/>
      <c r="BA315" s="188">
        <f t="shared" ref="BA315:BA316" si="570">(H315*2+J315*2)*2*2/60/1000*L315</f>
        <v>0.36266666666666669</v>
      </c>
      <c r="BB315" s="189"/>
      <c r="BC315" s="57"/>
      <c r="BD315" s="57"/>
      <c r="BE315" s="57"/>
      <c r="BF315" s="57"/>
      <c r="BG315" s="57"/>
      <c r="BH315" s="57"/>
      <c r="BI315" s="57"/>
      <c r="BJ315" s="57"/>
      <c r="BK315" s="109"/>
      <c r="BL315" s="109"/>
      <c r="BM315" s="109"/>
      <c r="BN315" s="83"/>
      <c r="BP315" s="83"/>
      <c r="BQ315" s="83"/>
    </row>
    <row r="316" spans="1:69" s="50" customFormat="1" x14ac:dyDescent="0.25">
      <c r="A316" s="116">
        <f t="shared" si="564"/>
        <v>2.2608000000000001</v>
      </c>
      <c r="B316" s="116">
        <f t="shared" si="565"/>
        <v>4.5216000000000003</v>
      </c>
      <c r="C316" s="118" t="s">
        <v>489</v>
      </c>
      <c r="D316" s="117" t="s">
        <v>85</v>
      </c>
      <c r="E316" s="117"/>
      <c r="F316" s="355" t="s">
        <v>87</v>
      </c>
      <c r="G316" s="117" t="s">
        <v>83</v>
      </c>
      <c r="H316" s="119">
        <v>120</v>
      </c>
      <c r="I316" s="118" t="s">
        <v>77</v>
      </c>
      <c r="J316" s="119">
        <v>160</v>
      </c>
      <c r="K316" s="119">
        <v>1</v>
      </c>
      <c r="L316" s="119">
        <f>K$316*L$312</f>
        <v>2</v>
      </c>
      <c r="M316" s="116">
        <f t="shared" si="566"/>
        <v>7.6799999999999993E-2</v>
      </c>
      <c r="N316" s="118" t="s">
        <v>84</v>
      </c>
      <c r="P316" s="118"/>
      <c r="Q316" s="135">
        <v>1</v>
      </c>
      <c r="R316" s="118"/>
      <c r="S316" s="118"/>
      <c r="T316" s="118"/>
      <c r="U316" s="118"/>
      <c r="V316" s="118"/>
      <c r="W316" s="118"/>
      <c r="X316" s="118"/>
      <c r="Y316" s="118"/>
      <c r="Z316" s="118"/>
      <c r="AA316" s="118"/>
      <c r="AB316" s="118" t="s">
        <v>78</v>
      </c>
      <c r="AC316" s="136">
        <f>((((H316+J316)*2/1000)*L316*(5/(VLOOKUP(F316,[2]Plasmalõikus!$A$7:$E$46,2,FALSE)/1000*60)))+(Q316*L316*(5*(VLOOKUP(F316,[2]Plasmalõikus!$A$7:$E$48,3,FALSE))/60/60)))</f>
        <v>7.6851851851851866E-2</v>
      </c>
      <c r="AD316" s="353" t="str">
        <f t="shared" ref="AD316" si="571">IF(C316="WQ",0.012*((H316+J316)*2/1000*L316),IF(OR(VALUE(MID(F316,6,10))&gt;=20,H316&gt;300,J316&gt;300),0.012*((H316+J316)*2/1000*L316)," "))</f>
        <v xml:space="preserve"> </v>
      </c>
      <c r="AE316" s="136"/>
      <c r="AF316" s="137"/>
      <c r="AG316" s="137">
        <f t="shared" si="568"/>
        <v>0</v>
      </c>
      <c r="AH316" s="136"/>
      <c r="AI316" s="132">
        <f t="shared" si="561"/>
        <v>0.33333333333333331</v>
      </c>
      <c r="AJ316" s="70">
        <f>(H316*2*AK316)*L316/1000</f>
        <v>0.96</v>
      </c>
      <c r="AK316" s="50">
        <v>2</v>
      </c>
      <c r="AL316" s="69" t="str">
        <f t="shared" si="569"/>
        <v>10</v>
      </c>
      <c r="AN316" s="66"/>
      <c r="AP316" s="146">
        <f>(VLOOKUP(F316,Terasehind!$A$2:$B$171,2,FALSE))</f>
        <v>0.92</v>
      </c>
      <c r="AQ316" s="50">
        <f>(VLOOKUP(F316,Terasehind!$A$2:$C$171,3,FALSE))</f>
        <v>1.1000000000000001</v>
      </c>
      <c r="AR316" s="138">
        <f t="shared" si="563"/>
        <v>4.5758592000000009</v>
      </c>
      <c r="AS316"/>
      <c r="AT316"/>
      <c r="AU316"/>
      <c r="AV316"/>
      <c r="AW316"/>
      <c r="AX316"/>
      <c r="AY316"/>
      <c r="AZ316"/>
      <c r="BA316" s="188">
        <f t="shared" si="570"/>
        <v>7.4666666666666673E-2</v>
      </c>
      <c r="BB316" s="189"/>
      <c r="BC316" s="57"/>
      <c r="BD316" s="57"/>
      <c r="BE316" s="57"/>
      <c r="BF316" s="57"/>
      <c r="BG316" s="57"/>
      <c r="BH316" s="57"/>
      <c r="BI316" s="57"/>
      <c r="BJ316" s="57"/>
      <c r="BK316" s="109"/>
      <c r="BL316" s="109"/>
      <c r="BM316" s="109"/>
      <c r="BN316" s="83"/>
      <c r="BP316" s="83"/>
      <c r="BQ316" s="83"/>
    </row>
    <row r="317" spans="1:69" s="50" customFormat="1" x14ac:dyDescent="0.25">
      <c r="A317" s="116"/>
      <c r="B317" s="116"/>
      <c r="C317" s="118"/>
      <c r="D317" s="117"/>
      <c r="E317" s="117"/>
      <c r="F317" s="269"/>
      <c r="G317" s="117"/>
      <c r="H317" s="119"/>
      <c r="I317" s="118"/>
      <c r="J317" s="119"/>
      <c r="K317" s="119"/>
      <c r="L317" s="119"/>
      <c r="M317" s="119"/>
      <c r="N317" s="119"/>
      <c r="O317" s="119"/>
      <c r="P317" s="119"/>
      <c r="Q317" s="119"/>
      <c r="R317" s="118"/>
      <c r="S317" s="118"/>
      <c r="T317" s="118"/>
      <c r="U317" s="118"/>
      <c r="V317" s="118"/>
      <c r="W317" s="118"/>
      <c r="X317" s="118"/>
      <c r="Y317" s="118"/>
      <c r="Z317" s="118"/>
      <c r="AA317" s="118"/>
      <c r="AB317" s="118"/>
      <c r="AC317" s="136"/>
      <c r="AD317" s="136"/>
      <c r="AE317" s="136"/>
      <c r="AF317" s="136"/>
      <c r="AG317" s="136"/>
      <c r="AH317" s="136"/>
      <c r="AI317" s="132"/>
      <c r="AJ317" s="60"/>
      <c r="AN317" s="66"/>
      <c r="AP317" s="146"/>
      <c r="AR317" s="138"/>
      <c r="AT317" s="62"/>
      <c r="AU317" s="62"/>
      <c r="AV317" s="62"/>
      <c r="AW317" s="62"/>
      <c r="AX317" s="62"/>
      <c r="AY317" s="62"/>
      <c r="AZ317"/>
      <c r="BA317" s="192"/>
      <c r="BB317" s="188"/>
      <c r="BC317" s="57"/>
      <c r="BD317" s="57"/>
      <c r="BE317" s="57"/>
      <c r="BF317" s="57"/>
      <c r="BG317" s="57"/>
      <c r="BH317" s="57"/>
      <c r="BI317" s="57"/>
      <c r="BJ317" s="109"/>
      <c r="BK317" s="109"/>
      <c r="BL317" s="109"/>
      <c r="BM317" s="83"/>
      <c r="BO317" s="83"/>
      <c r="BP317" s="83"/>
    </row>
    <row r="318" spans="1:69" s="50" customFormat="1" x14ac:dyDescent="0.25">
      <c r="A318" s="148">
        <f>B318/L318</f>
        <v>155.13687999999999</v>
      </c>
      <c r="B318" s="148">
        <f>SUM(B322,B321,B320,B319,0)</f>
        <v>2482.1900799999999</v>
      </c>
      <c r="C318" s="152"/>
      <c r="D318" s="149" t="s">
        <v>76</v>
      </c>
      <c r="E318" s="149"/>
      <c r="F318" s="365" t="s">
        <v>378</v>
      </c>
      <c r="G318" s="174" t="str">
        <f>$G$163</f>
        <v>C3VH</v>
      </c>
      <c r="H318" s="150"/>
      <c r="I318" s="151" t="s">
        <v>77</v>
      </c>
      <c r="J318" s="150">
        <f>J319</f>
        <v>3650</v>
      </c>
      <c r="K318" s="134">
        <v>16</v>
      </c>
      <c r="L318" s="150">
        <f>$L$270*$K$318</f>
        <v>16</v>
      </c>
      <c r="M318" s="148">
        <f>SUM(M322,M321,M320,M319,0)</f>
        <v>55.144800000000004</v>
      </c>
      <c r="N318" s="151"/>
      <c r="O318" s="151"/>
      <c r="P318" s="151"/>
      <c r="Q318" s="151"/>
      <c r="R318" s="120"/>
      <c r="S318" s="120"/>
      <c r="T318" s="120"/>
      <c r="U318" s="120"/>
      <c r="V318" s="120"/>
      <c r="W318" s="118"/>
      <c r="X318" s="118" t="s">
        <v>78</v>
      </c>
      <c r="Y318" s="151">
        <v>4</v>
      </c>
      <c r="Z318" s="151"/>
      <c r="AA318" s="151"/>
      <c r="AB318" s="151"/>
      <c r="AC318" s="148">
        <f>SUM(AC322,AC321,AC320,AC319,0)</f>
        <v>4.8281481481481485</v>
      </c>
      <c r="AD318" s="148">
        <f>SUM(AD322,AD321,AD320,AD319,0)</f>
        <v>0</v>
      </c>
      <c r="AE318" s="148">
        <f>SUM(AE322,AE321,AE320,AE319,0)</f>
        <v>5.333333333333333</v>
      </c>
      <c r="AF318" s="148">
        <f>SUM(AF322,AF321,AF320,AF319,0)</f>
        <v>8.5333333333333332</v>
      </c>
      <c r="AG318" s="148">
        <f>SUM(AG322,AG321,AG320,AG319,0)</f>
        <v>0</v>
      </c>
      <c r="AH318" s="107">
        <f>SUM(AC318:AG318)</f>
        <v>18.694814814814812</v>
      </c>
      <c r="AI318" s="107">
        <f>SUM(AI322,AI321,AI320,AI319,0)</f>
        <v>18.133333333333333</v>
      </c>
      <c r="AJ318" s="148">
        <f>SUM(AJ322,AJ321,AJ320,AJ319,0)</f>
        <v>117.75999999999999</v>
      </c>
      <c r="AK318" s="107">
        <f>AJ318*10/60</f>
        <v>19.626666666666665</v>
      </c>
      <c r="AL318" s="148">
        <f>AH318+AI318+AK318</f>
        <v>56.45481481481481</v>
      </c>
      <c r="AM318" s="148">
        <f>B318/AL318</f>
        <v>43.967730443225655</v>
      </c>
      <c r="AN318" s="148">
        <f>AL318*46</f>
        <v>2596.9214814814814</v>
      </c>
      <c r="AO318" s="148">
        <f>AN318/B318</f>
        <v>1.0462218435267783</v>
      </c>
      <c r="AP318" s="148">
        <f>AR318/B318</f>
        <v>1.0675910367670152</v>
      </c>
      <c r="AQ318" s="67"/>
      <c r="AR318" s="148">
        <f>SUM(AR322,AR321,AR320,AR319,0)</f>
        <v>2649.9638809600001</v>
      </c>
      <c r="AT318" s="62"/>
      <c r="AU318" s="62"/>
      <c r="AV318" s="62"/>
      <c r="AW318" s="62"/>
      <c r="AX318" s="62"/>
      <c r="AY318" s="62"/>
      <c r="AZ318"/>
      <c r="BA318" s="148">
        <f>SUM(BA321,BA320,BA319,0)</f>
        <v>3.754666666666667</v>
      </c>
      <c r="BB318" s="188"/>
      <c r="BC318" s="57"/>
      <c r="BD318" s="57"/>
      <c r="BE318" s="57"/>
      <c r="BF318" s="57"/>
      <c r="BG318" s="57"/>
      <c r="BH318" s="57"/>
      <c r="BI318" s="60"/>
    </row>
    <row r="319" spans="1:69" s="50" customFormat="1" x14ac:dyDescent="0.25">
      <c r="A319" s="116">
        <f xml:space="preserve"> 35.8*J319/10^3</f>
        <v>130.66999999999999</v>
      </c>
      <c r="B319" s="116">
        <f>A319*L319</f>
        <v>2090.7199999999998</v>
      </c>
      <c r="C319" s="299" t="s">
        <v>379</v>
      </c>
      <c r="D319" s="117" t="s">
        <v>76</v>
      </c>
      <c r="E319" s="117"/>
      <c r="F319" s="355" t="s">
        <v>427</v>
      </c>
      <c r="G319" s="140" t="s">
        <v>79</v>
      </c>
      <c r="H319" s="119">
        <v>200</v>
      </c>
      <c r="I319" s="118" t="s">
        <v>77</v>
      </c>
      <c r="J319" s="119">
        <v>3650</v>
      </c>
      <c r="K319" s="50">
        <v>1</v>
      </c>
      <c r="L319" s="119">
        <f>K$319*L$318</f>
        <v>16</v>
      </c>
      <c r="M319" s="131">
        <f xml:space="preserve"> 0.779*J319*L319/10^3</f>
        <v>45.493600000000001</v>
      </c>
      <c r="N319" s="118"/>
      <c r="O319" s="118"/>
      <c r="P319" s="118" t="s">
        <v>78</v>
      </c>
      <c r="Q319" s="135"/>
      <c r="R319" s="118"/>
      <c r="S319" s="118"/>
      <c r="T319" s="118"/>
      <c r="U319" s="118"/>
      <c r="V319" s="118"/>
      <c r="W319" s="118"/>
      <c r="Y319" s="118"/>
      <c r="Z319" s="118"/>
      <c r="AA319" s="118"/>
      <c r="AB319" s="118" t="s">
        <v>78</v>
      </c>
      <c r="AC319" s="116"/>
      <c r="AD319" s="83"/>
      <c r="AE319" s="136">
        <f t="shared" ref="AE319" si="572">(H319/20/60)*2*L319</f>
        <v>5.333333333333333</v>
      </c>
      <c r="AF319" s="137">
        <f>(H319*4)*2*20/60/1000*L319</f>
        <v>8.5333333333333332</v>
      </c>
      <c r="AG319" s="132">
        <f t="shared" ref="AG319" si="573">Q319*L319*0.5/60</f>
        <v>0</v>
      </c>
      <c r="AH319" s="83"/>
      <c r="AI319" s="132">
        <f t="shared" ref="AI319:AI322" si="574">AL319*L319/60</f>
        <v>5.333333333333333</v>
      </c>
      <c r="AJ319" s="70">
        <f t="shared" ref="AJ319" si="575">(H319*4*AK319)*2*L319/1000</f>
        <v>25.6</v>
      </c>
      <c r="AK319" s="318">
        <v>1</v>
      </c>
      <c r="AL319" s="69">
        <f>VLOOKUP(F319,[2]Koostamine!$A$12:$P$1612,IF(J319&lt;1499,11,IF(J319&lt;2999,12,IF(J319&lt;5999,13,IF(J319&lt;9999,14,IF(J319&lt;12999,15,IF(J319&gt;13000,16)))))),FALSE)</f>
        <v>20</v>
      </c>
      <c r="AP319" s="146">
        <f>(VLOOKUP(F319,Terasehind!$A$2:$B$171,2,FALSE))</f>
        <v>0.98</v>
      </c>
      <c r="AQ319" s="50">
        <f>(VLOOKUP(F319,Terasehind!$A$2:$C$171,3,FALSE))</f>
        <v>1.1000000000000001</v>
      </c>
      <c r="AR319" s="138">
        <f t="shared" ref="AR319:AR322" si="576">AP319*AQ319*B319</f>
        <v>2253.7961599999999</v>
      </c>
      <c r="AT319" s="62"/>
      <c r="AU319" s="62"/>
      <c r="AV319" s="62"/>
      <c r="AW319" s="62"/>
      <c r="AX319" s="62"/>
      <c r="AY319" s="62"/>
      <c r="AZ319"/>
      <c r="BA319" s="188">
        <f>(H319*4)*2*2/60/1000*L319</f>
        <v>0.85333333333333339</v>
      </c>
      <c r="BB319" s="189"/>
      <c r="BC319" s="57"/>
      <c r="BD319" s="57"/>
      <c r="BE319" s="57"/>
      <c r="BF319" s="57"/>
      <c r="BG319" s="57"/>
      <c r="BH319" s="57"/>
      <c r="BI319" s="57"/>
      <c r="BJ319" s="60"/>
      <c r="BK319" s="57"/>
      <c r="BL319" s="60"/>
      <c r="BM319" s="83"/>
      <c r="BO319" s="109"/>
    </row>
    <row r="320" spans="1:69" s="50" customFormat="1" x14ac:dyDescent="0.25">
      <c r="A320" s="116">
        <f t="shared" ref="A320:A322" si="577">H320*J320*(RIGHT(F320,2))*7.85/(10^6)</f>
        <v>0.78500000000000003</v>
      </c>
      <c r="B320" s="116">
        <f t="shared" ref="B320:B322" si="578">A320*L320</f>
        <v>50.24</v>
      </c>
      <c r="C320" s="118" t="s">
        <v>80</v>
      </c>
      <c r="D320" s="117" t="s">
        <v>81</v>
      </c>
      <c r="E320" s="117"/>
      <c r="F320" s="355" t="s">
        <v>324</v>
      </c>
      <c r="G320" s="117" t="s">
        <v>83</v>
      </c>
      <c r="H320" s="119">
        <f>H319/2</f>
        <v>100</v>
      </c>
      <c r="I320" s="118" t="s">
        <v>77</v>
      </c>
      <c r="J320" s="119">
        <f>H319</f>
        <v>200</v>
      </c>
      <c r="K320" s="119">
        <v>4</v>
      </c>
      <c r="L320" s="119">
        <f>K$320*L$318</f>
        <v>64</v>
      </c>
      <c r="M320" s="116">
        <f t="shared" ref="M320:M322" si="579">2*H320*J320/10^6*L320</f>
        <v>2.56</v>
      </c>
      <c r="N320" s="118" t="s">
        <v>84</v>
      </c>
      <c r="P320" s="118"/>
      <c r="Q320" s="135"/>
      <c r="R320" s="118"/>
      <c r="S320" s="118"/>
      <c r="T320" s="118"/>
      <c r="U320" s="118"/>
      <c r="V320" s="118"/>
      <c r="W320" s="118"/>
      <c r="X320" s="118"/>
      <c r="Y320" s="118"/>
      <c r="Z320" s="118"/>
      <c r="AA320" s="118"/>
      <c r="AB320" s="118" t="s">
        <v>78</v>
      </c>
      <c r="AC320" s="136">
        <f>((((H320+J320)*2/1000)*L320*(5/(VLOOKUP(F320,[2]Plasmalõikus!$A$7:$E$46,2,FALSE)/1000*60)))+(Q320*L320*(5*(VLOOKUP(F320,[2]Plasmalõikus!$A$7:$E$48,3,FALSE))/60/60)))</f>
        <v>0.88888888888888884</v>
      </c>
      <c r="AD320" s="353" t="str">
        <f t="shared" ref="AD320" si="580">IF(C320="WQ",0.012*((H320+J320)*2/1000*L320),IF(OR(VALUE(MID(F320,6,10))&gt;=20,H320&gt;300,J320&gt;300),0.012*((H320+J320)*2/1000*L320)," "))</f>
        <v xml:space="preserve"> </v>
      </c>
      <c r="AE320" s="136"/>
      <c r="AF320" s="137"/>
      <c r="AG320" s="137">
        <f t="shared" ref="AG320:AG322" si="581">IF(VALUE(MID(F320,SEARCH(" ",F320)+1,LEN(F320)))&lt;35,0,IF(VALUE(MID(F320,SEARCH(" ",F320)+1,LEN(F320)))&lt;40,3,IF(VALUE(MID(F320,SEARCH(" ",F320)+1,LEN(F320)))&lt;50,4,IF(VALUE(MID(F320,SEARCH(" ",F320)+1,LEN(F320)))&lt;60,5,IF(VALUE(MID(F320,SEARCH(" ",F320)+1,LEN(F320)))&lt;70,6,IF(VALUE(MID(F320,SEARCH(" ",F320)+1,LEN(F320)))&lt;80,7,IF(VALUE(MID(F320,SEARCH(" ",F320)+1,LEN(F320)))&lt;90,8,IF(VALUE(MID(F320,SEARCH(" ",F320)+1,LEN(F320)))&lt;100,9,10))))))))/60*Q320*L320</f>
        <v>0</v>
      </c>
      <c r="AH320" s="136"/>
      <c r="AI320" s="132">
        <f t="shared" si="574"/>
        <v>2.1333333333333333</v>
      </c>
      <c r="AJ320" s="70"/>
      <c r="AK320" s="50">
        <v>2</v>
      </c>
      <c r="AL320" s="69" t="str">
        <f t="shared" ref="AL320:AL322" si="582">IF(AND(Q320&gt;0,A320&lt;3),"10",IF(AND(Q320&gt;0,A320&lt;10),"15",IF(AND(Q320&gt;0,A320&lt;20),"20",IF(AND(Q320&gt;0,A320&lt;500),"30",IF(AND(Q320=0,A320&lt;3),"2",IF(AND(Q320=0,A320&lt;10),"5",IF(AND(Q320=0,A320&lt;20),"10",IF(AND(Q320=0,A320&lt;500),"20","2"))))))))</f>
        <v>2</v>
      </c>
      <c r="AN320" s="66"/>
      <c r="AP320" s="146">
        <f>(VLOOKUP(F320,Terasehind!$A$2:$B$171,2,FALSE))</f>
        <v>0.92</v>
      </c>
      <c r="AQ320" s="50">
        <f>(VLOOKUP(F320,Terasehind!$A$2:$C$171,3,FALSE))</f>
        <v>1.1000000000000001</v>
      </c>
      <c r="AR320" s="138">
        <f t="shared" si="576"/>
        <v>50.842880000000015</v>
      </c>
      <c r="AS320"/>
      <c r="AT320"/>
      <c r="AU320"/>
      <c r="AV320"/>
      <c r="AW320"/>
      <c r="AX320"/>
      <c r="AY320"/>
      <c r="AZ320"/>
      <c r="BA320" s="188"/>
      <c r="BB320" s="189"/>
      <c r="BC320" s="57"/>
      <c r="BD320" s="57"/>
      <c r="BE320" s="57"/>
      <c r="BF320" s="57"/>
      <c r="BG320" s="57"/>
      <c r="BH320" s="57"/>
      <c r="BI320" s="57"/>
      <c r="BJ320" s="57"/>
      <c r="BK320" s="109"/>
      <c r="BL320" s="109"/>
      <c r="BM320" s="109"/>
      <c r="BN320" s="83"/>
      <c r="BP320" s="83"/>
      <c r="BQ320" s="83"/>
    </row>
    <row r="321" spans="1:69" s="50" customFormat="1" x14ac:dyDescent="0.25">
      <c r="A321" s="116">
        <f t="shared" si="577"/>
        <v>9.5330399999999997</v>
      </c>
      <c r="B321" s="116">
        <f t="shared" si="578"/>
        <v>305.05727999999999</v>
      </c>
      <c r="C321" s="118"/>
      <c r="D321" s="117" t="s">
        <v>85</v>
      </c>
      <c r="E321" s="117"/>
      <c r="F321" s="355" t="s">
        <v>339</v>
      </c>
      <c r="G321" s="117" t="s">
        <v>83</v>
      </c>
      <c r="H321" s="119">
        <f>H319+20</f>
        <v>220</v>
      </c>
      <c r="I321" s="118" t="s">
        <v>77</v>
      </c>
      <c r="J321" s="119">
        <v>460</v>
      </c>
      <c r="K321" s="119">
        <v>2</v>
      </c>
      <c r="L321" s="119">
        <f>K$321*L$318</f>
        <v>32</v>
      </c>
      <c r="M321" s="116">
        <f t="shared" si="579"/>
        <v>6.4767999999999999</v>
      </c>
      <c r="N321" s="118" t="s">
        <v>84</v>
      </c>
      <c r="P321" s="118"/>
      <c r="Q321" s="135">
        <v>4</v>
      </c>
      <c r="R321" s="118"/>
      <c r="S321" s="118"/>
      <c r="T321" s="118"/>
      <c r="U321" s="118"/>
      <c r="V321" s="118"/>
      <c r="W321" s="118"/>
      <c r="X321" s="118"/>
      <c r="Y321" s="118"/>
      <c r="Z321" s="118"/>
      <c r="AA321" s="118"/>
      <c r="AB321" s="118" t="s">
        <v>78</v>
      </c>
      <c r="AC321" s="136">
        <f>((((H321+J321)*2/1000)*L321*(5/(VLOOKUP(F321,[2]Plasmalõikus!$A$7:$E$46,2,FALSE)/1000*60)))+(Q321*L321*(5*(VLOOKUP(F321,[2]Plasmalõikus!$A$7:$E$48,3,FALSE))/60/60)))</f>
        <v>3.3244444444444445</v>
      </c>
      <c r="AD321" s="353"/>
      <c r="AE321" s="136"/>
      <c r="AF321" s="137"/>
      <c r="AG321" s="137">
        <f t="shared" si="581"/>
        <v>0</v>
      </c>
      <c r="AH321" s="136"/>
      <c r="AI321" s="132">
        <f t="shared" si="574"/>
        <v>8</v>
      </c>
      <c r="AJ321" s="70">
        <f>(H321*3*AK321)*2*L321/1000</f>
        <v>84.48</v>
      </c>
      <c r="AK321" s="50">
        <v>2</v>
      </c>
      <c r="AL321" s="69" t="str">
        <f t="shared" si="582"/>
        <v>15</v>
      </c>
      <c r="AN321" s="66"/>
      <c r="AP321" s="146">
        <f>(VLOOKUP(F321,Terasehind!$A$2:$B$171,2,FALSE))</f>
        <v>0.92</v>
      </c>
      <c r="AQ321" s="50">
        <f>(VLOOKUP(F321,Terasehind!$A$2:$C$171,3,FALSE))</f>
        <v>1.1000000000000001</v>
      </c>
      <c r="AR321" s="138">
        <f t="shared" si="576"/>
        <v>308.71796736000005</v>
      </c>
      <c r="AS321"/>
      <c r="AT321"/>
      <c r="AU321"/>
      <c r="AV321"/>
      <c r="AW321"/>
      <c r="AX321"/>
      <c r="AY321"/>
      <c r="AZ321"/>
      <c r="BA321" s="188">
        <f t="shared" ref="BA321:BA322" si="583">(H321*2+J321*2)*2*2/60/1000*L321</f>
        <v>2.9013333333333335</v>
      </c>
      <c r="BB321" s="189"/>
      <c r="BC321" s="57"/>
      <c r="BD321" s="57"/>
      <c r="BE321" s="57"/>
      <c r="BF321" s="57"/>
      <c r="BG321" s="57"/>
      <c r="BH321" s="57"/>
      <c r="BI321" s="57"/>
      <c r="BJ321" s="57"/>
      <c r="BK321" s="109"/>
      <c r="BL321" s="109"/>
      <c r="BM321" s="109"/>
      <c r="BN321" s="83"/>
      <c r="BP321" s="83"/>
      <c r="BQ321" s="83"/>
    </row>
    <row r="322" spans="1:69" s="50" customFormat="1" x14ac:dyDescent="0.25">
      <c r="A322" s="116">
        <f t="shared" si="577"/>
        <v>2.2608000000000001</v>
      </c>
      <c r="B322" s="116">
        <f t="shared" si="578"/>
        <v>36.172800000000002</v>
      </c>
      <c r="C322" s="118" t="s">
        <v>489</v>
      </c>
      <c r="D322" s="117" t="s">
        <v>85</v>
      </c>
      <c r="E322" s="117"/>
      <c r="F322" s="355" t="s">
        <v>87</v>
      </c>
      <c r="G322" s="117" t="s">
        <v>83</v>
      </c>
      <c r="H322" s="119">
        <v>120</v>
      </c>
      <c r="I322" s="118" t="s">
        <v>77</v>
      </c>
      <c r="J322" s="119">
        <v>160</v>
      </c>
      <c r="K322" s="119">
        <v>1</v>
      </c>
      <c r="L322" s="119">
        <f>K$322*L$318</f>
        <v>16</v>
      </c>
      <c r="M322" s="116">
        <f t="shared" si="579"/>
        <v>0.61439999999999995</v>
      </c>
      <c r="N322" s="118" t="s">
        <v>84</v>
      </c>
      <c r="P322" s="118"/>
      <c r="Q322" s="135">
        <v>1</v>
      </c>
      <c r="R322" s="118"/>
      <c r="S322" s="118"/>
      <c r="T322" s="118"/>
      <c r="U322" s="118"/>
      <c r="V322" s="118"/>
      <c r="W322" s="118"/>
      <c r="X322" s="118"/>
      <c r="Y322" s="118"/>
      <c r="Z322" s="118"/>
      <c r="AA322" s="118"/>
      <c r="AB322" s="118" t="s">
        <v>78</v>
      </c>
      <c r="AC322" s="136">
        <f>((((H322+J322)*2/1000)*L322*(5/(VLOOKUP(F322,[2]Plasmalõikus!$A$7:$E$46,2,FALSE)/1000*60)))+(Q322*L322*(5*(VLOOKUP(F322,[2]Plasmalõikus!$A$7:$E$48,3,FALSE))/60/60)))</f>
        <v>0.61481481481481493</v>
      </c>
      <c r="AD322" s="353" t="str">
        <f t="shared" ref="AD322" si="584">IF(C322="WQ",0.012*((H322+J322)*2/1000*L322),IF(OR(VALUE(MID(F322,6,10))&gt;=20,H322&gt;300,J322&gt;300),0.012*((H322+J322)*2/1000*L322)," "))</f>
        <v xml:space="preserve"> </v>
      </c>
      <c r="AE322" s="136"/>
      <c r="AF322" s="137"/>
      <c r="AG322" s="137">
        <f t="shared" si="581"/>
        <v>0</v>
      </c>
      <c r="AH322" s="136"/>
      <c r="AI322" s="132">
        <f t="shared" si="574"/>
        <v>2.6666666666666665</v>
      </c>
      <c r="AJ322" s="70">
        <f>(H322*2*AK322)*L322/1000</f>
        <v>7.68</v>
      </c>
      <c r="AK322" s="50">
        <v>2</v>
      </c>
      <c r="AL322" s="69" t="str">
        <f t="shared" si="582"/>
        <v>10</v>
      </c>
      <c r="AN322" s="66"/>
      <c r="AP322" s="146">
        <f>(VLOOKUP(F322,Terasehind!$A$2:$B$171,2,FALSE))</f>
        <v>0.92</v>
      </c>
      <c r="AQ322" s="50">
        <f>(VLOOKUP(F322,Terasehind!$A$2:$C$171,3,FALSE))</f>
        <v>1.1000000000000001</v>
      </c>
      <c r="AR322" s="138">
        <f t="shared" si="576"/>
        <v>36.606873600000007</v>
      </c>
      <c r="AS322"/>
      <c r="AT322"/>
      <c r="AU322"/>
      <c r="AV322"/>
      <c r="AW322"/>
      <c r="AX322"/>
      <c r="AY322"/>
      <c r="AZ322"/>
      <c r="BA322" s="188">
        <f t="shared" si="583"/>
        <v>0.59733333333333338</v>
      </c>
      <c r="BB322" s="189"/>
      <c r="BC322" s="57"/>
      <c r="BD322" s="57"/>
      <c r="BE322" s="57"/>
      <c r="BF322" s="57"/>
      <c r="BG322" s="57"/>
      <c r="BH322" s="57"/>
      <c r="BI322" s="57"/>
      <c r="BJ322" s="57"/>
      <c r="BK322" s="109"/>
      <c r="BL322" s="109"/>
      <c r="BM322" s="109"/>
      <c r="BN322" s="83"/>
      <c r="BP322" s="83"/>
      <c r="BQ322" s="83"/>
    </row>
    <row r="323" spans="1:69" s="50" customFormat="1" x14ac:dyDescent="0.25">
      <c r="A323" s="116"/>
      <c r="B323" s="116"/>
      <c r="C323" s="118"/>
      <c r="D323" s="117"/>
      <c r="E323" s="117"/>
      <c r="F323" s="269"/>
      <c r="G323" s="117"/>
      <c r="H323" s="119"/>
      <c r="I323" s="118"/>
      <c r="J323" s="119"/>
      <c r="K323" s="119"/>
      <c r="L323" s="119"/>
      <c r="M323" s="119"/>
      <c r="N323" s="119"/>
      <c r="O323" s="119"/>
      <c r="P323" s="119"/>
      <c r="Q323" s="119"/>
      <c r="R323" s="118"/>
      <c r="S323" s="118"/>
      <c r="T323" s="118"/>
      <c r="U323" s="118"/>
      <c r="V323" s="118"/>
      <c r="W323" s="118"/>
      <c r="X323" s="118"/>
      <c r="Y323" s="118"/>
      <c r="Z323" s="118"/>
      <c r="AA323" s="118"/>
      <c r="AB323" s="118"/>
      <c r="AC323" s="136"/>
      <c r="AD323" s="136"/>
      <c r="AE323" s="136"/>
      <c r="AF323" s="136"/>
      <c r="AG323" s="136"/>
      <c r="AH323" s="136"/>
      <c r="AI323" s="132"/>
      <c r="AJ323" s="60"/>
      <c r="AN323" s="66"/>
      <c r="AP323" s="146"/>
      <c r="AR323" s="138"/>
      <c r="AT323" s="62"/>
      <c r="AU323" s="62"/>
      <c r="AV323" s="62"/>
      <c r="AW323" s="62"/>
      <c r="AX323" s="62"/>
      <c r="AY323" s="62"/>
      <c r="AZ323"/>
      <c r="BA323" s="192"/>
      <c r="BB323" s="188"/>
      <c r="BC323" s="57"/>
      <c r="BD323" s="57"/>
      <c r="BE323" s="57"/>
      <c r="BF323" s="57"/>
      <c r="BG323" s="57"/>
      <c r="BH323" s="57"/>
      <c r="BI323" s="57"/>
      <c r="BJ323" s="109"/>
      <c r="BK323" s="109"/>
      <c r="BL323" s="109"/>
      <c r="BM323" s="83"/>
      <c r="BO323" s="83"/>
      <c r="BP323" s="83"/>
    </row>
    <row r="324" spans="1:69" s="50" customFormat="1" x14ac:dyDescent="0.25">
      <c r="A324" s="148">
        <f>B324/L324</f>
        <v>288.38479999999998</v>
      </c>
      <c r="B324" s="148">
        <f>SUM(B328,B327,B326,B325,0)</f>
        <v>576.76959999999997</v>
      </c>
      <c r="C324" s="152"/>
      <c r="D324" s="149" t="s">
        <v>76</v>
      </c>
      <c r="E324" s="149"/>
      <c r="F324" s="365" t="s">
        <v>378</v>
      </c>
      <c r="G324" s="174" t="str">
        <f>$G$163</f>
        <v>C3VH</v>
      </c>
      <c r="H324" s="150"/>
      <c r="I324" s="151" t="s">
        <v>77</v>
      </c>
      <c r="J324" s="150">
        <f>J325</f>
        <v>5640</v>
      </c>
      <c r="K324" s="134">
        <v>2</v>
      </c>
      <c r="L324" s="150">
        <f>$L$270*$K$324</f>
        <v>2</v>
      </c>
      <c r="M324" s="148">
        <f>SUM(M328,M327,M326,M325,0)</f>
        <v>9.7412799999999997</v>
      </c>
      <c r="N324" s="151"/>
      <c r="O324" s="151"/>
      <c r="P324" s="151"/>
      <c r="Q324" s="151"/>
      <c r="R324" s="120"/>
      <c r="S324" s="120"/>
      <c r="T324" s="120"/>
      <c r="U324" s="120"/>
      <c r="V324" s="120"/>
      <c r="W324" s="118"/>
      <c r="X324" s="118" t="s">
        <v>78</v>
      </c>
      <c r="Y324" s="151">
        <v>4</v>
      </c>
      <c r="Z324" s="151"/>
      <c r="AA324" s="151"/>
      <c r="AB324" s="151"/>
      <c r="AC324" s="148">
        <f>SUM(AC328,AC327,AC326,AC325,0)</f>
        <v>0.61759259259259269</v>
      </c>
      <c r="AD324" s="148">
        <f>SUM(AD328,AD327,AD326,AD325,0)</f>
        <v>0</v>
      </c>
      <c r="AE324" s="148">
        <f>SUM(AE328,AE327,AE326,AE325,0)</f>
        <v>0.66666666666666663</v>
      </c>
      <c r="AF324" s="148">
        <f>SUM(AF328,AF327,AF326,AF325,0)</f>
        <v>1.0666666666666667</v>
      </c>
      <c r="AG324" s="148">
        <f>SUM(AG328,AG327,AG326,AG325,0)</f>
        <v>0</v>
      </c>
      <c r="AH324" s="107">
        <f>SUM(AC324:AG324)</f>
        <v>2.3509259259259263</v>
      </c>
      <c r="AI324" s="107">
        <f>SUM(AI328,AI327,AI326,AI325,0)</f>
        <v>2.5999999999999996</v>
      </c>
      <c r="AJ324" s="148">
        <f>SUM(AJ328,AJ327,AJ326,AJ325,0)</f>
        <v>14.719999999999999</v>
      </c>
      <c r="AK324" s="107">
        <f>AJ324*10/60</f>
        <v>2.4533333333333331</v>
      </c>
      <c r="AL324" s="148">
        <f>AH324+AI324+AK324</f>
        <v>7.4042592592592591</v>
      </c>
      <c r="AM324" s="148">
        <f>B324/AL324</f>
        <v>77.897002225946025</v>
      </c>
      <c r="AN324" s="148">
        <f>AL324*46</f>
        <v>340.59592592592594</v>
      </c>
      <c r="AO324" s="148">
        <f>AN324/B324</f>
        <v>0.59052336656773508</v>
      </c>
      <c r="AP324" s="148">
        <f>AR324/B324</f>
        <v>1.072021055201245</v>
      </c>
      <c r="AQ324" s="67"/>
      <c r="AR324" s="148">
        <f>SUM(AR328,AR327,AR326,AR325,0)</f>
        <v>618.30915519999996</v>
      </c>
      <c r="AT324" s="62"/>
      <c r="AU324" s="62"/>
      <c r="AV324" s="62"/>
      <c r="AW324" s="62"/>
      <c r="AX324" s="62"/>
      <c r="AY324" s="62"/>
      <c r="AZ324"/>
      <c r="BA324" s="148">
        <f>SUM(BA327,BA326,BA325,0)</f>
        <v>0.43733333333333335</v>
      </c>
      <c r="BB324" s="188"/>
      <c r="BC324" s="57"/>
      <c r="BD324" s="57"/>
      <c r="BE324" s="57"/>
      <c r="BF324" s="57"/>
      <c r="BG324" s="57"/>
      <c r="BH324" s="57"/>
      <c r="BI324" s="60"/>
    </row>
    <row r="325" spans="1:69" s="50" customFormat="1" x14ac:dyDescent="0.25">
      <c r="A325" s="116">
        <f xml:space="preserve"> 46.5*J325/10^3</f>
        <v>262.26</v>
      </c>
      <c r="B325" s="116">
        <f>A325*L325</f>
        <v>524.52</v>
      </c>
      <c r="C325" s="299" t="s">
        <v>379</v>
      </c>
      <c r="D325" s="117" t="s">
        <v>76</v>
      </c>
      <c r="E325" s="117"/>
      <c r="F325" s="355" t="s">
        <v>428</v>
      </c>
      <c r="G325" s="140" t="s">
        <v>79</v>
      </c>
      <c r="H325" s="119">
        <v>200</v>
      </c>
      <c r="I325" s="118" t="s">
        <v>77</v>
      </c>
      <c r="J325" s="119">
        <v>5640</v>
      </c>
      <c r="K325" s="50">
        <v>1</v>
      </c>
      <c r="L325" s="119">
        <f>K$325*L$324</f>
        <v>2</v>
      </c>
      <c r="M325" s="131">
        <f xml:space="preserve"> 0.766*J325*L325/10^3</f>
        <v>8.6404800000000002</v>
      </c>
      <c r="N325" s="118"/>
      <c r="O325" s="118"/>
      <c r="P325" s="118" t="s">
        <v>78</v>
      </c>
      <c r="Q325" s="135"/>
      <c r="R325" s="118"/>
      <c r="S325" s="118"/>
      <c r="T325" s="118"/>
      <c r="U325" s="118"/>
      <c r="V325" s="118"/>
      <c r="W325" s="118"/>
      <c r="Y325" s="118"/>
      <c r="Z325" s="118"/>
      <c r="AA325" s="118"/>
      <c r="AB325" s="118" t="s">
        <v>78</v>
      </c>
      <c r="AC325" s="116"/>
      <c r="AD325" s="83"/>
      <c r="AE325" s="136">
        <f t="shared" ref="AE325" si="585">(H325/20/60)*2*L325</f>
        <v>0.66666666666666663</v>
      </c>
      <c r="AF325" s="137">
        <f>(H325*4)*2*20/60/1000*L325</f>
        <v>1.0666666666666667</v>
      </c>
      <c r="AG325" s="132">
        <f t="shared" ref="AG325" si="586">Q325*L325*0.5/60</f>
        <v>0</v>
      </c>
      <c r="AH325" s="83"/>
      <c r="AI325" s="132">
        <f t="shared" ref="AI325:AI328" si="587">AL325*L325/60</f>
        <v>0.66666666666666663</v>
      </c>
      <c r="AJ325" s="70">
        <f t="shared" ref="AJ325" si="588">(H325*4*AK325)*2*L325/1000</f>
        <v>3.2</v>
      </c>
      <c r="AK325" s="318">
        <v>1</v>
      </c>
      <c r="AL325" s="69">
        <f>VLOOKUP(F325,[2]Koostamine!$A$12:$P$1612,IF(J325&lt;1499,11,IF(J325&lt;2999,12,IF(J325&lt;5999,13,IF(J325&lt;9999,14,IF(J325&lt;12999,15,IF(J325&gt;13000,16)))))),FALSE)</f>
        <v>20</v>
      </c>
      <c r="AP325" s="146">
        <f>(VLOOKUP(F325,Terasehind!$A$2:$B$171,2,FALSE))</f>
        <v>0.98</v>
      </c>
      <c r="AQ325" s="50">
        <f>(VLOOKUP(F325,Terasehind!$A$2:$C$171,3,FALSE))</f>
        <v>1.1000000000000001</v>
      </c>
      <c r="AR325" s="138">
        <f t="shared" ref="AR325:AR328" si="589">AP325*AQ325*B325</f>
        <v>565.43255999999997</v>
      </c>
      <c r="AT325" s="62"/>
      <c r="AU325" s="62"/>
      <c r="AV325" s="62"/>
      <c r="AW325" s="62"/>
      <c r="AX325" s="62"/>
      <c r="AY325" s="62"/>
      <c r="AZ325"/>
      <c r="BA325" s="188">
        <f>(H325*4)*2*2/60/1000*L325</f>
        <v>0.10666666666666667</v>
      </c>
      <c r="BB325" s="189"/>
      <c r="BC325" s="57"/>
      <c r="BD325" s="57"/>
      <c r="BE325" s="57"/>
      <c r="BF325" s="57"/>
      <c r="BG325" s="57"/>
      <c r="BH325" s="57"/>
      <c r="BI325" s="57"/>
      <c r="BJ325" s="60"/>
      <c r="BK325" s="57"/>
      <c r="BL325" s="60"/>
      <c r="BM325" s="83"/>
      <c r="BO325" s="109"/>
    </row>
    <row r="326" spans="1:69" s="50" customFormat="1" x14ac:dyDescent="0.25">
      <c r="A326" s="116">
        <f t="shared" ref="A326:A328" si="590">H326*J326*(RIGHT(F326,2))*7.85/(10^6)</f>
        <v>0.78500000000000003</v>
      </c>
      <c r="B326" s="116">
        <f t="shared" ref="B326:B328" si="591">A326*L326</f>
        <v>6.28</v>
      </c>
      <c r="C326" s="118" t="s">
        <v>80</v>
      </c>
      <c r="D326" s="117" t="s">
        <v>81</v>
      </c>
      <c r="E326" s="117"/>
      <c r="F326" s="355" t="s">
        <v>324</v>
      </c>
      <c r="G326" s="117" t="s">
        <v>83</v>
      </c>
      <c r="H326" s="119">
        <f>H325/2</f>
        <v>100</v>
      </c>
      <c r="I326" s="118" t="s">
        <v>77</v>
      </c>
      <c r="J326" s="119">
        <f>H325</f>
        <v>200</v>
      </c>
      <c r="K326" s="119">
        <v>4</v>
      </c>
      <c r="L326" s="119">
        <f>K$326*L$324</f>
        <v>8</v>
      </c>
      <c r="M326" s="116">
        <f t="shared" ref="M326:M328" si="592">2*H326*J326/10^6*L326</f>
        <v>0.32</v>
      </c>
      <c r="N326" s="118" t="s">
        <v>84</v>
      </c>
      <c r="P326" s="118"/>
      <c r="Q326" s="135"/>
      <c r="R326" s="118"/>
      <c r="S326" s="118"/>
      <c r="T326" s="118"/>
      <c r="U326" s="118"/>
      <c r="V326" s="118"/>
      <c r="W326" s="118"/>
      <c r="X326" s="118"/>
      <c r="Y326" s="118"/>
      <c r="Z326" s="118"/>
      <c r="AA326" s="118"/>
      <c r="AB326" s="118" t="s">
        <v>78</v>
      </c>
      <c r="AC326" s="136">
        <f>((((H326+J326)*2/1000)*L326*(5/(VLOOKUP(F326,[2]Plasmalõikus!$A$7:$E$46,2,FALSE)/1000*60)))+(Q326*L326*(5*(VLOOKUP(F326,[2]Plasmalõikus!$A$7:$E$48,3,FALSE))/60/60)))</f>
        <v>0.1111111111111111</v>
      </c>
      <c r="AD326" s="353" t="str">
        <f t="shared" ref="AD326" si="593">IF(C326="WQ",0.012*((H326+J326)*2/1000*L326),IF(OR(VALUE(MID(F326,6,10))&gt;=20,H326&gt;300,J326&gt;300),0.012*((H326+J326)*2/1000*L326)," "))</f>
        <v xml:space="preserve"> </v>
      </c>
      <c r="AE326" s="136"/>
      <c r="AF326" s="137"/>
      <c r="AG326" s="137">
        <f t="shared" ref="AG326:AG328" si="594">IF(VALUE(MID(F326,SEARCH(" ",F326)+1,LEN(F326)))&lt;35,0,IF(VALUE(MID(F326,SEARCH(" ",F326)+1,LEN(F326)))&lt;40,3,IF(VALUE(MID(F326,SEARCH(" ",F326)+1,LEN(F326)))&lt;50,4,IF(VALUE(MID(F326,SEARCH(" ",F326)+1,LEN(F326)))&lt;60,5,IF(VALUE(MID(F326,SEARCH(" ",F326)+1,LEN(F326)))&lt;70,6,IF(VALUE(MID(F326,SEARCH(" ",F326)+1,LEN(F326)))&lt;80,7,IF(VALUE(MID(F326,SEARCH(" ",F326)+1,LEN(F326)))&lt;90,8,IF(VALUE(MID(F326,SEARCH(" ",F326)+1,LEN(F326)))&lt;100,9,10))))))))/60*Q326*L326</f>
        <v>0</v>
      </c>
      <c r="AH326" s="136"/>
      <c r="AI326" s="132">
        <f t="shared" si="587"/>
        <v>0.26666666666666666</v>
      </c>
      <c r="AJ326" s="70"/>
      <c r="AK326" s="50">
        <v>2</v>
      </c>
      <c r="AL326" s="69" t="str">
        <f t="shared" ref="AL326:AL328" si="595">IF(AND(Q326&gt;0,A326&lt;3),"10",IF(AND(Q326&gt;0,A326&lt;10),"15",IF(AND(Q326&gt;0,A326&lt;20),"20",IF(AND(Q326&gt;0,A326&lt;500),"30",IF(AND(Q326=0,A326&lt;3),"2",IF(AND(Q326=0,A326&lt;10),"5",IF(AND(Q326=0,A326&lt;20),"10",IF(AND(Q326=0,A326&lt;500),"20","2"))))))))</f>
        <v>2</v>
      </c>
      <c r="AN326" s="66"/>
      <c r="AP326" s="146">
        <f>(VLOOKUP(F326,Terasehind!$A$2:$B$171,2,FALSE))</f>
        <v>0.92</v>
      </c>
      <c r="AQ326" s="50">
        <f>(VLOOKUP(F326,Terasehind!$A$2:$C$171,3,FALSE))</f>
        <v>1.1000000000000001</v>
      </c>
      <c r="AR326" s="138">
        <f t="shared" si="589"/>
        <v>6.3553600000000019</v>
      </c>
      <c r="AS326"/>
      <c r="AT326"/>
      <c r="AU326"/>
      <c r="AV326"/>
      <c r="AW326"/>
      <c r="AX326"/>
      <c r="AY326"/>
      <c r="AZ326"/>
      <c r="BA326" s="188"/>
      <c r="BB326" s="189"/>
      <c r="BC326" s="57"/>
      <c r="BD326" s="57"/>
      <c r="BE326" s="57"/>
      <c r="BF326" s="57"/>
      <c r="BG326" s="57"/>
      <c r="BH326" s="57"/>
      <c r="BI326" s="57"/>
      <c r="BJ326" s="57"/>
      <c r="BK326" s="109"/>
      <c r="BL326" s="109"/>
      <c r="BM326" s="109"/>
      <c r="BN326" s="83"/>
      <c r="BP326" s="83"/>
      <c r="BQ326" s="83"/>
    </row>
    <row r="327" spans="1:69" s="50" customFormat="1" x14ac:dyDescent="0.25">
      <c r="A327" s="116">
        <f t="shared" si="590"/>
        <v>10.362</v>
      </c>
      <c r="B327" s="116">
        <f t="shared" si="591"/>
        <v>41.448</v>
      </c>
      <c r="C327" s="118"/>
      <c r="D327" s="117" t="s">
        <v>85</v>
      </c>
      <c r="E327" s="117"/>
      <c r="F327" s="355" t="s">
        <v>87</v>
      </c>
      <c r="G327" s="117" t="s">
        <v>83</v>
      </c>
      <c r="H327" s="119">
        <f>H325+20</f>
        <v>220</v>
      </c>
      <c r="I327" s="118" t="s">
        <v>77</v>
      </c>
      <c r="J327" s="119">
        <f>H325*2</f>
        <v>400</v>
      </c>
      <c r="K327" s="119">
        <v>2</v>
      </c>
      <c r="L327" s="119">
        <f>K$327*L$324</f>
        <v>4</v>
      </c>
      <c r="M327" s="116">
        <f t="shared" si="592"/>
        <v>0.70399999999999996</v>
      </c>
      <c r="N327" s="118" t="s">
        <v>84</v>
      </c>
      <c r="P327" s="118"/>
      <c r="Q327" s="135">
        <v>4</v>
      </c>
      <c r="R327" s="118"/>
      <c r="S327" s="118"/>
      <c r="T327" s="118"/>
      <c r="U327" s="118"/>
      <c r="V327" s="118"/>
      <c r="W327" s="118"/>
      <c r="X327" s="118"/>
      <c r="Y327" s="118"/>
      <c r="Z327" s="118"/>
      <c r="AA327" s="118"/>
      <c r="AB327" s="118" t="s">
        <v>78</v>
      </c>
      <c r="AC327" s="136">
        <f>((((H327+J327)*2/1000)*L327*(5/(VLOOKUP(F327,[2]Plasmalõikus!$A$7:$E$46,2,FALSE)/1000*60)))+(Q327*L327*(5*(VLOOKUP(F327,[2]Plasmalõikus!$A$7:$E$48,3,FALSE))/60/60)))</f>
        <v>0.42962962962962964</v>
      </c>
      <c r="AD327" s="353"/>
      <c r="AE327" s="136"/>
      <c r="AF327" s="137"/>
      <c r="AG327" s="137">
        <f t="shared" si="594"/>
        <v>0</v>
      </c>
      <c r="AH327" s="136"/>
      <c r="AI327" s="132">
        <f t="shared" si="587"/>
        <v>1.3333333333333333</v>
      </c>
      <c r="AJ327" s="70">
        <f>(H327*3*AK327)*2*L327/1000</f>
        <v>10.56</v>
      </c>
      <c r="AK327" s="50">
        <v>2</v>
      </c>
      <c r="AL327" s="69" t="str">
        <f t="shared" si="595"/>
        <v>20</v>
      </c>
      <c r="AN327" s="66"/>
      <c r="AP327" s="146">
        <f>(VLOOKUP(F327,Terasehind!$A$2:$B$171,2,FALSE))</f>
        <v>0.92</v>
      </c>
      <c r="AQ327" s="50">
        <f>(VLOOKUP(F327,Terasehind!$A$2:$C$171,3,FALSE))</f>
        <v>1.1000000000000001</v>
      </c>
      <c r="AR327" s="138">
        <f t="shared" si="589"/>
        <v>41.94537600000001</v>
      </c>
      <c r="AS327"/>
      <c r="AT327"/>
      <c r="AU327"/>
      <c r="AV327"/>
      <c r="AW327"/>
      <c r="AX327"/>
      <c r="AY327"/>
      <c r="AZ327"/>
      <c r="BA327" s="188">
        <f t="shared" ref="BA327:BA328" si="596">(H327*2+J327*2)*2*2/60/1000*L327</f>
        <v>0.33066666666666666</v>
      </c>
      <c r="BB327" s="189"/>
      <c r="BC327" s="57"/>
      <c r="BD327" s="57"/>
      <c r="BE327" s="57"/>
      <c r="BF327" s="57"/>
      <c r="BG327" s="57"/>
      <c r="BH327" s="57"/>
      <c r="BI327" s="57"/>
      <c r="BJ327" s="57"/>
      <c r="BK327" s="109"/>
      <c r="BL327" s="109"/>
      <c r="BM327" s="109"/>
      <c r="BN327" s="83"/>
      <c r="BP327" s="83"/>
      <c r="BQ327" s="83"/>
    </row>
    <row r="328" spans="1:69" s="50" customFormat="1" x14ac:dyDescent="0.25">
      <c r="A328" s="116">
        <f t="shared" si="590"/>
        <v>2.2608000000000001</v>
      </c>
      <c r="B328" s="116">
        <f t="shared" si="591"/>
        <v>4.5216000000000003</v>
      </c>
      <c r="C328" s="118" t="s">
        <v>489</v>
      </c>
      <c r="D328" s="117" t="s">
        <v>85</v>
      </c>
      <c r="E328" s="117"/>
      <c r="F328" s="355" t="s">
        <v>87</v>
      </c>
      <c r="G328" s="117" t="s">
        <v>83</v>
      </c>
      <c r="H328" s="119">
        <v>120</v>
      </c>
      <c r="I328" s="118" t="s">
        <v>77</v>
      </c>
      <c r="J328" s="119">
        <v>160</v>
      </c>
      <c r="K328" s="119">
        <v>1</v>
      </c>
      <c r="L328" s="119">
        <f>K$328*L$324</f>
        <v>2</v>
      </c>
      <c r="M328" s="116">
        <f t="shared" si="592"/>
        <v>7.6799999999999993E-2</v>
      </c>
      <c r="N328" s="118" t="s">
        <v>84</v>
      </c>
      <c r="P328" s="118"/>
      <c r="Q328" s="135">
        <v>1</v>
      </c>
      <c r="R328" s="118"/>
      <c r="S328" s="118"/>
      <c r="T328" s="118"/>
      <c r="U328" s="118"/>
      <c r="V328" s="118"/>
      <c r="W328" s="118"/>
      <c r="X328" s="118"/>
      <c r="Y328" s="118"/>
      <c r="Z328" s="118"/>
      <c r="AA328" s="118"/>
      <c r="AB328" s="118" t="s">
        <v>78</v>
      </c>
      <c r="AC328" s="136">
        <f>((((H328+J328)*2/1000)*L328*(5/(VLOOKUP(F328,[2]Plasmalõikus!$A$7:$E$46,2,FALSE)/1000*60)))+(Q328*L328*(5*(VLOOKUP(F328,[2]Plasmalõikus!$A$7:$E$48,3,FALSE))/60/60)))</f>
        <v>7.6851851851851866E-2</v>
      </c>
      <c r="AD328" s="353" t="str">
        <f t="shared" ref="AD328" si="597">IF(C328="WQ",0.012*((H328+J328)*2/1000*L328),IF(OR(VALUE(MID(F328,6,10))&gt;=20,H328&gt;300,J328&gt;300),0.012*((H328+J328)*2/1000*L328)," "))</f>
        <v xml:space="preserve"> </v>
      </c>
      <c r="AE328" s="136"/>
      <c r="AF328" s="137"/>
      <c r="AG328" s="137">
        <f t="shared" si="594"/>
        <v>0</v>
      </c>
      <c r="AH328" s="136"/>
      <c r="AI328" s="132">
        <f t="shared" si="587"/>
        <v>0.33333333333333331</v>
      </c>
      <c r="AJ328" s="70">
        <f>(H328*2*AK328)*L328/1000</f>
        <v>0.96</v>
      </c>
      <c r="AK328" s="50">
        <v>2</v>
      </c>
      <c r="AL328" s="69" t="str">
        <f t="shared" si="595"/>
        <v>10</v>
      </c>
      <c r="AN328" s="66"/>
      <c r="AP328" s="146">
        <f>(VLOOKUP(F328,Terasehind!$A$2:$B$171,2,FALSE))</f>
        <v>0.92</v>
      </c>
      <c r="AQ328" s="50">
        <f>(VLOOKUP(F328,Terasehind!$A$2:$C$171,3,FALSE))</f>
        <v>1.1000000000000001</v>
      </c>
      <c r="AR328" s="138">
        <f t="shared" si="589"/>
        <v>4.5758592000000009</v>
      </c>
      <c r="AS328"/>
      <c r="AT328"/>
      <c r="AU328"/>
      <c r="AV328"/>
      <c r="AW328"/>
      <c r="AX328"/>
      <c r="AY328"/>
      <c r="AZ328"/>
      <c r="BA328" s="188">
        <f t="shared" si="596"/>
        <v>7.4666666666666673E-2</v>
      </c>
      <c r="BB328" s="189"/>
      <c r="BC328" s="57"/>
      <c r="BD328" s="57"/>
      <c r="BE328" s="57"/>
      <c r="BF328" s="57"/>
      <c r="BG328" s="57"/>
      <c r="BH328" s="57"/>
      <c r="BI328" s="57"/>
      <c r="BJ328" s="57"/>
      <c r="BK328" s="109"/>
      <c r="BL328" s="109"/>
      <c r="BM328" s="109"/>
      <c r="BN328" s="83"/>
      <c r="BP328" s="83"/>
      <c r="BQ328" s="83"/>
    </row>
    <row r="329" spans="1:69" s="50" customFormat="1" x14ac:dyDescent="0.25">
      <c r="A329" s="116"/>
      <c r="B329" s="116"/>
      <c r="C329" s="118"/>
      <c r="D329" s="117"/>
      <c r="E329" s="117"/>
      <c r="F329" s="269"/>
      <c r="G329" s="117"/>
      <c r="H329" s="119"/>
      <c r="I329" s="118"/>
      <c r="J329" s="119"/>
      <c r="K329" s="119"/>
      <c r="L329" s="119"/>
      <c r="M329" s="119"/>
      <c r="N329" s="119"/>
      <c r="O329" s="119"/>
      <c r="P329" s="119"/>
      <c r="Q329" s="119"/>
      <c r="R329" s="118"/>
      <c r="S329" s="118"/>
      <c r="T329" s="118"/>
      <c r="U329" s="118"/>
      <c r="V329" s="118"/>
      <c r="W329" s="118"/>
      <c r="X329" s="118"/>
      <c r="Y329" s="118"/>
      <c r="Z329" s="118"/>
      <c r="AA329" s="118"/>
      <c r="AB329" s="118"/>
      <c r="AC329" s="136"/>
      <c r="AD329" s="136"/>
      <c r="AE329" s="136"/>
      <c r="AF329" s="136"/>
      <c r="AG329" s="136"/>
      <c r="AH329" s="136"/>
      <c r="AI329" s="132"/>
      <c r="AJ329" s="60"/>
      <c r="AN329" s="66"/>
      <c r="AP329" s="146"/>
      <c r="AR329" s="138"/>
      <c r="AT329" s="62"/>
      <c r="AU329" s="62"/>
      <c r="AV329" s="62"/>
      <c r="AW329" s="62"/>
      <c r="AX329" s="62"/>
      <c r="AY329" s="62"/>
      <c r="AZ329"/>
      <c r="BA329" s="192"/>
      <c r="BB329" s="188"/>
      <c r="BC329" s="57"/>
      <c r="BD329" s="57"/>
      <c r="BE329" s="57"/>
      <c r="BF329" s="57"/>
      <c r="BG329" s="57"/>
      <c r="BH329" s="57"/>
      <c r="BI329" s="57"/>
      <c r="BJ329" s="109"/>
      <c r="BK329" s="109"/>
      <c r="BL329" s="109"/>
      <c r="BM329" s="83"/>
      <c r="BO329" s="83"/>
      <c r="BP329" s="83"/>
    </row>
    <row r="330" spans="1:69" s="50" customFormat="1" x14ac:dyDescent="0.25">
      <c r="A330" s="116"/>
      <c r="B330" s="116"/>
      <c r="C330" s="118"/>
      <c r="D330" s="117"/>
      <c r="E330" s="117"/>
      <c r="F330" s="349" t="s">
        <v>432</v>
      </c>
      <c r="G330" s="117"/>
      <c r="H330" s="119"/>
      <c r="I330" s="118"/>
      <c r="J330" s="119"/>
      <c r="K330" s="119"/>
      <c r="L330" s="119"/>
      <c r="M330" s="119"/>
      <c r="N330" s="119"/>
      <c r="O330" s="119"/>
      <c r="P330" s="119"/>
      <c r="Q330" s="119"/>
      <c r="R330" s="118"/>
      <c r="S330" s="118"/>
      <c r="T330" s="118"/>
      <c r="U330" s="118"/>
      <c r="V330" s="118"/>
      <c r="W330" s="118"/>
      <c r="X330" s="118"/>
      <c r="Y330" s="118"/>
      <c r="Z330" s="118"/>
      <c r="AA330" s="118"/>
      <c r="AB330" s="118"/>
      <c r="AC330" s="136"/>
      <c r="AD330" s="136"/>
      <c r="AE330" s="136"/>
      <c r="AF330" s="136"/>
      <c r="AG330" s="136"/>
      <c r="AH330" s="136"/>
      <c r="AI330" s="132"/>
      <c r="AJ330" s="60"/>
      <c r="AN330" s="66"/>
      <c r="AP330" s="146"/>
      <c r="AR330" s="138"/>
      <c r="AT330" s="62"/>
      <c r="AU330" s="62"/>
      <c r="AV330" s="62"/>
      <c r="AW330" s="62"/>
      <c r="AX330" s="62"/>
      <c r="AY330" s="62"/>
      <c r="AZ330"/>
      <c r="BA330" s="192"/>
      <c r="BB330" s="188"/>
      <c r="BC330" s="57"/>
      <c r="BD330" s="57"/>
      <c r="BE330" s="57"/>
      <c r="BF330" s="57"/>
      <c r="BG330" s="57"/>
      <c r="BH330" s="57"/>
      <c r="BI330" s="57"/>
      <c r="BJ330" s="109"/>
      <c r="BK330" s="109"/>
      <c r="BL330" s="109"/>
      <c r="BM330" s="83"/>
      <c r="BO330" s="83"/>
      <c r="BP330" s="83"/>
    </row>
    <row r="331" spans="1:69" s="50" customFormat="1" x14ac:dyDescent="0.25">
      <c r="A331" s="148">
        <f>B331/L331</f>
        <v>48.7652</v>
      </c>
      <c r="B331" s="148">
        <f>SUM(B335,B334,B333,B332,0)</f>
        <v>195.0608</v>
      </c>
      <c r="C331" s="152"/>
      <c r="D331" s="149" t="s">
        <v>76</v>
      </c>
      <c r="E331" s="149"/>
      <c r="F331" s="365"/>
      <c r="G331" s="174" t="str">
        <f>$G$163</f>
        <v>C3VH</v>
      </c>
      <c r="H331" s="150"/>
      <c r="I331" s="151" t="s">
        <v>77</v>
      </c>
      <c r="J331" s="150">
        <f>J332</f>
        <v>3650</v>
      </c>
      <c r="K331" s="134">
        <v>4</v>
      </c>
      <c r="L331" s="150">
        <f>$L$270*$K$331</f>
        <v>4</v>
      </c>
      <c r="M331" s="148">
        <f>SUM(M335,M334,M333,M332,0)</f>
        <v>6.3331999999999997</v>
      </c>
      <c r="N331" s="151"/>
      <c r="O331" s="151"/>
      <c r="P331" s="151"/>
      <c r="Q331" s="151"/>
      <c r="R331" s="120"/>
      <c r="S331" s="120"/>
      <c r="T331" s="120"/>
      <c r="U331" s="120"/>
      <c r="V331" s="120"/>
      <c r="W331" s="118"/>
      <c r="X331" s="118" t="s">
        <v>78</v>
      </c>
      <c r="Y331" s="151">
        <v>4</v>
      </c>
      <c r="Z331" s="151"/>
      <c r="AA331" s="151"/>
      <c r="AB331" s="151"/>
      <c r="AC331" s="148">
        <f>SUM(AC335,AC334,AC333,AC332,0)</f>
        <v>0.76259259259259271</v>
      </c>
      <c r="AD331" s="148">
        <f>SUM(AD335,AD334,AD333,AD332,0)</f>
        <v>0</v>
      </c>
      <c r="AE331" s="148">
        <f>SUM(AE335,AE334,AE333,AE332,0)</f>
        <v>0.66666666666666663</v>
      </c>
      <c r="AF331" s="148">
        <f>SUM(AF335,AF334,AF333,AF332,0)</f>
        <v>1.0666666666666667</v>
      </c>
      <c r="AG331" s="148">
        <f>SUM(AG335,AG334,AG333,AG332,0)</f>
        <v>0</v>
      </c>
      <c r="AH331" s="107">
        <f>SUM(AC331:AG331)</f>
        <v>2.4959259259259259</v>
      </c>
      <c r="AI331" s="107">
        <f>SUM(AI335,AI334,AI333,AI332,0)</f>
        <v>3.1999999999999997</v>
      </c>
      <c r="AJ331" s="148">
        <f>SUM(AJ335,AJ334,AJ333,AJ332,0)</f>
        <v>16.64</v>
      </c>
      <c r="AK331" s="107">
        <f>AJ331*10/60</f>
        <v>2.7733333333333334</v>
      </c>
      <c r="AL331" s="148">
        <f>AH331+AI331+AK331</f>
        <v>8.4692592592592586</v>
      </c>
      <c r="AM331" s="148">
        <f>B331/AL331</f>
        <v>23.031624611886127</v>
      </c>
      <c r="AN331" s="148">
        <f>AL331*46</f>
        <v>389.58592592592589</v>
      </c>
      <c r="AO331" s="148">
        <f>AN331/B331</f>
        <v>1.9972538097143346</v>
      </c>
      <c r="AP331" s="148">
        <f>AR331/B331</f>
        <v>1.0120000000000002</v>
      </c>
      <c r="AQ331" s="67"/>
      <c r="AR331" s="148">
        <f>SUM(AR335,AR334,AR333,AR332,0)</f>
        <v>197.40152960000006</v>
      </c>
      <c r="AT331" s="62"/>
      <c r="AU331" s="62"/>
      <c r="AV331" s="62"/>
      <c r="AW331" s="62"/>
      <c r="AX331" s="62"/>
      <c r="AY331" s="62"/>
      <c r="AZ331"/>
      <c r="BA331" s="148">
        <f>SUM(BA334,BA333,BA332,0)</f>
        <v>0.44800000000000001</v>
      </c>
      <c r="BB331" s="188"/>
      <c r="BC331" s="57"/>
      <c r="BD331" s="57"/>
      <c r="BE331" s="57"/>
      <c r="BF331" s="57"/>
      <c r="BG331" s="57"/>
      <c r="BH331" s="57"/>
      <c r="BI331" s="60"/>
    </row>
    <row r="332" spans="1:69" s="50" customFormat="1" x14ac:dyDescent="0.25">
      <c r="A332" s="116">
        <f xml:space="preserve"> 11.7*J332/10^3</f>
        <v>42.704999999999998</v>
      </c>
      <c r="B332" s="116">
        <f>A332*L332</f>
        <v>170.82</v>
      </c>
      <c r="C332" s="299" t="s">
        <v>379</v>
      </c>
      <c r="D332" s="117" t="s">
        <v>76</v>
      </c>
      <c r="E332" s="117"/>
      <c r="F332" s="355" t="s">
        <v>423</v>
      </c>
      <c r="G332" s="140" t="s">
        <v>79</v>
      </c>
      <c r="H332" s="119">
        <v>100</v>
      </c>
      <c r="I332" s="118" t="s">
        <v>77</v>
      </c>
      <c r="J332" s="119">
        <v>3650</v>
      </c>
      <c r="K332" s="50">
        <v>1</v>
      </c>
      <c r="L332" s="119">
        <f>K$332*L$331</f>
        <v>4</v>
      </c>
      <c r="M332" s="131">
        <f xml:space="preserve"> 0.386*J332*L332/10^3</f>
        <v>5.6356000000000002</v>
      </c>
      <c r="N332" s="118"/>
      <c r="O332" s="118"/>
      <c r="P332" s="118" t="s">
        <v>78</v>
      </c>
      <c r="Q332" s="135"/>
      <c r="R332" s="118"/>
      <c r="S332" s="118"/>
      <c r="T332" s="118"/>
      <c r="U332" s="118"/>
      <c r="V332" s="118"/>
      <c r="W332" s="118"/>
      <c r="Y332" s="118"/>
      <c r="Z332" s="118"/>
      <c r="AA332" s="118"/>
      <c r="AB332" s="118" t="s">
        <v>78</v>
      </c>
      <c r="AC332" s="116"/>
      <c r="AD332" s="83"/>
      <c r="AE332" s="136">
        <f t="shared" ref="AE332" si="598">(H332/20/60)*2*L332</f>
        <v>0.66666666666666663</v>
      </c>
      <c r="AF332" s="137">
        <f>(H332*4)*2*20/60/1000*L332</f>
        <v>1.0666666666666667</v>
      </c>
      <c r="AG332" s="132">
        <f t="shared" ref="AG332" si="599">Q332*L332*0.5/60</f>
        <v>0</v>
      </c>
      <c r="AH332" s="83"/>
      <c r="AI332" s="132">
        <f t="shared" ref="AI332:AI335" si="600">AL332*L332/60</f>
        <v>0.66666666666666663</v>
      </c>
      <c r="AJ332" s="70">
        <f t="shared" ref="AJ332" si="601">(H332*4*AK332)*2*L332/1000</f>
        <v>3.2</v>
      </c>
      <c r="AK332" s="50">
        <f>(VLOOKUP(F332,[2]Koostamine!$A$12:$P$1612,7,FALSE))</f>
        <v>1</v>
      </c>
      <c r="AL332" s="69">
        <f>VLOOKUP(F332,[2]Koostamine!$A$12:$P$1612,IF(J332&lt;1499,11,IF(J332&lt;2999,12,IF(J332&lt;5999,13,IF(J332&lt;9999,14,IF(J332&lt;12999,15,IF(J332&gt;13000,16)))))),FALSE)</f>
        <v>10</v>
      </c>
      <c r="AP332" s="146">
        <f>(VLOOKUP(F332,Terasehind!$A$2:$B$171,2,FALSE))</f>
        <v>0.92</v>
      </c>
      <c r="AQ332" s="50">
        <f>(VLOOKUP(F332,Terasehind!$A$2:$C$171,3,FALSE))</f>
        <v>1.1000000000000001</v>
      </c>
      <c r="AR332" s="138">
        <f t="shared" ref="AR332:AR335" si="602">AP332*AQ332*B332</f>
        <v>172.86984000000004</v>
      </c>
      <c r="AT332" s="62"/>
      <c r="AU332" s="62"/>
      <c r="AV332" s="62"/>
      <c r="AW332" s="62"/>
      <c r="AX332" s="62"/>
      <c r="AY332" s="62"/>
      <c r="AZ332"/>
      <c r="BA332" s="188">
        <f>(H332*4)*2*2/60/1000*L332</f>
        <v>0.10666666666666667</v>
      </c>
      <c r="BB332" s="189"/>
      <c r="BC332" s="57"/>
      <c r="BD332" s="57"/>
      <c r="BE332" s="57"/>
      <c r="BF332" s="57"/>
      <c r="BG332" s="57"/>
      <c r="BH332" s="57"/>
      <c r="BI332" s="57"/>
      <c r="BJ332" s="60"/>
      <c r="BK332" s="57"/>
      <c r="BL332" s="60"/>
      <c r="BM332" s="83"/>
      <c r="BO332" s="109"/>
    </row>
    <row r="333" spans="1:69" s="50" customFormat="1" x14ac:dyDescent="0.25">
      <c r="A333" s="116">
        <f t="shared" ref="A333:A335" si="603">H333*J333*(RIGHT(F333,2))*7.85/(10^6)</f>
        <v>0.19625000000000001</v>
      </c>
      <c r="B333" s="116">
        <f t="shared" ref="B333:B335" si="604">A333*L333</f>
        <v>3.14</v>
      </c>
      <c r="C333" s="118" t="s">
        <v>80</v>
      </c>
      <c r="D333" s="117" t="s">
        <v>81</v>
      </c>
      <c r="E333" s="117"/>
      <c r="F333" s="355" t="s">
        <v>324</v>
      </c>
      <c r="G333" s="117" t="s">
        <v>83</v>
      </c>
      <c r="H333" s="119">
        <f>H332/2</f>
        <v>50</v>
      </c>
      <c r="I333" s="118" t="s">
        <v>77</v>
      </c>
      <c r="J333" s="119">
        <f>H332</f>
        <v>100</v>
      </c>
      <c r="K333" s="119">
        <v>4</v>
      </c>
      <c r="L333" s="119">
        <f>K$333*L$331</f>
        <v>16</v>
      </c>
      <c r="M333" s="116">
        <f t="shared" ref="M333:M335" si="605">2*H333*J333/10^6*L333</f>
        <v>0.16</v>
      </c>
      <c r="N333" s="118" t="s">
        <v>84</v>
      </c>
      <c r="P333" s="118"/>
      <c r="Q333" s="135"/>
      <c r="R333" s="118"/>
      <c r="S333" s="118"/>
      <c r="T333" s="118"/>
      <c r="U333" s="118"/>
      <c r="V333" s="118"/>
      <c r="W333" s="118"/>
      <c r="X333" s="118"/>
      <c r="Y333" s="118"/>
      <c r="Z333" s="118"/>
      <c r="AA333" s="118"/>
      <c r="AB333" s="118" t="s">
        <v>78</v>
      </c>
      <c r="AC333" s="136">
        <f>((((H333+J333)*2/1000)*L333*(5/(VLOOKUP(F333,[2]Plasmalõikus!$A$7:$E$46,2,FALSE)/1000*60)))+(Q333*L333*(5*(VLOOKUP(F333,[2]Plasmalõikus!$A$7:$E$48,3,FALSE))/60/60)))</f>
        <v>0.1111111111111111</v>
      </c>
      <c r="AD333" s="353" t="str">
        <f t="shared" ref="AD333:AD335" si="606">IF(C333="WQ",0.012*((H333+J333)*2/1000*L333),IF(OR(VALUE(MID(F333,6,10))&gt;=20,H333&gt;300,J333&gt;300),0.012*((H333+J333)*2/1000*L333)," "))</f>
        <v xml:space="preserve"> </v>
      </c>
      <c r="AE333" s="136"/>
      <c r="AF333" s="137"/>
      <c r="AG333" s="137">
        <f t="shared" ref="AG333:AG335" si="607">IF(VALUE(MID(F333,SEARCH(" ",F333)+1,LEN(F333)))&lt;35,0,IF(VALUE(MID(F333,SEARCH(" ",F333)+1,LEN(F333)))&lt;40,3,IF(VALUE(MID(F333,SEARCH(" ",F333)+1,LEN(F333)))&lt;50,4,IF(VALUE(MID(F333,SEARCH(" ",F333)+1,LEN(F333)))&lt;60,5,IF(VALUE(MID(F333,SEARCH(" ",F333)+1,LEN(F333)))&lt;70,6,IF(VALUE(MID(F333,SEARCH(" ",F333)+1,LEN(F333)))&lt;80,7,IF(VALUE(MID(F333,SEARCH(" ",F333)+1,LEN(F333)))&lt;90,8,IF(VALUE(MID(F333,SEARCH(" ",F333)+1,LEN(F333)))&lt;100,9,10))))))))/60*Q333*L333</f>
        <v>0</v>
      </c>
      <c r="AH333" s="136"/>
      <c r="AI333" s="132">
        <f t="shared" si="600"/>
        <v>0.53333333333333333</v>
      </c>
      <c r="AJ333" s="70"/>
      <c r="AK333" s="50">
        <v>2</v>
      </c>
      <c r="AL333" s="69" t="str">
        <f t="shared" ref="AL333:AL335" si="608">IF(AND(Q333&gt;0,A333&lt;3),"10",IF(AND(Q333&gt;0,A333&lt;10),"15",IF(AND(Q333&gt;0,A333&lt;20),"20",IF(AND(Q333&gt;0,A333&lt;500),"30",IF(AND(Q333=0,A333&lt;3),"2",IF(AND(Q333=0,A333&lt;10),"5",IF(AND(Q333=0,A333&lt;20),"10",IF(AND(Q333=0,A333&lt;500),"20","2"))))))))</f>
        <v>2</v>
      </c>
      <c r="AN333" s="66"/>
      <c r="AP333" s="146">
        <f>(VLOOKUP(F333,Terasehind!$A$2:$B$171,2,FALSE))</f>
        <v>0.92</v>
      </c>
      <c r="AQ333" s="50">
        <f>(VLOOKUP(F333,Terasehind!$A$2:$C$171,3,FALSE))</f>
        <v>1.1000000000000001</v>
      </c>
      <c r="AR333" s="138">
        <f t="shared" si="602"/>
        <v>3.1776800000000009</v>
      </c>
      <c r="AS333"/>
      <c r="AT333"/>
      <c r="AU333"/>
      <c r="AV333"/>
      <c r="AW333"/>
      <c r="AX333"/>
      <c r="AY333"/>
      <c r="AZ333"/>
      <c r="BA333" s="188"/>
      <c r="BB333" s="189"/>
      <c r="BC333" s="57"/>
      <c r="BD333" s="57"/>
      <c r="BE333" s="57"/>
      <c r="BF333" s="57"/>
      <c r="BG333" s="57"/>
      <c r="BH333" s="57"/>
      <c r="BI333" s="57"/>
      <c r="BJ333" s="57"/>
      <c r="BK333" s="109"/>
      <c r="BL333" s="109"/>
      <c r="BM333" s="109"/>
      <c r="BN333" s="83"/>
      <c r="BP333" s="83"/>
      <c r="BQ333" s="83"/>
    </row>
    <row r="334" spans="1:69" s="50" customFormat="1" x14ac:dyDescent="0.25">
      <c r="A334" s="116">
        <f t="shared" si="603"/>
        <v>1.5072000000000001</v>
      </c>
      <c r="B334" s="116">
        <f t="shared" si="604"/>
        <v>12.057600000000001</v>
      </c>
      <c r="C334" s="118"/>
      <c r="D334" s="117" t="s">
        <v>85</v>
      </c>
      <c r="E334" s="117"/>
      <c r="F334" s="355" t="s">
        <v>337</v>
      </c>
      <c r="G334" s="117" t="s">
        <v>83</v>
      </c>
      <c r="H334" s="119">
        <f>H332+20</f>
        <v>120</v>
      </c>
      <c r="I334" s="118" t="s">
        <v>77</v>
      </c>
      <c r="J334" s="119">
        <f>H332*2</f>
        <v>200</v>
      </c>
      <c r="K334" s="119">
        <v>2</v>
      </c>
      <c r="L334" s="119">
        <f>K$334*L$331</f>
        <v>8</v>
      </c>
      <c r="M334" s="116">
        <f t="shared" si="605"/>
        <v>0.38400000000000001</v>
      </c>
      <c r="N334" s="118" t="s">
        <v>84</v>
      </c>
      <c r="P334" s="118"/>
      <c r="Q334" s="135">
        <v>4</v>
      </c>
      <c r="R334" s="118"/>
      <c r="S334" s="118"/>
      <c r="T334" s="118"/>
      <c r="U334" s="118"/>
      <c r="V334" s="118"/>
      <c r="W334" s="118"/>
      <c r="X334" s="118"/>
      <c r="Y334" s="118"/>
      <c r="Z334" s="118"/>
      <c r="AA334" s="118"/>
      <c r="AB334" s="118" t="s">
        <v>78</v>
      </c>
      <c r="AC334" s="136">
        <f>((((H334+J334)*2/1000)*L334*(5/(VLOOKUP(F334,[2]Plasmalõikus!$A$7:$E$46,2,FALSE)/1000*60)))+(Q334*L334*(5*(VLOOKUP(F334,[2]Plasmalõikus!$A$7:$E$48,3,FALSE))/60/60)))</f>
        <v>0.49777777777777776</v>
      </c>
      <c r="AD334" s="353" t="str">
        <f t="shared" si="606"/>
        <v xml:space="preserve"> </v>
      </c>
      <c r="AE334" s="136"/>
      <c r="AF334" s="137"/>
      <c r="AG334" s="137">
        <f t="shared" si="607"/>
        <v>0</v>
      </c>
      <c r="AH334" s="136"/>
      <c r="AI334" s="132">
        <f t="shared" si="600"/>
        <v>1.3333333333333333</v>
      </c>
      <c r="AJ334" s="70">
        <f>(H334*3*AK334)*2*L334/1000</f>
        <v>11.52</v>
      </c>
      <c r="AK334" s="50">
        <v>2</v>
      </c>
      <c r="AL334" s="69" t="str">
        <f t="shared" si="608"/>
        <v>10</v>
      </c>
      <c r="AN334" s="66"/>
      <c r="AP334" s="146">
        <f>(VLOOKUP(F334,Terasehind!$A$2:$B$171,2,FALSE))</f>
        <v>0.92</v>
      </c>
      <c r="AQ334" s="50">
        <f>(VLOOKUP(F334,Terasehind!$A$2:$C$171,3,FALSE))</f>
        <v>1.1000000000000001</v>
      </c>
      <c r="AR334" s="138">
        <f t="shared" si="602"/>
        <v>12.202291200000003</v>
      </c>
      <c r="AS334"/>
      <c r="AT334"/>
      <c r="AU334"/>
      <c r="AV334"/>
      <c r="AW334"/>
      <c r="AX334"/>
      <c r="AY334"/>
      <c r="AZ334"/>
      <c r="BA334" s="188">
        <f t="shared" ref="BA334:BA335" si="609">(H334*2+J334*2)*2*2/60/1000*L334</f>
        <v>0.34133333333333332</v>
      </c>
      <c r="BB334" s="189"/>
      <c r="BC334" s="57"/>
      <c r="BD334" s="57"/>
      <c r="BE334" s="57"/>
      <c r="BF334" s="57"/>
      <c r="BG334" s="57"/>
      <c r="BH334" s="57"/>
      <c r="BI334" s="57"/>
      <c r="BJ334" s="57"/>
      <c r="BK334" s="109"/>
      <c r="BL334" s="109"/>
      <c r="BM334" s="109"/>
      <c r="BN334" s="83"/>
      <c r="BP334" s="83"/>
      <c r="BQ334" s="83"/>
    </row>
    <row r="335" spans="1:69" s="50" customFormat="1" x14ac:dyDescent="0.25">
      <c r="A335" s="116">
        <f t="shared" si="603"/>
        <v>2.2608000000000001</v>
      </c>
      <c r="B335" s="116">
        <f t="shared" si="604"/>
        <v>9.0432000000000006</v>
      </c>
      <c r="C335" s="118" t="s">
        <v>489</v>
      </c>
      <c r="D335" s="117" t="s">
        <v>85</v>
      </c>
      <c r="E335" s="117"/>
      <c r="F335" s="355" t="s">
        <v>87</v>
      </c>
      <c r="G335" s="117" t="s">
        <v>83</v>
      </c>
      <c r="H335" s="119">
        <v>120</v>
      </c>
      <c r="I335" s="118" t="s">
        <v>77</v>
      </c>
      <c r="J335" s="119">
        <v>160</v>
      </c>
      <c r="K335" s="119">
        <v>1</v>
      </c>
      <c r="L335" s="119">
        <f>K$335*L$331</f>
        <v>4</v>
      </c>
      <c r="M335" s="116">
        <f t="shared" si="605"/>
        <v>0.15359999999999999</v>
      </c>
      <c r="N335" s="118" t="s">
        <v>84</v>
      </c>
      <c r="P335" s="118"/>
      <c r="Q335" s="135">
        <v>1</v>
      </c>
      <c r="R335" s="118"/>
      <c r="S335" s="118"/>
      <c r="T335" s="118"/>
      <c r="U335" s="118"/>
      <c r="V335" s="118"/>
      <c r="W335" s="118"/>
      <c r="X335" s="118"/>
      <c r="Y335" s="118"/>
      <c r="Z335" s="118"/>
      <c r="AA335" s="118"/>
      <c r="AB335" s="118" t="s">
        <v>78</v>
      </c>
      <c r="AC335" s="136">
        <f>((((H335+J335)*2/1000)*L335*(5/(VLOOKUP(F335,[2]Plasmalõikus!$A$7:$E$46,2,FALSE)/1000*60)))+(Q335*L335*(5*(VLOOKUP(F335,[2]Plasmalõikus!$A$7:$E$48,3,FALSE))/60/60)))</f>
        <v>0.15370370370370373</v>
      </c>
      <c r="AD335" s="353" t="str">
        <f t="shared" si="606"/>
        <v xml:space="preserve"> </v>
      </c>
      <c r="AE335" s="136"/>
      <c r="AF335" s="137"/>
      <c r="AG335" s="137">
        <f t="shared" si="607"/>
        <v>0</v>
      </c>
      <c r="AH335" s="136"/>
      <c r="AI335" s="132">
        <f t="shared" si="600"/>
        <v>0.66666666666666663</v>
      </c>
      <c r="AJ335" s="70">
        <f>(H335*2*AK335)*L335/1000</f>
        <v>1.92</v>
      </c>
      <c r="AK335" s="50">
        <v>2</v>
      </c>
      <c r="AL335" s="69" t="str">
        <f t="shared" si="608"/>
        <v>10</v>
      </c>
      <c r="AN335" s="66"/>
      <c r="AP335" s="146">
        <f>(VLOOKUP(F335,Terasehind!$A$2:$B$171,2,FALSE))</f>
        <v>0.92</v>
      </c>
      <c r="AQ335" s="50">
        <f>(VLOOKUP(F335,Terasehind!$A$2:$C$171,3,FALSE))</f>
        <v>1.1000000000000001</v>
      </c>
      <c r="AR335" s="138">
        <f t="shared" si="602"/>
        <v>9.1517184000000018</v>
      </c>
      <c r="AS335"/>
      <c r="AT335"/>
      <c r="AU335"/>
      <c r="AV335"/>
      <c r="AW335"/>
      <c r="AX335"/>
      <c r="AY335"/>
      <c r="AZ335"/>
      <c r="BA335" s="188">
        <f t="shared" si="609"/>
        <v>0.14933333333333335</v>
      </c>
      <c r="BB335" s="189"/>
      <c r="BC335" s="57"/>
      <c r="BD335" s="57"/>
      <c r="BE335" s="57"/>
      <c r="BF335" s="57"/>
      <c r="BG335" s="57"/>
      <c r="BH335" s="57"/>
      <c r="BI335" s="57"/>
      <c r="BJ335" s="57"/>
      <c r="BK335" s="109"/>
      <c r="BL335" s="109"/>
      <c r="BM335" s="109"/>
      <c r="BN335" s="83"/>
      <c r="BP335" s="83"/>
      <c r="BQ335" s="83"/>
    </row>
    <row r="336" spans="1:69" s="50" customFormat="1" x14ac:dyDescent="0.25">
      <c r="A336" s="116"/>
      <c r="B336" s="116"/>
      <c r="C336" s="118"/>
      <c r="D336" s="117"/>
      <c r="E336" s="117"/>
      <c r="F336" s="269"/>
      <c r="G336" s="117"/>
      <c r="H336" s="119"/>
      <c r="I336" s="118"/>
      <c r="J336" s="119"/>
      <c r="K336" s="119"/>
      <c r="L336" s="119"/>
      <c r="M336" s="119"/>
      <c r="N336" s="119"/>
      <c r="O336" s="119"/>
      <c r="P336" s="119"/>
      <c r="Q336" s="119"/>
      <c r="R336" s="118"/>
      <c r="S336" s="118"/>
      <c r="T336" s="118"/>
      <c r="U336" s="118"/>
      <c r="V336" s="118"/>
      <c r="W336" s="118"/>
      <c r="X336" s="118"/>
      <c r="Y336" s="118"/>
      <c r="Z336" s="118"/>
      <c r="AA336" s="118"/>
      <c r="AB336" s="118"/>
      <c r="AC336" s="136"/>
      <c r="AD336" s="136"/>
      <c r="AE336" s="136"/>
      <c r="AF336" s="136"/>
      <c r="AG336" s="136"/>
      <c r="AH336" s="136"/>
      <c r="AI336" s="132"/>
      <c r="AJ336" s="60"/>
      <c r="AN336" s="66"/>
      <c r="AP336" s="146"/>
      <c r="AR336" s="138"/>
      <c r="AT336" s="62"/>
      <c r="AU336" s="62"/>
      <c r="AV336" s="62"/>
      <c r="AW336" s="62"/>
      <c r="AX336" s="62"/>
      <c r="AY336" s="62"/>
      <c r="AZ336"/>
      <c r="BA336" s="192"/>
      <c r="BB336" s="188"/>
      <c r="BC336" s="57"/>
      <c r="BD336" s="57"/>
      <c r="BE336" s="57"/>
      <c r="BF336" s="57"/>
      <c r="BG336" s="57"/>
      <c r="BH336" s="57"/>
      <c r="BI336" s="57"/>
      <c r="BJ336" s="109"/>
      <c r="BK336" s="109"/>
      <c r="BL336" s="109"/>
      <c r="BM336" s="83"/>
      <c r="BO336" s="83"/>
      <c r="BP336" s="83"/>
    </row>
    <row r="337" spans="1:69" s="50" customFormat="1" x14ac:dyDescent="0.25">
      <c r="A337" s="116"/>
      <c r="B337" s="116"/>
      <c r="C337" s="118"/>
      <c r="D337" s="117"/>
      <c r="E337" s="117"/>
      <c r="F337" s="269"/>
      <c r="G337" s="117"/>
      <c r="H337" s="119"/>
      <c r="I337" s="118"/>
      <c r="J337" s="119"/>
      <c r="K337" s="119"/>
      <c r="L337" s="119"/>
      <c r="M337" s="119"/>
      <c r="N337" s="119"/>
      <c r="O337" s="119"/>
      <c r="P337" s="119"/>
      <c r="Q337" s="119"/>
      <c r="R337" s="118"/>
      <c r="S337" s="118"/>
      <c r="T337" s="118"/>
      <c r="U337" s="118"/>
      <c r="V337" s="118"/>
      <c r="W337" s="118"/>
      <c r="X337" s="118"/>
      <c r="Y337" s="118"/>
      <c r="Z337" s="118"/>
      <c r="AA337" s="118"/>
      <c r="AB337" s="118"/>
      <c r="AC337" s="136"/>
      <c r="AD337" s="136"/>
      <c r="AE337" s="136"/>
      <c r="AF337" s="136"/>
      <c r="AG337" s="136"/>
      <c r="AH337" s="136"/>
      <c r="AI337" s="132"/>
      <c r="AJ337" s="60"/>
      <c r="AN337" s="66"/>
      <c r="AP337" s="146"/>
      <c r="AR337" s="138"/>
      <c r="AT337" s="62"/>
      <c r="AU337" s="62"/>
      <c r="AV337" s="62"/>
      <c r="AW337" s="62"/>
      <c r="AX337" s="62"/>
      <c r="AY337" s="62"/>
      <c r="AZ337"/>
      <c r="BA337" s="192"/>
      <c r="BB337" s="188"/>
      <c r="BC337" s="57"/>
      <c r="BD337" s="57"/>
      <c r="BE337" s="57"/>
      <c r="BF337" s="57"/>
      <c r="BG337" s="57"/>
      <c r="BH337" s="57"/>
      <c r="BI337" s="57"/>
      <c r="BJ337" s="109"/>
      <c r="BK337" s="109"/>
      <c r="BL337" s="109"/>
      <c r="BM337" s="83"/>
      <c r="BO337" s="83"/>
      <c r="BP337" s="83"/>
    </row>
    <row r="338" spans="1:69" s="50" customFormat="1" x14ac:dyDescent="0.25">
      <c r="A338" s="148">
        <f>B338/L338</f>
        <v>247.80996000000002</v>
      </c>
      <c r="B338" s="148">
        <f>SUM(B342,B341,B340,B339,0)</f>
        <v>1734.6697200000001</v>
      </c>
      <c r="C338" s="152"/>
      <c r="D338" s="149" t="s">
        <v>76</v>
      </c>
      <c r="E338" s="149"/>
      <c r="F338" s="365"/>
      <c r="G338" s="174" t="str">
        <f>$G$163</f>
        <v>C3VH</v>
      </c>
      <c r="H338" s="150"/>
      <c r="I338" s="151" t="s">
        <v>77</v>
      </c>
      <c r="J338" s="150">
        <f>J339</f>
        <v>8350</v>
      </c>
      <c r="K338" s="134">
        <v>7</v>
      </c>
      <c r="L338" s="150">
        <f>$L$270*$K$338</f>
        <v>7</v>
      </c>
      <c r="M338" s="148">
        <f>SUM(M342,M341,M340,M339,0)</f>
        <v>38.778949999999995</v>
      </c>
      <c r="N338" s="151"/>
      <c r="O338" s="151"/>
      <c r="P338" s="151"/>
      <c r="Q338" s="151"/>
      <c r="R338" s="120"/>
      <c r="S338" s="120"/>
      <c r="T338" s="120"/>
      <c r="U338" s="120"/>
      <c r="V338" s="120"/>
      <c r="W338" s="118"/>
      <c r="X338" s="118" t="s">
        <v>78</v>
      </c>
      <c r="Y338" s="151">
        <v>4</v>
      </c>
      <c r="Z338" s="151"/>
      <c r="AA338" s="151"/>
      <c r="AB338" s="151"/>
      <c r="AC338" s="148">
        <f>SUM(AC342,AC341,AC340,AC339,0)</f>
        <v>1.5912037037037037</v>
      </c>
      <c r="AD338" s="148">
        <f>SUM(AD342,AD341,AD340,AD339,0)</f>
        <v>0.16800000000000001</v>
      </c>
      <c r="AE338" s="148">
        <f>SUM(AE342,AE341,AE340,AE339,0)</f>
        <v>1.8666666666666667</v>
      </c>
      <c r="AF338" s="148">
        <f>SUM(AF342,AF341,AF340,AF339,0)</f>
        <v>2.9866666666666668</v>
      </c>
      <c r="AG338" s="148">
        <f>SUM(AG342,AG341,AG340,AG339,0)</f>
        <v>0</v>
      </c>
      <c r="AH338" s="107">
        <f>SUM(AC338:AG338)</f>
        <v>6.6125370370370371</v>
      </c>
      <c r="AI338" s="107">
        <f>SUM(AI342,AI341,AI340,AI339,0)</f>
        <v>9.1000000000000014</v>
      </c>
      <c r="AJ338" s="148">
        <f>SUM(AJ342,AJ341,AJ340,AJ339,0)</f>
        <v>51.52</v>
      </c>
      <c r="AK338" s="107">
        <f>AJ338*10/60</f>
        <v>8.5866666666666678</v>
      </c>
      <c r="AL338" s="148">
        <f>AH338+AI338+AK338</f>
        <v>24.299203703703704</v>
      </c>
      <c r="AM338" s="148">
        <f>B338/AL338</f>
        <v>71.387924524275675</v>
      </c>
      <c r="AN338" s="148">
        <f>AL338*46</f>
        <v>1117.7633703703705</v>
      </c>
      <c r="AO338" s="148">
        <f>AN338/B338</f>
        <v>0.64436668115148188</v>
      </c>
      <c r="AP338" s="148">
        <f>AR338/B338</f>
        <v>1.0329786160330279</v>
      </c>
      <c r="AQ338" s="67"/>
      <c r="AR338" s="148">
        <f>SUM(AR342,AR341,AR340,AR339,0)</f>
        <v>1791.87672664</v>
      </c>
      <c r="AT338" s="62"/>
      <c r="AU338" s="62"/>
      <c r="AV338" s="62"/>
      <c r="AW338" s="62"/>
      <c r="AX338" s="62"/>
      <c r="AY338" s="62"/>
      <c r="AZ338"/>
      <c r="BA338" s="148">
        <f>SUM(BA341,BA340,BA339,0)</f>
        <v>1.232</v>
      </c>
      <c r="BB338" s="188"/>
      <c r="BC338" s="57"/>
      <c r="BD338" s="57"/>
      <c r="BE338" s="57"/>
      <c r="BF338" s="57"/>
      <c r="BG338" s="57"/>
      <c r="BH338" s="57"/>
      <c r="BI338" s="60"/>
    </row>
    <row r="339" spans="1:69" s="50" customFormat="1" x14ac:dyDescent="0.25">
      <c r="A339" s="116">
        <f xml:space="preserve"> 28.3*J339/10^3</f>
        <v>236.30500000000001</v>
      </c>
      <c r="B339" s="116">
        <f>A339*L339</f>
        <v>1654.135</v>
      </c>
      <c r="C339" s="299" t="s">
        <v>379</v>
      </c>
      <c r="D339" s="117" t="s">
        <v>76</v>
      </c>
      <c r="E339" s="117"/>
      <c r="F339" s="355" t="s">
        <v>484</v>
      </c>
      <c r="G339" s="140" t="s">
        <v>79</v>
      </c>
      <c r="H339" s="119">
        <v>160</v>
      </c>
      <c r="I339" s="118" t="s">
        <v>77</v>
      </c>
      <c r="J339" s="119">
        <v>8350</v>
      </c>
      <c r="K339" s="50">
        <v>1</v>
      </c>
      <c r="L339" s="119">
        <f>K$339*L$338</f>
        <v>7</v>
      </c>
      <c r="M339" s="131">
        <f xml:space="preserve"> 0.619*J339*L339/10^3</f>
        <v>36.180549999999997</v>
      </c>
      <c r="N339" s="118"/>
      <c r="O339" s="118"/>
      <c r="P339" s="118" t="s">
        <v>78</v>
      </c>
      <c r="Q339" s="135"/>
      <c r="R339" s="118"/>
      <c r="S339" s="118"/>
      <c r="T339" s="118"/>
      <c r="U339" s="118"/>
      <c r="V339" s="118"/>
      <c r="W339" s="118"/>
      <c r="Y339" s="118"/>
      <c r="Z339" s="118"/>
      <c r="AA339" s="118"/>
      <c r="AB339" s="118" t="s">
        <v>78</v>
      </c>
      <c r="AC339" s="116"/>
      <c r="AD339" s="83"/>
      <c r="AE339" s="136">
        <f t="shared" ref="AE339" si="610">(H339/20/60)*2*L339</f>
        <v>1.8666666666666667</v>
      </c>
      <c r="AF339" s="137">
        <f>(H339*4)*2*20/60/1000*L339</f>
        <v>2.9866666666666668</v>
      </c>
      <c r="AG339" s="132">
        <f t="shared" ref="AG339" si="611">Q339*L339*0.5/60</f>
        <v>0</v>
      </c>
      <c r="AH339" s="83"/>
      <c r="AI339" s="132">
        <f t="shared" ref="AI339:AI342" si="612">AL339*L339/60</f>
        <v>3.5</v>
      </c>
      <c r="AJ339" s="70">
        <f t="shared" ref="AJ339" si="613">(H339*4*AK339)*2*L339/1000</f>
        <v>17.920000000000002</v>
      </c>
      <c r="AK339" s="50">
        <f>(VLOOKUP(F339,[2]Koostamine!$A$12:$P$1612,7,FALSE))</f>
        <v>2</v>
      </c>
      <c r="AL339" s="69">
        <f>VLOOKUP(F339,[2]Koostamine!$A$12:$P$1612,IF(J339&lt;1499,11,IF(J339&lt;2999,12,IF(J339&lt;5999,13,IF(J339&lt;9999,14,IF(J339&lt;12999,15,IF(J339&gt;13000,16)))))),FALSE)</f>
        <v>30</v>
      </c>
      <c r="AP339" s="146">
        <f>(VLOOKUP(F339,Terasehind!$A$2:$B$171,2,FALSE))</f>
        <v>0.94</v>
      </c>
      <c r="AQ339" s="50">
        <f>(VLOOKUP(F339,Terasehind!$A$2:$C$171,3,FALSE))</f>
        <v>1.1000000000000001</v>
      </c>
      <c r="AR339" s="138">
        <f t="shared" ref="AR339:AR342" si="614">AP339*AQ339*B339</f>
        <v>1710.3755900000001</v>
      </c>
      <c r="AT339" s="62"/>
      <c r="AU339" s="62"/>
      <c r="AV339" s="62"/>
      <c r="AW339" s="62"/>
      <c r="AX339" s="62"/>
      <c r="AY339" s="62"/>
      <c r="AZ339"/>
      <c r="BA339" s="188">
        <f>(H339*4)*2*2/60/1000*L339</f>
        <v>0.29866666666666664</v>
      </c>
      <c r="BB339" s="189"/>
      <c r="BC339" s="57"/>
      <c r="BD339" s="57"/>
      <c r="BE339" s="57"/>
      <c r="BF339" s="57"/>
      <c r="BG339" s="57"/>
      <c r="BH339" s="57"/>
      <c r="BI339" s="57"/>
      <c r="BJ339" s="60"/>
      <c r="BK339" s="57"/>
      <c r="BL339" s="60"/>
      <c r="BM339" s="83"/>
      <c r="BO339" s="109"/>
    </row>
    <row r="340" spans="1:69" s="50" customFormat="1" x14ac:dyDescent="0.25">
      <c r="A340" s="116">
        <f t="shared" ref="A340:A342" si="615">H340*J340*(RIGHT(F340,2))*7.85/(10^6)</f>
        <v>0.50239999999999996</v>
      </c>
      <c r="B340" s="116">
        <f t="shared" ref="B340:B342" si="616">A340*L340</f>
        <v>14.0672</v>
      </c>
      <c r="C340" s="118" t="s">
        <v>80</v>
      </c>
      <c r="D340" s="117" t="s">
        <v>81</v>
      </c>
      <c r="E340" s="117"/>
      <c r="F340" s="355" t="s">
        <v>324</v>
      </c>
      <c r="G340" s="117" t="s">
        <v>83</v>
      </c>
      <c r="H340" s="119">
        <f>H339/2</f>
        <v>80</v>
      </c>
      <c r="I340" s="118" t="s">
        <v>77</v>
      </c>
      <c r="J340" s="119">
        <f>H339</f>
        <v>160</v>
      </c>
      <c r="K340" s="119">
        <v>4</v>
      </c>
      <c r="L340" s="119">
        <f>K$340*L$338</f>
        <v>28</v>
      </c>
      <c r="M340" s="116">
        <f t="shared" ref="M340:M342" si="617">2*H340*J340/10^6*L340</f>
        <v>0.71679999999999999</v>
      </c>
      <c r="N340" s="118" t="s">
        <v>84</v>
      </c>
      <c r="P340" s="118"/>
      <c r="Q340" s="135"/>
      <c r="R340" s="118"/>
      <c r="S340" s="118"/>
      <c r="T340" s="118"/>
      <c r="U340" s="118"/>
      <c r="V340" s="118"/>
      <c r="W340" s="118"/>
      <c r="X340" s="118"/>
      <c r="Y340" s="118"/>
      <c r="Z340" s="118"/>
      <c r="AA340" s="118"/>
      <c r="AB340" s="118" t="s">
        <v>78</v>
      </c>
      <c r="AC340" s="136">
        <f>((((H340+J340)*2/1000)*L340*(5/(VLOOKUP(F340,[2]Plasmalõikus!$A$7:$E$46,2,FALSE)/1000*60)))+(Q340*L340*(5*(VLOOKUP(F340,[2]Plasmalõikus!$A$7:$E$48,3,FALSE))/60/60)))</f>
        <v>0.31111111111111106</v>
      </c>
      <c r="AD340" s="353" t="str">
        <f t="shared" ref="AD340:AD342" si="618">IF(C340="WQ",0.012*((H340+J340)*2/1000*L340),IF(OR(VALUE(MID(F340,6,10))&gt;=20,H340&gt;300,J340&gt;300),0.012*((H340+J340)*2/1000*L340)," "))</f>
        <v xml:space="preserve"> </v>
      </c>
      <c r="AE340" s="136"/>
      <c r="AF340" s="137"/>
      <c r="AG340" s="137">
        <f t="shared" ref="AG340:AG342" si="619">IF(VALUE(MID(F340,SEARCH(" ",F340)+1,LEN(F340)))&lt;35,0,IF(VALUE(MID(F340,SEARCH(" ",F340)+1,LEN(F340)))&lt;40,3,IF(VALUE(MID(F340,SEARCH(" ",F340)+1,LEN(F340)))&lt;50,4,IF(VALUE(MID(F340,SEARCH(" ",F340)+1,LEN(F340)))&lt;60,5,IF(VALUE(MID(F340,SEARCH(" ",F340)+1,LEN(F340)))&lt;70,6,IF(VALUE(MID(F340,SEARCH(" ",F340)+1,LEN(F340)))&lt;80,7,IF(VALUE(MID(F340,SEARCH(" ",F340)+1,LEN(F340)))&lt;90,8,IF(VALUE(MID(F340,SEARCH(" ",F340)+1,LEN(F340)))&lt;100,9,10))))))))/60*Q340*L340</f>
        <v>0</v>
      </c>
      <c r="AH340" s="136"/>
      <c r="AI340" s="132">
        <f t="shared" si="612"/>
        <v>0.93333333333333335</v>
      </c>
      <c r="AJ340" s="70"/>
      <c r="AK340" s="50">
        <v>2</v>
      </c>
      <c r="AL340" s="69" t="str">
        <f t="shared" ref="AL340:AL342" si="620">IF(AND(Q340&gt;0,A340&lt;3),"10",IF(AND(Q340&gt;0,A340&lt;10),"15",IF(AND(Q340&gt;0,A340&lt;20),"20",IF(AND(Q340&gt;0,A340&lt;500),"30",IF(AND(Q340=0,A340&lt;3),"2",IF(AND(Q340=0,A340&lt;10),"5",IF(AND(Q340=0,A340&lt;20),"10",IF(AND(Q340=0,A340&lt;500),"20","2"))))))))</f>
        <v>2</v>
      </c>
      <c r="AN340" s="66"/>
      <c r="AP340" s="146">
        <f>(VLOOKUP(F340,Terasehind!$A$2:$B$171,2,FALSE))</f>
        <v>0.92</v>
      </c>
      <c r="AQ340" s="50">
        <f>(VLOOKUP(F340,Terasehind!$A$2:$C$171,3,FALSE))</f>
        <v>1.1000000000000001</v>
      </c>
      <c r="AR340" s="138">
        <f t="shared" si="614"/>
        <v>14.236006400000003</v>
      </c>
      <c r="AS340"/>
      <c r="AT340"/>
      <c r="AU340"/>
      <c r="AV340"/>
      <c r="AW340"/>
      <c r="AX340"/>
      <c r="AY340"/>
      <c r="AZ340"/>
      <c r="BA340" s="188"/>
      <c r="BB340" s="189"/>
      <c r="BC340" s="57"/>
      <c r="BD340" s="57"/>
      <c r="BE340" s="57"/>
      <c r="BF340" s="57"/>
      <c r="BG340" s="57"/>
      <c r="BH340" s="57"/>
      <c r="BI340" s="57"/>
      <c r="BJ340" s="57"/>
      <c r="BK340" s="109"/>
      <c r="BL340" s="109"/>
      <c r="BM340" s="109"/>
      <c r="BN340" s="83"/>
      <c r="BP340" s="83"/>
      <c r="BQ340" s="83"/>
    </row>
    <row r="341" spans="1:69" s="50" customFormat="1" x14ac:dyDescent="0.25">
      <c r="A341" s="116">
        <f t="shared" si="615"/>
        <v>3.6172800000000001</v>
      </c>
      <c r="B341" s="116">
        <f t="shared" si="616"/>
        <v>50.641919999999999</v>
      </c>
      <c r="C341" s="118"/>
      <c r="D341" s="117" t="s">
        <v>85</v>
      </c>
      <c r="E341" s="117"/>
      <c r="F341" s="355" t="s">
        <v>337</v>
      </c>
      <c r="G341" s="117" t="s">
        <v>83</v>
      </c>
      <c r="H341" s="119">
        <f>H339+20</f>
        <v>180</v>
      </c>
      <c r="I341" s="118" t="s">
        <v>77</v>
      </c>
      <c r="J341" s="119">
        <f>H339*2</f>
        <v>320</v>
      </c>
      <c r="K341" s="119">
        <v>2</v>
      </c>
      <c r="L341" s="119">
        <f>K$341*L$338</f>
        <v>14</v>
      </c>
      <c r="M341" s="116">
        <f t="shared" si="617"/>
        <v>1.6128</v>
      </c>
      <c r="N341" s="118" t="s">
        <v>84</v>
      </c>
      <c r="P341" s="118"/>
      <c r="Q341" s="135">
        <v>4</v>
      </c>
      <c r="R341" s="118"/>
      <c r="S341" s="118"/>
      <c r="T341" s="118"/>
      <c r="U341" s="118"/>
      <c r="V341" s="118"/>
      <c r="W341" s="118"/>
      <c r="X341" s="118"/>
      <c r="Y341" s="118"/>
      <c r="Z341" s="118"/>
      <c r="AA341" s="118"/>
      <c r="AB341" s="118" t="s">
        <v>78</v>
      </c>
      <c r="AC341" s="136">
        <f>((((H341+J341)*2/1000)*L341*(5/(VLOOKUP(F341,[2]Plasmalõikus!$A$7:$E$46,2,FALSE)/1000*60)))+(Q341*L341*(5*(VLOOKUP(F341,[2]Plasmalõikus!$A$7:$E$48,3,FALSE))/60/60)))</f>
        <v>1.0111111111111111</v>
      </c>
      <c r="AD341" s="353">
        <f t="shared" si="618"/>
        <v>0.16800000000000001</v>
      </c>
      <c r="AE341" s="136"/>
      <c r="AF341" s="137"/>
      <c r="AG341" s="137">
        <f t="shared" si="619"/>
        <v>0</v>
      </c>
      <c r="AH341" s="136"/>
      <c r="AI341" s="132">
        <f t="shared" si="612"/>
        <v>3.5</v>
      </c>
      <c r="AJ341" s="70">
        <f>(H341*3*AK341)*2*L341/1000</f>
        <v>30.24</v>
      </c>
      <c r="AK341" s="50">
        <v>2</v>
      </c>
      <c r="AL341" s="69" t="str">
        <f t="shared" si="620"/>
        <v>15</v>
      </c>
      <c r="AN341" s="66"/>
      <c r="AP341" s="146">
        <f>(VLOOKUP(F341,Terasehind!$A$2:$B$171,2,FALSE))</f>
        <v>0.92</v>
      </c>
      <c r="AQ341" s="50">
        <f>(VLOOKUP(F341,Terasehind!$A$2:$C$171,3,FALSE))</f>
        <v>1.1000000000000001</v>
      </c>
      <c r="AR341" s="138">
        <f t="shared" si="614"/>
        <v>51.24962304000001</v>
      </c>
      <c r="AS341"/>
      <c r="AT341"/>
      <c r="AU341"/>
      <c r="AV341"/>
      <c r="AW341"/>
      <c r="AX341"/>
      <c r="AY341"/>
      <c r="AZ341"/>
      <c r="BA341" s="188">
        <f t="shared" ref="BA341:BA342" si="621">(H341*2+J341*2)*2*2/60/1000*L341</f>
        <v>0.93333333333333335</v>
      </c>
      <c r="BB341" s="189"/>
      <c r="BC341" s="57"/>
      <c r="BD341" s="57"/>
      <c r="BE341" s="57"/>
      <c r="BF341" s="57"/>
      <c r="BG341" s="57"/>
      <c r="BH341" s="57"/>
      <c r="BI341" s="57"/>
      <c r="BJ341" s="57"/>
      <c r="BK341" s="109"/>
      <c r="BL341" s="109"/>
      <c r="BM341" s="109"/>
      <c r="BN341" s="83"/>
      <c r="BP341" s="83"/>
      <c r="BQ341" s="83"/>
    </row>
    <row r="342" spans="1:69" s="50" customFormat="1" x14ac:dyDescent="0.25">
      <c r="A342" s="116">
        <f t="shared" si="615"/>
        <v>2.2608000000000001</v>
      </c>
      <c r="B342" s="116">
        <f t="shared" si="616"/>
        <v>15.825600000000001</v>
      </c>
      <c r="C342" s="118" t="s">
        <v>489</v>
      </c>
      <c r="D342" s="117" t="s">
        <v>85</v>
      </c>
      <c r="E342" s="117"/>
      <c r="F342" s="355" t="s">
        <v>87</v>
      </c>
      <c r="G342" s="117" t="s">
        <v>83</v>
      </c>
      <c r="H342" s="119">
        <v>120</v>
      </c>
      <c r="I342" s="118" t="s">
        <v>77</v>
      </c>
      <c r="J342" s="119">
        <v>160</v>
      </c>
      <c r="K342" s="119">
        <v>1</v>
      </c>
      <c r="L342" s="119">
        <f>K$342*L$338</f>
        <v>7</v>
      </c>
      <c r="M342" s="116">
        <f t="shared" si="617"/>
        <v>0.26879999999999998</v>
      </c>
      <c r="N342" s="118" t="s">
        <v>84</v>
      </c>
      <c r="P342" s="118"/>
      <c r="Q342" s="135">
        <v>1</v>
      </c>
      <c r="R342" s="118"/>
      <c r="S342" s="118"/>
      <c r="T342" s="118"/>
      <c r="U342" s="118"/>
      <c r="V342" s="118"/>
      <c r="W342" s="118"/>
      <c r="X342" s="118"/>
      <c r="Y342" s="118"/>
      <c r="Z342" s="118"/>
      <c r="AA342" s="118"/>
      <c r="AB342" s="118" t="s">
        <v>78</v>
      </c>
      <c r="AC342" s="136">
        <f>((((H342+J342)*2/1000)*L342*(5/(VLOOKUP(F342,[2]Plasmalõikus!$A$7:$E$46,2,FALSE)/1000*60)))+(Q342*L342*(5*(VLOOKUP(F342,[2]Plasmalõikus!$A$7:$E$48,3,FALSE))/60/60)))</f>
        <v>0.26898148148148149</v>
      </c>
      <c r="AD342" s="353" t="str">
        <f t="shared" si="618"/>
        <v xml:space="preserve"> </v>
      </c>
      <c r="AE342" s="136"/>
      <c r="AF342" s="137"/>
      <c r="AG342" s="137">
        <f t="shared" si="619"/>
        <v>0</v>
      </c>
      <c r="AH342" s="136"/>
      <c r="AI342" s="132">
        <f t="shared" si="612"/>
        <v>1.1666666666666667</v>
      </c>
      <c r="AJ342" s="70">
        <f>(H342*2*AK342)*L342/1000</f>
        <v>3.36</v>
      </c>
      <c r="AK342" s="50">
        <v>2</v>
      </c>
      <c r="AL342" s="69" t="str">
        <f t="shared" si="620"/>
        <v>10</v>
      </c>
      <c r="AN342" s="66"/>
      <c r="AP342" s="146">
        <f>(VLOOKUP(F342,Terasehind!$A$2:$B$171,2,FALSE))</f>
        <v>0.92</v>
      </c>
      <c r="AQ342" s="50">
        <f>(VLOOKUP(F342,Terasehind!$A$2:$C$171,3,FALSE))</f>
        <v>1.1000000000000001</v>
      </c>
      <c r="AR342" s="138">
        <f t="shared" si="614"/>
        <v>16.015507200000005</v>
      </c>
      <c r="AS342"/>
      <c r="AT342"/>
      <c r="AU342"/>
      <c r="AV342"/>
      <c r="AW342"/>
      <c r="AX342"/>
      <c r="AY342"/>
      <c r="AZ342"/>
      <c r="BA342" s="188">
        <f t="shared" si="621"/>
        <v>0.26133333333333336</v>
      </c>
      <c r="BB342" s="189"/>
      <c r="BC342" s="57"/>
      <c r="BD342" s="57"/>
      <c r="BE342" s="57"/>
      <c r="BF342" s="57"/>
      <c r="BG342" s="57"/>
      <c r="BH342" s="57"/>
      <c r="BI342" s="57"/>
      <c r="BJ342" s="57"/>
      <c r="BK342" s="109"/>
      <c r="BL342" s="109"/>
      <c r="BM342" s="109"/>
      <c r="BN342" s="83"/>
      <c r="BP342" s="83"/>
      <c r="BQ342" s="83"/>
    </row>
    <row r="343" spans="1:69" s="50" customFormat="1" x14ac:dyDescent="0.25">
      <c r="A343" s="116"/>
      <c r="B343" s="116"/>
      <c r="C343" s="118"/>
      <c r="D343" s="117"/>
      <c r="E343" s="117"/>
      <c r="F343" s="269"/>
      <c r="G343" s="117"/>
      <c r="H343" s="119"/>
      <c r="I343" s="118"/>
      <c r="J343" s="119"/>
      <c r="K343" s="119"/>
      <c r="L343" s="119"/>
      <c r="M343" s="119"/>
      <c r="N343" s="119"/>
      <c r="O343" s="119"/>
      <c r="P343" s="119"/>
      <c r="Q343" s="119"/>
      <c r="R343" s="118"/>
      <c r="S343" s="118"/>
      <c r="T343" s="118"/>
      <c r="U343" s="118"/>
      <c r="V343" s="118"/>
      <c r="W343" s="118"/>
      <c r="X343" s="118"/>
      <c r="Y343" s="118"/>
      <c r="Z343" s="118"/>
      <c r="AA343" s="118"/>
      <c r="AB343" s="118"/>
      <c r="AC343" s="136"/>
      <c r="AD343" s="136"/>
      <c r="AE343" s="136"/>
      <c r="AF343" s="136"/>
      <c r="AG343" s="136"/>
      <c r="AH343" s="136"/>
      <c r="AI343" s="132"/>
      <c r="AJ343" s="60"/>
      <c r="AN343" s="66"/>
      <c r="AP343" s="146"/>
      <c r="AR343" s="138"/>
      <c r="AT343" s="62"/>
      <c r="AU343" s="62"/>
      <c r="AV343" s="62"/>
      <c r="AW343" s="62"/>
      <c r="AX343" s="62"/>
      <c r="AY343" s="62"/>
      <c r="AZ343"/>
      <c r="BA343" s="192"/>
      <c r="BB343" s="188"/>
      <c r="BC343" s="57"/>
      <c r="BD343" s="57"/>
      <c r="BE343" s="57"/>
      <c r="BF343" s="57"/>
      <c r="BG343" s="57"/>
      <c r="BH343" s="57"/>
      <c r="BI343" s="57"/>
      <c r="BJ343" s="109"/>
      <c r="BK343" s="109"/>
      <c r="BL343" s="109"/>
      <c r="BM343" s="83"/>
      <c r="BO343" s="83"/>
      <c r="BP343" s="83"/>
    </row>
    <row r="344" spans="1:69" s="50" customFormat="1" x14ac:dyDescent="0.25">
      <c r="A344" s="148">
        <f>B344/L344</f>
        <v>182.7099</v>
      </c>
      <c r="B344" s="148">
        <f>SUM(B348,B347,B346,B345,0)</f>
        <v>1461.6792</v>
      </c>
      <c r="C344" s="152"/>
      <c r="D344" s="149" t="s">
        <v>76</v>
      </c>
      <c r="E344" s="149"/>
      <c r="F344" s="365" t="s">
        <v>378</v>
      </c>
      <c r="G344" s="174" t="str">
        <f>$G$163</f>
        <v>C3VH</v>
      </c>
      <c r="H344" s="150"/>
      <c r="I344" s="151" t="s">
        <v>77</v>
      </c>
      <c r="J344" s="150">
        <f>J345</f>
        <v>4250</v>
      </c>
      <c r="K344" s="134">
        <v>8</v>
      </c>
      <c r="L344" s="150">
        <f>$L$270*$K$344</f>
        <v>8</v>
      </c>
      <c r="M344" s="148">
        <f>SUM(M348,M347,M346,M345,0)</f>
        <v>24.898399999999999</v>
      </c>
      <c r="N344" s="151"/>
      <c r="O344" s="151"/>
      <c r="P344" s="151"/>
      <c r="Q344" s="151"/>
      <c r="R344" s="120"/>
      <c r="S344" s="120"/>
      <c r="T344" s="120"/>
      <c r="U344" s="120"/>
      <c r="V344" s="120"/>
      <c r="W344" s="118"/>
      <c r="X344" s="118" t="s">
        <v>78</v>
      </c>
      <c r="Y344" s="151">
        <v>4</v>
      </c>
      <c r="Z344" s="151"/>
      <c r="AA344" s="151"/>
      <c r="AB344" s="151"/>
      <c r="AC344" s="148">
        <f>SUM(AC348,AC347,AC346,AC345,0)</f>
        <v>2.5444444444444447</v>
      </c>
      <c r="AD344" s="148">
        <f>SUM(AD348,AD347,AD346,AD345,0)</f>
        <v>0</v>
      </c>
      <c r="AE344" s="148">
        <f>SUM(AE348,AE347,AE346,AE345,0)</f>
        <v>2.1333333333333333</v>
      </c>
      <c r="AF344" s="148">
        <f>SUM(AF348,AF347,AF346,AF345,0)</f>
        <v>3.4133333333333336</v>
      </c>
      <c r="AG344" s="148">
        <f>SUM(AG348,AG347,AG346,AG345,0)</f>
        <v>0</v>
      </c>
      <c r="AH344" s="107">
        <f>SUM(AC344:AG344)</f>
        <v>8.0911111111111111</v>
      </c>
      <c r="AI344" s="107">
        <f>SUM(AI348,AI347,AI346,AI345,0)</f>
        <v>10.399999999999999</v>
      </c>
      <c r="AJ344" s="148">
        <f>SUM(AJ348,AJ347,AJ346,AJ345,0)</f>
        <v>69.12</v>
      </c>
      <c r="AK344" s="107">
        <f>AJ344*10/60</f>
        <v>11.520000000000001</v>
      </c>
      <c r="AL344" s="148">
        <f>AH344+AI344+AK344</f>
        <v>30.011111111111113</v>
      </c>
      <c r="AM344" s="148">
        <f>B344/AL344</f>
        <v>48.704601258793041</v>
      </c>
      <c r="AN344" s="148">
        <f>AL344*46</f>
        <v>1380.5111111111112</v>
      </c>
      <c r="AO344" s="148">
        <f>AN344/B344</f>
        <v>0.94446928649673001</v>
      </c>
      <c r="AP344" s="148">
        <f>AR344/B344</f>
        <v>1.0680355514397415</v>
      </c>
      <c r="AQ344" s="67"/>
      <c r="AR344" s="148">
        <f>SUM(AR348,AR347,AR346,AR345,0)</f>
        <v>1561.1253504000001</v>
      </c>
      <c r="AT344" s="62"/>
      <c r="AU344" s="62"/>
      <c r="AV344" s="62"/>
      <c r="AW344" s="62"/>
      <c r="AX344" s="62"/>
      <c r="AY344" s="62"/>
      <c r="AZ344"/>
      <c r="BA344" s="148">
        <f>SUM(BA347,BA346,BA345,0)</f>
        <v>1.8986666666666665</v>
      </c>
      <c r="BB344" s="188"/>
      <c r="BC344" s="57"/>
      <c r="BD344" s="57"/>
      <c r="BE344" s="57"/>
      <c r="BF344" s="57"/>
      <c r="BG344" s="57"/>
      <c r="BH344" s="57"/>
      <c r="BI344" s="60"/>
    </row>
    <row r="345" spans="1:69" s="50" customFormat="1" x14ac:dyDescent="0.25">
      <c r="A345" s="116">
        <f xml:space="preserve"> 36.5*J345/10^3</f>
        <v>155.125</v>
      </c>
      <c r="B345" s="116">
        <f>A345*L345</f>
        <v>1241</v>
      </c>
      <c r="C345" s="299" t="s">
        <v>379</v>
      </c>
      <c r="D345" s="117" t="s">
        <v>76</v>
      </c>
      <c r="E345" s="117"/>
      <c r="F345" s="355" t="s">
        <v>426</v>
      </c>
      <c r="G345" s="140" t="s">
        <v>79</v>
      </c>
      <c r="H345" s="119">
        <v>160</v>
      </c>
      <c r="I345" s="118" t="s">
        <v>77</v>
      </c>
      <c r="J345" s="119">
        <v>4250</v>
      </c>
      <c r="K345" s="50">
        <v>1</v>
      </c>
      <c r="L345" s="119">
        <f>K$345*L$344</f>
        <v>8</v>
      </c>
      <c r="M345" s="131">
        <f xml:space="preserve"> 0.606*J345*L345/10^3</f>
        <v>20.603999999999999</v>
      </c>
      <c r="N345" s="118"/>
      <c r="O345" s="118"/>
      <c r="P345" s="118" t="s">
        <v>78</v>
      </c>
      <c r="Q345" s="135"/>
      <c r="R345" s="118"/>
      <c r="S345" s="118"/>
      <c r="T345" s="118"/>
      <c r="U345" s="118"/>
      <c r="V345" s="118"/>
      <c r="W345" s="118"/>
      <c r="Y345" s="118"/>
      <c r="Z345" s="118"/>
      <c r="AA345" s="118"/>
      <c r="AB345" s="118" t="s">
        <v>78</v>
      </c>
      <c r="AC345" s="116"/>
      <c r="AD345" s="83"/>
      <c r="AE345" s="136">
        <f t="shared" ref="AE345" si="622">(H345/20/60)*2*L345</f>
        <v>2.1333333333333333</v>
      </c>
      <c r="AF345" s="137">
        <f>(H345*4)*2*20/60/1000*L345</f>
        <v>3.4133333333333336</v>
      </c>
      <c r="AG345" s="132">
        <f t="shared" ref="AG345" si="623">Q345*L345*0.5/60</f>
        <v>0</v>
      </c>
      <c r="AH345" s="83"/>
      <c r="AI345" s="132">
        <f t="shared" ref="AI345:AI348" si="624">AL345*L345/60</f>
        <v>2.6666666666666665</v>
      </c>
      <c r="AJ345" s="70">
        <f t="shared" ref="AJ345" si="625">(H345*4*AK345)*2*L345/1000</f>
        <v>30.72</v>
      </c>
      <c r="AK345" s="50">
        <f>(VLOOKUP(F345,[2]Koostamine!$A$12:$P$1612,7,FALSE))</f>
        <v>3</v>
      </c>
      <c r="AL345" s="69">
        <f>VLOOKUP(F345,[2]Koostamine!$A$12:$P$1612,IF(J345&lt;1499,11,IF(J345&lt;2999,12,IF(J345&lt;5999,13,IF(J345&lt;9999,14,IF(J345&lt;12999,15,IF(J345&gt;13000,16)))))),FALSE)</f>
        <v>20</v>
      </c>
      <c r="AP345" s="146">
        <f>(VLOOKUP(F345,Terasehind!$A$2:$B$171,2,FALSE))</f>
        <v>0.98</v>
      </c>
      <c r="AQ345" s="50">
        <f>(VLOOKUP(F345,Terasehind!$A$2:$C$171,3,FALSE))</f>
        <v>1.1000000000000001</v>
      </c>
      <c r="AR345" s="138">
        <f t="shared" ref="AR345:AR348" si="626">AP345*AQ345*B345</f>
        <v>1337.798</v>
      </c>
      <c r="AT345" s="62"/>
      <c r="AU345" s="62"/>
      <c r="AV345" s="62"/>
      <c r="AW345" s="62"/>
      <c r="AX345" s="62"/>
      <c r="AY345" s="62"/>
      <c r="AZ345"/>
      <c r="BA345" s="188">
        <f>(H345*4)*2*2/60/1000*L345</f>
        <v>0.34133333333333332</v>
      </c>
      <c r="BB345" s="189"/>
      <c r="BC345" s="57"/>
      <c r="BD345" s="57"/>
      <c r="BE345" s="57"/>
      <c r="BF345" s="57"/>
      <c r="BG345" s="57"/>
      <c r="BH345" s="57"/>
      <c r="BI345" s="57"/>
      <c r="BJ345" s="60"/>
      <c r="BK345" s="57"/>
      <c r="BL345" s="60"/>
      <c r="BM345" s="83"/>
      <c r="BO345" s="109"/>
    </row>
    <row r="346" spans="1:69" s="50" customFormat="1" x14ac:dyDescent="0.25">
      <c r="A346" s="116">
        <f t="shared" ref="A346:A348" si="627">H346*J346*(RIGHT(F346,2))*7.85/(10^6)</f>
        <v>0.50239999999999996</v>
      </c>
      <c r="B346" s="116">
        <f t="shared" ref="B346:B348" si="628">A346*L346</f>
        <v>16.076799999999999</v>
      </c>
      <c r="C346" s="118" t="s">
        <v>80</v>
      </c>
      <c r="D346" s="117" t="s">
        <v>81</v>
      </c>
      <c r="E346" s="117"/>
      <c r="F346" s="355" t="s">
        <v>324</v>
      </c>
      <c r="G346" s="117" t="s">
        <v>83</v>
      </c>
      <c r="H346" s="119">
        <f>H345/2</f>
        <v>80</v>
      </c>
      <c r="I346" s="118" t="s">
        <v>77</v>
      </c>
      <c r="J346" s="119">
        <f>H345</f>
        <v>160</v>
      </c>
      <c r="K346" s="119">
        <v>4</v>
      </c>
      <c r="L346" s="119">
        <f>K$346*L$344</f>
        <v>32</v>
      </c>
      <c r="M346" s="116">
        <f t="shared" ref="M346:M348" si="629">2*H346*J346/10^6*L346</f>
        <v>0.81920000000000004</v>
      </c>
      <c r="N346" s="118" t="s">
        <v>84</v>
      </c>
      <c r="P346" s="118"/>
      <c r="Q346" s="135"/>
      <c r="R346" s="118"/>
      <c r="S346" s="118"/>
      <c r="T346" s="118"/>
      <c r="U346" s="118"/>
      <c r="V346" s="118"/>
      <c r="W346" s="118"/>
      <c r="X346" s="118"/>
      <c r="Y346" s="118"/>
      <c r="Z346" s="118"/>
      <c r="AA346" s="118"/>
      <c r="AB346" s="118" t="s">
        <v>78</v>
      </c>
      <c r="AC346" s="136">
        <f>((((H346+J346)*2/1000)*L346*(5/(VLOOKUP(F346,[2]Plasmalõikus!$A$7:$E$46,2,FALSE)/1000*60)))+(Q346*L346*(5*(VLOOKUP(F346,[2]Plasmalõikus!$A$7:$E$48,3,FALSE))/60/60)))</f>
        <v>0.35555555555555551</v>
      </c>
      <c r="AD346" s="353" t="str">
        <f t="shared" ref="AD346" si="630">IF(C346="WQ",0.012*((H346+J346)*2/1000*L346),IF(OR(VALUE(MID(F346,6,10))&gt;=20,H346&gt;300,J346&gt;300),0.012*((H346+J346)*2/1000*L346)," "))</f>
        <v xml:space="preserve"> </v>
      </c>
      <c r="AE346" s="136"/>
      <c r="AF346" s="137"/>
      <c r="AG346" s="137">
        <f t="shared" ref="AG346:AG348" si="631">IF(VALUE(MID(F346,SEARCH(" ",F346)+1,LEN(F346)))&lt;35,0,IF(VALUE(MID(F346,SEARCH(" ",F346)+1,LEN(F346)))&lt;40,3,IF(VALUE(MID(F346,SEARCH(" ",F346)+1,LEN(F346)))&lt;50,4,IF(VALUE(MID(F346,SEARCH(" ",F346)+1,LEN(F346)))&lt;60,5,IF(VALUE(MID(F346,SEARCH(" ",F346)+1,LEN(F346)))&lt;70,6,IF(VALUE(MID(F346,SEARCH(" ",F346)+1,LEN(F346)))&lt;80,7,IF(VALUE(MID(F346,SEARCH(" ",F346)+1,LEN(F346)))&lt;90,8,IF(VALUE(MID(F346,SEARCH(" ",F346)+1,LEN(F346)))&lt;100,9,10))))))))/60*Q346*L346</f>
        <v>0</v>
      </c>
      <c r="AH346" s="136"/>
      <c r="AI346" s="132">
        <f t="shared" si="624"/>
        <v>1.0666666666666667</v>
      </c>
      <c r="AJ346" s="70"/>
      <c r="AK346" s="50">
        <v>2</v>
      </c>
      <c r="AL346" s="69" t="str">
        <f t="shared" ref="AL346:AL348" si="632">IF(AND(Q346&gt;0,A346&lt;3),"10",IF(AND(Q346&gt;0,A346&lt;10),"15",IF(AND(Q346&gt;0,A346&lt;20),"20",IF(AND(Q346&gt;0,A346&lt;500),"30",IF(AND(Q346=0,A346&lt;3),"2",IF(AND(Q346=0,A346&lt;10),"5",IF(AND(Q346=0,A346&lt;20),"10",IF(AND(Q346=0,A346&lt;500),"20","2"))))))))</f>
        <v>2</v>
      </c>
      <c r="AN346" s="66"/>
      <c r="AP346" s="146">
        <f>(VLOOKUP(F346,Terasehind!$A$2:$B$171,2,FALSE))</f>
        <v>0.92</v>
      </c>
      <c r="AQ346" s="50">
        <f>(VLOOKUP(F346,Terasehind!$A$2:$C$171,3,FALSE))</f>
        <v>1.1000000000000001</v>
      </c>
      <c r="AR346" s="138">
        <f t="shared" si="626"/>
        <v>16.269721600000004</v>
      </c>
      <c r="AS346"/>
      <c r="AT346"/>
      <c r="AU346"/>
      <c r="AV346"/>
      <c r="AW346"/>
      <c r="AX346"/>
      <c r="AY346"/>
      <c r="AZ346"/>
      <c r="BA346" s="188"/>
      <c r="BB346" s="189"/>
      <c r="BC346" s="57"/>
      <c r="BD346" s="57"/>
      <c r="BE346" s="57"/>
      <c r="BF346" s="57"/>
      <c r="BG346" s="57"/>
      <c r="BH346" s="57"/>
      <c r="BI346" s="57"/>
      <c r="BJ346" s="57"/>
      <c r="BK346" s="109"/>
      <c r="BL346" s="109"/>
      <c r="BM346" s="109"/>
      <c r="BN346" s="83"/>
      <c r="BP346" s="83"/>
      <c r="BQ346" s="83"/>
    </row>
    <row r="347" spans="1:69" s="50" customFormat="1" x14ac:dyDescent="0.25">
      <c r="A347" s="116">
        <f t="shared" si="627"/>
        <v>11.657249999999999</v>
      </c>
      <c r="B347" s="116">
        <f t="shared" si="628"/>
        <v>186.51599999999999</v>
      </c>
      <c r="C347" s="118"/>
      <c r="D347" s="117" t="s">
        <v>85</v>
      </c>
      <c r="E347" s="117"/>
      <c r="F347" s="355" t="s">
        <v>87</v>
      </c>
      <c r="G347" s="117" t="s">
        <v>83</v>
      </c>
      <c r="H347" s="119">
        <f>H345+20</f>
        <v>180</v>
      </c>
      <c r="I347" s="118" t="s">
        <v>77</v>
      </c>
      <c r="J347" s="119">
        <v>550</v>
      </c>
      <c r="K347" s="119">
        <v>2</v>
      </c>
      <c r="L347" s="119">
        <f>K$347*L$344</f>
        <v>16</v>
      </c>
      <c r="M347" s="116">
        <f t="shared" si="629"/>
        <v>3.1680000000000001</v>
      </c>
      <c r="N347" s="118" t="s">
        <v>84</v>
      </c>
      <c r="P347" s="118"/>
      <c r="Q347" s="135">
        <v>4</v>
      </c>
      <c r="R347" s="118"/>
      <c r="S347" s="118"/>
      <c r="T347" s="118"/>
      <c r="U347" s="118"/>
      <c r="V347" s="118"/>
      <c r="W347" s="118"/>
      <c r="X347" s="118"/>
      <c r="Y347" s="118"/>
      <c r="Z347" s="118"/>
      <c r="AA347" s="118"/>
      <c r="AB347" s="118" t="s">
        <v>78</v>
      </c>
      <c r="AC347" s="136">
        <f>((((H347+J347)*2/1000)*L347*(5/(VLOOKUP(F347,[2]Plasmalõikus!$A$7:$E$46,2,FALSE)/1000*60)))+(Q347*L347*(5*(VLOOKUP(F347,[2]Plasmalõikus!$A$7:$E$48,3,FALSE))/60/60)))</f>
        <v>1.8814814814814815</v>
      </c>
      <c r="AD347" s="353"/>
      <c r="AE347" s="136"/>
      <c r="AF347" s="137"/>
      <c r="AG347" s="137">
        <f t="shared" si="631"/>
        <v>0</v>
      </c>
      <c r="AH347" s="136"/>
      <c r="AI347" s="132">
        <f t="shared" si="624"/>
        <v>5.333333333333333</v>
      </c>
      <c r="AJ347" s="70">
        <f>(H347*3*AK347)*2*L347/1000</f>
        <v>34.56</v>
      </c>
      <c r="AK347" s="50">
        <v>2</v>
      </c>
      <c r="AL347" s="69" t="str">
        <f t="shared" si="632"/>
        <v>20</v>
      </c>
      <c r="AN347" s="66"/>
      <c r="AP347" s="146">
        <f>(VLOOKUP(F347,Terasehind!$A$2:$B$171,2,FALSE))</f>
        <v>0.92</v>
      </c>
      <c r="AQ347" s="50">
        <f>(VLOOKUP(F347,Terasehind!$A$2:$C$171,3,FALSE))</f>
        <v>1.1000000000000001</v>
      </c>
      <c r="AR347" s="138">
        <f t="shared" si="626"/>
        <v>188.75419200000005</v>
      </c>
      <c r="AS347"/>
      <c r="AT347"/>
      <c r="AU347"/>
      <c r="AV347"/>
      <c r="AW347"/>
      <c r="AX347"/>
      <c r="AY347"/>
      <c r="AZ347"/>
      <c r="BA347" s="188">
        <f t="shared" ref="BA347:BA348" si="633">(H347*2+J347*2)*2*2/60/1000*L347</f>
        <v>1.5573333333333332</v>
      </c>
      <c r="BB347" s="189"/>
      <c r="BC347" s="57"/>
      <c r="BD347" s="57"/>
      <c r="BE347" s="57"/>
      <c r="BF347" s="57"/>
      <c r="BG347" s="57"/>
      <c r="BH347" s="57"/>
      <c r="BI347" s="57"/>
      <c r="BJ347" s="57"/>
      <c r="BK347" s="109"/>
      <c r="BL347" s="109"/>
      <c r="BM347" s="109"/>
      <c r="BN347" s="83"/>
      <c r="BP347" s="83"/>
      <c r="BQ347" s="83"/>
    </row>
    <row r="348" spans="1:69" s="50" customFormat="1" x14ac:dyDescent="0.25">
      <c r="A348" s="116">
        <f t="shared" si="627"/>
        <v>2.2608000000000001</v>
      </c>
      <c r="B348" s="116">
        <f t="shared" si="628"/>
        <v>18.086400000000001</v>
      </c>
      <c r="C348" s="118" t="s">
        <v>489</v>
      </c>
      <c r="D348" s="117" t="s">
        <v>85</v>
      </c>
      <c r="E348" s="117"/>
      <c r="F348" s="355" t="s">
        <v>87</v>
      </c>
      <c r="G348" s="117" t="s">
        <v>83</v>
      </c>
      <c r="H348" s="119">
        <v>120</v>
      </c>
      <c r="I348" s="118" t="s">
        <v>77</v>
      </c>
      <c r="J348" s="119">
        <v>160</v>
      </c>
      <c r="K348" s="119">
        <v>1</v>
      </c>
      <c r="L348" s="119">
        <f>K$348*L$344</f>
        <v>8</v>
      </c>
      <c r="M348" s="116">
        <f t="shared" si="629"/>
        <v>0.30719999999999997</v>
      </c>
      <c r="N348" s="118" t="s">
        <v>84</v>
      </c>
      <c r="P348" s="118"/>
      <c r="Q348" s="135">
        <v>1</v>
      </c>
      <c r="R348" s="118"/>
      <c r="S348" s="118"/>
      <c r="T348" s="118"/>
      <c r="U348" s="118"/>
      <c r="V348" s="118"/>
      <c r="W348" s="118"/>
      <c r="X348" s="118"/>
      <c r="Y348" s="118"/>
      <c r="Z348" s="118"/>
      <c r="AA348" s="118"/>
      <c r="AB348" s="118" t="s">
        <v>78</v>
      </c>
      <c r="AC348" s="136">
        <f>((((H348+J348)*2/1000)*L348*(5/(VLOOKUP(F348,[2]Plasmalõikus!$A$7:$E$46,2,FALSE)/1000*60)))+(Q348*L348*(5*(VLOOKUP(F348,[2]Plasmalõikus!$A$7:$E$48,3,FALSE))/60/60)))</f>
        <v>0.30740740740740746</v>
      </c>
      <c r="AD348" s="353" t="str">
        <f t="shared" ref="AD348" si="634">IF(C348="WQ",0.012*((H348+J348)*2/1000*L348),IF(OR(VALUE(MID(F348,6,10))&gt;=20,H348&gt;300,J348&gt;300),0.012*((H348+J348)*2/1000*L348)," "))</f>
        <v xml:space="preserve"> </v>
      </c>
      <c r="AE348" s="136"/>
      <c r="AF348" s="137"/>
      <c r="AG348" s="137">
        <f t="shared" si="631"/>
        <v>0</v>
      </c>
      <c r="AH348" s="136"/>
      <c r="AI348" s="132">
        <f t="shared" si="624"/>
        <v>1.3333333333333333</v>
      </c>
      <c r="AJ348" s="70">
        <f>(H348*2*AK348)*L348/1000</f>
        <v>3.84</v>
      </c>
      <c r="AK348" s="50">
        <v>2</v>
      </c>
      <c r="AL348" s="69" t="str">
        <f t="shared" si="632"/>
        <v>10</v>
      </c>
      <c r="AN348" s="66"/>
      <c r="AP348" s="146">
        <f>(VLOOKUP(F348,Terasehind!$A$2:$B$171,2,FALSE))</f>
        <v>0.92</v>
      </c>
      <c r="AQ348" s="50">
        <f>(VLOOKUP(F348,Terasehind!$A$2:$C$171,3,FALSE))</f>
        <v>1.1000000000000001</v>
      </c>
      <c r="AR348" s="138">
        <f t="shared" si="626"/>
        <v>18.303436800000004</v>
      </c>
      <c r="AS348"/>
      <c r="AT348"/>
      <c r="AU348"/>
      <c r="AV348"/>
      <c r="AW348"/>
      <c r="AX348"/>
      <c r="AY348"/>
      <c r="AZ348"/>
      <c r="BA348" s="188">
        <f t="shared" si="633"/>
        <v>0.29866666666666669</v>
      </c>
      <c r="BB348" s="189"/>
      <c r="BC348" s="57"/>
      <c r="BD348" s="57"/>
      <c r="BE348" s="57"/>
      <c r="BF348" s="57"/>
      <c r="BG348" s="57"/>
      <c r="BH348" s="57"/>
      <c r="BI348" s="57"/>
      <c r="BJ348" s="57"/>
      <c r="BK348" s="109"/>
      <c r="BL348" s="109"/>
      <c r="BM348" s="109"/>
      <c r="BN348" s="83"/>
      <c r="BP348" s="83"/>
      <c r="BQ348" s="83"/>
    </row>
    <row r="349" spans="1:69" s="50" customFormat="1" x14ac:dyDescent="0.25">
      <c r="A349" s="116"/>
      <c r="B349" s="116"/>
      <c r="C349" s="118"/>
      <c r="D349" s="117"/>
      <c r="E349" s="117"/>
      <c r="F349" s="269"/>
      <c r="G349" s="117"/>
      <c r="H349" s="119"/>
      <c r="I349" s="118"/>
      <c r="J349" s="119"/>
      <c r="K349" s="119"/>
      <c r="L349" s="119"/>
      <c r="M349" s="119"/>
      <c r="N349" s="119"/>
      <c r="O349" s="119"/>
      <c r="P349" s="119"/>
      <c r="Q349" s="119"/>
      <c r="R349" s="118"/>
      <c r="S349" s="118"/>
      <c r="T349" s="118"/>
      <c r="U349" s="118"/>
      <c r="V349" s="118"/>
      <c r="W349" s="118"/>
      <c r="X349" s="118"/>
      <c r="Y349" s="118"/>
      <c r="Z349" s="118"/>
      <c r="AA349" s="118"/>
      <c r="AB349" s="118"/>
      <c r="AC349" s="136"/>
      <c r="AD349" s="136"/>
      <c r="AE349" s="136"/>
      <c r="AF349" s="136"/>
      <c r="AG349" s="136"/>
      <c r="AH349" s="136"/>
      <c r="AI349" s="132"/>
      <c r="AJ349" s="60"/>
      <c r="AN349" s="66"/>
      <c r="AP349" s="146"/>
      <c r="AR349" s="138"/>
      <c r="AT349" s="62"/>
      <c r="AU349" s="62"/>
      <c r="AV349" s="62"/>
      <c r="AW349" s="62"/>
      <c r="AX349" s="62"/>
      <c r="AY349" s="62"/>
      <c r="AZ349"/>
      <c r="BA349" s="192"/>
      <c r="BB349" s="188"/>
      <c r="BC349" s="57"/>
      <c r="BD349" s="57"/>
      <c r="BE349" s="57"/>
      <c r="BF349" s="57"/>
      <c r="BG349" s="57"/>
      <c r="BH349" s="57"/>
      <c r="BI349" s="57"/>
      <c r="BJ349" s="109"/>
      <c r="BK349" s="109"/>
      <c r="BL349" s="109"/>
      <c r="BM349" s="83"/>
      <c r="BO349" s="83"/>
      <c r="BP349" s="83"/>
    </row>
    <row r="350" spans="1:69" s="50" customFormat="1" x14ac:dyDescent="0.25">
      <c r="A350" s="148">
        <f>B350/L350</f>
        <v>229.75107499999999</v>
      </c>
      <c r="B350" s="148">
        <f>SUM(B355,B354,B353,B352,B351,0)</f>
        <v>2757.0128999999997</v>
      </c>
      <c r="C350" s="152"/>
      <c r="D350" s="149" t="s">
        <v>76</v>
      </c>
      <c r="E350" s="149"/>
      <c r="F350" s="365" t="s">
        <v>378</v>
      </c>
      <c r="G350" s="174" t="str">
        <f>$G$163</f>
        <v>C3VH</v>
      </c>
      <c r="H350" s="150"/>
      <c r="I350" s="151" t="s">
        <v>77</v>
      </c>
      <c r="J350" s="150">
        <f>J351</f>
        <v>4250</v>
      </c>
      <c r="K350" s="134">
        <v>12</v>
      </c>
      <c r="L350" s="150">
        <f>$L$270*$K$350</f>
        <v>12</v>
      </c>
      <c r="M350" s="148">
        <f>SUM(M355,M354,M353,M352,M351,0)</f>
        <v>42.414000000000001</v>
      </c>
      <c r="N350" s="151"/>
      <c r="O350" s="151"/>
      <c r="P350" s="151"/>
      <c r="Q350" s="151"/>
      <c r="R350" s="120"/>
      <c r="S350" s="120"/>
      <c r="T350" s="120"/>
      <c r="U350" s="120"/>
      <c r="V350" s="120"/>
      <c r="W350" s="118"/>
      <c r="X350" s="118" t="s">
        <v>78</v>
      </c>
      <c r="Y350" s="151">
        <v>4</v>
      </c>
      <c r="Z350" s="151"/>
      <c r="AA350" s="151"/>
      <c r="AB350" s="151"/>
      <c r="AC350" s="148">
        <f>SUM(AC355,AC354,AC353,AC352,AC351,0)</f>
        <v>6.0801587301587308</v>
      </c>
      <c r="AD350" s="148">
        <f>SUM(AD355,AD354,AD353,AD352,AD351,0)</f>
        <v>0</v>
      </c>
      <c r="AE350" s="148">
        <f>SUM(AE355,AE354,AE353,AE352,AE351,0)</f>
        <v>3.5999999999999996</v>
      </c>
      <c r="AF350" s="148">
        <f>SUM(AF355,AF354,AF353,AF352,AF351,0)</f>
        <v>5.76</v>
      </c>
      <c r="AG350" s="148">
        <f>SUM(AG355,AG354,AG353,AG352,AG351,0)</f>
        <v>0</v>
      </c>
      <c r="AH350" s="107">
        <f>SUM(AC350:AG350)</f>
        <v>15.44015873015873</v>
      </c>
      <c r="AI350" s="107">
        <f>SUM(AI355,AI354,AI353,AI352,AI351,0)</f>
        <v>19.600000000000001</v>
      </c>
      <c r="AJ350" s="148">
        <f>SUM(AJ355,AJ354,AJ353,AJ352,AJ351,0)</f>
        <v>82.56</v>
      </c>
      <c r="AK350" s="107">
        <f>AJ350*10/60</f>
        <v>13.76</v>
      </c>
      <c r="AL350" s="148">
        <f>AH350+AI350+AK350</f>
        <v>48.800158730158728</v>
      </c>
      <c r="AM350" s="148">
        <f>B350/AL350</f>
        <v>56.495982220978981</v>
      </c>
      <c r="AN350" s="148">
        <f>AL350*46</f>
        <v>2244.8073015873015</v>
      </c>
      <c r="AO350" s="148">
        <f>AN350/B350</f>
        <v>0.81421719194251929</v>
      </c>
      <c r="AP350" s="148">
        <f>AR350/B350</f>
        <v>1.0626667923098947</v>
      </c>
      <c r="AQ350" s="67"/>
      <c r="AR350" s="148">
        <f>SUM(AR355,AR354,AR353,AR352,AR351,0)</f>
        <v>2929.7860547999999</v>
      </c>
      <c r="AT350" s="62"/>
      <c r="AU350" s="62"/>
      <c r="AV350" s="62"/>
      <c r="AW350" s="62"/>
      <c r="AX350" s="62"/>
      <c r="AY350" s="62"/>
      <c r="AZ350"/>
      <c r="BA350" s="148">
        <f>SUM(BA355,BA354,BA353,BA352,BA351,0)</f>
        <v>1.7760000000000002</v>
      </c>
      <c r="BB350" s="188"/>
      <c r="BC350" s="57"/>
      <c r="BD350" s="57"/>
      <c r="BE350" s="57"/>
      <c r="BF350" s="57"/>
      <c r="BG350" s="57"/>
      <c r="BH350" s="57"/>
      <c r="BI350" s="60"/>
    </row>
    <row r="351" spans="1:69" s="50" customFormat="1" x14ac:dyDescent="0.25">
      <c r="A351" s="116">
        <f xml:space="preserve"> 41.5*J351/10^3</f>
        <v>176.375</v>
      </c>
      <c r="B351" s="116">
        <f>A351*L351</f>
        <v>2116.5</v>
      </c>
      <c r="C351" s="299" t="s">
        <v>379</v>
      </c>
      <c r="D351" s="117" t="s">
        <v>76</v>
      </c>
      <c r="E351" s="117"/>
      <c r="F351" s="355" t="s">
        <v>385</v>
      </c>
      <c r="G351" s="140" t="s">
        <v>79</v>
      </c>
      <c r="H351" s="119">
        <v>180</v>
      </c>
      <c r="I351" s="118" t="s">
        <v>77</v>
      </c>
      <c r="J351" s="119">
        <v>4250</v>
      </c>
      <c r="K351" s="50">
        <v>1</v>
      </c>
      <c r="L351" s="119">
        <f>K$351*L$350</f>
        <v>12</v>
      </c>
      <c r="M351" s="131">
        <f xml:space="preserve"> 0.686*J351*L351/10^3</f>
        <v>34.986000000000004</v>
      </c>
      <c r="N351" s="118"/>
      <c r="O351" s="118"/>
      <c r="P351" s="118" t="s">
        <v>78</v>
      </c>
      <c r="Q351" s="135"/>
      <c r="R351" s="118"/>
      <c r="S351" s="118"/>
      <c r="T351" s="118"/>
      <c r="U351" s="118"/>
      <c r="V351" s="118"/>
      <c r="W351" s="118"/>
      <c r="Y351" s="118"/>
      <c r="Z351" s="118"/>
      <c r="AA351" s="118"/>
      <c r="AB351" s="118" t="s">
        <v>78</v>
      </c>
      <c r="AC351" s="116"/>
      <c r="AD351" s="83"/>
      <c r="AE351" s="136">
        <f t="shared" ref="AE351" si="635">(H351/20/60)*2*L351</f>
        <v>3.5999999999999996</v>
      </c>
      <c r="AF351" s="137">
        <f>(H351*4)*2*20/60/1000*L351</f>
        <v>5.76</v>
      </c>
      <c r="AG351" s="132">
        <f t="shared" ref="AG351" si="636">Q351*L351*0.5/60</f>
        <v>0</v>
      </c>
      <c r="AH351" s="83"/>
      <c r="AI351" s="132">
        <f t="shared" ref="AI351:AI355" si="637">AL351*L351/60</f>
        <v>4</v>
      </c>
      <c r="AJ351" s="70">
        <f t="shared" ref="AJ351" si="638">(H351*4*AK351)*2*L351/1000</f>
        <v>17.28</v>
      </c>
      <c r="AK351" s="318">
        <v>1</v>
      </c>
      <c r="AL351" s="69">
        <f>VLOOKUP(F351,[2]Koostamine!$A$12:$P$1612,IF(J351&lt;1499,11,IF(J351&lt;2999,12,IF(J351&lt;5999,13,IF(J351&lt;9999,14,IF(J351&lt;12999,15,IF(J351&gt;13000,16)))))),FALSE)</f>
        <v>20</v>
      </c>
      <c r="AP351" s="146">
        <f>(VLOOKUP(F351,Terasehind!$A$2:$B$171,2,FALSE))</f>
        <v>0.98</v>
      </c>
      <c r="AQ351" s="50">
        <f>(VLOOKUP(F351,Terasehind!$A$2:$C$171,3,FALSE))</f>
        <v>1.1000000000000001</v>
      </c>
      <c r="AR351" s="138">
        <f t="shared" ref="AR351:AR355" si="639">AP351*AQ351*B351</f>
        <v>2281.587</v>
      </c>
      <c r="AT351" s="62"/>
      <c r="AU351" s="62"/>
      <c r="AV351" s="62"/>
      <c r="AW351" s="62"/>
      <c r="AX351" s="62"/>
      <c r="AY351" s="62"/>
      <c r="AZ351"/>
      <c r="BA351" s="188">
        <f>(H351*4)*2*2/60/1000*L351</f>
        <v>0.57600000000000007</v>
      </c>
      <c r="BB351" s="189"/>
      <c r="BC351" s="57"/>
      <c r="BD351" s="57"/>
      <c r="BE351" s="57"/>
      <c r="BF351" s="57"/>
      <c r="BG351" s="57"/>
      <c r="BH351" s="57"/>
      <c r="BI351" s="57"/>
      <c r="BJ351" s="60"/>
      <c r="BK351" s="57"/>
      <c r="BL351" s="60"/>
      <c r="BM351" s="83"/>
      <c r="BO351" s="109"/>
    </row>
    <row r="352" spans="1:69" s="50" customFormat="1" x14ac:dyDescent="0.25">
      <c r="A352" s="116">
        <f t="shared" ref="A352:A355" si="640">H352*J352*(RIGHT(F352,2))*7.85/(10^6)</f>
        <v>0.63585000000000003</v>
      </c>
      <c r="B352" s="116">
        <f t="shared" ref="B352:B355" si="641">A352*L352</f>
        <v>30.520800000000001</v>
      </c>
      <c r="C352" s="118" t="s">
        <v>80</v>
      </c>
      <c r="D352" s="117" t="s">
        <v>81</v>
      </c>
      <c r="E352" s="117"/>
      <c r="F352" s="355" t="s">
        <v>324</v>
      </c>
      <c r="G352" s="117" t="s">
        <v>83</v>
      </c>
      <c r="H352" s="119">
        <f>H351/2</f>
        <v>90</v>
      </c>
      <c r="I352" s="118" t="s">
        <v>77</v>
      </c>
      <c r="J352" s="119">
        <f>H351</f>
        <v>180</v>
      </c>
      <c r="K352" s="119">
        <v>4</v>
      </c>
      <c r="L352" s="119">
        <f>K$352*L$350</f>
        <v>48</v>
      </c>
      <c r="M352" s="116">
        <f t="shared" ref="M352:M355" si="642">2*H352*J352/10^6*L352</f>
        <v>1.5551999999999999</v>
      </c>
      <c r="N352" s="118" t="s">
        <v>84</v>
      </c>
      <c r="P352" s="118"/>
      <c r="Q352" s="135"/>
      <c r="R352" s="118"/>
      <c r="S352" s="118"/>
      <c r="T352" s="118"/>
      <c r="U352" s="118"/>
      <c r="V352" s="118"/>
      <c r="W352" s="118"/>
      <c r="X352" s="118"/>
      <c r="Y352" s="118"/>
      <c r="Z352" s="118"/>
      <c r="AA352" s="118"/>
      <c r="AB352" s="118" t="s">
        <v>78</v>
      </c>
      <c r="AC352" s="136">
        <f>((((H352+J352)*2/1000)*L352*(5/(VLOOKUP(F352,[2]Plasmalõikus!$A$7:$E$46,2,FALSE)/1000*60)))+(Q352*L352*(5*(VLOOKUP(F352,[2]Plasmalõikus!$A$7:$E$48,3,FALSE))/60/60)))</f>
        <v>0.6</v>
      </c>
      <c r="AD352" s="353" t="str">
        <f t="shared" ref="AD352:AD355" si="643">IF(C352="WQ",0.012*((H352+J352)*2/1000*L352),IF(OR(VALUE(MID(F352,6,10))&gt;=20,H352&gt;300,J352&gt;300),0.012*((H352+J352)*2/1000*L352)," "))</f>
        <v xml:space="preserve"> </v>
      </c>
      <c r="AE352" s="136"/>
      <c r="AF352" s="137"/>
      <c r="AG352" s="137">
        <f t="shared" ref="AG352:AG355" si="644">IF(VALUE(MID(F352,SEARCH(" ",F352)+1,LEN(F352)))&lt;35,0,IF(VALUE(MID(F352,SEARCH(" ",F352)+1,LEN(F352)))&lt;40,3,IF(VALUE(MID(F352,SEARCH(" ",F352)+1,LEN(F352)))&lt;50,4,IF(VALUE(MID(F352,SEARCH(" ",F352)+1,LEN(F352)))&lt;60,5,IF(VALUE(MID(F352,SEARCH(" ",F352)+1,LEN(F352)))&lt;70,6,IF(VALUE(MID(F352,SEARCH(" ",F352)+1,LEN(F352)))&lt;80,7,IF(VALUE(MID(F352,SEARCH(" ",F352)+1,LEN(F352)))&lt;90,8,IF(VALUE(MID(F352,SEARCH(" ",F352)+1,LEN(F352)))&lt;100,9,10))))))))/60*Q352*L352</f>
        <v>0</v>
      </c>
      <c r="AH352" s="136"/>
      <c r="AI352" s="132">
        <f t="shared" si="637"/>
        <v>1.6</v>
      </c>
      <c r="AJ352" s="70"/>
      <c r="AK352" s="50">
        <v>2</v>
      </c>
      <c r="AL352" s="69" t="str">
        <f t="shared" ref="AL352:AL355" si="645">IF(AND(Q352&gt;0,A352&lt;3),"10",IF(AND(Q352&gt;0,A352&lt;10),"15",IF(AND(Q352&gt;0,A352&lt;20),"20",IF(AND(Q352&gt;0,A352&lt;500),"30",IF(AND(Q352=0,A352&lt;3),"2",IF(AND(Q352=0,A352&lt;10),"5",IF(AND(Q352=0,A352&lt;20),"10",IF(AND(Q352=0,A352&lt;500),"20","2"))))))))</f>
        <v>2</v>
      </c>
      <c r="AN352" s="66"/>
      <c r="AP352" s="146">
        <f>(VLOOKUP(F352,Terasehind!$A$2:$B$171,2,FALSE))</f>
        <v>0.92</v>
      </c>
      <c r="AQ352" s="50">
        <f>(VLOOKUP(F352,Terasehind!$A$2:$C$171,3,FALSE))</f>
        <v>1.1000000000000001</v>
      </c>
      <c r="AR352" s="138">
        <f t="shared" si="639"/>
        <v>30.887049600000008</v>
      </c>
      <c r="AS352"/>
      <c r="AT352"/>
      <c r="AU352"/>
      <c r="AV352"/>
      <c r="AW352"/>
      <c r="AX352"/>
      <c r="AY352"/>
      <c r="AZ352"/>
      <c r="BA352" s="188"/>
      <c r="BB352" s="189"/>
      <c r="BC352" s="57"/>
      <c r="BD352" s="57"/>
      <c r="BE352" s="57"/>
      <c r="BF352" s="57"/>
      <c r="BG352" s="57"/>
      <c r="BH352" s="57"/>
      <c r="BI352" s="57"/>
      <c r="BJ352" s="57"/>
      <c r="BK352" s="109"/>
      <c r="BL352" s="109"/>
      <c r="BM352" s="109"/>
      <c r="BN352" s="83"/>
      <c r="BP352" s="83"/>
      <c r="BQ352" s="83"/>
    </row>
    <row r="353" spans="1:69" s="50" customFormat="1" x14ac:dyDescent="0.25">
      <c r="A353" s="116">
        <f t="shared" si="640"/>
        <v>25.905000000000001</v>
      </c>
      <c r="B353" s="116">
        <f t="shared" si="641"/>
        <v>310.86</v>
      </c>
      <c r="C353" s="118"/>
      <c r="D353" s="117" t="s">
        <v>85</v>
      </c>
      <c r="E353" s="117"/>
      <c r="F353" s="355" t="s">
        <v>89</v>
      </c>
      <c r="G353" s="117" t="s">
        <v>83</v>
      </c>
      <c r="H353" s="119">
        <f>H351+20</f>
        <v>200</v>
      </c>
      <c r="I353" s="118" t="s">
        <v>77</v>
      </c>
      <c r="J353" s="119">
        <v>550</v>
      </c>
      <c r="K353" s="119">
        <v>1</v>
      </c>
      <c r="L353" s="119">
        <f>K$353*L$350</f>
        <v>12</v>
      </c>
      <c r="M353" s="116">
        <f t="shared" si="642"/>
        <v>2.64</v>
      </c>
      <c r="N353" s="118" t="s">
        <v>84</v>
      </c>
      <c r="P353" s="118"/>
      <c r="Q353" s="135">
        <v>4</v>
      </c>
      <c r="R353" s="118"/>
      <c r="S353" s="118"/>
      <c r="T353" s="118"/>
      <c r="U353" s="118"/>
      <c r="V353" s="118"/>
      <c r="W353" s="118"/>
      <c r="X353" s="118"/>
      <c r="Y353" s="118"/>
      <c r="Z353" s="118"/>
      <c r="AA353" s="118"/>
      <c r="AB353" s="118" t="s">
        <v>78</v>
      </c>
      <c r="AC353" s="136">
        <f>((((H353+J353)*2/1000)*L353*(5/(VLOOKUP(F353,[2]Plasmalõikus!$A$7:$E$46,2,FALSE)/1000*60)))+(Q353*L353*(5*(VLOOKUP(F353,[2]Plasmalõikus!$A$7:$E$48,3,FALSE))/60/60)))</f>
        <v>2.5833333333333335</v>
      </c>
      <c r="AD353" s="353"/>
      <c r="AE353" s="136"/>
      <c r="AF353" s="137"/>
      <c r="AG353" s="137">
        <f t="shared" si="644"/>
        <v>0</v>
      </c>
      <c r="AH353" s="136"/>
      <c r="AI353" s="132">
        <f t="shared" si="637"/>
        <v>6</v>
      </c>
      <c r="AJ353" s="70">
        <f>(H353*3*AK353)*2*L353/1000</f>
        <v>28.8</v>
      </c>
      <c r="AK353" s="50">
        <v>2</v>
      </c>
      <c r="AL353" s="69" t="str">
        <f t="shared" si="645"/>
        <v>30</v>
      </c>
      <c r="AN353" s="66"/>
      <c r="AP353" s="146">
        <f>(VLOOKUP(F353,Terasehind!$A$2:$B$171,2,FALSE))</f>
        <v>0.92</v>
      </c>
      <c r="AQ353" s="50">
        <f>(VLOOKUP(F353,Terasehind!$A$2:$C$171,3,FALSE))</f>
        <v>1.1000000000000001</v>
      </c>
      <c r="AR353" s="138">
        <f t="shared" si="639"/>
        <v>314.59032000000008</v>
      </c>
      <c r="AS353"/>
      <c r="AT353"/>
      <c r="AU353"/>
      <c r="AV353"/>
      <c r="AW353"/>
      <c r="AX353"/>
      <c r="AY353"/>
      <c r="AZ353"/>
      <c r="BA353" s="188">
        <f t="shared" ref="BA353" si="646">(H353*2+J353*2)*2*2/60/1000*L353</f>
        <v>1.2000000000000002</v>
      </c>
      <c r="BB353" s="189"/>
      <c r="BC353" s="57"/>
      <c r="BD353" s="57"/>
      <c r="BE353" s="57"/>
      <c r="BF353" s="57"/>
      <c r="BG353" s="57"/>
      <c r="BH353" s="57"/>
      <c r="BI353" s="57"/>
      <c r="BJ353" s="57"/>
      <c r="BK353" s="109"/>
      <c r="BL353" s="109"/>
      <c r="BM353" s="109"/>
      <c r="BN353" s="83"/>
      <c r="BP353" s="83"/>
      <c r="BQ353" s="83"/>
    </row>
    <row r="354" spans="1:69" s="50" customFormat="1" x14ac:dyDescent="0.25">
      <c r="A354" s="116">
        <f t="shared" si="640"/>
        <v>22.666875000000001</v>
      </c>
      <c r="B354" s="116">
        <f t="shared" si="641"/>
        <v>272.0025</v>
      </c>
      <c r="C354" s="118"/>
      <c r="D354" s="117" t="s">
        <v>85</v>
      </c>
      <c r="E354" s="117"/>
      <c r="F354" s="355" t="s">
        <v>90</v>
      </c>
      <c r="G354" s="117" t="s">
        <v>83</v>
      </c>
      <c r="H354" s="119">
        <v>210</v>
      </c>
      <c r="I354" s="118" t="s">
        <v>77</v>
      </c>
      <c r="J354" s="119">
        <v>550</v>
      </c>
      <c r="K354" s="119">
        <v>1</v>
      </c>
      <c r="L354" s="119">
        <f>K$354*L$350</f>
        <v>12</v>
      </c>
      <c r="M354" s="116">
        <f t="shared" si="642"/>
        <v>2.7720000000000002</v>
      </c>
      <c r="N354" s="118" t="s">
        <v>84</v>
      </c>
      <c r="P354" s="118"/>
      <c r="Q354" s="135">
        <v>4</v>
      </c>
      <c r="R354" s="118"/>
      <c r="S354" s="118"/>
      <c r="T354" s="118"/>
      <c r="U354" s="118"/>
      <c r="V354" s="118"/>
      <c r="W354" s="118"/>
      <c r="X354" s="118"/>
      <c r="Y354" s="118"/>
      <c r="Z354" s="118"/>
      <c r="AA354" s="118"/>
      <c r="AB354" s="118" t="s">
        <v>78</v>
      </c>
      <c r="AC354" s="136">
        <f>((((H354+J354)*2/1000)*L354*(5/(VLOOKUP(F354,[2]Plasmalõikus!$A$7:$E$46,2,FALSE)/1000*60)))+(Q354*L354*(5*(VLOOKUP(F354,[2]Plasmalõikus!$A$7:$E$48,3,FALSE))/60/60)))</f>
        <v>2.285714285714286</v>
      </c>
      <c r="AD354" s="353"/>
      <c r="AE354" s="136"/>
      <c r="AF354" s="137"/>
      <c r="AG354" s="137">
        <f t="shared" si="644"/>
        <v>0</v>
      </c>
      <c r="AH354" s="136"/>
      <c r="AI354" s="132">
        <f t="shared" si="637"/>
        <v>6</v>
      </c>
      <c r="AJ354" s="70">
        <f>(H354*3*AK354)*2*L354/1000</f>
        <v>30.24</v>
      </c>
      <c r="AK354" s="50">
        <v>2</v>
      </c>
      <c r="AL354" s="69" t="str">
        <f t="shared" si="645"/>
        <v>30</v>
      </c>
      <c r="AN354" s="66"/>
      <c r="AP354" s="146">
        <f>(VLOOKUP(F354,Terasehind!$A$2:$B$171,2,FALSE))</f>
        <v>0.92</v>
      </c>
      <c r="AQ354" s="50">
        <f>(VLOOKUP(F354,Terasehind!$A$2:$C$171,3,FALSE))</f>
        <v>1.1000000000000001</v>
      </c>
      <c r="AR354" s="138">
        <f t="shared" si="639"/>
        <v>275.26653000000005</v>
      </c>
      <c r="AS354"/>
      <c r="AT354"/>
      <c r="AU354"/>
      <c r="AV354"/>
      <c r="AW354"/>
      <c r="AX354"/>
      <c r="AY354"/>
      <c r="AZ354"/>
      <c r="BA354" s="192"/>
      <c r="BB354" s="189"/>
      <c r="BC354" s="57"/>
      <c r="BD354" s="57"/>
      <c r="BE354" s="57"/>
      <c r="BF354" s="57"/>
      <c r="BG354" s="57"/>
      <c r="BH354" s="57"/>
      <c r="BI354" s="57"/>
      <c r="BJ354" s="57"/>
      <c r="BK354" s="109"/>
      <c r="BL354" s="109"/>
      <c r="BM354" s="109"/>
      <c r="BN354" s="83"/>
      <c r="BP354" s="83"/>
      <c r="BQ354" s="83"/>
    </row>
    <row r="355" spans="1:69" s="50" customFormat="1" x14ac:dyDescent="0.25">
      <c r="A355" s="116">
        <f t="shared" si="640"/>
        <v>2.2608000000000001</v>
      </c>
      <c r="B355" s="116">
        <f t="shared" si="641"/>
        <v>27.129600000000003</v>
      </c>
      <c r="C355" s="118" t="s">
        <v>489</v>
      </c>
      <c r="D355" s="117" t="s">
        <v>88</v>
      </c>
      <c r="E355" s="117"/>
      <c r="F355" s="355" t="s">
        <v>87</v>
      </c>
      <c r="G355" s="117" t="s">
        <v>83</v>
      </c>
      <c r="H355" s="119">
        <v>120</v>
      </c>
      <c r="I355" s="118" t="s">
        <v>77</v>
      </c>
      <c r="J355" s="119">
        <v>160</v>
      </c>
      <c r="K355" s="119">
        <v>1</v>
      </c>
      <c r="L355" s="119">
        <f>K$355*L$350</f>
        <v>12</v>
      </c>
      <c r="M355" s="116">
        <f t="shared" si="642"/>
        <v>0.46079999999999999</v>
      </c>
      <c r="N355" s="118" t="s">
        <v>84</v>
      </c>
      <c r="P355" s="118"/>
      <c r="Q355" s="135">
        <v>2</v>
      </c>
      <c r="R355" s="118"/>
      <c r="S355" s="118"/>
      <c r="T355" s="118"/>
      <c r="U355" s="118"/>
      <c r="V355" s="118"/>
      <c r="W355" s="118"/>
      <c r="X355" s="118"/>
      <c r="Y355" s="118"/>
      <c r="Z355" s="118"/>
      <c r="AA355" s="118"/>
      <c r="AB355" s="118" t="s">
        <v>78</v>
      </c>
      <c r="AC355" s="136">
        <f>((((H355+J355)*2/1000)*L355*(5/(VLOOKUP(F355,[2]Plasmalõikus!$A$7:$E$46,2,FALSE)/1000*60)))+(Q355*L355*(5*(VLOOKUP(F355,[2]Plasmalõikus!$A$7:$E$48,3,FALSE))/60/60)))</f>
        <v>0.61111111111111116</v>
      </c>
      <c r="AD355" s="353" t="str">
        <f t="shared" si="643"/>
        <v xml:space="preserve"> </v>
      </c>
      <c r="AE355" s="136"/>
      <c r="AF355" s="137"/>
      <c r="AG355" s="137">
        <f t="shared" si="644"/>
        <v>0</v>
      </c>
      <c r="AH355" s="136"/>
      <c r="AI355" s="132">
        <f t="shared" si="637"/>
        <v>2</v>
      </c>
      <c r="AJ355" s="70">
        <f>(J355*2*AK355+100*2*AK355)*L355/1000</f>
        <v>6.24</v>
      </c>
      <c r="AK355" s="50">
        <v>1</v>
      </c>
      <c r="AL355" s="69" t="str">
        <f t="shared" si="645"/>
        <v>10</v>
      </c>
      <c r="AN355" s="66"/>
      <c r="AP355" s="146">
        <f>(VLOOKUP(F355,Terasehind!$A$2:$B$171,2,FALSE))</f>
        <v>0.92</v>
      </c>
      <c r="AQ355" s="50">
        <f>(VLOOKUP(F355,Terasehind!$A$2:$C$171,3,FALSE))</f>
        <v>1.1000000000000001</v>
      </c>
      <c r="AR355" s="138">
        <f t="shared" si="639"/>
        <v>27.455155200000011</v>
      </c>
      <c r="AS355"/>
      <c r="AT355"/>
      <c r="AU355"/>
      <c r="AV355"/>
      <c r="AW355"/>
      <c r="AX355"/>
      <c r="AY355"/>
      <c r="AZ355"/>
      <c r="BA355" s="192"/>
      <c r="BB355" s="189"/>
      <c r="BC355" s="57"/>
      <c r="BD355" s="57"/>
      <c r="BE355" s="57"/>
      <c r="BF355" s="57"/>
      <c r="BG355" s="57"/>
      <c r="BH355" s="57"/>
      <c r="BI355" s="57"/>
      <c r="BJ355" s="57"/>
      <c r="BK355" s="109"/>
      <c r="BL355" s="109"/>
      <c r="BM355" s="109"/>
      <c r="BN355" s="83"/>
      <c r="BP355" s="83"/>
      <c r="BQ355" s="83"/>
    </row>
    <row r="356" spans="1:69" s="50" customFormat="1" x14ac:dyDescent="0.25">
      <c r="A356" s="116"/>
      <c r="B356" s="116"/>
      <c r="C356" s="118"/>
      <c r="D356" s="117"/>
      <c r="E356" s="117"/>
      <c r="F356" s="269"/>
      <c r="G356" s="117"/>
      <c r="H356" s="119"/>
      <c r="I356" s="118"/>
      <c r="J356" s="119"/>
      <c r="K356" s="119"/>
      <c r="L356" s="119"/>
      <c r="M356" s="119"/>
      <c r="N356" s="119"/>
      <c r="O356" s="119"/>
      <c r="P356" s="119"/>
      <c r="Q356" s="119"/>
      <c r="R356" s="118"/>
      <c r="S356" s="118"/>
      <c r="T356" s="118"/>
      <c r="U356" s="118"/>
      <c r="V356" s="118"/>
      <c r="W356" s="118"/>
      <c r="X356" s="118"/>
      <c r="Y356" s="118"/>
      <c r="Z356" s="118"/>
      <c r="AA356" s="118"/>
      <c r="AB356" s="118"/>
      <c r="AC356" s="136"/>
      <c r="AD356" s="136"/>
      <c r="AE356" s="136"/>
      <c r="AF356" s="136"/>
      <c r="AG356" s="136"/>
      <c r="AH356" s="136"/>
      <c r="AI356" s="132"/>
      <c r="AJ356" s="60"/>
      <c r="AN356" s="66"/>
      <c r="AP356" s="146"/>
      <c r="AR356" s="138"/>
      <c r="AT356" s="62"/>
      <c r="AU356" s="62"/>
      <c r="AV356" s="62"/>
      <c r="AW356" s="62"/>
      <c r="AX356" s="62"/>
      <c r="AY356" s="62"/>
      <c r="AZ356"/>
      <c r="BA356" s="192"/>
      <c r="BB356" s="188"/>
      <c r="BC356" s="57"/>
      <c r="BD356" s="57"/>
      <c r="BE356" s="57"/>
      <c r="BF356" s="57"/>
      <c r="BG356" s="57"/>
      <c r="BH356" s="57"/>
      <c r="BI356" s="57"/>
      <c r="BJ356" s="109"/>
      <c r="BK356" s="109"/>
      <c r="BL356" s="109"/>
      <c r="BM356" s="83"/>
      <c r="BO356" s="83"/>
      <c r="BP356" s="83"/>
    </row>
    <row r="357" spans="1:69" s="50" customFormat="1" x14ac:dyDescent="0.25">
      <c r="A357" s="148">
        <f>B357/L357</f>
        <v>355.37104999999997</v>
      </c>
      <c r="B357" s="148">
        <f>SUM(B361,B360,B359,B358,0)</f>
        <v>4264.4525999999996</v>
      </c>
      <c r="C357" s="152"/>
      <c r="D357" s="149" t="s">
        <v>76</v>
      </c>
      <c r="E357" s="149"/>
      <c r="F357" s="365" t="s">
        <v>378</v>
      </c>
      <c r="G357" s="174" t="str">
        <f>$G$163</f>
        <v>C3VH</v>
      </c>
      <c r="H357" s="150"/>
      <c r="I357" s="151" t="s">
        <v>77</v>
      </c>
      <c r="J357" s="150">
        <f>J358</f>
        <v>3740</v>
      </c>
      <c r="K357" s="134">
        <v>12</v>
      </c>
      <c r="L357" s="150">
        <f>$L$270*$K$357</f>
        <v>12</v>
      </c>
      <c r="M357" s="148">
        <f>SUM(M361,M360,M359,M358,0)</f>
        <v>59.774879999999996</v>
      </c>
      <c r="N357" s="151"/>
      <c r="O357" s="151"/>
      <c r="P357" s="151"/>
      <c r="Q357" s="151"/>
      <c r="R357" s="120"/>
      <c r="S357" s="120"/>
      <c r="T357" s="120"/>
      <c r="U357" s="120"/>
      <c r="V357" s="120"/>
      <c r="W357" s="118"/>
      <c r="X357" s="118" t="s">
        <v>78</v>
      </c>
      <c r="Y357" s="151">
        <v>4</v>
      </c>
      <c r="Z357" s="151"/>
      <c r="AA357" s="151"/>
      <c r="AB357" s="151"/>
      <c r="AC357" s="148">
        <f>SUM(AC361,AC360,AC359,AC358,0)</f>
        <v>7.8111111111111109</v>
      </c>
      <c r="AD357" s="148">
        <f>SUM(AD361,AD360,AD359,AD358,0)</f>
        <v>0</v>
      </c>
      <c r="AE357" s="148">
        <f>SUM(AE361,AE360,AE359,AE358,0)</f>
        <v>5</v>
      </c>
      <c r="AF357" s="148">
        <f>SUM(AF361,AF360,AF359,AF358,0)</f>
        <v>8</v>
      </c>
      <c r="AG357" s="148">
        <f>SUM(AG361,AG360,AG359,AG358,0)</f>
        <v>0</v>
      </c>
      <c r="AH357" s="107">
        <f>SUM(AC357:AG357)</f>
        <v>20.81111111111111</v>
      </c>
      <c r="AI357" s="107">
        <f>SUM(AI361,AI360,AI359,AI358,0)</f>
        <v>21.6</v>
      </c>
      <c r="AJ357" s="148">
        <f>SUM(AJ361,AJ360,AJ359,AJ358,0)</f>
        <v>133.92000000000002</v>
      </c>
      <c r="AK357" s="107">
        <f>AJ357*10/60</f>
        <v>22.320000000000004</v>
      </c>
      <c r="AL357" s="148">
        <f>AH357+AI357+AK357</f>
        <v>64.731111111111119</v>
      </c>
      <c r="AM357" s="148">
        <f>B357/AL357</f>
        <v>65.879490198770966</v>
      </c>
      <c r="AN357" s="148">
        <f>AL357*46</f>
        <v>2977.6311111111113</v>
      </c>
      <c r="AO357" s="148">
        <f>AN357/B357</f>
        <v>0.69824462607723947</v>
      </c>
      <c r="AP357" s="148">
        <f>AR357/B357</f>
        <v>1.0530507383761285</v>
      </c>
      <c r="AQ357" s="67"/>
      <c r="AR357" s="148">
        <f>SUM(AR361,AR360,AR359,AR358,0)</f>
        <v>4490.6849592000008</v>
      </c>
      <c r="AT357" s="62"/>
      <c r="AU357" s="62"/>
      <c r="AV357" s="62"/>
      <c r="AW357" s="62"/>
      <c r="AX357" s="62"/>
      <c r="AY357" s="62"/>
      <c r="AZ357"/>
      <c r="BA357" s="148">
        <f>SUM(BA360,BA359,BA358,0)</f>
        <v>4.3519999999999994</v>
      </c>
      <c r="BB357" s="188"/>
      <c r="BC357" s="57"/>
      <c r="BD357" s="57"/>
      <c r="BE357" s="57"/>
      <c r="BF357" s="57"/>
      <c r="BG357" s="57"/>
      <c r="BH357" s="57"/>
      <c r="BI357" s="60"/>
    </row>
    <row r="358" spans="1:69" s="50" customFormat="1" x14ac:dyDescent="0.25">
      <c r="A358" s="116">
        <f xml:space="preserve"> 59.1*J358/10^3</f>
        <v>221.03399999999999</v>
      </c>
      <c r="B358" s="116">
        <f>A358*L358</f>
        <v>2652.4079999999999</v>
      </c>
      <c r="C358" s="299" t="s">
        <v>379</v>
      </c>
      <c r="D358" s="117" t="s">
        <v>76</v>
      </c>
      <c r="E358" s="117"/>
      <c r="F358" s="355" t="s">
        <v>429</v>
      </c>
      <c r="G358" s="140" t="s">
        <v>79</v>
      </c>
      <c r="H358" s="119">
        <v>250</v>
      </c>
      <c r="I358" s="118" t="s">
        <v>77</v>
      </c>
      <c r="J358" s="119">
        <v>3740</v>
      </c>
      <c r="K358" s="50">
        <v>1</v>
      </c>
      <c r="L358" s="119">
        <f>K$358*L$357</f>
        <v>12</v>
      </c>
      <c r="M358" s="131">
        <f xml:space="preserve"> 0.966*J358*L358/10^3</f>
        <v>43.354079999999996</v>
      </c>
      <c r="N358" s="118"/>
      <c r="O358" s="118"/>
      <c r="P358" s="118" t="s">
        <v>78</v>
      </c>
      <c r="Q358" s="135"/>
      <c r="R358" s="118"/>
      <c r="S358" s="118"/>
      <c r="T358" s="118"/>
      <c r="U358" s="118"/>
      <c r="V358" s="118"/>
      <c r="W358" s="118"/>
      <c r="Y358" s="118"/>
      <c r="Z358" s="118"/>
      <c r="AA358" s="118"/>
      <c r="AB358" s="118" t="s">
        <v>78</v>
      </c>
      <c r="AC358" s="116"/>
      <c r="AD358" s="83"/>
      <c r="AE358" s="136">
        <f t="shared" ref="AE358" si="647">(H358/20/60)*2*L358</f>
        <v>5</v>
      </c>
      <c r="AF358" s="137">
        <f>(H358*4)*2*20/60/1000*L358</f>
        <v>8</v>
      </c>
      <c r="AG358" s="132">
        <f t="shared" ref="AG358" si="648">Q358*L358*0.5/60</f>
        <v>0</v>
      </c>
      <c r="AH358" s="83"/>
      <c r="AI358" s="132">
        <f t="shared" ref="AI358:AI361" si="649">AL358*L358/60</f>
        <v>6</v>
      </c>
      <c r="AJ358" s="70">
        <f t="shared" ref="AJ358" si="650">(H358*4*AK358)*2*L358/1000</f>
        <v>24</v>
      </c>
      <c r="AK358" s="318">
        <v>1</v>
      </c>
      <c r="AL358" s="69">
        <f>VLOOKUP(F358,[2]Koostamine!$A$12:$P$1612,IF(J358&lt;1499,11,IF(J358&lt;2999,12,IF(J358&lt;5999,13,IF(J358&lt;9999,14,IF(J358&lt;12999,15,IF(J358&gt;13000,16)))))),FALSE)</f>
        <v>30</v>
      </c>
      <c r="AP358" s="146">
        <f>(VLOOKUP(F358,Terasehind!$A$2:$B$171,2,FALSE))</f>
        <v>0.98</v>
      </c>
      <c r="AQ358" s="50">
        <f>(VLOOKUP(F358,Terasehind!$A$2:$C$171,3,FALSE))</f>
        <v>1.1000000000000001</v>
      </c>
      <c r="AR358" s="138">
        <f t="shared" ref="AR358:AR361" si="651">AP358*AQ358*B358</f>
        <v>2859.2958240000003</v>
      </c>
      <c r="AT358" s="62"/>
      <c r="AU358" s="62"/>
      <c r="AV358" s="62"/>
      <c r="AW358" s="62"/>
      <c r="AX358" s="62"/>
      <c r="AY358" s="62"/>
      <c r="AZ358"/>
      <c r="BA358" s="188">
        <f>(H358*4)*2*2/60/1000*L358</f>
        <v>0.8</v>
      </c>
      <c r="BB358" s="189"/>
      <c r="BC358" s="57"/>
      <c r="BD358" s="57"/>
      <c r="BE358" s="57"/>
      <c r="BF358" s="57"/>
      <c r="BG358" s="57"/>
      <c r="BH358" s="57"/>
      <c r="BI358" s="57"/>
      <c r="BJ358" s="60"/>
      <c r="BK358" s="57"/>
      <c r="BL358" s="60"/>
      <c r="BM358" s="83"/>
      <c r="BO358" s="109"/>
    </row>
    <row r="359" spans="1:69" s="50" customFormat="1" x14ac:dyDescent="0.25">
      <c r="A359" s="116">
        <f t="shared" ref="A359:A361" si="652">H359*J359*(RIGHT(F359,2))*7.85/(10^6)</f>
        <v>1.2265625</v>
      </c>
      <c r="B359" s="116">
        <f t="shared" ref="B359:B361" si="653">A359*L359</f>
        <v>58.875</v>
      </c>
      <c r="C359" s="118" t="s">
        <v>80</v>
      </c>
      <c r="D359" s="117" t="s">
        <v>81</v>
      </c>
      <c r="E359" s="117"/>
      <c r="F359" s="355" t="s">
        <v>324</v>
      </c>
      <c r="G359" s="117" t="s">
        <v>83</v>
      </c>
      <c r="H359" s="119">
        <f>H358/2</f>
        <v>125</v>
      </c>
      <c r="I359" s="118" t="s">
        <v>77</v>
      </c>
      <c r="J359" s="119">
        <f>H358</f>
        <v>250</v>
      </c>
      <c r="K359" s="119">
        <v>4</v>
      </c>
      <c r="L359" s="119">
        <f>K$359*L$357</f>
        <v>48</v>
      </c>
      <c r="M359" s="116">
        <f t="shared" ref="M359:M361" si="654">2*H359*J359/10^6*L359</f>
        <v>3</v>
      </c>
      <c r="N359" s="118" t="s">
        <v>84</v>
      </c>
      <c r="P359" s="118"/>
      <c r="Q359" s="135"/>
      <c r="R359" s="118"/>
      <c r="S359" s="118"/>
      <c r="T359" s="118"/>
      <c r="U359" s="118"/>
      <c r="V359" s="118"/>
      <c r="W359" s="118"/>
      <c r="X359" s="118"/>
      <c r="Y359" s="118"/>
      <c r="Z359" s="118"/>
      <c r="AA359" s="118"/>
      <c r="AB359" s="118" t="s">
        <v>78</v>
      </c>
      <c r="AC359" s="136">
        <f>((((H359+J359)*2/1000)*L359*(5/(VLOOKUP(F359,[2]Plasmalõikus!$A$7:$E$46,2,FALSE)/1000*60)))+(Q359*L359*(5*(VLOOKUP(F359,[2]Plasmalõikus!$A$7:$E$48,3,FALSE))/60/60)))</f>
        <v>0.83333333333333326</v>
      </c>
      <c r="AD359" s="353" t="str">
        <f t="shared" ref="AD359" si="655">IF(C359="WQ",0.012*((H359+J359)*2/1000*L359),IF(OR(VALUE(MID(F359,6,10))&gt;=20,H359&gt;300,J359&gt;300),0.012*((H359+J359)*2/1000*L359)," "))</f>
        <v xml:space="preserve"> </v>
      </c>
      <c r="AE359" s="136"/>
      <c r="AF359" s="137"/>
      <c r="AG359" s="137">
        <f t="shared" ref="AG359:AG361" si="656">IF(VALUE(MID(F359,SEARCH(" ",F359)+1,LEN(F359)))&lt;35,0,IF(VALUE(MID(F359,SEARCH(" ",F359)+1,LEN(F359)))&lt;40,3,IF(VALUE(MID(F359,SEARCH(" ",F359)+1,LEN(F359)))&lt;50,4,IF(VALUE(MID(F359,SEARCH(" ",F359)+1,LEN(F359)))&lt;60,5,IF(VALUE(MID(F359,SEARCH(" ",F359)+1,LEN(F359)))&lt;70,6,IF(VALUE(MID(F359,SEARCH(" ",F359)+1,LEN(F359)))&lt;80,7,IF(VALUE(MID(F359,SEARCH(" ",F359)+1,LEN(F359)))&lt;90,8,IF(VALUE(MID(F359,SEARCH(" ",F359)+1,LEN(F359)))&lt;100,9,10))))))))/60*Q359*L359</f>
        <v>0</v>
      </c>
      <c r="AH359" s="136"/>
      <c r="AI359" s="132">
        <f t="shared" si="649"/>
        <v>1.6</v>
      </c>
      <c r="AJ359" s="70"/>
      <c r="AK359" s="50">
        <v>2</v>
      </c>
      <c r="AL359" s="69" t="str">
        <f t="shared" ref="AL359:AL361" si="657">IF(AND(Q359&gt;0,A359&lt;3),"10",IF(AND(Q359&gt;0,A359&lt;10),"15",IF(AND(Q359&gt;0,A359&lt;20),"20",IF(AND(Q359&gt;0,A359&lt;500),"30",IF(AND(Q359=0,A359&lt;3),"2",IF(AND(Q359=0,A359&lt;10),"5",IF(AND(Q359=0,A359&lt;20),"10",IF(AND(Q359=0,A359&lt;500),"20","2"))))))))</f>
        <v>2</v>
      </c>
      <c r="AN359" s="66"/>
      <c r="AP359" s="146">
        <f>(VLOOKUP(F359,Terasehind!$A$2:$B$171,2,FALSE))</f>
        <v>0.92</v>
      </c>
      <c r="AQ359" s="50">
        <f>(VLOOKUP(F359,Terasehind!$A$2:$C$171,3,FALSE))</f>
        <v>1.1000000000000001</v>
      </c>
      <c r="AR359" s="138">
        <f t="shared" si="651"/>
        <v>59.581500000000013</v>
      </c>
      <c r="AS359"/>
      <c r="AT359"/>
      <c r="AU359"/>
      <c r="AV359"/>
      <c r="AW359"/>
      <c r="AX359"/>
      <c r="AY359"/>
      <c r="AZ359"/>
      <c r="BA359" s="188"/>
      <c r="BB359" s="189"/>
      <c r="BC359" s="57"/>
      <c r="BD359" s="57"/>
      <c r="BE359" s="57"/>
      <c r="BF359" s="57"/>
      <c r="BG359" s="57"/>
      <c r="BH359" s="57"/>
      <c r="BI359" s="57"/>
      <c r="BJ359" s="57"/>
      <c r="BK359" s="109"/>
      <c r="BL359" s="109"/>
      <c r="BM359" s="109"/>
      <c r="BN359" s="83"/>
      <c r="BP359" s="83"/>
      <c r="BQ359" s="83"/>
    </row>
    <row r="360" spans="1:69" s="50" customFormat="1" x14ac:dyDescent="0.25">
      <c r="A360" s="116">
        <f t="shared" si="652"/>
        <v>63.585000000000001</v>
      </c>
      <c r="B360" s="116">
        <f t="shared" si="653"/>
        <v>1526.04</v>
      </c>
      <c r="C360" s="118"/>
      <c r="D360" s="117" t="s">
        <v>85</v>
      </c>
      <c r="E360" s="117"/>
      <c r="F360" s="355" t="s">
        <v>89</v>
      </c>
      <c r="G360" s="117" t="s">
        <v>83</v>
      </c>
      <c r="H360" s="119">
        <v>360</v>
      </c>
      <c r="I360" s="118" t="s">
        <v>77</v>
      </c>
      <c r="J360" s="119">
        <v>750</v>
      </c>
      <c r="K360" s="119">
        <v>2</v>
      </c>
      <c r="L360" s="119">
        <f>K$360*L$357</f>
        <v>24</v>
      </c>
      <c r="M360" s="116">
        <f t="shared" si="654"/>
        <v>12.96</v>
      </c>
      <c r="N360" s="118" t="s">
        <v>84</v>
      </c>
      <c r="P360" s="118"/>
      <c r="Q360" s="135">
        <v>4</v>
      </c>
      <c r="R360" s="118"/>
      <c r="S360" s="118"/>
      <c r="T360" s="118"/>
      <c r="U360" s="118"/>
      <c r="V360" s="118"/>
      <c r="W360" s="118"/>
      <c r="X360" s="118"/>
      <c r="Y360" s="118"/>
      <c r="Z360" s="118"/>
      <c r="AA360" s="118"/>
      <c r="AB360" s="118" t="s">
        <v>78</v>
      </c>
      <c r="AC360" s="136">
        <f>((((H360+J360)*2/1000)*L360*(5/(VLOOKUP(F360,[2]Plasmalõikus!$A$7:$E$46,2,FALSE)/1000*60)))+(Q360*L360*(5*(VLOOKUP(F360,[2]Plasmalõikus!$A$7:$E$48,3,FALSE))/60/60)))</f>
        <v>6.3666666666666671</v>
      </c>
      <c r="AD360" s="353"/>
      <c r="AE360" s="136"/>
      <c r="AF360" s="137"/>
      <c r="AG360" s="137">
        <f t="shared" si="656"/>
        <v>0</v>
      </c>
      <c r="AH360" s="136"/>
      <c r="AI360" s="132">
        <f t="shared" si="649"/>
        <v>12</v>
      </c>
      <c r="AJ360" s="70">
        <f>(H360*3*AK360)*2*L360/1000</f>
        <v>103.68</v>
      </c>
      <c r="AK360" s="50">
        <v>2</v>
      </c>
      <c r="AL360" s="69" t="str">
        <f t="shared" si="657"/>
        <v>30</v>
      </c>
      <c r="AN360" s="66"/>
      <c r="AP360" s="146">
        <f>(VLOOKUP(F360,Terasehind!$A$2:$B$171,2,FALSE))</f>
        <v>0.92</v>
      </c>
      <c r="AQ360" s="50">
        <f>(VLOOKUP(F360,Terasehind!$A$2:$C$171,3,FALSE))</f>
        <v>1.1000000000000001</v>
      </c>
      <c r="AR360" s="138">
        <f t="shared" si="651"/>
        <v>1544.3524800000002</v>
      </c>
      <c r="AS360"/>
      <c r="AT360"/>
      <c r="AU360"/>
      <c r="AV360"/>
      <c r="AW360"/>
      <c r="AX360"/>
      <c r="AY360"/>
      <c r="AZ360"/>
      <c r="BA360" s="188">
        <f t="shared" ref="BA360" si="658">(H360*2+J360*2)*2*2/60/1000*L360</f>
        <v>3.5519999999999996</v>
      </c>
      <c r="BB360" s="189"/>
      <c r="BC360" s="57"/>
      <c r="BD360" s="57"/>
      <c r="BE360" s="57"/>
      <c r="BF360" s="57"/>
      <c r="BG360" s="57"/>
      <c r="BH360" s="57"/>
      <c r="BI360" s="57"/>
      <c r="BJ360" s="57"/>
      <c r="BK360" s="109"/>
      <c r="BL360" s="109"/>
      <c r="BM360" s="109"/>
      <c r="BN360" s="83"/>
      <c r="BP360" s="83"/>
      <c r="BQ360" s="83"/>
    </row>
    <row r="361" spans="1:69" s="50" customFormat="1" x14ac:dyDescent="0.25">
      <c r="A361" s="116">
        <f t="shared" si="652"/>
        <v>2.2608000000000001</v>
      </c>
      <c r="B361" s="116">
        <f t="shared" si="653"/>
        <v>27.129600000000003</v>
      </c>
      <c r="C361" s="118" t="s">
        <v>489</v>
      </c>
      <c r="D361" s="117" t="s">
        <v>88</v>
      </c>
      <c r="E361" s="117"/>
      <c r="F361" s="355" t="s">
        <v>87</v>
      </c>
      <c r="G361" s="117" t="s">
        <v>83</v>
      </c>
      <c r="H361" s="119">
        <v>120</v>
      </c>
      <c r="I361" s="118" t="s">
        <v>77</v>
      </c>
      <c r="J361" s="119">
        <v>160</v>
      </c>
      <c r="K361" s="119">
        <v>1</v>
      </c>
      <c r="L361" s="119">
        <f>K$361*L$357</f>
        <v>12</v>
      </c>
      <c r="M361" s="116">
        <f t="shared" si="654"/>
        <v>0.46079999999999999</v>
      </c>
      <c r="N361" s="118" t="s">
        <v>84</v>
      </c>
      <c r="P361" s="118"/>
      <c r="Q361" s="135">
        <v>2</v>
      </c>
      <c r="R361" s="118"/>
      <c r="S361" s="118"/>
      <c r="T361" s="118"/>
      <c r="U361" s="118"/>
      <c r="V361" s="118"/>
      <c r="W361" s="118"/>
      <c r="X361" s="118"/>
      <c r="Y361" s="118"/>
      <c r="Z361" s="118"/>
      <c r="AA361" s="118"/>
      <c r="AB361" s="118" t="s">
        <v>78</v>
      </c>
      <c r="AC361" s="136">
        <f>((((H361+J361)*2/1000)*L361*(5/(VLOOKUP(F361,[2]Plasmalõikus!$A$7:$E$46,2,FALSE)/1000*60)))+(Q361*L361*(5*(VLOOKUP(F361,[2]Plasmalõikus!$A$7:$E$48,3,FALSE))/60/60)))</f>
        <v>0.61111111111111116</v>
      </c>
      <c r="AD361" s="353" t="str">
        <f t="shared" ref="AD361" si="659">IF(C361="WQ",0.012*((H361+J361)*2/1000*L361),IF(OR(VALUE(MID(F361,6,10))&gt;=20,H361&gt;300,J361&gt;300),0.012*((H361+J361)*2/1000*L361)," "))</f>
        <v xml:space="preserve"> </v>
      </c>
      <c r="AE361" s="136"/>
      <c r="AF361" s="137"/>
      <c r="AG361" s="137">
        <f t="shared" si="656"/>
        <v>0</v>
      </c>
      <c r="AH361" s="136"/>
      <c r="AI361" s="132">
        <f t="shared" si="649"/>
        <v>2</v>
      </c>
      <c r="AJ361" s="70">
        <f>(J361*2*AK361+100*2*AK361)*L361/1000</f>
        <v>6.24</v>
      </c>
      <c r="AK361" s="50">
        <v>1</v>
      </c>
      <c r="AL361" s="69" t="str">
        <f t="shared" si="657"/>
        <v>10</v>
      </c>
      <c r="AN361" s="66"/>
      <c r="AP361" s="146">
        <f>(VLOOKUP(F361,Terasehind!$A$2:$B$171,2,FALSE))</f>
        <v>0.92</v>
      </c>
      <c r="AQ361" s="50">
        <f>(VLOOKUP(F361,Terasehind!$A$2:$C$171,3,FALSE))</f>
        <v>1.1000000000000001</v>
      </c>
      <c r="AR361" s="138">
        <f t="shared" si="651"/>
        <v>27.455155200000011</v>
      </c>
      <c r="AS361"/>
      <c r="AT361"/>
      <c r="AU361"/>
      <c r="AV361"/>
      <c r="AW361"/>
      <c r="AX361"/>
      <c r="AY361"/>
      <c r="AZ361"/>
      <c r="BA361" s="192"/>
      <c r="BB361" s="189"/>
      <c r="BC361" s="57"/>
      <c r="BD361" s="57"/>
      <c r="BE361" s="57"/>
      <c r="BF361" s="57"/>
      <c r="BG361" s="57"/>
      <c r="BH361" s="57"/>
      <c r="BI361" s="57"/>
      <c r="BJ361" s="57"/>
      <c r="BK361" s="109"/>
      <c r="BL361" s="109"/>
      <c r="BM361" s="109"/>
      <c r="BN361" s="83"/>
      <c r="BP361" s="83"/>
      <c r="BQ361" s="83"/>
    </row>
    <row r="362" spans="1:69" s="50" customFormat="1" x14ac:dyDescent="0.25">
      <c r="A362" s="116"/>
      <c r="B362" s="116"/>
      <c r="C362" s="118"/>
      <c r="D362" s="117"/>
      <c r="E362" s="117"/>
      <c r="F362" s="269"/>
      <c r="G362" s="117"/>
      <c r="H362" s="119"/>
      <c r="I362" s="118"/>
      <c r="J362" s="119"/>
      <c r="K362" s="119"/>
      <c r="L362" s="119"/>
      <c r="M362" s="119"/>
      <c r="N362" s="119"/>
      <c r="O362" s="119"/>
      <c r="P362" s="119"/>
      <c r="Q362" s="119"/>
      <c r="R362" s="118"/>
      <c r="S362" s="118"/>
      <c r="T362" s="118"/>
      <c r="U362" s="118"/>
      <c r="V362" s="118"/>
      <c r="W362" s="118"/>
      <c r="X362" s="118"/>
      <c r="Y362" s="118"/>
      <c r="Z362" s="118"/>
      <c r="AA362" s="118"/>
      <c r="AB362" s="118"/>
      <c r="AC362" s="136"/>
      <c r="AD362" s="136"/>
      <c r="AE362" s="136"/>
      <c r="AF362" s="136"/>
      <c r="AG362" s="136"/>
      <c r="AH362" s="136"/>
      <c r="AI362" s="132"/>
      <c r="AJ362" s="60"/>
      <c r="AN362" s="66"/>
      <c r="AP362" s="146"/>
      <c r="AR362" s="138"/>
      <c r="AT362" s="62"/>
      <c r="AU362" s="62"/>
      <c r="AV362" s="62"/>
      <c r="AW362" s="62"/>
      <c r="AX362" s="62"/>
      <c r="AY362" s="62"/>
      <c r="AZ362"/>
      <c r="BA362" s="192"/>
      <c r="BB362" s="188"/>
      <c r="BC362" s="57"/>
      <c r="BD362" s="57"/>
      <c r="BE362" s="57"/>
      <c r="BF362" s="57"/>
      <c r="BG362" s="57"/>
      <c r="BH362" s="57"/>
      <c r="BI362" s="57"/>
      <c r="BJ362" s="109"/>
      <c r="BK362" s="109"/>
      <c r="BL362" s="109"/>
      <c r="BM362" s="83"/>
      <c r="BO362" s="83"/>
      <c r="BP362" s="83"/>
    </row>
    <row r="363" spans="1:69" s="50" customFormat="1" x14ac:dyDescent="0.25">
      <c r="A363" s="148">
        <f>B363/L363</f>
        <v>474.16205000000002</v>
      </c>
      <c r="B363" s="148">
        <f>SUM(B367,B366,B365,B364,0)</f>
        <v>948.32410000000004</v>
      </c>
      <c r="C363" s="152"/>
      <c r="D363" s="149" t="s">
        <v>76</v>
      </c>
      <c r="E363" s="149"/>
      <c r="F363" s="275"/>
      <c r="G363" s="174" t="str">
        <f>$G$163</f>
        <v>C3VH</v>
      </c>
      <c r="H363" s="150"/>
      <c r="I363" s="151" t="s">
        <v>77</v>
      </c>
      <c r="J363" s="150">
        <f>J364</f>
        <v>5750</v>
      </c>
      <c r="K363" s="134">
        <v>2</v>
      </c>
      <c r="L363" s="150">
        <f>$L$270*$K$363</f>
        <v>2</v>
      </c>
      <c r="M363" s="148">
        <f>SUM(M367,M366,M365,M364,0)</f>
        <v>13.845800000000001</v>
      </c>
      <c r="N363" s="151"/>
      <c r="O363" s="151"/>
      <c r="P363" s="151"/>
      <c r="Q363" s="151"/>
      <c r="R363" s="120"/>
      <c r="S363" s="120"/>
      <c r="T363" s="120"/>
      <c r="U363" s="120"/>
      <c r="V363" s="120"/>
      <c r="W363" s="118"/>
      <c r="X363" s="118" t="s">
        <v>78</v>
      </c>
      <c r="Y363" s="151">
        <v>4</v>
      </c>
      <c r="Z363" s="151"/>
      <c r="AA363" s="151"/>
      <c r="AB363" s="151"/>
      <c r="AC363" s="148">
        <f>SUM(AC367,AC366,AC365,AC364,0)</f>
        <v>1.3018518518518518</v>
      </c>
      <c r="AD363" s="148">
        <f>SUM(AD367,AD366,AD365,AD364,0)</f>
        <v>0</v>
      </c>
      <c r="AE363" s="148">
        <f>SUM(AE367,AE366,AE365,AE364,0)</f>
        <v>0.83333333333333337</v>
      </c>
      <c r="AF363" s="148">
        <f>SUM(AF367,AF366,AF365,AF364,0)</f>
        <v>1.3333333333333333</v>
      </c>
      <c r="AG363" s="148">
        <f>SUM(AG367,AG366,AG365,AG364,0)</f>
        <v>0</v>
      </c>
      <c r="AH363" s="107">
        <f>SUM(AC363:AG363)</f>
        <v>3.4685185185185183</v>
      </c>
      <c r="AI363" s="107">
        <f>SUM(AI367,AI366,AI365,AI364,0)</f>
        <v>3.6</v>
      </c>
      <c r="AJ363" s="148">
        <f>SUM(AJ367,AJ366,AJ365,AJ364,0)</f>
        <v>22.32</v>
      </c>
      <c r="AK363" s="107">
        <f>AJ363*10/60</f>
        <v>3.7199999999999998</v>
      </c>
      <c r="AL363" s="148">
        <f>AH363+AI363+AK363</f>
        <v>10.788518518518519</v>
      </c>
      <c r="AM363" s="148">
        <f>B363/AL363</f>
        <v>87.901234851865837</v>
      </c>
      <c r="AN363" s="148">
        <f>AL363*46</f>
        <v>496.27185185185186</v>
      </c>
      <c r="AO363" s="148">
        <f>AN363/B363</f>
        <v>0.52331460505100713</v>
      </c>
      <c r="AP363" s="148">
        <f>AR363/B363</f>
        <v>1.0593012338292362</v>
      </c>
      <c r="AQ363" s="67"/>
      <c r="AR363" s="148">
        <f>SUM(AR367,AR366,AR365,AR364,0)</f>
        <v>1004.5608892</v>
      </c>
      <c r="AT363" s="62"/>
      <c r="AU363" s="62"/>
      <c r="AV363" s="62"/>
      <c r="AW363" s="62"/>
      <c r="AX363" s="62"/>
      <c r="AY363" s="62"/>
      <c r="AZ363"/>
      <c r="BA363" s="148">
        <f>SUM(BA366,BA365,BA364,0)</f>
        <v>0.72533333333333327</v>
      </c>
      <c r="BB363" s="188"/>
      <c r="BC363" s="57"/>
      <c r="BD363" s="57"/>
      <c r="BE363" s="57"/>
      <c r="BF363" s="57"/>
      <c r="BG363" s="57"/>
      <c r="BH363" s="57"/>
      <c r="BI363" s="60"/>
    </row>
    <row r="364" spans="1:69" s="50" customFormat="1" x14ac:dyDescent="0.25">
      <c r="A364" s="116">
        <f xml:space="preserve"> 59.1*J364/10^3</f>
        <v>339.82499999999999</v>
      </c>
      <c r="B364" s="116">
        <f>A364*L364</f>
        <v>679.65</v>
      </c>
      <c r="C364" s="299" t="s">
        <v>379</v>
      </c>
      <c r="D364" s="117" t="s">
        <v>76</v>
      </c>
      <c r="E364" s="117"/>
      <c r="F364" s="355" t="s">
        <v>429</v>
      </c>
      <c r="G364" s="140" t="s">
        <v>79</v>
      </c>
      <c r="H364" s="119">
        <v>250</v>
      </c>
      <c r="I364" s="118" t="s">
        <v>77</v>
      </c>
      <c r="J364" s="119">
        <v>5750</v>
      </c>
      <c r="K364" s="50">
        <v>1</v>
      </c>
      <c r="L364" s="119">
        <f>K$364*L$363</f>
        <v>2</v>
      </c>
      <c r="M364" s="131">
        <f xml:space="preserve"> 0.966*J364*L364/10^3</f>
        <v>11.109</v>
      </c>
      <c r="N364" s="118"/>
      <c r="O364" s="118"/>
      <c r="P364" s="118" t="s">
        <v>78</v>
      </c>
      <c r="Q364" s="135"/>
      <c r="R364" s="118"/>
      <c r="S364" s="118"/>
      <c r="T364" s="118"/>
      <c r="U364" s="118"/>
      <c r="V364" s="118"/>
      <c r="W364" s="118"/>
      <c r="Y364" s="118"/>
      <c r="Z364" s="118"/>
      <c r="AA364" s="118"/>
      <c r="AB364" s="118" t="s">
        <v>78</v>
      </c>
      <c r="AC364" s="116"/>
      <c r="AD364" s="83"/>
      <c r="AE364" s="136">
        <f t="shared" ref="AE364" si="660">(H364/20/60)*2*L364</f>
        <v>0.83333333333333337</v>
      </c>
      <c r="AF364" s="137">
        <f>(H364*4)*2*20/60/1000*L364</f>
        <v>1.3333333333333333</v>
      </c>
      <c r="AG364" s="132">
        <f t="shared" ref="AG364" si="661">Q364*L364*0.5/60</f>
        <v>0</v>
      </c>
      <c r="AH364" s="83"/>
      <c r="AI364" s="132">
        <f t="shared" ref="AI364:AI367" si="662">AL364*L364/60</f>
        <v>1</v>
      </c>
      <c r="AJ364" s="70">
        <f t="shared" ref="AJ364" si="663">(H364*4*AK364)*2*L364/1000</f>
        <v>4</v>
      </c>
      <c r="AK364" s="318">
        <v>1</v>
      </c>
      <c r="AL364" s="69">
        <f>VLOOKUP(F364,[2]Koostamine!$A$12:$P$1612,IF(J364&lt;1499,11,IF(J364&lt;2999,12,IF(J364&lt;5999,13,IF(J364&lt;9999,14,IF(J364&lt;12999,15,IF(J364&gt;13000,16)))))),FALSE)</f>
        <v>30</v>
      </c>
      <c r="AP364" s="146">
        <f>(VLOOKUP(F364,Terasehind!$A$2:$B$171,2,FALSE))</f>
        <v>0.98</v>
      </c>
      <c r="AQ364" s="50">
        <f>(VLOOKUP(F364,Terasehind!$A$2:$C$171,3,FALSE))</f>
        <v>1.1000000000000001</v>
      </c>
      <c r="AR364" s="138">
        <f t="shared" ref="AR364:AR367" si="664">AP364*AQ364*B364</f>
        <v>732.66269999999997</v>
      </c>
      <c r="AT364" s="62"/>
      <c r="AU364" s="62"/>
      <c r="AV364" s="62"/>
      <c r="AW364" s="62"/>
      <c r="AX364" s="62"/>
      <c r="AY364" s="62"/>
      <c r="AZ364"/>
      <c r="BA364" s="188">
        <f>(H364*4)*2*2/60/1000*L364</f>
        <v>0.13333333333333333</v>
      </c>
      <c r="BB364" s="189"/>
      <c r="BC364" s="57"/>
      <c r="BD364" s="57"/>
      <c r="BE364" s="57"/>
      <c r="BF364" s="57"/>
      <c r="BG364" s="57"/>
      <c r="BH364" s="57"/>
      <c r="BI364" s="57"/>
      <c r="BJ364" s="60"/>
      <c r="BK364" s="57"/>
      <c r="BL364" s="60"/>
      <c r="BM364" s="83"/>
      <c r="BO364" s="109"/>
    </row>
    <row r="365" spans="1:69" s="50" customFormat="1" x14ac:dyDescent="0.25">
      <c r="A365" s="116">
        <f t="shared" ref="A365:A367" si="665">H365*J365*(RIGHT(F365,2))*7.85/(10^6)</f>
        <v>1.2265625</v>
      </c>
      <c r="B365" s="116">
        <f t="shared" ref="B365:B367" si="666">A365*L365</f>
        <v>9.8125</v>
      </c>
      <c r="C365" s="118" t="s">
        <v>80</v>
      </c>
      <c r="D365" s="117" t="s">
        <v>81</v>
      </c>
      <c r="E365" s="117"/>
      <c r="F365" s="355" t="s">
        <v>324</v>
      </c>
      <c r="G365" s="117" t="s">
        <v>83</v>
      </c>
      <c r="H365" s="119">
        <f>H364/2</f>
        <v>125</v>
      </c>
      <c r="I365" s="118" t="s">
        <v>77</v>
      </c>
      <c r="J365" s="119">
        <f>H364</f>
        <v>250</v>
      </c>
      <c r="K365" s="119">
        <v>4</v>
      </c>
      <c r="L365" s="119">
        <f>K$365*L$363</f>
        <v>8</v>
      </c>
      <c r="M365" s="116">
        <f t="shared" ref="M365:M367" si="667">2*H365*J365/10^6*L365</f>
        <v>0.5</v>
      </c>
      <c r="N365" s="118" t="s">
        <v>84</v>
      </c>
      <c r="P365" s="118"/>
      <c r="Q365" s="135"/>
      <c r="R365" s="118"/>
      <c r="S365" s="118"/>
      <c r="T365" s="118"/>
      <c r="U365" s="118"/>
      <c r="V365" s="118"/>
      <c r="W365" s="118"/>
      <c r="X365" s="118"/>
      <c r="Y365" s="118"/>
      <c r="Z365" s="118"/>
      <c r="AA365" s="118"/>
      <c r="AB365" s="118" t="s">
        <v>78</v>
      </c>
      <c r="AC365" s="136">
        <f>((((H365+J365)*2/1000)*L365*(5/(VLOOKUP(F365,[2]Plasmalõikus!$A$7:$E$46,2,FALSE)/1000*60)))+(Q365*L365*(5*(VLOOKUP(F365,[2]Plasmalõikus!$A$7:$E$48,3,FALSE))/60/60)))</f>
        <v>0.1388888888888889</v>
      </c>
      <c r="AD365" s="353" t="str">
        <f t="shared" ref="AD365" si="668">IF(C365="WQ",0.012*((H365+J365)*2/1000*L365),IF(OR(VALUE(MID(F365,6,10))&gt;=20,H365&gt;300,J365&gt;300),0.012*((H365+J365)*2/1000*L365)," "))</f>
        <v xml:space="preserve"> </v>
      </c>
      <c r="AE365" s="136"/>
      <c r="AF365" s="137"/>
      <c r="AG365" s="137">
        <f t="shared" ref="AG365:AG367" si="669">IF(VALUE(MID(F365,SEARCH(" ",F365)+1,LEN(F365)))&lt;35,0,IF(VALUE(MID(F365,SEARCH(" ",F365)+1,LEN(F365)))&lt;40,3,IF(VALUE(MID(F365,SEARCH(" ",F365)+1,LEN(F365)))&lt;50,4,IF(VALUE(MID(F365,SEARCH(" ",F365)+1,LEN(F365)))&lt;60,5,IF(VALUE(MID(F365,SEARCH(" ",F365)+1,LEN(F365)))&lt;70,6,IF(VALUE(MID(F365,SEARCH(" ",F365)+1,LEN(F365)))&lt;80,7,IF(VALUE(MID(F365,SEARCH(" ",F365)+1,LEN(F365)))&lt;90,8,IF(VALUE(MID(F365,SEARCH(" ",F365)+1,LEN(F365)))&lt;100,9,10))))))))/60*Q365*L365</f>
        <v>0</v>
      </c>
      <c r="AH365" s="136"/>
      <c r="AI365" s="132">
        <f t="shared" si="662"/>
        <v>0.26666666666666666</v>
      </c>
      <c r="AJ365" s="70"/>
      <c r="AK365" s="50">
        <v>2</v>
      </c>
      <c r="AL365" s="69" t="str">
        <f t="shared" ref="AL365:AL367" si="670">IF(AND(Q365&gt;0,A365&lt;3),"10",IF(AND(Q365&gt;0,A365&lt;10),"15",IF(AND(Q365&gt;0,A365&lt;20),"20",IF(AND(Q365&gt;0,A365&lt;500),"30",IF(AND(Q365=0,A365&lt;3),"2",IF(AND(Q365=0,A365&lt;10),"5",IF(AND(Q365=0,A365&lt;20),"10",IF(AND(Q365=0,A365&lt;500),"20","2"))))))))</f>
        <v>2</v>
      </c>
      <c r="AN365" s="66"/>
      <c r="AP365" s="146">
        <f>(VLOOKUP(F365,Terasehind!$A$2:$B$171,2,FALSE))</f>
        <v>0.92</v>
      </c>
      <c r="AQ365" s="50">
        <f>(VLOOKUP(F365,Terasehind!$A$2:$C$171,3,FALSE))</f>
        <v>1.1000000000000001</v>
      </c>
      <c r="AR365" s="138">
        <f t="shared" si="664"/>
        <v>9.9302500000000027</v>
      </c>
      <c r="AS365"/>
      <c r="AT365"/>
      <c r="AU365"/>
      <c r="AV365"/>
      <c r="AW365"/>
      <c r="AX365"/>
      <c r="AY365"/>
      <c r="AZ365"/>
      <c r="BA365" s="188"/>
      <c r="BB365" s="189"/>
      <c r="BC365" s="57"/>
      <c r="BD365" s="57"/>
      <c r="BE365" s="57"/>
      <c r="BF365" s="57"/>
      <c r="BG365" s="57"/>
      <c r="BH365" s="57"/>
      <c r="BI365" s="57"/>
      <c r="BJ365" s="57"/>
      <c r="BK365" s="109"/>
      <c r="BL365" s="109"/>
      <c r="BM365" s="109"/>
      <c r="BN365" s="83"/>
      <c r="BP365" s="83"/>
      <c r="BQ365" s="83"/>
    </row>
    <row r="366" spans="1:69" s="50" customFormat="1" x14ac:dyDescent="0.25">
      <c r="A366" s="116">
        <f t="shared" si="665"/>
        <v>63.585000000000001</v>
      </c>
      <c r="B366" s="116">
        <f t="shared" si="666"/>
        <v>254.34</v>
      </c>
      <c r="C366" s="118"/>
      <c r="D366" s="117" t="s">
        <v>85</v>
      </c>
      <c r="E366" s="117"/>
      <c r="F366" s="355" t="s">
        <v>89</v>
      </c>
      <c r="G366" s="117" t="s">
        <v>83</v>
      </c>
      <c r="H366" s="119">
        <v>360</v>
      </c>
      <c r="I366" s="118" t="s">
        <v>77</v>
      </c>
      <c r="J366" s="119">
        <v>750</v>
      </c>
      <c r="K366" s="119">
        <v>2</v>
      </c>
      <c r="L366" s="119">
        <f>K$366*L$363</f>
        <v>4</v>
      </c>
      <c r="M366" s="116">
        <f t="shared" si="667"/>
        <v>2.16</v>
      </c>
      <c r="N366" s="118" t="s">
        <v>84</v>
      </c>
      <c r="P366" s="118"/>
      <c r="Q366" s="135">
        <v>4</v>
      </c>
      <c r="R366" s="118"/>
      <c r="S366" s="118"/>
      <c r="T366" s="118"/>
      <c r="U366" s="118"/>
      <c r="V366" s="118"/>
      <c r="W366" s="118"/>
      <c r="X366" s="118"/>
      <c r="Y366" s="118"/>
      <c r="Z366" s="118"/>
      <c r="AA366" s="118"/>
      <c r="AB366" s="118" t="s">
        <v>78</v>
      </c>
      <c r="AC366" s="136">
        <f>((((H366+J366)*2/1000)*L366*(5/(VLOOKUP(F366,[2]Plasmalõikus!$A$7:$E$46,2,FALSE)/1000*60)))+(Q366*L366*(5*(VLOOKUP(F366,[2]Plasmalõikus!$A$7:$E$48,3,FALSE))/60/60)))</f>
        <v>1.0611111111111111</v>
      </c>
      <c r="AD366" s="353"/>
      <c r="AE366" s="136"/>
      <c r="AF366" s="137"/>
      <c r="AG366" s="137">
        <f t="shared" si="669"/>
        <v>0</v>
      </c>
      <c r="AH366" s="136"/>
      <c r="AI366" s="132">
        <f t="shared" si="662"/>
        <v>2</v>
      </c>
      <c r="AJ366" s="70">
        <f>(H366*3*AK366)*2*L366/1000</f>
        <v>17.28</v>
      </c>
      <c r="AK366" s="50">
        <v>2</v>
      </c>
      <c r="AL366" s="69" t="str">
        <f t="shared" si="670"/>
        <v>30</v>
      </c>
      <c r="AN366" s="66"/>
      <c r="AP366" s="146">
        <f>(VLOOKUP(F366,Terasehind!$A$2:$B$171,2,FALSE))</f>
        <v>0.92</v>
      </c>
      <c r="AQ366" s="50">
        <f>(VLOOKUP(F366,Terasehind!$A$2:$C$171,3,FALSE))</f>
        <v>1.1000000000000001</v>
      </c>
      <c r="AR366" s="138">
        <f t="shared" si="664"/>
        <v>257.39208000000008</v>
      </c>
      <c r="AS366"/>
      <c r="AT366"/>
      <c r="AU366"/>
      <c r="AV366"/>
      <c r="AW366"/>
      <c r="AX366"/>
      <c r="AY366"/>
      <c r="AZ366"/>
      <c r="BA366" s="188">
        <f t="shared" ref="BA366" si="671">(H366*2+J366*2)*2*2/60/1000*L366</f>
        <v>0.59199999999999997</v>
      </c>
      <c r="BB366" s="189"/>
      <c r="BC366" s="57"/>
      <c r="BD366" s="57"/>
      <c r="BE366" s="57"/>
      <c r="BF366" s="57"/>
      <c r="BG366" s="57"/>
      <c r="BH366" s="57"/>
      <c r="BI366" s="57"/>
      <c r="BJ366" s="57"/>
      <c r="BK366" s="109"/>
      <c r="BL366" s="109"/>
      <c r="BM366" s="109"/>
      <c r="BN366" s="83"/>
      <c r="BP366" s="83"/>
      <c r="BQ366" s="83"/>
    </row>
    <row r="367" spans="1:69" s="50" customFormat="1" x14ac:dyDescent="0.25">
      <c r="A367" s="116">
        <f t="shared" si="665"/>
        <v>2.2608000000000001</v>
      </c>
      <c r="B367" s="116">
        <f t="shared" si="666"/>
        <v>4.5216000000000003</v>
      </c>
      <c r="C367" s="118" t="s">
        <v>489</v>
      </c>
      <c r="D367" s="117" t="s">
        <v>88</v>
      </c>
      <c r="E367" s="117"/>
      <c r="F367" s="355" t="s">
        <v>87</v>
      </c>
      <c r="G367" s="117" t="s">
        <v>83</v>
      </c>
      <c r="H367" s="119">
        <v>120</v>
      </c>
      <c r="I367" s="118" t="s">
        <v>77</v>
      </c>
      <c r="J367" s="119">
        <v>160</v>
      </c>
      <c r="K367" s="119">
        <v>1</v>
      </c>
      <c r="L367" s="119">
        <f>K$367*L$363</f>
        <v>2</v>
      </c>
      <c r="M367" s="116">
        <f t="shared" si="667"/>
        <v>7.6799999999999993E-2</v>
      </c>
      <c r="N367" s="118" t="s">
        <v>84</v>
      </c>
      <c r="P367" s="118"/>
      <c r="Q367" s="135">
        <v>2</v>
      </c>
      <c r="R367" s="118"/>
      <c r="S367" s="118"/>
      <c r="T367" s="118"/>
      <c r="U367" s="118"/>
      <c r="V367" s="118"/>
      <c r="W367" s="118"/>
      <c r="X367" s="118"/>
      <c r="Y367" s="118"/>
      <c r="Z367" s="118"/>
      <c r="AA367" s="118"/>
      <c r="AB367" s="118" t="s">
        <v>78</v>
      </c>
      <c r="AC367" s="136">
        <f>((((H367+J367)*2/1000)*L367*(5/(VLOOKUP(F367,[2]Plasmalõikus!$A$7:$E$46,2,FALSE)/1000*60)))+(Q367*L367*(5*(VLOOKUP(F367,[2]Plasmalõikus!$A$7:$E$48,3,FALSE))/60/60)))</f>
        <v>0.10185185185185186</v>
      </c>
      <c r="AD367" s="353" t="str">
        <f t="shared" ref="AD367" si="672">IF(C367="WQ",0.012*((H367+J367)*2/1000*L367),IF(OR(VALUE(MID(F367,6,10))&gt;=20,H367&gt;300,J367&gt;300),0.012*((H367+J367)*2/1000*L367)," "))</f>
        <v xml:space="preserve"> </v>
      </c>
      <c r="AE367" s="136"/>
      <c r="AF367" s="137"/>
      <c r="AG367" s="137">
        <f t="shared" si="669"/>
        <v>0</v>
      </c>
      <c r="AH367" s="136"/>
      <c r="AI367" s="132">
        <f t="shared" si="662"/>
        <v>0.33333333333333331</v>
      </c>
      <c r="AJ367" s="70">
        <f>(J367*2*AK367+100*2*AK367)*L367/1000</f>
        <v>1.04</v>
      </c>
      <c r="AK367" s="50">
        <v>1</v>
      </c>
      <c r="AL367" s="69" t="str">
        <f t="shared" si="670"/>
        <v>10</v>
      </c>
      <c r="AN367" s="66"/>
      <c r="AP367" s="146">
        <f>(VLOOKUP(F367,Terasehind!$A$2:$B$171,2,FALSE))</f>
        <v>0.92</v>
      </c>
      <c r="AQ367" s="50">
        <f>(VLOOKUP(F367,Terasehind!$A$2:$C$171,3,FALSE))</f>
        <v>1.1000000000000001</v>
      </c>
      <c r="AR367" s="138">
        <f t="shared" si="664"/>
        <v>4.5758592000000009</v>
      </c>
      <c r="AS367"/>
      <c r="AT367"/>
      <c r="AU367"/>
      <c r="AV367"/>
      <c r="AW367"/>
      <c r="AX367"/>
      <c r="AY367"/>
      <c r="AZ367"/>
      <c r="BA367" s="192"/>
      <c r="BB367" s="189"/>
      <c r="BC367" s="57"/>
      <c r="BD367" s="57"/>
      <c r="BE367" s="57"/>
      <c r="BF367" s="57"/>
      <c r="BG367" s="57"/>
      <c r="BH367" s="57"/>
      <c r="BI367" s="57"/>
      <c r="BJ367" s="57"/>
      <c r="BK367" s="109"/>
      <c r="BL367" s="109"/>
      <c r="BM367" s="109"/>
      <c r="BN367" s="83"/>
      <c r="BP367" s="83"/>
      <c r="BQ367" s="83"/>
    </row>
    <row r="368" spans="1:69" s="50" customFormat="1" x14ac:dyDescent="0.25">
      <c r="A368" s="116"/>
      <c r="B368" s="116"/>
      <c r="C368" s="118"/>
      <c r="D368" s="117"/>
      <c r="E368" s="117"/>
      <c r="F368" s="269"/>
      <c r="G368" s="117"/>
      <c r="H368" s="119"/>
      <c r="I368" s="118"/>
      <c r="J368" s="119"/>
      <c r="K368" s="119"/>
      <c r="L368" s="119"/>
      <c r="M368" s="119"/>
      <c r="N368" s="119"/>
      <c r="O368" s="119"/>
      <c r="P368" s="119"/>
      <c r="Q368" s="119"/>
      <c r="R368" s="118"/>
      <c r="S368" s="118"/>
      <c r="T368" s="118"/>
      <c r="U368" s="118"/>
      <c r="V368" s="118"/>
      <c r="W368" s="118"/>
      <c r="X368" s="118"/>
      <c r="Y368" s="118"/>
      <c r="Z368" s="118"/>
      <c r="AA368" s="118"/>
      <c r="AB368" s="118"/>
      <c r="AC368" s="136"/>
      <c r="AD368" s="136"/>
      <c r="AE368" s="136"/>
      <c r="AF368" s="136"/>
      <c r="AG368" s="136"/>
      <c r="AH368" s="136"/>
      <c r="AI368" s="132"/>
      <c r="AJ368" s="60"/>
      <c r="AN368" s="66"/>
      <c r="AP368" s="146"/>
      <c r="AR368" s="138"/>
      <c r="AT368" s="62"/>
      <c r="AU368" s="62"/>
      <c r="AV368" s="62"/>
      <c r="AW368" s="62"/>
      <c r="AX368" s="62"/>
      <c r="AY368" s="62"/>
      <c r="AZ368"/>
      <c r="BA368" s="192"/>
      <c r="BB368" s="188"/>
      <c r="BC368" s="57"/>
      <c r="BD368" s="57"/>
      <c r="BE368" s="57"/>
      <c r="BF368" s="57"/>
      <c r="BG368" s="57"/>
      <c r="BH368" s="57"/>
      <c r="BI368" s="57"/>
      <c r="BJ368" s="109"/>
      <c r="BK368" s="109"/>
      <c r="BL368" s="109"/>
      <c r="BM368" s="83"/>
      <c r="BO368" s="83"/>
      <c r="BP368" s="83"/>
    </row>
    <row r="369" spans="1:69" s="50" customFormat="1" x14ac:dyDescent="0.25">
      <c r="A369" s="148">
        <f>B369/L369</f>
        <v>480.37180000000001</v>
      </c>
      <c r="B369" s="148">
        <f>SUM(B373,B372,B371,B370,0)</f>
        <v>3842.9744000000001</v>
      </c>
      <c r="C369" s="152"/>
      <c r="D369" s="149" t="s">
        <v>76</v>
      </c>
      <c r="E369" s="149"/>
      <c r="F369" s="365" t="s">
        <v>378</v>
      </c>
      <c r="G369" s="174" t="str">
        <f>$G$163</f>
        <v>C3VH</v>
      </c>
      <c r="H369" s="150"/>
      <c r="I369" s="151" t="s">
        <v>77</v>
      </c>
      <c r="J369" s="150">
        <f>J370</f>
        <v>3890</v>
      </c>
      <c r="K369" s="134">
        <v>8</v>
      </c>
      <c r="L369" s="150">
        <f>$L$270*$K$369</f>
        <v>8</v>
      </c>
      <c r="M369" s="148">
        <f>SUM(M373,M372,M371,M370,0)</f>
        <v>47.833040000000011</v>
      </c>
      <c r="N369" s="151"/>
      <c r="O369" s="151"/>
      <c r="P369" s="151"/>
      <c r="Q369" s="151"/>
      <c r="R369" s="120"/>
      <c r="S369" s="120"/>
      <c r="T369" s="120"/>
      <c r="U369" s="120"/>
      <c r="V369" s="120"/>
      <c r="W369" s="118"/>
      <c r="X369" s="118" t="s">
        <v>78</v>
      </c>
      <c r="Y369" s="151">
        <v>4</v>
      </c>
      <c r="Z369" s="151"/>
      <c r="AA369" s="151"/>
      <c r="AB369" s="151"/>
      <c r="AC369" s="148">
        <f>SUM(AC373,AC372,AC371,AC370,0)</f>
        <v>5.3185185185185189</v>
      </c>
      <c r="AD369" s="148">
        <f>SUM(AD373,AD372,AD371,AD370,0)</f>
        <v>0</v>
      </c>
      <c r="AE369" s="148">
        <f>SUM(AE373,AE372,AE371,AE370,0)</f>
        <v>4</v>
      </c>
      <c r="AF369" s="148">
        <f>SUM(AF373,AF372,AF371,AF370,0)</f>
        <v>6.4</v>
      </c>
      <c r="AG369" s="148">
        <f>SUM(AG373,AG372,AG371,AG370,0)</f>
        <v>0</v>
      </c>
      <c r="AH369" s="107">
        <f>SUM(AC369:AG369)</f>
        <v>15.71851851851852</v>
      </c>
      <c r="AI369" s="107">
        <f>SUM(AI373,AI372,AI371,AI370,0)</f>
        <v>14.4</v>
      </c>
      <c r="AJ369" s="148">
        <f>SUM(AJ373,AJ372,AJ371,AJ370,0)</f>
        <v>92.48</v>
      </c>
      <c r="AK369" s="107">
        <f>AJ369*10/60</f>
        <v>15.413333333333334</v>
      </c>
      <c r="AL369" s="148">
        <f>AH369+AI369+AK369</f>
        <v>45.531851851851854</v>
      </c>
      <c r="AM369" s="148">
        <f>B369/AL369</f>
        <v>84.401891065269737</v>
      </c>
      <c r="AN369" s="148">
        <f>AL369*46</f>
        <v>2094.4651851851854</v>
      </c>
      <c r="AO369" s="148">
        <f>AN369/B369</f>
        <v>0.54501148516242659</v>
      </c>
      <c r="AP369" s="148">
        <f>AR369/B369</f>
        <v>1.1379902766981744</v>
      </c>
      <c r="AQ369" s="67"/>
      <c r="AR369" s="148">
        <f>SUM(AR373,AR372,AR371,AR370,0)</f>
        <v>4373.2675008000006</v>
      </c>
      <c r="AT369" s="62"/>
      <c r="AU369" s="62"/>
      <c r="AV369" s="62"/>
      <c r="AW369" s="62"/>
      <c r="AX369" s="62"/>
      <c r="AY369" s="62"/>
      <c r="AZ369"/>
      <c r="BA369" s="148">
        <f>SUM(BA373,BA372,BA371,BA370,0)</f>
        <v>3.008</v>
      </c>
      <c r="BB369" s="188"/>
      <c r="BC369" s="57"/>
      <c r="BD369" s="57"/>
      <c r="BE369" s="57"/>
      <c r="BF369" s="57"/>
      <c r="BG369" s="57"/>
      <c r="BH369" s="57"/>
      <c r="BI369" s="60"/>
    </row>
    <row r="370" spans="1:69" s="50" customFormat="1" x14ac:dyDescent="0.25">
      <c r="A370" s="116">
        <f xml:space="preserve"> 88.4*J370/10^3</f>
        <v>343.87599999999998</v>
      </c>
      <c r="B370" s="116">
        <f>A370*L370</f>
        <v>2751.0079999999998</v>
      </c>
      <c r="C370" s="299" t="s">
        <v>379</v>
      </c>
      <c r="D370" s="117" t="s">
        <v>76</v>
      </c>
      <c r="E370" s="117"/>
      <c r="F370" s="355" t="s">
        <v>430</v>
      </c>
      <c r="G370" s="140" t="s">
        <v>79</v>
      </c>
      <c r="H370" s="119">
        <v>300</v>
      </c>
      <c r="I370" s="118" t="s">
        <v>77</v>
      </c>
      <c r="J370" s="119">
        <v>3890</v>
      </c>
      <c r="K370" s="50">
        <v>1</v>
      </c>
      <c r="L370" s="119">
        <f>K$370*L$369</f>
        <v>8</v>
      </c>
      <c r="M370" s="131">
        <f xml:space="preserve"> 1.157*J370*L370/10^3</f>
        <v>36.005840000000006</v>
      </c>
      <c r="N370" s="118"/>
      <c r="O370" s="118"/>
      <c r="P370" s="118" t="s">
        <v>78</v>
      </c>
      <c r="Q370" s="135"/>
      <c r="R370" s="118"/>
      <c r="S370" s="118"/>
      <c r="T370" s="118"/>
      <c r="U370" s="118"/>
      <c r="V370" s="118"/>
      <c r="W370" s="118"/>
      <c r="Y370" s="118"/>
      <c r="Z370" s="118"/>
      <c r="AA370" s="118"/>
      <c r="AB370" s="118" t="s">
        <v>78</v>
      </c>
      <c r="AC370" s="116"/>
      <c r="AD370" s="83"/>
      <c r="AE370" s="136">
        <f t="shared" ref="AE370" si="673">(H370/20/60)*2*L370</f>
        <v>4</v>
      </c>
      <c r="AF370" s="137">
        <f>(H370*4)*2*20/60/1000*L370</f>
        <v>6.4</v>
      </c>
      <c r="AG370" s="132">
        <f t="shared" ref="AG370" si="674">Q370*L370*0.5/60</f>
        <v>0</v>
      </c>
      <c r="AH370" s="83"/>
      <c r="AI370" s="132">
        <f t="shared" ref="AI370:AI373" si="675">AL370*L370/60</f>
        <v>4</v>
      </c>
      <c r="AJ370" s="70">
        <f t="shared" ref="AJ370" si="676">(H370*4*AK370)*2*L370/1000</f>
        <v>19.2</v>
      </c>
      <c r="AK370" s="318">
        <v>1</v>
      </c>
      <c r="AL370" s="69">
        <f>VLOOKUP(F370,[2]Koostamine!$A$12:$P$1612,IF(J370&lt;1499,11,IF(J370&lt;2999,12,IF(J370&lt;5999,13,IF(J370&lt;9999,14,IF(J370&lt;12999,15,IF(J370&gt;13000,16)))))),FALSE)</f>
        <v>30</v>
      </c>
      <c r="AP370" s="146">
        <f>(VLOOKUP(F370,Terasehind!$A$2:$B$171,2,FALSE))</f>
        <v>1.08</v>
      </c>
      <c r="AQ370" s="50">
        <f>(VLOOKUP(F370,Terasehind!$A$2:$C$171,3,FALSE))</f>
        <v>1.1000000000000001</v>
      </c>
      <c r="AR370" s="138">
        <f t="shared" ref="AR370:AR373" si="677">AP370*AQ370*B370</f>
        <v>3268.1975040000002</v>
      </c>
      <c r="AT370" s="62"/>
      <c r="AU370" s="62"/>
      <c r="AV370" s="62"/>
      <c r="AW370" s="62"/>
      <c r="AX370" s="62"/>
      <c r="AY370" s="62"/>
      <c r="AZ370"/>
      <c r="BA370" s="188">
        <f>(H370*4)*2*2/60/1000*L370</f>
        <v>0.64</v>
      </c>
      <c r="BB370" s="189"/>
      <c r="BC370" s="57"/>
      <c r="BD370" s="57"/>
      <c r="BE370" s="57"/>
      <c r="BF370" s="57"/>
      <c r="BG370" s="57"/>
      <c r="BH370" s="57"/>
      <c r="BI370" s="57"/>
      <c r="BJ370" s="60"/>
      <c r="BK370" s="57"/>
      <c r="BL370" s="60"/>
      <c r="BM370" s="83"/>
      <c r="BO370" s="109"/>
    </row>
    <row r="371" spans="1:69" s="50" customFormat="1" x14ac:dyDescent="0.25">
      <c r="A371" s="116">
        <f t="shared" ref="A371:A373" si="678">H371*J371*(RIGHT(F371,2))*7.85/(10^6)</f>
        <v>1.7662500000000001</v>
      </c>
      <c r="B371" s="116">
        <f t="shared" ref="B371:B373" si="679">A371*L371</f>
        <v>56.52</v>
      </c>
      <c r="C371" s="118" t="s">
        <v>80</v>
      </c>
      <c r="D371" s="117" t="s">
        <v>81</v>
      </c>
      <c r="E371" s="117"/>
      <c r="F371" s="355" t="s">
        <v>324</v>
      </c>
      <c r="G371" s="117" t="s">
        <v>83</v>
      </c>
      <c r="H371" s="119">
        <f>H370/2</f>
        <v>150</v>
      </c>
      <c r="I371" s="118" t="s">
        <v>77</v>
      </c>
      <c r="J371" s="119">
        <f>H370</f>
        <v>300</v>
      </c>
      <c r="K371" s="119">
        <v>4</v>
      </c>
      <c r="L371" s="119">
        <f>K$371*L$369</f>
        <v>32</v>
      </c>
      <c r="M371" s="116">
        <f t="shared" ref="M371:M373" si="680">2*H371*J371/10^6*L371</f>
        <v>2.88</v>
      </c>
      <c r="N371" s="118" t="s">
        <v>84</v>
      </c>
      <c r="P371" s="118"/>
      <c r="Q371" s="135"/>
      <c r="R371" s="118"/>
      <c r="S371" s="118"/>
      <c r="T371" s="118"/>
      <c r="U371" s="118"/>
      <c r="V371" s="118"/>
      <c r="W371" s="118"/>
      <c r="X371" s="118"/>
      <c r="Y371" s="118"/>
      <c r="Z371" s="118"/>
      <c r="AA371" s="118"/>
      <c r="AB371" s="118" t="s">
        <v>78</v>
      </c>
      <c r="AC371" s="136">
        <f>((((H371+J371)*2/1000)*L371*(5/(VLOOKUP(F371,[2]Plasmalõikus!$A$7:$E$46,2,FALSE)/1000*60)))+(Q371*L371*(5*(VLOOKUP(F371,[2]Plasmalõikus!$A$7:$E$48,3,FALSE))/60/60)))</f>
        <v>0.66666666666666663</v>
      </c>
      <c r="AD371" s="353" t="str">
        <f t="shared" ref="AD371:AD373" si="681">IF(C371="WQ",0.012*((H371+J371)*2/1000*L371),IF(OR(VALUE(MID(F371,6,10))&gt;=20,H371&gt;300,J371&gt;300),0.012*((H371+J371)*2/1000*L371)," "))</f>
        <v xml:space="preserve"> </v>
      </c>
      <c r="AE371" s="136"/>
      <c r="AF371" s="137"/>
      <c r="AG371" s="137">
        <f t="shared" ref="AG371:AG373" si="682">IF(VALUE(MID(F371,SEARCH(" ",F371)+1,LEN(F371)))&lt;35,0,IF(VALUE(MID(F371,SEARCH(" ",F371)+1,LEN(F371)))&lt;40,3,IF(VALUE(MID(F371,SEARCH(" ",F371)+1,LEN(F371)))&lt;50,4,IF(VALUE(MID(F371,SEARCH(" ",F371)+1,LEN(F371)))&lt;60,5,IF(VALUE(MID(F371,SEARCH(" ",F371)+1,LEN(F371)))&lt;70,6,IF(VALUE(MID(F371,SEARCH(" ",F371)+1,LEN(F371)))&lt;80,7,IF(VALUE(MID(F371,SEARCH(" ",F371)+1,LEN(F371)))&lt;90,8,IF(VALUE(MID(F371,SEARCH(" ",F371)+1,LEN(F371)))&lt;100,9,10))))))))/60*Q371*L371</f>
        <v>0</v>
      </c>
      <c r="AH371" s="136"/>
      <c r="AI371" s="132">
        <f t="shared" si="675"/>
        <v>1.0666666666666667</v>
      </c>
      <c r="AJ371" s="70"/>
      <c r="AK371" s="50">
        <v>2</v>
      </c>
      <c r="AL371" s="69" t="str">
        <f t="shared" ref="AL371:AL373" si="683">IF(AND(Q371&gt;0,A371&lt;3),"10",IF(AND(Q371&gt;0,A371&lt;10),"15",IF(AND(Q371&gt;0,A371&lt;20),"20",IF(AND(Q371&gt;0,A371&lt;500),"30",IF(AND(Q371=0,A371&lt;3),"2",IF(AND(Q371=0,A371&lt;10),"5",IF(AND(Q371=0,A371&lt;20),"10",IF(AND(Q371=0,A371&lt;500),"20","2"))))))))</f>
        <v>2</v>
      </c>
      <c r="AN371" s="66"/>
      <c r="AP371" s="146">
        <f>(VLOOKUP(F371,Terasehind!$A$2:$B$171,2,FALSE))</f>
        <v>0.92</v>
      </c>
      <c r="AQ371" s="50">
        <f>(VLOOKUP(F371,Terasehind!$A$2:$C$171,3,FALSE))</f>
        <v>1.1000000000000001</v>
      </c>
      <c r="AR371" s="138">
        <f t="shared" si="677"/>
        <v>57.19824000000002</v>
      </c>
      <c r="AS371"/>
      <c r="AT371"/>
      <c r="AU371"/>
      <c r="AV371"/>
      <c r="AW371"/>
      <c r="AX371"/>
      <c r="AY371"/>
      <c r="AZ371"/>
      <c r="BA371" s="188"/>
      <c r="BB371" s="189"/>
      <c r="BC371" s="57"/>
      <c r="BD371" s="57"/>
      <c r="BE371" s="57"/>
      <c r="BF371" s="57"/>
      <c r="BG371" s="57"/>
      <c r="BH371" s="57"/>
      <c r="BI371" s="57"/>
      <c r="BJ371" s="57"/>
      <c r="BK371" s="109"/>
      <c r="BL371" s="109"/>
      <c r="BM371" s="109"/>
      <c r="BN371" s="83"/>
      <c r="BP371" s="83"/>
      <c r="BQ371" s="83"/>
    </row>
    <row r="372" spans="1:69" s="50" customFormat="1" x14ac:dyDescent="0.25">
      <c r="A372" s="116">
        <f t="shared" si="678"/>
        <v>63.585000000000001</v>
      </c>
      <c r="B372" s="116">
        <f t="shared" si="679"/>
        <v>1017.36</v>
      </c>
      <c r="C372" s="118"/>
      <c r="D372" s="117" t="s">
        <v>85</v>
      </c>
      <c r="E372" s="117"/>
      <c r="F372" s="355" t="s">
        <v>89</v>
      </c>
      <c r="G372" s="117" t="s">
        <v>83</v>
      </c>
      <c r="H372" s="119">
        <v>360</v>
      </c>
      <c r="I372" s="118" t="s">
        <v>77</v>
      </c>
      <c r="J372" s="119">
        <v>750</v>
      </c>
      <c r="K372" s="119">
        <v>2</v>
      </c>
      <c r="L372" s="119">
        <f>K$372*L$369</f>
        <v>16</v>
      </c>
      <c r="M372" s="116">
        <f t="shared" si="680"/>
        <v>8.64</v>
      </c>
      <c r="N372" s="118" t="s">
        <v>84</v>
      </c>
      <c r="P372" s="118"/>
      <c r="Q372" s="135">
        <v>4</v>
      </c>
      <c r="R372" s="118"/>
      <c r="S372" s="118"/>
      <c r="T372" s="118"/>
      <c r="U372" s="118"/>
      <c r="V372" s="118"/>
      <c r="W372" s="118"/>
      <c r="X372" s="118"/>
      <c r="Y372" s="118"/>
      <c r="Z372" s="118"/>
      <c r="AA372" s="118"/>
      <c r="AB372" s="118" t="s">
        <v>78</v>
      </c>
      <c r="AC372" s="136">
        <f>((((H372+J372)*2/1000)*L372*(5/(VLOOKUP(F372,[2]Plasmalõikus!$A$7:$E$46,2,FALSE)/1000*60)))+(Q372*L372*(5*(VLOOKUP(F372,[2]Plasmalõikus!$A$7:$E$48,3,FALSE))/60/60)))</f>
        <v>4.2444444444444445</v>
      </c>
      <c r="AD372" s="353"/>
      <c r="AE372" s="136"/>
      <c r="AF372" s="137"/>
      <c r="AG372" s="137">
        <f t="shared" si="682"/>
        <v>0</v>
      </c>
      <c r="AH372" s="136"/>
      <c r="AI372" s="132">
        <f t="shared" si="675"/>
        <v>8</v>
      </c>
      <c r="AJ372" s="70">
        <f>(H372*3*AK372)*2*L372/1000</f>
        <v>69.12</v>
      </c>
      <c r="AK372" s="50">
        <v>2</v>
      </c>
      <c r="AL372" s="69" t="str">
        <f t="shared" si="683"/>
        <v>30</v>
      </c>
      <c r="AN372" s="66"/>
      <c r="AP372" s="146">
        <f>(VLOOKUP(F372,Terasehind!$A$2:$B$171,2,FALSE))</f>
        <v>0.92</v>
      </c>
      <c r="AQ372" s="50">
        <f>(VLOOKUP(F372,Terasehind!$A$2:$C$171,3,FALSE))</f>
        <v>1.1000000000000001</v>
      </c>
      <c r="AR372" s="138">
        <f t="shared" si="677"/>
        <v>1029.5683200000003</v>
      </c>
      <c r="AS372"/>
      <c r="AT372"/>
      <c r="AU372"/>
      <c r="AV372"/>
      <c r="AW372"/>
      <c r="AX372"/>
      <c r="AY372"/>
      <c r="AZ372"/>
      <c r="BA372" s="188">
        <f t="shared" ref="BA372" si="684">(H372*2+J372*2)*2*2/60/1000*L372</f>
        <v>2.3679999999999999</v>
      </c>
      <c r="BB372" s="189"/>
      <c r="BC372" s="57"/>
      <c r="BD372" s="57"/>
      <c r="BE372" s="57"/>
      <c r="BF372" s="57"/>
      <c r="BG372" s="57"/>
      <c r="BH372" s="57"/>
      <c r="BI372" s="57"/>
      <c r="BJ372" s="57"/>
      <c r="BK372" s="109"/>
      <c r="BL372" s="109"/>
      <c r="BM372" s="109"/>
      <c r="BN372" s="83"/>
      <c r="BP372" s="83"/>
      <c r="BQ372" s="83"/>
    </row>
    <row r="373" spans="1:69" s="50" customFormat="1" x14ac:dyDescent="0.25">
      <c r="A373" s="116">
        <f t="shared" si="678"/>
        <v>2.2608000000000001</v>
      </c>
      <c r="B373" s="116">
        <f t="shared" si="679"/>
        <v>18.086400000000001</v>
      </c>
      <c r="C373" s="118" t="s">
        <v>489</v>
      </c>
      <c r="D373" s="117" t="s">
        <v>88</v>
      </c>
      <c r="E373" s="117"/>
      <c r="F373" s="355" t="s">
        <v>87</v>
      </c>
      <c r="G373" s="117" t="s">
        <v>83</v>
      </c>
      <c r="H373" s="119">
        <v>120</v>
      </c>
      <c r="I373" s="118" t="s">
        <v>77</v>
      </c>
      <c r="J373" s="119">
        <v>160</v>
      </c>
      <c r="K373" s="119">
        <v>1</v>
      </c>
      <c r="L373" s="119">
        <f>K$373*L$369</f>
        <v>8</v>
      </c>
      <c r="M373" s="116">
        <f t="shared" si="680"/>
        <v>0.30719999999999997</v>
      </c>
      <c r="N373" s="118" t="s">
        <v>84</v>
      </c>
      <c r="P373" s="118"/>
      <c r="Q373" s="135">
        <v>2</v>
      </c>
      <c r="R373" s="118"/>
      <c r="S373" s="118"/>
      <c r="T373" s="118"/>
      <c r="U373" s="118"/>
      <c r="V373" s="118"/>
      <c r="W373" s="118"/>
      <c r="X373" s="118"/>
      <c r="Y373" s="118"/>
      <c r="Z373" s="118"/>
      <c r="AA373" s="118"/>
      <c r="AB373" s="118" t="s">
        <v>78</v>
      </c>
      <c r="AC373" s="136">
        <f>((((H373+J373)*2/1000)*L373*(5/(VLOOKUP(F373,[2]Plasmalõikus!$A$7:$E$46,2,FALSE)/1000*60)))+(Q373*L373*(5*(VLOOKUP(F373,[2]Plasmalõikus!$A$7:$E$48,3,FALSE))/60/60)))</f>
        <v>0.40740740740740744</v>
      </c>
      <c r="AD373" s="353" t="str">
        <f t="shared" si="681"/>
        <v xml:space="preserve"> </v>
      </c>
      <c r="AE373" s="136"/>
      <c r="AF373" s="137"/>
      <c r="AG373" s="137">
        <f t="shared" si="682"/>
        <v>0</v>
      </c>
      <c r="AH373" s="136"/>
      <c r="AI373" s="132">
        <f t="shared" si="675"/>
        <v>1.3333333333333333</v>
      </c>
      <c r="AJ373" s="70">
        <f>(J373*2*AK373+100*2*AK373)*L373/1000</f>
        <v>4.16</v>
      </c>
      <c r="AK373" s="50">
        <v>1</v>
      </c>
      <c r="AL373" s="69" t="str">
        <f t="shared" si="683"/>
        <v>10</v>
      </c>
      <c r="AN373" s="66"/>
      <c r="AP373" s="146">
        <f>(VLOOKUP(F373,Terasehind!$A$2:$B$171,2,FALSE))</f>
        <v>0.92</v>
      </c>
      <c r="AQ373" s="50">
        <f>(VLOOKUP(F373,Terasehind!$A$2:$C$171,3,FALSE))</f>
        <v>1.1000000000000001</v>
      </c>
      <c r="AR373" s="138">
        <f t="shared" si="677"/>
        <v>18.303436800000004</v>
      </c>
      <c r="AS373"/>
      <c r="AT373"/>
      <c r="AU373"/>
      <c r="AV373"/>
      <c r="AW373"/>
      <c r="AX373"/>
      <c r="AY373"/>
      <c r="AZ373"/>
      <c r="BA373" s="192"/>
      <c r="BB373" s="189"/>
      <c r="BC373" s="57"/>
      <c r="BD373" s="57"/>
      <c r="BE373" s="57"/>
      <c r="BF373" s="57"/>
      <c r="BG373" s="57"/>
      <c r="BH373" s="57"/>
      <c r="BI373" s="57"/>
      <c r="BJ373" s="57"/>
      <c r="BK373" s="109"/>
      <c r="BL373" s="109"/>
      <c r="BM373" s="109"/>
      <c r="BN373" s="83"/>
      <c r="BP373" s="83"/>
      <c r="BQ373" s="83"/>
    </row>
    <row r="374" spans="1:69" s="50" customFormat="1" x14ac:dyDescent="0.25">
      <c r="A374" s="116"/>
      <c r="B374" s="116"/>
      <c r="C374" s="118"/>
      <c r="D374" s="117"/>
      <c r="E374" s="117"/>
      <c r="F374" s="269"/>
      <c r="G374" s="117"/>
      <c r="H374" s="119"/>
      <c r="I374" s="118"/>
      <c r="J374" s="119"/>
      <c r="K374" s="119"/>
      <c r="L374" s="119"/>
      <c r="M374" s="119"/>
      <c r="N374" s="119"/>
      <c r="O374" s="119"/>
      <c r="P374" s="119"/>
      <c r="Q374" s="119"/>
      <c r="R374" s="118"/>
      <c r="S374" s="118"/>
      <c r="T374" s="118"/>
      <c r="U374" s="118"/>
      <c r="V374" s="118"/>
      <c r="W374" s="118"/>
      <c r="X374" s="118"/>
      <c r="Y374" s="118"/>
      <c r="Z374" s="118"/>
      <c r="AA374" s="118"/>
      <c r="AB374" s="118"/>
      <c r="AC374" s="136"/>
      <c r="AD374" s="136"/>
      <c r="AE374" s="136"/>
      <c r="AF374" s="136"/>
      <c r="AG374" s="136"/>
      <c r="AH374" s="136"/>
      <c r="AI374" s="132"/>
      <c r="AJ374" s="60"/>
      <c r="AN374" s="66"/>
      <c r="AP374" s="146"/>
      <c r="AR374" s="138"/>
      <c r="AT374" s="62"/>
      <c r="AU374" s="62"/>
      <c r="AV374" s="62"/>
      <c r="AW374" s="62"/>
      <c r="AX374" s="62"/>
      <c r="AY374" s="62"/>
      <c r="AZ374"/>
      <c r="BA374" s="192"/>
      <c r="BB374" s="188"/>
      <c r="BC374" s="57"/>
      <c r="BD374" s="57"/>
      <c r="BE374" s="57"/>
      <c r="BF374" s="57"/>
      <c r="BG374" s="57"/>
      <c r="BH374" s="57"/>
      <c r="BI374" s="57"/>
      <c r="BJ374" s="109"/>
      <c r="BK374" s="109"/>
      <c r="BL374" s="109"/>
      <c r="BM374" s="83"/>
      <c r="BO374" s="83"/>
      <c r="BP374" s="83"/>
    </row>
    <row r="375" spans="1:69" s="50" customFormat="1" x14ac:dyDescent="0.25">
      <c r="A375" s="148">
        <f>B375/L375</f>
        <v>14.946400000000001</v>
      </c>
      <c r="B375" s="148">
        <f>SUM(B377,B376,0)</f>
        <v>896.78399999999999</v>
      </c>
      <c r="C375" s="152"/>
      <c r="D375" s="149" t="s">
        <v>76</v>
      </c>
      <c r="E375" s="149"/>
      <c r="F375" s="275" t="s">
        <v>433</v>
      </c>
      <c r="G375" s="174" t="str">
        <f>$G$163</f>
        <v>C3VH</v>
      </c>
      <c r="H375" s="150"/>
      <c r="I375" s="151" t="s">
        <v>77</v>
      </c>
      <c r="J375" s="150"/>
      <c r="K375" s="134">
        <v>60</v>
      </c>
      <c r="L375" s="150">
        <f>$L$270*$K$375</f>
        <v>60</v>
      </c>
      <c r="M375" s="148">
        <f>SUM(M377,M376,0)</f>
        <v>14.033999999999999</v>
      </c>
      <c r="N375" s="151"/>
      <c r="O375" s="151"/>
      <c r="P375" s="151"/>
      <c r="Q375" s="151"/>
      <c r="R375" s="120"/>
      <c r="S375" s="120"/>
      <c r="T375" s="120"/>
      <c r="U375" s="120"/>
      <c r="V375" s="120"/>
      <c r="W375" s="118"/>
      <c r="X375" s="118" t="s">
        <v>78</v>
      </c>
      <c r="Y375" s="151">
        <v>4</v>
      </c>
      <c r="Z375" s="151"/>
      <c r="AA375" s="151"/>
      <c r="AB375" s="151"/>
      <c r="AC375" s="148">
        <f>SUM(AC377,AC376,0)</f>
        <v>8.7704166666666659</v>
      </c>
      <c r="AD375" s="148">
        <f>SUM(AD377,AD376,0)</f>
        <v>0</v>
      </c>
      <c r="AE375" s="148">
        <f>SUM(AE377,AE376,0)</f>
        <v>0</v>
      </c>
      <c r="AF375" s="148">
        <f>SUM(AF377,AF376,0)</f>
        <v>0</v>
      </c>
      <c r="AG375" s="148">
        <f>SUM(AG377,AG376,0)</f>
        <v>0</v>
      </c>
      <c r="AH375" s="107">
        <f>SUM(AC375:AG375)</f>
        <v>8.7704166666666659</v>
      </c>
      <c r="AI375" s="107">
        <f>SUM(AI377,AI376,0)</f>
        <v>25</v>
      </c>
      <c r="AJ375" s="148">
        <f>SUM(AJ377,AJ376,0)</f>
        <v>69.599999999999994</v>
      </c>
      <c r="AK375" s="107">
        <f>AJ375*10/60</f>
        <v>11.6</v>
      </c>
      <c r="AL375" s="148">
        <f>AH375+AI375+AK375</f>
        <v>45.370416666666664</v>
      </c>
      <c r="AM375" s="148">
        <f>B375/AL375</f>
        <v>19.76583125935586</v>
      </c>
      <c r="AN375" s="148">
        <f>AL375*46</f>
        <v>2087.0391666666665</v>
      </c>
      <c r="AO375" s="148">
        <f>AN375/B375</f>
        <v>2.3272484418395805</v>
      </c>
      <c r="AP375" s="148">
        <f>AR375/B375</f>
        <v>1.0120000000000002</v>
      </c>
      <c r="AQ375" s="67"/>
      <c r="AR375" s="148">
        <f>SUM(AR377,AR376,0)</f>
        <v>907.54540800000029</v>
      </c>
      <c r="AT375" s="62"/>
      <c r="AU375" s="62"/>
      <c r="AV375" s="62"/>
      <c r="AW375" s="62"/>
      <c r="AX375" s="62"/>
      <c r="AY375" s="62"/>
      <c r="AZ375"/>
      <c r="BA375" s="148">
        <f>SUM(BA377,BA376,0)</f>
        <v>9.08</v>
      </c>
      <c r="BB375" s="188"/>
      <c r="BC375" s="57"/>
      <c r="BD375" s="57"/>
      <c r="BE375" s="57"/>
      <c r="BF375" s="57"/>
      <c r="BG375" s="57"/>
      <c r="BH375" s="57"/>
      <c r="BI375" s="60"/>
    </row>
    <row r="376" spans="1:69" s="50" customFormat="1" x14ac:dyDescent="0.25">
      <c r="A376" s="116">
        <f t="shared" ref="A376:A377" si="685">H376*J376*(RIGHT(F376,2))*7.85/(10^6)</f>
        <v>11.531650000000001</v>
      </c>
      <c r="B376" s="116">
        <f t="shared" ref="B376:B377" si="686">A376*L376</f>
        <v>691.899</v>
      </c>
      <c r="C376" s="118" t="s">
        <v>80</v>
      </c>
      <c r="D376" s="117" t="s">
        <v>76</v>
      </c>
      <c r="E376" s="117"/>
      <c r="F376" s="118" t="s">
        <v>86</v>
      </c>
      <c r="G376" s="117" t="s">
        <v>83</v>
      </c>
      <c r="H376" s="119">
        <v>130</v>
      </c>
      <c r="I376" s="118" t="s">
        <v>77</v>
      </c>
      <c r="J376" s="119">
        <v>565</v>
      </c>
      <c r="K376" s="119">
        <v>1</v>
      </c>
      <c r="L376" s="119">
        <f>K$376*L$375</f>
        <v>60</v>
      </c>
      <c r="M376" s="116">
        <f t="shared" ref="M376:M377" si="687">2*H376*J376/10^6*L376</f>
        <v>8.8140000000000001</v>
      </c>
      <c r="N376" s="118" t="s">
        <v>84</v>
      </c>
      <c r="P376" s="118"/>
      <c r="Q376" s="135"/>
      <c r="R376" s="118"/>
      <c r="S376" s="118"/>
      <c r="T376" s="118"/>
      <c r="U376" s="118"/>
      <c r="V376" s="118"/>
      <c r="W376" s="118"/>
      <c r="X376" s="118"/>
      <c r="Y376" s="118"/>
      <c r="Z376" s="118"/>
      <c r="AA376" s="118"/>
      <c r="AB376" s="118" t="s">
        <v>78</v>
      </c>
      <c r="AC376" s="136">
        <f>((((H376+J376)*2/1000)*L376*(5/(VLOOKUP(F376,[2]Plasmalõikus!$A$7:$E$46,2,FALSE)/1000*60)))+(Q376*L376*(5*(VLOOKUP(F376,[2]Plasmalõikus!$A$7:$E$48,3,FALSE))/60/60)))</f>
        <v>4.34375</v>
      </c>
      <c r="AD376" s="353"/>
      <c r="AE376" s="136"/>
      <c r="AF376" s="137"/>
      <c r="AG376" s="137">
        <f t="shared" ref="AG376:AG377" si="688">IF(VALUE(MID(F376,SEARCH(" ",F376)+1,LEN(F376)))&lt;35,0,IF(VALUE(MID(F376,SEARCH(" ",F376)+1,LEN(F376)))&lt;40,3,IF(VALUE(MID(F376,SEARCH(" ",F376)+1,LEN(F376)))&lt;50,4,IF(VALUE(MID(F376,SEARCH(" ",F376)+1,LEN(F376)))&lt;60,5,IF(VALUE(MID(F376,SEARCH(" ",F376)+1,LEN(F376)))&lt;70,6,IF(VALUE(MID(F376,SEARCH(" ",F376)+1,LEN(F376)))&lt;80,7,IF(VALUE(MID(F376,SEARCH(" ",F376)+1,LEN(F376)))&lt;90,8,IF(VALUE(MID(F376,SEARCH(" ",F376)+1,LEN(F376)))&lt;100,9,10))))))))/60*Q376*L376</f>
        <v>0</v>
      </c>
      <c r="AH376" s="136"/>
      <c r="AI376" s="132">
        <f t="shared" ref="AI376:AI377" si="689">AL376*L376/60</f>
        <v>10</v>
      </c>
      <c r="AJ376" s="70"/>
      <c r="AK376" s="50">
        <v>2</v>
      </c>
      <c r="AL376" s="69" t="str">
        <f t="shared" ref="AL376:AL377" si="690">IF(AND(Q376&gt;0,A376&lt;3),"10",IF(AND(Q376&gt;0,A376&lt;10),"15",IF(AND(Q376&gt;0,A376&lt;20),"20",IF(AND(Q376&gt;0,A376&lt;500),"30",IF(AND(Q376=0,A376&lt;3),"2",IF(AND(Q376=0,A376&lt;10),"5",IF(AND(Q376=0,A376&lt;20),"10",IF(AND(Q376=0,A376&lt;500),"20","2"))))))))</f>
        <v>10</v>
      </c>
      <c r="AN376" s="66"/>
      <c r="AP376" s="146">
        <f>(VLOOKUP(F376,Terasehind!$A$2:$B$171,2,FALSE))</f>
        <v>0.92</v>
      </c>
      <c r="AQ376" s="50">
        <f>(VLOOKUP(F376,Terasehind!$A$2:$C$171,3,FALSE))</f>
        <v>1.1000000000000001</v>
      </c>
      <c r="AR376" s="138">
        <f t="shared" ref="AR376:AR377" si="691">AP376*AQ376*B376</f>
        <v>700.20178800000019</v>
      </c>
      <c r="AS376"/>
      <c r="AT376"/>
      <c r="AU376"/>
      <c r="AV376"/>
      <c r="AW376"/>
      <c r="AX376"/>
      <c r="AY376"/>
      <c r="AZ376"/>
      <c r="BA376" s="188">
        <f t="shared" ref="BA376:BA377" si="692">(H376*2+J376*2)*2*2/60/1000*L376</f>
        <v>5.5600000000000005</v>
      </c>
      <c r="BB376" s="189"/>
      <c r="BC376" s="57"/>
      <c r="BD376" s="57"/>
      <c r="BE376" s="57"/>
      <c r="BF376" s="57"/>
      <c r="BG376" s="57"/>
      <c r="BH376" s="57"/>
      <c r="BI376" s="57"/>
      <c r="BJ376" s="57"/>
      <c r="BK376" s="109"/>
      <c r="BL376" s="109"/>
      <c r="BM376" s="109"/>
      <c r="BN376" s="83"/>
      <c r="BP376" s="83"/>
      <c r="BQ376" s="83"/>
    </row>
    <row r="377" spans="1:69" s="50" customFormat="1" x14ac:dyDescent="0.25">
      <c r="A377" s="116">
        <f t="shared" si="685"/>
        <v>3.4147500000000002</v>
      </c>
      <c r="B377" s="116">
        <f t="shared" si="686"/>
        <v>204.88500000000002</v>
      </c>
      <c r="C377" s="118"/>
      <c r="D377" s="117" t="s">
        <v>81</v>
      </c>
      <c r="E377" s="117"/>
      <c r="F377" s="118" t="s">
        <v>82</v>
      </c>
      <c r="G377" s="117" t="s">
        <v>83</v>
      </c>
      <c r="H377" s="119">
        <v>150</v>
      </c>
      <c r="I377" s="118" t="s">
        <v>77</v>
      </c>
      <c r="J377" s="119">
        <v>290</v>
      </c>
      <c r="K377" s="119">
        <v>1</v>
      </c>
      <c r="L377" s="119">
        <f>K$377*L$375</f>
        <v>60</v>
      </c>
      <c r="M377" s="116">
        <f t="shared" si="687"/>
        <v>5.22</v>
      </c>
      <c r="N377" s="118" t="s">
        <v>84</v>
      </c>
      <c r="P377" s="118"/>
      <c r="Q377" s="135">
        <v>4</v>
      </c>
      <c r="R377" s="118"/>
      <c r="S377" s="118"/>
      <c r="T377" s="118"/>
      <c r="U377" s="118"/>
      <c r="V377" s="118"/>
      <c r="W377" s="118"/>
      <c r="X377" s="118"/>
      <c r="Y377" s="118"/>
      <c r="Z377" s="118"/>
      <c r="AA377" s="118"/>
      <c r="AB377" s="118" t="s">
        <v>78</v>
      </c>
      <c r="AC377" s="136">
        <f>((((H377+J377)*2/1000)*L377*(5/(VLOOKUP(F377,[2]Plasmalõikus!$A$7:$E$46,2,FALSE)/1000*60)))+(Q377*L377*(5*(VLOOKUP(F377,[2]Plasmalõikus!$A$7:$E$48,3,FALSE))/60/60)))</f>
        <v>4.4266666666666659</v>
      </c>
      <c r="AD377" s="353" t="str">
        <f t="shared" ref="AD377" si="693">IF(C377="WQ",0.012*((H377+J377)*2/1000*L377),IF(OR(VALUE(MID(F377,6,10))&gt;=20,H377&gt;300,J377&gt;300),0.012*((H377+J377)*2/1000*L377)," "))</f>
        <v xml:space="preserve"> </v>
      </c>
      <c r="AE377" s="136"/>
      <c r="AF377" s="137"/>
      <c r="AG377" s="137">
        <f t="shared" si="688"/>
        <v>0</v>
      </c>
      <c r="AH377" s="136"/>
      <c r="AI377" s="132">
        <f t="shared" si="689"/>
        <v>15</v>
      </c>
      <c r="AJ377" s="70">
        <f>(J377*2*AK377)*L377/1000</f>
        <v>69.599999999999994</v>
      </c>
      <c r="AK377" s="50">
        <v>2</v>
      </c>
      <c r="AL377" s="69" t="str">
        <f t="shared" si="690"/>
        <v>15</v>
      </c>
      <c r="AN377" s="66"/>
      <c r="AP377" s="146">
        <f>(VLOOKUP(F377,Terasehind!$A$2:$B$171,2,FALSE))</f>
        <v>0.92</v>
      </c>
      <c r="AQ377" s="50">
        <f>(VLOOKUP(F377,Terasehind!$A$2:$C$171,3,FALSE))</f>
        <v>1.1000000000000001</v>
      </c>
      <c r="AR377" s="138">
        <f t="shared" si="691"/>
        <v>207.34362000000007</v>
      </c>
      <c r="AS377"/>
      <c r="AT377"/>
      <c r="AU377"/>
      <c r="AV377"/>
      <c r="AW377"/>
      <c r="AX377"/>
      <c r="AY377"/>
      <c r="AZ377"/>
      <c r="BA377" s="188">
        <f t="shared" si="692"/>
        <v>3.52</v>
      </c>
      <c r="BB377" s="189"/>
      <c r="BC377" s="57"/>
      <c r="BD377" s="57"/>
      <c r="BE377" s="57"/>
      <c r="BF377" s="57"/>
      <c r="BG377" s="57"/>
      <c r="BH377" s="57"/>
      <c r="BI377" s="57"/>
      <c r="BJ377" s="57"/>
      <c r="BK377" s="109"/>
      <c r="BL377" s="109"/>
      <c r="BM377" s="109"/>
      <c r="BN377" s="83"/>
      <c r="BP377" s="83"/>
      <c r="BQ377" s="83"/>
    </row>
    <row r="378" spans="1:69" customFormat="1" ht="14.95" thickBot="1" x14ac:dyDescent="0.3">
      <c r="G378" s="140"/>
      <c r="AD378" s="328" t="s">
        <v>393</v>
      </c>
      <c r="AW378" s="117"/>
      <c r="AX378" s="117"/>
      <c r="AY378" s="346">
        <f>AY379+BA378*$AV$2</f>
        <v>14618.891594688335</v>
      </c>
      <c r="AZ378" s="345">
        <f>AY378/B379</f>
        <v>2.942399574170766</v>
      </c>
      <c r="BA378">
        <f>BA379*46</f>
        <v>278.76</v>
      </c>
    </row>
    <row r="379" spans="1:69" s="50" customFormat="1" ht="14.95" thickBot="1" x14ac:dyDescent="0.3">
      <c r="A379" s="153">
        <f>B379/L379</f>
        <v>4968.3570250000002</v>
      </c>
      <c r="B379" s="153">
        <f>B$409+B$403+B$397+B$391+B$386+B$383</f>
        <v>4968.3570250000002</v>
      </c>
      <c r="C379" s="154"/>
      <c r="D379" s="154" t="s">
        <v>76</v>
      </c>
      <c r="E379" s="154"/>
      <c r="F379" s="155" t="s">
        <v>434</v>
      </c>
      <c r="G379" s="351" t="s">
        <v>449</v>
      </c>
      <c r="H379" s="156">
        <v>150</v>
      </c>
      <c r="I379" s="157" t="s">
        <v>77</v>
      </c>
      <c r="J379" s="156">
        <v>7500</v>
      </c>
      <c r="K379" s="156">
        <v>1</v>
      </c>
      <c r="L379" s="156">
        <f>$L$11*$K$379</f>
        <v>1</v>
      </c>
      <c r="M379" s="153">
        <f>M$409+M$403+M$397+M$391+M$386+M$383</f>
        <v>130.77707999999998</v>
      </c>
      <c r="N379" s="157"/>
      <c r="O379" s="157"/>
      <c r="P379" s="157"/>
      <c r="Q379" s="157"/>
      <c r="R379" s="157"/>
      <c r="S379" s="157"/>
      <c r="T379" s="157"/>
      <c r="U379" s="157"/>
      <c r="V379" s="157"/>
      <c r="W379" s="157"/>
      <c r="X379" s="157"/>
      <c r="Y379" s="157">
        <v>3</v>
      </c>
      <c r="Z379" s="157"/>
      <c r="AA379" s="157"/>
      <c r="AB379" s="157"/>
      <c r="AC379" s="153">
        <f>AC$409+AC$403+AC$397+AC$391+AC$386+AC$383</f>
        <v>11.520833333333334</v>
      </c>
      <c r="AD379" s="153">
        <f>AD$409+AD$403+AD$397+AD$391+AD$386+AD$383</f>
        <v>0</v>
      </c>
      <c r="AE379" s="153">
        <f>AE$409+AE$403+AE$397+AE$391+AE$386+AE$383</f>
        <v>10.716666666666669</v>
      </c>
      <c r="AF379" s="153">
        <f>AF$409+AF$403+AF$397+AF$391+AF$386+AF$383</f>
        <v>0</v>
      </c>
      <c r="AG379" s="153">
        <f>AG$409+AG$403+AG$397+AG$391+AG$386+AG$383</f>
        <v>0.1</v>
      </c>
      <c r="AH379" s="107">
        <f>SUM(AC379:AG379)</f>
        <v>22.337500000000006</v>
      </c>
      <c r="AI379" s="107">
        <f>AI$409+AI$403+AI$397+AI$391+AI$386+AI$383</f>
        <v>47.516666666666666</v>
      </c>
      <c r="AJ379" s="153">
        <f>AJ$409+AJ$403+AJ$397+AJ$391+AJ$386+AJ$383</f>
        <v>257.94000000000005</v>
      </c>
      <c r="AK379" s="107">
        <f>AJ379*10/60</f>
        <v>42.990000000000009</v>
      </c>
      <c r="AL379" s="133">
        <f>AH379+AI379+AK379</f>
        <v>112.84416666666668</v>
      </c>
      <c r="AM379" s="173">
        <f>B379/AL379</f>
        <v>44.028479023432013</v>
      </c>
      <c r="AN379" s="158">
        <f>AL379*46</f>
        <v>5190.8316666666669</v>
      </c>
      <c r="AO379" s="159">
        <f>AN379/B379</f>
        <v>1.0447783121356233</v>
      </c>
      <c r="AP379" s="159">
        <f>AR379/B379</f>
        <v>1.0175833674714632</v>
      </c>
      <c r="AQ379" s="67"/>
      <c r="AR379" s="159">
        <f>AR$409+AR$403+AR$397+AR$391+AR$386+AR$383</f>
        <v>5055.7174723000007</v>
      </c>
      <c r="AS379" s="168">
        <f>$AU$2</f>
        <v>1.1000000000000001</v>
      </c>
      <c r="AT379" s="128">
        <f>HLOOKUP(G379,$AB$1:$AK$2,2,FALSE)</f>
        <v>20</v>
      </c>
      <c r="AU379" s="166">
        <f>IF(AND(G379="HDG"),B379*AT379,M379*AT379)</f>
        <v>2615.5415999999996</v>
      </c>
      <c r="AV379" s="68">
        <f>B379*pakendus</f>
        <v>149.05071075000001</v>
      </c>
      <c r="AW379" s="159">
        <f>(AN379+AU379+AV379)+AU378</f>
        <v>7955.4239774166663</v>
      </c>
      <c r="AX379" s="129">
        <f>$AV$2</f>
        <v>1.1000000000000001</v>
      </c>
      <c r="AY379" s="108">
        <f>(AR379*AS379)+(AW379*AX379)</f>
        <v>14312.255594688335</v>
      </c>
      <c r="AZ379" s="130">
        <f>ROUND(AY379/B379,3)</f>
        <v>2.8809999999999998</v>
      </c>
      <c r="BA379" s="159">
        <f>BA$409+BA$403+BA$391+BA$386</f>
        <v>6.06</v>
      </c>
      <c r="BB379" s="159">
        <f>B379/18000</f>
        <v>0.27601983472222225</v>
      </c>
      <c r="BC379" s="57"/>
      <c r="BD379" s="57"/>
      <c r="BE379" s="57"/>
      <c r="BF379" s="57"/>
      <c r="BG379" s="57"/>
      <c r="BH379" s="57"/>
      <c r="BI379" s="83"/>
    </row>
    <row r="380" spans="1:69" s="50" customFormat="1" x14ac:dyDescent="0.25">
      <c r="A380" s="116"/>
      <c r="B380" s="160">
        <f>SUMIF(F391:F425,"leht*",B391:B425)</f>
        <v>1433.618025</v>
      </c>
      <c r="C380" s="255">
        <f>B380/B379</f>
        <v>0.28854971931088225</v>
      </c>
      <c r="D380" s="161" t="s">
        <v>74</v>
      </c>
      <c r="E380" s="117"/>
      <c r="F380" s="118"/>
      <c r="G380" s="117"/>
      <c r="H380" s="119"/>
      <c r="I380" s="118"/>
      <c r="J380" s="119"/>
      <c r="K380" s="119"/>
      <c r="L380" s="119"/>
      <c r="M380" s="112"/>
      <c r="N380" s="118"/>
      <c r="O380" s="118"/>
      <c r="P380" s="118"/>
      <c r="Q380" s="118"/>
      <c r="R380" s="118"/>
      <c r="S380" s="118"/>
      <c r="T380" s="118"/>
      <c r="U380" s="118"/>
      <c r="V380" s="118"/>
      <c r="W380" s="118"/>
      <c r="X380" s="118"/>
      <c r="Y380" s="118"/>
      <c r="Z380" s="118"/>
      <c r="AA380" s="118"/>
      <c r="AB380" s="118"/>
      <c r="AD380" s="83"/>
      <c r="AE380" s="83"/>
      <c r="AF380" s="114"/>
      <c r="AG380" s="114"/>
      <c r="AH380" s="83"/>
      <c r="AI380" s="83"/>
      <c r="AJ380" s="83"/>
      <c r="AK380" s="83"/>
      <c r="AL380" s="83"/>
      <c r="AM380" s="60"/>
      <c r="AN380" s="66"/>
      <c r="AO380" s="61"/>
      <c r="AP380" s="62"/>
      <c r="AQ380" s="62"/>
      <c r="AT380" s="60"/>
      <c r="AU380" s="77"/>
      <c r="AV380" s="77"/>
      <c r="AW380" s="77"/>
      <c r="AX380" s="121"/>
      <c r="AY380" s="77"/>
      <c r="AZ380" s="77"/>
      <c r="BA380" s="192"/>
      <c r="BB380" s="188"/>
      <c r="BC380" s="57"/>
      <c r="BD380" s="57"/>
      <c r="BE380" s="131"/>
      <c r="BF380" s="57"/>
      <c r="BG380" s="57"/>
      <c r="BH380" s="57"/>
      <c r="BI380" s="57"/>
      <c r="BJ380" s="57"/>
      <c r="BK380" s="83"/>
      <c r="BL380" s="109"/>
      <c r="BN380" s="57"/>
      <c r="BO380" s="60"/>
    </row>
    <row r="381" spans="1:69" s="50" customFormat="1" x14ac:dyDescent="0.25">
      <c r="A381" s="116"/>
      <c r="B381" s="116"/>
      <c r="C381" s="118"/>
      <c r="D381" s="117"/>
      <c r="E381" s="117"/>
      <c r="F381" s="269"/>
      <c r="G381" s="117"/>
      <c r="H381" s="119"/>
      <c r="I381" s="118"/>
      <c r="J381" s="119"/>
      <c r="K381" s="119"/>
      <c r="L381" s="119"/>
      <c r="M381" s="119"/>
      <c r="N381" s="119"/>
      <c r="O381" s="119"/>
      <c r="P381" s="119"/>
      <c r="Q381" s="119"/>
      <c r="R381" s="118"/>
      <c r="S381" s="118"/>
      <c r="T381" s="118"/>
      <c r="U381" s="118"/>
      <c r="V381" s="118"/>
      <c r="W381" s="118"/>
      <c r="X381" s="118"/>
      <c r="Y381" s="118"/>
      <c r="Z381" s="118"/>
      <c r="AA381" s="118"/>
      <c r="AB381" s="118"/>
      <c r="AC381" s="136"/>
      <c r="AD381" s="136"/>
      <c r="AE381" s="136"/>
      <c r="AF381" s="136"/>
      <c r="AG381" s="136"/>
      <c r="AH381" s="136"/>
      <c r="AI381" s="132"/>
      <c r="AJ381" s="60"/>
      <c r="AN381" s="66"/>
      <c r="AP381" s="146"/>
      <c r="AR381" s="138"/>
      <c r="AT381" s="62"/>
      <c r="AU381" s="62"/>
      <c r="AV381" s="62"/>
      <c r="AW381" s="62"/>
      <c r="AX381" s="62"/>
      <c r="AY381" s="62"/>
      <c r="AZ381"/>
      <c r="BA381" s="192"/>
      <c r="BB381" s="188"/>
      <c r="BC381" s="57"/>
      <c r="BD381" s="57"/>
      <c r="BE381" s="57"/>
      <c r="BF381" s="57"/>
      <c r="BG381" s="57"/>
      <c r="BH381" s="57"/>
      <c r="BI381" s="57"/>
      <c r="BJ381" s="109"/>
      <c r="BK381" s="109"/>
      <c r="BL381" s="109"/>
      <c r="BM381" s="83"/>
      <c r="BO381" s="83"/>
      <c r="BP381" s="83"/>
    </row>
    <row r="382" spans="1:69" s="50" customFormat="1" x14ac:dyDescent="0.25">
      <c r="A382" s="116"/>
      <c r="B382" s="116"/>
      <c r="C382" s="118"/>
      <c r="D382" s="117"/>
      <c r="E382" s="117"/>
      <c r="F382" s="269"/>
      <c r="G382" s="117"/>
      <c r="H382" s="119"/>
      <c r="I382" s="118"/>
      <c r="J382" s="119"/>
      <c r="K382" s="119"/>
      <c r="L382" s="119"/>
      <c r="M382" s="119"/>
      <c r="N382" s="119"/>
      <c r="O382" s="119"/>
      <c r="P382" s="119"/>
      <c r="Q382" s="119"/>
      <c r="R382" s="118"/>
      <c r="S382" s="118"/>
      <c r="T382" s="118"/>
      <c r="U382" s="118"/>
      <c r="V382" s="118"/>
      <c r="W382" s="118"/>
      <c r="X382" s="118"/>
      <c r="Y382" s="118"/>
      <c r="Z382" s="118"/>
      <c r="AA382" s="118"/>
      <c r="AB382" s="118"/>
      <c r="AC382" s="136"/>
      <c r="AD382" s="136"/>
      <c r="AE382" s="136"/>
      <c r="AF382" s="136"/>
      <c r="AG382" s="136"/>
      <c r="AH382" s="136"/>
      <c r="AI382" s="132"/>
      <c r="AJ382" s="60"/>
      <c r="AN382" s="66"/>
      <c r="AP382" s="146"/>
      <c r="AR382" s="138"/>
      <c r="AT382" s="62"/>
      <c r="AU382" s="62"/>
      <c r="AV382" s="62"/>
      <c r="AW382" s="62"/>
      <c r="AX382" s="62"/>
      <c r="AY382" s="62"/>
      <c r="AZ382"/>
      <c r="BA382" s="192"/>
      <c r="BB382" s="188"/>
      <c r="BC382" s="57"/>
      <c r="BD382" s="57"/>
      <c r="BE382" s="57"/>
      <c r="BF382" s="57"/>
      <c r="BG382" s="57"/>
      <c r="BH382" s="57"/>
      <c r="BI382" s="57"/>
      <c r="BJ382" s="109"/>
      <c r="BK382" s="109"/>
      <c r="BL382" s="109"/>
      <c r="BM382" s="83"/>
      <c r="BO382" s="83"/>
      <c r="BP382" s="83"/>
    </row>
    <row r="383" spans="1:69" s="50" customFormat="1" x14ac:dyDescent="0.25">
      <c r="A383" s="148">
        <f>B383/L383</f>
        <v>134.35550000000001</v>
      </c>
      <c r="B383" s="148">
        <f>SUM(B384,0)</f>
        <v>268.71100000000001</v>
      </c>
      <c r="C383" s="152"/>
      <c r="D383" s="149" t="s">
        <v>76</v>
      </c>
      <c r="E383" s="149"/>
      <c r="F383" s="365"/>
      <c r="G383" s="174" t="str">
        <f>$G$163</f>
        <v>C3VH</v>
      </c>
      <c r="H383" s="150"/>
      <c r="I383" s="151" t="s">
        <v>77</v>
      </c>
      <c r="J383" s="150">
        <f>J384</f>
        <v>3545</v>
      </c>
      <c r="K383" s="134">
        <v>2</v>
      </c>
      <c r="L383" s="150">
        <f>$L$379*$K$383</f>
        <v>2</v>
      </c>
      <c r="M383" s="148">
        <f>SUM(M384,0)</f>
        <v>5.9130599999999998</v>
      </c>
      <c r="N383" s="151"/>
      <c r="O383" s="151"/>
      <c r="P383" s="151"/>
      <c r="Q383" s="151"/>
      <c r="R383" s="120"/>
      <c r="S383" s="120"/>
      <c r="T383" s="120"/>
      <c r="U383" s="120"/>
      <c r="V383" s="120"/>
      <c r="W383" s="118"/>
      <c r="X383" s="118" t="s">
        <v>78</v>
      </c>
      <c r="Y383" s="151">
        <v>4</v>
      </c>
      <c r="Z383" s="151"/>
      <c r="AA383" s="151"/>
      <c r="AB383" s="151"/>
      <c r="AC383" s="148">
        <f>SUM(AC384,0)</f>
        <v>0</v>
      </c>
      <c r="AD383" s="148">
        <f>SUM(AD384,0)</f>
        <v>0</v>
      </c>
      <c r="AE383" s="148">
        <f>SUM(AE384,0)</f>
        <v>0.8666666666666667</v>
      </c>
      <c r="AF383" s="148">
        <f>SUM(AF384,0)</f>
        <v>0</v>
      </c>
      <c r="AG383" s="148">
        <f>SUM(AG384,0)</f>
        <v>0.1</v>
      </c>
      <c r="AH383" s="107">
        <f>SUM(AC383:AG383)</f>
        <v>0.96666666666666667</v>
      </c>
      <c r="AI383" s="107">
        <f>SUM(AI384,0)</f>
        <v>0.66666666666666663</v>
      </c>
      <c r="AJ383" s="148">
        <f>SUM(AJ384,0)</f>
        <v>0</v>
      </c>
      <c r="AK383" s="107">
        <f>AJ383*10/60</f>
        <v>0</v>
      </c>
      <c r="AL383" s="148">
        <f>AH383+AI383+AK383</f>
        <v>1.6333333333333333</v>
      </c>
      <c r="AM383" s="148">
        <f>B383/AL383</f>
        <v>164.51693877551023</v>
      </c>
      <c r="AN383" s="148">
        <f>AL383*46</f>
        <v>75.133333333333326</v>
      </c>
      <c r="AO383" s="148">
        <f>AN383/B383</f>
        <v>0.27960646692295188</v>
      </c>
      <c r="AP383" s="148">
        <f>AR383/B383</f>
        <v>1.0449999999999999</v>
      </c>
      <c r="AQ383" s="67"/>
      <c r="AR383" s="148">
        <f>SUM(AR384,0)</f>
        <v>280.80299500000001</v>
      </c>
      <c r="AT383" s="62"/>
      <c r="AU383" s="62"/>
      <c r="AV383" s="62"/>
      <c r="AW383" s="62"/>
      <c r="AX383" s="62"/>
      <c r="AY383" s="62"/>
      <c r="AZ383"/>
      <c r="BA383" s="148">
        <f>SUM(BA384,0)</f>
        <v>0</v>
      </c>
      <c r="BB383" s="188"/>
      <c r="BC383" s="57"/>
      <c r="BD383" s="57"/>
      <c r="BE383" s="57"/>
      <c r="BF383" s="57"/>
      <c r="BG383" s="57"/>
      <c r="BH383" s="57"/>
      <c r="BI383" s="60"/>
    </row>
    <row r="384" spans="1:69" s="50" customFormat="1" x14ac:dyDescent="0.25">
      <c r="A384" s="116">
        <f xml:space="preserve"> 37.9*J384/10^3</f>
        <v>134.35550000000001</v>
      </c>
      <c r="B384" s="116">
        <f>A384*L384</f>
        <v>268.71100000000001</v>
      </c>
      <c r="C384" s="299" t="s">
        <v>354</v>
      </c>
      <c r="D384" s="117" t="s">
        <v>76</v>
      </c>
      <c r="E384" s="117"/>
      <c r="F384" s="355" t="s">
        <v>480</v>
      </c>
      <c r="G384" s="140" t="s">
        <v>83</v>
      </c>
      <c r="H384" s="119">
        <v>260</v>
      </c>
      <c r="I384" s="118" t="s">
        <v>77</v>
      </c>
      <c r="J384" s="119">
        <v>3545</v>
      </c>
      <c r="K384" s="50">
        <v>1</v>
      </c>
      <c r="L384" s="119">
        <f>K$384*L$383</f>
        <v>2</v>
      </c>
      <c r="M384" s="131">
        <f xml:space="preserve"> 0.834*J384*L384/10^3</f>
        <v>5.9130599999999998</v>
      </c>
      <c r="N384" s="118"/>
      <c r="O384" s="118"/>
      <c r="P384" s="118" t="s">
        <v>78</v>
      </c>
      <c r="Q384" s="135">
        <v>6</v>
      </c>
      <c r="R384" s="118"/>
      <c r="S384" s="118"/>
      <c r="T384" s="118"/>
      <c r="U384" s="118"/>
      <c r="V384" s="118"/>
      <c r="W384" s="118"/>
      <c r="Y384" s="118"/>
      <c r="Z384" s="118"/>
      <c r="AA384" s="118"/>
      <c r="AB384" s="118" t="s">
        <v>78</v>
      </c>
      <c r="AC384" s="116"/>
      <c r="AD384" s="83"/>
      <c r="AE384" s="136">
        <f>(H384/20/60)*2*L384</f>
        <v>0.8666666666666667</v>
      </c>
      <c r="AF384" s="137"/>
      <c r="AG384" s="132">
        <f>Q384*L384*0.5/60</f>
        <v>0.1</v>
      </c>
      <c r="AH384" s="83"/>
      <c r="AI384" s="132">
        <f>AL384*L384/60</f>
        <v>0.66666666666666663</v>
      </c>
      <c r="AJ384" s="70"/>
      <c r="AK384" s="50">
        <v>3</v>
      </c>
      <c r="AL384" s="69">
        <f>VLOOKUP(F384,[2]Koostamine!$A$12:$P$1612,IF(J384&lt;1499,11,IF(J384&lt;2999,12,IF(J384&lt;5999,13,IF(J384&lt;9999,14,IF(J384&lt;12999,15,IF(J384&gt;13000,16)))))),FALSE)</f>
        <v>20</v>
      </c>
      <c r="AP384" s="146">
        <f>(VLOOKUP(F384,Terasehind!$A$2:$B$171,2,FALSE))</f>
        <v>0.95</v>
      </c>
      <c r="AQ384" s="50">
        <f>(VLOOKUP(F384,Terasehind!$A$2:$C$171,3,FALSE))</f>
        <v>1.1000000000000001</v>
      </c>
      <c r="AR384" s="138">
        <f>AP384*AQ384*B384</f>
        <v>280.80299500000001</v>
      </c>
      <c r="AT384" s="62"/>
      <c r="AU384" s="62"/>
      <c r="AV384" s="62"/>
      <c r="AW384" s="62"/>
      <c r="AX384" s="62"/>
      <c r="AY384" s="62"/>
      <c r="AZ384"/>
      <c r="BA384" s="188"/>
      <c r="BB384" s="189"/>
      <c r="BC384" s="57"/>
      <c r="BD384" s="57"/>
      <c r="BE384" s="57"/>
      <c r="BF384" s="57"/>
      <c r="BG384" s="57"/>
      <c r="BH384" s="57"/>
      <c r="BI384" s="57"/>
      <c r="BJ384" s="60"/>
      <c r="BK384" s="57"/>
      <c r="BL384" s="60"/>
      <c r="BM384" s="83"/>
      <c r="BO384" s="109"/>
    </row>
    <row r="385" spans="1:69" s="50" customFormat="1" x14ac:dyDescent="0.25">
      <c r="A385" s="116"/>
      <c r="B385" s="116"/>
      <c r="C385" s="118"/>
      <c r="D385" s="117"/>
      <c r="E385" s="117"/>
      <c r="F385" s="269"/>
      <c r="G385" s="117"/>
      <c r="H385" s="119"/>
      <c r="I385" s="118"/>
      <c r="J385" s="119"/>
      <c r="K385" s="119"/>
      <c r="L385" s="119"/>
      <c r="M385" s="119"/>
      <c r="N385" s="119"/>
      <c r="O385" s="119"/>
      <c r="P385" s="119"/>
      <c r="Q385" s="119"/>
      <c r="R385" s="118"/>
      <c r="S385" s="118"/>
      <c r="T385" s="118"/>
      <c r="U385" s="118"/>
      <c r="V385" s="118"/>
      <c r="W385" s="118"/>
      <c r="X385" s="118"/>
      <c r="Y385" s="118"/>
      <c r="Z385" s="118"/>
      <c r="AA385" s="118"/>
      <c r="AB385" s="118"/>
      <c r="AC385" s="136"/>
      <c r="AD385" s="136"/>
      <c r="AE385" s="136"/>
      <c r="AF385" s="136"/>
      <c r="AG385" s="136"/>
      <c r="AH385" s="136"/>
      <c r="AI385" s="132"/>
      <c r="AJ385" s="60"/>
      <c r="AM385" s="50">
        <v>109</v>
      </c>
      <c r="AN385" s="66"/>
      <c r="AP385" s="146"/>
      <c r="AR385" s="138"/>
      <c r="AT385" s="62"/>
      <c r="AU385" s="62"/>
      <c r="AV385" s="62"/>
      <c r="AW385" s="62"/>
      <c r="AX385" s="62"/>
      <c r="AY385" s="62"/>
      <c r="AZ385"/>
      <c r="BA385" s="192"/>
      <c r="BB385" s="188"/>
      <c r="BC385" s="57"/>
      <c r="BD385" s="57"/>
      <c r="BE385" s="57"/>
      <c r="BF385" s="57"/>
      <c r="BG385" s="57"/>
      <c r="BH385" s="57"/>
      <c r="BI385" s="57"/>
      <c r="BJ385" s="109"/>
      <c r="BK385" s="109"/>
      <c r="BL385" s="109"/>
      <c r="BM385" s="83"/>
      <c r="BO385" s="83"/>
      <c r="BP385" s="83"/>
    </row>
    <row r="386" spans="1:69" s="50" customFormat="1" x14ac:dyDescent="0.25">
      <c r="A386" s="148">
        <f>B386/L386</f>
        <v>93.62</v>
      </c>
      <c r="B386" s="148">
        <f>SUM(B389,B388,B387,0)</f>
        <v>280.86</v>
      </c>
      <c r="C386" s="152"/>
      <c r="D386" s="149" t="s">
        <v>76</v>
      </c>
      <c r="E386" s="149"/>
      <c r="F386" s="275" t="s">
        <v>378</v>
      </c>
      <c r="G386" s="174" t="str">
        <f>$G$163</f>
        <v>C3VH</v>
      </c>
      <c r="H386" s="150"/>
      <c r="I386" s="151" t="s">
        <v>77</v>
      </c>
      <c r="J386" s="150">
        <f>J387</f>
        <v>2500</v>
      </c>
      <c r="K386" s="134">
        <v>3</v>
      </c>
      <c r="L386" s="150">
        <f>$L$379*$K$386</f>
        <v>3</v>
      </c>
      <c r="M386" s="148">
        <f>SUM(M389,M388,M387,0)</f>
        <v>7.875</v>
      </c>
      <c r="N386" s="151"/>
      <c r="O386" s="151"/>
      <c r="P386" s="151"/>
      <c r="Q386" s="151"/>
      <c r="R386" s="120"/>
      <c r="S386" s="120"/>
      <c r="T386" s="120"/>
      <c r="U386" s="120"/>
      <c r="V386" s="120"/>
      <c r="W386" s="118"/>
      <c r="X386" s="118" t="s">
        <v>78</v>
      </c>
      <c r="Y386" s="151">
        <v>4</v>
      </c>
      <c r="Z386" s="151"/>
      <c r="AA386" s="151"/>
      <c r="AB386" s="151"/>
      <c r="AC386" s="148">
        <f>SUM(AC389,AC388,AC387,0)</f>
        <v>1.1493333333333333</v>
      </c>
      <c r="AD386" s="148">
        <f>SUM(AD389,AD388,AD387,0)</f>
        <v>0</v>
      </c>
      <c r="AE386" s="148">
        <f>SUM(AE389,AE388,AE387,0)</f>
        <v>0.5</v>
      </c>
      <c r="AF386" s="148">
        <f>SUM(AF389,AF388,AF387,0)</f>
        <v>0</v>
      </c>
      <c r="AG386" s="148">
        <f>SUM(AG389,AG388,AG387,0)</f>
        <v>0</v>
      </c>
      <c r="AH386" s="107">
        <f>SUM(AC386:AG386)</f>
        <v>1.6493333333333333</v>
      </c>
      <c r="AI386" s="107">
        <f>SUM(AI389,AI388,AI387,0)</f>
        <v>5.15</v>
      </c>
      <c r="AJ386" s="148">
        <f>SUM(AJ389,AJ388,AJ387,0)</f>
        <v>41.28</v>
      </c>
      <c r="AK386" s="107">
        <f>AJ386*10/60</f>
        <v>6.88</v>
      </c>
      <c r="AL386" s="148">
        <f>AH386+AI386+AK386</f>
        <v>13.679333333333332</v>
      </c>
      <c r="AM386" s="148">
        <f>B386/AL386</f>
        <v>20.531702324674693</v>
      </c>
      <c r="AN386" s="148">
        <f>AL386*46</f>
        <v>629.24933333333331</v>
      </c>
      <c r="AO386" s="148">
        <f>AN386/B386</f>
        <v>2.2404377032447957</v>
      </c>
      <c r="AP386" s="148">
        <f>AR386/B386</f>
        <v>1.0120000000000002</v>
      </c>
      <c r="AQ386" s="67"/>
      <c r="AR386" s="148">
        <f>SUM(AR389,AR388,AR387,0)</f>
        <v>284.23032000000006</v>
      </c>
      <c r="AT386" s="62"/>
      <c r="AU386" s="62"/>
      <c r="AV386" s="62"/>
      <c r="AW386" s="62"/>
      <c r="AX386" s="62"/>
      <c r="AY386" s="62"/>
      <c r="AZ386"/>
      <c r="BA386" s="148">
        <f>SUM(BA389,BA388,BA387,0)</f>
        <v>1.6519999999999999</v>
      </c>
      <c r="BB386" s="188"/>
      <c r="BC386" s="57"/>
      <c r="BD386" s="57"/>
      <c r="BE386" s="57"/>
      <c r="BF386" s="57"/>
      <c r="BG386" s="57"/>
      <c r="BH386" s="57"/>
      <c r="BI386" s="60"/>
    </row>
    <row r="387" spans="1:69" s="50" customFormat="1" x14ac:dyDescent="0.25">
      <c r="A387" s="116">
        <f xml:space="preserve"> 11.7*J387/10^3</f>
        <v>29.25</v>
      </c>
      <c r="B387" s="116">
        <f>A387*L387</f>
        <v>87.75</v>
      </c>
      <c r="C387" s="299" t="s">
        <v>379</v>
      </c>
      <c r="D387" s="117" t="s">
        <v>76</v>
      </c>
      <c r="E387" s="117"/>
      <c r="F387" s="355" t="s">
        <v>423</v>
      </c>
      <c r="G387" s="140" t="s">
        <v>79</v>
      </c>
      <c r="H387" s="119">
        <v>100</v>
      </c>
      <c r="I387" s="118" t="s">
        <v>77</v>
      </c>
      <c r="J387" s="119">
        <v>2500</v>
      </c>
      <c r="K387" s="50">
        <v>1</v>
      </c>
      <c r="L387" s="119">
        <f>K$387*L$386</f>
        <v>3</v>
      </c>
      <c r="M387" s="131">
        <f xml:space="preserve"> 0.386*J387*L387/10^3</f>
        <v>2.895</v>
      </c>
      <c r="N387" s="118"/>
      <c r="O387" s="118"/>
      <c r="P387" s="118" t="s">
        <v>78</v>
      </c>
      <c r="Q387" s="135"/>
      <c r="R387" s="118"/>
      <c r="S387" s="118"/>
      <c r="T387" s="118"/>
      <c r="U387" s="118"/>
      <c r="V387" s="118"/>
      <c r="W387" s="118"/>
      <c r="Y387" s="118"/>
      <c r="Z387" s="118"/>
      <c r="AA387" s="118"/>
      <c r="AB387" s="118" t="s">
        <v>78</v>
      </c>
      <c r="AC387" s="116"/>
      <c r="AD387" s="83"/>
      <c r="AE387" s="136">
        <f t="shared" ref="AE387" si="694">(H387/20/60)*2*L387</f>
        <v>0.5</v>
      </c>
      <c r="AF387" s="137"/>
      <c r="AG387" s="132">
        <f t="shared" ref="AG387" si="695">Q387*L387*0.5/60</f>
        <v>0</v>
      </c>
      <c r="AH387" s="83"/>
      <c r="AI387" s="132">
        <f t="shared" ref="AI387:AI389" si="696">AL387*L387/60</f>
        <v>0.25</v>
      </c>
      <c r="AJ387" s="70">
        <f t="shared" ref="AJ387" si="697">(H387*4*AK387)*2*L387/1000</f>
        <v>2.4</v>
      </c>
      <c r="AK387" s="50">
        <f>(VLOOKUP(F387,[2]Koostamine!$A$12:$P$1612,7,FALSE))</f>
        <v>1</v>
      </c>
      <c r="AL387" s="69">
        <f>VLOOKUP(F387,[2]Koostamine!$A$12:$P$1612,IF(J387&lt;1499,11,IF(J387&lt;2999,12,IF(J387&lt;5999,13,IF(J387&lt;9999,14,IF(J387&lt;12999,15,IF(J387&gt;13000,16)))))),FALSE)</f>
        <v>5</v>
      </c>
      <c r="AP387" s="146">
        <f>(VLOOKUP(F387,Terasehind!$A$2:$B$171,2,FALSE))</f>
        <v>0.92</v>
      </c>
      <c r="AQ387" s="50">
        <f>(VLOOKUP(F387,Terasehind!$A$2:$C$171,3,FALSE))</f>
        <v>1.1000000000000001</v>
      </c>
      <c r="AR387" s="138">
        <f t="shared" ref="AR387:AR389" si="698">AP387*AQ387*B387</f>
        <v>88.803000000000026</v>
      </c>
      <c r="AT387" s="62"/>
      <c r="AU387" s="62"/>
      <c r="AV387" s="62"/>
      <c r="AW387" s="62"/>
      <c r="AX387" s="62"/>
      <c r="AY387" s="62"/>
      <c r="AZ387"/>
      <c r="BA387" s="188">
        <f>(H387*4)*2*2/60/1000*L387</f>
        <v>0.08</v>
      </c>
      <c r="BB387" s="189"/>
      <c r="BC387" s="57"/>
      <c r="BD387" s="57"/>
      <c r="BE387" s="57"/>
      <c r="BF387" s="57"/>
      <c r="BG387" s="57"/>
      <c r="BH387" s="57"/>
      <c r="BI387" s="57"/>
      <c r="BJ387" s="60"/>
      <c r="BK387" s="57"/>
      <c r="BL387" s="60"/>
      <c r="BM387" s="83"/>
      <c r="BO387" s="109"/>
    </row>
    <row r="388" spans="1:69" s="50" customFormat="1" x14ac:dyDescent="0.25">
      <c r="A388" s="116">
        <f t="shared" ref="A388:A389" si="699">H388*J388*(RIGHT(F388,2))*7.85/(10^6)</f>
        <v>0.19625000000000001</v>
      </c>
      <c r="B388" s="116">
        <f t="shared" ref="B388:B389" si="700">A388*L388</f>
        <v>2.355</v>
      </c>
      <c r="C388" s="118" t="s">
        <v>80</v>
      </c>
      <c r="D388" s="117" t="s">
        <v>81</v>
      </c>
      <c r="E388" s="117"/>
      <c r="F388" s="355" t="s">
        <v>324</v>
      </c>
      <c r="G388" s="117" t="s">
        <v>83</v>
      </c>
      <c r="H388" s="119">
        <f>H387/2</f>
        <v>50</v>
      </c>
      <c r="I388" s="118" t="s">
        <v>77</v>
      </c>
      <c r="J388" s="119">
        <f>H387</f>
        <v>100</v>
      </c>
      <c r="K388" s="119">
        <v>4</v>
      </c>
      <c r="L388" s="119">
        <f>K$388*L$386</f>
        <v>12</v>
      </c>
      <c r="M388" s="116">
        <f t="shared" ref="M388:M389" si="701">2*H388*J388/10^6*L388</f>
        <v>0.12</v>
      </c>
      <c r="N388" s="118" t="s">
        <v>84</v>
      </c>
      <c r="P388" s="118"/>
      <c r="Q388" s="135"/>
      <c r="R388" s="118"/>
      <c r="S388" s="118"/>
      <c r="T388" s="118"/>
      <c r="U388" s="118"/>
      <c r="V388" s="118"/>
      <c r="W388" s="118"/>
      <c r="X388" s="118"/>
      <c r="Y388" s="118"/>
      <c r="Z388" s="118"/>
      <c r="AA388" s="118"/>
      <c r="AB388" s="118" t="s">
        <v>78</v>
      </c>
      <c r="AC388" s="136">
        <f>((((H388+J388)*2/1000)*L388*(5/(VLOOKUP(F388,[2]Plasmalõikus!$A$7:$E$46,2,FALSE)/1000*60)))+(Q388*L388*(5*(VLOOKUP(F388,[2]Plasmalõikus!$A$7:$E$48,3,FALSE))/60/60)))</f>
        <v>8.3333333333333315E-2</v>
      </c>
      <c r="AD388" s="353" t="str">
        <f t="shared" ref="AD388" si="702">IF(C388="WQ",0.012*((H388+J388)*2/1000*L388),IF(OR(VALUE(MID(F388,6,10))&gt;=20,H388&gt;300,J388&gt;300),0.012*((H388+J388)*2/1000*L388)," "))</f>
        <v xml:space="preserve"> </v>
      </c>
      <c r="AE388" s="136"/>
      <c r="AF388" s="137"/>
      <c r="AG388" s="137">
        <f t="shared" ref="AG388:AG389" si="703">IF(VALUE(MID(F388,SEARCH(" ",F388)+1,LEN(F388)))&lt;35,0,IF(VALUE(MID(F388,SEARCH(" ",F388)+1,LEN(F388)))&lt;40,3,IF(VALUE(MID(F388,SEARCH(" ",F388)+1,LEN(F388)))&lt;50,4,IF(VALUE(MID(F388,SEARCH(" ",F388)+1,LEN(F388)))&lt;60,5,IF(VALUE(MID(F388,SEARCH(" ",F388)+1,LEN(F388)))&lt;70,6,IF(VALUE(MID(F388,SEARCH(" ",F388)+1,LEN(F388)))&lt;80,7,IF(VALUE(MID(F388,SEARCH(" ",F388)+1,LEN(F388)))&lt;90,8,IF(VALUE(MID(F388,SEARCH(" ",F388)+1,LEN(F388)))&lt;100,9,10))))))))/60*Q388*L388</f>
        <v>0</v>
      </c>
      <c r="AH388" s="136"/>
      <c r="AI388" s="132">
        <f t="shared" si="696"/>
        <v>0.4</v>
      </c>
      <c r="AJ388" s="70"/>
      <c r="AK388" s="50">
        <v>2</v>
      </c>
      <c r="AL388" s="69" t="str">
        <f t="shared" ref="AL388:AL389" si="704">IF(AND(Q388&gt;0,A388&lt;3),"10",IF(AND(Q388&gt;0,A388&lt;10),"15",IF(AND(Q388&gt;0,A388&lt;20),"20",IF(AND(Q388&gt;0,A388&lt;500),"30",IF(AND(Q388=0,A388&lt;3),"2",IF(AND(Q388=0,A388&lt;10),"5",IF(AND(Q388=0,A388&lt;20),"10",IF(AND(Q388=0,A388&lt;500),"20","2"))))))))</f>
        <v>2</v>
      </c>
      <c r="AN388" s="66"/>
      <c r="AP388" s="146">
        <f>(VLOOKUP(F388,Terasehind!$A$2:$B$171,2,FALSE))</f>
        <v>0.92</v>
      </c>
      <c r="AQ388" s="50">
        <f>(VLOOKUP(F388,Terasehind!$A$2:$C$171,3,FALSE))</f>
        <v>1.1000000000000001</v>
      </c>
      <c r="AR388" s="138">
        <f t="shared" si="698"/>
        <v>2.3832600000000004</v>
      </c>
      <c r="AS388"/>
      <c r="AT388"/>
      <c r="AU388"/>
      <c r="AV388"/>
      <c r="AW388"/>
      <c r="AX388"/>
      <c r="AY388"/>
      <c r="AZ388"/>
      <c r="BA388" s="188">
        <f t="shared" ref="BA388:BA389" si="705">(H388*2+J388*2)*2*2/60/1000*L388</f>
        <v>0.24</v>
      </c>
      <c r="BB388" s="189"/>
      <c r="BC388" s="57"/>
      <c r="BD388" s="57"/>
      <c r="BE388" s="57"/>
      <c r="BF388" s="57"/>
      <c r="BG388" s="57"/>
      <c r="BH388" s="57"/>
      <c r="BI388" s="57"/>
      <c r="BJ388" s="57"/>
      <c r="BK388" s="109"/>
      <c r="BL388" s="109"/>
      <c r="BM388" s="109"/>
      <c r="BN388" s="83"/>
      <c r="BP388" s="83"/>
      <c r="BQ388" s="83"/>
    </row>
    <row r="389" spans="1:69" s="50" customFormat="1" x14ac:dyDescent="0.25">
      <c r="A389" s="116">
        <f t="shared" si="699"/>
        <v>21.195</v>
      </c>
      <c r="B389" s="116">
        <f t="shared" si="700"/>
        <v>190.755</v>
      </c>
      <c r="C389" s="118"/>
      <c r="D389" s="117" t="s">
        <v>85</v>
      </c>
      <c r="E389" s="117"/>
      <c r="F389" s="355" t="s">
        <v>82</v>
      </c>
      <c r="G389" s="117" t="s">
        <v>83</v>
      </c>
      <c r="H389" s="119">
        <v>360</v>
      </c>
      <c r="I389" s="118" t="s">
        <v>77</v>
      </c>
      <c r="J389" s="119">
        <v>750</v>
      </c>
      <c r="K389" s="119">
        <v>3</v>
      </c>
      <c r="L389" s="119">
        <f>K$389*L$386</f>
        <v>9</v>
      </c>
      <c r="M389" s="116">
        <f t="shared" si="701"/>
        <v>4.8600000000000003</v>
      </c>
      <c r="N389" s="118" t="s">
        <v>84</v>
      </c>
      <c r="P389" s="118"/>
      <c r="Q389" s="135">
        <v>4</v>
      </c>
      <c r="R389" s="118"/>
      <c r="S389" s="118"/>
      <c r="T389" s="118"/>
      <c r="U389" s="118"/>
      <c r="V389" s="118"/>
      <c r="W389" s="118"/>
      <c r="X389" s="118"/>
      <c r="Y389" s="118"/>
      <c r="Z389" s="118"/>
      <c r="AA389" s="118"/>
      <c r="AB389" s="118" t="s">
        <v>78</v>
      </c>
      <c r="AC389" s="136">
        <f>((((H389+J389)*2/1000)*L389*(5/(VLOOKUP(F389,[2]Plasmalõikus!$A$7:$E$46,2,FALSE)/1000*60)))+(Q389*L389*(5*(VLOOKUP(F389,[2]Plasmalõikus!$A$7:$E$48,3,FALSE))/60/60)))</f>
        <v>1.0660000000000001</v>
      </c>
      <c r="AD389" s="353"/>
      <c r="AE389" s="136"/>
      <c r="AF389" s="137"/>
      <c r="AG389" s="137">
        <f t="shared" si="703"/>
        <v>0</v>
      </c>
      <c r="AH389" s="136"/>
      <c r="AI389" s="132">
        <f t="shared" si="696"/>
        <v>4.5</v>
      </c>
      <c r="AJ389" s="70">
        <f>(H389*3*AK389)*2*L389/1000</f>
        <v>38.880000000000003</v>
      </c>
      <c r="AK389" s="50">
        <v>2</v>
      </c>
      <c r="AL389" s="69" t="str">
        <f t="shared" si="704"/>
        <v>30</v>
      </c>
      <c r="AN389" s="66"/>
      <c r="AP389" s="146">
        <f>(VLOOKUP(F389,Terasehind!$A$2:$B$171,2,FALSE))</f>
        <v>0.92</v>
      </c>
      <c r="AQ389" s="50">
        <f>(VLOOKUP(F389,Terasehind!$A$2:$C$171,3,FALSE))</f>
        <v>1.1000000000000001</v>
      </c>
      <c r="AR389" s="138">
        <f t="shared" si="698"/>
        <v>193.04406000000003</v>
      </c>
      <c r="AS389"/>
      <c r="AT389"/>
      <c r="AU389"/>
      <c r="AV389"/>
      <c r="AW389"/>
      <c r="AX389"/>
      <c r="AY389"/>
      <c r="AZ389"/>
      <c r="BA389" s="188">
        <f t="shared" si="705"/>
        <v>1.3319999999999999</v>
      </c>
      <c r="BB389" s="189"/>
      <c r="BC389" s="57"/>
      <c r="BD389" s="57"/>
      <c r="BE389" s="57"/>
      <c r="BF389" s="57"/>
      <c r="BG389" s="57"/>
      <c r="BH389" s="57"/>
      <c r="BI389" s="57"/>
      <c r="BJ389" s="57"/>
      <c r="BK389" s="109"/>
      <c r="BL389" s="109"/>
      <c r="BM389" s="109"/>
      <c r="BN389" s="83"/>
      <c r="BP389" s="83"/>
      <c r="BQ389" s="83"/>
    </row>
    <row r="390" spans="1:69" s="50" customFormat="1" x14ac:dyDescent="0.25">
      <c r="A390" s="116"/>
      <c r="B390" s="116"/>
      <c r="C390" s="118"/>
      <c r="D390" s="117"/>
      <c r="E390" s="117"/>
      <c r="F390" s="269"/>
      <c r="G390" s="117"/>
      <c r="H390" s="119"/>
      <c r="I390" s="118"/>
      <c r="J390" s="119"/>
      <c r="K390" s="119"/>
      <c r="L390" s="119"/>
      <c r="M390" s="119"/>
      <c r="N390" s="119"/>
      <c r="O390" s="119"/>
      <c r="P390" s="119"/>
      <c r="Q390" s="119"/>
      <c r="R390" s="118"/>
      <c r="S390" s="118"/>
      <c r="T390" s="118"/>
      <c r="U390" s="118"/>
      <c r="V390" s="118"/>
      <c r="W390" s="118"/>
      <c r="X390" s="118"/>
      <c r="Y390" s="118"/>
      <c r="Z390" s="118"/>
      <c r="AA390" s="118"/>
      <c r="AB390" s="118"/>
      <c r="AC390" s="136"/>
      <c r="AD390" s="136"/>
      <c r="AE390" s="136"/>
      <c r="AF390" s="136"/>
      <c r="AG390" s="136"/>
      <c r="AH390" s="136"/>
      <c r="AI390" s="132"/>
      <c r="AJ390" s="60"/>
      <c r="AM390" s="50">
        <v>109</v>
      </c>
      <c r="AN390" s="66"/>
      <c r="AP390" s="146"/>
      <c r="AR390" s="138"/>
      <c r="AT390" s="62"/>
      <c r="AU390" s="62"/>
      <c r="AV390" s="62"/>
      <c r="AW390" s="62"/>
      <c r="AX390" s="62"/>
      <c r="AY390" s="62"/>
      <c r="AZ390"/>
      <c r="BA390" s="192"/>
      <c r="BB390" s="188"/>
      <c r="BC390" s="57"/>
      <c r="BD390" s="57"/>
      <c r="BE390" s="57"/>
      <c r="BF390" s="57"/>
      <c r="BG390" s="57"/>
      <c r="BH390" s="57"/>
      <c r="BI390" s="57"/>
      <c r="BJ390" s="109"/>
      <c r="BK390" s="109"/>
      <c r="BL390" s="109"/>
      <c r="BM390" s="83"/>
      <c r="BO390" s="83"/>
      <c r="BP390" s="83"/>
    </row>
    <row r="391" spans="1:69" s="50" customFormat="1" x14ac:dyDescent="0.25">
      <c r="A391" s="148">
        <f>B391/L391</f>
        <v>64.561875000000001</v>
      </c>
      <c r="B391" s="148">
        <f>SUM(B395,B394,B393,B392,0)</f>
        <v>581.05687499999999</v>
      </c>
      <c r="C391" s="152"/>
      <c r="D391" s="149" t="s">
        <v>76</v>
      </c>
      <c r="E391" s="149"/>
      <c r="F391" s="365" t="s">
        <v>378</v>
      </c>
      <c r="G391" s="174" t="str">
        <f>$G$163</f>
        <v>C3VH</v>
      </c>
      <c r="H391" s="150"/>
      <c r="I391" s="151" t="s">
        <v>77</v>
      </c>
      <c r="J391" s="150">
        <f>J392</f>
        <v>3830</v>
      </c>
      <c r="K391" s="134">
        <v>9</v>
      </c>
      <c r="L391" s="150">
        <f>$L$379*$K$391</f>
        <v>9</v>
      </c>
      <c r="M391" s="148">
        <f>SUM(M395,M394,M393,M392,0)</f>
        <v>18.511020000000002</v>
      </c>
      <c r="N391" s="151"/>
      <c r="O391" s="151"/>
      <c r="P391" s="151"/>
      <c r="Q391" s="151"/>
      <c r="R391" s="120"/>
      <c r="S391" s="120"/>
      <c r="T391" s="120"/>
      <c r="U391" s="120"/>
      <c r="V391" s="120"/>
      <c r="W391" s="118"/>
      <c r="X391" s="118" t="s">
        <v>78</v>
      </c>
      <c r="Y391" s="151">
        <v>4</v>
      </c>
      <c r="Z391" s="151"/>
      <c r="AA391" s="151"/>
      <c r="AB391" s="151"/>
      <c r="AC391" s="148">
        <f>SUM(AC395,AC394,AC393,AC392,0)</f>
        <v>1.3694999999999999</v>
      </c>
      <c r="AD391" s="148">
        <f>SUM(AD395,AD394,AD393,AD392,0)</f>
        <v>0</v>
      </c>
      <c r="AE391" s="148">
        <f>SUM(AE395,AE394,AE393,AE392,0)</f>
        <v>1.8</v>
      </c>
      <c r="AF391" s="148">
        <f>SUM(AF395,AF394,AF393,AF392,0)</f>
        <v>0</v>
      </c>
      <c r="AG391" s="148">
        <f>SUM(AG395,AG394,AG393,AG392,0)</f>
        <v>0</v>
      </c>
      <c r="AH391" s="107">
        <f>SUM(AC391:AG391)</f>
        <v>3.1695000000000002</v>
      </c>
      <c r="AI391" s="107">
        <f>SUM(AI395,AI394,AI393,AI392,0)</f>
        <v>6.6</v>
      </c>
      <c r="AJ391" s="148">
        <f>SUM(AJ395,AJ394,AJ393,AJ392,0)</f>
        <v>17.82</v>
      </c>
      <c r="AK391" s="107">
        <f>AJ391*10/60</f>
        <v>2.9699999999999998</v>
      </c>
      <c r="AL391" s="148">
        <f>AH391+AI391+AK391</f>
        <v>12.7395</v>
      </c>
      <c r="AM391" s="148">
        <f>B391/AL391</f>
        <v>45.61064994701519</v>
      </c>
      <c r="AN391" s="148">
        <f>AL391*46</f>
        <v>586.01699999999994</v>
      </c>
      <c r="AO391" s="148">
        <f>AN391/B391</f>
        <v>1.008536384669745</v>
      </c>
      <c r="AP391" s="148">
        <f>AR391/B391</f>
        <v>1.0120000000000002</v>
      </c>
      <c r="AQ391" s="67"/>
      <c r="AR391" s="148">
        <f>SUM(AR395,AR394,AR393,AR392,0)</f>
        <v>588.02955750000012</v>
      </c>
      <c r="AT391" s="62"/>
      <c r="AU391" s="62"/>
      <c r="AV391" s="62"/>
      <c r="AW391" s="62"/>
      <c r="AX391" s="62"/>
      <c r="AY391" s="62"/>
      <c r="AZ391"/>
      <c r="BA391" s="148">
        <f>SUM(BA395,BA394,BA393,BA392,0)</f>
        <v>1.9920000000000002</v>
      </c>
      <c r="BB391" s="188"/>
      <c r="BC391" s="57"/>
      <c r="BD391" s="57"/>
      <c r="BE391" s="57"/>
      <c r="BF391" s="57"/>
      <c r="BG391" s="57"/>
      <c r="BH391" s="57"/>
      <c r="BI391" s="60"/>
    </row>
    <row r="392" spans="1:69" s="50" customFormat="1" x14ac:dyDescent="0.25">
      <c r="A392" s="116">
        <f xml:space="preserve"> 14.3*J392/10^3</f>
        <v>54.768999999999998</v>
      </c>
      <c r="B392" s="116">
        <f>A392*L392</f>
        <v>492.92099999999999</v>
      </c>
      <c r="C392" s="299"/>
      <c r="D392" s="117" t="s">
        <v>76</v>
      </c>
      <c r="E392" s="117"/>
      <c r="F392" s="355" t="s">
        <v>424</v>
      </c>
      <c r="G392" s="140" t="s">
        <v>79</v>
      </c>
      <c r="H392" s="119">
        <v>120</v>
      </c>
      <c r="I392" s="118" t="s">
        <v>77</v>
      </c>
      <c r="J392" s="119">
        <v>3830</v>
      </c>
      <c r="K392" s="50">
        <v>1</v>
      </c>
      <c r="L392" s="119">
        <f>K$392*L$391</f>
        <v>9</v>
      </c>
      <c r="M392" s="131">
        <f xml:space="preserve"> 0.466*J392*L392/10^3</f>
        <v>16.063020000000002</v>
      </c>
      <c r="N392" s="118"/>
      <c r="O392" s="118"/>
      <c r="P392" s="118" t="s">
        <v>78</v>
      </c>
      <c r="Q392" s="135"/>
      <c r="R392" s="118"/>
      <c r="S392" s="118"/>
      <c r="T392" s="118"/>
      <c r="U392" s="118"/>
      <c r="V392" s="118"/>
      <c r="W392" s="118"/>
      <c r="Y392" s="118"/>
      <c r="Z392" s="118"/>
      <c r="AA392" s="118"/>
      <c r="AB392" s="118" t="s">
        <v>78</v>
      </c>
      <c r="AC392" s="116"/>
      <c r="AD392" s="83"/>
      <c r="AE392" s="136">
        <f>(H392/20/60)*2*L392</f>
        <v>1.8</v>
      </c>
      <c r="AF392" s="137"/>
      <c r="AG392" s="132">
        <f>Q392*L392*0.5/60</f>
        <v>0</v>
      </c>
      <c r="AH392" s="83"/>
      <c r="AI392" s="132">
        <f>AL392*L392/60</f>
        <v>1.5</v>
      </c>
      <c r="AJ392" s="70">
        <f>(H392*4*AK392)*2*L392/1000</f>
        <v>8.64</v>
      </c>
      <c r="AK392" s="50">
        <f>(VLOOKUP(F392,[2]Koostamine!$A$12:$P$1612,7,FALSE))</f>
        <v>1</v>
      </c>
      <c r="AL392" s="69">
        <f>VLOOKUP(F392,[2]Koostamine!$A$12:$P$1612,IF(J392&lt;1499,11,IF(J392&lt;2999,12,IF(J392&lt;5999,13,IF(J392&lt;9999,14,IF(J392&lt;12999,15,IF(J392&gt;13000,16)))))),FALSE)</f>
        <v>10</v>
      </c>
      <c r="AP392" s="146">
        <f>(VLOOKUP(F392,Terasehind!$A$2:$B$171,2,FALSE))</f>
        <v>0.92</v>
      </c>
      <c r="AQ392" s="50">
        <f>(VLOOKUP(F392,Terasehind!$A$2:$C$171,3,FALSE))</f>
        <v>1.1000000000000001</v>
      </c>
      <c r="AR392" s="138">
        <f>AP392*AQ392*B392</f>
        <v>498.83605200000011</v>
      </c>
      <c r="AT392" s="62"/>
      <c r="AU392" s="62"/>
      <c r="AV392" s="62"/>
      <c r="AW392" s="62"/>
      <c r="AX392" s="62"/>
      <c r="AY392" s="62"/>
      <c r="AZ392"/>
      <c r="BA392" s="188">
        <f>(H392*4)*2*2/60/1000*L392</f>
        <v>0.28800000000000003</v>
      </c>
      <c r="BB392" s="189"/>
      <c r="BC392" s="57"/>
      <c r="BD392" s="57"/>
      <c r="BE392" s="57"/>
      <c r="BF392" s="57"/>
      <c r="BG392" s="57"/>
      <c r="BH392" s="57"/>
      <c r="BI392" s="57"/>
      <c r="BJ392" s="60"/>
      <c r="BK392" s="57"/>
      <c r="BL392" s="60"/>
      <c r="BM392" s="83"/>
      <c r="BO392" s="109"/>
    </row>
    <row r="393" spans="1:69" s="50" customFormat="1" x14ac:dyDescent="0.25">
      <c r="A393" s="116">
        <f t="shared" ref="A393:A395" si="706">H393*J393*(RIGHT(F393,2))*7.85/(10^6)</f>
        <v>4.90625</v>
      </c>
      <c r="B393" s="116">
        <f t="shared" ref="B393:B395" si="707">A393*L393</f>
        <v>44.15625</v>
      </c>
      <c r="C393" s="118" t="s">
        <v>80</v>
      </c>
      <c r="D393" s="117" t="s">
        <v>81</v>
      </c>
      <c r="E393" s="117"/>
      <c r="F393" s="355" t="s">
        <v>82</v>
      </c>
      <c r="G393" s="117" t="s">
        <v>83</v>
      </c>
      <c r="H393" s="119">
        <v>250</v>
      </c>
      <c r="I393" s="118" t="s">
        <v>77</v>
      </c>
      <c r="J393" s="119">
        <v>250</v>
      </c>
      <c r="K393" s="119">
        <v>1</v>
      </c>
      <c r="L393" s="119">
        <f>K$393*L$391</f>
        <v>9</v>
      </c>
      <c r="M393" s="116">
        <f t="shared" ref="M393:M395" si="708">2*H393*J393/10^6*L393</f>
        <v>1.125</v>
      </c>
      <c r="N393" s="118" t="s">
        <v>84</v>
      </c>
      <c r="P393" s="118"/>
      <c r="Q393" s="135">
        <v>4</v>
      </c>
      <c r="R393" s="118"/>
      <c r="S393" s="118"/>
      <c r="T393" s="118"/>
      <c r="U393" s="118"/>
      <c r="V393" s="118"/>
      <c r="W393" s="118"/>
      <c r="X393" s="118"/>
      <c r="Y393" s="118"/>
      <c r="Z393" s="118"/>
      <c r="AA393" s="118"/>
      <c r="AB393" s="118" t="s">
        <v>78</v>
      </c>
      <c r="AC393" s="136">
        <f>((((H393+J393)*2/1000)*L393*(5/(VLOOKUP(F393,[2]Plasmalõikus!$A$7:$E$46,2,FALSE)/1000*60)))+(Q393*L393*(5*(VLOOKUP(F393,[2]Plasmalõikus!$A$7:$E$48,3,FALSE))/60/60)))</f>
        <v>0.7</v>
      </c>
      <c r="AD393" s="353" t="str">
        <f t="shared" ref="AD393:AD395" si="709">IF(C393="WQ",0.012*((H393+J393)*2/1000*L393),IF(OR(VALUE(MID(F393,6,10))&gt;=20,H393&gt;300,J393&gt;300),0.012*((H393+J393)*2/1000*L393)," "))</f>
        <v xml:space="preserve"> </v>
      </c>
      <c r="AE393" s="136"/>
      <c r="AF393" s="137"/>
      <c r="AG393" s="137">
        <f t="shared" ref="AG393:AG395" si="710">IF(VALUE(MID(F393,SEARCH(" ",F393)+1,LEN(F393)))&lt;35,0,IF(VALUE(MID(F393,SEARCH(" ",F393)+1,LEN(F393)))&lt;40,3,IF(VALUE(MID(F393,SEARCH(" ",F393)+1,LEN(F393)))&lt;50,4,IF(VALUE(MID(F393,SEARCH(" ",F393)+1,LEN(F393)))&lt;60,5,IF(VALUE(MID(F393,SEARCH(" ",F393)+1,LEN(F393)))&lt;70,6,IF(VALUE(MID(F393,SEARCH(" ",F393)+1,LEN(F393)))&lt;80,7,IF(VALUE(MID(F393,SEARCH(" ",F393)+1,LEN(F393)))&lt;90,8,IF(VALUE(MID(F393,SEARCH(" ",F393)+1,LEN(F393)))&lt;100,9,10))))))))/60*Q393*L393</f>
        <v>0</v>
      </c>
      <c r="AH393" s="136"/>
      <c r="AI393" s="132">
        <f t="shared" ref="AI393:AI395" si="711">AL393*L393/60</f>
        <v>2.25</v>
      </c>
      <c r="AJ393" s="70"/>
      <c r="AK393" s="50">
        <v>2</v>
      </c>
      <c r="AL393" s="69" t="str">
        <f t="shared" ref="AL393:AL395" si="712">IF(AND(Q393&gt;0,A393&lt;3),"10",IF(AND(Q393&gt;0,A393&lt;10),"15",IF(AND(Q393&gt;0,A393&lt;20),"20",IF(AND(Q393&gt;0,A393&lt;500),"30",IF(AND(Q393=0,A393&lt;3),"2",IF(AND(Q393=0,A393&lt;10),"5",IF(AND(Q393=0,A393&lt;20),"10",IF(AND(Q393=0,A393&lt;500),"20","2"))))))))</f>
        <v>15</v>
      </c>
      <c r="AN393" s="66"/>
      <c r="AP393" s="146">
        <f>(VLOOKUP(F393,Terasehind!$A$2:$B$171,2,FALSE))</f>
        <v>0.92</v>
      </c>
      <c r="AQ393" s="50">
        <f>(VLOOKUP(F393,Terasehind!$A$2:$C$171,3,FALSE))</f>
        <v>1.1000000000000001</v>
      </c>
      <c r="AR393" s="138">
        <f t="shared" ref="AR393:AR395" si="713">AP393*AQ393*B393</f>
        <v>44.686125000000011</v>
      </c>
      <c r="AS393"/>
      <c r="AT393"/>
      <c r="AU393"/>
      <c r="AV393"/>
      <c r="AW393"/>
      <c r="AX393"/>
      <c r="AY393"/>
      <c r="AZ393"/>
      <c r="BA393" s="188">
        <f t="shared" ref="BA393:BA395" si="714">(H393*2+J393*2)*2*2/60/1000*L393</f>
        <v>0.6</v>
      </c>
      <c r="BB393" s="189"/>
      <c r="BC393" s="57"/>
      <c r="BD393" s="57"/>
      <c r="BE393" s="57"/>
      <c r="BF393" s="57"/>
      <c r="BG393" s="57"/>
      <c r="BH393" s="57"/>
      <c r="BI393" s="57"/>
      <c r="BJ393" s="57"/>
      <c r="BK393" s="109"/>
      <c r="BL393" s="109"/>
      <c r="BM393" s="109"/>
      <c r="BN393" s="83"/>
      <c r="BP393" s="83"/>
      <c r="BQ393" s="83"/>
    </row>
    <row r="394" spans="1:69" s="50" customFormat="1" x14ac:dyDescent="0.25">
      <c r="A394" s="116">
        <f t="shared" si="706"/>
        <v>0.44156250000000002</v>
      </c>
      <c r="B394" s="116">
        <f t="shared" si="707"/>
        <v>7.9481250000000001</v>
      </c>
      <c r="C394" s="118" t="s">
        <v>80</v>
      </c>
      <c r="D394" s="117" t="s">
        <v>85</v>
      </c>
      <c r="E394" s="117"/>
      <c r="F394" s="355" t="s">
        <v>324</v>
      </c>
      <c r="G394" s="117" t="s">
        <v>83</v>
      </c>
      <c r="H394" s="119">
        <v>75</v>
      </c>
      <c r="I394" s="118" t="s">
        <v>77</v>
      </c>
      <c r="J394" s="119">
        <v>150</v>
      </c>
      <c r="K394" s="119">
        <v>2</v>
      </c>
      <c r="L394" s="119">
        <f>K$394*L$391</f>
        <v>18</v>
      </c>
      <c r="M394" s="116">
        <f t="shared" si="708"/>
        <v>0.40499999999999997</v>
      </c>
      <c r="N394" s="118" t="s">
        <v>84</v>
      </c>
      <c r="P394" s="118"/>
      <c r="Q394" s="135"/>
      <c r="R394" s="118"/>
      <c r="S394" s="118"/>
      <c r="T394" s="118"/>
      <c r="U394" s="118"/>
      <c r="V394" s="118"/>
      <c r="W394" s="118"/>
      <c r="X394" s="118"/>
      <c r="Y394" s="118"/>
      <c r="Z394" s="118"/>
      <c r="AA394" s="118"/>
      <c r="AB394" s="118" t="s">
        <v>78</v>
      </c>
      <c r="AC394" s="136">
        <f>((((H394+J394)*2/1000)*L394*(5/(VLOOKUP(F394,[2]Plasmalõikus!$A$7:$E$46,2,FALSE)/1000*60)))+(Q394*L394*(5*(VLOOKUP(F394,[2]Plasmalõikus!$A$7:$E$48,3,FALSE))/60/60)))</f>
        <v>0.18749999999999997</v>
      </c>
      <c r="AD394" s="353" t="str">
        <f t="shared" si="709"/>
        <v xml:space="preserve"> </v>
      </c>
      <c r="AE394" s="136"/>
      <c r="AF394" s="137"/>
      <c r="AG394" s="137">
        <f t="shared" si="710"/>
        <v>0</v>
      </c>
      <c r="AH394" s="136"/>
      <c r="AI394" s="132">
        <f t="shared" si="711"/>
        <v>0.6</v>
      </c>
      <c r="AJ394" s="70"/>
      <c r="AK394" s="50">
        <v>2</v>
      </c>
      <c r="AL394" s="69" t="str">
        <f t="shared" si="712"/>
        <v>2</v>
      </c>
      <c r="AN394" s="66"/>
      <c r="AP394" s="146">
        <f>(VLOOKUP(F394,Terasehind!$A$2:$B$171,2,FALSE))</f>
        <v>0.92</v>
      </c>
      <c r="AQ394" s="50">
        <f>(VLOOKUP(F394,Terasehind!$A$2:$C$171,3,FALSE))</f>
        <v>1.1000000000000001</v>
      </c>
      <c r="AR394" s="138">
        <f t="shared" si="713"/>
        <v>8.0435025000000024</v>
      </c>
      <c r="AS394"/>
      <c r="AT394"/>
      <c r="AU394"/>
      <c r="AV394"/>
      <c r="AW394"/>
      <c r="AX394"/>
      <c r="AY394"/>
      <c r="AZ394"/>
      <c r="BA394" s="188">
        <f t="shared" si="714"/>
        <v>0.54</v>
      </c>
      <c r="BB394" s="189"/>
      <c r="BC394" s="57"/>
      <c r="BD394" s="57"/>
      <c r="BE394" s="57"/>
      <c r="BF394" s="57"/>
      <c r="BG394" s="57"/>
      <c r="BH394" s="57"/>
      <c r="BI394" s="57"/>
      <c r="BJ394" s="57"/>
      <c r="BK394" s="109"/>
      <c r="BL394" s="109"/>
      <c r="BM394" s="109"/>
      <c r="BN394" s="83"/>
      <c r="BP394" s="83"/>
      <c r="BQ394" s="83"/>
    </row>
    <row r="395" spans="1:69" s="50" customFormat="1" x14ac:dyDescent="0.25">
      <c r="A395" s="116">
        <f t="shared" si="706"/>
        <v>4.0034999999999998</v>
      </c>
      <c r="B395" s="116">
        <f t="shared" si="707"/>
        <v>36.031500000000001</v>
      </c>
      <c r="C395" s="118"/>
      <c r="D395" s="117" t="s">
        <v>88</v>
      </c>
      <c r="E395" s="117"/>
      <c r="F395" s="355" t="s">
        <v>82</v>
      </c>
      <c r="G395" s="117" t="s">
        <v>83</v>
      </c>
      <c r="H395" s="119">
        <v>170</v>
      </c>
      <c r="I395" s="118" t="s">
        <v>77</v>
      </c>
      <c r="J395" s="119">
        <v>300</v>
      </c>
      <c r="K395" s="119">
        <v>1</v>
      </c>
      <c r="L395" s="119">
        <f>K$395*L$391</f>
        <v>9</v>
      </c>
      <c r="M395" s="116">
        <f t="shared" si="708"/>
        <v>0.91799999999999993</v>
      </c>
      <c r="N395" s="118" t="s">
        <v>84</v>
      </c>
      <c r="P395" s="118"/>
      <c r="Q395" s="135">
        <v>2</v>
      </c>
      <c r="R395" s="118"/>
      <c r="S395" s="118"/>
      <c r="T395" s="118"/>
      <c r="U395" s="118"/>
      <c r="V395" s="118"/>
      <c r="W395" s="118"/>
      <c r="X395" s="118"/>
      <c r="Y395" s="118"/>
      <c r="Z395" s="118"/>
      <c r="AA395" s="118"/>
      <c r="AB395" s="118" t="s">
        <v>78</v>
      </c>
      <c r="AC395" s="136">
        <f>((((H395+J395)*2/1000)*L395*(5/(VLOOKUP(F395,[2]Plasmalõikus!$A$7:$E$46,2,FALSE)/1000*60)))+(Q395*L395*(5*(VLOOKUP(F395,[2]Plasmalõikus!$A$7:$E$48,3,FALSE))/60/60)))</f>
        <v>0.48199999999999998</v>
      </c>
      <c r="AD395" s="353" t="str">
        <f t="shared" si="709"/>
        <v xml:space="preserve"> </v>
      </c>
      <c r="AE395" s="136"/>
      <c r="AF395" s="137"/>
      <c r="AG395" s="137">
        <f t="shared" si="710"/>
        <v>0</v>
      </c>
      <c r="AH395" s="136"/>
      <c r="AI395" s="132">
        <f t="shared" si="711"/>
        <v>2.25</v>
      </c>
      <c r="AJ395" s="70">
        <f>(H395*3*AK395)*2*L395/1000</f>
        <v>9.18</v>
      </c>
      <c r="AK395" s="50">
        <v>1</v>
      </c>
      <c r="AL395" s="69" t="str">
        <f t="shared" si="712"/>
        <v>15</v>
      </c>
      <c r="AN395" s="66"/>
      <c r="AP395" s="146">
        <f>(VLOOKUP(F395,Terasehind!$A$2:$B$171,2,FALSE))</f>
        <v>0.92</v>
      </c>
      <c r="AQ395" s="50">
        <f>(VLOOKUP(F395,Terasehind!$A$2:$C$171,3,FALSE))</f>
        <v>1.1000000000000001</v>
      </c>
      <c r="AR395" s="138">
        <f t="shared" si="713"/>
        <v>36.463878000000008</v>
      </c>
      <c r="AS395"/>
      <c r="AT395"/>
      <c r="AU395"/>
      <c r="AV395"/>
      <c r="AW395"/>
      <c r="AX395"/>
      <c r="AY395"/>
      <c r="AZ395"/>
      <c r="BA395" s="188">
        <f t="shared" si="714"/>
        <v>0.56399999999999995</v>
      </c>
      <c r="BB395" s="189"/>
      <c r="BC395" s="57"/>
      <c r="BD395" s="57"/>
      <c r="BE395" s="57"/>
      <c r="BF395" s="57"/>
      <c r="BG395" s="57"/>
      <c r="BH395" s="57"/>
      <c r="BI395" s="57"/>
      <c r="BJ395" s="57"/>
      <c r="BK395" s="109"/>
      <c r="BL395" s="109"/>
      <c r="BM395" s="109"/>
      <c r="BN395" s="83"/>
      <c r="BP395" s="83"/>
      <c r="BQ395" s="83"/>
    </row>
    <row r="396" spans="1:69" s="50" customFormat="1" x14ac:dyDescent="0.25">
      <c r="A396" s="116"/>
      <c r="B396" s="116"/>
      <c r="C396" s="118"/>
      <c r="D396" s="117"/>
      <c r="E396" s="117"/>
      <c r="F396" s="269"/>
      <c r="G396" s="117"/>
      <c r="H396" s="119"/>
      <c r="I396" s="118"/>
      <c r="J396" s="119"/>
      <c r="K396" s="119"/>
      <c r="L396" s="119"/>
      <c r="M396" s="119"/>
      <c r="N396" s="119"/>
      <c r="O396" s="119"/>
      <c r="P396" s="119"/>
      <c r="Q396" s="119"/>
      <c r="R396" s="118"/>
      <c r="S396" s="118"/>
      <c r="T396" s="118"/>
      <c r="U396" s="118"/>
      <c r="V396" s="118"/>
      <c r="W396" s="118"/>
      <c r="X396" s="118"/>
      <c r="Y396" s="118"/>
      <c r="Z396" s="118"/>
      <c r="AA396" s="118"/>
      <c r="AB396" s="118"/>
      <c r="AC396" s="136"/>
      <c r="AD396" s="136"/>
      <c r="AE396" s="136"/>
      <c r="AF396" s="136"/>
      <c r="AG396" s="136"/>
      <c r="AH396" s="136"/>
      <c r="AI396" s="132"/>
      <c r="AJ396" s="60"/>
      <c r="AM396" s="50">
        <v>109</v>
      </c>
      <c r="AN396" s="66"/>
      <c r="AP396" s="146"/>
      <c r="AR396" s="138"/>
      <c r="AT396" s="62"/>
      <c r="AU396" s="62"/>
      <c r="AV396" s="62"/>
      <c r="AW396" s="62"/>
      <c r="AX396" s="62"/>
      <c r="AY396" s="62"/>
      <c r="AZ396"/>
      <c r="BA396" s="192"/>
      <c r="BB396" s="188"/>
      <c r="BC396" s="57"/>
      <c r="BD396" s="57"/>
      <c r="BE396" s="57"/>
      <c r="BF396" s="57"/>
      <c r="BG396" s="57"/>
      <c r="BH396" s="57"/>
      <c r="BI396" s="57"/>
      <c r="BJ396" s="109"/>
      <c r="BK396" s="109"/>
      <c r="BL396" s="109"/>
      <c r="BM396" s="83"/>
      <c r="BO396" s="83"/>
      <c r="BP396" s="83"/>
    </row>
    <row r="397" spans="1:69" s="50" customFormat="1" x14ac:dyDescent="0.25">
      <c r="A397" s="148">
        <f>B397/L397</f>
        <v>64.6785</v>
      </c>
      <c r="B397" s="148">
        <f>SUM(B401,B400,B399,B398,0)</f>
        <v>1552.2840000000001</v>
      </c>
      <c r="C397" s="152"/>
      <c r="D397" s="149" t="s">
        <v>76</v>
      </c>
      <c r="E397" s="149"/>
      <c r="F397" s="365" t="s">
        <v>378</v>
      </c>
      <c r="G397" s="174" t="str">
        <f>$G$163</f>
        <v>C3VH</v>
      </c>
      <c r="H397" s="150"/>
      <c r="I397" s="151" t="s">
        <v>77</v>
      </c>
      <c r="J397" s="150">
        <f>J398</f>
        <v>2600</v>
      </c>
      <c r="K397" s="134">
        <v>24</v>
      </c>
      <c r="L397" s="150">
        <f>$L$379*$K$397</f>
        <v>24</v>
      </c>
      <c r="M397" s="148">
        <f>SUM(M401,M400,M399,M398,0)</f>
        <v>39.019199999999998</v>
      </c>
      <c r="N397" s="151"/>
      <c r="O397" s="151"/>
      <c r="P397" s="151"/>
      <c r="Q397" s="151"/>
      <c r="R397" s="120"/>
      <c r="S397" s="120"/>
      <c r="T397" s="120"/>
      <c r="U397" s="120"/>
      <c r="V397" s="120"/>
      <c r="W397" s="118"/>
      <c r="X397" s="118" t="s">
        <v>78</v>
      </c>
      <c r="Y397" s="151">
        <v>4</v>
      </c>
      <c r="Z397" s="151"/>
      <c r="AA397" s="151"/>
      <c r="AB397" s="151"/>
      <c r="AC397" s="148">
        <f>SUM(AC401,AC400,AC399,AC398,0)</f>
        <v>6.6808888888888891</v>
      </c>
      <c r="AD397" s="148">
        <f>SUM(AD401,AD400,AD399,AD398,0)</f>
        <v>0</v>
      </c>
      <c r="AE397" s="148">
        <f>SUM(AE401,AE400,AE399,AE398,0)</f>
        <v>4.8000000000000007</v>
      </c>
      <c r="AF397" s="148">
        <f>SUM(AF401,AF400,AF399,AF398,0)</f>
        <v>0</v>
      </c>
      <c r="AG397" s="148">
        <f>SUM(AG401,AG400,AG399,AG398,0)</f>
        <v>0</v>
      </c>
      <c r="AH397" s="107">
        <f>SUM(AC397:AG397)</f>
        <v>11.48088888888889</v>
      </c>
      <c r="AI397" s="107">
        <f>SUM(AI401,AI400,AI399,AI398,0)</f>
        <v>24</v>
      </c>
      <c r="AJ397" s="148">
        <f>SUM(AJ401,AJ400,AJ399,AJ398,0)</f>
        <v>133.92000000000002</v>
      </c>
      <c r="AK397" s="107">
        <f>AJ397*10/60</f>
        <v>22.320000000000004</v>
      </c>
      <c r="AL397" s="148">
        <f>AH397+AI397+AK397</f>
        <v>57.800888888888892</v>
      </c>
      <c r="AM397" s="148">
        <f>B397/AL397</f>
        <v>26.855711561529233</v>
      </c>
      <c r="AN397" s="148">
        <f>AL397*46</f>
        <v>2658.8408888888889</v>
      </c>
      <c r="AO397" s="148">
        <f>AN397/B397</f>
        <v>1.7128572406137592</v>
      </c>
      <c r="AP397" s="148">
        <f>AR397/B397</f>
        <v>1.0120000000000002</v>
      </c>
      <c r="AQ397" s="67"/>
      <c r="AR397" s="148">
        <f>SUM(AR401,AR400,AR399,AR398,0)</f>
        <v>1570.9114080000004</v>
      </c>
      <c r="AT397" s="62"/>
      <c r="AU397" s="62"/>
      <c r="AV397" s="62"/>
      <c r="AW397" s="62"/>
      <c r="AX397" s="62"/>
      <c r="AY397" s="62"/>
      <c r="AZ397"/>
      <c r="BA397" s="148">
        <f>SUM(BA401,BA400,BA399,BA398,0)</f>
        <v>7.3919999999999995</v>
      </c>
      <c r="BB397" s="188"/>
      <c r="BC397" s="57"/>
      <c r="BD397" s="57"/>
      <c r="BE397" s="57"/>
      <c r="BF397" s="57"/>
      <c r="BG397" s="57"/>
      <c r="BH397" s="57"/>
      <c r="BI397" s="60"/>
    </row>
    <row r="398" spans="1:69" s="50" customFormat="1" x14ac:dyDescent="0.25">
      <c r="A398" s="116">
        <f xml:space="preserve"> 17.6*J398/10^3</f>
        <v>45.760000000000005</v>
      </c>
      <c r="B398" s="116">
        <f>A398*L398</f>
        <v>1098.2400000000002</v>
      </c>
      <c r="C398" s="299"/>
      <c r="D398" s="117" t="s">
        <v>76</v>
      </c>
      <c r="E398" s="117"/>
      <c r="F398" s="355" t="s">
        <v>482</v>
      </c>
      <c r="G398" s="140" t="s">
        <v>79</v>
      </c>
      <c r="H398" s="119">
        <v>120</v>
      </c>
      <c r="I398" s="118" t="s">
        <v>77</v>
      </c>
      <c r="J398" s="119">
        <v>2600</v>
      </c>
      <c r="K398" s="50">
        <v>1</v>
      </c>
      <c r="L398" s="119">
        <f>K$398*L$397</f>
        <v>24</v>
      </c>
      <c r="M398" s="131">
        <f xml:space="preserve"> 0.463*J398*L398/10^3</f>
        <v>28.891199999999998</v>
      </c>
      <c r="N398" s="118"/>
      <c r="O398" s="118"/>
      <c r="P398" s="118" t="s">
        <v>78</v>
      </c>
      <c r="Q398" s="135"/>
      <c r="R398" s="118"/>
      <c r="S398" s="118"/>
      <c r="T398" s="118"/>
      <c r="U398" s="118"/>
      <c r="V398" s="118"/>
      <c r="W398" s="118"/>
      <c r="Y398" s="118"/>
      <c r="Z398" s="118"/>
      <c r="AA398" s="118"/>
      <c r="AB398" s="118" t="s">
        <v>78</v>
      </c>
      <c r="AC398" s="116"/>
      <c r="AD398" s="83"/>
      <c r="AE398" s="136">
        <f>(H398/20/60)*2*L398</f>
        <v>4.8000000000000007</v>
      </c>
      <c r="AF398" s="137"/>
      <c r="AG398" s="132">
        <f>Q398*L398*0.5/60</f>
        <v>0</v>
      </c>
      <c r="AH398" s="83"/>
      <c r="AI398" s="132">
        <f>AL398*L398/60</f>
        <v>2</v>
      </c>
      <c r="AJ398" s="70">
        <f>(H398*4*AK398)*2*L398/1000</f>
        <v>23.04</v>
      </c>
      <c r="AK398" s="50">
        <f>(VLOOKUP(F398,[2]Koostamine!$A$12:$P$1612,7,FALSE))</f>
        <v>1</v>
      </c>
      <c r="AL398" s="69">
        <f>VLOOKUP(F398,[2]Koostamine!$A$12:$P$1612,IF(J398&lt;1499,11,IF(J398&lt;2999,12,IF(J398&lt;5999,13,IF(J398&lt;9999,14,IF(J398&lt;12999,15,IF(J398&gt;13000,16)))))),FALSE)</f>
        <v>5</v>
      </c>
      <c r="AP398" s="146">
        <f>(VLOOKUP(F398,Terasehind!$A$2:$B$171,2,FALSE))</f>
        <v>0.92</v>
      </c>
      <c r="AQ398" s="50">
        <f>(VLOOKUP(F398,Terasehind!$A$2:$C$171,3,FALSE))</f>
        <v>1.1000000000000001</v>
      </c>
      <c r="AR398" s="138">
        <f>AP398*AQ398*B398</f>
        <v>1111.4188800000004</v>
      </c>
      <c r="AT398" s="62"/>
      <c r="AU398" s="62"/>
      <c r="AV398" s="62"/>
      <c r="AW398" s="62"/>
      <c r="AX398" s="62"/>
      <c r="AY398" s="62"/>
      <c r="AZ398"/>
      <c r="BA398" s="188">
        <f>(H398*4)*2*2/60/1000*L398</f>
        <v>0.76800000000000002</v>
      </c>
      <c r="BB398" s="189"/>
      <c r="BC398" s="57"/>
      <c r="BD398" s="57"/>
      <c r="BE398" s="57"/>
      <c r="BF398" s="57"/>
      <c r="BG398" s="57"/>
      <c r="BH398" s="57"/>
      <c r="BI398" s="57"/>
      <c r="BJ398" s="60"/>
      <c r="BK398" s="57"/>
      <c r="BL398" s="60"/>
      <c r="BM398" s="83"/>
      <c r="BO398" s="109"/>
    </row>
    <row r="399" spans="1:69" s="50" customFormat="1" x14ac:dyDescent="0.25">
      <c r="A399" s="116">
        <f t="shared" ref="A399:A401" si="715">H399*J399*(RIGHT(F399,2))*7.85/(10^6)</f>
        <v>3.9249999999999998</v>
      </c>
      <c r="B399" s="116">
        <f t="shared" ref="B399:B401" si="716">A399*L399</f>
        <v>188.39999999999998</v>
      </c>
      <c r="C399" s="118" t="s">
        <v>80</v>
      </c>
      <c r="D399" s="117" t="s">
        <v>81</v>
      </c>
      <c r="E399" s="117"/>
      <c r="F399" s="355" t="s">
        <v>82</v>
      </c>
      <c r="G399" s="117" t="s">
        <v>83</v>
      </c>
      <c r="H399" s="119">
        <v>200</v>
      </c>
      <c r="I399" s="118" t="s">
        <v>77</v>
      </c>
      <c r="J399" s="119">
        <v>250</v>
      </c>
      <c r="K399" s="119">
        <v>2</v>
      </c>
      <c r="L399" s="119">
        <f>K$399*L$397</f>
        <v>48</v>
      </c>
      <c r="M399" s="116">
        <f t="shared" ref="M399:M401" si="717">2*H399*J399/10^6*L399</f>
        <v>4.8000000000000007</v>
      </c>
      <c r="N399" s="118" t="s">
        <v>84</v>
      </c>
      <c r="P399" s="118"/>
      <c r="Q399" s="135"/>
      <c r="R399" s="118"/>
      <c r="S399" s="118"/>
      <c r="T399" s="118"/>
      <c r="U399" s="118"/>
      <c r="V399" s="118"/>
      <c r="W399" s="118"/>
      <c r="X399" s="118"/>
      <c r="Y399" s="118"/>
      <c r="Z399" s="118"/>
      <c r="AA399" s="118"/>
      <c r="AB399" s="118" t="s">
        <v>78</v>
      </c>
      <c r="AC399" s="136">
        <f>((((H399+J399)*2/1000)*L399*(5/(VLOOKUP(F399,[2]Plasmalõikus!$A$7:$E$46,2,FALSE)/1000*60)))+(Q399*L399*(5*(VLOOKUP(F399,[2]Plasmalõikus!$A$7:$E$48,3,FALSE))/60/60)))</f>
        <v>1.4400000000000002</v>
      </c>
      <c r="AD399" s="353" t="str">
        <f t="shared" ref="AD399:AD401" si="718">IF(C399="WQ",0.012*((H399+J399)*2/1000*L399),IF(OR(VALUE(MID(F399,6,10))&gt;=20,H399&gt;300,J399&gt;300),0.012*((H399+J399)*2/1000*L399)," "))</f>
        <v xml:space="preserve"> </v>
      </c>
      <c r="AE399" s="136"/>
      <c r="AF399" s="137"/>
      <c r="AG399" s="137">
        <f t="shared" ref="AG399:AG401" si="719">IF(VALUE(MID(F399,SEARCH(" ",F399)+1,LEN(F399)))&lt;35,0,IF(VALUE(MID(F399,SEARCH(" ",F399)+1,LEN(F399)))&lt;40,3,IF(VALUE(MID(F399,SEARCH(" ",F399)+1,LEN(F399)))&lt;50,4,IF(VALUE(MID(F399,SEARCH(" ",F399)+1,LEN(F399)))&lt;60,5,IF(VALUE(MID(F399,SEARCH(" ",F399)+1,LEN(F399)))&lt;70,6,IF(VALUE(MID(F399,SEARCH(" ",F399)+1,LEN(F399)))&lt;80,7,IF(VALUE(MID(F399,SEARCH(" ",F399)+1,LEN(F399)))&lt;90,8,IF(VALUE(MID(F399,SEARCH(" ",F399)+1,LEN(F399)))&lt;100,9,10))))))))/60*Q399*L399</f>
        <v>0</v>
      </c>
      <c r="AH399" s="136"/>
      <c r="AI399" s="132">
        <f t="shared" ref="AI399:AI401" si="720">AL399*L399/60</f>
        <v>4</v>
      </c>
      <c r="AJ399" s="70"/>
      <c r="AK399" s="50">
        <v>2</v>
      </c>
      <c r="AL399" s="69" t="str">
        <f t="shared" ref="AL399:AL401" si="721">IF(AND(Q399&gt;0,A399&lt;3),"10",IF(AND(Q399&gt;0,A399&lt;10),"15",IF(AND(Q399&gt;0,A399&lt;20),"20",IF(AND(Q399&gt;0,A399&lt;500),"30",IF(AND(Q399=0,A399&lt;3),"2",IF(AND(Q399=0,A399&lt;10),"5",IF(AND(Q399=0,A399&lt;20),"10",IF(AND(Q399=0,A399&lt;500),"20","2"))))))))</f>
        <v>5</v>
      </c>
      <c r="AN399" s="66"/>
      <c r="AP399" s="146">
        <f>(VLOOKUP(F399,Terasehind!$A$2:$B$171,2,FALSE))</f>
        <v>0.92</v>
      </c>
      <c r="AQ399" s="50">
        <f>(VLOOKUP(F399,Terasehind!$A$2:$C$171,3,FALSE))</f>
        <v>1.1000000000000001</v>
      </c>
      <c r="AR399" s="138">
        <f t="shared" ref="AR399:AR401" si="722">AP399*AQ399*B399</f>
        <v>190.66080000000002</v>
      </c>
      <c r="AS399"/>
      <c r="AT399"/>
      <c r="AU399"/>
      <c r="AV399"/>
      <c r="AW399"/>
      <c r="AX399"/>
      <c r="AY399"/>
      <c r="AZ399"/>
      <c r="BA399" s="188">
        <f t="shared" ref="BA399:BA401" si="723">(H399*2+J399*2)*2*2/60/1000*L399</f>
        <v>2.88</v>
      </c>
      <c r="BB399" s="189"/>
      <c r="BC399" s="57"/>
      <c r="BD399" s="57"/>
      <c r="BE399" s="57"/>
      <c r="BF399" s="57"/>
      <c r="BG399" s="57"/>
      <c r="BH399" s="57"/>
      <c r="BI399" s="57"/>
      <c r="BJ399" s="57"/>
      <c r="BK399" s="109"/>
      <c r="BL399" s="109"/>
      <c r="BM399" s="109"/>
      <c r="BN399" s="83"/>
      <c r="BP399" s="83"/>
      <c r="BQ399" s="83"/>
    </row>
    <row r="400" spans="1:69" s="50" customFormat="1" x14ac:dyDescent="0.25">
      <c r="A400" s="116">
        <f t="shared" si="715"/>
        <v>3.5325000000000002</v>
      </c>
      <c r="B400" s="116">
        <f t="shared" si="716"/>
        <v>169.56</v>
      </c>
      <c r="C400" s="118"/>
      <c r="D400" s="117" t="s">
        <v>85</v>
      </c>
      <c r="E400" s="117"/>
      <c r="F400" s="355" t="s">
        <v>87</v>
      </c>
      <c r="G400" s="117" t="s">
        <v>83</v>
      </c>
      <c r="H400" s="119">
        <v>150</v>
      </c>
      <c r="I400" s="118" t="s">
        <v>77</v>
      </c>
      <c r="J400" s="119">
        <v>200</v>
      </c>
      <c r="K400" s="119">
        <v>2</v>
      </c>
      <c r="L400" s="119">
        <f>K$400*L$397</f>
        <v>48</v>
      </c>
      <c r="M400" s="116">
        <f t="shared" si="717"/>
        <v>2.88</v>
      </c>
      <c r="N400" s="118" t="s">
        <v>84</v>
      </c>
      <c r="P400" s="118"/>
      <c r="Q400" s="135">
        <v>4</v>
      </c>
      <c r="R400" s="118"/>
      <c r="S400" s="118"/>
      <c r="T400" s="118"/>
      <c r="U400" s="118"/>
      <c r="V400" s="118"/>
      <c r="W400" s="118"/>
      <c r="X400" s="118"/>
      <c r="Y400" s="118"/>
      <c r="Z400" s="118"/>
      <c r="AA400" s="118"/>
      <c r="AB400" s="118" t="s">
        <v>78</v>
      </c>
      <c r="AC400" s="136">
        <f>((((H400+J400)*2/1000)*L400*(5/(VLOOKUP(F400,[2]Plasmalõikus!$A$7:$E$46,2,FALSE)/1000*60)))+(Q400*L400*(5*(VLOOKUP(F400,[2]Plasmalõikus!$A$7:$E$48,3,FALSE))/60/60)))</f>
        <v>3.9555555555555557</v>
      </c>
      <c r="AD400" s="353" t="str">
        <f t="shared" si="718"/>
        <v xml:space="preserve"> </v>
      </c>
      <c r="AE400" s="136"/>
      <c r="AF400" s="137"/>
      <c r="AG400" s="137">
        <f t="shared" si="719"/>
        <v>0</v>
      </c>
      <c r="AH400" s="136"/>
      <c r="AI400" s="132">
        <f t="shared" si="720"/>
        <v>12</v>
      </c>
      <c r="AJ400" s="70">
        <f>(H400*3*AK400)*2*L400/1000</f>
        <v>86.4</v>
      </c>
      <c r="AK400" s="50">
        <v>2</v>
      </c>
      <c r="AL400" s="69" t="str">
        <f t="shared" si="721"/>
        <v>15</v>
      </c>
      <c r="AN400" s="66"/>
      <c r="AP400" s="146">
        <f>(VLOOKUP(F400,Terasehind!$A$2:$B$171,2,FALSE))</f>
        <v>0.92</v>
      </c>
      <c r="AQ400" s="50">
        <f>(VLOOKUP(F400,Terasehind!$A$2:$C$171,3,FALSE))</f>
        <v>1.1000000000000001</v>
      </c>
      <c r="AR400" s="138">
        <f t="shared" si="722"/>
        <v>171.59472000000005</v>
      </c>
      <c r="AS400"/>
      <c r="AT400"/>
      <c r="AU400"/>
      <c r="AV400"/>
      <c r="AW400"/>
      <c r="AX400"/>
      <c r="AY400"/>
      <c r="AZ400"/>
      <c r="BA400" s="188">
        <f t="shared" si="723"/>
        <v>2.2399999999999998</v>
      </c>
      <c r="BB400" s="189"/>
      <c r="BC400" s="57"/>
      <c r="BD400" s="57"/>
      <c r="BE400" s="57"/>
      <c r="BF400" s="57"/>
      <c r="BG400" s="57"/>
      <c r="BH400" s="57"/>
      <c r="BI400" s="57"/>
      <c r="BJ400" s="57"/>
      <c r="BK400" s="109"/>
      <c r="BL400" s="109"/>
      <c r="BM400" s="109"/>
      <c r="BN400" s="83"/>
      <c r="BP400" s="83"/>
      <c r="BQ400" s="83"/>
    </row>
    <row r="401" spans="1:69" s="50" customFormat="1" x14ac:dyDescent="0.25">
      <c r="A401" s="116">
        <f t="shared" si="715"/>
        <v>4.0034999999999998</v>
      </c>
      <c r="B401" s="116">
        <f t="shared" si="716"/>
        <v>96.084000000000003</v>
      </c>
      <c r="C401" s="118"/>
      <c r="D401" s="117" t="s">
        <v>88</v>
      </c>
      <c r="E401" s="117"/>
      <c r="F401" s="355" t="s">
        <v>82</v>
      </c>
      <c r="G401" s="117" t="s">
        <v>83</v>
      </c>
      <c r="H401" s="119">
        <v>170</v>
      </c>
      <c r="I401" s="118" t="s">
        <v>77</v>
      </c>
      <c r="J401" s="119">
        <v>300</v>
      </c>
      <c r="K401" s="119">
        <v>1</v>
      </c>
      <c r="L401" s="119">
        <f>K$401*L$397</f>
        <v>24</v>
      </c>
      <c r="M401" s="116">
        <f t="shared" si="717"/>
        <v>2.448</v>
      </c>
      <c r="N401" s="118" t="s">
        <v>84</v>
      </c>
      <c r="P401" s="118"/>
      <c r="Q401" s="135">
        <v>2</v>
      </c>
      <c r="R401" s="118"/>
      <c r="S401" s="118"/>
      <c r="T401" s="118"/>
      <c r="U401" s="118"/>
      <c r="V401" s="118"/>
      <c r="W401" s="118"/>
      <c r="X401" s="118"/>
      <c r="Y401" s="118"/>
      <c r="Z401" s="118"/>
      <c r="AA401" s="118"/>
      <c r="AB401" s="118" t="s">
        <v>78</v>
      </c>
      <c r="AC401" s="136">
        <f>((((H401+J401)*2/1000)*L401*(5/(VLOOKUP(F401,[2]Plasmalõikus!$A$7:$E$46,2,FALSE)/1000*60)))+(Q401*L401*(5*(VLOOKUP(F401,[2]Plasmalõikus!$A$7:$E$48,3,FALSE))/60/60)))</f>
        <v>1.2853333333333332</v>
      </c>
      <c r="AD401" s="353" t="str">
        <f t="shared" si="718"/>
        <v xml:space="preserve"> </v>
      </c>
      <c r="AE401" s="136"/>
      <c r="AF401" s="137"/>
      <c r="AG401" s="137">
        <f t="shared" si="719"/>
        <v>0</v>
      </c>
      <c r="AH401" s="136"/>
      <c r="AI401" s="132">
        <f t="shared" si="720"/>
        <v>6</v>
      </c>
      <c r="AJ401" s="70">
        <f>(H401*3*AK401)*2*L401/1000</f>
        <v>24.48</v>
      </c>
      <c r="AK401" s="50">
        <v>1</v>
      </c>
      <c r="AL401" s="69" t="str">
        <f t="shared" si="721"/>
        <v>15</v>
      </c>
      <c r="AN401" s="66"/>
      <c r="AP401" s="146">
        <f>(VLOOKUP(F401,Terasehind!$A$2:$B$171,2,FALSE))</f>
        <v>0.92</v>
      </c>
      <c r="AQ401" s="50">
        <f>(VLOOKUP(F401,Terasehind!$A$2:$C$171,3,FALSE))</f>
        <v>1.1000000000000001</v>
      </c>
      <c r="AR401" s="138">
        <f t="shared" si="722"/>
        <v>97.237008000000031</v>
      </c>
      <c r="AS401"/>
      <c r="AT401"/>
      <c r="AU401"/>
      <c r="AV401"/>
      <c r="AW401"/>
      <c r="AX401"/>
      <c r="AY401"/>
      <c r="AZ401"/>
      <c r="BA401" s="188">
        <f t="shared" si="723"/>
        <v>1.504</v>
      </c>
      <c r="BB401" s="189"/>
      <c r="BC401" s="57"/>
      <c r="BD401" s="57"/>
      <c r="BE401" s="57"/>
      <c r="BF401" s="57"/>
      <c r="BG401" s="57"/>
      <c r="BH401" s="57"/>
      <c r="BI401" s="57"/>
      <c r="BJ401" s="57"/>
      <c r="BK401" s="109"/>
      <c r="BL401" s="109"/>
      <c r="BM401" s="109"/>
      <c r="BN401" s="83"/>
      <c r="BP401" s="83"/>
      <c r="BQ401" s="83"/>
    </row>
    <row r="402" spans="1:69" s="50" customFormat="1" x14ac:dyDescent="0.25">
      <c r="A402" s="116"/>
      <c r="B402" s="116"/>
      <c r="C402" s="118"/>
      <c r="D402" s="117"/>
      <c r="E402" s="117"/>
      <c r="F402" s="269"/>
      <c r="G402" s="117"/>
      <c r="H402" s="119"/>
      <c r="I402" s="118"/>
      <c r="J402" s="119"/>
      <c r="K402" s="119"/>
      <c r="L402" s="119"/>
      <c r="M402" s="119"/>
      <c r="N402" s="119"/>
      <c r="O402" s="119"/>
      <c r="P402" s="119"/>
      <c r="Q402" s="119"/>
      <c r="R402" s="118"/>
      <c r="S402" s="118"/>
      <c r="T402" s="118"/>
      <c r="U402" s="118"/>
      <c r="V402" s="118"/>
      <c r="W402" s="118"/>
      <c r="X402" s="118"/>
      <c r="Y402" s="118"/>
      <c r="Z402" s="118"/>
      <c r="AA402" s="118"/>
      <c r="AB402" s="118"/>
      <c r="AC402" s="136"/>
      <c r="AD402" s="136"/>
      <c r="AE402" s="136"/>
      <c r="AF402" s="136"/>
      <c r="AG402" s="136"/>
      <c r="AH402" s="136"/>
      <c r="AI402" s="132"/>
      <c r="AJ402" s="60"/>
      <c r="AN402" s="66"/>
      <c r="AP402" s="146"/>
      <c r="AR402" s="138"/>
      <c r="AT402" s="62"/>
      <c r="AU402" s="62"/>
      <c r="AV402" s="62"/>
      <c r="AW402" s="62"/>
      <c r="AX402" s="62"/>
      <c r="AY402" s="62"/>
      <c r="AZ402"/>
      <c r="BA402" s="192"/>
      <c r="BB402" s="188"/>
      <c r="BC402" s="57"/>
      <c r="BD402" s="57"/>
      <c r="BE402" s="57"/>
      <c r="BF402" s="57"/>
      <c r="BG402" s="57"/>
      <c r="BH402" s="57"/>
      <c r="BI402" s="57"/>
      <c r="BJ402" s="109"/>
      <c r="BK402" s="109"/>
      <c r="BL402" s="109"/>
      <c r="BM402" s="83"/>
      <c r="BO402" s="83"/>
      <c r="BP402" s="83"/>
    </row>
    <row r="403" spans="1:69" s="50" customFormat="1" x14ac:dyDescent="0.25">
      <c r="A403" s="148">
        <f>B403/L403</f>
        <v>229.96085000000002</v>
      </c>
      <c r="B403" s="148">
        <f>SUM(B407,B406,B405,B404,0)</f>
        <v>1379.7651000000001</v>
      </c>
      <c r="C403" s="152"/>
      <c r="D403" s="149" t="s">
        <v>76</v>
      </c>
      <c r="E403" s="149"/>
      <c r="F403" s="365"/>
      <c r="G403" s="174" t="str">
        <f>$G$163</f>
        <v>C3VH</v>
      </c>
      <c r="H403" s="150"/>
      <c r="I403" s="151" t="s">
        <v>77</v>
      </c>
      <c r="J403" s="150">
        <f>J404</f>
        <v>9650</v>
      </c>
      <c r="K403" s="134">
        <v>6</v>
      </c>
      <c r="L403" s="150">
        <f>$L$379*$K$403</f>
        <v>6</v>
      </c>
      <c r="M403" s="148">
        <f>SUM(M407,M406,M405,M404,0)</f>
        <v>35.894099999999995</v>
      </c>
      <c r="N403" s="151"/>
      <c r="O403" s="151"/>
      <c r="P403" s="151"/>
      <c r="Q403" s="151"/>
      <c r="R403" s="120"/>
      <c r="S403" s="120"/>
      <c r="T403" s="120"/>
      <c r="U403" s="120"/>
      <c r="V403" s="120"/>
      <c r="W403" s="118"/>
      <c r="X403" s="118" t="s">
        <v>78</v>
      </c>
      <c r="Y403" s="151">
        <v>4</v>
      </c>
      <c r="Z403" s="151"/>
      <c r="AA403" s="151"/>
      <c r="AB403" s="151"/>
      <c r="AC403" s="148">
        <f>SUM(AC407,AC406,AC405,AC404,0)</f>
        <v>1.528888888888889</v>
      </c>
      <c r="AD403" s="148">
        <f>SUM(AD407,AD406,AD405,AD404,0)</f>
        <v>0</v>
      </c>
      <c r="AE403" s="148">
        <f>SUM(AE407,AE406,AE405,AE404,0)</f>
        <v>1.5</v>
      </c>
      <c r="AF403" s="148">
        <f>SUM(AF407,AF406,AF405,AF404,0)</f>
        <v>0</v>
      </c>
      <c r="AG403" s="148">
        <f>SUM(AG407,AG406,AG405,AG404,0)</f>
        <v>0</v>
      </c>
      <c r="AH403" s="107">
        <f>SUM(AC403:AG403)</f>
        <v>3.028888888888889</v>
      </c>
      <c r="AI403" s="107">
        <f>SUM(AI407,AI406,AI405,AI404,0)</f>
        <v>7.4</v>
      </c>
      <c r="AJ403" s="148">
        <f>SUM(AJ407,AJ406,AJ405,AJ404,0)</f>
        <v>37.68</v>
      </c>
      <c r="AK403" s="107">
        <f>AJ403*10/60</f>
        <v>6.28</v>
      </c>
      <c r="AL403" s="148">
        <f>AH403+AI403+AK403</f>
        <v>16.70888888888889</v>
      </c>
      <c r="AM403" s="148">
        <f>B403/AL403</f>
        <v>82.576711663785076</v>
      </c>
      <c r="AN403" s="148">
        <f>AL403*46</f>
        <v>768.60888888888894</v>
      </c>
      <c r="AO403" s="148">
        <f>AN403/B403</f>
        <v>0.55705778388574179</v>
      </c>
      <c r="AP403" s="148">
        <f>AR403/B403</f>
        <v>1.0120000000000002</v>
      </c>
      <c r="AQ403" s="67"/>
      <c r="AR403" s="148">
        <f>SUM(AR407,AR406,AR405,AR404,0)</f>
        <v>1396.3222812000004</v>
      </c>
      <c r="AT403" s="62"/>
      <c r="AU403" s="62"/>
      <c r="AV403" s="62"/>
      <c r="AW403" s="62"/>
      <c r="AX403" s="62"/>
      <c r="AY403" s="62"/>
      <c r="AZ403"/>
      <c r="BA403" s="148">
        <f>SUM(BA407,BA406,BA405,BA404,0)</f>
        <v>1.5039999999999998</v>
      </c>
      <c r="BB403" s="188"/>
      <c r="BC403" s="57"/>
      <c r="BD403" s="57"/>
      <c r="BE403" s="57"/>
      <c r="BF403" s="57"/>
      <c r="BG403" s="57"/>
      <c r="BH403" s="57"/>
      <c r="BI403" s="60"/>
    </row>
    <row r="404" spans="1:69" s="50" customFormat="1" x14ac:dyDescent="0.25">
      <c r="A404" s="116">
        <f xml:space="preserve"> 22.3*J404/10^3</f>
        <v>215.19499999999999</v>
      </c>
      <c r="B404" s="116">
        <f>A404*L404</f>
        <v>1291.17</v>
      </c>
      <c r="C404" s="299" t="s">
        <v>379</v>
      </c>
      <c r="D404" s="117" t="s">
        <v>76</v>
      </c>
      <c r="E404" s="117"/>
      <c r="F404" s="355" t="s">
        <v>425</v>
      </c>
      <c r="G404" s="140" t="s">
        <v>79</v>
      </c>
      <c r="H404" s="119">
        <v>150</v>
      </c>
      <c r="I404" s="118" t="s">
        <v>77</v>
      </c>
      <c r="J404" s="119">
        <v>9650</v>
      </c>
      <c r="K404" s="50">
        <v>1</v>
      </c>
      <c r="L404" s="119">
        <f>K$404*L$403</f>
        <v>6</v>
      </c>
      <c r="M404" s="131">
        <f xml:space="preserve"> 0.583*J404*L404/10^3</f>
        <v>33.755699999999997</v>
      </c>
      <c r="N404" s="118"/>
      <c r="O404" s="118"/>
      <c r="P404" s="118" t="s">
        <v>78</v>
      </c>
      <c r="Q404" s="135"/>
      <c r="R404" s="118"/>
      <c r="S404" s="118"/>
      <c r="T404" s="118"/>
      <c r="U404" s="118"/>
      <c r="V404" s="118"/>
      <c r="W404" s="118"/>
      <c r="Y404" s="118"/>
      <c r="Z404" s="118"/>
      <c r="AA404" s="118"/>
      <c r="AB404" s="118" t="s">
        <v>78</v>
      </c>
      <c r="AC404" s="116"/>
      <c r="AD404" s="83"/>
      <c r="AE404" s="136">
        <f t="shared" ref="AE404" si="724">(H404/20/60)*2*L404</f>
        <v>1.5</v>
      </c>
      <c r="AF404" s="137"/>
      <c r="AG404" s="132">
        <f t="shared" ref="AG404" si="725">Q404*L404*0.5/60</f>
        <v>0</v>
      </c>
      <c r="AH404" s="83"/>
      <c r="AI404" s="132">
        <f t="shared" ref="AI404:AI407" si="726">AL404*L404/60</f>
        <v>3</v>
      </c>
      <c r="AJ404" s="70">
        <f t="shared" ref="AJ404" si="727">(H404*4*AK404)*2*L404/1000</f>
        <v>7.2</v>
      </c>
      <c r="AK404" s="50">
        <f>(VLOOKUP(F404,[2]Koostamine!$A$12:$P$1612,7,FALSE))</f>
        <v>1</v>
      </c>
      <c r="AL404" s="69">
        <f>VLOOKUP(F404,[2]Koostamine!$A$12:$P$1612,IF(J404&lt;1499,11,IF(J404&lt;2999,12,IF(J404&lt;5999,13,IF(J404&lt;9999,14,IF(J404&lt;12999,15,IF(J404&gt;13000,16)))))),FALSE)</f>
        <v>30</v>
      </c>
      <c r="AP404" s="146">
        <f>(VLOOKUP(F404,Terasehind!$A$2:$B$171,2,FALSE))</f>
        <v>0.92</v>
      </c>
      <c r="AQ404" s="50">
        <f>(VLOOKUP(F404,Terasehind!$A$2:$C$171,3,FALSE))</f>
        <v>1.1000000000000001</v>
      </c>
      <c r="AR404" s="138">
        <f t="shared" ref="AR404:AR407" si="728">AP404*AQ404*B404</f>
        <v>1306.6640400000003</v>
      </c>
      <c r="AT404" s="62"/>
      <c r="AU404" s="62"/>
      <c r="AV404" s="62"/>
      <c r="AW404" s="62"/>
      <c r="AX404" s="62"/>
      <c r="AY404" s="62"/>
      <c r="AZ404"/>
      <c r="BA404" s="188">
        <f>(H404*4)*2*2/60/1000*L404</f>
        <v>0.24</v>
      </c>
      <c r="BB404" s="189"/>
      <c r="BC404" s="57"/>
      <c r="BD404" s="57"/>
      <c r="BE404" s="57"/>
      <c r="BF404" s="57"/>
      <c r="BG404" s="57"/>
      <c r="BH404" s="57"/>
      <c r="BI404" s="57"/>
      <c r="BJ404" s="60"/>
      <c r="BK404" s="57"/>
      <c r="BL404" s="60"/>
      <c r="BM404" s="83"/>
      <c r="BO404" s="109"/>
    </row>
    <row r="405" spans="1:69" s="50" customFormat="1" x14ac:dyDescent="0.25">
      <c r="A405" s="116">
        <f t="shared" ref="A405:A407" si="729">H405*J405*(RIGHT(F405,2))*7.85/(10^6)</f>
        <v>0.88312500000000005</v>
      </c>
      <c r="B405" s="116">
        <f t="shared" ref="B405:B407" si="730">A405*L405</f>
        <v>10.5975</v>
      </c>
      <c r="C405" s="118" t="s">
        <v>80</v>
      </c>
      <c r="D405" s="117" t="s">
        <v>81</v>
      </c>
      <c r="E405" s="117"/>
      <c r="F405" s="355" t="s">
        <v>324</v>
      </c>
      <c r="G405" s="117" t="s">
        <v>83</v>
      </c>
      <c r="H405" s="119">
        <v>150</v>
      </c>
      <c r="I405" s="118" t="s">
        <v>77</v>
      </c>
      <c r="J405" s="119">
        <f>H404</f>
        <v>150</v>
      </c>
      <c r="K405" s="119">
        <v>2</v>
      </c>
      <c r="L405" s="119">
        <f>K$405*L$403</f>
        <v>12</v>
      </c>
      <c r="M405" s="116">
        <f t="shared" ref="M405:M407" si="731">2*H405*J405/10^6*L405</f>
        <v>0.54</v>
      </c>
      <c r="N405" s="118" t="s">
        <v>84</v>
      </c>
      <c r="P405" s="118"/>
      <c r="Q405" s="135"/>
      <c r="R405" s="118"/>
      <c r="S405" s="118"/>
      <c r="T405" s="118"/>
      <c r="U405" s="118"/>
      <c r="V405" s="118"/>
      <c r="W405" s="118"/>
      <c r="X405" s="118"/>
      <c r="Y405" s="118"/>
      <c r="Z405" s="118"/>
      <c r="AA405" s="118"/>
      <c r="AB405" s="118" t="s">
        <v>78</v>
      </c>
      <c r="AC405" s="136">
        <f>((((H405+J405)*2/1000)*L405*(5/(VLOOKUP(F405,[2]Plasmalõikus!$A$7:$E$46,2,FALSE)/1000*60)))+(Q405*L405*(5*(VLOOKUP(F405,[2]Plasmalõikus!$A$7:$E$48,3,FALSE))/60/60)))</f>
        <v>0.16666666666666663</v>
      </c>
      <c r="AD405" s="353" t="str">
        <f t="shared" ref="AD405" si="732">IF(C405="WQ",0.012*((H405+J405)*2/1000*L405),IF(OR(VALUE(MID(F405,6,10))&gt;=20,H405&gt;300,J405&gt;300),0.012*((H405+J405)*2/1000*L405)," "))</f>
        <v xml:space="preserve"> </v>
      </c>
      <c r="AE405" s="136"/>
      <c r="AF405" s="137"/>
      <c r="AG405" s="137">
        <f t="shared" ref="AG405:AG407" si="733">IF(VALUE(MID(F405,SEARCH(" ",F405)+1,LEN(F405)))&lt;35,0,IF(VALUE(MID(F405,SEARCH(" ",F405)+1,LEN(F405)))&lt;40,3,IF(VALUE(MID(F405,SEARCH(" ",F405)+1,LEN(F405)))&lt;50,4,IF(VALUE(MID(F405,SEARCH(" ",F405)+1,LEN(F405)))&lt;60,5,IF(VALUE(MID(F405,SEARCH(" ",F405)+1,LEN(F405)))&lt;70,6,IF(VALUE(MID(F405,SEARCH(" ",F405)+1,LEN(F405)))&lt;80,7,IF(VALUE(MID(F405,SEARCH(" ",F405)+1,LEN(F405)))&lt;90,8,IF(VALUE(MID(F405,SEARCH(" ",F405)+1,LEN(F405)))&lt;100,9,10))))))))/60*Q405*L405</f>
        <v>0</v>
      </c>
      <c r="AH405" s="136"/>
      <c r="AI405" s="132">
        <f t="shared" si="726"/>
        <v>0.4</v>
      </c>
      <c r="AJ405" s="70"/>
      <c r="AK405" s="50">
        <v>2</v>
      </c>
      <c r="AL405" s="69" t="str">
        <f t="shared" ref="AL405:AL407" si="734">IF(AND(Q405&gt;0,A405&lt;3),"10",IF(AND(Q405&gt;0,A405&lt;10),"15",IF(AND(Q405&gt;0,A405&lt;20),"20",IF(AND(Q405&gt;0,A405&lt;500),"30",IF(AND(Q405=0,A405&lt;3),"2",IF(AND(Q405=0,A405&lt;10),"5",IF(AND(Q405=0,A405&lt;20),"10",IF(AND(Q405=0,A405&lt;500),"20","2"))))))))</f>
        <v>2</v>
      </c>
      <c r="AN405" s="66"/>
      <c r="AP405" s="146">
        <f>(VLOOKUP(F405,Terasehind!$A$2:$B$171,2,FALSE))</f>
        <v>0.92</v>
      </c>
      <c r="AQ405" s="50">
        <f>(VLOOKUP(F405,Terasehind!$A$2:$C$171,3,FALSE))</f>
        <v>1.1000000000000001</v>
      </c>
      <c r="AR405" s="138">
        <f t="shared" si="728"/>
        <v>10.724670000000003</v>
      </c>
      <c r="AS405"/>
      <c r="AT405"/>
      <c r="AU405"/>
      <c r="AV405"/>
      <c r="AW405"/>
      <c r="AX405"/>
      <c r="AY405"/>
      <c r="AZ405"/>
      <c r="BA405" s="188">
        <f t="shared" ref="BA405:BA406" si="735">(H405*2+J405*2)*2*2/60/1000*L405</f>
        <v>0.48</v>
      </c>
      <c r="BB405" s="189"/>
      <c r="BC405" s="57"/>
      <c r="BD405" s="57"/>
      <c r="BE405" s="57"/>
      <c r="BF405" s="57"/>
      <c r="BG405" s="57"/>
      <c r="BH405" s="57"/>
      <c r="BI405" s="57"/>
      <c r="BJ405" s="57"/>
      <c r="BK405" s="109"/>
      <c r="BL405" s="109"/>
      <c r="BM405" s="109"/>
      <c r="BN405" s="83"/>
      <c r="BP405" s="83"/>
      <c r="BQ405" s="83"/>
    </row>
    <row r="406" spans="1:69" s="50" customFormat="1" x14ac:dyDescent="0.25">
      <c r="A406" s="116">
        <f t="shared" si="729"/>
        <v>5.3693999999999997</v>
      </c>
      <c r="B406" s="116">
        <f t="shared" si="730"/>
        <v>64.4328</v>
      </c>
      <c r="C406" s="118"/>
      <c r="D406" s="117" t="s">
        <v>85</v>
      </c>
      <c r="E406" s="117"/>
      <c r="F406" s="355" t="s">
        <v>339</v>
      </c>
      <c r="G406" s="117" t="s">
        <v>83</v>
      </c>
      <c r="H406" s="119">
        <v>190</v>
      </c>
      <c r="I406" s="118" t="s">
        <v>77</v>
      </c>
      <c r="J406" s="119">
        <v>300</v>
      </c>
      <c r="K406" s="119">
        <v>2</v>
      </c>
      <c r="L406" s="119">
        <f>K$406*L$403</f>
        <v>12</v>
      </c>
      <c r="M406" s="116">
        <f t="shared" si="731"/>
        <v>1.3680000000000001</v>
      </c>
      <c r="N406" s="118" t="s">
        <v>84</v>
      </c>
      <c r="P406" s="118"/>
      <c r="Q406" s="135">
        <v>4</v>
      </c>
      <c r="R406" s="118"/>
      <c r="S406" s="118"/>
      <c r="T406" s="118"/>
      <c r="U406" s="118"/>
      <c r="V406" s="118"/>
      <c r="W406" s="118"/>
      <c r="X406" s="118"/>
      <c r="Y406" s="118"/>
      <c r="Z406" s="118"/>
      <c r="AA406" s="118"/>
      <c r="AB406" s="118" t="s">
        <v>78</v>
      </c>
      <c r="AC406" s="136">
        <f>((((H406+J406)*2/1000)*L406*(5/(VLOOKUP(F406,[2]Plasmalõikus!$A$7:$E$46,2,FALSE)/1000*60)))+(Q406*L406*(5*(VLOOKUP(F406,[2]Plasmalõikus!$A$7:$E$48,3,FALSE))/60/60)))</f>
        <v>1.0566666666666666</v>
      </c>
      <c r="AD406" s="353"/>
      <c r="AE406" s="136"/>
      <c r="AF406" s="137"/>
      <c r="AG406" s="137">
        <f t="shared" si="733"/>
        <v>0</v>
      </c>
      <c r="AH406" s="136"/>
      <c r="AI406" s="132">
        <f t="shared" si="726"/>
        <v>3</v>
      </c>
      <c r="AJ406" s="70">
        <f>(H406*3*AK406)*2*L406/1000</f>
        <v>27.36</v>
      </c>
      <c r="AK406" s="50">
        <v>2</v>
      </c>
      <c r="AL406" s="69" t="str">
        <f t="shared" si="734"/>
        <v>15</v>
      </c>
      <c r="AN406" s="66"/>
      <c r="AP406" s="146">
        <f>(VLOOKUP(F406,Terasehind!$A$2:$B$171,2,FALSE))</f>
        <v>0.92</v>
      </c>
      <c r="AQ406" s="50">
        <f>(VLOOKUP(F406,Terasehind!$A$2:$C$171,3,FALSE))</f>
        <v>1.1000000000000001</v>
      </c>
      <c r="AR406" s="138">
        <f t="shared" si="728"/>
        <v>65.205993600000014</v>
      </c>
      <c r="AS406"/>
      <c r="AT406"/>
      <c r="AU406"/>
      <c r="AV406"/>
      <c r="AW406"/>
      <c r="AX406"/>
      <c r="AY406"/>
      <c r="AZ406"/>
      <c r="BA406" s="188">
        <f t="shared" si="735"/>
        <v>0.78399999999999992</v>
      </c>
      <c r="BB406" s="189"/>
      <c r="BC406" s="57"/>
      <c r="BD406" s="57"/>
      <c r="BE406" s="57"/>
      <c r="BF406" s="57"/>
      <c r="BG406" s="57"/>
      <c r="BH406" s="57"/>
      <c r="BI406" s="57"/>
      <c r="BJ406" s="57"/>
      <c r="BK406" s="109"/>
      <c r="BL406" s="109"/>
      <c r="BM406" s="109"/>
      <c r="BN406" s="83"/>
      <c r="BP406" s="83"/>
      <c r="BQ406" s="83"/>
    </row>
    <row r="407" spans="1:69" s="50" customFormat="1" x14ac:dyDescent="0.25">
      <c r="A407" s="116">
        <f t="shared" si="729"/>
        <v>2.2608000000000001</v>
      </c>
      <c r="B407" s="116">
        <f t="shared" si="730"/>
        <v>13.564800000000002</v>
      </c>
      <c r="C407" s="118" t="s">
        <v>489</v>
      </c>
      <c r="D407" s="117" t="s">
        <v>88</v>
      </c>
      <c r="E407" s="117"/>
      <c r="F407" s="355" t="s">
        <v>87</v>
      </c>
      <c r="G407" s="117" t="s">
        <v>83</v>
      </c>
      <c r="H407" s="119">
        <v>120</v>
      </c>
      <c r="I407" s="118" t="s">
        <v>77</v>
      </c>
      <c r="J407" s="119">
        <v>160</v>
      </c>
      <c r="K407" s="119">
        <v>1</v>
      </c>
      <c r="L407" s="119">
        <f>K$407*L$403</f>
        <v>6</v>
      </c>
      <c r="M407" s="116">
        <f t="shared" si="731"/>
        <v>0.23039999999999999</v>
      </c>
      <c r="N407" s="118" t="s">
        <v>84</v>
      </c>
      <c r="P407" s="118"/>
      <c r="Q407" s="135">
        <v>2</v>
      </c>
      <c r="R407" s="118"/>
      <c r="S407" s="118"/>
      <c r="T407" s="118"/>
      <c r="U407" s="118"/>
      <c r="V407" s="118"/>
      <c r="W407" s="118"/>
      <c r="X407" s="118"/>
      <c r="Y407" s="118"/>
      <c r="Z407" s="118"/>
      <c r="AA407" s="118"/>
      <c r="AB407" s="118" t="s">
        <v>78</v>
      </c>
      <c r="AC407" s="136">
        <f>((((H407+J407)*2/1000)*L407*(5/(VLOOKUP(F407,[2]Plasmalõikus!$A$7:$E$46,2,FALSE)/1000*60)))+(Q407*L407*(5*(VLOOKUP(F407,[2]Plasmalõikus!$A$7:$E$48,3,FALSE))/60/60)))</f>
        <v>0.30555555555555558</v>
      </c>
      <c r="AD407" s="353" t="str">
        <f t="shared" ref="AD407" si="736">IF(C407="WQ",0.012*((H407+J407)*2/1000*L407),IF(OR(VALUE(MID(F407,6,10))&gt;=20,H407&gt;300,J407&gt;300),0.012*((H407+J407)*2/1000*L407)," "))</f>
        <v xml:space="preserve"> </v>
      </c>
      <c r="AE407" s="136"/>
      <c r="AF407" s="137"/>
      <c r="AG407" s="137">
        <f t="shared" si="733"/>
        <v>0</v>
      </c>
      <c r="AH407" s="136"/>
      <c r="AI407" s="132">
        <f t="shared" si="726"/>
        <v>1</v>
      </c>
      <c r="AJ407" s="70">
        <f>(J407*2*AK407+100*2*AK407)*L407/1000</f>
        <v>3.12</v>
      </c>
      <c r="AK407" s="50">
        <v>1</v>
      </c>
      <c r="AL407" s="69" t="str">
        <f t="shared" si="734"/>
        <v>10</v>
      </c>
      <c r="AN407" s="66"/>
      <c r="AP407" s="146">
        <f>(VLOOKUP(F407,Terasehind!$A$2:$B$171,2,FALSE))</f>
        <v>0.92</v>
      </c>
      <c r="AQ407" s="50">
        <f>(VLOOKUP(F407,Terasehind!$A$2:$C$171,3,FALSE))</f>
        <v>1.1000000000000001</v>
      </c>
      <c r="AR407" s="138">
        <f t="shared" si="728"/>
        <v>13.727577600000005</v>
      </c>
      <c r="AS407"/>
      <c r="AT407"/>
      <c r="AU407"/>
      <c r="AV407"/>
      <c r="AW407"/>
      <c r="AX407"/>
      <c r="AY407"/>
      <c r="AZ407"/>
      <c r="BA407" s="192"/>
      <c r="BB407" s="189"/>
      <c r="BC407" s="57"/>
      <c r="BD407" s="57"/>
      <c r="BE407" s="57"/>
      <c r="BF407" s="57"/>
      <c r="BG407" s="57"/>
      <c r="BH407" s="57"/>
      <c r="BI407" s="57"/>
      <c r="BJ407" s="57"/>
      <c r="BK407" s="109"/>
      <c r="BL407" s="109"/>
      <c r="BM407" s="109"/>
      <c r="BN407" s="83"/>
      <c r="BP407" s="83"/>
      <c r="BQ407" s="83"/>
    </row>
    <row r="408" spans="1:69" s="50" customFormat="1" x14ac:dyDescent="0.25">
      <c r="A408" s="116"/>
      <c r="B408" s="116"/>
      <c r="C408" s="118"/>
      <c r="D408" s="117"/>
      <c r="E408" s="117"/>
      <c r="F408" s="269"/>
      <c r="G408" s="117"/>
      <c r="H408" s="119"/>
      <c r="I408" s="118"/>
      <c r="J408" s="119"/>
      <c r="K408" s="119"/>
      <c r="L408" s="119"/>
      <c r="M408" s="119"/>
      <c r="N408" s="119"/>
      <c r="O408" s="119"/>
      <c r="P408" s="119"/>
      <c r="Q408" s="119"/>
      <c r="R408" s="118"/>
      <c r="S408" s="118"/>
      <c r="T408" s="118"/>
      <c r="U408" s="118"/>
      <c r="V408" s="118"/>
      <c r="W408" s="118"/>
      <c r="X408" s="118"/>
      <c r="Y408" s="118"/>
      <c r="Z408" s="118"/>
      <c r="AA408" s="118"/>
      <c r="AB408" s="118"/>
      <c r="AC408" s="136"/>
      <c r="AD408" s="136"/>
      <c r="AE408" s="136"/>
      <c r="AF408" s="136"/>
      <c r="AG408" s="136"/>
      <c r="AH408" s="136"/>
      <c r="AI408" s="132"/>
      <c r="AJ408" s="60"/>
      <c r="AN408" s="66"/>
      <c r="AP408" s="146"/>
      <c r="AR408" s="138"/>
      <c r="AT408" s="62"/>
      <c r="AU408" s="62"/>
      <c r="AV408" s="62"/>
      <c r="AW408" s="62"/>
      <c r="AX408" s="62"/>
      <c r="AY408" s="62"/>
      <c r="AZ408"/>
      <c r="BA408" s="192"/>
      <c r="BB408" s="188"/>
      <c r="BC408" s="57"/>
      <c r="BD408" s="57"/>
      <c r="BE408" s="57"/>
      <c r="BF408" s="57"/>
      <c r="BG408" s="57"/>
      <c r="BH408" s="57"/>
      <c r="BI408" s="57"/>
      <c r="BJ408" s="109"/>
      <c r="BK408" s="109"/>
      <c r="BL408" s="109"/>
      <c r="BM408" s="83"/>
      <c r="BO408" s="83"/>
      <c r="BP408" s="83"/>
    </row>
    <row r="409" spans="1:69" s="50" customFormat="1" x14ac:dyDescent="0.25">
      <c r="A409" s="148">
        <f>B409/L409</f>
        <v>301.89335</v>
      </c>
      <c r="B409" s="148">
        <f>SUM(B413,B412,B411,B410,0)</f>
        <v>905.68004999999994</v>
      </c>
      <c r="C409" s="152"/>
      <c r="D409" s="149" t="s">
        <v>76</v>
      </c>
      <c r="E409" s="149"/>
      <c r="F409" s="365" t="s">
        <v>378</v>
      </c>
      <c r="G409" s="174" t="str">
        <f>$G$163</f>
        <v>C3VH</v>
      </c>
      <c r="H409" s="150"/>
      <c r="I409" s="151" t="s">
        <v>77</v>
      </c>
      <c r="J409" s="150">
        <f>J410</f>
        <v>9500</v>
      </c>
      <c r="K409" s="134">
        <v>3</v>
      </c>
      <c r="L409" s="150">
        <f>$L$379*$K$409</f>
        <v>3</v>
      </c>
      <c r="M409" s="148">
        <f>SUM(M413,M412,M411,M410,0)</f>
        <v>23.564700000000002</v>
      </c>
      <c r="N409" s="151"/>
      <c r="O409" s="151"/>
      <c r="P409" s="151"/>
      <c r="Q409" s="151"/>
      <c r="R409" s="120"/>
      <c r="S409" s="120"/>
      <c r="T409" s="120"/>
      <c r="U409" s="120"/>
      <c r="V409" s="120"/>
      <c r="W409" s="118"/>
      <c r="X409" s="118" t="s">
        <v>78</v>
      </c>
      <c r="Y409" s="151">
        <v>4</v>
      </c>
      <c r="Z409" s="151"/>
      <c r="AA409" s="151"/>
      <c r="AB409" s="151"/>
      <c r="AC409" s="148">
        <f>SUM(AC413,AC412,AC411,AC410,0)</f>
        <v>0.79222222222222227</v>
      </c>
      <c r="AD409" s="148">
        <f>SUM(AD413,AD412,AD411,AD410,0)</f>
        <v>0</v>
      </c>
      <c r="AE409" s="148">
        <f>SUM(AE413,AE412,AE411,AE410,0)</f>
        <v>1.25</v>
      </c>
      <c r="AF409" s="148">
        <f>SUM(AF413,AF412,AF411,AF410,0)</f>
        <v>0</v>
      </c>
      <c r="AG409" s="148">
        <f>SUM(AG413,AG412,AG411,AG410,0)</f>
        <v>0</v>
      </c>
      <c r="AH409" s="107">
        <f>SUM(AC409:AG409)</f>
        <v>2.0422222222222222</v>
      </c>
      <c r="AI409" s="107">
        <f>SUM(AI413,AI412,AI411,AI410,0)</f>
        <v>3.7</v>
      </c>
      <c r="AJ409" s="148">
        <f>SUM(AJ413,AJ412,AJ411,AJ410,0)</f>
        <v>27.240000000000002</v>
      </c>
      <c r="AK409" s="107">
        <f>AJ409*10/60</f>
        <v>4.5400000000000009</v>
      </c>
      <c r="AL409" s="148">
        <f>AH409+AI409+AK409</f>
        <v>10.282222222222224</v>
      </c>
      <c r="AM409" s="148">
        <f>B409/AL409</f>
        <v>88.082131510698062</v>
      </c>
      <c r="AN409" s="148">
        <f>AL409*46</f>
        <v>472.98222222222228</v>
      </c>
      <c r="AO409" s="148">
        <f>AN409/B409</f>
        <v>0.52223985967475195</v>
      </c>
      <c r="AP409" s="148">
        <f>AR409/B409</f>
        <v>1.0328381536062321</v>
      </c>
      <c r="AQ409" s="67"/>
      <c r="AR409" s="148">
        <f>SUM(AR413,AR412,AR411,AR410,0)</f>
        <v>935.42091059999996</v>
      </c>
      <c r="AT409" s="62"/>
      <c r="AU409" s="62"/>
      <c r="AV409" s="62"/>
      <c r="AW409" s="62"/>
      <c r="AX409" s="62"/>
      <c r="AY409" s="62"/>
      <c r="AZ409"/>
      <c r="BA409" s="148">
        <f>SUM(BA413,BA412,BA411,BA410,0)</f>
        <v>0.91199999999999992</v>
      </c>
      <c r="BB409" s="188"/>
      <c r="BC409" s="57"/>
      <c r="BD409" s="57"/>
      <c r="BE409" s="57"/>
      <c r="BF409" s="57"/>
      <c r="BG409" s="57"/>
      <c r="BH409" s="57"/>
      <c r="BI409" s="60"/>
    </row>
    <row r="410" spans="1:69" s="50" customFormat="1" x14ac:dyDescent="0.25">
      <c r="A410" s="116">
        <f xml:space="preserve"> 30.1*J410/10^3</f>
        <v>285.95</v>
      </c>
      <c r="B410" s="116">
        <f>A410*L410</f>
        <v>857.84999999999991</v>
      </c>
      <c r="C410" s="299"/>
      <c r="D410" s="117" t="s">
        <v>76</v>
      </c>
      <c r="E410" s="117"/>
      <c r="F410" s="355" t="s">
        <v>486</v>
      </c>
      <c r="G410" s="140" t="s">
        <v>79</v>
      </c>
      <c r="H410" s="119">
        <v>250</v>
      </c>
      <c r="I410" s="118" t="s">
        <v>77</v>
      </c>
      <c r="J410" s="119">
        <v>9500</v>
      </c>
      <c r="K410" s="50">
        <v>1</v>
      </c>
      <c r="L410" s="119">
        <f>K$410*L$409</f>
        <v>3</v>
      </c>
      <c r="M410" s="131">
        <f xml:space="preserve"> 0.783*J410*L410/10^3</f>
        <v>22.3155</v>
      </c>
      <c r="N410" s="118"/>
      <c r="O410" s="118"/>
      <c r="P410" s="118" t="s">
        <v>78</v>
      </c>
      <c r="Q410" s="135"/>
      <c r="R410" s="118"/>
      <c r="S410" s="118"/>
      <c r="T410" s="118"/>
      <c r="U410" s="118"/>
      <c r="V410" s="118"/>
      <c r="W410" s="118"/>
      <c r="Y410" s="118"/>
      <c r="Z410" s="118"/>
      <c r="AA410" s="118"/>
      <c r="AB410" s="118" t="s">
        <v>78</v>
      </c>
      <c r="AC410" s="116"/>
      <c r="AD410" s="83"/>
      <c r="AE410" s="136">
        <f>(H410/20/60)*2*L410</f>
        <v>1.25</v>
      </c>
      <c r="AF410" s="137"/>
      <c r="AG410" s="132">
        <f>Q410*L410*0.5/60</f>
        <v>0</v>
      </c>
      <c r="AH410" s="83"/>
      <c r="AI410" s="132">
        <f>AL410*L410/60</f>
        <v>1.5</v>
      </c>
      <c r="AJ410" s="70">
        <f>(H410*4*AK410)*2*L410/1000</f>
        <v>12</v>
      </c>
      <c r="AK410" s="50">
        <f>(VLOOKUP(F410,[2]Koostamine!$A$12:$P$1612,7,FALSE))</f>
        <v>2</v>
      </c>
      <c r="AL410" s="69">
        <f>VLOOKUP(F410,[2]Koostamine!$A$12:$P$1612,IF(J410&lt;1499,11,IF(J410&lt;2999,12,IF(J410&lt;5999,13,IF(J410&lt;9999,14,IF(J410&lt;12999,15,IF(J410&gt;13000,16)))))),FALSE)</f>
        <v>30</v>
      </c>
      <c r="AP410" s="146">
        <f>(VLOOKUP(F410,Terasehind!$A$2:$B$171,2,FALSE))</f>
        <v>0.94</v>
      </c>
      <c r="AQ410" s="50">
        <f>(VLOOKUP(F410,Terasehind!$A$2:$C$171,3,FALSE))</f>
        <v>1.1000000000000001</v>
      </c>
      <c r="AR410" s="138">
        <f>AP410*AQ410*B410</f>
        <v>887.01689999999996</v>
      </c>
      <c r="AT410" s="62"/>
      <c r="AU410" s="62"/>
      <c r="AV410" s="62"/>
      <c r="AW410" s="62"/>
      <c r="AX410" s="62"/>
      <c r="AY410" s="62"/>
      <c r="AZ410"/>
      <c r="BA410" s="188">
        <f>(H410*4)*2*2/60/1000*L410</f>
        <v>0.2</v>
      </c>
      <c r="BB410" s="189"/>
      <c r="BC410" s="57"/>
      <c r="BD410" s="57"/>
      <c r="BE410" s="57"/>
      <c r="BF410" s="57"/>
      <c r="BG410" s="57"/>
      <c r="BH410" s="57"/>
      <c r="BI410" s="57"/>
      <c r="BJ410" s="60"/>
      <c r="BK410" s="57"/>
      <c r="BL410" s="60"/>
      <c r="BM410" s="83"/>
      <c r="BO410" s="109"/>
    </row>
    <row r="411" spans="1:69" s="50" customFormat="1" x14ac:dyDescent="0.25">
      <c r="A411" s="116">
        <f t="shared" ref="A411:A413" si="737">H411*J411*(RIGHT(F411,2))*7.85/(10^6)</f>
        <v>1.471875</v>
      </c>
      <c r="B411" s="116">
        <f t="shared" ref="B411:B413" si="738">A411*L411</f>
        <v>8.8312500000000007</v>
      </c>
      <c r="C411" s="118" t="s">
        <v>80</v>
      </c>
      <c r="D411" s="117" t="s">
        <v>81</v>
      </c>
      <c r="E411" s="117"/>
      <c r="F411" s="355" t="s">
        <v>324</v>
      </c>
      <c r="G411" s="117" t="s">
        <v>83</v>
      </c>
      <c r="H411" s="119">
        <v>150</v>
      </c>
      <c r="I411" s="118" t="s">
        <v>77</v>
      </c>
      <c r="J411" s="119">
        <v>250</v>
      </c>
      <c r="K411" s="119">
        <v>2</v>
      </c>
      <c r="L411" s="119">
        <f>K$411*L$409</f>
        <v>6</v>
      </c>
      <c r="M411" s="116">
        <f t="shared" ref="M411:M413" si="739">2*H411*J411/10^6*L411</f>
        <v>0.44999999999999996</v>
      </c>
      <c r="N411" s="118" t="s">
        <v>84</v>
      </c>
      <c r="P411" s="118"/>
      <c r="Q411" s="135"/>
      <c r="R411" s="118"/>
      <c r="S411" s="118"/>
      <c r="T411" s="118"/>
      <c r="U411" s="118"/>
      <c r="V411" s="118"/>
      <c r="W411" s="118"/>
      <c r="X411" s="118"/>
      <c r="Y411" s="118"/>
      <c r="Z411" s="118"/>
      <c r="AA411" s="118"/>
      <c r="AB411" s="118" t="s">
        <v>78</v>
      </c>
      <c r="AC411" s="136">
        <f>((((H411+J411)*2/1000)*L411*(5/(VLOOKUP(F411,[2]Plasmalõikus!$A$7:$E$46,2,FALSE)/1000*60)))+(Q411*L411*(5*(VLOOKUP(F411,[2]Plasmalõikus!$A$7:$E$48,3,FALSE))/60/60)))</f>
        <v>0.11111111111111112</v>
      </c>
      <c r="AD411" s="353" t="str">
        <f t="shared" ref="AD411" si="740">IF(C411="WQ",0.012*((H411+J411)*2/1000*L411),IF(OR(VALUE(MID(F411,6,10))&gt;=20,H411&gt;300,J411&gt;300),0.012*((H411+J411)*2/1000*L411)," "))</f>
        <v xml:space="preserve"> </v>
      </c>
      <c r="AE411" s="136"/>
      <c r="AF411" s="137"/>
      <c r="AG411" s="137">
        <f t="shared" ref="AG411:AG413" si="741">IF(VALUE(MID(F411,SEARCH(" ",F411)+1,LEN(F411)))&lt;35,0,IF(VALUE(MID(F411,SEARCH(" ",F411)+1,LEN(F411)))&lt;40,3,IF(VALUE(MID(F411,SEARCH(" ",F411)+1,LEN(F411)))&lt;50,4,IF(VALUE(MID(F411,SEARCH(" ",F411)+1,LEN(F411)))&lt;60,5,IF(VALUE(MID(F411,SEARCH(" ",F411)+1,LEN(F411)))&lt;70,6,IF(VALUE(MID(F411,SEARCH(" ",F411)+1,LEN(F411)))&lt;80,7,IF(VALUE(MID(F411,SEARCH(" ",F411)+1,LEN(F411)))&lt;90,8,IF(VALUE(MID(F411,SEARCH(" ",F411)+1,LEN(F411)))&lt;100,9,10))))))))/60*Q411*L411</f>
        <v>0</v>
      </c>
      <c r="AH411" s="136"/>
      <c r="AI411" s="132">
        <f t="shared" ref="AI411:AI413" si="742">AL411*L411/60</f>
        <v>0.2</v>
      </c>
      <c r="AJ411" s="70"/>
      <c r="AK411" s="50">
        <v>2</v>
      </c>
      <c r="AL411" s="69" t="str">
        <f t="shared" ref="AL411:AL413" si="743">IF(AND(Q411&gt;0,A411&lt;3),"10",IF(AND(Q411&gt;0,A411&lt;10),"15",IF(AND(Q411&gt;0,A411&lt;20),"20",IF(AND(Q411&gt;0,A411&lt;500),"30",IF(AND(Q411=0,A411&lt;3),"2",IF(AND(Q411=0,A411&lt;10),"5",IF(AND(Q411=0,A411&lt;20),"10",IF(AND(Q411=0,A411&lt;500),"20","2"))))))))</f>
        <v>2</v>
      </c>
      <c r="AN411" s="66"/>
      <c r="AP411" s="146">
        <f>(VLOOKUP(F411,Terasehind!$A$2:$B$171,2,FALSE))</f>
        <v>0.92</v>
      </c>
      <c r="AQ411" s="50">
        <f>(VLOOKUP(F411,Terasehind!$A$2:$C$171,3,FALSE))</f>
        <v>1.1000000000000001</v>
      </c>
      <c r="AR411" s="138">
        <f t="shared" ref="AR411:AR413" si="744">AP411*AQ411*B411</f>
        <v>8.9372250000000033</v>
      </c>
      <c r="AS411"/>
      <c r="AT411"/>
      <c r="AU411"/>
      <c r="AV411"/>
      <c r="AW411"/>
      <c r="AX411"/>
      <c r="AY411"/>
      <c r="AZ411"/>
      <c r="BA411" s="188">
        <f t="shared" ref="BA411:BA412" si="745">(H411*2+J411*2)*2*2/60/1000*L411</f>
        <v>0.32</v>
      </c>
      <c r="BB411" s="189"/>
      <c r="BC411" s="57"/>
      <c r="BD411" s="57"/>
      <c r="BE411" s="57"/>
      <c r="BF411" s="57"/>
      <c r="BG411" s="57"/>
      <c r="BH411" s="57"/>
      <c r="BI411" s="57"/>
      <c r="BJ411" s="57"/>
      <c r="BK411" s="109"/>
      <c r="BL411" s="109"/>
      <c r="BM411" s="109"/>
      <c r="BN411" s="83"/>
      <c r="BP411" s="83"/>
      <c r="BQ411" s="83"/>
    </row>
    <row r="412" spans="1:69" s="50" customFormat="1" x14ac:dyDescent="0.25">
      <c r="A412" s="116">
        <f t="shared" si="737"/>
        <v>5.3693999999999997</v>
      </c>
      <c r="B412" s="116">
        <f t="shared" si="738"/>
        <v>32.2164</v>
      </c>
      <c r="C412" s="118"/>
      <c r="D412" s="117" t="s">
        <v>85</v>
      </c>
      <c r="E412" s="117"/>
      <c r="F412" s="355" t="s">
        <v>339</v>
      </c>
      <c r="G412" s="117" t="s">
        <v>83</v>
      </c>
      <c r="H412" s="119">
        <v>190</v>
      </c>
      <c r="I412" s="118" t="s">
        <v>77</v>
      </c>
      <c r="J412" s="119">
        <v>300</v>
      </c>
      <c r="K412" s="119">
        <v>2</v>
      </c>
      <c r="L412" s="119">
        <f>K$412*L$409</f>
        <v>6</v>
      </c>
      <c r="M412" s="116">
        <f t="shared" si="739"/>
        <v>0.68400000000000005</v>
      </c>
      <c r="N412" s="118" t="s">
        <v>84</v>
      </c>
      <c r="P412" s="118"/>
      <c r="Q412" s="135">
        <v>4</v>
      </c>
      <c r="R412" s="118"/>
      <c r="S412" s="118"/>
      <c r="T412" s="118"/>
      <c r="U412" s="118"/>
      <c r="V412" s="118"/>
      <c r="W412" s="118"/>
      <c r="X412" s="118"/>
      <c r="Y412" s="118"/>
      <c r="Z412" s="118"/>
      <c r="AA412" s="118"/>
      <c r="AB412" s="118" t="s">
        <v>78</v>
      </c>
      <c r="AC412" s="136">
        <f>((((H412+J412)*2/1000)*L412*(5/(VLOOKUP(F412,[2]Plasmalõikus!$A$7:$E$46,2,FALSE)/1000*60)))+(Q412*L412*(5*(VLOOKUP(F412,[2]Plasmalõikus!$A$7:$E$48,3,FALSE))/60/60)))</f>
        <v>0.52833333333333332</v>
      </c>
      <c r="AD412" s="353"/>
      <c r="AE412" s="136"/>
      <c r="AF412" s="137"/>
      <c r="AG412" s="137">
        <f t="shared" si="741"/>
        <v>0</v>
      </c>
      <c r="AH412" s="136"/>
      <c r="AI412" s="132">
        <f t="shared" si="742"/>
        <v>1.5</v>
      </c>
      <c r="AJ412" s="70">
        <f>(H412*3*AK412)*2*L412/1000</f>
        <v>13.68</v>
      </c>
      <c r="AK412" s="50">
        <v>2</v>
      </c>
      <c r="AL412" s="69" t="str">
        <f t="shared" si="743"/>
        <v>15</v>
      </c>
      <c r="AN412" s="66"/>
      <c r="AP412" s="146">
        <f>(VLOOKUP(F412,Terasehind!$A$2:$B$171,2,FALSE))</f>
        <v>0.92</v>
      </c>
      <c r="AQ412" s="50">
        <f>(VLOOKUP(F412,Terasehind!$A$2:$C$171,3,FALSE))</f>
        <v>1.1000000000000001</v>
      </c>
      <c r="AR412" s="138">
        <f t="shared" si="744"/>
        <v>32.602996800000007</v>
      </c>
      <c r="AS412"/>
      <c r="AT412"/>
      <c r="AU412"/>
      <c r="AV412"/>
      <c r="AW412"/>
      <c r="AX412"/>
      <c r="AY412"/>
      <c r="AZ412"/>
      <c r="BA412" s="188">
        <f t="shared" si="745"/>
        <v>0.39199999999999996</v>
      </c>
      <c r="BB412" s="189"/>
      <c r="BC412" s="57"/>
      <c r="BD412" s="57"/>
      <c r="BE412" s="57"/>
      <c r="BF412" s="57"/>
      <c r="BG412" s="57"/>
      <c r="BH412" s="57"/>
      <c r="BI412" s="57"/>
      <c r="BJ412" s="57"/>
      <c r="BK412" s="109"/>
      <c r="BL412" s="109"/>
      <c r="BM412" s="109"/>
      <c r="BN412" s="83"/>
      <c r="BP412" s="83"/>
      <c r="BQ412" s="83"/>
    </row>
    <row r="413" spans="1:69" s="50" customFormat="1" x14ac:dyDescent="0.25">
      <c r="A413" s="116">
        <f t="shared" si="737"/>
        <v>2.2608000000000001</v>
      </c>
      <c r="B413" s="116">
        <f t="shared" si="738"/>
        <v>6.7824000000000009</v>
      </c>
      <c r="C413" s="118" t="s">
        <v>489</v>
      </c>
      <c r="D413" s="117" t="s">
        <v>88</v>
      </c>
      <c r="E413" s="117"/>
      <c r="F413" s="355" t="s">
        <v>87</v>
      </c>
      <c r="G413" s="117" t="s">
        <v>83</v>
      </c>
      <c r="H413" s="119">
        <v>120</v>
      </c>
      <c r="I413" s="118" t="s">
        <v>77</v>
      </c>
      <c r="J413" s="119">
        <v>160</v>
      </c>
      <c r="K413" s="119">
        <v>1</v>
      </c>
      <c r="L413" s="119">
        <f>K$413*L$409</f>
        <v>3</v>
      </c>
      <c r="M413" s="116">
        <f t="shared" si="739"/>
        <v>0.1152</v>
      </c>
      <c r="N413" s="118" t="s">
        <v>84</v>
      </c>
      <c r="P413" s="118"/>
      <c r="Q413" s="135">
        <v>2</v>
      </c>
      <c r="R413" s="118"/>
      <c r="S413" s="118"/>
      <c r="T413" s="118"/>
      <c r="U413" s="118"/>
      <c r="V413" s="118"/>
      <c r="W413" s="118"/>
      <c r="X413" s="118"/>
      <c r="Y413" s="118"/>
      <c r="Z413" s="118"/>
      <c r="AA413" s="118"/>
      <c r="AB413" s="118" t="s">
        <v>78</v>
      </c>
      <c r="AC413" s="136">
        <f>((((H413+J413)*2/1000)*L413*(5/(VLOOKUP(F413,[2]Plasmalõikus!$A$7:$E$46,2,FALSE)/1000*60)))+(Q413*L413*(5*(VLOOKUP(F413,[2]Plasmalõikus!$A$7:$E$48,3,FALSE))/60/60)))</f>
        <v>0.15277777777777779</v>
      </c>
      <c r="AD413" s="353" t="str">
        <f t="shared" ref="AD413" si="746">IF(C413="WQ",0.012*((H413+J413)*2/1000*L413),IF(OR(VALUE(MID(F413,6,10))&gt;=20,H413&gt;300,J413&gt;300),0.012*((H413+J413)*2/1000*L413)," "))</f>
        <v xml:space="preserve"> </v>
      </c>
      <c r="AE413" s="136"/>
      <c r="AF413" s="137"/>
      <c r="AG413" s="137">
        <f t="shared" si="741"/>
        <v>0</v>
      </c>
      <c r="AH413" s="136"/>
      <c r="AI413" s="132">
        <f t="shared" si="742"/>
        <v>0.5</v>
      </c>
      <c r="AJ413" s="70">
        <f>(J413*2*AK413+100*2*AK413)*L413/1000</f>
        <v>1.56</v>
      </c>
      <c r="AK413" s="50">
        <v>1</v>
      </c>
      <c r="AL413" s="69" t="str">
        <f t="shared" si="743"/>
        <v>10</v>
      </c>
      <c r="AN413" s="66"/>
      <c r="AP413" s="146">
        <f>(VLOOKUP(F413,Terasehind!$A$2:$B$171,2,FALSE))</f>
        <v>0.92</v>
      </c>
      <c r="AQ413" s="50">
        <f>(VLOOKUP(F413,Terasehind!$A$2:$C$171,3,FALSE))</f>
        <v>1.1000000000000001</v>
      </c>
      <c r="AR413" s="138">
        <f t="shared" si="744"/>
        <v>6.8637888000000027</v>
      </c>
      <c r="AS413"/>
      <c r="AT413"/>
      <c r="AU413"/>
      <c r="AV413"/>
      <c r="AW413"/>
      <c r="AX413"/>
      <c r="AY413"/>
      <c r="AZ413"/>
      <c r="BA413" s="192"/>
      <c r="BB413" s="189"/>
      <c r="BC413" s="57"/>
      <c r="BD413" s="57"/>
      <c r="BE413" s="57"/>
      <c r="BF413" s="57"/>
      <c r="BG413" s="57"/>
      <c r="BH413" s="57"/>
      <c r="BI413" s="57"/>
      <c r="BJ413" s="57"/>
      <c r="BK413" s="109"/>
      <c r="BL413" s="109"/>
      <c r="BM413" s="109"/>
      <c r="BN413" s="83"/>
      <c r="BP413" s="83"/>
      <c r="BQ413" s="83"/>
    </row>
    <row r="414" spans="1:69" s="50" customFormat="1" x14ac:dyDescent="0.25">
      <c r="A414" s="116"/>
      <c r="B414" s="116"/>
      <c r="C414" s="118"/>
      <c r="D414" s="117"/>
      <c r="E414" s="117"/>
      <c r="F414" s="269"/>
      <c r="G414" s="117"/>
      <c r="H414" s="119"/>
      <c r="I414" s="118"/>
      <c r="J414" s="119"/>
      <c r="K414" s="119"/>
      <c r="L414" s="119"/>
      <c r="M414" s="119"/>
      <c r="N414" s="119"/>
      <c r="O414" s="119"/>
      <c r="P414" s="119"/>
      <c r="Q414" s="119"/>
      <c r="R414" s="118"/>
      <c r="S414" s="118"/>
      <c r="T414" s="118"/>
      <c r="U414" s="118"/>
      <c r="V414" s="118"/>
      <c r="W414" s="118"/>
      <c r="X414" s="118"/>
      <c r="Y414" s="118"/>
      <c r="Z414" s="118"/>
      <c r="AA414" s="118"/>
      <c r="AB414" s="118"/>
      <c r="AC414" s="136"/>
      <c r="AD414" s="136"/>
      <c r="AE414" s="136"/>
      <c r="AF414" s="136"/>
      <c r="AG414" s="136"/>
      <c r="AH414" s="136"/>
      <c r="AI414" s="132"/>
      <c r="AJ414" s="60"/>
      <c r="AN414" s="66"/>
      <c r="AP414" s="146"/>
      <c r="AR414" s="138"/>
      <c r="AT414" s="62"/>
      <c r="AU414" s="62"/>
      <c r="AV414" s="62"/>
      <c r="AW414" s="62"/>
      <c r="AX414" s="62"/>
      <c r="AY414" s="62"/>
      <c r="AZ414"/>
      <c r="BA414" s="192"/>
      <c r="BB414" s="188"/>
      <c r="BC414" s="57"/>
      <c r="BD414" s="57"/>
      <c r="BE414" s="57"/>
      <c r="BF414" s="57"/>
      <c r="BG414" s="57"/>
      <c r="BH414" s="57"/>
      <c r="BI414" s="57"/>
      <c r="BJ414" s="109"/>
      <c r="BK414" s="109"/>
      <c r="BL414" s="109"/>
      <c r="BM414" s="83"/>
      <c r="BO414" s="83"/>
      <c r="BP414" s="83"/>
    </row>
    <row r="415" spans="1:69" customFormat="1" ht="14.95" thickBot="1" x14ac:dyDescent="0.3">
      <c r="G415" s="140"/>
      <c r="AW415" s="117"/>
      <c r="AX415" s="117"/>
      <c r="AY415" s="117"/>
      <c r="AZ415" s="117"/>
    </row>
    <row r="416" spans="1:69" s="50" customFormat="1" ht="29.25" thickBot="1" x14ac:dyDescent="0.3">
      <c r="A416" s="153">
        <f>B416/L416</f>
        <v>755.01300000000003</v>
      </c>
      <c r="B416" s="153">
        <f>B$420</f>
        <v>755.01300000000003</v>
      </c>
      <c r="C416" s="154"/>
      <c r="D416" s="154" t="s">
        <v>76</v>
      </c>
      <c r="E416" s="154"/>
      <c r="F416" s="155" t="s">
        <v>490</v>
      </c>
      <c r="G416" s="351" t="s">
        <v>449</v>
      </c>
      <c r="H416" s="156">
        <v>150</v>
      </c>
      <c r="I416" s="157" t="s">
        <v>77</v>
      </c>
      <c r="J416" s="156">
        <v>7500</v>
      </c>
      <c r="K416" s="156">
        <v>1</v>
      </c>
      <c r="L416" s="156">
        <f>$L$11*$K$416</f>
        <v>1</v>
      </c>
      <c r="M416" s="153">
        <f>M$420</f>
        <v>64.12</v>
      </c>
      <c r="N416" s="157"/>
      <c r="O416" s="157"/>
      <c r="P416" s="157"/>
      <c r="Q416" s="157"/>
      <c r="R416" s="157"/>
      <c r="S416" s="157"/>
      <c r="T416" s="157"/>
      <c r="U416" s="157"/>
      <c r="V416" s="157"/>
      <c r="W416" s="157"/>
      <c r="X416" s="157"/>
      <c r="Y416" s="157">
        <v>3</v>
      </c>
      <c r="Z416" s="157"/>
      <c r="AA416" s="157"/>
      <c r="AB416" s="157"/>
      <c r="AC416" s="153">
        <f>AC$420</f>
        <v>4.4466666666666672</v>
      </c>
      <c r="AD416" s="153">
        <f>AD$420</f>
        <v>1.75488</v>
      </c>
      <c r="AE416" s="153">
        <f>AE$420</f>
        <v>0</v>
      </c>
      <c r="AF416" s="153">
        <f>AF$420</f>
        <v>0</v>
      </c>
      <c r="AG416" s="153">
        <f>AG$420</f>
        <v>6</v>
      </c>
      <c r="AH416" s="107">
        <f>SUM(AC416:AG416)</f>
        <v>12.201546666666667</v>
      </c>
      <c r="AI416" s="107">
        <f>AI$420</f>
        <v>9</v>
      </c>
      <c r="AJ416" s="153">
        <f>AJ$420</f>
        <v>0</v>
      </c>
      <c r="AK416" s="107">
        <f>AJ416*10/60</f>
        <v>0</v>
      </c>
      <c r="AL416" s="133">
        <f>AH416+AI416+AK416</f>
        <v>21.201546666666665</v>
      </c>
      <c r="AM416" s="173">
        <f>B416/AL416</f>
        <v>35.611222703249325</v>
      </c>
      <c r="AN416" s="158">
        <f>AL416*46</f>
        <v>975.2711466666666</v>
      </c>
      <c r="AO416" s="159">
        <f>AN416/B416</f>
        <v>1.2917276214670033</v>
      </c>
      <c r="AP416" s="159">
        <f>AR416/B416</f>
        <v>1.32</v>
      </c>
      <c r="AQ416" s="67"/>
      <c r="AR416" s="159">
        <f>AR$420</f>
        <v>996.61716000000001</v>
      </c>
      <c r="AS416" s="168">
        <f>$AU$2</f>
        <v>1.1000000000000001</v>
      </c>
      <c r="AT416" s="128">
        <f>HLOOKUP(G416,$AB$1:$AK$2,2,FALSE)</f>
        <v>20</v>
      </c>
      <c r="AU416" s="166">
        <f>IF(AND(G416="HDG"),B416*AT416,M416*AT416)</f>
        <v>1282.4000000000001</v>
      </c>
      <c r="AV416" s="68">
        <f>B416*pakendus</f>
        <v>22.650390000000002</v>
      </c>
      <c r="AW416" s="159">
        <f>(AN416+AU416+AV416)+AU415</f>
        <v>2280.3215366666664</v>
      </c>
      <c r="AX416" s="129">
        <f>$AV$2</f>
        <v>1.1000000000000001</v>
      </c>
      <c r="AY416" s="108">
        <f>(AR416*AS416)+(AW416*AX416)</f>
        <v>3604.6325663333337</v>
      </c>
      <c r="AZ416" s="130">
        <f>ROUND(AY416/B416,3)</f>
        <v>4.774</v>
      </c>
      <c r="BA416" s="159">
        <f>BA$409+BA$403+BA$391+BA$386</f>
        <v>6.06</v>
      </c>
      <c r="BB416" s="159">
        <f>B416/18000</f>
        <v>4.1945166666666665E-2</v>
      </c>
      <c r="BC416" s="57"/>
      <c r="BD416" s="57"/>
      <c r="BE416" s="57"/>
      <c r="BF416" s="57"/>
      <c r="BG416" s="57"/>
      <c r="BH416" s="57"/>
      <c r="BI416" s="83"/>
    </row>
    <row r="417" spans="1:69" s="50" customFormat="1" x14ac:dyDescent="0.25">
      <c r="A417" s="116"/>
      <c r="B417" s="160">
        <f>SUMIF(F430:F495,"leht*",B430:B495)</f>
        <v>5470.2473799999989</v>
      </c>
      <c r="C417" s="255">
        <f>B417/B416</f>
        <v>7.2452360158036999</v>
      </c>
      <c r="D417" s="161" t="s">
        <v>74</v>
      </c>
      <c r="E417" s="117"/>
      <c r="F417" s="118"/>
      <c r="G417" s="117"/>
      <c r="H417" s="119"/>
      <c r="I417" s="118"/>
      <c r="J417" s="119"/>
      <c r="K417" s="119"/>
      <c r="L417" s="119"/>
      <c r="M417" s="112"/>
      <c r="N417" s="118"/>
      <c r="O417" s="118"/>
      <c r="P417" s="118"/>
      <c r="Q417" s="118"/>
      <c r="R417" s="118"/>
      <c r="S417" s="118"/>
      <c r="T417" s="118"/>
      <c r="U417" s="118"/>
      <c r="V417" s="118"/>
      <c r="W417" s="118"/>
      <c r="X417" s="118"/>
      <c r="Y417" s="118"/>
      <c r="Z417" s="118"/>
      <c r="AA417" s="118"/>
      <c r="AB417" s="118"/>
      <c r="AD417" s="83"/>
      <c r="AE417" s="83"/>
      <c r="AF417" s="114"/>
      <c r="AG417" s="114"/>
      <c r="AH417" s="83"/>
      <c r="AI417" s="83"/>
      <c r="AJ417" s="83"/>
      <c r="AK417" s="83"/>
      <c r="AL417" s="83"/>
      <c r="AM417" s="60"/>
      <c r="AN417" s="66"/>
      <c r="AO417" s="61"/>
      <c r="AP417" s="62"/>
      <c r="AQ417" s="62"/>
      <c r="AT417" s="60"/>
      <c r="AU417" s="77"/>
      <c r="AV417" s="77"/>
      <c r="AW417" s="77"/>
      <c r="AX417" s="121"/>
      <c r="AY417" s="77"/>
      <c r="AZ417" s="77"/>
      <c r="BA417" s="192"/>
      <c r="BB417" s="188"/>
      <c r="BC417" s="57"/>
      <c r="BD417" s="57"/>
      <c r="BE417" s="131"/>
      <c r="BF417" s="57"/>
      <c r="BG417" s="57"/>
      <c r="BH417" s="57"/>
      <c r="BI417" s="57"/>
      <c r="BJ417" s="57"/>
      <c r="BK417" s="83"/>
      <c r="BL417" s="109"/>
      <c r="BN417" s="57"/>
      <c r="BO417" s="60"/>
    </row>
    <row r="418" spans="1:69" s="50" customFormat="1" x14ac:dyDescent="0.25">
      <c r="A418" s="116"/>
      <c r="B418" s="116"/>
      <c r="C418" s="118"/>
      <c r="D418" s="117"/>
      <c r="E418" s="117"/>
      <c r="F418" s="269"/>
      <c r="G418" s="117"/>
      <c r="H418" s="119"/>
      <c r="I418" s="118"/>
      <c r="J418" s="119"/>
      <c r="K418" s="119"/>
      <c r="L418" s="119"/>
      <c r="M418" s="119"/>
      <c r="N418" s="119"/>
      <c r="O418" s="119"/>
      <c r="P418" s="119"/>
      <c r="Q418" s="119"/>
      <c r="R418" s="118"/>
      <c r="S418" s="118"/>
      <c r="T418" s="118"/>
      <c r="U418" s="118"/>
      <c r="V418" s="118"/>
      <c r="W418" s="118"/>
      <c r="X418" s="118"/>
      <c r="Y418" s="118"/>
      <c r="Z418" s="118"/>
      <c r="AA418" s="118"/>
      <c r="AB418" s="118"/>
      <c r="AC418" s="136"/>
      <c r="AD418" s="136"/>
      <c r="AE418" s="136"/>
      <c r="AF418" s="136"/>
      <c r="AG418" s="136"/>
      <c r="AH418" s="136"/>
      <c r="AI418" s="132"/>
      <c r="AJ418" s="60"/>
      <c r="AN418" s="66"/>
      <c r="AP418" s="146"/>
      <c r="AR418" s="138"/>
      <c r="AT418" s="62"/>
      <c r="AU418" s="62"/>
      <c r="AV418" s="62"/>
      <c r="AW418" s="62"/>
      <c r="AX418" s="62"/>
      <c r="AY418" s="62"/>
      <c r="AZ418"/>
      <c r="BA418" s="192"/>
      <c r="BB418" s="188"/>
      <c r="BC418" s="57"/>
      <c r="BD418" s="57"/>
      <c r="BE418" s="57"/>
      <c r="BF418" s="57"/>
      <c r="BG418" s="57"/>
      <c r="BH418" s="57"/>
      <c r="BI418" s="57"/>
      <c r="BJ418" s="109"/>
      <c r="BK418" s="109"/>
      <c r="BL418" s="109"/>
      <c r="BM418" s="83"/>
      <c r="BO418" s="83"/>
      <c r="BP418" s="83"/>
    </row>
    <row r="419" spans="1:69" s="50" customFormat="1" x14ac:dyDescent="0.25">
      <c r="A419" s="116"/>
      <c r="B419" s="116"/>
      <c r="C419" s="118"/>
      <c r="D419" s="117"/>
      <c r="E419" s="117"/>
      <c r="F419" s="269"/>
      <c r="G419" s="117"/>
      <c r="H419" s="119"/>
      <c r="I419" s="118"/>
      <c r="J419" s="119"/>
      <c r="K419" s="119"/>
      <c r="L419" s="119"/>
      <c r="M419" s="119"/>
      <c r="N419" s="119"/>
      <c r="O419" s="119"/>
      <c r="P419" s="119"/>
      <c r="Q419" s="119"/>
      <c r="R419" s="118"/>
      <c r="S419" s="118"/>
      <c r="T419" s="118"/>
      <c r="U419" s="118"/>
      <c r="V419" s="118"/>
      <c r="W419" s="118"/>
      <c r="X419" s="118"/>
      <c r="Y419" s="118"/>
      <c r="Z419" s="118"/>
      <c r="AA419" s="118"/>
      <c r="AB419" s="118"/>
      <c r="AC419" s="136"/>
      <c r="AD419" s="136"/>
      <c r="AE419" s="136"/>
      <c r="AF419" s="136"/>
      <c r="AG419" s="136"/>
      <c r="AH419" s="136"/>
      <c r="AI419" s="132"/>
      <c r="AJ419" s="60"/>
      <c r="AM419" s="50">
        <v>109</v>
      </c>
      <c r="AN419" s="66"/>
      <c r="AP419" s="146"/>
      <c r="AR419" s="138"/>
      <c r="AT419" s="62"/>
      <c r="AU419" s="62"/>
      <c r="AV419" s="62"/>
      <c r="AW419" s="62"/>
      <c r="AX419" s="62"/>
      <c r="AY419" s="62"/>
      <c r="AZ419"/>
      <c r="BA419" s="192"/>
      <c r="BB419" s="188"/>
      <c r="BC419" s="57"/>
      <c r="BD419" s="57"/>
      <c r="BE419" s="57"/>
      <c r="BF419" s="57"/>
      <c r="BG419" s="57"/>
      <c r="BH419" s="57"/>
      <c r="BI419" s="57"/>
      <c r="BJ419" s="109"/>
      <c r="BK419" s="109"/>
      <c r="BL419" s="109"/>
      <c r="BM419" s="83"/>
      <c r="BO419" s="83"/>
      <c r="BP419" s="83"/>
    </row>
    <row r="420" spans="1:69" s="50" customFormat="1" x14ac:dyDescent="0.25">
      <c r="A420" s="148">
        <f>B420/L420</f>
        <v>755.01300000000003</v>
      </c>
      <c r="B420" s="148">
        <f>SUM(B424,B423,B422,B421,0)</f>
        <v>755.01300000000003</v>
      </c>
      <c r="C420" s="152"/>
      <c r="D420" s="149" t="s">
        <v>76</v>
      </c>
      <c r="E420" s="149"/>
      <c r="F420" s="275" t="s">
        <v>447</v>
      </c>
      <c r="G420" s="174" t="str">
        <f>$G$163</f>
        <v>C3VH</v>
      </c>
      <c r="H420" s="150"/>
      <c r="I420" s="151" t="s">
        <v>77</v>
      </c>
      <c r="J420" s="150"/>
      <c r="K420" s="134">
        <v>1</v>
      </c>
      <c r="L420" s="150">
        <f>$L$416*$K$420</f>
        <v>1</v>
      </c>
      <c r="M420" s="148">
        <f>SUM(M424,M423,M422,M421,0)</f>
        <v>64.12</v>
      </c>
      <c r="N420" s="151"/>
      <c r="O420" s="151"/>
      <c r="P420" s="151"/>
      <c r="Q420" s="151"/>
      <c r="R420" s="120"/>
      <c r="S420" s="120"/>
      <c r="T420" s="120"/>
      <c r="U420" s="120"/>
      <c r="V420" s="120"/>
      <c r="W420" s="118"/>
      <c r="X420" s="118" t="s">
        <v>78</v>
      </c>
      <c r="Y420" s="151">
        <v>4</v>
      </c>
      <c r="Z420" s="151"/>
      <c r="AA420" s="151"/>
      <c r="AB420" s="151"/>
      <c r="AC420" s="148">
        <f>SUM(AC424,AC423,AC422,AC421,0)</f>
        <v>4.4466666666666672</v>
      </c>
      <c r="AD420" s="148">
        <f>SUM(AD424,AD423,AD422,AD421,0)</f>
        <v>1.75488</v>
      </c>
      <c r="AE420" s="148">
        <f>SUM(AE424,AE423,AE422,AE421,0)</f>
        <v>0</v>
      </c>
      <c r="AF420" s="148">
        <f>SUM(AF424,AF423,AF422,AF421,0)</f>
        <v>0</v>
      </c>
      <c r="AG420" s="148">
        <f>SUM(AG424,AG423,AG422,AG421,0)</f>
        <v>6</v>
      </c>
      <c r="AH420" s="107">
        <f>SUM(AC420:AG420)</f>
        <v>12.201546666666667</v>
      </c>
      <c r="AI420" s="107">
        <f>SUM(AI424,AI423,AI422,AI421,0)</f>
        <v>9</v>
      </c>
      <c r="AJ420" s="148">
        <f>SUM(AJ424,AJ423,AJ422,AJ421,0)</f>
        <v>0</v>
      </c>
      <c r="AK420" s="107">
        <f>AJ420*10/60</f>
        <v>0</v>
      </c>
      <c r="AL420" s="148">
        <f>AH420+AI420+AK420</f>
        <v>21.201546666666665</v>
      </c>
      <c r="AM420" s="148">
        <f>B420/AL420</f>
        <v>35.611222703249325</v>
      </c>
      <c r="AN420" s="148">
        <f>AL420*46</f>
        <v>975.2711466666666</v>
      </c>
      <c r="AO420" s="148">
        <f>AN420/B420</f>
        <v>1.2917276214670033</v>
      </c>
      <c r="AP420" s="148">
        <f>AR420/B420</f>
        <v>1.32</v>
      </c>
      <c r="AQ420" s="67"/>
      <c r="AR420" s="148">
        <f>SUM(AR424,AR423,AR422,AR421,0)</f>
        <v>996.61716000000001</v>
      </c>
      <c r="AT420" s="62"/>
      <c r="AU420" s="62"/>
      <c r="AV420" s="62"/>
      <c r="AW420" s="62"/>
      <c r="AX420" s="62"/>
      <c r="AY420" s="62"/>
      <c r="AZ420"/>
      <c r="BA420" s="192"/>
      <c r="BB420" s="188"/>
      <c r="BC420" s="57"/>
      <c r="BD420" s="57"/>
      <c r="BE420" s="57"/>
      <c r="BF420" s="57"/>
      <c r="BG420" s="57"/>
      <c r="BH420" s="57"/>
      <c r="BI420" s="60"/>
    </row>
    <row r="421" spans="1:69" s="50" customFormat="1" x14ac:dyDescent="0.25">
      <c r="A421" s="116">
        <f t="shared" ref="A421:A422" si="747">H421*J421*(RIGHT(F421,2))*7.85/(10^6)</f>
        <v>44.980499999999999</v>
      </c>
      <c r="B421" s="116">
        <f t="shared" ref="B421:B422" si="748">A421*L421</f>
        <v>179.922</v>
      </c>
      <c r="C421" s="118" t="s">
        <v>80</v>
      </c>
      <c r="D421" s="117" t="s">
        <v>76</v>
      </c>
      <c r="E421" s="117"/>
      <c r="F421" s="118" t="s">
        <v>448</v>
      </c>
      <c r="G421" s="117" t="s">
        <v>83</v>
      </c>
      <c r="H421" s="119">
        <v>500</v>
      </c>
      <c r="I421" s="118" t="s">
        <v>77</v>
      </c>
      <c r="J421" s="119">
        <v>3820</v>
      </c>
      <c r="K421" s="119">
        <v>4</v>
      </c>
      <c r="L421" s="119">
        <f>K$421*L$420</f>
        <v>4</v>
      </c>
      <c r="M421" s="116">
        <f t="shared" ref="M421:M422" si="749">2*H421*J421/10^6*L421</f>
        <v>15.28</v>
      </c>
      <c r="N421" s="118" t="s">
        <v>84</v>
      </c>
      <c r="P421" s="118"/>
      <c r="Q421" s="135">
        <f>4*2</f>
        <v>8</v>
      </c>
      <c r="R421" s="118"/>
      <c r="S421" s="118"/>
      <c r="T421" s="118"/>
      <c r="U421" s="118"/>
      <c r="V421" s="118"/>
      <c r="W421" s="118"/>
      <c r="X421" s="118"/>
      <c r="Y421" s="118"/>
      <c r="Z421" s="118"/>
      <c r="AA421" s="118"/>
      <c r="AB421" s="118" t="s">
        <v>78</v>
      </c>
      <c r="AC421" s="136">
        <f>((((H421+J421)*2/1000)*L421*(5/(VLOOKUP(F421,[2]Plasmalõikus!$A$7:$E$46,2,FALSE)/1000*60)))+(Q421*L421*(5*(VLOOKUP(F421,[2]Plasmalõikus!$A$7:$E$48,3,FALSE))/60/60)))</f>
        <v>1.0311111111111111</v>
      </c>
      <c r="AD421" s="136">
        <f>0.012*((H421+J421)*2/1000*L421)</f>
        <v>0.41472000000000003</v>
      </c>
      <c r="AE421" s="136"/>
      <c r="AF421" s="137"/>
      <c r="AG421" s="132">
        <f>L421*5/60*4</f>
        <v>1.3333333333333333</v>
      </c>
      <c r="AH421" s="136"/>
      <c r="AI421" s="132">
        <f t="shared" ref="AI421:AI422" si="750">AL421*L421/60</f>
        <v>2</v>
      </c>
      <c r="AJ421" s="70"/>
      <c r="AK421" s="50">
        <v>2</v>
      </c>
      <c r="AL421" s="69" t="str">
        <f t="shared" ref="AL421:AL424" si="751">IF(AND(Q421&gt;0,A421&lt;3),"10",IF(AND(Q421&gt;0,A421&lt;10),"15",IF(AND(Q421&gt;0,A421&lt;20),"20",IF(AND(Q421&gt;0,A421&lt;500),"30",IF(AND(Q421=0,A421&lt;3),"2",IF(AND(Q421=0,A421&lt;10),"5",IF(AND(Q421=0,A421&lt;20),"10",IF(AND(Q421=0,A421&lt;500),"20","2"))))))))</f>
        <v>30</v>
      </c>
      <c r="AN421" s="66"/>
      <c r="AP421" s="146">
        <v>1.2</v>
      </c>
      <c r="AQ421" s="50">
        <v>1.1000000000000001</v>
      </c>
      <c r="AR421" s="138">
        <f>AP421*AQ421*B421</f>
        <v>237.49704</v>
      </c>
      <c r="AS421"/>
      <c r="AT421"/>
      <c r="AU421"/>
      <c r="AV421"/>
      <c r="AW421"/>
      <c r="AX421"/>
      <c r="AY421"/>
      <c r="AZ421"/>
      <c r="BA421" s="192"/>
      <c r="BB421" s="189"/>
      <c r="BC421" s="57"/>
      <c r="BD421" s="57"/>
      <c r="BE421" s="57"/>
      <c r="BF421" s="57"/>
      <c r="BG421" s="57"/>
      <c r="BH421" s="57"/>
      <c r="BI421" s="57"/>
      <c r="BJ421" s="57"/>
      <c r="BK421" s="109"/>
      <c r="BL421" s="109"/>
      <c r="BM421" s="109"/>
      <c r="BN421" s="83"/>
      <c r="BP421" s="83"/>
      <c r="BQ421" s="83"/>
    </row>
    <row r="422" spans="1:69" s="50" customFormat="1" x14ac:dyDescent="0.25">
      <c r="A422" s="116">
        <f t="shared" si="747"/>
        <v>42.860999999999997</v>
      </c>
      <c r="B422" s="116">
        <f t="shared" si="748"/>
        <v>85.721999999999994</v>
      </c>
      <c r="C422" s="118"/>
      <c r="D422" s="117" t="s">
        <v>81</v>
      </c>
      <c r="E422" s="117"/>
      <c r="F422" s="118" t="s">
        <v>448</v>
      </c>
      <c r="G422" s="117" t="s">
        <v>83</v>
      </c>
      <c r="H422" s="119">
        <v>500</v>
      </c>
      <c r="I422" s="118" t="s">
        <v>77</v>
      </c>
      <c r="J422" s="119">
        <v>3640</v>
      </c>
      <c r="K422" s="119">
        <v>2</v>
      </c>
      <c r="L422" s="119">
        <f>K$422*L$420</f>
        <v>2</v>
      </c>
      <c r="M422" s="116">
        <f t="shared" si="749"/>
        <v>7.28</v>
      </c>
      <c r="N422" s="118" t="s">
        <v>84</v>
      </c>
      <c r="P422" s="118"/>
      <c r="Q422" s="135">
        <f t="shared" ref="Q422:Q424" si="752">4*2</f>
        <v>8</v>
      </c>
      <c r="R422" s="118"/>
      <c r="S422" s="118"/>
      <c r="T422" s="118"/>
      <c r="U422" s="118"/>
      <c r="V422" s="118"/>
      <c r="W422" s="118"/>
      <c r="X422" s="118"/>
      <c r="Y422" s="118"/>
      <c r="Z422" s="118"/>
      <c r="AA422" s="118"/>
      <c r="AB422" s="118" t="s">
        <v>78</v>
      </c>
      <c r="AC422" s="136">
        <f>((((H422+J422)*2/1000)*L422*(5/(VLOOKUP(F422,[2]Plasmalõikus!$A$7:$E$46,2,FALSE)/1000*60)))+(Q422*L422*(5*(VLOOKUP(F422,[2]Plasmalõikus!$A$7:$E$48,3,FALSE))/60/60)))</f>
        <v>0.50055555555555553</v>
      </c>
      <c r="AD422" s="136">
        <f>0.012*((H422+J422)*2/1000*L422)</f>
        <v>0.19871999999999998</v>
      </c>
      <c r="AE422" s="136"/>
      <c r="AF422" s="137"/>
      <c r="AG422" s="132">
        <f>L422*5/60*4</f>
        <v>0.66666666666666663</v>
      </c>
      <c r="AH422" s="136"/>
      <c r="AI422" s="132">
        <f t="shared" si="750"/>
        <v>1</v>
      </c>
      <c r="AJ422" s="70"/>
      <c r="AK422" s="50">
        <v>2</v>
      </c>
      <c r="AL422" s="69" t="str">
        <f t="shared" si="751"/>
        <v>30</v>
      </c>
      <c r="AN422" s="66"/>
      <c r="AP422" s="146">
        <v>1.2</v>
      </c>
      <c r="AQ422" s="50">
        <v>1.1000000000000001</v>
      </c>
      <c r="AR422" s="138">
        <f t="shared" ref="AR422" si="753">AP422*AQ422*B422</f>
        <v>113.15304</v>
      </c>
      <c r="AS422"/>
      <c r="AT422"/>
      <c r="AU422"/>
      <c r="AV422"/>
      <c r="AW422"/>
      <c r="AX422"/>
      <c r="AY422"/>
      <c r="AZ422"/>
      <c r="BA422" s="192"/>
      <c r="BB422" s="189"/>
      <c r="BC422" s="57"/>
      <c r="BD422" s="57"/>
      <c r="BE422" s="57"/>
      <c r="BF422" s="57"/>
      <c r="BG422" s="57"/>
      <c r="BH422" s="57"/>
      <c r="BI422" s="57"/>
      <c r="BJ422" s="57"/>
      <c r="BK422" s="109"/>
      <c r="BL422" s="109"/>
      <c r="BM422" s="109"/>
      <c r="BN422" s="83"/>
      <c r="BP422" s="83"/>
      <c r="BQ422" s="83"/>
    </row>
    <row r="423" spans="1:69" s="50" customFormat="1" x14ac:dyDescent="0.25">
      <c r="A423" s="116">
        <f t="shared" ref="A423:A424" si="754">H423*J423*(RIGHT(F423,2))*7.85/(10^6)</f>
        <v>40.388249999999999</v>
      </c>
      <c r="B423" s="116">
        <f t="shared" ref="B423:B424" si="755">A423*L423</f>
        <v>161.553</v>
      </c>
      <c r="C423" s="118" t="s">
        <v>80</v>
      </c>
      <c r="D423" s="117" t="s">
        <v>85</v>
      </c>
      <c r="E423" s="117"/>
      <c r="F423" s="118" t="s">
        <v>448</v>
      </c>
      <c r="G423" s="117" t="s">
        <v>83</v>
      </c>
      <c r="H423" s="119">
        <v>500</v>
      </c>
      <c r="I423" s="118" t="s">
        <v>77</v>
      </c>
      <c r="J423" s="119">
        <v>3430</v>
      </c>
      <c r="K423" s="119">
        <v>4</v>
      </c>
      <c r="L423" s="119">
        <f>K$423*L$420</f>
        <v>4</v>
      </c>
      <c r="M423" s="116">
        <f t="shared" ref="M423:M424" si="756">2*H423*J423/10^6*L423</f>
        <v>13.72</v>
      </c>
      <c r="N423" s="118" t="s">
        <v>84</v>
      </c>
      <c r="P423" s="118"/>
      <c r="Q423" s="135">
        <f t="shared" si="752"/>
        <v>8</v>
      </c>
      <c r="R423" s="118"/>
      <c r="S423" s="118"/>
      <c r="T423" s="118"/>
      <c r="U423" s="118"/>
      <c r="V423" s="118"/>
      <c r="W423" s="118"/>
      <c r="X423" s="118"/>
      <c r="Y423" s="118"/>
      <c r="Z423" s="118"/>
      <c r="AA423" s="118"/>
      <c r="AB423" s="118" t="s">
        <v>78</v>
      </c>
      <c r="AC423" s="136">
        <f>((((H423+J423)*2/1000)*L423*(5/(VLOOKUP(F423,[2]Plasmalõikus!$A$7:$E$46,2,FALSE)/1000*60)))+(Q423*L423*(5*(VLOOKUP(F423,[2]Plasmalõikus!$A$7:$E$48,3,FALSE))/60/60)))</f>
        <v>0.96611111111111114</v>
      </c>
      <c r="AD423" s="136">
        <f>0.012*((H423+J423)*2/1000*L423)</f>
        <v>0.37728</v>
      </c>
      <c r="AE423" s="136"/>
      <c r="AF423" s="137"/>
      <c r="AG423" s="132">
        <f>L423*5/60*4</f>
        <v>1.3333333333333333</v>
      </c>
      <c r="AH423" s="136"/>
      <c r="AI423" s="132">
        <f t="shared" ref="AI423:AI424" si="757">AL423*L423/60</f>
        <v>2</v>
      </c>
      <c r="AJ423" s="70"/>
      <c r="AK423" s="50">
        <v>2</v>
      </c>
      <c r="AL423" s="69" t="str">
        <f t="shared" si="751"/>
        <v>30</v>
      </c>
      <c r="AN423" s="66"/>
      <c r="AP423" s="146">
        <v>1.2</v>
      </c>
      <c r="AQ423" s="50">
        <v>1.1000000000000001</v>
      </c>
      <c r="AR423" s="138">
        <f t="shared" ref="AR423:AR424" si="758">AP423*AQ423*B423</f>
        <v>213.24996000000002</v>
      </c>
      <c r="AS423"/>
      <c r="AT423"/>
      <c r="AU423"/>
      <c r="AV423"/>
      <c r="AW423"/>
      <c r="AX423"/>
      <c r="AY423"/>
      <c r="AZ423"/>
      <c r="BA423" s="192"/>
      <c r="BB423" s="189"/>
      <c r="BC423" s="57"/>
      <c r="BD423" s="57"/>
      <c r="BE423" s="57"/>
      <c r="BF423" s="57"/>
      <c r="BG423" s="57"/>
      <c r="BH423" s="57"/>
      <c r="BI423" s="57"/>
      <c r="BJ423" s="57"/>
      <c r="BK423" s="109"/>
      <c r="BL423" s="109"/>
      <c r="BM423" s="109"/>
      <c r="BN423" s="83"/>
      <c r="BP423" s="83"/>
      <c r="BQ423" s="83"/>
    </row>
    <row r="424" spans="1:69" s="50" customFormat="1" x14ac:dyDescent="0.25">
      <c r="A424" s="116">
        <f t="shared" si="754"/>
        <v>40.976999999999997</v>
      </c>
      <c r="B424" s="116">
        <f t="shared" si="755"/>
        <v>327.81599999999997</v>
      </c>
      <c r="C424" s="118"/>
      <c r="D424" s="117" t="s">
        <v>88</v>
      </c>
      <c r="E424" s="117"/>
      <c r="F424" s="118" t="s">
        <v>448</v>
      </c>
      <c r="G424" s="117" t="s">
        <v>83</v>
      </c>
      <c r="H424" s="119">
        <v>500</v>
      </c>
      <c r="I424" s="118" t="s">
        <v>77</v>
      </c>
      <c r="J424" s="119">
        <v>3480</v>
      </c>
      <c r="K424" s="119">
        <v>8</v>
      </c>
      <c r="L424" s="119">
        <f>K$424*L$420</f>
        <v>8</v>
      </c>
      <c r="M424" s="116">
        <f t="shared" si="756"/>
        <v>27.84</v>
      </c>
      <c r="N424" s="118" t="s">
        <v>84</v>
      </c>
      <c r="P424" s="118"/>
      <c r="Q424" s="135">
        <f t="shared" si="752"/>
        <v>8</v>
      </c>
      <c r="R424" s="118"/>
      <c r="S424" s="118"/>
      <c r="T424" s="118"/>
      <c r="U424" s="118"/>
      <c r="V424" s="118"/>
      <c r="W424" s="118"/>
      <c r="X424" s="118"/>
      <c r="Y424" s="118"/>
      <c r="Z424" s="118"/>
      <c r="AA424" s="118"/>
      <c r="AB424" s="118" t="s">
        <v>78</v>
      </c>
      <c r="AC424" s="136">
        <f>((((H424+J424)*2/1000)*L424*(5/(VLOOKUP(F424,[2]Plasmalõikus!$A$7:$E$46,2,FALSE)/1000*60)))+(Q424*L424*(5*(VLOOKUP(F424,[2]Plasmalõikus!$A$7:$E$48,3,FALSE))/60/60)))</f>
        <v>1.9488888888888889</v>
      </c>
      <c r="AD424" s="136">
        <f>0.012*((H424+J424)*2/1000*L424)</f>
        <v>0.76416000000000006</v>
      </c>
      <c r="AE424" s="136"/>
      <c r="AF424" s="137"/>
      <c r="AG424" s="132">
        <f>L424*5/60*4</f>
        <v>2.6666666666666665</v>
      </c>
      <c r="AH424" s="136"/>
      <c r="AI424" s="132">
        <f t="shared" si="757"/>
        <v>4</v>
      </c>
      <c r="AJ424" s="70"/>
      <c r="AK424" s="50">
        <v>2</v>
      </c>
      <c r="AL424" s="69" t="str">
        <f t="shared" si="751"/>
        <v>30</v>
      </c>
      <c r="AN424" s="66"/>
      <c r="AP424" s="146">
        <v>1.2</v>
      </c>
      <c r="AQ424" s="50">
        <v>1.1000000000000001</v>
      </c>
      <c r="AR424" s="138">
        <f t="shared" si="758"/>
        <v>432.71711999999997</v>
      </c>
      <c r="AS424"/>
      <c r="AT424"/>
      <c r="AU424"/>
      <c r="AV424"/>
      <c r="AW424"/>
      <c r="AX424"/>
      <c r="AY424"/>
      <c r="AZ424"/>
      <c r="BA424" s="192"/>
      <c r="BB424" s="189"/>
      <c r="BC424" s="57"/>
      <c r="BD424" s="57"/>
      <c r="BE424" s="57"/>
      <c r="BF424" s="57"/>
      <c r="BG424" s="57"/>
      <c r="BH424" s="57"/>
      <c r="BI424" s="57"/>
      <c r="BJ424" s="57"/>
      <c r="BK424" s="109"/>
      <c r="BL424" s="109"/>
      <c r="BM424" s="109"/>
      <c r="BN424" s="83"/>
      <c r="BP424" s="83"/>
      <c r="BQ424" s="83"/>
    </row>
    <row r="425" spans="1:69" x14ac:dyDescent="0.25">
      <c r="BA425" s="192"/>
    </row>
    <row r="426" spans="1:69" s="50" customFormat="1" x14ac:dyDescent="0.25">
      <c r="A426" s="116"/>
      <c r="B426" s="116"/>
      <c r="C426" s="118"/>
      <c r="D426" s="117"/>
      <c r="E426" s="117"/>
      <c r="F426" s="269"/>
      <c r="G426" s="117"/>
      <c r="H426" s="119"/>
      <c r="I426" s="118"/>
      <c r="J426" s="119"/>
      <c r="K426" s="119"/>
      <c r="L426" s="119"/>
      <c r="M426" s="119"/>
      <c r="N426" s="119"/>
      <c r="O426" s="119"/>
      <c r="P426" s="119"/>
      <c r="Q426" s="119"/>
      <c r="R426" s="118"/>
      <c r="S426" s="118"/>
      <c r="T426" s="118"/>
      <c r="U426" s="118"/>
      <c r="V426" s="118"/>
      <c r="W426" s="118"/>
      <c r="X426" s="118"/>
      <c r="Y426" s="118"/>
      <c r="Z426" s="118"/>
      <c r="AA426" s="118"/>
      <c r="AB426" s="118"/>
      <c r="AC426" s="136"/>
      <c r="AD426" s="136"/>
      <c r="AE426" s="136"/>
      <c r="AF426" s="136"/>
      <c r="AG426" s="136"/>
      <c r="AH426" s="136"/>
      <c r="AI426" s="132"/>
      <c r="AJ426" s="60"/>
      <c r="AM426" s="50">
        <v>109</v>
      </c>
      <c r="AN426" s="66"/>
      <c r="AP426" s="146"/>
      <c r="AR426" s="138"/>
      <c r="AT426" s="62"/>
      <c r="AU426" s="62"/>
      <c r="AV426" s="62"/>
      <c r="AW426" s="62"/>
      <c r="AX426" s="62"/>
      <c r="AY426" s="62"/>
      <c r="AZ426"/>
      <c r="BA426" s="192"/>
      <c r="BB426" s="188"/>
      <c r="BC426" s="57"/>
      <c r="BD426" s="57"/>
      <c r="BE426" s="57"/>
      <c r="BF426" s="57"/>
      <c r="BG426" s="57"/>
      <c r="BH426" s="57"/>
      <c r="BI426" s="57"/>
      <c r="BJ426" s="109"/>
      <c r="BK426" s="109"/>
      <c r="BL426" s="109"/>
      <c r="BM426" s="83"/>
      <c r="BO426" s="83"/>
      <c r="BP426" s="83"/>
    </row>
    <row r="427" spans="1:69" customFormat="1" ht="14.95" thickBot="1" x14ac:dyDescent="0.3">
      <c r="B427">
        <v>1585</v>
      </c>
      <c r="G427" s="140"/>
      <c r="AD427" s="328" t="s">
        <v>393</v>
      </c>
      <c r="AW427" s="117"/>
      <c r="AX427" s="117"/>
      <c r="AY427" s="346">
        <f>AY428+BA427*$AV$2</f>
        <v>23105.932340615262</v>
      </c>
      <c r="AZ427" s="345">
        <f>AY427/B428</f>
        <v>4.1083095564974679</v>
      </c>
      <c r="BA427">
        <f>BA428*46</f>
        <v>1242.1472000000003</v>
      </c>
    </row>
    <row r="428" spans="1:69" s="50" customFormat="1" ht="29.25" thickBot="1" x14ac:dyDescent="0.3">
      <c r="A428" s="153">
        <f>B428/L428</f>
        <v>5624.1945799999994</v>
      </c>
      <c r="B428" s="153">
        <f>B$463+B$460+B$456+B$451+B$447+B$443+B$432</f>
        <v>5624.1945799999994</v>
      </c>
      <c r="C428" s="154"/>
      <c r="D428" s="154" t="s">
        <v>76</v>
      </c>
      <c r="E428" s="154"/>
      <c r="F428" s="155" t="s">
        <v>498</v>
      </c>
      <c r="G428" s="351" t="s">
        <v>449</v>
      </c>
      <c r="H428" s="156">
        <v>150</v>
      </c>
      <c r="I428" s="157" t="s">
        <v>77</v>
      </c>
      <c r="J428" s="156">
        <v>7500</v>
      </c>
      <c r="K428" s="156">
        <v>1</v>
      </c>
      <c r="L428" s="156">
        <f>$L$11*$K$428</f>
        <v>1</v>
      </c>
      <c r="M428" s="153">
        <f>M$463+M$460+M$456+M$451+M$447+M$443+M$432</f>
        <v>154.79199999999997</v>
      </c>
      <c r="N428" s="157"/>
      <c r="O428" s="157"/>
      <c r="P428" s="157"/>
      <c r="Q428" s="157"/>
      <c r="R428" s="157"/>
      <c r="S428" s="157"/>
      <c r="T428" s="157"/>
      <c r="U428" s="157"/>
      <c r="V428" s="157"/>
      <c r="W428" s="157"/>
      <c r="X428" s="157"/>
      <c r="Y428" s="157">
        <v>3</v>
      </c>
      <c r="Z428" s="157"/>
      <c r="AA428" s="157"/>
      <c r="AB428" s="157"/>
      <c r="AC428" s="153">
        <f>AC$463+AC$460+AC$456+AC$451+AC$447+AC$443+AC$432</f>
        <v>86.380962962962968</v>
      </c>
      <c r="AD428" s="153">
        <f>AD$463+AD$460+AD$456+AD$451+AD$447+AD$443+AD$432</f>
        <v>0</v>
      </c>
      <c r="AE428" s="153">
        <f>AE$463+AE$460+AE$456+AE$451+AE$447+AE$443+AE$432</f>
        <v>1.8666666666666667</v>
      </c>
      <c r="AF428" s="153">
        <f>AF$463+AF$460+AF$456+AF$451+AF$447+AF$443+AF$432</f>
        <v>0</v>
      </c>
      <c r="AG428" s="153">
        <f>AG$463+AG$460+AG$456+AG$451+AG$447+AG$443+AG$432</f>
        <v>0</v>
      </c>
      <c r="AH428" s="107">
        <f>SUM(AC428:AG428)</f>
        <v>88.247629629629628</v>
      </c>
      <c r="AI428" s="107">
        <f>AI$463+AI$460+AI$456+AI$451+AI$447+AI$443+AI$432</f>
        <v>133.93333333333334</v>
      </c>
      <c r="AJ428" s="153">
        <f>AJ$463+AJ$460+AJ$456+AJ$451+AJ$447+AJ$443+AJ$432</f>
        <v>65.92</v>
      </c>
      <c r="AK428" s="107">
        <f>AJ428*10/60</f>
        <v>10.986666666666668</v>
      </c>
      <c r="AL428" s="133">
        <f>AH428+AI428+AK428</f>
        <v>233.16762962962963</v>
      </c>
      <c r="AM428" s="173">
        <f>B428/AL428</f>
        <v>24.120820668519197</v>
      </c>
      <c r="AN428" s="158">
        <f>AL428*46</f>
        <v>10725.710962962963</v>
      </c>
      <c r="AO428" s="159">
        <f>AN428/B428</f>
        <v>1.907066124828662</v>
      </c>
      <c r="AP428" s="159">
        <f>AR428/B428</f>
        <v>1.0264525799105624</v>
      </c>
      <c r="AQ428" s="67"/>
      <c r="AR428" s="159">
        <f>AR$463+AR$460+AR$456+AR$451+AR$447+AR$443+AR$432</f>
        <v>5772.9690365600018</v>
      </c>
      <c r="AS428" s="168">
        <f>$AU$2</f>
        <v>1.1000000000000001</v>
      </c>
      <c r="AT428" s="128">
        <f>HLOOKUP(G428,$AB$1:$AK$2,2,FALSE)</f>
        <v>20</v>
      </c>
      <c r="AU428" s="166">
        <f>IF(AND(G428="HDG"),B428*AT428,M428*AT428)</f>
        <v>3095.8399999999992</v>
      </c>
      <c r="AV428" s="68">
        <f>B428*pakendus</f>
        <v>168.72583739999999</v>
      </c>
      <c r="AW428" s="159">
        <f>(AN428+AU428+AV428)+AU427</f>
        <v>13990.276800362963</v>
      </c>
      <c r="AX428" s="129">
        <f>$AV$2</f>
        <v>1.1000000000000001</v>
      </c>
      <c r="AY428" s="108">
        <f>(AR428*AS428)+(AW428*AX428)</f>
        <v>21739.570420615262</v>
      </c>
      <c r="AZ428" s="130">
        <f>ROUND(AY428/B428,3)</f>
        <v>3.8650000000000002</v>
      </c>
      <c r="BA428" s="159">
        <f>BA$375+BA$369+BA$357+BA$350+BA$344+BA$324+BA$318+BA$304+BA$292</f>
        <v>27.003200000000007</v>
      </c>
      <c r="BB428" s="159">
        <f>B428/20000</f>
        <v>0.28120972899999996</v>
      </c>
      <c r="BC428" s="57"/>
      <c r="BD428" s="57"/>
      <c r="BE428" s="57"/>
      <c r="BF428" s="57"/>
      <c r="BG428" s="57"/>
      <c r="BH428" s="57"/>
      <c r="BI428" s="83"/>
    </row>
    <row r="429" spans="1:69" s="50" customFormat="1" x14ac:dyDescent="0.25">
      <c r="A429" s="116"/>
      <c r="B429" s="160">
        <f>SUMIF(F488:F581,"leht*",B488:B581)</f>
        <v>0</v>
      </c>
      <c r="C429" s="255">
        <f>B429/B428</f>
        <v>0</v>
      </c>
      <c r="D429" s="161" t="s">
        <v>74</v>
      </c>
      <c r="E429" s="117"/>
      <c r="F429" s="118"/>
      <c r="G429" s="117"/>
      <c r="H429" s="119"/>
      <c r="I429" s="118"/>
      <c r="J429" s="119"/>
      <c r="K429" s="119"/>
      <c r="L429" s="119"/>
      <c r="M429" s="112"/>
      <c r="N429" s="118"/>
      <c r="O429" s="118"/>
      <c r="P429" s="118"/>
      <c r="Q429" s="118"/>
      <c r="R429" s="118"/>
      <c r="S429" s="118"/>
      <c r="T429" s="118"/>
      <c r="U429" s="118"/>
      <c r="V429" s="118"/>
      <c r="W429" s="118"/>
      <c r="X429" s="118"/>
      <c r="Y429" s="118"/>
      <c r="Z429" s="118"/>
      <c r="AA429" s="118"/>
      <c r="AB429" s="118"/>
      <c r="AD429" s="83"/>
      <c r="AE429" s="83"/>
      <c r="AF429" s="114"/>
      <c r="AG429" s="114"/>
      <c r="AH429" s="83"/>
      <c r="AI429" s="83"/>
      <c r="AJ429" s="83"/>
      <c r="AK429" s="83"/>
      <c r="AL429" s="83"/>
      <c r="AM429" s="60"/>
      <c r="AN429" s="66"/>
      <c r="AO429" s="61"/>
      <c r="AP429" s="62"/>
      <c r="AQ429" s="62"/>
      <c r="AT429" s="60"/>
      <c r="AU429" s="77"/>
      <c r="AV429" s="77"/>
      <c r="AW429" s="77"/>
      <c r="AX429" s="121"/>
      <c r="AY429" s="77"/>
      <c r="AZ429" s="77"/>
      <c r="BA429" s="192"/>
      <c r="BB429" s="188"/>
      <c r="BC429" s="57"/>
      <c r="BD429" s="57"/>
      <c r="BE429" s="131"/>
      <c r="BF429" s="57"/>
      <c r="BG429" s="57"/>
      <c r="BH429" s="57"/>
      <c r="BI429" s="57"/>
      <c r="BJ429" s="57"/>
      <c r="BK429" s="83"/>
      <c r="BL429" s="109"/>
      <c r="BN429" s="57"/>
      <c r="BO429" s="60"/>
    </row>
    <row r="430" spans="1:69" x14ac:dyDescent="0.25">
      <c r="BA430" s="192"/>
    </row>
    <row r="431" spans="1:69" customFormat="1" x14ac:dyDescent="0.25">
      <c r="F431" s="30"/>
      <c r="AD431" s="328" t="s">
        <v>393</v>
      </c>
    </row>
    <row r="432" spans="1:69" s="50" customFormat="1" x14ac:dyDescent="0.25">
      <c r="A432" s="148">
        <f>B432/L432</f>
        <v>2170.0226000000002</v>
      </c>
      <c r="B432" s="285">
        <f>SUM(B441,B440,B439,B438,B437,B436,B435,B434,B433,0)</f>
        <v>2170.0226000000002</v>
      </c>
      <c r="C432" s="376">
        <f>B432+B443+B447+B451+B456</f>
        <v>3081.8402000000001</v>
      </c>
      <c r="D432" s="149" t="s">
        <v>85</v>
      </c>
      <c r="E432" s="149"/>
      <c r="F432" s="374"/>
      <c r="G432" s="177" t="str">
        <f>$G$16</f>
        <v>C3VH</v>
      </c>
      <c r="H432" s="150">
        <v>160</v>
      </c>
      <c r="I432" s="151" t="s">
        <v>77</v>
      </c>
      <c r="J432" s="150">
        <f>J434</f>
        <v>360</v>
      </c>
      <c r="K432" s="134">
        <v>1</v>
      </c>
      <c r="L432" s="150">
        <f>$L$428*$K$432</f>
        <v>1</v>
      </c>
      <c r="M432" s="148">
        <f>SUM(M441,M440,M439,M438,M437,M436,M435,M434,M433,0)</f>
        <v>89.569599999999994</v>
      </c>
      <c r="N432" s="151"/>
      <c r="O432" s="151"/>
      <c r="P432" s="151"/>
      <c r="Q432" s="151"/>
      <c r="R432" s="120"/>
      <c r="S432" s="120"/>
      <c r="T432" s="120"/>
      <c r="U432" s="120"/>
      <c r="V432" s="120"/>
      <c r="W432" s="118"/>
      <c r="X432" s="118" t="s">
        <v>78</v>
      </c>
      <c r="Y432" s="151">
        <v>4</v>
      </c>
      <c r="Z432" s="151"/>
      <c r="AA432" s="151"/>
      <c r="AB432" s="151"/>
      <c r="AC432" s="148">
        <f>SUM(AC441,AC440,AC439,AC438,AC437,AC436,AC435,AC434,AC433,0)</f>
        <v>35.09992592592593</v>
      </c>
      <c r="AD432" s="148">
        <f>SUM(AD441,AD440,AD439,AD438,AD437,AD436,AD435,AD434,AD433,0)</f>
        <v>0</v>
      </c>
      <c r="AE432" s="148">
        <f>SUM(AE441,AE440,AE439,AE438,AE437,AE436,AE435,AE434,AE433,0)</f>
        <v>0</v>
      </c>
      <c r="AF432" s="148">
        <f>SUM(AF441,AF440,AF439,AF438,AF437,AF436,AF435,AF434,AF433,0)</f>
        <v>0</v>
      </c>
      <c r="AG432" s="148">
        <f>SUM(AG441,AG440,AG439,AG438,AG437,AG436,AG435,AG434,AG433,0)</f>
        <v>0</v>
      </c>
      <c r="AH432" s="107">
        <f>SUM(AC432:AG432)</f>
        <v>35.09992592592593</v>
      </c>
      <c r="AI432" s="107">
        <f>SUM(AI441,AI440,AI439,AI438,AI437,AI436,AI435,AI434,AI433,0)</f>
        <v>48</v>
      </c>
      <c r="AJ432" s="148">
        <f>SUM(AJ441,AJ440,AJ439,AJ438,AJ437,AJ436,AJ435,AJ434,AJ433,0)</f>
        <v>0</v>
      </c>
      <c r="AK432" s="107">
        <f>AJ432*10/60</f>
        <v>0</v>
      </c>
      <c r="AL432" s="148">
        <f>AH432+AI432+AK432</f>
        <v>83.09992592592593</v>
      </c>
      <c r="AM432" s="288">
        <f>B432/AL432</f>
        <v>26.113411965424937</v>
      </c>
      <c r="AN432" s="148">
        <f>AL432*46</f>
        <v>3822.596592592593</v>
      </c>
      <c r="AO432" s="148">
        <f>AN432/B432</f>
        <v>1.7615469039781395</v>
      </c>
      <c r="AP432" s="148">
        <f>AR432/B432</f>
        <v>1.0120000000000002</v>
      </c>
      <c r="AQ432" s="67"/>
      <c r="AR432" s="148">
        <f>SUM(AR441,AR440,AR439,AR438,AR437,AR436,AR435,AR434,AR433,0)</f>
        <v>2196.0628712000007</v>
      </c>
      <c r="AT432" s="62"/>
      <c r="AU432" s="62"/>
      <c r="AV432" s="62"/>
      <c r="AW432" s="62"/>
      <c r="AX432" s="62"/>
      <c r="AY432" s="62"/>
      <c r="AZ432" s="77"/>
      <c r="BA432" s="148">
        <f>SUM(BA434,0)</f>
        <v>0.55466666666666664</v>
      </c>
      <c r="BB432" s="283"/>
      <c r="BC432" s="62"/>
      <c r="BD432" s="289"/>
      <c r="BF432" s="19"/>
      <c r="BG432" s="57"/>
      <c r="BH432" s="57"/>
      <c r="BI432" s="57"/>
      <c r="BJ432" s="57"/>
      <c r="BK432" s="60"/>
    </row>
    <row r="433" spans="1:70" s="50" customFormat="1" x14ac:dyDescent="0.25">
      <c r="A433" s="116">
        <f t="shared" ref="A433:A441" si="759">H433*J433*(RIGHT(F433,2))*7.85/(10^6)</f>
        <v>14.6952</v>
      </c>
      <c r="B433" s="116">
        <f t="shared" ref="B433" si="760">A433*L433</f>
        <v>352.6848</v>
      </c>
      <c r="C433" s="118"/>
      <c r="D433" s="117" t="s">
        <v>81</v>
      </c>
      <c r="E433" s="290"/>
      <c r="F433" s="355" t="s">
        <v>339</v>
      </c>
      <c r="G433" s="117" t="s">
        <v>83</v>
      </c>
      <c r="H433" s="119">
        <v>390</v>
      </c>
      <c r="I433" s="118" t="s">
        <v>77</v>
      </c>
      <c r="J433" s="119">
        <v>400</v>
      </c>
      <c r="K433" s="119">
        <f>16+8</f>
        <v>24</v>
      </c>
      <c r="L433" s="119">
        <f>K$433*L$432</f>
        <v>24</v>
      </c>
      <c r="M433" s="116">
        <f t="shared" ref="M433" si="761">2*H433*J433/10^6*L433</f>
        <v>7.4879999999999995</v>
      </c>
      <c r="N433" s="118" t="s">
        <v>84</v>
      </c>
      <c r="P433" s="118"/>
      <c r="Q433" s="294">
        <v>12</v>
      </c>
      <c r="R433" s="118"/>
      <c r="S433" s="118"/>
      <c r="T433" s="118"/>
      <c r="U433" s="118"/>
      <c r="V433" s="118"/>
      <c r="W433" s="118"/>
      <c r="X433" s="118"/>
      <c r="Y433" s="118"/>
      <c r="Z433" s="118"/>
      <c r="AA433" s="118"/>
      <c r="AB433" s="118" t="s">
        <v>78</v>
      </c>
      <c r="AC433" s="136">
        <f>((((H433+J433)*2/1000)*L433*(5/(VLOOKUP(F433,[2]Plasmalõikus!$A$7:$E$46,2,FALSE)/1000*60)))+(Q433*L433*(5*(VLOOKUP(F433,[2]Plasmalõikus!$A$7:$E$48,3,FALSE))/60/60)))</f>
        <v>4.9800000000000004</v>
      </c>
      <c r="AD433" s="330"/>
      <c r="AE433" s="136"/>
      <c r="AF433" s="137"/>
      <c r="AG433" s="137">
        <f t="shared" ref="AG433" si="762">IF(VALUE(MID(F433,SEARCH(" ",F433)+1,LEN(F433)))&lt;35,0,IF(VALUE(MID(F433,SEARCH(" ",F433)+1,LEN(F433)))&lt;40,3,IF(VALUE(MID(F433,SEARCH(" ",F433)+1,LEN(F433)))&lt;50,4,IF(VALUE(MID(F433,SEARCH(" ",F433)+1,LEN(F433)))&lt;60,5,IF(VALUE(MID(F433,SEARCH(" ",F433)+1,LEN(F433)))&lt;70,6,IF(VALUE(MID(F433,SEARCH(" ",F433)+1,LEN(F433)))&lt;80,7,IF(VALUE(MID(F433,SEARCH(" ",F433)+1,LEN(F433)))&lt;90,8,IF(VALUE(MID(F433,SEARCH(" ",F433)+1,LEN(F433)))&lt;100,9,10))))))))/60*Q433*L433</f>
        <v>0</v>
      </c>
      <c r="AH433" s="136"/>
      <c r="AI433" s="132">
        <f t="shared" ref="AI433" si="763">AL433*L433/60</f>
        <v>8</v>
      </c>
      <c r="AJ433" s="70"/>
      <c r="AK433" s="50">
        <v>2</v>
      </c>
      <c r="AL433" s="69" t="str">
        <f t="shared" ref="AL433:AL441" si="764">IF(AND(Q433&gt;0,A433&lt;3),"10",IF(AND(Q433&gt;0,A433&lt;10),"15",IF(AND(Q433&gt;0,A433&lt;20),"20",IF(AND(Q433&gt;0,A433&lt;500),"30",IF(AND(Q433=0,A433&lt;3),"2",IF(AND(Q433=0,A433&lt;10),"5",IF(AND(Q433=0,A433&lt;20),"10",IF(AND(Q433=0,A433&lt;500),"20","2"))))))))</f>
        <v>20</v>
      </c>
      <c r="AP433" s="146">
        <f>(VLOOKUP(F433,Terasehind!$A$2:$B$171,2,FALSE))</f>
        <v>0.92</v>
      </c>
      <c r="AQ433" s="50">
        <f>(VLOOKUP(F433,Terasehind!$A$2:$C$171,3,FALSE))</f>
        <v>1.1000000000000001</v>
      </c>
      <c r="AR433" s="138">
        <f t="shared" ref="AR433" si="765">AP433*AQ433*B433</f>
        <v>356.91701760000007</v>
      </c>
      <c r="AT433" s="62"/>
      <c r="AU433" s="62"/>
      <c r="AV433" s="62"/>
      <c r="AW433" s="62"/>
      <c r="AX433" s="62"/>
      <c r="AY433" s="62"/>
      <c r="AZ433" s="77"/>
      <c r="BA433" s="188">
        <f t="shared" ref="BA433" si="766">(H433*2+J433*2)*2*2/60/1000*L433</f>
        <v>2.528</v>
      </c>
      <c r="BB433" s="283"/>
      <c r="BC433" s="62"/>
      <c r="BD433" s="284"/>
      <c r="BE433" s="131"/>
      <c r="BF433"/>
      <c r="BG433" s="57"/>
      <c r="BH433" s="57"/>
      <c r="BI433" s="57"/>
      <c r="BJ433" s="57"/>
      <c r="BK433" s="57"/>
      <c r="BL433" s="109"/>
      <c r="BM433" s="109"/>
      <c r="BN433" s="109"/>
      <c r="BO433" s="83"/>
      <c r="BQ433" s="83"/>
      <c r="BR433" s="83"/>
    </row>
    <row r="434" spans="1:70" s="50" customFormat="1" x14ac:dyDescent="0.25">
      <c r="A434" s="116">
        <f t="shared" si="759"/>
        <v>4.5216000000000003</v>
      </c>
      <c r="B434" s="116">
        <f t="shared" ref="B434" si="767">A434*L434</f>
        <v>36.172800000000002</v>
      </c>
      <c r="C434" s="118"/>
      <c r="D434" s="117" t="s">
        <v>81</v>
      </c>
      <c r="E434" s="290"/>
      <c r="F434" s="355" t="s">
        <v>82</v>
      </c>
      <c r="G434" s="117" t="s">
        <v>83</v>
      </c>
      <c r="H434" s="119">
        <v>160</v>
      </c>
      <c r="I434" s="118" t="s">
        <v>77</v>
      </c>
      <c r="J434" s="119">
        <v>360</v>
      </c>
      <c r="K434" s="119">
        <v>8</v>
      </c>
      <c r="L434" s="119">
        <f>K$434*L$432</f>
        <v>8</v>
      </c>
      <c r="M434" s="116">
        <f t="shared" ref="M434" si="768">2*H434*J434/10^6*L434</f>
        <v>0.92159999999999997</v>
      </c>
      <c r="N434" s="118" t="s">
        <v>84</v>
      </c>
      <c r="P434" s="118"/>
      <c r="Q434" s="294">
        <v>12</v>
      </c>
      <c r="R434" s="118"/>
      <c r="S434" s="118"/>
      <c r="T434" s="118"/>
      <c r="U434" s="118"/>
      <c r="V434" s="118"/>
      <c r="W434" s="118"/>
      <c r="X434" s="118"/>
      <c r="Y434" s="118"/>
      <c r="Z434" s="118"/>
      <c r="AA434" s="118"/>
      <c r="AB434" s="118" t="s">
        <v>78</v>
      </c>
      <c r="AC434" s="136">
        <f>((((H434+J434)*2/1000)*L434*(5/(VLOOKUP(F434,[2]Plasmalõikus!$A$7:$E$46,2,FALSE)/1000*60)))+(Q434*L434*(5*(VLOOKUP(F434,[2]Plasmalõikus!$A$7:$E$48,3,FALSE))/60/60)))</f>
        <v>1.3439999999999999</v>
      </c>
      <c r="AD434" s="330"/>
      <c r="AE434" s="136"/>
      <c r="AF434" s="137"/>
      <c r="AG434" s="137">
        <f t="shared" ref="AG434" si="769">IF(VALUE(MID(F434,SEARCH(" ",F434)+1,LEN(F434)))&lt;35,0,IF(VALUE(MID(F434,SEARCH(" ",F434)+1,LEN(F434)))&lt;40,3,IF(VALUE(MID(F434,SEARCH(" ",F434)+1,LEN(F434)))&lt;50,4,IF(VALUE(MID(F434,SEARCH(" ",F434)+1,LEN(F434)))&lt;60,5,IF(VALUE(MID(F434,SEARCH(" ",F434)+1,LEN(F434)))&lt;70,6,IF(VALUE(MID(F434,SEARCH(" ",F434)+1,LEN(F434)))&lt;80,7,IF(VALUE(MID(F434,SEARCH(" ",F434)+1,LEN(F434)))&lt;90,8,IF(VALUE(MID(F434,SEARCH(" ",F434)+1,LEN(F434)))&lt;100,9,10))))))))/60*Q434*L434</f>
        <v>0</v>
      </c>
      <c r="AH434" s="136"/>
      <c r="AI434" s="132">
        <f t="shared" ref="AI434:AI439" si="770">AL434*L434/60</f>
        <v>2</v>
      </c>
      <c r="AJ434" s="70"/>
      <c r="AK434" s="50">
        <v>2</v>
      </c>
      <c r="AL434" s="69" t="str">
        <f t="shared" si="764"/>
        <v>15</v>
      </c>
      <c r="AP434" s="146">
        <f>(VLOOKUP(F434,Terasehind!$A$2:$B$171,2,FALSE))</f>
        <v>0.92</v>
      </c>
      <c r="AQ434" s="50">
        <f>(VLOOKUP(F434,Terasehind!$A$2:$C$171,3,FALSE))</f>
        <v>1.1000000000000001</v>
      </c>
      <c r="AR434" s="138">
        <f t="shared" ref="AR434:AR439" si="771">AP434*AQ434*B434</f>
        <v>36.606873600000007</v>
      </c>
      <c r="AT434" s="62"/>
      <c r="AU434" s="62"/>
      <c r="AV434" s="62"/>
      <c r="AW434" s="62"/>
      <c r="AX434" s="62"/>
      <c r="AY434" s="62"/>
      <c r="AZ434" s="77"/>
      <c r="BA434" s="188">
        <f t="shared" ref="BA434:BA439" si="772">(H434*2+J434*2)*2*2/60/1000*L434</f>
        <v>0.55466666666666664</v>
      </c>
      <c r="BB434" s="283"/>
      <c r="BC434" s="62"/>
      <c r="BD434" s="284"/>
      <c r="BE434" s="131"/>
      <c r="BF434"/>
      <c r="BG434" s="57"/>
      <c r="BH434" s="57"/>
      <c r="BI434" s="57"/>
      <c r="BJ434" s="57"/>
      <c r="BK434" s="57"/>
      <c r="BL434" s="109"/>
      <c r="BM434" s="109"/>
      <c r="BN434" s="109"/>
      <c r="BO434" s="83"/>
      <c r="BQ434" s="83"/>
      <c r="BR434" s="83"/>
    </row>
    <row r="435" spans="1:70" s="50" customFormat="1" x14ac:dyDescent="0.25">
      <c r="A435" s="116">
        <f t="shared" si="759"/>
        <v>15.071999999999999</v>
      </c>
      <c r="B435" s="116">
        <f t="shared" ref="B435:B437" si="773">A435*L435</f>
        <v>557.66399999999999</v>
      </c>
      <c r="C435" s="118"/>
      <c r="D435" s="117" t="s">
        <v>81</v>
      </c>
      <c r="E435" s="290"/>
      <c r="F435" s="355" t="s">
        <v>324</v>
      </c>
      <c r="G435" s="117" t="s">
        <v>83</v>
      </c>
      <c r="H435" s="119">
        <v>300</v>
      </c>
      <c r="I435" s="118" t="s">
        <v>77</v>
      </c>
      <c r="J435" s="119">
        <v>1280</v>
      </c>
      <c r="K435" s="119">
        <v>37</v>
      </c>
      <c r="L435" s="119">
        <f>K$435*L$432</f>
        <v>37</v>
      </c>
      <c r="M435" s="116">
        <f t="shared" ref="M435:M437" si="774">2*H435*J435/10^6*L435</f>
        <v>28.416</v>
      </c>
      <c r="N435" s="118" t="s">
        <v>84</v>
      </c>
      <c r="P435" s="118"/>
      <c r="Q435" s="294">
        <v>12</v>
      </c>
      <c r="R435" s="118"/>
      <c r="S435" s="118"/>
      <c r="T435" s="118"/>
      <c r="U435" s="118"/>
      <c r="V435" s="118"/>
      <c r="W435" s="118"/>
      <c r="X435" s="118"/>
      <c r="Y435" s="118"/>
      <c r="Z435" s="118"/>
      <c r="AA435" s="118"/>
      <c r="AB435" s="118" t="s">
        <v>78</v>
      </c>
      <c r="AC435" s="136">
        <f>((((H435+J435)*2/1000)*L435*(5/(VLOOKUP(F435,[2]Plasmalõikus!$A$7:$E$46,2,FALSE)/1000*60)))+(Q435*L435*(5*(VLOOKUP(F435,[2]Plasmalõikus!$A$7:$E$48,3,FALSE))/60/60)))</f>
        <v>7.6398148148148142</v>
      </c>
      <c r="AD435" s="330"/>
      <c r="AE435" s="136"/>
      <c r="AF435" s="137"/>
      <c r="AG435" s="137">
        <f t="shared" ref="AG435:AG437" si="775">IF(VALUE(MID(F435,SEARCH(" ",F435)+1,LEN(F435)))&lt;35,0,IF(VALUE(MID(F435,SEARCH(" ",F435)+1,LEN(F435)))&lt;40,3,IF(VALUE(MID(F435,SEARCH(" ",F435)+1,LEN(F435)))&lt;50,4,IF(VALUE(MID(F435,SEARCH(" ",F435)+1,LEN(F435)))&lt;60,5,IF(VALUE(MID(F435,SEARCH(" ",F435)+1,LEN(F435)))&lt;70,6,IF(VALUE(MID(F435,SEARCH(" ",F435)+1,LEN(F435)))&lt;80,7,IF(VALUE(MID(F435,SEARCH(" ",F435)+1,LEN(F435)))&lt;90,8,IF(VALUE(MID(F435,SEARCH(" ",F435)+1,LEN(F435)))&lt;100,9,10))))))))/60*Q435*L435</f>
        <v>0</v>
      </c>
      <c r="AH435" s="136"/>
      <c r="AI435" s="132">
        <f t="shared" ref="AI435:AI437" si="776">AL435*L435/60</f>
        <v>12.333333333333334</v>
      </c>
      <c r="AJ435" s="70"/>
      <c r="AK435" s="50">
        <v>2</v>
      </c>
      <c r="AL435" s="69" t="str">
        <f t="shared" si="764"/>
        <v>20</v>
      </c>
      <c r="AP435" s="146">
        <f>(VLOOKUP(F435,Terasehind!$A$2:$B$171,2,FALSE))</f>
        <v>0.92</v>
      </c>
      <c r="AQ435" s="50">
        <f>(VLOOKUP(F435,Terasehind!$A$2:$C$171,3,FALSE))</f>
        <v>1.1000000000000001</v>
      </c>
      <c r="AR435" s="138">
        <f t="shared" ref="AR435:AR437" si="777">AP435*AQ435*B435</f>
        <v>564.35596800000008</v>
      </c>
      <c r="AT435" s="62"/>
      <c r="AU435" s="62"/>
      <c r="AV435" s="62"/>
      <c r="AW435" s="62"/>
      <c r="AX435" s="62"/>
      <c r="AY435" s="62"/>
      <c r="AZ435" s="77"/>
      <c r="BA435" s="188">
        <f t="shared" ref="BA435:BA437" si="778">(H435*2+J435*2)*2*2/60/1000*L435</f>
        <v>7.7946666666666671</v>
      </c>
      <c r="BB435" s="283"/>
      <c r="BC435" s="62"/>
      <c r="BD435" s="284"/>
      <c r="BE435" s="131"/>
      <c r="BF435"/>
      <c r="BG435" s="57"/>
      <c r="BH435" s="57"/>
      <c r="BI435" s="57"/>
      <c r="BJ435" s="57"/>
      <c r="BK435" s="57"/>
      <c r="BL435" s="109"/>
      <c r="BM435" s="109"/>
      <c r="BN435" s="109"/>
      <c r="BO435" s="83"/>
      <c r="BQ435" s="83"/>
      <c r="BR435" s="83"/>
    </row>
    <row r="436" spans="1:70" s="50" customFormat="1" x14ac:dyDescent="0.25">
      <c r="A436" s="116">
        <f t="shared" si="759"/>
        <v>14.601000000000001</v>
      </c>
      <c r="B436" s="116">
        <f t="shared" ref="B436" si="779">A436*L436</f>
        <v>116.80800000000001</v>
      </c>
      <c r="C436" s="118" t="s">
        <v>454</v>
      </c>
      <c r="D436" s="117" t="s">
        <v>81</v>
      </c>
      <c r="E436" s="290"/>
      <c r="F436" s="355" t="s">
        <v>324</v>
      </c>
      <c r="G436" s="117" t="s">
        <v>83</v>
      </c>
      <c r="H436" s="119">
        <v>930</v>
      </c>
      <c r="I436" s="118" t="s">
        <v>77</v>
      </c>
      <c r="J436" s="119">
        <v>400</v>
      </c>
      <c r="K436" s="119">
        <v>8</v>
      </c>
      <c r="L436" s="119">
        <f>K$436*L$432</f>
        <v>8</v>
      </c>
      <c r="M436" s="116">
        <f t="shared" ref="M436" si="780">2*H436*J436/10^6*L436</f>
        <v>5.952</v>
      </c>
      <c r="N436" s="118" t="s">
        <v>84</v>
      </c>
      <c r="P436" s="118"/>
      <c r="Q436" s="294">
        <v>16</v>
      </c>
      <c r="R436" s="118"/>
      <c r="S436" s="118"/>
      <c r="T436" s="118"/>
      <c r="U436" s="118"/>
      <c r="V436" s="118"/>
      <c r="W436" s="118"/>
      <c r="X436" s="118"/>
      <c r="Y436" s="118"/>
      <c r="Z436" s="118"/>
      <c r="AA436" s="118"/>
      <c r="AB436" s="118" t="s">
        <v>78</v>
      </c>
      <c r="AC436" s="136">
        <f>((((H436+J436)*2/1000)*L436*(5/(VLOOKUP(F436,[2]Plasmalõikus!$A$7:$E$46,2,FALSE)/1000*60)))+(Q436*L436*(5*(VLOOKUP(F436,[2]Plasmalõikus!$A$7:$E$48,3,FALSE))/60/60)))</f>
        <v>1.9148148148148145</v>
      </c>
      <c r="AD436" s="330"/>
      <c r="AE436" s="136"/>
      <c r="AF436" s="137"/>
      <c r="AG436" s="137">
        <f t="shared" ref="AG436" si="781">IF(VALUE(MID(F436,SEARCH(" ",F436)+1,LEN(F436)))&lt;35,0,IF(VALUE(MID(F436,SEARCH(" ",F436)+1,LEN(F436)))&lt;40,3,IF(VALUE(MID(F436,SEARCH(" ",F436)+1,LEN(F436)))&lt;50,4,IF(VALUE(MID(F436,SEARCH(" ",F436)+1,LEN(F436)))&lt;60,5,IF(VALUE(MID(F436,SEARCH(" ",F436)+1,LEN(F436)))&lt;70,6,IF(VALUE(MID(F436,SEARCH(" ",F436)+1,LEN(F436)))&lt;80,7,IF(VALUE(MID(F436,SEARCH(" ",F436)+1,LEN(F436)))&lt;90,8,IF(VALUE(MID(F436,SEARCH(" ",F436)+1,LEN(F436)))&lt;100,9,10))))))))/60*Q436*L436</f>
        <v>0</v>
      </c>
      <c r="AH436" s="136"/>
      <c r="AI436" s="132">
        <f t="shared" ref="AI436" si="782">AL436*L436/60</f>
        <v>2.6666666666666665</v>
      </c>
      <c r="AJ436" s="70"/>
      <c r="AK436" s="50">
        <v>2</v>
      </c>
      <c r="AL436" s="69" t="str">
        <f t="shared" si="764"/>
        <v>20</v>
      </c>
      <c r="AP436" s="146">
        <f>(VLOOKUP(F436,Terasehind!$A$2:$B$171,2,FALSE))</f>
        <v>0.92</v>
      </c>
      <c r="AQ436" s="50">
        <f>(VLOOKUP(F436,Terasehind!$A$2:$C$171,3,FALSE))</f>
        <v>1.1000000000000001</v>
      </c>
      <c r="AR436" s="138">
        <f t="shared" ref="AR436" si="783">AP436*AQ436*B436</f>
        <v>118.20969600000004</v>
      </c>
      <c r="AT436" s="62"/>
      <c r="AU436" s="62"/>
      <c r="AV436" s="62"/>
      <c r="AW436" s="62"/>
      <c r="AX436" s="62"/>
      <c r="AY436" s="62"/>
      <c r="AZ436" s="77"/>
      <c r="BA436" s="188">
        <f t="shared" ref="BA436" si="784">(H436*2+J436*2)*2*2/60/1000*L436</f>
        <v>1.4186666666666667</v>
      </c>
      <c r="BB436" s="283"/>
      <c r="BC436" s="62"/>
      <c r="BD436" s="284"/>
      <c r="BE436" s="131"/>
      <c r="BF436"/>
      <c r="BG436" s="57"/>
      <c r="BH436" s="57"/>
      <c r="BI436" s="57"/>
      <c r="BJ436" s="57"/>
      <c r="BK436" s="57"/>
      <c r="BL436" s="109"/>
      <c r="BM436" s="109"/>
      <c r="BN436" s="109"/>
      <c r="BO436" s="83"/>
      <c r="BQ436" s="83"/>
      <c r="BR436" s="83"/>
    </row>
    <row r="437" spans="1:70" s="50" customFormat="1" x14ac:dyDescent="0.25">
      <c r="A437" s="116">
        <f t="shared" si="759"/>
        <v>37.68</v>
      </c>
      <c r="B437" s="116">
        <f t="shared" si="773"/>
        <v>301.44</v>
      </c>
      <c r="C437" s="118" t="s">
        <v>454</v>
      </c>
      <c r="D437" s="117" t="s">
        <v>81</v>
      </c>
      <c r="E437" s="290"/>
      <c r="F437" s="355" t="s">
        <v>324</v>
      </c>
      <c r="G437" s="117" t="s">
        <v>83</v>
      </c>
      <c r="H437" s="119">
        <v>1600</v>
      </c>
      <c r="I437" s="118" t="s">
        <v>77</v>
      </c>
      <c r="J437" s="119">
        <v>600</v>
      </c>
      <c r="K437" s="119">
        <v>8</v>
      </c>
      <c r="L437" s="119">
        <f>K$437*L$432</f>
        <v>8</v>
      </c>
      <c r="M437" s="116">
        <f t="shared" si="774"/>
        <v>15.36</v>
      </c>
      <c r="N437" s="118" t="s">
        <v>84</v>
      </c>
      <c r="P437" s="118"/>
      <c r="Q437" s="294">
        <v>16</v>
      </c>
      <c r="R437" s="118"/>
      <c r="S437" s="118"/>
      <c r="T437" s="118"/>
      <c r="U437" s="118"/>
      <c r="V437" s="118"/>
      <c r="W437" s="118"/>
      <c r="X437" s="118"/>
      <c r="Y437" s="118"/>
      <c r="Z437" s="118"/>
      <c r="AA437" s="118"/>
      <c r="AB437" s="118" t="s">
        <v>78</v>
      </c>
      <c r="AC437" s="136">
        <f>((((H437+J437)*2/1000)*L437*(5/(VLOOKUP(F437,[2]Plasmalõikus!$A$7:$E$46,2,FALSE)/1000*60)))+(Q437*L437*(5*(VLOOKUP(F437,[2]Plasmalõikus!$A$7:$E$48,3,FALSE))/60/60)))</f>
        <v>2.2370370370370369</v>
      </c>
      <c r="AD437" s="330"/>
      <c r="AE437" s="136"/>
      <c r="AF437" s="137"/>
      <c r="AG437" s="137">
        <f t="shared" si="775"/>
        <v>0</v>
      </c>
      <c r="AH437" s="136"/>
      <c r="AI437" s="132">
        <f t="shared" si="776"/>
        <v>4</v>
      </c>
      <c r="AJ437" s="70"/>
      <c r="AK437" s="50">
        <v>2</v>
      </c>
      <c r="AL437" s="69" t="str">
        <f t="shared" si="764"/>
        <v>30</v>
      </c>
      <c r="AP437" s="146">
        <f>(VLOOKUP(F437,Terasehind!$A$2:$B$171,2,FALSE))</f>
        <v>0.92</v>
      </c>
      <c r="AQ437" s="50">
        <f>(VLOOKUP(F437,Terasehind!$A$2:$C$171,3,FALSE))</f>
        <v>1.1000000000000001</v>
      </c>
      <c r="AR437" s="138">
        <f t="shared" si="777"/>
        <v>305.05728000000005</v>
      </c>
      <c r="AT437" s="62"/>
      <c r="AU437" s="62"/>
      <c r="AV437" s="62"/>
      <c r="AW437" s="62"/>
      <c r="AX437" s="62"/>
      <c r="AY437" s="62"/>
      <c r="AZ437" s="77"/>
      <c r="BA437" s="188">
        <f t="shared" si="778"/>
        <v>2.3466666666666667</v>
      </c>
      <c r="BB437" s="283"/>
      <c r="BC437" s="62"/>
      <c r="BD437" s="284"/>
      <c r="BE437" s="131"/>
      <c r="BF437"/>
      <c r="BG437" s="57"/>
      <c r="BH437" s="57"/>
      <c r="BI437" s="57"/>
      <c r="BJ437" s="57"/>
      <c r="BK437" s="57"/>
      <c r="BL437" s="109"/>
      <c r="BM437" s="109"/>
      <c r="BN437" s="109"/>
      <c r="BO437" s="83"/>
      <c r="BQ437" s="83"/>
      <c r="BR437" s="83"/>
    </row>
    <row r="438" spans="1:70" s="50" customFormat="1" x14ac:dyDescent="0.25">
      <c r="A438" s="116">
        <f t="shared" si="759"/>
        <v>9.2826249999999995</v>
      </c>
      <c r="B438" s="116">
        <f t="shared" ref="B438:B439" si="785">A438*L438</f>
        <v>222.78299999999999</v>
      </c>
      <c r="C438" s="118" t="s">
        <v>454</v>
      </c>
      <c r="D438" s="117" t="s">
        <v>81</v>
      </c>
      <c r="E438" s="290"/>
      <c r="F438" s="355" t="s">
        <v>324</v>
      </c>
      <c r="G438" s="117" t="s">
        <v>83</v>
      </c>
      <c r="H438" s="119">
        <v>430</v>
      </c>
      <c r="I438" s="118" t="s">
        <v>77</v>
      </c>
      <c r="J438" s="119">
        <v>550</v>
      </c>
      <c r="K438" s="119">
        <v>24</v>
      </c>
      <c r="L438" s="119">
        <f>K$438*L$432</f>
        <v>24</v>
      </c>
      <c r="M438" s="116">
        <f t="shared" ref="M438:M439" si="786">2*H438*J438/10^6*L438</f>
        <v>11.352</v>
      </c>
      <c r="N438" s="118" t="s">
        <v>84</v>
      </c>
      <c r="P438" s="118"/>
      <c r="Q438" s="294">
        <v>16</v>
      </c>
      <c r="R438" s="118"/>
      <c r="S438" s="118"/>
      <c r="T438" s="118"/>
      <c r="U438" s="118"/>
      <c r="V438" s="118"/>
      <c r="W438" s="118"/>
      <c r="X438" s="118"/>
      <c r="Y438" s="118"/>
      <c r="Z438" s="118"/>
      <c r="AA438" s="118"/>
      <c r="AB438" s="118" t="s">
        <v>78</v>
      </c>
      <c r="AC438" s="136">
        <f>((((H438+J438)*2/1000)*L438*(5/(VLOOKUP(F438,[2]Plasmalõikus!$A$7:$E$46,2,FALSE)/1000*60)))+(Q438*L438*(5*(VLOOKUP(F438,[2]Plasmalõikus!$A$7:$E$48,3,FALSE))/60/60)))</f>
        <v>5.3555555555555543</v>
      </c>
      <c r="AD438" s="330"/>
      <c r="AE438" s="136"/>
      <c r="AF438" s="137"/>
      <c r="AG438" s="137">
        <f t="shared" ref="AG438:AG439" si="787">IF(VALUE(MID(F438,SEARCH(" ",F438)+1,LEN(F438)))&lt;35,0,IF(VALUE(MID(F438,SEARCH(" ",F438)+1,LEN(F438)))&lt;40,3,IF(VALUE(MID(F438,SEARCH(" ",F438)+1,LEN(F438)))&lt;50,4,IF(VALUE(MID(F438,SEARCH(" ",F438)+1,LEN(F438)))&lt;60,5,IF(VALUE(MID(F438,SEARCH(" ",F438)+1,LEN(F438)))&lt;70,6,IF(VALUE(MID(F438,SEARCH(" ",F438)+1,LEN(F438)))&lt;80,7,IF(VALUE(MID(F438,SEARCH(" ",F438)+1,LEN(F438)))&lt;90,8,IF(VALUE(MID(F438,SEARCH(" ",F438)+1,LEN(F438)))&lt;100,9,10))))))))/60*Q438*L438</f>
        <v>0</v>
      </c>
      <c r="AH438" s="136"/>
      <c r="AI438" s="132">
        <f t="shared" si="770"/>
        <v>6</v>
      </c>
      <c r="AJ438" s="70"/>
      <c r="AK438" s="50">
        <v>2</v>
      </c>
      <c r="AL438" s="69" t="str">
        <f t="shared" si="764"/>
        <v>15</v>
      </c>
      <c r="AP438" s="146">
        <f>(VLOOKUP(F438,Terasehind!$A$2:$B$171,2,FALSE))</f>
        <v>0.92</v>
      </c>
      <c r="AQ438" s="50">
        <f>(VLOOKUP(F438,Terasehind!$A$2:$C$171,3,FALSE))</f>
        <v>1.1000000000000001</v>
      </c>
      <c r="AR438" s="138">
        <f t="shared" si="771"/>
        <v>225.45639600000004</v>
      </c>
      <c r="AT438" s="62"/>
      <c r="AU438" s="62"/>
      <c r="AV438" s="62"/>
      <c r="AW438" s="62"/>
      <c r="AX438" s="62"/>
      <c r="AY438" s="62"/>
      <c r="AZ438" s="77"/>
      <c r="BA438" s="188">
        <f t="shared" si="772"/>
        <v>3.1359999999999997</v>
      </c>
      <c r="BB438" s="283"/>
      <c r="BC438" s="62"/>
      <c r="BD438" s="284"/>
      <c r="BE438" s="131"/>
      <c r="BF438"/>
      <c r="BG438" s="57"/>
      <c r="BH438" s="57"/>
      <c r="BI438" s="57"/>
      <c r="BJ438" s="57"/>
      <c r="BK438" s="57"/>
      <c r="BL438" s="109"/>
      <c r="BM438" s="109"/>
      <c r="BN438" s="109"/>
      <c r="BO438" s="83"/>
      <c r="BQ438" s="83"/>
      <c r="BR438" s="83"/>
    </row>
    <row r="439" spans="1:70" s="50" customFormat="1" x14ac:dyDescent="0.25">
      <c r="A439" s="116">
        <f t="shared" si="759"/>
        <v>4.5529999999999999</v>
      </c>
      <c r="B439" s="116">
        <f t="shared" si="785"/>
        <v>45.53</v>
      </c>
      <c r="C439" s="118" t="s">
        <v>454</v>
      </c>
      <c r="D439" s="117" t="s">
        <v>81</v>
      </c>
      <c r="E439" s="290"/>
      <c r="F439" s="355" t="s">
        <v>324</v>
      </c>
      <c r="G439" s="117" t="s">
        <v>83</v>
      </c>
      <c r="H439" s="119">
        <v>200</v>
      </c>
      <c r="I439" s="118" t="s">
        <v>77</v>
      </c>
      <c r="J439" s="119">
        <v>580</v>
      </c>
      <c r="K439" s="119">
        <v>10</v>
      </c>
      <c r="L439" s="119">
        <f>K$439*L$432</f>
        <v>10</v>
      </c>
      <c r="M439" s="116">
        <f t="shared" si="786"/>
        <v>2.3200000000000003</v>
      </c>
      <c r="N439" s="118" t="s">
        <v>84</v>
      </c>
      <c r="P439" s="118"/>
      <c r="Q439" s="294">
        <v>16</v>
      </c>
      <c r="R439" s="118"/>
      <c r="S439" s="118"/>
      <c r="T439" s="118"/>
      <c r="U439" s="118"/>
      <c r="V439" s="118"/>
      <c r="W439" s="118"/>
      <c r="X439" s="118"/>
      <c r="Y439" s="118"/>
      <c r="Z439" s="118"/>
      <c r="AA439" s="118"/>
      <c r="AB439" s="118" t="s">
        <v>78</v>
      </c>
      <c r="AC439" s="136">
        <f>((((H439+J439)*2/1000)*L439*(5/(VLOOKUP(F439,[2]Plasmalõikus!$A$7:$E$46,2,FALSE)/1000*60)))+(Q439*L439*(5*(VLOOKUP(F439,[2]Plasmalõikus!$A$7:$E$48,3,FALSE))/60/60)))</f>
        <v>2.1388888888888888</v>
      </c>
      <c r="AD439" s="330"/>
      <c r="AE439" s="136"/>
      <c r="AF439" s="137"/>
      <c r="AG439" s="137">
        <f t="shared" si="787"/>
        <v>0</v>
      </c>
      <c r="AH439" s="136"/>
      <c r="AI439" s="132">
        <f t="shared" si="770"/>
        <v>2.5</v>
      </c>
      <c r="AJ439" s="70"/>
      <c r="AK439" s="50">
        <v>2</v>
      </c>
      <c r="AL439" s="69" t="str">
        <f t="shared" si="764"/>
        <v>15</v>
      </c>
      <c r="AP439" s="146">
        <f>(VLOOKUP(F439,Terasehind!$A$2:$B$171,2,FALSE))</f>
        <v>0.92</v>
      </c>
      <c r="AQ439" s="50">
        <f>(VLOOKUP(F439,Terasehind!$A$2:$C$171,3,FALSE))</f>
        <v>1.1000000000000001</v>
      </c>
      <c r="AR439" s="138">
        <f t="shared" si="771"/>
        <v>46.076360000000008</v>
      </c>
      <c r="AT439" s="62"/>
      <c r="AU439" s="62"/>
      <c r="AV439" s="62"/>
      <c r="AW439" s="62"/>
      <c r="AX439" s="62"/>
      <c r="AY439" s="62"/>
      <c r="AZ439" s="77"/>
      <c r="BA439" s="188">
        <f t="shared" si="772"/>
        <v>1.04</v>
      </c>
      <c r="BB439" s="283"/>
      <c r="BC439" s="62"/>
      <c r="BD439" s="284"/>
      <c r="BE439" s="131"/>
      <c r="BF439"/>
      <c r="BG439" s="57"/>
      <c r="BH439" s="57"/>
      <c r="BI439" s="57"/>
      <c r="BJ439" s="57"/>
      <c r="BK439" s="57"/>
      <c r="BL439" s="109"/>
      <c r="BM439" s="109"/>
      <c r="BN439" s="109"/>
      <c r="BO439" s="83"/>
      <c r="BQ439" s="83"/>
      <c r="BR439" s="83"/>
    </row>
    <row r="440" spans="1:70" s="50" customFormat="1" x14ac:dyDescent="0.25">
      <c r="A440" s="116">
        <f t="shared" si="759"/>
        <v>9.7143750000000004</v>
      </c>
      <c r="B440" s="116">
        <f t="shared" ref="B440:B441" si="788">A440*L440</f>
        <v>310.86</v>
      </c>
      <c r="C440" s="118" t="s">
        <v>454</v>
      </c>
      <c r="D440" s="117" t="s">
        <v>81</v>
      </c>
      <c r="E440" s="290"/>
      <c r="F440" s="355" t="s">
        <v>324</v>
      </c>
      <c r="G440" s="117" t="s">
        <v>83</v>
      </c>
      <c r="H440" s="119">
        <v>450</v>
      </c>
      <c r="I440" s="118" t="s">
        <v>77</v>
      </c>
      <c r="J440" s="119">
        <v>550</v>
      </c>
      <c r="K440" s="119">
        <v>32</v>
      </c>
      <c r="L440" s="119">
        <f>K$440*L$432</f>
        <v>32</v>
      </c>
      <c r="M440" s="116">
        <f t="shared" ref="M440:M441" si="789">2*H440*J440/10^6*L440</f>
        <v>15.84</v>
      </c>
      <c r="N440" s="118" t="s">
        <v>84</v>
      </c>
      <c r="P440" s="118"/>
      <c r="Q440" s="294">
        <v>16</v>
      </c>
      <c r="R440" s="118"/>
      <c r="S440" s="118"/>
      <c r="T440" s="118"/>
      <c r="U440" s="118"/>
      <c r="V440" s="118"/>
      <c r="W440" s="118"/>
      <c r="X440" s="118"/>
      <c r="Y440" s="118"/>
      <c r="Z440" s="118"/>
      <c r="AA440" s="118"/>
      <c r="AB440" s="118" t="s">
        <v>78</v>
      </c>
      <c r="AC440" s="136">
        <f>((((H440+J440)*2/1000)*L440*(5/(VLOOKUP(F440,[2]Plasmalõikus!$A$7:$E$46,2,FALSE)/1000*60)))+(Q440*L440*(5*(VLOOKUP(F440,[2]Plasmalõikus!$A$7:$E$48,3,FALSE))/60/60)))</f>
        <v>7.1703703703703692</v>
      </c>
      <c r="AD440" s="330"/>
      <c r="AE440" s="136"/>
      <c r="AF440" s="137"/>
      <c r="AG440" s="137">
        <f t="shared" ref="AG440:AG441" si="790">IF(VALUE(MID(F440,SEARCH(" ",F440)+1,LEN(F440)))&lt;35,0,IF(VALUE(MID(F440,SEARCH(" ",F440)+1,LEN(F440)))&lt;40,3,IF(VALUE(MID(F440,SEARCH(" ",F440)+1,LEN(F440)))&lt;50,4,IF(VALUE(MID(F440,SEARCH(" ",F440)+1,LEN(F440)))&lt;60,5,IF(VALUE(MID(F440,SEARCH(" ",F440)+1,LEN(F440)))&lt;70,6,IF(VALUE(MID(F440,SEARCH(" ",F440)+1,LEN(F440)))&lt;80,7,IF(VALUE(MID(F440,SEARCH(" ",F440)+1,LEN(F440)))&lt;90,8,IF(VALUE(MID(F440,SEARCH(" ",F440)+1,LEN(F440)))&lt;100,9,10))))))))/60*Q440*L440</f>
        <v>0</v>
      </c>
      <c r="AH440" s="136"/>
      <c r="AI440" s="132">
        <f t="shared" ref="AI440:AI441" si="791">AL440*L440/60</f>
        <v>8</v>
      </c>
      <c r="AJ440" s="70"/>
      <c r="AK440" s="50">
        <v>2</v>
      </c>
      <c r="AL440" s="69" t="str">
        <f t="shared" si="764"/>
        <v>15</v>
      </c>
      <c r="AP440" s="146">
        <f>(VLOOKUP(F440,Terasehind!$A$2:$B$171,2,FALSE))</f>
        <v>0.92</v>
      </c>
      <c r="AQ440" s="50">
        <f>(VLOOKUP(F440,Terasehind!$A$2:$C$171,3,FALSE))</f>
        <v>1.1000000000000001</v>
      </c>
      <c r="AR440" s="138">
        <f t="shared" ref="AR440:AR441" si="792">AP440*AQ440*B440</f>
        <v>314.59032000000008</v>
      </c>
      <c r="AT440" s="62"/>
      <c r="AU440" s="62"/>
      <c r="AV440" s="62"/>
      <c r="AW440" s="62"/>
      <c r="AX440" s="62"/>
      <c r="AY440" s="62"/>
      <c r="AZ440" s="77"/>
      <c r="BA440" s="188">
        <f t="shared" ref="BA440:BA441" si="793">(H440*2+J440*2)*2*2/60/1000*L440</f>
        <v>4.2666666666666666</v>
      </c>
      <c r="BB440" s="283"/>
      <c r="BC440" s="62"/>
      <c r="BD440" s="284"/>
      <c r="BE440" s="131"/>
      <c r="BF440"/>
      <c r="BG440" s="57"/>
      <c r="BH440" s="57"/>
      <c r="BI440" s="57"/>
      <c r="BJ440" s="57"/>
      <c r="BK440" s="57"/>
      <c r="BL440" s="109"/>
      <c r="BM440" s="109"/>
      <c r="BN440" s="109"/>
      <c r="BO440" s="83"/>
      <c r="BQ440" s="83"/>
      <c r="BR440" s="83"/>
    </row>
    <row r="441" spans="1:70" s="50" customFormat="1" x14ac:dyDescent="0.25">
      <c r="A441" s="116">
        <f t="shared" si="759"/>
        <v>45.216000000000001</v>
      </c>
      <c r="B441" s="116">
        <f t="shared" si="788"/>
        <v>226.08</v>
      </c>
      <c r="C441" s="118"/>
      <c r="D441" s="117" t="s">
        <v>81</v>
      </c>
      <c r="E441" s="290"/>
      <c r="F441" s="355" t="s">
        <v>89</v>
      </c>
      <c r="G441" s="117" t="s">
        <v>83</v>
      </c>
      <c r="H441" s="119">
        <v>300</v>
      </c>
      <c r="I441" s="118" t="s">
        <v>77</v>
      </c>
      <c r="J441" s="119">
        <v>640</v>
      </c>
      <c r="K441" s="119">
        <v>5</v>
      </c>
      <c r="L441" s="119">
        <f>K$441*L$432</f>
        <v>5</v>
      </c>
      <c r="M441" s="116">
        <f t="shared" si="789"/>
        <v>1.92</v>
      </c>
      <c r="N441" s="118" t="s">
        <v>84</v>
      </c>
      <c r="P441" s="118"/>
      <c r="Q441" s="294">
        <v>12</v>
      </c>
      <c r="R441" s="118"/>
      <c r="S441" s="118"/>
      <c r="T441" s="118"/>
      <c r="U441" s="118"/>
      <c r="V441" s="118"/>
      <c r="W441" s="118"/>
      <c r="X441" s="118"/>
      <c r="Y441" s="118"/>
      <c r="Z441" s="118"/>
      <c r="AA441" s="118"/>
      <c r="AB441" s="118" t="s">
        <v>78</v>
      </c>
      <c r="AC441" s="136">
        <f>((((H441+J441)*2/1000)*L441*(5/(VLOOKUP(F441,[2]Plasmalõikus!$A$7:$E$46,2,FALSE)/1000*60)))+(Q441*L441*(5*(VLOOKUP(F441,[2]Plasmalõikus!$A$7:$E$48,3,FALSE))/60/60)))</f>
        <v>2.3194444444444446</v>
      </c>
      <c r="AD441" s="330"/>
      <c r="AE441" s="136"/>
      <c r="AF441" s="137"/>
      <c r="AG441" s="137">
        <f t="shared" si="790"/>
        <v>0</v>
      </c>
      <c r="AH441" s="136"/>
      <c r="AI441" s="132">
        <f t="shared" si="791"/>
        <v>2.5</v>
      </c>
      <c r="AJ441" s="70"/>
      <c r="AK441" s="50">
        <v>2</v>
      </c>
      <c r="AL441" s="69" t="str">
        <f t="shared" si="764"/>
        <v>30</v>
      </c>
      <c r="AP441" s="146">
        <f>(VLOOKUP(F441,Terasehind!$A$2:$B$171,2,FALSE))</f>
        <v>0.92</v>
      </c>
      <c r="AQ441" s="50">
        <f>(VLOOKUP(F441,Terasehind!$A$2:$C$171,3,FALSE))</f>
        <v>1.1000000000000001</v>
      </c>
      <c r="AR441" s="138">
        <f t="shared" si="792"/>
        <v>228.79296000000008</v>
      </c>
      <c r="AT441" s="62"/>
      <c r="AU441" s="62"/>
      <c r="AV441" s="62"/>
      <c r="AW441" s="62"/>
      <c r="AX441" s="62"/>
      <c r="AY441" s="62"/>
      <c r="AZ441" s="77"/>
      <c r="BA441" s="188">
        <f t="shared" si="793"/>
        <v>0.62666666666666659</v>
      </c>
      <c r="BB441" s="283"/>
      <c r="BC441" s="62"/>
      <c r="BD441" s="284"/>
      <c r="BE441" s="131"/>
      <c r="BF441"/>
      <c r="BG441" s="57"/>
      <c r="BH441" s="57"/>
      <c r="BI441" s="57"/>
      <c r="BJ441" s="57"/>
      <c r="BK441" s="57"/>
      <c r="BL441" s="109"/>
      <c r="BM441" s="109"/>
      <c r="BN441" s="109"/>
      <c r="BO441" s="83"/>
      <c r="BQ441" s="83"/>
      <c r="BR441" s="83"/>
    </row>
    <row r="442" spans="1:70" customFormat="1" x14ac:dyDescent="0.25">
      <c r="F442" s="30"/>
      <c r="AD442" s="328" t="s">
        <v>393</v>
      </c>
    </row>
    <row r="443" spans="1:70" s="50" customFormat="1" x14ac:dyDescent="0.25">
      <c r="A443" s="148">
        <f>B443/L443</f>
        <v>95.756799999999998</v>
      </c>
      <c r="B443" s="285">
        <f>SUM(B445,B444,0)</f>
        <v>383.02719999999999</v>
      </c>
      <c r="C443" s="286">
        <f>(SUM(B75:B75)/B443)</f>
        <v>0</v>
      </c>
      <c r="D443" s="149" t="s">
        <v>85</v>
      </c>
      <c r="E443" s="149"/>
      <c r="F443" s="357" t="s">
        <v>491</v>
      </c>
      <c r="G443" s="177" t="str">
        <f>$G$16</f>
        <v>C3VH</v>
      </c>
      <c r="H443" s="150">
        <v>160</v>
      </c>
      <c r="I443" s="151" t="s">
        <v>77</v>
      </c>
      <c r="J443" s="150"/>
      <c r="K443" s="134">
        <v>4</v>
      </c>
      <c r="L443" s="150">
        <f>$L$428*$K$443</f>
        <v>4</v>
      </c>
      <c r="M443" s="148">
        <f>SUM(M445,M444,0)</f>
        <v>3.7888000000000002</v>
      </c>
      <c r="N443" s="151"/>
      <c r="O443" s="151"/>
      <c r="P443" s="151"/>
      <c r="Q443" s="151"/>
      <c r="R443" s="120"/>
      <c r="S443" s="120"/>
      <c r="T443" s="120"/>
      <c r="U443" s="120"/>
      <c r="V443" s="120"/>
      <c r="W443" s="118"/>
      <c r="X443" s="118" t="s">
        <v>78</v>
      </c>
      <c r="Y443" s="151">
        <v>4</v>
      </c>
      <c r="Z443" s="151"/>
      <c r="AA443" s="151"/>
      <c r="AB443" s="151"/>
      <c r="AC443" s="148">
        <f>SUM(AC445,AC444,0)</f>
        <v>3.7111111111111112</v>
      </c>
      <c r="AD443" s="148">
        <f>SUM(AD445,AD444,0)</f>
        <v>0</v>
      </c>
      <c r="AE443" s="148">
        <f>SUM(AE445,AE444,0)</f>
        <v>0.46666666666666667</v>
      </c>
      <c r="AF443" s="148">
        <f>SUM(AF445,AF444,0)</f>
        <v>0</v>
      </c>
      <c r="AG443" s="148">
        <f>SUM(AG445,AG444,0)</f>
        <v>0</v>
      </c>
      <c r="AH443" s="107">
        <f>SUM(AC443:AG443)</f>
        <v>4.177777777777778</v>
      </c>
      <c r="AI443" s="107">
        <f>SUM(AI445,AI444,0)</f>
        <v>4.1333333333333337</v>
      </c>
      <c r="AJ443" s="148">
        <f>SUM(AJ445,AJ444,0)</f>
        <v>10.24</v>
      </c>
      <c r="AK443" s="107">
        <f>AJ443*10/60</f>
        <v>1.7066666666666668</v>
      </c>
      <c r="AL443" s="148">
        <f>AH443+AI443+AK443</f>
        <v>10.017777777777779</v>
      </c>
      <c r="AM443" s="288">
        <f>B443/AL443</f>
        <v>38.234747116237799</v>
      </c>
      <c r="AN443" s="148">
        <f>AL443*46</f>
        <v>460.81777777777785</v>
      </c>
      <c r="AO443" s="148">
        <f>AN443/B443</f>
        <v>1.2030941347710498</v>
      </c>
      <c r="AP443" s="148">
        <f>AR443/B443</f>
        <v>1.0413607806442993</v>
      </c>
      <c r="AQ443" s="67"/>
      <c r="AR443" s="148">
        <f>SUM(AR445,AR444,0)</f>
        <v>398.86950400000012</v>
      </c>
      <c r="AT443" s="62"/>
      <c r="AU443" s="62"/>
      <c r="AV443" s="62"/>
      <c r="AW443" s="62"/>
      <c r="AX443" s="62"/>
      <c r="AY443" s="62"/>
      <c r="AZ443" s="77"/>
      <c r="BA443" s="148">
        <f>SUM(BA445,BA444,0)</f>
        <v>1.3813333333333333</v>
      </c>
      <c r="BB443" s="283"/>
      <c r="BC443" s="62"/>
      <c r="BD443" s="289"/>
      <c r="BF443" s="19"/>
      <c r="BG443" s="57"/>
      <c r="BH443" s="57"/>
      <c r="BI443" s="57"/>
      <c r="BJ443" s="57"/>
      <c r="BK443" s="60"/>
    </row>
    <row r="444" spans="1:70" s="50" customFormat="1" x14ac:dyDescent="0.25">
      <c r="A444" s="116">
        <f>H444*J444*(RIGHT(F444,2))*7.85/(10^6)</f>
        <v>45.216000000000001</v>
      </c>
      <c r="B444" s="116">
        <f t="shared" ref="B444" si="794">A444*L444</f>
        <v>361.72800000000001</v>
      </c>
      <c r="C444" s="118"/>
      <c r="D444" s="117" t="s">
        <v>81</v>
      </c>
      <c r="E444" s="290"/>
      <c r="F444" s="355" t="s">
        <v>89</v>
      </c>
      <c r="G444" s="117" t="s">
        <v>83</v>
      </c>
      <c r="H444" s="119">
        <v>300</v>
      </c>
      <c r="I444" s="118" t="s">
        <v>77</v>
      </c>
      <c r="J444" s="119">
        <v>640</v>
      </c>
      <c r="K444" s="119">
        <v>2</v>
      </c>
      <c r="L444" s="119">
        <f>K$444*L$443</f>
        <v>8</v>
      </c>
      <c r="M444" s="116">
        <f t="shared" ref="M444" si="795">2*H444*J444/10^6*L444</f>
        <v>3.0720000000000001</v>
      </c>
      <c r="N444" s="118" t="s">
        <v>84</v>
      </c>
      <c r="P444" s="118"/>
      <c r="Q444" s="294">
        <v>12</v>
      </c>
      <c r="R444" s="118"/>
      <c r="S444" s="118"/>
      <c r="T444" s="118"/>
      <c r="U444" s="118"/>
      <c r="V444" s="118"/>
      <c r="W444" s="118"/>
      <c r="X444" s="118"/>
      <c r="Y444" s="118"/>
      <c r="Z444" s="118"/>
      <c r="AA444" s="118"/>
      <c r="AB444" s="118" t="s">
        <v>78</v>
      </c>
      <c r="AC444" s="136">
        <f>((((H444+J444)*2/1000)*L444*(5/(VLOOKUP(F444,[2]Plasmalõikus!$A$7:$E$46,2,FALSE)/1000*60)))+(Q444*L444*(5*(VLOOKUP(F444,[2]Plasmalõikus!$A$7:$E$48,3,FALSE))/60/60)))</f>
        <v>3.7111111111111112</v>
      </c>
      <c r="AD444" s="330"/>
      <c r="AE444" s="136"/>
      <c r="AF444" s="137"/>
      <c r="AG444" s="137">
        <f t="shared" ref="AG444" si="796">IF(VALUE(MID(F444,SEARCH(" ",F444)+1,LEN(F444)))&lt;35,0,IF(VALUE(MID(F444,SEARCH(" ",F444)+1,LEN(F444)))&lt;40,3,IF(VALUE(MID(F444,SEARCH(" ",F444)+1,LEN(F444)))&lt;50,4,IF(VALUE(MID(F444,SEARCH(" ",F444)+1,LEN(F444)))&lt;60,5,IF(VALUE(MID(F444,SEARCH(" ",F444)+1,LEN(F444)))&lt;70,6,IF(VALUE(MID(F444,SEARCH(" ",F444)+1,LEN(F444)))&lt;80,7,IF(VALUE(MID(F444,SEARCH(" ",F444)+1,LEN(F444)))&lt;90,8,IF(VALUE(MID(F444,SEARCH(" ",F444)+1,LEN(F444)))&lt;100,9,10))))))))/60*Q444*L444</f>
        <v>0</v>
      </c>
      <c r="AH444" s="136"/>
      <c r="AI444" s="132">
        <f t="shared" ref="AI444:AI445" si="797">AL444*L444/60</f>
        <v>4</v>
      </c>
      <c r="AJ444" s="70"/>
      <c r="AK444" s="50">
        <v>2</v>
      </c>
      <c r="AL444" s="69" t="str">
        <f>IF(AND(Q444&gt;0,A444&lt;3),"10",IF(AND(Q444&gt;0,A444&lt;10),"15",IF(AND(Q444&gt;0,A444&lt;20),"20",IF(AND(Q444&gt;0,A444&lt;500),"30",IF(AND(Q444=0,A444&lt;3),"2",IF(AND(Q444=0,A444&lt;10),"5",IF(AND(Q444=0,A444&lt;20),"10",IF(AND(Q444=0,A444&lt;500),"20","2"))))))))</f>
        <v>30</v>
      </c>
      <c r="AP444" s="146">
        <f>(VLOOKUP(F444,Terasehind!$A$2:$B$171,2,FALSE))</f>
        <v>0.92</v>
      </c>
      <c r="AQ444" s="50">
        <f>(VLOOKUP(F444,Terasehind!$A$2:$C$171,3,FALSE))</f>
        <v>1.1000000000000001</v>
      </c>
      <c r="AR444" s="138">
        <f t="shared" ref="AR444:AR445" si="798">AP444*AQ444*B444</f>
        <v>366.06873600000011</v>
      </c>
      <c r="AT444" s="62"/>
      <c r="AU444" s="62"/>
      <c r="AV444" s="62"/>
      <c r="AW444" s="62"/>
      <c r="AX444" s="62"/>
      <c r="AY444" s="62"/>
      <c r="AZ444" s="77"/>
      <c r="BA444" s="188">
        <f t="shared" ref="BA444:BA445" si="799">(H444*2+J444*2)*2*2/60/1000*L444</f>
        <v>1.0026666666666666</v>
      </c>
      <c r="BB444" s="283"/>
      <c r="BC444" s="62"/>
      <c r="BD444" s="284"/>
      <c r="BE444" s="131"/>
      <c r="BF444"/>
      <c r="BG444" s="57"/>
      <c r="BH444" s="57"/>
      <c r="BI444" s="57"/>
      <c r="BJ444" s="57"/>
      <c r="BK444" s="57"/>
      <c r="BL444" s="109"/>
      <c r="BM444" s="109"/>
      <c r="BN444" s="109"/>
      <c r="BO444" s="83"/>
      <c r="BQ444" s="83"/>
      <c r="BR444" s="83"/>
    </row>
    <row r="445" spans="1:70" s="50" customFormat="1" x14ac:dyDescent="0.25">
      <c r="A445" s="116">
        <f xml:space="preserve"> 8.32*J445/10^3</f>
        <v>5.3247999999999998</v>
      </c>
      <c r="B445" s="116">
        <f>A445*L445</f>
        <v>21.299199999999999</v>
      </c>
      <c r="C445" s="295"/>
      <c r="D445" s="117" t="s">
        <v>85</v>
      </c>
      <c r="E445" s="117"/>
      <c r="F445" s="355" t="s">
        <v>390</v>
      </c>
      <c r="G445" s="140" t="s">
        <v>83</v>
      </c>
      <c r="H445" s="119">
        <v>70</v>
      </c>
      <c r="I445" s="118" t="s">
        <v>77</v>
      </c>
      <c r="J445" s="119">
        <v>640</v>
      </c>
      <c r="K445" s="119">
        <v>1</v>
      </c>
      <c r="L445" s="119">
        <f>K$445*L$443</f>
        <v>4</v>
      </c>
      <c r="M445" s="131">
        <f xml:space="preserve"> 0.28*J445*L445/10^3</f>
        <v>0.7168000000000001</v>
      </c>
      <c r="N445" s="118"/>
      <c r="O445" s="118"/>
      <c r="P445" s="118" t="s">
        <v>78</v>
      </c>
      <c r="Q445" s="135"/>
      <c r="R445" s="118"/>
      <c r="S445" s="118"/>
      <c r="T445" s="118"/>
      <c r="U445" s="118"/>
      <c r="V445" s="118"/>
      <c r="W445" s="118"/>
      <c r="Y445" s="118"/>
      <c r="Z445" s="118"/>
      <c r="AA445" s="118"/>
      <c r="AB445" s="118" t="s">
        <v>78</v>
      </c>
      <c r="AC445" s="116"/>
      <c r="AD445" s="83"/>
      <c r="AE445" s="136">
        <f t="shared" ref="AE445" si="800">(H445/20/60)*2*L445</f>
        <v>0.46666666666666667</v>
      </c>
      <c r="AF445" s="137"/>
      <c r="AG445" s="132">
        <f>Q445*L445*0.5/60</f>
        <v>0</v>
      </c>
      <c r="AH445" s="83"/>
      <c r="AI445" s="132">
        <f t="shared" si="797"/>
        <v>0.13333333333333333</v>
      </c>
      <c r="AJ445" s="70">
        <f>(J445*2*AK445)*L445/1000</f>
        <v>10.24</v>
      </c>
      <c r="AK445" s="50">
        <f>(VLOOKUP(F445,[2]Koostamine!$A$12:$P$1612,7,FALSE))</f>
        <v>2</v>
      </c>
      <c r="AL445" s="69">
        <f>VLOOKUP(F445,[2]Koostamine!$A$12:$P$1612,IF(J445&lt;1499,11,IF(J445&lt;2999,12,IF(J445&lt;5999,13,IF(J445&lt;9999,14,IF(J445&lt;12999,15,IF(J445&gt;13000,16)))))),FALSE)</f>
        <v>2</v>
      </c>
      <c r="AP445" s="146">
        <f>(VLOOKUP(F445,Terasehind!$A$2:$B$171,2,FALSE))</f>
        <v>1.4</v>
      </c>
      <c r="AQ445" s="50">
        <f>(VLOOKUP(F445,Terasehind!$A$2:$C$171,3,FALSE))</f>
        <v>1.1000000000000001</v>
      </c>
      <c r="AR445" s="138">
        <f t="shared" si="798"/>
        <v>32.800767999999998</v>
      </c>
      <c r="AT445" s="60"/>
      <c r="AU445" s="77"/>
      <c r="AV445" s="77"/>
      <c r="AW445" s="77"/>
      <c r="AX445" s="121"/>
      <c r="AY445" s="77"/>
      <c r="AZ445" s="77"/>
      <c r="BA445" s="188">
        <f t="shared" si="799"/>
        <v>0.37866666666666671</v>
      </c>
      <c r="BB445" s="283"/>
      <c r="BC445" s="62"/>
      <c r="BD445" s="284"/>
      <c r="BE445" s="131"/>
      <c r="BF445"/>
      <c r="BG445" s="57"/>
      <c r="BH445" s="57"/>
      <c r="BI445" s="57"/>
      <c r="BJ445" s="57"/>
      <c r="BK445" s="57"/>
      <c r="BL445" s="60"/>
      <c r="BM445" s="57"/>
      <c r="BN445" s="60"/>
      <c r="BO445" s="83"/>
      <c r="BQ445" s="109"/>
    </row>
    <row r="446" spans="1:70" customFormat="1" x14ac:dyDescent="0.25">
      <c r="F446" s="30"/>
      <c r="AD446" s="328" t="s">
        <v>393</v>
      </c>
    </row>
    <row r="447" spans="1:70" s="50" customFormat="1" x14ac:dyDescent="0.25">
      <c r="A447" s="148">
        <f>B447/L447</f>
        <v>33.252000000000002</v>
      </c>
      <c r="B447" s="285">
        <f>SUM(B449,B448,0)</f>
        <v>133.00800000000001</v>
      </c>
      <c r="C447" s="286">
        <f>(SUM(B79:B79)/B447)</f>
        <v>1.7800132322867797</v>
      </c>
      <c r="D447" s="149" t="s">
        <v>85</v>
      </c>
      <c r="E447" s="149"/>
      <c r="F447" s="357" t="s">
        <v>491</v>
      </c>
      <c r="G447" s="177" t="str">
        <f>$G$16</f>
        <v>C3VH</v>
      </c>
      <c r="H447" s="150">
        <v>160</v>
      </c>
      <c r="I447" s="151" t="s">
        <v>77</v>
      </c>
      <c r="J447" s="150"/>
      <c r="K447" s="134">
        <v>4</v>
      </c>
      <c r="L447" s="150">
        <f>$L$428*$K$447</f>
        <v>4</v>
      </c>
      <c r="M447" s="148">
        <f>SUM(M449,M448,0)</f>
        <v>2.5920000000000001</v>
      </c>
      <c r="N447" s="151"/>
      <c r="O447" s="151"/>
      <c r="P447" s="151"/>
      <c r="Q447" s="151"/>
      <c r="R447" s="120"/>
      <c r="S447" s="120"/>
      <c r="T447" s="120"/>
      <c r="U447" s="120"/>
      <c r="V447" s="120"/>
      <c r="W447" s="118"/>
      <c r="X447" s="118" t="s">
        <v>78</v>
      </c>
      <c r="Y447" s="151">
        <v>4</v>
      </c>
      <c r="Z447" s="151"/>
      <c r="AA447" s="151"/>
      <c r="AB447" s="151"/>
      <c r="AC447" s="148">
        <f>SUM(AC449,AC448,0)</f>
        <v>1.7925925925925927</v>
      </c>
      <c r="AD447" s="148">
        <f>SUM(AD449,AD448,0)</f>
        <v>0</v>
      </c>
      <c r="AE447" s="148">
        <f>SUM(AE449,AE448,0)</f>
        <v>0.46666666666666667</v>
      </c>
      <c r="AF447" s="148">
        <f>SUM(AF449,AF448,0)</f>
        <v>0</v>
      </c>
      <c r="AG447" s="148">
        <f>SUM(AG449,AG448,0)</f>
        <v>0</v>
      </c>
      <c r="AH447" s="107">
        <f>SUM(AC447:AG447)</f>
        <v>2.2592592592592595</v>
      </c>
      <c r="AI447" s="107">
        <f>SUM(AI449,AI448,0)</f>
        <v>2.8</v>
      </c>
      <c r="AJ447" s="148">
        <f>SUM(AJ449,AJ448,0)</f>
        <v>9.6</v>
      </c>
      <c r="AK447" s="107">
        <f>AJ447*10/60</f>
        <v>1.6</v>
      </c>
      <c r="AL447" s="148">
        <f>AH447+AI447+AK447</f>
        <v>6.6592592592592599</v>
      </c>
      <c r="AM447" s="288">
        <f>B447/AL447</f>
        <v>19.973392658509454</v>
      </c>
      <c r="AN447" s="148">
        <f>AL447*46</f>
        <v>306.32592592592596</v>
      </c>
      <c r="AO447" s="148">
        <f>AN447/B447</f>
        <v>2.3030639204102457</v>
      </c>
      <c r="AP447" s="148">
        <f>AR447/B447</f>
        <v>1.0912666907253703</v>
      </c>
      <c r="AQ447" s="67"/>
      <c r="AR447" s="148">
        <f>SUM(AR449,AR448,0)</f>
        <v>145.14720000000005</v>
      </c>
      <c r="AT447" s="62"/>
      <c r="AU447" s="62"/>
      <c r="AV447" s="62"/>
      <c r="AW447" s="62"/>
      <c r="AX447" s="62"/>
      <c r="AY447" s="62"/>
      <c r="AZ447" s="77"/>
      <c r="BA447" s="148" t="e">
        <f>SUM(#REF!,#REF!,0)</f>
        <v>#REF!</v>
      </c>
      <c r="BB447" s="283"/>
      <c r="BC447" s="62"/>
      <c r="BD447" s="289"/>
      <c r="BF447" s="19"/>
      <c r="BG447" s="57"/>
      <c r="BH447" s="57"/>
      <c r="BI447" s="57"/>
      <c r="BJ447" s="57"/>
      <c r="BK447" s="60"/>
    </row>
    <row r="448" spans="1:70" s="50" customFormat="1" x14ac:dyDescent="0.25">
      <c r="A448" s="116">
        <f>H448*J448*(RIGHT(F448,2))*7.85/(10^6)</f>
        <v>14.13</v>
      </c>
      <c r="B448" s="116">
        <f>A448*L448</f>
        <v>113.04</v>
      </c>
      <c r="C448" s="118"/>
      <c r="D448" s="117" t="s">
        <v>81</v>
      </c>
      <c r="E448" s="290"/>
      <c r="F448" s="375" t="s">
        <v>87</v>
      </c>
      <c r="G448" s="117" t="s">
        <v>83</v>
      </c>
      <c r="H448" s="119">
        <v>200</v>
      </c>
      <c r="I448" s="118" t="s">
        <v>77</v>
      </c>
      <c r="J448" s="119">
        <v>600</v>
      </c>
      <c r="K448" s="119">
        <v>2</v>
      </c>
      <c r="L448" s="119">
        <f>K$448*L$447</f>
        <v>8</v>
      </c>
      <c r="M448" s="116">
        <f>2*H448*J448/10^6*L448</f>
        <v>1.92</v>
      </c>
      <c r="N448" s="118" t="s">
        <v>84</v>
      </c>
      <c r="P448" s="118"/>
      <c r="Q448" s="294">
        <v>12</v>
      </c>
      <c r="R448" s="118"/>
      <c r="S448" s="118"/>
      <c r="T448" s="118"/>
      <c r="U448" s="118"/>
      <c r="V448" s="118"/>
      <c r="W448" s="118"/>
      <c r="X448" s="118"/>
      <c r="Y448" s="118"/>
      <c r="Z448" s="118"/>
      <c r="AA448" s="118"/>
      <c r="AB448" s="118" t="s">
        <v>78</v>
      </c>
      <c r="AC448" s="136">
        <f>((((H448+J448)*2/1000)*L448*(5/(VLOOKUP(F448,[2]Plasmalõikus!$A$7:$E$46,2,FALSE)/1000*60)))+(Q448*L448*(5*(VLOOKUP(F448,[2]Plasmalõikus!$A$7:$E$48,3,FALSE))/60/60)))</f>
        <v>1.7925925925925927</v>
      </c>
      <c r="AD448" s="330"/>
      <c r="AE448" s="136"/>
      <c r="AF448" s="137"/>
      <c r="AG448" s="137">
        <f>IF(VALUE(MID(F448,SEARCH(" ",F448)+1,LEN(F448)))&lt;35,0,IF(VALUE(MID(F448,SEARCH(" ",F448)+1,LEN(F448)))&lt;40,3,IF(VALUE(MID(F448,SEARCH(" ",F448)+1,LEN(F448)))&lt;50,4,IF(VALUE(MID(F448,SEARCH(" ",F448)+1,LEN(F448)))&lt;60,5,IF(VALUE(MID(F448,SEARCH(" ",F448)+1,LEN(F448)))&lt;70,6,IF(VALUE(MID(F448,SEARCH(" ",F448)+1,LEN(F448)))&lt;80,7,IF(VALUE(MID(F448,SEARCH(" ",F448)+1,LEN(F448)))&lt;90,8,IF(VALUE(MID(F448,SEARCH(" ",F448)+1,LEN(F448)))&lt;100,9,10))))))))/60*Q448*L448</f>
        <v>0</v>
      </c>
      <c r="AH448" s="136"/>
      <c r="AI448" s="132">
        <f>AL448*L448/60</f>
        <v>2.6666666666666665</v>
      </c>
      <c r="AJ448" s="70"/>
      <c r="AK448" s="50">
        <v>2</v>
      </c>
      <c r="AL448" s="69" t="str">
        <f>IF(AND(Q448&gt;0,A448&lt;3),"10",IF(AND(Q448&gt;0,A448&lt;10),"15",IF(AND(Q448&gt;0,A448&lt;20),"20",IF(AND(Q448&gt;0,A448&lt;500),"30",IF(AND(Q448=0,A448&lt;3),"2",IF(AND(Q448=0,A448&lt;10),"5",IF(AND(Q448=0,A448&lt;20),"10",IF(AND(Q448=0,A448&lt;500),"20","2"))))))))</f>
        <v>20</v>
      </c>
      <c r="AP448" s="146">
        <f>(VLOOKUP(F448,Terasehind!$A$2:$B$171,2,FALSE))</f>
        <v>0.92</v>
      </c>
      <c r="AQ448" s="50">
        <f>(VLOOKUP(F448,Terasehind!$A$2:$C$171,3,FALSE))</f>
        <v>1.1000000000000001</v>
      </c>
      <c r="AR448" s="138">
        <f>AP448*AQ448*B448</f>
        <v>114.39648000000004</v>
      </c>
      <c r="AT448" s="62"/>
      <c r="AU448" s="62"/>
      <c r="AV448" s="62"/>
      <c r="AW448" s="62"/>
      <c r="AX448" s="62"/>
      <c r="AY448" s="62"/>
      <c r="AZ448" s="77"/>
      <c r="BA448" s="188">
        <f>(H448*2+J448*2)*2*2/60/1000*L448</f>
        <v>0.85333333333333339</v>
      </c>
      <c r="BB448" s="283"/>
      <c r="BC448" s="62"/>
      <c r="BD448" s="284"/>
      <c r="BE448" s="131"/>
      <c r="BF448"/>
      <c r="BG448" s="57"/>
      <c r="BH448" s="57"/>
      <c r="BI448" s="57"/>
      <c r="BJ448" s="57"/>
      <c r="BK448" s="57"/>
      <c r="BL448" s="109"/>
      <c r="BM448" s="109"/>
      <c r="BN448" s="109"/>
      <c r="BO448" s="83"/>
      <c r="BQ448" s="83"/>
      <c r="BR448" s="83"/>
    </row>
    <row r="449" spans="1:70" s="50" customFormat="1" x14ac:dyDescent="0.25">
      <c r="A449" s="116">
        <f xml:space="preserve"> 8.32*J449/10^3</f>
        <v>4.992</v>
      </c>
      <c r="B449" s="116">
        <f>A449*L449</f>
        <v>19.968</v>
      </c>
      <c r="C449" s="295"/>
      <c r="D449" s="117" t="s">
        <v>85</v>
      </c>
      <c r="E449" s="117"/>
      <c r="F449" s="375" t="s">
        <v>390</v>
      </c>
      <c r="G449" s="140" t="s">
        <v>83</v>
      </c>
      <c r="H449" s="119">
        <v>70</v>
      </c>
      <c r="I449" s="118" t="s">
        <v>77</v>
      </c>
      <c r="J449" s="119">
        <v>600</v>
      </c>
      <c r="K449" s="119">
        <v>1</v>
      </c>
      <c r="L449" s="119">
        <f>K$449*L$447</f>
        <v>4</v>
      </c>
      <c r="M449" s="131">
        <f xml:space="preserve"> 0.28*J449*L449/10^3</f>
        <v>0.67200000000000015</v>
      </c>
      <c r="N449" s="118"/>
      <c r="O449" s="118"/>
      <c r="P449" s="118" t="s">
        <v>78</v>
      </c>
      <c r="Q449" s="135"/>
      <c r="R449" s="118"/>
      <c r="S449" s="118"/>
      <c r="T449" s="118"/>
      <c r="U449" s="118"/>
      <c r="V449" s="118"/>
      <c r="W449" s="118"/>
      <c r="Y449" s="118"/>
      <c r="Z449" s="118"/>
      <c r="AA449" s="118"/>
      <c r="AB449" s="118" t="s">
        <v>78</v>
      </c>
      <c r="AC449" s="116"/>
      <c r="AD449" s="83"/>
      <c r="AE449" s="136">
        <f t="shared" ref="AE449" si="801">(H449/20/60)*2*L449</f>
        <v>0.46666666666666667</v>
      </c>
      <c r="AF449" s="137"/>
      <c r="AG449" s="132">
        <f>Q449*L449*0.5/60</f>
        <v>0</v>
      </c>
      <c r="AH449" s="83"/>
      <c r="AI449" s="132">
        <f>AL449*L449/60</f>
        <v>0.13333333333333333</v>
      </c>
      <c r="AJ449" s="70">
        <f>(J449*2*AK449)*L449/1000</f>
        <v>9.6</v>
      </c>
      <c r="AK449" s="50">
        <f>(VLOOKUP(F449,[2]Koostamine!$A$12:$P$1612,7,FALSE))</f>
        <v>2</v>
      </c>
      <c r="AL449" s="69">
        <f>VLOOKUP(F449,[2]Koostamine!$A$12:$P$1612,IF(J449&lt;1499,11,IF(J449&lt;2999,12,IF(J449&lt;5999,13,IF(J449&lt;9999,14,IF(J449&lt;12999,15,IF(J449&gt;13000,16)))))),FALSE)</f>
        <v>2</v>
      </c>
      <c r="AP449" s="146">
        <f>(VLOOKUP(F449,Terasehind!$A$2:$B$171,2,FALSE))</f>
        <v>1.4</v>
      </c>
      <c r="AQ449" s="50">
        <f>(VLOOKUP(F449,Terasehind!$A$2:$C$171,3,FALSE))</f>
        <v>1.1000000000000001</v>
      </c>
      <c r="AR449" s="138">
        <f>AP449*AQ449*B449</f>
        <v>30.750720000000001</v>
      </c>
      <c r="AT449" s="60"/>
      <c r="AU449" s="77"/>
      <c r="AV449" s="77"/>
      <c r="AW449" s="77"/>
      <c r="AX449" s="121"/>
      <c r="AY449" s="77"/>
      <c r="AZ449" s="77"/>
      <c r="BA449" s="188">
        <f>(H449*2+J449*2)*2*2/60/1000*L449</f>
        <v>0.35733333333333334</v>
      </c>
      <c r="BB449" s="283"/>
      <c r="BC449" s="62"/>
      <c r="BD449" s="284"/>
      <c r="BE449" s="131"/>
      <c r="BF449"/>
      <c r="BG449" s="57"/>
      <c r="BH449" s="57"/>
      <c r="BI449" s="57"/>
      <c r="BJ449" s="57"/>
      <c r="BK449" s="57"/>
      <c r="BL449" s="60"/>
      <c r="BM449" s="57"/>
      <c r="BN449" s="60"/>
      <c r="BO449" s="83"/>
      <c r="BQ449" s="109"/>
    </row>
    <row r="450" spans="1:70" customFormat="1" x14ac:dyDescent="0.25">
      <c r="F450" s="30"/>
      <c r="AD450" s="328" t="s">
        <v>393</v>
      </c>
    </row>
    <row r="451" spans="1:70" s="50" customFormat="1" x14ac:dyDescent="0.25">
      <c r="A451" s="148">
        <f>B451/L451</f>
        <v>70.56</v>
      </c>
      <c r="B451" s="285">
        <f>SUM(B453,B452,0)</f>
        <v>282.24</v>
      </c>
      <c r="C451" s="286">
        <f>(SUM(B79:B79)/B451)</f>
        <v>0.83884637188208611</v>
      </c>
      <c r="D451" s="149" t="s">
        <v>85</v>
      </c>
      <c r="E451" s="149"/>
      <c r="F451" s="357" t="s">
        <v>491</v>
      </c>
      <c r="G451" s="177" t="str">
        <f>$G$16</f>
        <v>C3VH</v>
      </c>
      <c r="H451" s="150">
        <v>160</v>
      </c>
      <c r="I451" s="151" t="s">
        <v>77</v>
      </c>
      <c r="J451" s="150"/>
      <c r="K451" s="134">
        <v>4</v>
      </c>
      <c r="L451" s="150">
        <f>$L$428*$K$451</f>
        <v>4</v>
      </c>
      <c r="M451" s="148">
        <f>SUM(M453,M452,0)</f>
        <v>4.8959999999999999</v>
      </c>
      <c r="N451" s="151"/>
      <c r="O451" s="151"/>
      <c r="P451" s="151"/>
      <c r="Q451" s="151"/>
      <c r="R451" s="120"/>
      <c r="S451" s="120"/>
      <c r="T451" s="120"/>
      <c r="U451" s="120"/>
      <c r="V451" s="120"/>
      <c r="W451" s="118"/>
      <c r="X451" s="118" t="s">
        <v>78</v>
      </c>
      <c r="Y451" s="151">
        <v>4</v>
      </c>
      <c r="Z451" s="151"/>
      <c r="AA451" s="151"/>
      <c r="AB451" s="151"/>
      <c r="AC451" s="148">
        <f>SUM(AC453,AC452,0)</f>
        <v>2.0148148148148151</v>
      </c>
      <c r="AD451" s="148">
        <f>SUM(AD453,AD452,0)</f>
        <v>0</v>
      </c>
      <c r="AE451" s="148">
        <f>SUM(AE453,AE452,0)</f>
        <v>0.93333333333333335</v>
      </c>
      <c r="AF451" s="148">
        <f>SUM(AF453,AF452,0)</f>
        <v>0</v>
      </c>
      <c r="AG451" s="148">
        <f>SUM(AG453,AG452,0)</f>
        <v>0</v>
      </c>
      <c r="AH451" s="107">
        <f>SUM(AC451:AG451)</f>
        <v>2.9481481481481486</v>
      </c>
      <c r="AI451" s="107">
        <f>SUM(AI453,AI452,0)</f>
        <v>4.333333333333333</v>
      </c>
      <c r="AJ451" s="148">
        <f>SUM(AJ453,AJ452,0)</f>
        <v>14.4</v>
      </c>
      <c r="AK451" s="107">
        <f>AJ451*10/60</f>
        <v>2.4</v>
      </c>
      <c r="AL451" s="148">
        <f>AH451+AI451+AK451</f>
        <v>9.681481481481482</v>
      </c>
      <c r="AM451" s="288">
        <f>B451/AL451</f>
        <v>29.152563121652641</v>
      </c>
      <c r="AN451" s="148">
        <f>AL451*46</f>
        <v>445.3481481481482</v>
      </c>
      <c r="AO451" s="148">
        <f>AN451/B451</f>
        <v>1.5779058536995045</v>
      </c>
      <c r="AP451" s="148">
        <f>AR451/B451</f>
        <v>1.2227959183673471</v>
      </c>
      <c r="AQ451" s="67"/>
      <c r="AR451" s="148">
        <f>SUM(AR453,AR452,0)</f>
        <v>345.12192000000005</v>
      </c>
      <c r="AT451" s="62"/>
      <c r="AU451" s="62"/>
      <c r="AV451" s="62"/>
      <c r="AW451" s="62"/>
      <c r="AX451" s="62"/>
      <c r="AY451" s="62"/>
      <c r="AZ451" s="77"/>
      <c r="BA451" s="148">
        <f>SUM(BA453,BA452,0)</f>
        <v>1.728</v>
      </c>
      <c r="BB451" s="283"/>
      <c r="BC451" s="62"/>
      <c r="BD451" s="289"/>
      <c r="BF451" s="19"/>
      <c r="BG451" s="57"/>
      <c r="BH451" s="57"/>
      <c r="BI451" s="57"/>
      <c r="BJ451" s="57"/>
      <c r="BK451" s="60"/>
    </row>
    <row r="452" spans="1:70" s="50" customFormat="1" x14ac:dyDescent="0.25">
      <c r="A452" s="116">
        <f>H452*J452*(RIGHT(F452,2))*7.85/(10^6)</f>
        <v>21.195</v>
      </c>
      <c r="B452" s="116">
        <f t="shared" ref="B452" si="802">A452*L452</f>
        <v>169.56</v>
      </c>
      <c r="C452" s="118"/>
      <c r="D452" s="117" t="s">
        <v>81</v>
      </c>
      <c r="E452" s="290"/>
      <c r="F452" s="355" t="s">
        <v>87</v>
      </c>
      <c r="G452" s="117" t="s">
        <v>83</v>
      </c>
      <c r="H452" s="119">
        <v>200</v>
      </c>
      <c r="I452" s="118" t="s">
        <v>77</v>
      </c>
      <c r="J452" s="119">
        <v>900</v>
      </c>
      <c r="K452" s="119">
        <v>2</v>
      </c>
      <c r="L452" s="119">
        <f>K$452*L$451</f>
        <v>8</v>
      </c>
      <c r="M452" s="116">
        <f t="shared" ref="M452" si="803">2*H452*J452/10^6*L452</f>
        <v>2.88</v>
      </c>
      <c r="N452" s="118" t="s">
        <v>84</v>
      </c>
      <c r="P452" s="118"/>
      <c r="Q452" s="294">
        <v>12</v>
      </c>
      <c r="R452" s="118"/>
      <c r="S452" s="118"/>
      <c r="T452" s="118"/>
      <c r="U452" s="118"/>
      <c r="V452" s="118"/>
      <c r="W452" s="118"/>
      <c r="X452" s="118"/>
      <c r="Y452" s="118"/>
      <c r="Z452" s="118"/>
      <c r="AA452" s="118"/>
      <c r="AB452" s="118" t="s">
        <v>78</v>
      </c>
      <c r="AC452" s="136">
        <f>((((H452+J452)*2/1000)*L452*(5/(VLOOKUP(F452,[2]Plasmalõikus!$A$7:$E$46,2,FALSE)/1000*60)))+(Q452*L452*(5*(VLOOKUP(F452,[2]Plasmalõikus!$A$7:$E$48,3,FALSE))/60/60)))</f>
        <v>2.0148148148148151</v>
      </c>
      <c r="AD452" s="330"/>
      <c r="AE452" s="136"/>
      <c r="AF452" s="137"/>
      <c r="AG452" s="137">
        <f t="shared" ref="AG452" si="804">IF(VALUE(MID(F452,SEARCH(" ",F452)+1,LEN(F452)))&lt;35,0,IF(VALUE(MID(F452,SEARCH(" ",F452)+1,LEN(F452)))&lt;40,3,IF(VALUE(MID(F452,SEARCH(" ",F452)+1,LEN(F452)))&lt;50,4,IF(VALUE(MID(F452,SEARCH(" ",F452)+1,LEN(F452)))&lt;60,5,IF(VALUE(MID(F452,SEARCH(" ",F452)+1,LEN(F452)))&lt;70,6,IF(VALUE(MID(F452,SEARCH(" ",F452)+1,LEN(F452)))&lt;80,7,IF(VALUE(MID(F452,SEARCH(" ",F452)+1,LEN(F452)))&lt;90,8,IF(VALUE(MID(F452,SEARCH(" ",F452)+1,LEN(F452)))&lt;100,9,10))))))))/60*Q452*L452</f>
        <v>0</v>
      </c>
      <c r="AH452" s="136"/>
      <c r="AI452" s="132">
        <f t="shared" ref="AI452:AI453" si="805">AL452*L452/60</f>
        <v>4</v>
      </c>
      <c r="AJ452" s="70"/>
      <c r="AK452" s="50">
        <v>2</v>
      </c>
      <c r="AL452" s="69" t="str">
        <f>IF(AND(Q452&gt;0,A452&lt;3),"10",IF(AND(Q452&gt;0,A452&lt;10),"15",IF(AND(Q452&gt;0,A452&lt;20),"20",IF(AND(Q452&gt;0,A452&lt;500),"30",IF(AND(Q452=0,A452&lt;3),"2",IF(AND(Q452=0,A452&lt;10),"5",IF(AND(Q452=0,A452&lt;20),"10",IF(AND(Q452=0,A452&lt;500),"20","2"))))))))</f>
        <v>30</v>
      </c>
      <c r="AP452" s="146">
        <f>(VLOOKUP(F452,Terasehind!$A$2:$B$171,2,FALSE))</f>
        <v>0.92</v>
      </c>
      <c r="AQ452" s="50">
        <f>(VLOOKUP(F452,Terasehind!$A$2:$C$171,3,FALSE))</f>
        <v>1.1000000000000001</v>
      </c>
      <c r="AR452" s="138">
        <f t="shared" ref="AR452:AR453" si="806">AP452*AQ452*B452</f>
        <v>171.59472000000005</v>
      </c>
      <c r="AT452" s="62"/>
      <c r="AU452" s="62"/>
      <c r="AV452" s="62"/>
      <c r="AW452" s="62"/>
      <c r="AX452" s="62"/>
      <c r="AY452" s="62"/>
      <c r="AZ452" s="77"/>
      <c r="BA452" s="188">
        <f t="shared" ref="BA452:BA453" si="807">(H452*2+J452*2)*2*2/60/1000*L452</f>
        <v>1.1733333333333333</v>
      </c>
      <c r="BB452" s="283"/>
      <c r="BC452" s="62"/>
      <c r="BD452" s="284"/>
      <c r="BE452" s="131"/>
      <c r="BF452"/>
      <c r="BG452" s="57"/>
      <c r="BH452" s="57"/>
      <c r="BI452" s="57"/>
      <c r="BJ452" s="57"/>
      <c r="BK452" s="57"/>
      <c r="BL452" s="109"/>
      <c r="BM452" s="109"/>
      <c r="BN452" s="109"/>
      <c r="BO452" s="83"/>
      <c r="BQ452" s="83"/>
      <c r="BR452" s="83"/>
    </row>
    <row r="453" spans="1:70" s="50" customFormat="1" x14ac:dyDescent="0.25">
      <c r="A453" s="116">
        <f xml:space="preserve"> 31.3*J453/10^3</f>
        <v>28.17</v>
      </c>
      <c r="B453" s="116">
        <f>A453*L453</f>
        <v>112.68</v>
      </c>
      <c r="C453" s="295" t="s">
        <v>494</v>
      </c>
      <c r="D453" s="117" t="s">
        <v>85</v>
      </c>
      <c r="E453" s="117"/>
      <c r="F453" s="355" t="s">
        <v>405</v>
      </c>
      <c r="G453" s="140" t="s">
        <v>83</v>
      </c>
      <c r="H453" s="119">
        <v>140</v>
      </c>
      <c r="I453" s="118" t="s">
        <v>77</v>
      </c>
      <c r="J453" s="119">
        <v>900</v>
      </c>
      <c r="K453" s="119">
        <v>1</v>
      </c>
      <c r="L453" s="119">
        <f>K$453*L$451</f>
        <v>4</v>
      </c>
      <c r="M453" s="131">
        <f xml:space="preserve"> 0.56*J453*L453/10^3</f>
        <v>2.016</v>
      </c>
      <c r="N453" s="118"/>
      <c r="O453" s="118"/>
      <c r="P453" s="118" t="s">
        <v>78</v>
      </c>
      <c r="Q453" s="135"/>
      <c r="R453" s="118"/>
      <c r="S453" s="118"/>
      <c r="T453" s="118"/>
      <c r="U453" s="118"/>
      <c r="V453" s="118"/>
      <c r="W453" s="118"/>
      <c r="Y453" s="118"/>
      <c r="Z453" s="118"/>
      <c r="AA453" s="118"/>
      <c r="AB453" s="118" t="s">
        <v>78</v>
      </c>
      <c r="AC453" s="116"/>
      <c r="AD453" s="83"/>
      <c r="AE453" s="136">
        <f t="shared" ref="AE453" si="808">(H453/20/60)*2*L453</f>
        <v>0.93333333333333335</v>
      </c>
      <c r="AF453" s="137"/>
      <c r="AG453" s="132">
        <f>Q453*L453*0.5/60</f>
        <v>0</v>
      </c>
      <c r="AH453" s="83"/>
      <c r="AI453" s="132">
        <f t="shared" si="805"/>
        <v>0.33333333333333331</v>
      </c>
      <c r="AJ453" s="70">
        <f>(J453*2*AK453)*L453/1000</f>
        <v>14.4</v>
      </c>
      <c r="AK453" s="50">
        <f>(VLOOKUP(F453,[2]Koostamine!$A$12:$P$1612,7,FALSE))</f>
        <v>2</v>
      </c>
      <c r="AL453" s="69">
        <f>VLOOKUP(F453,[2]Koostamine!$A$12:$P$1612,IF(J453&lt;1499,11,IF(J453&lt;2999,12,IF(J453&lt;5999,13,IF(J453&lt;9999,14,IF(J453&lt;12999,15,IF(J453&gt;13000,16)))))),FALSE)</f>
        <v>5</v>
      </c>
      <c r="AP453" s="146">
        <f>(VLOOKUP(F453,Terasehind!$A$2:$B$171,2,FALSE))</f>
        <v>1.4</v>
      </c>
      <c r="AQ453" s="50">
        <f>(VLOOKUP(F453,Terasehind!$A$2:$C$171,3,FALSE))</f>
        <v>1.1000000000000001</v>
      </c>
      <c r="AR453" s="138">
        <f t="shared" si="806"/>
        <v>173.52720000000002</v>
      </c>
      <c r="AT453" s="60"/>
      <c r="AU453" s="77"/>
      <c r="AV453" s="77"/>
      <c r="AW453" s="77"/>
      <c r="AX453" s="121"/>
      <c r="AY453" s="77"/>
      <c r="AZ453" s="77"/>
      <c r="BA453" s="188">
        <f t="shared" si="807"/>
        <v>0.55466666666666664</v>
      </c>
      <c r="BB453" s="283"/>
      <c r="BC453" s="62"/>
      <c r="BD453" s="284"/>
      <c r="BE453" s="131"/>
      <c r="BF453"/>
      <c r="BG453" s="57"/>
      <c r="BH453" s="57"/>
      <c r="BI453" s="57"/>
      <c r="BJ453" s="57"/>
      <c r="BK453" s="57"/>
      <c r="BL453" s="60"/>
      <c r="BM453" s="57"/>
      <c r="BN453" s="60"/>
      <c r="BO453" s="83"/>
      <c r="BQ453" s="109"/>
    </row>
    <row r="454" spans="1:70" customFormat="1" x14ac:dyDescent="0.25">
      <c r="F454" s="30"/>
    </row>
    <row r="455" spans="1:70" customFormat="1" x14ac:dyDescent="0.25">
      <c r="F455" s="30"/>
      <c r="AD455" s="328" t="s">
        <v>393</v>
      </c>
    </row>
    <row r="456" spans="1:70" s="50" customFormat="1" x14ac:dyDescent="0.25">
      <c r="A456" s="148">
        <f>B456/L456</f>
        <v>113.54239999999999</v>
      </c>
      <c r="B456" s="285">
        <f>SUM(B458,B457,0)</f>
        <v>113.54239999999999</v>
      </c>
      <c r="C456" s="286">
        <f>(SUM(B130:B130)/B456)</f>
        <v>1008.1923949115044</v>
      </c>
      <c r="D456" s="149" t="s">
        <v>85</v>
      </c>
      <c r="E456" s="149"/>
      <c r="F456" s="357" t="s">
        <v>420</v>
      </c>
      <c r="G456" s="177" t="str">
        <f>$G$16</f>
        <v>C3VH</v>
      </c>
      <c r="H456" s="150">
        <v>160</v>
      </c>
      <c r="I456" s="151" t="s">
        <v>77</v>
      </c>
      <c r="J456" s="150">
        <f>J457</f>
        <v>530</v>
      </c>
      <c r="K456" s="134">
        <v>1</v>
      </c>
      <c r="L456" s="150">
        <f>$L$428*$K$456</f>
        <v>1</v>
      </c>
      <c r="M456" s="148">
        <f>SUM(M458,M457,0)</f>
        <v>4.4287999999999998</v>
      </c>
      <c r="N456" s="151"/>
      <c r="O456" s="151"/>
      <c r="P456" s="151"/>
      <c r="Q456" s="151"/>
      <c r="R456" s="120"/>
      <c r="S456" s="120"/>
      <c r="T456" s="120"/>
      <c r="U456" s="120"/>
      <c r="V456" s="120"/>
      <c r="W456" s="118"/>
      <c r="X456" s="118" t="s">
        <v>78</v>
      </c>
      <c r="Y456" s="151">
        <v>4</v>
      </c>
      <c r="Z456" s="151"/>
      <c r="AA456" s="151"/>
      <c r="AB456" s="151"/>
      <c r="AC456" s="148">
        <f>SUM(AC458,AC457,0)</f>
        <v>2.8494814814814808</v>
      </c>
      <c r="AD456" s="148">
        <f>SUM(AD458,AD457,0)</f>
        <v>0</v>
      </c>
      <c r="AE456" s="148">
        <f>SUM(AE458,AE457,0)</f>
        <v>0</v>
      </c>
      <c r="AF456" s="148">
        <f>SUM(AF458,AF457,0)</f>
        <v>0</v>
      </c>
      <c r="AG456" s="148">
        <f>SUM(AG458,AG457,0)</f>
        <v>0</v>
      </c>
      <c r="AH456" s="107">
        <f>SUM(AC456:AG456)</f>
        <v>2.8494814814814808</v>
      </c>
      <c r="AI456" s="107">
        <f>SUM(AI458,AI457,0)</f>
        <v>4</v>
      </c>
      <c r="AJ456" s="148">
        <f>SUM(AJ458,AJ457,0)</f>
        <v>0</v>
      </c>
      <c r="AK456" s="107">
        <f>AJ456*10/60</f>
        <v>0</v>
      </c>
      <c r="AL456" s="148">
        <f>AH456+AI456+AK456</f>
        <v>6.8494814814814813</v>
      </c>
      <c r="AM456" s="288">
        <f>B456/AL456</f>
        <v>16.576787645455724</v>
      </c>
      <c r="AN456" s="148">
        <f>AL456*46</f>
        <v>315.07614814814815</v>
      </c>
      <c r="AO456" s="148">
        <f>AN456/B456</f>
        <v>2.7749646664871288</v>
      </c>
      <c r="AP456" s="148">
        <f>AR456/B456</f>
        <v>1.0120000000000002</v>
      </c>
      <c r="AQ456" s="67"/>
      <c r="AR456" s="148">
        <f>SUM(AR458,AR457,0)</f>
        <v>114.90490880000002</v>
      </c>
      <c r="AT456" s="62"/>
      <c r="AU456" s="62"/>
      <c r="AV456" s="62"/>
      <c r="AW456" s="62"/>
      <c r="AX456" s="62"/>
      <c r="AY456" s="62"/>
      <c r="AZ456" s="77"/>
      <c r="BA456" s="148">
        <f>SUM(BA458,BA457,0)</f>
        <v>1.7386666666666666</v>
      </c>
      <c r="BB456" s="283"/>
      <c r="BC456" s="62"/>
      <c r="BD456" s="289"/>
      <c r="BF456" s="19"/>
      <c r="BG456" s="57"/>
      <c r="BH456" s="57"/>
      <c r="BI456" s="57"/>
      <c r="BJ456" s="57"/>
      <c r="BK456" s="60"/>
    </row>
    <row r="457" spans="1:70" s="50" customFormat="1" x14ac:dyDescent="0.25">
      <c r="A457" s="116">
        <f>H457*J457*(RIGHT(F457,2))*7.85/(10^6)</f>
        <v>6.6567999999999996</v>
      </c>
      <c r="B457" s="116">
        <f t="shared" ref="B457" si="809">A457*L457</f>
        <v>53.254399999999997</v>
      </c>
      <c r="C457" s="118"/>
      <c r="D457" s="117" t="s">
        <v>81</v>
      </c>
      <c r="E457" s="290"/>
      <c r="F457" s="355" t="s">
        <v>82</v>
      </c>
      <c r="G457" s="117" t="s">
        <v>83</v>
      </c>
      <c r="H457" s="119">
        <v>160</v>
      </c>
      <c r="I457" s="118" t="s">
        <v>77</v>
      </c>
      <c r="J457" s="119">
        <v>530</v>
      </c>
      <c r="K457" s="119">
        <v>8</v>
      </c>
      <c r="L457" s="119">
        <f>K$457*L$456</f>
        <v>8</v>
      </c>
      <c r="M457" s="116">
        <f t="shared" ref="M457" si="810">2*H457*J457/10^6*L457</f>
        <v>1.3568</v>
      </c>
      <c r="N457" s="118" t="s">
        <v>84</v>
      </c>
      <c r="P457" s="118"/>
      <c r="Q457" s="294">
        <v>12</v>
      </c>
      <c r="R457" s="118"/>
      <c r="S457" s="118"/>
      <c r="T457" s="118"/>
      <c r="U457" s="118"/>
      <c r="V457" s="118"/>
      <c r="W457" s="118"/>
      <c r="X457" s="118"/>
      <c r="Y457" s="118"/>
      <c r="Z457" s="118"/>
      <c r="AA457" s="118"/>
      <c r="AB457" s="118" t="s">
        <v>78</v>
      </c>
      <c r="AC457" s="136">
        <f>((((H457+J457)*2/1000)*L457*(5/(VLOOKUP(F457,[2]Plasmalõikus!$A$7:$E$46,2,FALSE)/1000*60)))+(Q457*L457*(5*(VLOOKUP(F457,[2]Plasmalõikus!$A$7:$E$48,3,FALSE))/60/60)))</f>
        <v>1.4346666666666663</v>
      </c>
      <c r="AD457" s="330"/>
      <c r="AE457" s="136"/>
      <c r="AF457" s="137"/>
      <c r="AG457" s="137">
        <f t="shared" ref="AG457" si="811">IF(VALUE(MID(F457,SEARCH(" ",F457)+1,LEN(F457)))&lt;35,0,IF(VALUE(MID(F457,SEARCH(" ",F457)+1,LEN(F457)))&lt;40,3,IF(VALUE(MID(F457,SEARCH(" ",F457)+1,LEN(F457)))&lt;50,4,IF(VALUE(MID(F457,SEARCH(" ",F457)+1,LEN(F457)))&lt;60,5,IF(VALUE(MID(F457,SEARCH(" ",F457)+1,LEN(F457)))&lt;70,6,IF(VALUE(MID(F457,SEARCH(" ",F457)+1,LEN(F457)))&lt;80,7,IF(VALUE(MID(F457,SEARCH(" ",F457)+1,LEN(F457)))&lt;90,8,IF(VALUE(MID(F457,SEARCH(" ",F457)+1,LEN(F457)))&lt;100,9,10))))))))/60*Q457*L457</f>
        <v>0</v>
      </c>
      <c r="AH457" s="136"/>
      <c r="AI457" s="132">
        <f t="shared" ref="AI457" si="812">AL457*L457/60</f>
        <v>2</v>
      </c>
      <c r="AJ457" s="70"/>
      <c r="AK457" s="50">
        <v>2</v>
      </c>
      <c r="AL457" s="69" t="str">
        <f>IF(AND(Q457&gt;0,A457&lt;3),"10",IF(AND(Q457&gt;0,A457&lt;10),"15",IF(AND(Q457&gt;0,A457&lt;20),"20",IF(AND(Q457&gt;0,A457&lt;500),"30",IF(AND(Q457=0,A457&lt;3),"2",IF(AND(Q457=0,A457&lt;10),"5",IF(AND(Q457=0,A457&lt;20),"10",IF(AND(Q457=0,A457&lt;500),"20","2"))))))))</f>
        <v>15</v>
      </c>
      <c r="AP457" s="146">
        <f>(VLOOKUP(F457,Terasehind!$A$2:$B$171,2,FALSE))</f>
        <v>0.92</v>
      </c>
      <c r="AQ457" s="50">
        <f>(VLOOKUP(F457,Terasehind!$A$2:$C$171,3,FALSE))</f>
        <v>1.1000000000000001</v>
      </c>
      <c r="AR457" s="138">
        <f t="shared" ref="AR457" si="813">AP457*AQ457*B457</f>
        <v>53.893452800000006</v>
      </c>
      <c r="AT457" s="62"/>
      <c r="AU457" s="62"/>
      <c r="AV457" s="62"/>
      <c r="AW457" s="62"/>
      <c r="AX457" s="62"/>
      <c r="AY457" s="62"/>
      <c r="AZ457" s="77"/>
      <c r="BA457" s="188">
        <f t="shared" ref="BA457" si="814">(H457*2+J457*2)*2*2/60/1000*L457</f>
        <v>0.73599999999999999</v>
      </c>
      <c r="BB457" s="283"/>
      <c r="BC457" s="62"/>
      <c r="BD457" s="284"/>
      <c r="BE457" s="131"/>
      <c r="BF457"/>
      <c r="BG457" s="57"/>
      <c r="BH457" s="57"/>
      <c r="BI457" s="57"/>
      <c r="BJ457" s="57"/>
      <c r="BK457" s="57"/>
      <c r="BL457" s="109"/>
      <c r="BM457" s="109"/>
      <c r="BN457" s="109"/>
      <c r="BO457" s="83"/>
      <c r="BQ457" s="83"/>
      <c r="BR457" s="83"/>
    </row>
    <row r="458" spans="1:70" s="50" customFormat="1" x14ac:dyDescent="0.25">
      <c r="A458" s="116">
        <f>H458*J458*(RIGHT(F458,2))*7.85/(10^6)</f>
        <v>7.5359999999999996</v>
      </c>
      <c r="B458" s="116">
        <f t="shared" ref="B458" si="815">A458*L458</f>
        <v>60.287999999999997</v>
      </c>
      <c r="C458" s="118" t="s">
        <v>454</v>
      </c>
      <c r="D458" s="117" t="s">
        <v>81</v>
      </c>
      <c r="E458" s="290"/>
      <c r="F458" s="355" t="s">
        <v>324</v>
      </c>
      <c r="G458" s="117" t="s">
        <v>83</v>
      </c>
      <c r="H458" s="119">
        <v>300</v>
      </c>
      <c r="I458" s="118" t="s">
        <v>77</v>
      </c>
      <c r="J458" s="119">
        <v>640</v>
      </c>
      <c r="K458" s="119">
        <v>8</v>
      </c>
      <c r="L458" s="119">
        <f>K$458*L$456</f>
        <v>8</v>
      </c>
      <c r="M458" s="116">
        <f t="shared" ref="M458" si="816">2*H458*J458/10^6*L458</f>
        <v>3.0720000000000001</v>
      </c>
      <c r="N458" s="118" t="s">
        <v>84</v>
      </c>
      <c r="P458" s="118"/>
      <c r="Q458" s="294">
        <v>12</v>
      </c>
      <c r="R458" s="118"/>
      <c r="S458" s="118"/>
      <c r="T458" s="118"/>
      <c r="U458" s="118"/>
      <c r="V458" s="118"/>
      <c r="W458" s="118"/>
      <c r="X458" s="118"/>
      <c r="Y458" s="118"/>
      <c r="Z458" s="118"/>
      <c r="AA458" s="118"/>
      <c r="AB458" s="118" t="s">
        <v>78</v>
      </c>
      <c r="AC458" s="136">
        <f>((((H458+J458)*2/1000)*L458*(5/(VLOOKUP(F458,[2]Plasmalõikus!$A$7:$E$46,2,FALSE)/1000*60)))+(Q458*L458*(5*(VLOOKUP(F458,[2]Plasmalõikus!$A$7:$E$48,3,FALSE))/60/60)))</f>
        <v>1.4148148148148145</v>
      </c>
      <c r="AD458" s="330"/>
      <c r="AE458" s="136"/>
      <c r="AF458" s="137"/>
      <c r="AG458" s="137">
        <f t="shared" ref="AG458" si="817">IF(VALUE(MID(F458,SEARCH(" ",F458)+1,LEN(F458)))&lt;35,0,IF(VALUE(MID(F458,SEARCH(" ",F458)+1,LEN(F458)))&lt;40,3,IF(VALUE(MID(F458,SEARCH(" ",F458)+1,LEN(F458)))&lt;50,4,IF(VALUE(MID(F458,SEARCH(" ",F458)+1,LEN(F458)))&lt;60,5,IF(VALUE(MID(F458,SEARCH(" ",F458)+1,LEN(F458)))&lt;70,6,IF(VALUE(MID(F458,SEARCH(" ",F458)+1,LEN(F458)))&lt;80,7,IF(VALUE(MID(F458,SEARCH(" ",F458)+1,LEN(F458)))&lt;90,8,IF(VALUE(MID(F458,SEARCH(" ",F458)+1,LEN(F458)))&lt;100,9,10))))))))/60*Q458*L458</f>
        <v>0</v>
      </c>
      <c r="AH458" s="136"/>
      <c r="AI458" s="132">
        <f t="shared" ref="AI458" si="818">AL458*L458/60</f>
        <v>2</v>
      </c>
      <c r="AJ458" s="70"/>
      <c r="AK458" s="50">
        <v>2</v>
      </c>
      <c r="AL458" s="69" t="str">
        <f>IF(AND(Q458&gt;0,A458&lt;3),"10",IF(AND(Q458&gt;0,A458&lt;10),"15",IF(AND(Q458&gt;0,A458&lt;20),"20",IF(AND(Q458&gt;0,A458&lt;500),"30",IF(AND(Q458=0,A458&lt;3),"2",IF(AND(Q458=0,A458&lt;10),"5",IF(AND(Q458=0,A458&lt;20),"10",IF(AND(Q458=0,A458&lt;500),"20","2"))))))))</f>
        <v>15</v>
      </c>
      <c r="AP458" s="146">
        <f>(VLOOKUP(F458,Terasehind!$A$2:$B$171,2,FALSE))</f>
        <v>0.92</v>
      </c>
      <c r="AQ458" s="50">
        <f>(VLOOKUP(F458,Terasehind!$A$2:$C$171,3,FALSE))</f>
        <v>1.1000000000000001</v>
      </c>
      <c r="AR458" s="138">
        <f t="shared" ref="AR458" si="819">AP458*AQ458*B458</f>
        <v>61.01145600000001</v>
      </c>
      <c r="AT458" s="62"/>
      <c r="AU458" s="62"/>
      <c r="AV458" s="62"/>
      <c r="AW458" s="62"/>
      <c r="AX458" s="62"/>
      <c r="AY458" s="62"/>
      <c r="AZ458" s="77"/>
      <c r="BA458" s="188">
        <f t="shared" ref="BA458" si="820">(H458*2+J458*2)*2*2/60/1000*L458</f>
        <v>1.0026666666666666</v>
      </c>
      <c r="BB458" s="283"/>
      <c r="BC458" s="62"/>
      <c r="BD458" s="284"/>
      <c r="BE458" s="131"/>
      <c r="BF458"/>
      <c r="BG458" s="57"/>
      <c r="BH458" s="57"/>
      <c r="BI458" s="57"/>
      <c r="BJ458" s="57"/>
      <c r="BK458" s="57"/>
      <c r="BL458" s="109"/>
      <c r="BM458" s="109"/>
      <c r="BN458" s="109"/>
      <c r="BO458" s="83"/>
      <c r="BQ458" s="83"/>
      <c r="BR458" s="83"/>
    </row>
    <row r="459" spans="1:70" customFormat="1" x14ac:dyDescent="0.25">
      <c r="F459" s="30"/>
      <c r="AD459" s="328" t="s">
        <v>393</v>
      </c>
    </row>
    <row r="460" spans="1:70" s="50" customFormat="1" x14ac:dyDescent="0.25">
      <c r="A460" s="148">
        <f>B460/L460</f>
        <v>25.645949999999999</v>
      </c>
      <c r="B460" s="285">
        <f>SUM(B461,0)</f>
        <v>102.5838</v>
      </c>
      <c r="C460" s="286"/>
      <c r="D460" s="149" t="s">
        <v>85</v>
      </c>
      <c r="E460" s="149"/>
      <c r="F460" s="357" t="s">
        <v>500</v>
      </c>
      <c r="G460" s="177" t="str">
        <f>$G$16</f>
        <v>C3VH</v>
      </c>
      <c r="H460" s="150">
        <v>160</v>
      </c>
      <c r="I460" s="151" t="s">
        <v>77</v>
      </c>
      <c r="J460" s="150"/>
      <c r="K460" s="134">
        <v>4</v>
      </c>
      <c r="L460" s="150">
        <f>$L$428*$K$460</f>
        <v>4</v>
      </c>
      <c r="M460" s="148">
        <f>SUM(M461,0)</f>
        <v>2.6135999999999999</v>
      </c>
      <c r="N460" s="151"/>
      <c r="O460" s="151"/>
      <c r="P460" s="151"/>
      <c r="Q460" s="151"/>
      <c r="R460" s="120"/>
      <c r="S460" s="120"/>
      <c r="T460" s="120"/>
      <c r="U460" s="120"/>
      <c r="V460" s="120"/>
      <c r="W460" s="118"/>
      <c r="X460" s="118" t="s">
        <v>78</v>
      </c>
      <c r="Y460" s="151">
        <v>4</v>
      </c>
      <c r="Z460" s="151"/>
      <c r="AA460" s="151"/>
      <c r="AB460" s="151"/>
      <c r="AC460" s="148">
        <f>SUM(AC461,0)</f>
        <v>1.5893333333333333</v>
      </c>
      <c r="AD460" s="148">
        <f>SUM(AD461,0)</f>
        <v>0</v>
      </c>
      <c r="AE460" s="148">
        <f>SUM(AE461,0)</f>
        <v>0</v>
      </c>
      <c r="AF460" s="148">
        <f>SUM(AF461,0)</f>
        <v>0</v>
      </c>
      <c r="AG460" s="148">
        <f>SUM(AG461,0)</f>
        <v>0</v>
      </c>
      <c r="AH460" s="107">
        <f>SUM(AC460:AG460)</f>
        <v>1.5893333333333333</v>
      </c>
      <c r="AI460" s="107">
        <f>SUM(AI461,0)</f>
        <v>8</v>
      </c>
      <c r="AJ460" s="148">
        <f>SUM(AJ461,0)</f>
        <v>31.68</v>
      </c>
      <c r="AK460" s="107">
        <f>AJ460*10/60</f>
        <v>5.28</v>
      </c>
      <c r="AL460" s="148">
        <f>AH460+AI460+AK460</f>
        <v>14.869333333333334</v>
      </c>
      <c r="AM460" s="288">
        <f>B460/AL460</f>
        <v>6.8990181133428976</v>
      </c>
      <c r="AN460" s="148">
        <f>AL460*46</f>
        <v>683.98933333333332</v>
      </c>
      <c r="AO460" s="148">
        <f>AN460/B460</f>
        <v>6.6676154844462125</v>
      </c>
      <c r="AP460" s="148">
        <f>AR460/B460</f>
        <v>1.0120000000000002</v>
      </c>
      <c r="AQ460" s="67"/>
      <c r="AR460" s="148">
        <f>SUM(AR461,0)</f>
        <v>103.81480560000001</v>
      </c>
      <c r="AT460" s="62"/>
      <c r="AU460" s="62"/>
      <c r="AV460" s="62"/>
      <c r="AW460" s="62"/>
      <c r="AX460" s="62"/>
      <c r="AY460" s="62"/>
      <c r="AZ460" s="77"/>
      <c r="BA460" s="148" t="e">
        <f>SUM(#REF!,#REF!,0)</f>
        <v>#REF!</v>
      </c>
      <c r="BB460" s="283"/>
      <c r="BC460" s="62"/>
      <c r="BD460" s="289"/>
      <c r="BF460" s="19"/>
      <c r="BG460" s="57"/>
      <c r="BH460" s="57"/>
      <c r="BI460" s="57"/>
      <c r="BJ460" s="57"/>
      <c r="BK460" s="60"/>
    </row>
    <row r="461" spans="1:70" s="50" customFormat="1" x14ac:dyDescent="0.25">
      <c r="A461" s="116">
        <f>H461*J461*(RIGHT(F461,2))*7.85/(10^6)</f>
        <v>2.1371625000000001</v>
      </c>
      <c r="B461" s="116">
        <f>A461*L461</f>
        <v>102.5838</v>
      </c>
      <c r="C461" s="118" t="s">
        <v>467</v>
      </c>
      <c r="D461" s="117" t="s">
        <v>342</v>
      </c>
      <c r="E461" s="117"/>
      <c r="F461" s="355" t="s">
        <v>82</v>
      </c>
      <c r="G461" s="117" t="s">
        <v>83</v>
      </c>
      <c r="H461" s="119">
        <v>165</v>
      </c>
      <c r="I461" s="118" t="s">
        <v>77</v>
      </c>
      <c r="J461" s="119">
        <v>165</v>
      </c>
      <c r="K461" s="119">
        <v>12</v>
      </c>
      <c r="L461" s="119">
        <f>K$461*L$460</f>
        <v>48</v>
      </c>
      <c r="M461" s="116">
        <f>2*H461*J461/10^6*L461</f>
        <v>2.6135999999999999</v>
      </c>
      <c r="N461" s="118" t="s">
        <v>84</v>
      </c>
      <c r="P461" s="118"/>
      <c r="Q461" s="135">
        <v>1</v>
      </c>
      <c r="R461" s="118"/>
      <c r="S461" s="118"/>
      <c r="T461" s="118"/>
      <c r="U461" s="118"/>
      <c r="V461" s="118"/>
      <c r="W461" s="118"/>
      <c r="X461" s="118"/>
      <c r="Y461" s="118"/>
      <c r="Z461" s="118"/>
      <c r="AA461" s="118"/>
      <c r="AB461" s="118" t="s">
        <v>78</v>
      </c>
      <c r="AC461" s="136">
        <f>((((H461+J461)*2/1000)*L461*(5/(VLOOKUP(F461,[2]Plasmalõikus!$A$7:$E$46,2,FALSE)/1000*60)))+(Q461*L461*(5*(VLOOKUP(F461,[2]Plasmalõikus!$A$7:$E$48,3,FALSE))/60/60)))</f>
        <v>1.5893333333333333</v>
      </c>
      <c r="AD461" s="353"/>
      <c r="AE461" s="136"/>
      <c r="AF461" s="137"/>
      <c r="AG461" s="137">
        <f>IF(VALUE(MID(F461,SEARCH(" ",F461)+1,LEN(F461)))&lt;35,0,IF(VALUE(MID(F461,SEARCH(" ",F461)+1,LEN(F461)))&lt;40,3,IF(VALUE(MID(F461,SEARCH(" ",F461)+1,LEN(F461)))&lt;50,4,IF(VALUE(MID(F461,SEARCH(" ",F461)+1,LEN(F461)))&lt;60,5,IF(VALUE(MID(F461,SEARCH(" ",F461)+1,LEN(F461)))&lt;70,6,IF(VALUE(MID(F461,SEARCH(" ",F461)+1,LEN(F461)))&lt;80,7,IF(VALUE(MID(F461,SEARCH(" ",F461)+1,LEN(F461)))&lt;90,8,IF(VALUE(MID(F461,SEARCH(" ",F461)+1,LEN(F461)))&lt;100,9,10))))))))/60*Q461*L461</f>
        <v>0</v>
      </c>
      <c r="AH461" s="136"/>
      <c r="AI461" s="132">
        <f>AL461*L461/60</f>
        <v>8</v>
      </c>
      <c r="AJ461" s="70">
        <f>(H461*2*AK461+J461*2*AK461)*L461/1000</f>
        <v>31.68</v>
      </c>
      <c r="AK461" s="50">
        <v>1</v>
      </c>
      <c r="AL461" s="69" t="str">
        <f>IF(AND(Q461&gt;0,A461&lt;3),"10",IF(AND(Q461&gt;0,A461&lt;10),"15",IF(AND(Q461&gt;0,A461&lt;20),"20",IF(AND(Q461&gt;0,A461&lt;500),"30",IF(AND(Q461=0,A461&lt;3),"2",IF(AND(Q461=0,A461&lt;10),"5",IF(AND(Q461=0,A461&lt;20),"10",IF(AND(Q461=0,A461&lt;500),"20","2"))))))))</f>
        <v>10</v>
      </c>
      <c r="AN461" s="66"/>
      <c r="AP461" s="146">
        <f>(VLOOKUP(F461,Terasehind!$A$2:$B$171,2,FALSE))</f>
        <v>0.92</v>
      </c>
      <c r="AQ461" s="50">
        <f>(VLOOKUP(F461,Terasehind!$A$2:$C$171,3,FALSE))</f>
        <v>1.1000000000000001</v>
      </c>
      <c r="AR461" s="138">
        <f t="shared" ref="AR461" si="821">AP461*AQ461*B461</f>
        <v>103.81480560000001</v>
      </c>
      <c r="AT461" s="62"/>
      <c r="AU461" s="62"/>
      <c r="AV461" s="62"/>
      <c r="AW461" s="62"/>
      <c r="AX461" s="62"/>
      <c r="AY461" s="62"/>
      <c r="AZ461" s="77"/>
      <c r="BA461" s="188">
        <f>(H461*2+J461*2)*2*2/60/1000*L461</f>
        <v>2.1120000000000001</v>
      </c>
      <c r="BB461" s="283"/>
      <c r="BC461" s="62"/>
      <c r="BD461" s="284"/>
      <c r="BE461" s="131"/>
      <c r="BF461"/>
      <c r="BG461" s="57"/>
      <c r="BH461" s="57"/>
      <c r="BI461" s="57"/>
      <c r="BJ461" s="57"/>
      <c r="BK461" s="57"/>
      <c r="BL461" s="109"/>
      <c r="BM461" s="109"/>
      <c r="BN461" s="109"/>
      <c r="BO461" s="83"/>
      <c r="BQ461" s="83"/>
      <c r="BR461" s="83"/>
    </row>
    <row r="462" spans="1:70" customFormat="1" x14ac:dyDescent="0.25">
      <c r="F462" s="30"/>
      <c r="AD462" s="328" t="s">
        <v>393</v>
      </c>
    </row>
    <row r="463" spans="1:70" s="50" customFormat="1" ht="28.55" x14ac:dyDescent="0.25">
      <c r="A463" s="148">
        <f>B463/L463</f>
        <v>2439.7705800000003</v>
      </c>
      <c r="B463" s="285">
        <f>SUM(B468,B467,B466,B465,B464,0)</f>
        <v>2439.7705800000003</v>
      </c>
      <c r="C463" s="286"/>
      <c r="D463" s="149" t="s">
        <v>85</v>
      </c>
      <c r="E463" s="149"/>
      <c r="F463" s="374" t="s">
        <v>496</v>
      </c>
      <c r="G463" s="177" t="str">
        <f>$G$16</f>
        <v>C3VH</v>
      </c>
      <c r="H463" s="150">
        <v>160</v>
      </c>
      <c r="I463" s="151" t="s">
        <v>77</v>
      </c>
      <c r="J463" s="150">
        <f>J464</f>
        <v>535</v>
      </c>
      <c r="K463" s="134">
        <v>1</v>
      </c>
      <c r="L463" s="150">
        <f>$L$428*$K$463</f>
        <v>1</v>
      </c>
      <c r="M463" s="148">
        <f>SUM(M468,M467,M466,M465,M464,0)</f>
        <v>46.903199999999998</v>
      </c>
      <c r="N463" s="151"/>
      <c r="O463" s="151"/>
      <c r="P463" s="151"/>
      <c r="Q463" s="151"/>
      <c r="R463" s="120"/>
      <c r="S463" s="120"/>
      <c r="T463" s="120"/>
      <c r="U463" s="120"/>
      <c r="V463" s="120"/>
      <c r="W463" s="118"/>
      <c r="X463" s="118" t="s">
        <v>78</v>
      </c>
      <c r="Y463" s="151">
        <v>4</v>
      </c>
      <c r="Z463" s="151"/>
      <c r="AA463" s="151"/>
      <c r="AB463" s="151"/>
      <c r="AC463" s="148">
        <f>SUM(AC468,AC467,AC466,AC465,AC464,0)</f>
        <v>39.3237037037037</v>
      </c>
      <c r="AD463" s="148">
        <f>SUM(AD468,AD467,AD466,AD465,AD464,0)</f>
        <v>0</v>
      </c>
      <c r="AE463" s="148">
        <f>SUM(AE468,AE467,AE466,AE465,AE464,0)</f>
        <v>0</v>
      </c>
      <c r="AF463" s="148">
        <f>SUM(AF468,AF467,AF466,AF465,AF464,0)</f>
        <v>0</v>
      </c>
      <c r="AG463" s="148">
        <f>SUM(AG468,AG467,AG466,AG465,AG464,0)</f>
        <v>0</v>
      </c>
      <c r="AH463" s="107">
        <f>SUM(AC463:AG463)</f>
        <v>39.3237037037037</v>
      </c>
      <c r="AI463" s="107">
        <f>SUM(AI468,AI467,AI466,AI465,AI464,0)</f>
        <v>62.666666666666664</v>
      </c>
      <c r="AJ463" s="148">
        <f>SUM(AJ468,AJ467,AJ466,AJ465,AJ464,0)</f>
        <v>0</v>
      </c>
      <c r="AK463" s="107">
        <f>AJ463*10/60</f>
        <v>0</v>
      </c>
      <c r="AL463" s="148">
        <f>AH463+AI463+AK463</f>
        <v>101.99037037037036</v>
      </c>
      <c r="AM463" s="288">
        <f>B463/AL463</f>
        <v>23.921577803278456</v>
      </c>
      <c r="AN463" s="148">
        <f>AL463*46</f>
        <v>4691.557037037036</v>
      </c>
      <c r="AO463" s="148">
        <f>AN463/B463</f>
        <v>1.9229500820675669</v>
      </c>
      <c r="AP463" s="148">
        <f>AR463/B463</f>
        <v>1.0120000000000002</v>
      </c>
      <c r="AQ463" s="67"/>
      <c r="AR463" s="148">
        <f>SUM(AR468,AR467,AR466,AR465,AR464,0)</f>
        <v>2469.0478269600007</v>
      </c>
      <c r="AT463" s="62"/>
      <c r="AU463" s="62"/>
      <c r="AV463" s="62"/>
      <c r="AW463" s="62"/>
      <c r="AX463" s="62"/>
      <c r="AY463" s="62"/>
      <c r="AZ463" s="77"/>
      <c r="BA463" s="148">
        <f>SUM(BA464,0)</f>
        <v>9.5466666666666669</v>
      </c>
      <c r="BB463" s="283"/>
      <c r="BC463" s="62"/>
      <c r="BD463" s="289"/>
      <c r="BF463" s="19"/>
      <c r="BG463" s="57"/>
      <c r="BH463" s="57"/>
      <c r="BI463" s="57"/>
      <c r="BJ463" s="57"/>
      <c r="BK463" s="60"/>
    </row>
    <row r="464" spans="1:70" s="50" customFormat="1" x14ac:dyDescent="0.25">
      <c r="A464" s="116">
        <f>H464*J464*(RIGHT(F464,2))*7.85/(10^6)</f>
        <v>22.678650000000001</v>
      </c>
      <c r="B464" s="116">
        <f t="shared" ref="B464:B467" si="822">A464*L464</f>
        <v>1814.2920000000001</v>
      </c>
      <c r="C464" s="118"/>
      <c r="D464" s="117" t="s">
        <v>81</v>
      </c>
      <c r="E464" s="290"/>
      <c r="F464" s="355" t="s">
        <v>87</v>
      </c>
      <c r="G464" s="117" t="s">
        <v>83</v>
      </c>
      <c r="H464" s="119">
        <v>360</v>
      </c>
      <c r="I464" s="118" t="s">
        <v>77</v>
      </c>
      <c r="J464" s="119">
        <v>535</v>
      </c>
      <c r="K464" s="119">
        <v>80</v>
      </c>
      <c r="L464" s="119">
        <f>K$464*L$463</f>
        <v>80</v>
      </c>
      <c r="M464" s="116">
        <f t="shared" ref="M464:M467" si="823">2*H464*J464/10^6*L464</f>
        <v>30.815999999999999</v>
      </c>
      <c r="N464" s="118" t="s">
        <v>84</v>
      </c>
      <c r="P464" s="118"/>
      <c r="Q464" s="294">
        <v>18</v>
      </c>
      <c r="R464" s="118"/>
      <c r="S464" s="118"/>
      <c r="T464" s="118"/>
      <c r="U464" s="118"/>
      <c r="V464" s="118"/>
      <c r="W464" s="118"/>
      <c r="X464" s="118"/>
      <c r="Y464" s="118"/>
      <c r="Z464" s="118"/>
      <c r="AA464" s="118"/>
      <c r="AB464" s="118" t="s">
        <v>78</v>
      </c>
      <c r="AC464" s="136">
        <f>((((H464+J464)*2/1000)*L464*(5/(VLOOKUP(F464,[2]Plasmalõikus!$A$7:$E$46,2,FALSE)/1000*60)))+(Q464*L464*(5*(VLOOKUP(F464,[2]Plasmalõikus!$A$7:$E$48,3,FALSE))/60/60)))</f>
        <v>24.62962962962963</v>
      </c>
      <c r="AD464" s="330"/>
      <c r="AE464" s="136"/>
      <c r="AF464" s="137"/>
      <c r="AG464" s="137">
        <f t="shared" ref="AG464:AG467" si="824">IF(VALUE(MID(F464,SEARCH(" ",F464)+1,LEN(F464)))&lt;35,0,IF(VALUE(MID(F464,SEARCH(" ",F464)+1,LEN(F464)))&lt;40,3,IF(VALUE(MID(F464,SEARCH(" ",F464)+1,LEN(F464)))&lt;50,4,IF(VALUE(MID(F464,SEARCH(" ",F464)+1,LEN(F464)))&lt;60,5,IF(VALUE(MID(F464,SEARCH(" ",F464)+1,LEN(F464)))&lt;70,6,IF(VALUE(MID(F464,SEARCH(" ",F464)+1,LEN(F464)))&lt;80,7,IF(VALUE(MID(F464,SEARCH(" ",F464)+1,LEN(F464)))&lt;90,8,IF(VALUE(MID(F464,SEARCH(" ",F464)+1,LEN(F464)))&lt;100,9,10))))))))/60*Q464*L464</f>
        <v>0</v>
      </c>
      <c r="AH464" s="136"/>
      <c r="AI464" s="132">
        <f t="shared" ref="AI464:AI467" si="825">AL464*L464/60</f>
        <v>40</v>
      </c>
      <c r="AJ464" s="70"/>
      <c r="AK464" s="50">
        <v>2</v>
      </c>
      <c r="AL464" s="69" t="str">
        <f>IF(AND(Q464&gt;0,A464&lt;3),"10",IF(AND(Q464&gt;0,A464&lt;10),"15",IF(AND(Q464&gt;0,A464&lt;20),"20",IF(AND(Q464&gt;0,A464&lt;500),"30",IF(AND(Q464=0,A464&lt;3),"2",IF(AND(Q464=0,A464&lt;10),"5",IF(AND(Q464=0,A464&lt;20),"10",IF(AND(Q464=0,A464&lt;500),"20","2"))))))))</f>
        <v>30</v>
      </c>
      <c r="AP464" s="146">
        <f>(VLOOKUP(F464,Terasehind!$A$2:$B$171,2,FALSE))</f>
        <v>0.92</v>
      </c>
      <c r="AQ464" s="50">
        <f>(VLOOKUP(F464,Terasehind!$A$2:$C$171,3,FALSE))</f>
        <v>1.1000000000000001</v>
      </c>
      <c r="AR464" s="138">
        <f t="shared" ref="AR464:AR467" si="826">AP464*AQ464*B464</f>
        <v>1836.0635040000006</v>
      </c>
      <c r="AT464" s="62"/>
      <c r="AU464" s="62"/>
      <c r="AV464" s="62"/>
      <c r="AW464" s="62"/>
      <c r="AX464" s="62"/>
      <c r="AY464" s="62"/>
      <c r="AZ464" s="77"/>
      <c r="BA464" s="188">
        <f t="shared" ref="BA464:BA467" si="827">(H464*2+J464*2)*2*2/60/1000*L464</f>
        <v>9.5466666666666669</v>
      </c>
      <c r="BB464" s="283"/>
      <c r="BC464" s="62"/>
      <c r="BD464" s="284"/>
      <c r="BE464" s="131"/>
      <c r="BF464"/>
      <c r="BG464" s="57"/>
      <c r="BH464" s="57"/>
      <c r="BI464" s="57"/>
      <c r="BJ464" s="57"/>
      <c r="BK464" s="57"/>
      <c r="BL464" s="109"/>
      <c r="BM464" s="109"/>
      <c r="BN464" s="109"/>
      <c r="BO464" s="83"/>
      <c r="BQ464" s="83"/>
      <c r="BR464" s="83"/>
    </row>
    <row r="465" spans="1:70" s="50" customFormat="1" x14ac:dyDescent="0.25">
      <c r="A465" s="116">
        <f>H465*J465*(RIGHT(F465,2))*7.85/(10^6)</f>
        <v>4.9455</v>
      </c>
      <c r="B465" s="116">
        <f t="shared" si="822"/>
        <v>237.38400000000001</v>
      </c>
      <c r="C465" s="118"/>
      <c r="D465" s="117" t="s">
        <v>81</v>
      </c>
      <c r="E465" s="290"/>
      <c r="F465" s="355" t="s">
        <v>337</v>
      </c>
      <c r="G465" s="117" t="s">
        <v>83</v>
      </c>
      <c r="H465" s="119">
        <v>210</v>
      </c>
      <c r="I465" s="118" t="s">
        <v>77</v>
      </c>
      <c r="J465" s="119">
        <v>375</v>
      </c>
      <c r="K465" s="119">
        <v>48</v>
      </c>
      <c r="L465" s="119">
        <f>K$465*L$463</f>
        <v>48</v>
      </c>
      <c r="M465" s="116">
        <f t="shared" si="823"/>
        <v>7.5600000000000005</v>
      </c>
      <c r="N465" s="118" t="s">
        <v>84</v>
      </c>
      <c r="P465" s="118"/>
      <c r="Q465" s="294">
        <v>8</v>
      </c>
      <c r="R465" s="118"/>
      <c r="S465" s="118"/>
      <c r="T465" s="118"/>
      <c r="U465" s="118"/>
      <c r="V465" s="118"/>
      <c r="W465" s="118"/>
      <c r="X465" s="118"/>
      <c r="Y465" s="118"/>
      <c r="Z465" s="118"/>
      <c r="AA465" s="118"/>
      <c r="AB465" s="118" t="s">
        <v>78</v>
      </c>
      <c r="AC465" s="136">
        <f>((((H465+J465)*2/1000)*L465*(5/(VLOOKUP(F465,[2]Plasmalõikus!$A$7:$E$46,2,FALSE)/1000*60)))+(Q465*L465*(5*(VLOOKUP(F465,[2]Plasmalõikus!$A$7:$E$48,3,FALSE))/60/60)))</f>
        <v>5.8266666666666653</v>
      </c>
      <c r="AD465" s="330"/>
      <c r="AE465" s="136"/>
      <c r="AF465" s="137"/>
      <c r="AG465" s="137">
        <f t="shared" si="824"/>
        <v>0</v>
      </c>
      <c r="AH465" s="136"/>
      <c r="AI465" s="132">
        <f t="shared" si="825"/>
        <v>12</v>
      </c>
      <c r="AJ465" s="70"/>
      <c r="AK465" s="50">
        <v>2</v>
      </c>
      <c r="AL465" s="69" t="str">
        <f>IF(AND(Q465&gt;0,A465&lt;3),"10",IF(AND(Q465&gt;0,A465&lt;10),"15",IF(AND(Q465&gt;0,A465&lt;20),"20",IF(AND(Q465&gt;0,A465&lt;500),"30",IF(AND(Q465=0,A465&lt;3),"2",IF(AND(Q465=0,A465&lt;10),"5",IF(AND(Q465=0,A465&lt;20),"10",IF(AND(Q465=0,A465&lt;500),"20","2"))))))))</f>
        <v>15</v>
      </c>
      <c r="AP465" s="146">
        <f>(VLOOKUP(F465,Terasehind!$A$2:$B$171,2,FALSE))</f>
        <v>0.92</v>
      </c>
      <c r="AQ465" s="50">
        <f>(VLOOKUP(F465,Terasehind!$A$2:$C$171,3,FALSE))</f>
        <v>1.1000000000000001</v>
      </c>
      <c r="AR465" s="138">
        <f t="shared" si="826"/>
        <v>240.23260800000006</v>
      </c>
      <c r="AT465" s="62"/>
      <c r="AU465" s="62"/>
      <c r="AV465" s="62"/>
      <c r="AW465" s="62"/>
      <c r="AX465" s="62"/>
      <c r="AY465" s="62"/>
      <c r="AZ465" s="77"/>
      <c r="BA465" s="188">
        <f t="shared" si="827"/>
        <v>3.7439999999999998</v>
      </c>
      <c r="BB465" s="283"/>
      <c r="BC465" s="62"/>
      <c r="BD465" s="284"/>
      <c r="BE465" s="131"/>
      <c r="BF465"/>
      <c r="BG465" s="57"/>
      <c r="BH465" s="57"/>
      <c r="BI465" s="57"/>
      <c r="BJ465" s="57"/>
      <c r="BK465" s="57"/>
      <c r="BL465" s="109"/>
      <c r="BM465" s="109"/>
      <c r="BN465" s="109"/>
      <c r="BO465" s="83"/>
      <c r="BQ465" s="83"/>
      <c r="BR465" s="83"/>
    </row>
    <row r="466" spans="1:70" s="50" customFormat="1" x14ac:dyDescent="0.25">
      <c r="A466" s="116">
        <f>H466*J466*(RIGHT(F466,2))*7.85/(10^6)</f>
        <v>9.2728125000000006</v>
      </c>
      <c r="B466" s="116">
        <f t="shared" si="822"/>
        <v>148.36500000000001</v>
      </c>
      <c r="C466" s="118"/>
      <c r="D466" s="117" t="s">
        <v>81</v>
      </c>
      <c r="E466" s="290"/>
      <c r="F466" s="355" t="s">
        <v>87</v>
      </c>
      <c r="G466" s="117" t="s">
        <v>83</v>
      </c>
      <c r="H466" s="119">
        <v>210</v>
      </c>
      <c r="I466" s="118" t="s">
        <v>77</v>
      </c>
      <c r="J466" s="119">
        <v>375</v>
      </c>
      <c r="K466" s="119">
        <v>16</v>
      </c>
      <c r="L466" s="119">
        <f>K$466*L$463</f>
        <v>16</v>
      </c>
      <c r="M466" s="116">
        <f t="shared" si="823"/>
        <v>2.52</v>
      </c>
      <c r="N466" s="118" t="s">
        <v>84</v>
      </c>
      <c r="P466" s="118"/>
      <c r="Q466" s="294">
        <v>16</v>
      </c>
      <c r="R466" s="118"/>
      <c r="S466" s="118"/>
      <c r="T466" s="118"/>
      <c r="U466" s="118"/>
      <c r="V466" s="118"/>
      <c r="W466" s="118"/>
      <c r="X466" s="118"/>
      <c r="Y466" s="118"/>
      <c r="Z466" s="118"/>
      <c r="AA466" s="118"/>
      <c r="AB466" s="118" t="s">
        <v>78</v>
      </c>
      <c r="AC466" s="136">
        <f>((((H466+J466)*2/1000)*L466*(5/(VLOOKUP(F466,[2]Plasmalõikus!$A$7:$E$46,2,FALSE)/1000*60)))+(Q466*L466*(5*(VLOOKUP(F466,[2]Plasmalõikus!$A$7:$E$48,3,FALSE))/60/60)))</f>
        <v>4.0666666666666664</v>
      </c>
      <c r="AD466" s="330"/>
      <c r="AE466" s="136"/>
      <c r="AF466" s="137"/>
      <c r="AG466" s="137">
        <f t="shared" si="824"/>
        <v>0</v>
      </c>
      <c r="AH466" s="136"/>
      <c r="AI466" s="132">
        <f t="shared" si="825"/>
        <v>4</v>
      </c>
      <c r="AJ466" s="70"/>
      <c r="AK466" s="50">
        <v>2</v>
      </c>
      <c r="AL466" s="69" t="str">
        <f>IF(AND(Q466&gt;0,A466&lt;3),"10",IF(AND(Q466&gt;0,A466&lt;10),"15",IF(AND(Q466&gt;0,A466&lt;20),"20",IF(AND(Q466&gt;0,A466&lt;500),"30",IF(AND(Q466=0,A466&lt;3),"2",IF(AND(Q466=0,A466&lt;10),"5",IF(AND(Q466=0,A466&lt;20),"10",IF(AND(Q466=0,A466&lt;500),"20","2"))))))))</f>
        <v>15</v>
      </c>
      <c r="AP466" s="146">
        <f>(VLOOKUP(F466,Terasehind!$A$2:$B$171,2,FALSE))</f>
        <v>0.92</v>
      </c>
      <c r="AQ466" s="50">
        <f>(VLOOKUP(F466,Terasehind!$A$2:$C$171,3,FALSE))</f>
        <v>1.1000000000000001</v>
      </c>
      <c r="AR466" s="138">
        <f t="shared" si="826"/>
        <v>150.14538000000005</v>
      </c>
      <c r="AT466" s="62"/>
      <c r="AU466" s="62"/>
      <c r="AV466" s="62"/>
      <c r="AW466" s="62"/>
      <c r="AX466" s="62"/>
      <c r="AY466" s="62"/>
      <c r="AZ466" s="77"/>
      <c r="BA466" s="188">
        <f t="shared" si="827"/>
        <v>1.248</v>
      </c>
      <c r="BB466" s="283"/>
      <c r="BC466" s="62"/>
      <c r="BD466" s="284"/>
      <c r="BE466" s="131"/>
      <c r="BF466"/>
      <c r="BG466" s="57"/>
      <c r="BH466" s="57"/>
      <c r="BI466" s="57"/>
      <c r="BJ466" s="57"/>
      <c r="BK466" s="57"/>
      <c r="BL466" s="109"/>
      <c r="BM466" s="109"/>
      <c r="BN466" s="109"/>
      <c r="BO466" s="83"/>
      <c r="BQ466" s="83"/>
      <c r="BR466" s="83"/>
    </row>
    <row r="467" spans="1:70" s="50" customFormat="1" x14ac:dyDescent="0.25">
      <c r="A467" s="116">
        <f>H467*J467*(RIGHT(F467,2))*7.85/(10^6)</f>
        <v>13.688437499999999</v>
      </c>
      <c r="B467" s="116">
        <f t="shared" si="822"/>
        <v>109.50749999999999</v>
      </c>
      <c r="C467" s="118"/>
      <c r="D467" s="117" t="s">
        <v>81</v>
      </c>
      <c r="E467" s="290"/>
      <c r="F467" s="355" t="s">
        <v>87</v>
      </c>
      <c r="G467" s="117" t="s">
        <v>83</v>
      </c>
      <c r="H467" s="119">
        <v>310</v>
      </c>
      <c r="I467" s="118" t="s">
        <v>77</v>
      </c>
      <c r="J467" s="119">
        <v>375</v>
      </c>
      <c r="K467" s="119">
        <v>8</v>
      </c>
      <c r="L467" s="119">
        <f>K$467*L$463</f>
        <v>8</v>
      </c>
      <c r="M467" s="116">
        <f t="shared" si="823"/>
        <v>1.86</v>
      </c>
      <c r="N467" s="118" t="s">
        <v>84</v>
      </c>
      <c r="P467" s="118"/>
      <c r="Q467" s="294">
        <v>16</v>
      </c>
      <c r="R467" s="118"/>
      <c r="S467" s="118"/>
      <c r="T467" s="118"/>
      <c r="U467" s="118"/>
      <c r="V467" s="118"/>
      <c r="W467" s="118"/>
      <c r="X467" s="118"/>
      <c r="Y467" s="118"/>
      <c r="Z467" s="118"/>
      <c r="AA467" s="118"/>
      <c r="AB467" s="118" t="s">
        <v>78</v>
      </c>
      <c r="AC467" s="136">
        <f>((((H467+J467)*2/1000)*L467*(5/(VLOOKUP(F467,[2]Plasmalõikus!$A$7:$E$46,2,FALSE)/1000*60)))+(Q467*L467*(5*(VLOOKUP(F467,[2]Plasmalõikus!$A$7:$E$48,3,FALSE))/60/60)))</f>
        <v>2.1074074074074076</v>
      </c>
      <c r="AD467" s="330"/>
      <c r="AE467" s="136"/>
      <c r="AF467" s="137"/>
      <c r="AG467" s="137">
        <f t="shared" si="824"/>
        <v>0</v>
      </c>
      <c r="AH467" s="136"/>
      <c r="AI467" s="132">
        <f t="shared" si="825"/>
        <v>2.6666666666666665</v>
      </c>
      <c r="AJ467" s="70"/>
      <c r="AK467" s="50">
        <v>2</v>
      </c>
      <c r="AL467" s="69" t="str">
        <f>IF(AND(Q467&gt;0,A467&lt;3),"10",IF(AND(Q467&gt;0,A467&lt;10),"15",IF(AND(Q467&gt;0,A467&lt;20),"20",IF(AND(Q467&gt;0,A467&lt;500),"30",IF(AND(Q467=0,A467&lt;3),"2",IF(AND(Q467=0,A467&lt;10),"5",IF(AND(Q467=0,A467&lt;20),"10",IF(AND(Q467=0,A467&lt;500),"20","2"))))))))</f>
        <v>20</v>
      </c>
      <c r="AP467" s="146">
        <f>(VLOOKUP(F467,Terasehind!$A$2:$B$171,2,FALSE))</f>
        <v>0.92</v>
      </c>
      <c r="AQ467" s="50">
        <f>(VLOOKUP(F467,Terasehind!$A$2:$C$171,3,FALSE))</f>
        <v>1.1000000000000001</v>
      </c>
      <c r="AR467" s="138">
        <f t="shared" si="826"/>
        <v>110.82159000000001</v>
      </c>
      <c r="AT467" s="62"/>
      <c r="AU467" s="62"/>
      <c r="AV467" s="62"/>
      <c r="AW467" s="62"/>
      <c r="AX467" s="62"/>
      <c r="AY467" s="62"/>
      <c r="AZ467" s="77"/>
      <c r="BA467" s="188">
        <f t="shared" si="827"/>
        <v>0.73066666666666658</v>
      </c>
      <c r="BB467" s="283"/>
      <c r="BC467" s="62"/>
      <c r="BD467" s="284"/>
      <c r="BE467" s="131"/>
      <c r="BF467"/>
      <c r="BG467" s="57"/>
      <c r="BH467" s="57"/>
      <c r="BI467" s="57"/>
      <c r="BJ467" s="57"/>
      <c r="BK467" s="57"/>
      <c r="BL467" s="109"/>
      <c r="BM467" s="109"/>
      <c r="BN467" s="109"/>
      <c r="BO467" s="83"/>
      <c r="BQ467" s="83"/>
      <c r="BR467" s="83"/>
    </row>
    <row r="468" spans="1:70" s="50" customFormat="1" x14ac:dyDescent="0.25">
      <c r="A468" s="116">
        <f>H468*J468*(RIGHT(F468,2))*7.85/(10^6)</f>
        <v>10.851839999999999</v>
      </c>
      <c r="B468" s="116">
        <f t="shared" ref="B468" si="828">A468*L468</f>
        <v>130.22208000000001</v>
      </c>
      <c r="C468" s="118"/>
      <c r="D468" s="117" t="s">
        <v>81</v>
      </c>
      <c r="E468" s="290"/>
      <c r="F468" s="355" t="s">
        <v>337</v>
      </c>
      <c r="G468" s="117" t="s">
        <v>83</v>
      </c>
      <c r="H468" s="119">
        <v>360</v>
      </c>
      <c r="I468" s="118" t="s">
        <v>77</v>
      </c>
      <c r="J468" s="119">
        <v>480</v>
      </c>
      <c r="K468" s="119">
        <v>12</v>
      </c>
      <c r="L468" s="119">
        <f>K$468*L$463</f>
        <v>12</v>
      </c>
      <c r="M468" s="116">
        <f t="shared" ref="M468" si="829">2*H468*J468/10^6*L468</f>
        <v>4.1471999999999998</v>
      </c>
      <c r="N468" s="118" t="s">
        <v>84</v>
      </c>
      <c r="P468" s="118"/>
      <c r="Q468" s="294">
        <v>16</v>
      </c>
      <c r="R468" s="118"/>
      <c r="S468" s="118"/>
      <c r="T468" s="118"/>
      <c r="U468" s="118"/>
      <c r="V468" s="118"/>
      <c r="W468" s="118"/>
      <c r="X468" s="118"/>
      <c r="Y468" s="118"/>
      <c r="Z468" s="118"/>
      <c r="AA468" s="118"/>
      <c r="AB468" s="118" t="s">
        <v>78</v>
      </c>
      <c r="AC468" s="136">
        <f>((((H468+J468)*2/1000)*L468*(5/(VLOOKUP(F468,[2]Plasmalõikus!$A$7:$E$46,2,FALSE)/1000*60)))+(Q468*L468*(5*(VLOOKUP(F468,[2]Plasmalõikus!$A$7:$E$48,3,FALSE))/60/60)))</f>
        <v>2.6933333333333329</v>
      </c>
      <c r="AD468" s="330"/>
      <c r="AE468" s="136"/>
      <c r="AF468" s="137"/>
      <c r="AG468" s="137">
        <f t="shared" ref="AG468" si="830">IF(VALUE(MID(F468,SEARCH(" ",F468)+1,LEN(F468)))&lt;35,0,IF(VALUE(MID(F468,SEARCH(" ",F468)+1,LEN(F468)))&lt;40,3,IF(VALUE(MID(F468,SEARCH(" ",F468)+1,LEN(F468)))&lt;50,4,IF(VALUE(MID(F468,SEARCH(" ",F468)+1,LEN(F468)))&lt;60,5,IF(VALUE(MID(F468,SEARCH(" ",F468)+1,LEN(F468)))&lt;70,6,IF(VALUE(MID(F468,SEARCH(" ",F468)+1,LEN(F468)))&lt;80,7,IF(VALUE(MID(F468,SEARCH(" ",F468)+1,LEN(F468)))&lt;90,8,IF(VALUE(MID(F468,SEARCH(" ",F468)+1,LEN(F468)))&lt;100,9,10))))))))/60*Q468*L468</f>
        <v>0</v>
      </c>
      <c r="AH468" s="136"/>
      <c r="AI468" s="132">
        <f t="shared" ref="AI468" si="831">AL468*L468/60</f>
        <v>4</v>
      </c>
      <c r="AJ468" s="70"/>
      <c r="AK468" s="50">
        <v>2</v>
      </c>
      <c r="AL468" s="69" t="str">
        <f>IF(AND(Q468&gt;0,A468&lt;3),"10",IF(AND(Q468&gt;0,A468&lt;10),"15",IF(AND(Q468&gt;0,A468&lt;20),"20",IF(AND(Q468&gt;0,A468&lt;500),"30",IF(AND(Q468=0,A468&lt;3),"2",IF(AND(Q468=0,A468&lt;10),"5",IF(AND(Q468=0,A468&lt;20),"10",IF(AND(Q468=0,A468&lt;500),"20","2"))))))))</f>
        <v>20</v>
      </c>
      <c r="AP468" s="146">
        <f>(VLOOKUP(F468,Terasehind!$A$2:$B$171,2,FALSE))</f>
        <v>0.92</v>
      </c>
      <c r="AQ468" s="50">
        <f>(VLOOKUP(F468,Terasehind!$A$2:$C$171,3,FALSE))</f>
        <v>1.1000000000000001</v>
      </c>
      <c r="AR468" s="138">
        <f t="shared" ref="AR468" si="832">AP468*AQ468*B468</f>
        <v>131.78474496000004</v>
      </c>
      <c r="AT468" s="62"/>
      <c r="AU468" s="62"/>
      <c r="AV468" s="62"/>
      <c r="AW468" s="62"/>
      <c r="AX468" s="62"/>
      <c r="AY468" s="62"/>
      <c r="AZ468" s="77"/>
      <c r="BA468" s="188">
        <f t="shared" ref="BA468" si="833">(H468*2+J468*2)*2*2/60/1000*L468</f>
        <v>1.3440000000000001</v>
      </c>
      <c r="BB468" s="283"/>
      <c r="BC468" s="62"/>
      <c r="BD468" s="284"/>
      <c r="BE468" s="131"/>
      <c r="BF468"/>
      <c r="BG468" s="57"/>
      <c r="BH468" s="57"/>
      <c r="BI468" s="57"/>
      <c r="BJ468" s="57"/>
      <c r="BK468" s="57"/>
      <c r="BL468" s="109"/>
      <c r="BM468" s="109"/>
      <c r="BN468" s="109"/>
      <c r="BO468" s="83"/>
      <c r="BQ468" s="83"/>
      <c r="BR468" s="83"/>
    </row>
  </sheetData>
  <mergeCells count="9">
    <mergeCell ref="AT1:AT2"/>
    <mergeCell ref="AC3:AJ3"/>
    <mergeCell ref="X1:Y2"/>
    <mergeCell ref="AL1:AL2"/>
    <mergeCell ref="J4:K4"/>
    <mergeCell ref="J1:K1"/>
    <mergeCell ref="J2:K2"/>
    <mergeCell ref="J3:K3"/>
    <mergeCell ref="AA1:AA2"/>
  </mergeCells>
  <phoneticPr fontId="17" type="noConversion"/>
  <printOptions horizontalCentered="1" gridLines="1"/>
  <pageMargins left="0.19685039370078741" right="0.19685039370078741" top="0.39370078740157483" bottom="0.35433070866141736" header="0.19685039370078741" footer="0.19685039370078741"/>
  <pageSetup paperSize="9" scale="46" orientation="landscape" blackAndWhite="1" r:id="rId1"/>
  <headerFooter alignWithMargins="0">
    <oddHeader>&amp;RLeht &amp;P / Lehti &amp;N</oddHeader>
    <oddFooter>&amp;L&amp;F&amp;R&amp;T - &amp;D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Data">
                <anchor>
                  <from>
                    <xdr:col>0</xdr:col>
                    <xdr:colOff>0</xdr:colOff>
                    <xdr:row>0</xdr:row>
                    <xdr:rowOff>34506</xdr:rowOff>
                  </from>
                  <to>
                    <xdr:col>1</xdr:col>
                    <xdr:colOff>17253</xdr:colOff>
                    <xdr:row>0</xdr:row>
                    <xdr:rowOff>267419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LisaAndmed">
                <anchor>
                  <from>
                    <xdr:col>0</xdr:col>
                    <xdr:colOff>0</xdr:colOff>
                    <xdr:row>0</xdr:row>
                    <xdr:rowOff>422694</xdr:rowOff>
                  </from>
                  <to>
                    <xdr:col>1</xdr:col>
                    <xdr:colOff>17253</xdr:colOff>
                    <xdr:row>1</xdr:row>
                    <xdr:rowOff>155275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6" name="Button 3">
              <controlPr defaultSize="0" print="0" autoFill="0" autoPict="0" macro="[0]!Summad">
                <anchor>
                  <from>
                    <xdr:col>0</xdr:col>
                    <xdr:colOff>0</xdr:colOff>
                    <xdr:row>2</xdr:row>
                    <xdr:rowOff>0</xdr:rowOff>
                  </from>
                  <to>
                    <xdr:col>1</xdr:col>
                    <xdr:colOff>17253</xdr:colOff>
                    <xdr:row>2</xdr:row>
                    <xdr:rowOff>232913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Leht2"/>
  <dimension ref="A1:X1054"/>
  <sheetViews>
    <sheetView workbookViewId="0">
      <selection sqref="A1:B3"/>
    </sheetView>
  </sheetViews>
  <sheetFormatPr defaultColWidth="9.125" defaultRowHeight="16.3" x14ac:dyDescent="0.3"/>
  <cols>
    <col min="1" max="1" width="6.125" style="3" customWidth="1"/>
    <col min="2" max="2" width="8.625" style="3" bestFit="1" customWidth="1"/>
    <col min="3" max="3" width="10.375" style="5" customWidth="1"/>
    <col min="4" max="4" width="7.75" style="4" bestFit="1" customWidth="1"/>
    <col min="5" max="5" width="6.75" style="8" customWidth="1"/>
    <col min="6" max="6" width="29.25" style="5" customWidth="1"/>
    <col min="7" max="7" width="9.125" style="5" bestFit="1" customWidth="1"/>
    <col min="8" max="8" width="8.625" style="6" bestFit="1" customWidth="1"/>
    <col min="9" max="9" width="1.75" style="5" customWidth="1"/>
    <col min="10" max="10" width="9" style="6" bestFit="1" customWidth="1"/>
    <col min="11" max="11" width="5.125" style="6" hidden="1" customWidth="1"/>
    <col min="12" max="12" width="13" style="3" customWidth="1"/>
    <col min="13" max="13" width="7.625" style="5" bestFit="1" customWidth="1"/>
    <col min="14" max="19" width="3.625" style="5" customWidth="1"/>
    <col min="20" max="20" width="8" style="5" bestFit="1" customWidth="1"/>
    <col min="21" max="23" width="3.625" style="5" customWidth="1"/>
    <col min="24" max="24" width="9.625" style="7" bestFit="1" customWidth="1"/>
    <col min="25" max="16384" width="9.125" style="7"/>
  </cols>
  <sheetData>
    <row r="1" spans="1:24" ht="39.25" customHeight="1" x14ac:dyDescent="0.3">
      <c r="A1" s="409" t="s">
        <v>94</v>
      </c>
      <c r="B1" s="410"/>
      <c r="C1" s="415" t="s">
        <v>95</v>
      </c>
      <c r="D1" s="415"/>
      <c r="E1" s="415"/>
      <c r="F1" s="415"/>
      <c r="G1" s="427" t="e">
        <f>Number</f>
        <v>#REF!</v>
      </c>
      <c r="H1" s="427"/>
      <c r="I1" s="427"/>
      <c r="J1" s="427"/>
      <c r="K1" s="427" t="s">
        <v>96</v>
      </c>
      <c r="L1" s="427"/>
      <c r="M1" s="427"/>
      <c r="N1" s="400" t="s">
        <v>97</v>
      </c>
      <c r="O1" s="400" t="s">
        <v>97</v>
      </c>
      <c r="P1" s="400" t="s">
        <v>97</v>
      </c>
      <c r="Q1" s="400" t="s">
        <v>97</v>
      </c>
      <c r="R1" s="400" t="s">
        <v>97</v>
      </c>
      <c r="S1" s="400" t="s">
        <v>97</v>
      </c>
      <c r="T1" s="400" t="s">
        <v>97</v>
      </c>
      <c r="U1" s="400" t="s">
        <v>97</v>
      </c>
      <c r="V1" s="400" t="s">
        <v>97</v>
      </c>
      <c r="W1" s="400" t="s">
        <v>97</v>
      </c>
      <c r="X1" s="25"/>
    </row>
    <row r="2" spans="1:24" ht="15.8" customHeight="1" x14ac:dyDescent="0.3">
      <c r="A2" s="411"/>
      <c r="B2" s="412"/>
      <c r="C2" s="417" t="e">
        <f>Kuupäev</f>
        <v>#REF!</v>
      </c>
      <c r="D2" s="417"/>
      <c r="E2" s="417"/>
      <c r="F2" s="17" t="s">
        <v>98</v>
      </c>
      <c r="G2" s="418" t="e">
        <f>Tellija</f>
        <v>#REF!</v>
      </c>
      <c r="H2" s="418"/>
      <c r="I2" s="418"/>
      <c r="J2" s="418"/>
      <c r="K2" s="418"/>
      <c r="L2" s="418"/>
      <c r="M2" s="419" t="s">
        <v>99</v>
      </c>
      <c r="N2" s="401"/>
      <c r="O2" s="401"/>
      <c r="P2" s="401"/>
      <c r="Q2" s="401"/>
      <c r="R2" s="401"/>
      <c r="S2" s="401"/>
      <c r="T2" s="401"/>
      <c r="U2" s="401"/>
      <c r="V2" s="401"/>
      <c r="W2" s="401"/>
      <c r="X2" s="25"/>
    </row>
    <row r="3" spans="1:24" x14ac:dyDescent="0.3">
      <c r="A3" s="413"/>
      <c r="B3" s="414"/>
      <c r="C3" s="17" t="s">
        <v>100</v>
      </c>
      <c r="D3" s="420" t="e">
        <f>Tehnoloog</f>
        <v>#REF!</v>
      </c>
      <c r="E3" s="420"/>
      <c r="F3" s="17" t="s">
        <v>101</v>
      </c>
      <c r="G3" s="425" t="e">
        <f>Toode</f>
        <v>#REF!</v>
      </c>
      <c r="H3" s="426"/>
      <c r="I3" s="426"/>
      <c r="J3" s="426"/>
      <c r="K3" s="426"/>
      <c r="L3" s="426"/>
      <c r="M3" s="419"/>
      <c r="N3" s="402"/>
      <c r="O3" s="402"/>
      <c r="P3" s="402"/>
      <c r="Q3" s="402"/>
      <c r="R3" s="402"/>
      <c r="S3" s="402"/>
      <c r="T3" s="402"/>
      <c r="U3" s="402"/>
      <c r="V3" s="402"/>
      <c r="W3" s="402"/>
      <c r="X3" s="25"/>
    </row>
    <row r="4" spans="1:24" x14ac:dyDescent="0.3">
      <c r="A4" s="404" t="s">
        <v>102</v>
      </c>
      <c r="B4" s="404"/>
      <c r="C4" s="403" t="s">
        <v>103</v>
      </c>
      <c r="D4" s="405" t="s">
        <v>104</v>
      </c>
      <c r="E4" s="407" t="s">
        <v>105</v>
      </c>
      <c r="F4" s="403" t="s">
        <v>106</v>
      </c>
      <c r="G4" s="403" t="s">
        <v>107</v>
      </c>
      <c r="H4" s="403" t="s">
        <v>108</v>
      </c>
      <c r="I4" s="403"/>
      <c r="J4" s="403"/>
      <c r="K4" s="421" t="s">
        <v>109</v>
      </c>
      <c r="L4" s="422"/>
      <c r="M4" s="416"/>
      <c r="N4" s="403" t="s">
        <v>110</v>
      </c>
      <c r="O4" s="403" t="s">
        <v>111</v>
      </c>
      <c r="P4" s="403" t="s">
        <v>112</v>
      </c>
      <c r="Q4" s="403" t="s">
        <v>113</v>
      </c>
      <c r="R4" s="403" t="s">
        <v>114</v>
      </c>
      <c r="S4" s="403" t="s">
        <v>115</v>
      </c>
      <c r="T4" s="403" t="s">
        <v>116</v>
      </c>
      <c r="U4" s="403" t="s">
        <v>117</v>
      </c>
      <c r="V4" s="403" t="s">
        <v>118</v>
      </c>
      <c r="W4" s="403" t="s">
        <v>119</v>
      </c>
      <c r="X4" s="25"/>
    </row>
    <row r="5" spans="1:24" x14ac:dyDescent="0.3">
      <c r="A5" s="1" t="s">
        <v>120</v>
      </c>
      <c r="B5" s="1" t="s">
        <v>121</v>
      </c>
      <c r="C5" s="403"/>
      <c r="D5" s="406"/>
      <c r="E5" s="408"/>
      <c r="F5" s="403"/>
      <c r="G5" s="403"/>
      <c r="H5" s="1" t="s">
        <v>122</v>
      </c>
      <c r="I5" s="2"/>
      <c r="J5" s="1" t="s">
        <v>123</v>
      </c>
      <c r="K5" s="423"/>
      <c r="L5" s="424"/>
      <c r="M5" s="416"/>
      <c r="N5" s="403"/>
      <c r="O5" s="403"/>
      <c r="P5" s="403"/>
      <c r="Q5" s="403"/>
      <c r="R5" s="403"/>
      <c r="S5" s="403"/>
      <c r="T5" s="403"/>
      <c r="U5" s="403"/>
      <c r="V5" s="403"/>
      <c r="W5" s="403"/>
      <c r="X5" s="25"/>
    </row>
    <row r="6" spans="1:24" x14ac:dyDescent="0.3">
      <c r="A6"/>
      <c r="B6"/>
      <c r="C6"/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 s="233"/>
      <c r="X6" s="25"/>
    </row>
    <row r="7" spans="1:24" s="5" customFormat="1" x14ac:dyDescent="0.3">
      <c r="A7"/>
      <c r="B7" s="22">
        <v>24.727500000000003</v>
      </c>
      <c r="C7" s="21" t="s">
        <v>97</v>
      </c>
      <c r="D7" s="21" t="s">
        <v>85</v>
      </c>
      <c r="E7" s="21" t="s">
        <v>97</v>
      </c>
      <c r="F7" s="21" t="s">
        <v>82</v>
      </c>
      <c r="G7" s="21" t="s">
        <v>83</v>
      </c>
      <c r="H7" s="20">
        <v>150</v>
      </c>
      <c r="I7"/>
      <c r="J7" s="20">
        <v>150</v>
      </c>
      <c r="K7"/>
      <c r="L7" s="20">
        <v>14</v>
      </c>
      <c r="M7" s="19">
        <v>0.63</v>
      </c>
      <c r="N7" t="s">
        <v>84</v>
      </c>
      <c r="O7"/>
      <c r="P7"/>
      <c r="Q7"/>
      <c r="R7"/>
      <c r="S7"/>
      <c r="T7"/>
      <c r="U7"/>
      <c r="V7"/>
      <c r="X7" s="25"/>
    </row>
    <row r="8" spans="1:24" s="5" customFormat="1" x14ac:dyDescent="0.3">
      <c r="A8"/>
      <c r="B8" s="22">
        <v>10.5504</v>
      </c>
      <c r="C8" s="21" t="s">
        <v>97</v>
      </c>
      <c r="D8" s="21" t="s">
        <v>85</v>
      </c>
      <c r="E8" s="21" t="s">
        <v>97</v>
      </c>
      <c r="F8" s="21" t="s">
        <v>82</v>
      </c>
      <c r="G8" s="21" t="s">
        <v>83</v>
      </c>
      <c r="H8" s="20">
        <v>120</v>
      </c>
      <c r="I8"/>
      <c r="J8" s="20">
        <v>160</v>
      </c>
      <c r="K8"/>
      <c r="L8" s="20">
        <v>7</v>
      </c>
      <c r="M8" s="19">
        <v>0.26879999999999998</v>
      </c>
      <c r="N8" t="s">
        <v>84</v>
      </c>
      <c r="O8"/>
      <c r="P8"/>
      <c r="Q8"/>
      <c r="R8"/>
      <c r="S8"/>
      <c r="T8"/>
      <c r="U8"/>
      <c r="V8"/>
      <c r="X8" s="25"/>
    </row>
    <row r="9" spans="1:24" s="5" customFormat="1" x14ac:dyDescent="0.3">
      <c r="A9"/>
      <c r="B9" s="22">
        <v>102.5838</v>
      </c>
      <c r="C9" s="21" t="s">
        <v>467</v>
      </c>
      <c r="D9" s="21" t="s">
        <v>342</v>
      </c>
      <c r="E9" s="21" t="s">
        <v>97</v>
      </c>
      <c r="F9" s="21" t="s">
        <v>82</v>
      </c>
      <c r="G9" s="21" t="s">
        <v>83</v>
      </c>
      <c r="H9" s="20">
        <v>165</v>
      </c>
      <c r="I9"/>
      <c r="J9" s="20">
        <v>165</v>
      </c>
      <c r="K9"/>
      <c r="L9" s="20">
        <v>48</v>
      </c>
      <c r="M9" s="19">
        <v>2.6135999999999999</v>
      </c>
      <c r="N9" t="s">
        <v>84</v>
      </c>
      <c r="O9"/>
      <c r="P9"/>
      <c r="Q9">
        <v>1</v>
      </c>
      <c r="R9"/>
      <c r="S9"/>
      <c r="T9"/>
      <c r="U9"/>
      <c r="V9"/>
      <c r="X9" s="25"/>
    </row>
    <row r="10" spans="1:24" s="5" customFormat="1" x14ac:dyDescent="0.3">
      <c r="A10"/>
      <c r="B10" s="22">
        <v>10.362</v>
      </c>
      <c r="C10" s="21" t="s">
        <v>97</v>
      </c>
      <c r="D10" s="21" t="s">
        <v>85</v>
      </c>
      <c r="E10" s="21" t="s">
        <v>97</v>
      </c>
      <c r="F10" s="21" t="s">
        <v>82</v>
      </c>
      <c r="G10" s="21" t="s">
        <v>83</v>
      </c>
      <c r="H10" s="20">
        <v>50</v>
      </c>
      <c r="I10"/>
      <c r="J10" s="20">
        <v>220</v>
      </c>
      <c r="K10"/>
      <c r="L10" s="20">
        <v>12</v>
      </c>
      <c r="M10" s="19">
        <v>0.26400000000000001</v>
      </c>
      <c r="N10" t="s">
        <v>84</v>
      </c>
      <c r="O10"/>
      <c r="P10"/>
      <c r="Q10"/>
      <c r="R10"/>
      <c r="S10"/>
      <c r="T10"/>
      <c r="U10"/>
      <c r="V10"/>
      <c r="X10" s="25"/>
    </row>
    <row r="11" spans="1:24" s="5" customFormat="1" x14ac:dyDescent="0.3">
      <c r="A11"/>
      <c r="B11" s="22">
        <v>6.9080000000000004</v>
      </c>
      <c r="C11" s="21" t="s">
        <v>97</v>
      </c>
      <c r="D11" s="21" t="s">
        <v>85</v>
      </c>
      <c r="E11" s="21" t="s">
        <v>97</v>
      </c>
      <c r="F11" s="21" t="s">
        <v>82</v>
      </c>
      <c r="G11" s="21" t="s">
        <v>83</v>
      </c>
      <c r="H11" s="20">
        <v>50</v>
      </c>
      <c r="I11"/>
      <c r="J11" s="20">
        <v>220</v>
      </c>
      <c r="K11"/>
      <c r="L11" s="20">
        <v>8</v>
      </c>
      <c r="M11" s="19">
        <v>0.17599999999999999</v>
      </c>
      <c r="N11" t="s">
        <v>84</v>
      </c>
      <c r="O11"/>
      <c r="P11"/>
      <c r="Q11"/>
      <c r="R11"/>
      <c r="S11"/>
      <c r="T11"/>
      <c r="U11"/>
      <c r="V11"/>
      <c r="X11" s="25"/>
    </row>
    <row r="12" spans="1:24" s="5" customFormat="1" x14ac:dyDescent="0.3">
      <c r="A12"/>
      <c r="B12" s="22">
        <v>15.509088000000002</v>
      </c>
      <c r="C12" s="21" t="s">
        <v>97</v>
      </c>
      <c r="D12" s="21" t="s">
        <v>81</v>
      </c>
      <c r="E12" s="21" t="s">
        <v>97</v>
      </c>
      <c r="F12" s="21" t="s">
        <v>82</v>
      </c>
      <c r="G12" s="21" t="s">
        <v>83</v>
      </c>
      <c r="H12" s="20">
        <v>126</v>
      </c>
      <c r="I12"/>
      <c r="J12" s="20">
        <v>224</v>
      </c>
      <c r="K12"/>
      <c r="L12" s="20">
        <v>7</v>
      </c>
      <c r="M12" s="19">
        <v>0.39513599999999999</v>
      </c>
      <c r="N12" t="s">
        <v>84</v>
      </c>
      <c r="O12"/>
      <c r="P12"/>
      <c r="Q12"/>
      <c r="R12"/>
      <c r="S12"/>
      <c r="T12"/>
      <c r="U12"/>
      <c r="V12"/>
      <c r="X12" s="25"/>
    </row>
    <row r="13" spans="1:24" s="5" customFormat="1" x14ac:dyDescent="0.3">
      <c r="A13"/>
      <c r="B13" s="22">
        <v>23.844374999999999</v>
      </c>
      <c r="C13" s="21" t="s">
        <v>412</v>
      </c>
      <c r="D13" s="21" t="s">
        <v>343</v>
      </c>
      <c r="E13" s="21" t="s">
        <v>97</v>
      </c>
      <c r="F13" s="21" t="s">
        <v>82</v>
      </c>
      <c r="G13" s="21" t="s">
        <v>83</v>
      </c>
      <c r="H13" s="20">
        <v>225</v>
      </c>
      <c r="I13"/>
      <c r="J13" s="20">
        <v>225</v>
      </c>
      <c r="K13"/>
      <c r="L13" s="20">
        <v>6</v>
      </c>
      <c r="M13" s="19">
        <v>0.60750000000000004</v>
      </c>
      <c r="N13" t="s">
        <v>84</v>
      </c>
      <c r="O13"/>
      <c r="P13"/>
      <c r="Q13">
        <v>4</v>
      </c>
      <c r="R13"/>
      <c r="S13"/>
      <c r="T13"/>
      <c r="U13"/>
      <c r="V13"/>
      <c r="X13" s="25"/>
    </row>
    <row r="14" spans="1:24" s="5" customFormat="1" x14ac:dyDescent="0.3">
      <c r="A14"/>
      <c r="B14" s="22">
        <v>23.844374999999999</v>
      </c>
      <c r="C14" s="21" t="s">
        <v>412</v>
      </c>
      <c r="D14" s="21" t="s">
        <v>464</v>
      </c>
      <c r="E14" s="21" t="s">
        <v>97</v>
      </c>
      <c r="F14" s="21" t="s">
        <v>82</v>
      </c>
      <c r="G14" s="21" t="s">
        <v>83</v>
      </c>
      <c r="H14" s="20">
        <v>225</v>
      </c>
      <c r="I14"/>
      <c r="J14" s="20">
        <v>225</v>
      </c>
      <c r="K14"/>
      <c r="L14" s="20">
        <v>6</v>
      </c>
      <c r="M14" s="19">
        <v>0.60750000000000004</v>
      </c>
      <c r="N14" t="s">
        <v>84</v>
      </c>
      <c r="O14"/>
      <c r="P14"/>
      <c r="Q14">
        <v>4</v>
      </c>
      <c r="R14"/>
      <c r="S14"/>
      <c r="T14"/>
      <c r="U14"/>
      <c r="V14"/>
      <c r="X14" s="25"/>
    </row>
    <row r="15" spans="1:24" x14ac:dyDescent="0.3">
      <c r="A15"/>
      <c r="B15" s="22">
        <v>10.5504</v>
      </c>
      <c r="C15" s="21" t="s">
        <v>97</v>
      </c>
      <c r="D15" s="21" t="s">
        <v>85</v>
      </c>
      <c r="E15" s="21" t="s">
        <v>97</v>
      </c>
      <c r="F15" s="21" t="s">
        <v>82</v>
      </c>
      <c r="G15" s="21" t="s">
        <v>83</v>
      </c>
      <c r="H15" s="20">
        <v>140</v>
      </c>
      <c r="I15"/>
      <c r="J15" s="20">
        <v>240</v>
      </c>
      <c r="K15"/>
      <c r="L15" s="20">
        <v>4</v>
      </c>
      <c r="M15" s="19">
        <v>0.26879999999999998</v>
      </c>
      <c r="N15" t="s">
        <v>84</v>
      </c>
      <c r="O15"/>
      <c r="P15"/>
      <c r="Q15">
        <v>4</v>
      </c>
      <c r="R15"/>
      <c r="S15"/>
      <c r="T15"/>
      <c r="U15"/>
      <c r="V15"/>
      <c r="X15" s="25"/>
    </row>
    <row r="16" spans="1:24" x14ac:dyDescent="0.3">
      <c r="A16"/>
      <c r="B16" s="22">
        <v>72.22</v>
      </c>
      <c r="C16" s="21" t="s">
        <v>471</v>
      </c>
      <c r="D16" s="21" t="s">
        <v>342</v>
      </c>
      <c r="E16" s="21" t="s">
        <v>97</v>
      </c>
      <c r="F16" s="21" t="s">
        <v>82</v>
      </c>
      <c r="G16" s="21" t="s">
        <v>83</v>
      </c>
      <c r="H16" s="20">
        <v>230</v>
      </c>
      <c r="I16"/>
      <c r="J16" s="20">
        <v>250</v>
      </c>
      <c r="K16"/>
      <c r="L16" s="20">
        <v>16</v>
      </c>
      <c r="M16" s="19">
        <v>1.84</v>
      </c>
      <c r="N16" t="s">
        <v>84</v>
      </c>
      <c r="O16"/>
      <c r="P16"/>
      <c r="Q16">
        <v>4</v>
      </c>
      <c r="R16"/>
      <c r="S16"/>
      <c r="T16"/>
      <c r="U16"/>
      <c r="V16"/>
      <c r="W16" s="233"/>
      <c r="X16" s="25"/>
    </row>
    <row r="17" spans="1:23" x14ac:dyDescent="0.3">
      <c r="A17"/>
      <c r="B17" s="22">
        <v>72.22</v>
      </c>
      <c r="C17" s="21" t="s">
        <v>471</v>
      </c>
      <c r="D17" s="21" t="s">
        <v>342</v>
      </c>
      <c r="E17" s="21" t="s">
        <v>97</v>
      </c>
      <c r="F17" s="21" t="s">
        <v>82</v>
      </c>
      <c r="G17" s="21" t="s">
        <v>83</v>
      </c>
      <c r="H17" s="20">
        <v>230</v>
      </c>
      <c r="I17"/>
      <c r="J17" s="20">
        <v>250</v>
      </c>
      <c r="K17"/>
      <c r="L17" s="20">
        <v>16</v>
      </c>
      <c r="M17" s="19">
        <v>1.84</v>
      </c>
      <c r="N17" t="s">
        <v>84</v>
      </c>
      <c r="O17"/>
      <c r="P17"/>
      <c r="Q17">
        <v>4</v>
      </c>
      <c r="R17"/>
      <c r="S17"/>
      <c r="T17"/>
      <c r="U17"/>
      <c r="V17"/>
    </row>
    <row r="18" spans="1:23" x14ac:dyDescent="0.3">
      <c r="A18"/>
      <c r="B18" s="22">
        <v>44.15625</v>
      </c>
      <c r="C18" s="21" t="s">
        <v>80</v>
      </c>
      <c r="D18" s="21" t="s">
        <v>81</v>
      </c>
      <c r="E18" s="21" t="s">
        <v>97</v>
      </c>
      <c r="F18" s="21" t="s">
        <v>82</v>
      </c>
      <c r="G18" s="21" t="s">
        <v>83</v>
      </c>
      <c r="H18" s="20">
        <v>250</v>
      </c>
      <c r="I18"/>
      <c r="J18" s="20">
        <v>250</v>
      </c>
      <c r="K18"/>
      <c r="L18" s="20">
        <v>9</v>
      </c>
      <c r="M18" s="19">
        <v>1.125</v>
      </c>
      <c r="N18" t="s">
        <v>84</v>
      </c>
      <c r="O18"/>
      <c r="P18"/>
      <c r="Q18">
        <v>4</v>
      </c>
      <c r="R18"/>
      <c r="S18"/>
      <c r="T18"/>
      <c r="U18"/>
      <c r="V18"/>
    </row>
    <row r="19" spans="1:23" x14ac:dyDescent="0.3">
      <c r="A19"/>
      <c r="B19" s="22">
        <v>188.39999999999998</v>
      </c>
      <c r="C19" s="21" t="s">
        <v>80</v>
      </c>
      <c r="D19" s="21" t="s">
        <v>81</v>
      </c>
      <c r="E19" s="21" t="s">
        <v>97</v>
      </c>
      <c r="F19" s="21" t="s">
        <v>82</v>
      </c>
      <c r="G19" s="21" t="s">
        <v>83</v>
      </c>
      <c r="H19" s="20">
        <v>200</v>
      </c>
      <c r="I19"/>
      <c r="J19" s="20">
        <v>250</v>
      </c>
      <c r="K19"/>
      <c r="L19" s="20">
        <v>48</v>
      </c>
      <c r="M19" s="19">
        <v>4.8000000000000007</v>
      </c>
      <c r="N19" t="s">
        <v>84</v>
      </c>
      <c r="O19"/>
      <c r="P19"/>
      <c r="Q19"/>
      <c r="R19"/>
      <c r="S19"/>
      <c r="T19"/>
      <c r="U19"/>
      <c r="V19"/>
    </row>
    <row r="20" spans="1:23" x14ac:dyDescent="0.3">
      <c r="A20"/>
      <c r="B20" s="22">
        <v>39.187199999999997</v>
      </c>
      <c r="C20" s="21" t="s">
        <v>97</v>
      </c>
      <c r="D20" s="21" t="s">
        <v>342</v>
      </c>
      <c r="E20" s="21" t="s">
        <v>97</v>
      </c>
      <c r="F20" s="21" t="s">
        <v>82</v>
      </c>
      <c r="G20" s="21" t="s">
        <v>83</v>
      </c>
      <c r="H20" s="20">
        <v>120</v>
      </c>
      <c r="I20"/>
      <c r="J20" s="20">
        <v>260</v>
      </c>
      <c r="K20"/>
      <c r="L20" s="20">
        <v>16</v>
      </c>
      <c r="M20" s="19">
        <v>0.99839999999999995</v>
      </c>
      <c r="N20" t="s">
        <v>84</v>
      </c>
      <c r="O20"/>
      <c r="P20"/>
      <c r="Q20"/>
      <c r="R20"/>
      <c r="S20"/>
      <c r="T20"/>
      <c r="U20"/>
      <c r="V20"/>
    </row>
    <row r="21" spans="1:23" x14ac:dyDescent="0.3">
      <c r="A21"/>
      <c r="B21" s="22">
        <v>204.88500000000002</v>
      </c>
      <c r="C21" s="21" t="s">
        <v>97</v>
      </c>
      <c r="D21" s="21" t="s">
        <v>81</v>
      </c>
      <c r="E21" s="21" t="s">
        <v>97</v>
      </c>
      <c r="F21" s="21" t="s">
        <v>82</v>
      </c>
      <c r="G21" s="21" t="s">
        <v>83</v>
      </c>
      <c r="H21" s="20">
        <v>150</v>
      </c>
      <c r="I21"/>
      <c r="J21" s="20">
        <v>290</v>
      </c>
      <c r="K21"/>
      <c r="L21" s="20">
        <v>60</v>
      </c>
      <c r="M21" s="19">
        <v>5.22</v>
      </c>
      <c r="N21" t="s">
        <v>84</v>
      </c>
      <c r="O21"/>
      <c r="P21"/>
      <c r="Q21">
        <v>4</v>
      </c>
      <c r="R21"/>
      <c r="S21"/>
      <c r="T21"/>
      <c r="U21"/>
      <c r="V21"/>
    </row>
    <row r="22" spans="1:23" x14ac:dyDescent="0.3">
      <c r="A22"/>
      <c r="B22" s="22">
        <v>282.05835000000002</v>
      </c>
      <c r="C22" s="21" t="s">
        <v>93</v>
      </c>
      <c r="D22" s="21" t="s">
        <v>340</v>
      </c>
      <c r="E22" s="21" t="s">
        <v>97</v>
      </c>
      <c r="F22" s="21" t="s">
        <v>82</v>
      </c>
      <c r="G22" s="21" t="s">
        <v>83</v>
      </c>
      <c r="H22" s="20">
        <v>145</v>
      </c>
      <c r="I22"/>
      <c r="J22" s="20">
        <v>295</v>
      </c>
      <c r="K22"/>
      <c r="L22" s="20">
        <v>84</v>
      </c>
      <c r="M22" s="19">
        <v>7.1862000000000004</v>
      </c>
      <c r="N22" t="s">
        <v>84</v>
      </c>
      <c r="O22"/>
      <c r="P22"/>
      <c r="Q22">
        <v>2</v>
      </c>
      <c r="R22"/>
      <c r="S22"/>
      <c r="T22"/>
      <c r="U22"/>
      <c r="V22"/>
    </row>
    <row r="23" spans="1:23" x14ac:dyDescent="0.3">
      <c r="A23"/>
      <c r="B23" s="22">
        <v>67.156750000000002</v>
      </c>
      <c r="C23" s="21" t="s">
        <v>97</v>
      </c>
      <c r="D23" s="21" t="s">
        <v>340</v>
      </c>
      <c r="E23" s="21" t="s">
        <v>97</v>
      </c>
      <c r="F23" s="21" t="s">
        <v>82</v>
      </c>
      <c r="G23" s="21" t="s">
        <v>83</v>
      </c>
      <c r="H23" s="20">
        <v>145</v>
      </c>
      <c r="I23"/>
      <c r="J23" s="20">
        <v>295</v>
      </c>
      <c r="K23"/>
      <c r="L23" s="20">
        <v>20</v>
      </c>
      <c r="M23" s="19">
        <v>1.7110000000000001</v>
      </c>
      <c r="N23" t="s">
        <v>84</v>
      </c>
      <c r="O23"/>
      <c r="P23"/>
      <c r="Q23">
        <v>2</v>
      </c>
      <c r="R23"/>
      <c r="S23"/>
      <c r="T23"/>
      <c r="U23"/>
      <c r="V23"/>
    </row>
    <row r="24" spans="1:23" x14ac:dyDescent="0.3">
      <c r="A24"/>
      <c r="B24" s="22">
        <v>36.031500000000001</v>
      </c>
      <c r="C24" s="21" t="s">
        <v>97</v>
      </c>
      <c r="D24" s="21" t="s">
        <v>88</v>
      </c>
      <c r="E24" s="21" t="s">
        <v>97</v>
      </c>
      <c r="F24" s="21" t="s">
        <v>82</v>
      </c>
      <c r="G24" s="21" t="s">
        <v>83</v>
      </c>
      <c r="H24" s="20">
        <v>170</v>
      </c>
      <c r="I24"/>
      <c r="J24" s="20">
        <v>300</v>
      </c>
      <c r="K24"/>
      <c r="L24" s="20">
        <v>9</v>
      </c>
      <c r="M24" s="19">
        <v>0.91799999999999993</v>
      </c>
      <c r="N24" t="s">
        <v>84</v>
      </c>
      <c r="O24"/>
      <c r="P24"/>
      <c r="Q24">
        <v>2</v>
      </c>
      <c r="R24"/>
      <c r="S24"/>
      <c r="T24"/>
      <c r="U24"/>
      <c r="V24"/>
    </row>
    <row r="25" spans="1:23" x14ac:dyDescent="0.3">
      <c r="A25"/>
      <c r="B25" s="22">
        <v>96.084000000000003</v>
      </c>
      <c r="C25" s="21" t="s">
        <v>97</v>
      </c>
      <c r="D25" s="21" t="s">
        <v>88</v>
      </c>
      <c r="E25" s="21" t="s">
        <v>97</v>
      </c>
      <c r="F25" s="21" t="s">
        <v>82</v>
      </c>
      <c r="G25" s="21" t="s">
        <v>83</v>
      </c>
      <c r="H25" s="20">
        <v>170</v>
      </c>
      <c r="I25"/>
      <c r="J25" s="20">
        <v>300</v>
      </c>
      <c r="K25"/>
      <c r="L25" s="20">
        <v>24</v>
      </c>
      <c r="M25" s="19">
        <v>2.448</v>
      </c>
      <c r="N25" t="s">
        <v>84</v>
      </c>
      <c r="O25"/>
      <c r="P25"/>
      <c r="Q25">
        <v>2</v>
      </c>
      <c r="R25"/>
      <c r="S25"/>
      <c r="T25"/>
      <c r="U25"/>
      <c r="V25"/>
    </row>
    <row r="26" spans="1:23" x14ac:dyDescent="0.3">
      <c r="A26"/>
      <c r="B26" s="22">
        <v>87.417599999999993</v>
      </c>
      <c r="C26" s="21" t="s">
        <v>383</v>
      </c>
      <c r="D26" s="21" t="s">
        <v>463</v>
      </c>
      <c r="E26" s="21" t="s">
        <v>97</v>
      </c>
      <c r="F26" s="21" t="s">
        <v>82</v>
      </c>
      <c r="G26" s="21" t="s">
        <v>83</v>
      </c>
      <c r="H26" s="20">
        <v>145</v>
      </c>
      <c r="I26"/>
      <c r="J26" s="20">
        <v>320</v>
      </c>
      <c r="K26"/>
      <c r="L26" s="20">
        <v>24</v>
      </c>
      <c r="M26" s="19">
        <v>2.2271999999999998</v>
      </c>
      <c r="N26" t="s">
        <v>84</v>
      </c>
      <c r="O26"/>
      <c r="P26"/>
      <c r="Q26"/>
      <c r="R26"/>
      <c r="S26"/>
      <c r="T26"/>
      <c r="U26"/>
      <c r="V26"/>
    </row>
    <row r="27" spans="1:23" x14ac:dyDescent="0.3">
      <c r="A27"/>
      <c r="B27" s="22">
        <v>87.417599999999993</v>
      </c>
      <c r="C27" s="21" t="s">
        <v>383</v>
      </c>
      <c r="D27" s="21" t="s">
        <v>476</v>
      </c>
      <c r="E27" s="21" t="s">
        <v>97</v>
      </c>
      <c r="F27" s="21" t="s">
        <v>82</v>
      </c>
      <c r="G27" s="21" t="s">
        <v>83</v>
      </c>
      <c r="H27" s="20">
        <v>145</v>
      </c>
      <c r="I27"/>
      <c r="J27" s="20">
        <v>320</v>
      </c>
      <c r="K27"/>
      <c r="L27" s="20">
        <v>24</v>
      </c>
      <c r="M27" s="19">
        <v>2.2271999999999998</v>
      </c>
      <c r="N27" t="s">
        <v>84</v>
      </c>
      <c r="O27"/>
      <c r="P27"/>
      <c r="Q27"/>
      <c r="R27"/>
      <c r="S27"/>
      <c r="T27"/>
      <c r="U27"/>
      <c r="V27"/>
    </row>
    <row r="28" spans="1:23" x14ac:dyDescent="0.3">
      <c r="A28"/>
      <c r="B28" s="22">
        <v>36.172800000000002</v>
      </c>
      <c r="C28" s="21" t="s">
        <v>97</v>
      </c>
      <c r="D28" s="21" t="s">
        <v>81</v>
      </c>
      <c r="E28" s="21" t="s">
        <v>97</v>
      </c>
      <c r="F28" s="21" t="s">
        <v>82</v>
      </c>
      <c r="G28" s="21" t="s">
        <v>83</v>
      </c>
      <c r="H28" s="20">
        <v>160</v>
      </c>
      <c r="I28"/>
      <c r="J28" s="20">
        <v>360</v>
      </c>
      <c r="K28"/>
      <c r="L28" s="20">
        <v>8</v>
      </c>
      <c r="M28" s="19">
        <v>0.92159999999999997</v>
      </c>
      <c r="N28" t="s">
        <v>84</v>
      </c>
      <c r="O28"/>
      <c r="P28"/>
      <c r="Q28">
        <v>12</v>
      </c>
      <c r="R28"/>
      <c r="S28"/>
      <c r="T28"/>
      <c r="U28"/>
      <c r="V28"/>
      <c r="W28" s="233"/>
    </row>
    <row r="29" spans="1:23" x14ac:dyDescent="0.3">
      <c r="A29"/>
      <c r="B29" s="22">
        <v>99.844149999999999</v>
      </c>
      <c r="C29" s="21" t="s">
        <v>80</v>
      </c>
      <c r="D29" s="21" t="s">
        <v>81</v>
      </c>
      <c r="E29" s="21" t="s">
        <v>97</v>
      </c>
      <c r="F29" s="21" t="s">
        <v>82</v>
      </c>
      <c r="G29" s="21" t="s">
        <v>83</v>
      </c>
      <c r="H29" s="20">
        <v>230</v>
      </c>
      <c r="I29"/>
      <c r="J29" s="20">
        <v>395</v>
      </c>
      <c r="K29"/>
      <c r="L29" s="20">
        <v>14</v>
      </c>
      <c r="M29" s="19">
        <v>2.5438000000000001</v>
      </c>
      <c r="N29" t="s">
        <v>84</v>
      </c>
      <c r="O29"/>
      <c r="P29"/>
      <c r="Q29">
        <v>8</v>
      </c>
      <c r="R29"/>
      <c r="S29"/>
      <c r="T29"/>
      <c r="U29"/>
      <c r="V29"/>
    </row>
    <row r="30" spans="1:23" x14ac:dyDescent="0.3">
      <c r="A30"/>
      <c r="B30" s="22">
        <v>53.254399999999997</v>
      </c>
      <c r="C30" s="21" t="s">
        <v>97</v>
      </c>
      <c r="D30" s="21" t="s">
        <v>81</v>
      </c>
      <c r="E30" s="21" t="s">
        <v>97</v>
      </c>
      <c r="F30" s="21" t="s">
        <v>82</v>
      </c>
      <c r="G30" s="21" t="s">
        <v>83</v>
      </c>
      <c r="H30" s="20">
        <v>160</v>
      </c>
      <c r="I30"/>
      <c r="J30" s="20">
        <v>530</v>
      </c>
      <c r="K30"/>
      <c r="L30" s="20">
        <v>8</v>
      </c>
      <c r="M30" s="19">
        <v>1.3568</v>
      </c>
      <c r="N30" t="s">
        <v>84</v>
      </c>
      <c r="O30"/>
      <c r="P30"/>
      <c r="Q30">
        <v>12</v>
      </c>
      <c r="R30"/>
      <c r="S30"/>
      <c r="T30"/>
      <c r="U30"/>
      <c r="V30"/>
    </row>
    <row r="31" spans="1:23" x14ac:dyDescent="0.3">
      <c r="A31"/>
      <c r="B31" s="22">
        <v>85.910399999999996</v>
      </c>
      <c r="C31" s="21" t="s">
        <v>382</v>
      </c>
      <c r="D31" s="21" t="s">
        <v>340</v>
      </c>
      <c r="E31" s="21" t="s">
        <v>97</v>
      </c>
      <c r="F31" s="21" t="s">
        <v>82</v>
      </c>
      <c r="G31" s="21" t="s">
        <v>83</v>
      </c>
      <c r="H31" s="20">
        <v>240</v>
      </c>
      <c r="I31"/>
      <c r="J31" s="20">
        <v>570</v>
      </c>
      <c r="K31"/>
      <c r="L31" s="20">
        <v>8</v>
      </c>
      <c r="M31" s="19">
        <v>2.1888000000000001</v>
      </c>
      <c r="N31" t="s">
        <v>84</v>
      </c>
      <c r="O31"/>
      <c r="P31"/>
      <c r="Q31">
        <v>10</v>
      </c>
      <c r="R31"/>
      <c r="S31"/>
      <c r="T31"/>
      <c r="U31"/>
      <c r="V31"/>
    </row>
    <row r="32" spans="1:23" x14ac:dyDescent="0.3">
      <c r="A32"/>
      <c r="B32" s="22">
        <v>171.82079999999999</v>
      </c>
      <c r="C32" s="21" t="s">
        <v>382</v>
      </c>
      <c r="D32" s="21" t="s">
        <v>463</v>
      </c>
      <c r="E32" s="21" t="s">
        <v>97</v>
      </c>
      <c r="F32" s="21" t="s">
        <v>82</v>
      </c>
      <c r="G32" s="21" t="s">
        <v>83</v>
      </c>
      <c r="H32" s="20">
        <v>240</v>
      </c>
      <c r="I32"/>
      <c r="J32" s="20">
        <v>570</v>
      </c>
      <c r="K32"/>
      <c r="L32" s="20">
        <v>16</v>
      </c>
      <c r="M32" s="19">
        <v>4.3776000000000002</v>
      </c>
      <c r="N32" t="s">
        <v>84</v>
      </c>
      <c r="O32"/>
      <c r="P32"/>
      <c r="Q32">
        <v>10</v>
      </c>
      <c r="R32"/>
      <c r="S32"/>
      <c r="T32"/>
      <c r="U32"/>
      <c r="V32"/>
    </row>
    <row r="33" spans="1:22" x14ac:dyDescent="0.3">
      <c r="A33"/>
      <c r="B33" s="22">
        <v>146.24550000000002</v>
      </c>
      <c r="C33" s="21" t="s">
        <v>411</v>
      </c>
      <c r="D33" s="21" t="s">
        <v>88</v>
      </c>
      <c r="E33" s="21" t="s">
        <v>97</v>
      </c>
      <c r="F33" s="21" t="s">
        <v>82</v>
      </c>
      <c r="G33" s="21" t="s">
        <v>83</v>
      </c>
      <c r="H33" s="20">
        <v>90</v>
      </c>
      <c r="I33"/>
      <c r="J33" s="20">
        <v>575</v>
      </c>
      <c r="K33"/>
      <c r="L33" s="20">
        <v>36</v>
      </c>
      <c r="M33" s="19">
        <v>3.726</v>
      </c>
      <c r="N33" t="s">
        <v>84</v>
      </c>
      <c r="O33"/>
      <c r="P33"/>
      <c r="Q33"/>
      <c r="R33"/>
      <c r="S33"/>
      <c r="T33"/>
      <c r="U33"/>
      <c r="V33"/>
    </row>
    <row r="34" spans="1:22" x14ac:dyDescent="0.3">
      <c r="A34"/>
      <c r="B34" s="22">
        <v>65.563199999999995</v>
      </c>
      <c r="C34" s="21" t="s">
        <v>411</v>
      </c>
      <c r="D34" s="21" t="s">
        <v>341</v>
      </c>
      <c r="E34" s="21" t="s">
        <v>97</v>
      </c>
      <c r="F34" s="21" t="s">
        <v>82</v>
      </c>
      <c r="G34" s="21" t="s">
        <v>83</v>
      </c>
      <c r="H34" s="20">
        <v>90</v>
      </c>
      <c r="I34"/>
      <c r="J34" s="20">
        <v>580</v>
      </c>
      <c r="K34"/>
      <c r="L34" s="20">
        <v>16</v>
      </c>
      <c r="M34" s="19">
        <v>1.6704000000000001</v>
      </c>
      <c r="N34" t="s">
        <v>84</v>
      </c>
      <c r="O34"/>
      <c r="P34"/>
      <c r="Q34"/>
      <c r="R34"/>
      <c r="S34"/>
      <c r="T34"/>
      <c r="U34"/>
      <c r="V34"/>
    </row>
    <row r="35" spans="1:22" x14ac:dyDescent="0.3">
      <c r="A35"/>
      <c r="B35" s="22">
        <v>39.564</v>
      </c>
      <c r="C35" s="21" t="s">
        <v>346</v>
      </c>
      <c r="D35" s="21" t="s">
        <v>88</v>
      </c>
      <c r="E35" s="21" t="s">
        <v>97</v>
      </c>
      <c r="F35" s="21" t="s">
        <v>82</v>
      </c>
      <c r="G35" s="21" t="s">
        <v>83</v>
      </c>
      <c r="H35" s="20">
        <v>210</v>
      </c>
      <c r="I35"/>
      <c r="J35" s="20">
        <v>600</v>
      </c>
      <c r="K35"/>
      <c r="L35" s="20">
        <v>4</v>
      </c>
      <c r="M35" s="19">
        <v>1.008</v>
      </c>
      <c r="N35" t="s">
        <v>84</v>
      </c>
      <c r="O35"/>
      <c r="P35"/>
      <c r="Q35">
        <v>8</v>
      </c>
      <c r="R35"/>
      <c r="S35"/>
      <c r="T35"/>
      <c r="U35"/>
      <c r="V35"/>
    </row>
    <row r="36" spans="1:22" x14ac:dyDescent="0.3">
      <c r="A36"/>
      <c r="B36" s="22">
        <v>107.38800000000001</v>
      </c>
      <c r="C36" s="21" t="s">
        <v>346</v>
      </c>
      <c r="D36" s="21" t="s">
        <v>85</v>
      </c>
      <c r="E36" s="21" t="s">
        <v>97</v>
      </c>
      <c r="F36" s="21" t="s">
        <v>82</v>
      </c>
      <c r="G36" s="21" t="s">
        <v>83</v>
      </c>
      <c r="H36" s="20">
        <v>190</v>
      </c>
      <c r="I36"/>
      <c r="J36" s="20">
        <v>600</v>
      </c>
      <c r="K36"/>
      <c r="L36" s="20">
        <v>12</v>
      </c>
      <c r="M36" s="19">
        <v>2.7360000000000002</v>
      </c>
      <c r="N36" t="s">
        <v>84</v>
      </c>
      <c r="O36"/>
      <c r="P36"/>
      <c r="Q36">
        <v>12</v>
      </c>
      <c r="R36"/>
      <c r="S36"/>
      <c r="T36"/>
      <c r="U36"/>
      <c r="V36"/>
    </row>
    <row r="37" spans="1:22" x14ac:dyDescent="0.3">
      <c r="A37"/>
      <c r="B37" s="22">
        <v>464.40600000000001</v>
      </c>
      <c r="C37" s="21" t="s">
        <v>93</v>
      </c>
      <c r="D37" s="21" t="s">
        <v>340</v>
      </c>
      <c r="E37" s="21" t="s">
        <v>97</v>
      </c>
      <c r="F37" s="21" t="s">
        <v>82</v>
      </c>
      <c r="G37" s="21" t="s">
        <v>83</v>
      </c>
      <c r="H37" s="20">
        <v>145</v>
      </c>
      <c r="I37"/>
      <c r="J37" s="20">
        <v>600</v>
      </c>
      <c r="K37"/>
      <c r="L37" s="20">
        <v>68</v>
      </c>
      <c r="M37" s="19">
        <v>11.831999999999999</v>
      </c>
      <c r="N37" t="s">
        <v>84</v>
      </c>
      <c r="O37"/>
      <c r="P37"/>
      <c r="Q37"/>
      <c r="R37"/>
      <c r="S37"/>
      <c r="T37"/>
      <c r="U37"/>
      <c r="V37"/>
    </row>
    <row r="38" spans="1:22" x14ac:dyDescent="0.3">
      <c r="A38"/>
      <c r="B38" s="22">
        <v>135.13303999999999</v>
      </c>
      <c r="C38" s="21" t="s">
        <v>345</v>
      </c>
      <c r="D38" s="21" t="s">
        <v>76</v>
      </c>
      <c r="E38" s="21" t="s">
        <v>97</v>
      </c>
      <c r="F38" s="21" t="s">
        <v>82</v>
      </c>
      <c r="G38" s="21" t="s">
        <v>83</v>
      </c>
      <c r="H38" s="20">
        <v>580</v>
      </c>
      <c r="I38"/>
      <c r="J38" s="20">
        <v>742</v>
      </c>
      <c r="K38"/>
      <c r="L38" s="20">
        <v>4</v>
      </c>
      <c r="M38" s="19">
        <v>3.4428800000000002</v>
      </c>
      <c r="N38" t="s">
        <v>84</v>
      </c>
      <c r="O38"/>
      <c r="P38"/>
      <c r="Q38">
        <v>13</v>
      </c>
      <c r="R38"/>
      <c r="S38"/>
      <c r="T38"/>
      <c r="U38"/>
      <c r="V38"/>
    </row>
    <row r="39" spans="1:22" x14ac:dyDescent="0.3">
      <c r="A39"/>
      <c r="B39" s="22">
        <v>93.1952</v>
      </c>
      <c r="C39" s="21" t="s">
        <v>345</v>
      </c>
      <c r="D39" s="21" t="s">
        <v>81</v>
      </c>
      <c r="E39" s="21" t="s">
        <v>97</v>
      </c>
      <c r="F39" s="21" t="s">
        <v>82</v>
      </c>
      <c r="G39" s="21" t="s">
        <v>83</v>
      </c>
      <c r="H39" s="20">
        <v>200</v>
      </c>
      <c r="I39"/>
      <c r="J39" s="20">
        <v>742</v>
      </c>
      <c r="K39"/>
      <c r="L39" s="20">
        <v>8</v>
      </c>
      <c r="M39" s="19">
        <v>2.3744000000000001</v>
      </c>
      <c r="N39" t="s">
        <v>84</v>
      </c>
      <c r="O39"/>
      <c r="P39"/>
      <c r="Q39">
        <v>16</v>
      </c>
      <c r="R39"/>
      <c r="S39"/>
      <c r="T39"/>
      <c r="U39"/>
      <c r="V39"/>
    </row>
    <row r="40" spans="1:22" x14ac:dyDescent="0.3">
      <c r="A40"/>
      <c r="B40" s="22">
        <v>40.623750000000001</v>
      </c>
      <c r="C40" s="21" t="s">
        <v>412</v>
      </c>
      <c r="D40" s="21" t="s">
        <v>344</v>
      </c>
      <c r="E40" s="21" t="s">
        <v>97</v>
      </c>
      <c r="F40" s="21" t="s">
        <v>82</v>
      </c>
      <c r="G40" s="21" t="s">
        <v>83</v>
      </c>
      <c r="H40" s="20">
        <v>115</v>
      </c>
      <c r="I40"/>
      <c r="J40" s="20">
        <v>750</v>
      </c>
      <c r="K40"/>
      <c r="L40" s="20">
        <v>6</v>
      </c>
      <c r="M40" s="19">
        <v>1.0349999999999999</v>
      </c>
      <c r="N40" t="s">
        <v>84</v>
      </c>
      <c r="O40"/>
      <c r="P40"/>
      <c r="Q40">
        <v>8</v>
      </c>
      <c r="R40"/>
      <c r="S40"/>
      <c r="T40"/>
      <c r="U40"/>
      <c r="V40"/>
    </row>
    <row r="41" spans="1:22" x14ac:dyDescent="0.3">
      <c r="A41"/>
      <c r="B41" s="22">
        <v>40.623750000000001</v>
      </c>
      <c r="C41" s="21" t="s">
        <v>412</v>
      </c>
      <c r="D41" s="21" t="s">
        <v>465</v>
      </c>
      <c r="E41" s="21" t="s">
        <v>97</v>
      </c>
      <c r="F41" s="21" t="s">
        <v>82</v>
      </c>
      <c r="G41" s="21" t="s">
        <v>83</v>
      </c>
      <c r="H41" s="20">
        <v>115</v>
      </c>
      <c r="I41"/>
      <c r="J41" s="20">
        <v>750</v>
      </c>
      <c r="K41"/>
      <c r="L41" s="20">
        <v>6</v>
      </c>
      <c r="M41" s="19">
        <v>1.0349999999999999</v>
      </c>
      <c r="N41" t="s">
        <v>84</v>
      </c>
      <c r="O41"/>
      <c r="P41"/>
      <c r="Q41">
        <v>8</v>
      </c>
      <c r="R41"/>
      <c r="S41"/>
      <c r="T41"/>
      <c r="U41"/>
      <c r="V41"/>
    </row>
    <row r="42" spans="1:22" x14ac:dyDescent="0.3">
      <c r="A42"/>
      <c r="B42" s="22">
        <v>190.755</v>
      </c>
      <c r="C42" s="21" t="s">
        <v>97</v>
      </c>
      <c r="D42" s="21" t="s">
        <v>85</v>
      </c>
      <c r="E42" s="21" t="s">
        <v>97</v>
      </c>
      <c r="F42" s="21" t="s">
        <v>82</v>
      </c>
      <c r="G42" s="21" t="s">
        <v>83</v>
      </c>
      <c r="H42" s="20">
        <v>360</v>
      </c>
      <c r="I42"/>
      <c r="J42" s="20">
        <v>750</v>
      </c>
      <c r="K42"/>
      <c r="L42" s="20">
        <v>9</v>
      </c>
      <c r="M42" s="19">
        <v>4.8600000000000003</v>
      </c>
      <c r="N42" t="s">
        <v>84</v>
      </c>
      <c r="O42"/>
      <c r="P42"/>
      <c r="Q42">
        <v>4</v>
      </c>
      <c r="R42"/>
      <c r="S42"/>
      <c r="T42"/>
      <c r="U42"/>
      <c r="V42"/>
    </row>
    <row r="43" spans="1:22" x14ac:dyDescent="0.3">
      <c r="A43"/>
      <c r="B43" s="22">
        <v>134.32919999999999</v>
      </c>
      <c r="C43" s="21" t="s">
        <v>80</v>
      </c>
      <c r="D43" s="21" t="s">
        <v>85</v>
      </c>
      <c r="E43" s="21" t="s">
        <v>97</v>
      </c>
      <c r="F43" s="21" t="s">
        <v>82</v>
      </c>
      <c r="G43" s="21" t="s">
        <v>83</v>
      </c>
      <c r="H43" s="20">
        <v>460</v>
      </c>
      <c r="I43"/>
      <c r="J43" s="20">
        <v>930</v>
      </c>
      <c r="K43"/>
      <c r="L43" s="20">
        <v>4</v>
      </c>
      <c r="M43" s="19">
        <v>3.4224000000000001</v>
      </c>
      <c r="N43" t="s">
        <v>84</v>
      </c>
      <c r="O43"/>
      <c r="P43"/>
      <c r="Q43"/>
      <c r="R43"/>
      <c r="S43"/>
      <c r="T43"/>
      <c r="U43"/>
      <c r="V43"/>
    </row>
    <row r="44" spans="1:22" x14ac:dyDescent="0.3">
      <c r="A44"/>
      <c r="B44" s="22">
        <v>236.756</v>
      </c>
      <c r="C44" s="21" t="s">
        <v>345</v>
      </c>
      <c r="D44" s="21" t="s">
        <v>76</v>
      </c>
      <c r="E44" s="21" t="s">
        <v>97</v>
      </c>
      <c r="F44" s="21" t="s">
        <v>82</v>
      </c>
      <c r="G44" s="21" t="s">
        <v>83</v>
      </c>
      <c r="H44" s="20">
        <v>580</v>
      </c>
      <c r="I44"/>
      <c r="J44" s="20">
        <v>1300</v>
      </c>
      <c r="K44"/>
      <c r="L44" s="20">
        <v>4</v>
      </c>
      <c r="M44" s="19">
        <v>6.032</v>
      </c>
      <c r="N44" t="s">
        <v>84</v>
      </c>
      <c r="O44"/>
      <c r="P44"/>
      <c r="Q44">
        <v>20</v>
      </c>
      <c r="R44"/>
      <c r="S44"/>
      <c r="T44"/>
      <c r="U44"/>
      <c r="V44"/>
    </row>
    <row r="45" spans="1:22" x14ac:dyDescent="0.3">
      <c r="A45"/>
      <c r="B45" s="22">
        <v>171.44399999999999</v>
      </c>
      <c r="C45" s="21" t="s">
        <v>345</v>
      </c>
      <c r="D45" s="21" t="s">
        <v>81</v>
      </c>
      <c r="E45" s="21" t="s">
        <v>97</v>
      </c>
      <c r="F45" s="21" t="s">
        <v>82</v>
      </c>
      <c r="G45" s="21" t="s">
        <v>83</v>
      </c>
      <c r="H45" s="20">
        <v>210</v>
      </c>
      <c r="I45"/>
      <c r="J45" s="20">
        <v>1300</v>
      </c>
      <c r="K45"/>
      <c r="L45" s="20">
        <v>8</v>
      </c>
      <c r="M45" s="19">
        <v>4.3680000000000003</v>
      </c>
      <c r="N45" t="s">
        <v>84</v>
      </c>
      <c r="O45"/>
      <c r="P45"/>
      <c r="Q45">
        <v>8</v>
      </c>
      <c r="R45"/>
      <c r="S45"/>
      <c r="T45"/>
      <c r="U45"/>
      <c r="V45"/>
    </row>
    <row r="46" spans="1:22" x14ac:dyDescent="0.3">
      <c r="A46"/>
      <c r="B46" s="22">
        <v>947.024</v>
      </c>
      <c r="C46" s="21" t="s">
        <v>345</v>
      </c>
      <c r="D46" s="21" t="s">
        <v>76</v>
      </c>
      <c r="E46" s="21" t="s">
        <v>97</v>
      </c>
      <c r="F46" s="21" t="s">
        <v>82</v>
      </c>
      <c r="G46" s="21" t="s">
        <v>83</v>
      </c>
      <c r="H46" s="20">
        <v>580</v>
      </c>
      <c r="I46"/>
      <c r="J46" s="20">
        <v>5200</v>
      </c>
      <c r="K46"/>
      <c r="L46" s="20">
        <v>4</v>
      </c>
      <c r="M46" s="19">
        <v>24.128</v>
      </c>
      <c r="N46" t="s">
        <v>84</v>
      </c>
      <c r="O46"/>
      <c r="P46"/>
      <c r="Q46">
        <v>21</v>
      </c>
      <c r="R46"/>
      <c r="S46"/>
      <c r="T46"/>
      <c r="U46"/>
      <c r="V46"/>
    </row>
    <row r="47" spans="1:22" x14ac:dyDescent="0.3">
      <c r="A47"/>
      <c r="B47" s="22">
        <v>685.77599999999995</v>
      </c>
      <c r="C47" s="21" t="s">
        <v>345</v>
      </c>
      <c r="D47" s="21" t="s">
        <v>81</v>
      </c>
      <c r="E47" s="21" t="s">
        <v>97</v>
      </c>
      <c r="F47" s="21" t="s">
        <v>82</v>
      </c>
      <c r="G47" s="21" t="s">
        <v>83</v>
      </c>
      <c r="H47" s="20">
        <v>210</v>
      </c>
      <c r="I47"/>
      <c r="J47" s="20">
        <v>5200</v>
      </c>
      <c r="K47"/>
      <c r="L47" s="20">
        <v>8</v>
      </c>
      <c r="M47" s="19">
        <v>17.472000000000001</v>
      </c>
      <c r="N47" t="s">
        <v>84</v>
      </c>
      <c r="O47"/>
      <c r="P47"/>
      <c r="Q47">
        <v>8</v>
      </c>
      <c r="R47"/>
      <c r="S47"/>
      <c r="T47"/>
      <c r="U47"/>
      <c r="V47"/>
    </row>
    <row r="48" spans="1:22" x14ac:dyDescent="0.3">
      <c r="A48"/>
      <c r="B48" s="22">
        <v>3823.0128000000004</v>
      </c>
      <c r="C48" s="21" t="s">
        <v>345</v>
      </c>
      <c r="D48" s="21" t="s">
        <v>76</v>
      </c>
      <c r="E48" s="21" t="s">
        <v>97</v>
      </c>
      <c r="F48" s="21" t="s">
        <v>82</v>
      </c>
      <c r="G48" s="21" t="s">
        <v>83</v>
      </c>
      <c r="H48" s="20">
        <v>570</v>
      </c>
      <c r="I48"/>
      <c r="J48" s="20">
        <v>7120</v>
      </c>
      <c r="K48"/>
      <c r="L48" s="20">
        <v>12</v>
      </c>
      <c r="M48" s="19">
        <v>0</v>
      </c>
      <c r="N48" t="s">
        <v>84</v>
      </c>
      <c r="O48"/>
      <c r="P48"/>
      <c r="Q48">
        <v>20</v>
      </c>
      <c r="R48"/>
      <c r="S48"/>
      <c r="T48"/>
      <c r="U48"/>
      <c r="V48"/>
    </row>
    <row r="49" spans="1:22" x14ac:dyDescent="0.3">
      <c r="A49"/>
      <c r="B49" s="22">
        <v>2185.44</v>
      </c>
      <c r="C49" s="21" t="s">
        <v>345</v>
      </c>
      <c r="D49" s="21" t="s">
        <v>76</v>
      </c>
      <c r="E49" s="21" t="s">
        <v>97</v>
      </c>
      <c r="F49" s="21" t="s">
        <v>82</v>
      </c>
      <c r="G49" s="21" t="s">
        <v>83</v>
      </c>
      <c r="H49" s="20">
        <v>580</v>
      </c>
      <c r="I49"/>
      <c r="J49" s="20">
        <v>12000</v>
      </c>
      <c r="K49"/>
      <c r="L49" s="20">
        <v>4</v>
      </c>
      <c r="M49" s="19">
        <v>55.68</v>
      </c>
      <c r="N49" t="s">
        <v>84</v>
      </c>
      <c r="O49"/>
      <c r="P49"/>
      <c r="Q49">
        <v>13</v>
      </c>
      <c r="R49"/>
      <c r="S49"/>
      <c r="T49"/>
      <c r="U49"/>
      <c r="V49"/>
    </row>
    <row r="50" spans="1:22" x14ac:dyDescent="0.3">
      <c r="A50"/>
      <c r="B50" s="22">
        <v>1507.2</v>
      </c>
      <c r="C50" s="21" t="s">
        <v>345</v>
      </c>
      <c r="D50" s="21" t="s">
        <v>81</v>
      </c>
      <c r="E50" s="21" t="s">
        <v>97</v>
      </c>
      <c r="F50" s="21" t="s">
        <v>82</v>
      </c>
      <c r="G50" s="21" t="s">
        <v>83</v>
      </c>
      <c r="H50" s="20">
        <v>200</v>
      </c>
      <c r="I50"/>
      <c r="J50" s="20">
        <v>12000</v>
      </c>
      <c r="K50"/>
      <c r="L50" s="20">
        <v>8</v>
      </c>
      <c r="M50" s="19">
        <v>38.4</v>
      </c>
      <c r="N50" t="s">
        <v>84</v>
      </c>
      <c r="O50"/>
      <c r="P50"/>
      <c r="Q50">
        <v>16</v>
      </c>
      <c r="R50"/>
      <c r="S50"/>
      <c r="T50"/>
      <c r="U50"/>
      <c r="V50"/>
    </row>
    <row r="51" spans="1:22" x14ac:dyDescent="0.3">
      <c r="A51"/>
      <c r="B51" s="22">
        <v>2185.44</v>
      </c>
      <c r="C51" s="21" t="s">
        <v>345</v>
      </c>
      <c r="D51" s="21" t="s">
        <v>76</v>
      </c>
      <c r="E51" s="21" t="s">
        <v>97</v>
      </c>
      <c r="F51" s="21" t="s">
        <v>82</v>
      </c>
      <c r="G51" s="21" t="s">
        <v>83</v>
      </c>
      <c r="H51" s="20">
        <v>580</v>
      </c>
      <c r="I51"/>
      <c r="J51" s="20">
        <v>12000</v>
      </c>
      <c r="K51"/>
      <c r="L51" s="20">
        <v>4</v>
      </c>
      <c r="M51" s="19">
        <v>55.68</v>
      </c>
      <c r="N51" t="s">
        <v>84</v>
      </c>
      <c r="O51"/>
      <c r="P51"/>
      <c r="Q51">
        <v>20</v>
      </c>
      <c r="R51"/>
      <c r="S51"/>
      <c r="T51"/>
      <c r="U51"/>
      <c r="V51"/>
    </row>
    <row r="52" spans="1:22" x14ac:dyDescent="0.3">
      <c r="A52"/>
      <c r="B52" s="22">
        <v>1582.56</v>
      </c>
      <c r="C52" s="21" t="s">
        <v>345</v>
      </c>
      <c r="D52" s="21" t="s">
        <v>81</v>
      </c>
      <c r="E52" s="21" t="s">
        <v>97</v>
      </c>
      <c r="F52" s="21" t="s">
        <v>82</v>
      </c>
      <c r="G52" s="21" t="s">
        <v>83</v>
      </c>
      <c r="H52" s="20">
        <v>210</v>
      </c>
      <c r="I52"/>
      <c r="J52" s="20">
        <v>12000</v>
      </c>
      <c r="K52"/>
      <c r="L52" s="20">
        <v>8</v>
      </c>
      <c r="M52" s="19">
        <v>40.32</v>
      </c>
      <c r="N52" t="s">
        <v>84</v>
      </c>
      <c r="O52"/>
      <c r="P52"/>
      <c r="Q52">
        <v>8</v>
      </c>
      <c r="R52"/>
      <c r="S52"/>
      <c r="T52"/>
      <c r="U52"/>
      <c r="V52"/>
    </row>
    <row r="53" spans="1:22" x14ac:dyDescent="0.3">
      <c r="A53"/>
      <c r="B53" s="22">
        <v>35.419199999999996</v>
      </c>
      <c r="C53" s="21" t="s">
        <v>80</v>
      </c>
      <c r="D53" s="21" t="s">
        <v>81</v>
      </c>
      <c r="E53" s="21" t="s">
        <v>97</v>
      </c>
      <c r="F53" s="21" t="s">
        <v>339</v>
      </c>
      <c r="G53" s="21" t="s">
        <v>83</v>
      </c>
      <c r="H53" s="20">
        <v>200</v>
      </c>
      <c r="I53"/>
      <c r="J53" s="20">
        <v>235</v>
      </c>
      <c r="K53"/>
      <c r="L53" s="20">
        <v>8</v>
      </c>
      <c r="M53" s="19">
        <v>0.752</v>
      </c>
      <c r="N53" t="s">
        <v>84</v>
      </c>
      <c r="O53"/>
      <c r="P53"/>
      <c r="Q53">
        <v>8</v>
      </c>
      <c r="R53"/>
      <c r="S53"/>
      <c r="T53"/>
      <c r="U53"/>
      <c r="V53"/>
    </row>
    <row r="54" spans="1:22" x14ac:dyDescent="0.3">
      <c r="A54"/>
      <c r="B54" s="22">
        <v>29.3904</v>
      </c>
      <c r="C54" s="21" t="s">
        <v>80</v>
      </c>
      <c r="D54" s="21" t="s">
        <v>81</v>
      </c>
      <c r="E54" s="21" t="s">
        <v>97</v>
      </c>
      <c r="F54" s="21" t="s">
        <v>339</v>
      </c>
      <c r="G54" s="21" t="s">
        <v>83</v>
      </c>
      <c r="H54" s="20">
        <v>200</v>
      </c>
      <c r="I54"/>
      <c r="J54" s="20">
        <v>260</v>
      </c>
      <c r="K54"/>
      <c r="L54" s="20">
        <v>6</v>
      </c>
      <c r="M54" s="19">
        <v>0.624</v>
      </c>
      <c r="N54" t="s">
        <v>84</v>
      </c>
      <c r="O54"/>
      <c r="P54"/>
      <c r="Q54">
        <v>4</v>
      </c>
      <c r="R54"/>
      <c r="S54"/>
      <c r="T54"/>
      <c r="U54"/>
      <c r="V54"/>
    </row>
    <row r="55" spans="1:22" x14ac:dyDescent="0.3">
      <c r="A55"/>
      <c r="B55" s="22">
        <v>64.4328</v>
      </c>
      <c r="C55" s="21" t="s">
        <v>97</v>
      </c>
      <c r="D55" s="21" t="s">
        <v>85</v>
      </c>
      <c r="E55" s="21" t="s">
        <v>97</v>
      </c>
      <c r="F55" s="21" t="s">
        <v>339</v>
      </c>
      <c r="G55" s="21" t="s">
        <v>83</v>
      </c>
      <c r="H55" s="20">
        <v>190</v>
      </c>
      <c r="I55"/>
      <c r="J55" s="20">
        <v>300</v>
      </c>
      <c r="K55"/>
      <c r="L55" s="20">
        <v>12</v>
      </c>
      <c r="M55" s="19">
        <v>1.3680000000000001</v>
      </c>
      <c r="N55" t="s">
        <v>84</v>
      </c>
      <c r="O55"/>
      <c r="P55"/>
      <c r="Q55">
        <v>4</v>
      </c>
      <c r="R55"/>
      <c r="S55"/>
      <c r="T55"/>
      <c r="U55"/>
      <c r="V55"/>
    </row>
    <row r="56" spans="1:22" x14ac:dyDescent="0.3">
      <c r="A56"/>
      <c r="B56" s="22">
        <v>32.2164</v>
      </c>
      <c r="C56" s="21" t="s">
        <v>97</v>
      </c>
      <c r="D56" s="21" t="s">
        <v>85</v>
      </c>
      <c r="E56" s="21" t="s">
        <v>97</v>
      </c>
      <c r="F56" s="21" t="s">
        <v>339</v>
      </c>
      <c r="G56" s="21" t="s">
        <v>83</v>
      </c>
      <c r="H56" s="20">
        <v>190</v>
      </c>
      <c r="I56"/>
      <c r="J56" s="20">
        <v>300</v>
      </c>
      <c r="K56"/>
      <c r="L56" s="20">
        <v>6</v>
      </c>
      <c r="M56" s="19">
        <v>0.68400000000000005</v>
      </c>
      <c r="N56" t="s">
        <v>84</v>
      </c>
      <c r="O56"/>
      <c r="P56"/>
      <c r="Q56">
        <v>4</v>
      </c>
      <c r="R56"/>
      <c r="S56"/>
      <c r="T56"/>
      <c r="U56"/>
      <c r="V56"/>
    </row>
    <row r="57" spans="1:22" x14ac:dyDescent="0.3">
      <c r="A57"/>
      <c r="B57" s="22">
        <v>352.6848</v>
      </c>
      <c r="C57" s="21" t="s">
        <v>97</v>
      </c>
      <c r="D57" s="21" t="s">
        <v>81</v>
      </c>
      <c r="E57" s="21" t="s">
        <v>97</v>
      </c>
      <c r="F57" s="21" t="s">
        <v>339</v>
      </c>
      <c r="G57" s="21" t="s">
        <v>83</v>
      </c>
      <c r="H57" s="20">
        <v>390</v>
      </c>
      <c r="I57"/>
      <c r="J57" s="20">
        <v>400</v>
      </c>
      <c r="K57"/>
      <c r="L57" s="20">
        <v>24</v>
      </c>
      <c r="M57" s="19">
        <v>7.4879999999999995</v>
      </c>
      <c r="N57" t="s">
        <v>84</v>
      </c>
      <c r="O57"/>
      <c r="P57"/>
      <c r="Q57">
        <v>12</v>
      </c>
      <c r="R57"/>
      <c r="S57"/>
      <c r="T57"/>
      <c r="U57"/>
      <c r="V57"/>
    </row>
    <row r="58" spans="1:22" x14ac:dyDescent="0.3">
      <c r="A58"/>
      <c r="B58" s="22">
        <v>129.31775999999999</v>
      </c>
      <c r="C58" s="21" t="s">
        <v>479</v>
      </c>
      <c r="D58" s="21" t="s">
        <v>88</v>
      </c>
      <c r="E58" s="21" t="s">
        <v>97</v>
      </c>
      <c r="F58" s="21" t="s">
        <v>339</v>
      </c>
      <c r="G58" s="21" t="s">
        <v>83</v>
      </c>
      <c r="H58" s="20">
        <v>390</v>
      </c>
      <c r="I58"/>
      <c r="J58" s="20">
        <v>440</v>
      </c>
      <c r="K58"/>
      <c r="L58" s="20">
        <v>8</v>
      </c>
      <c r="M58" s="19">
        <v>2.7456</v>
      </c>
      <c r="N58" t="s">
        <v>84</v>
      </c>
      <c r="O58"/>
      <c r="P58"/>
      <c r="Q58">
        <v>20</v>
      </c>
      <c r="R58"/>
      <c r="S58"/>
      <c r="T58"/>
      <c r="U58"/>
      <c r="V58"/>
    </row>
    <row r="59" spans="1:22" x14ac:dyDescent="0.3">
      <c r="A59"/>
      <c r="B59" s="22">
        <v>129.31775999999999</v>
      </c>
      <c r="C59" s="21" t="s">
        <v>479</v>
      </c>
      <c r="D59" s="21" t="s">
        <v>88</v>
      </c>
      <c r="E59" s="21" t="s">
        <v>97</v>
      </c>
      <c r="F59" s="21" t="s">
        <v>339</v>
      </c>
      <c r="G59" s="21" t="s">
        <v>83</v>
      </c>
      <c r="H59" s="20">
        <v>390</v>
      </c>
      <c r="I59"/>
      <c r="J59" s="20">
        <v>440</v>
      </c>
      <c r="K59"/>
      <c r="L59" s="20">
        <v>8</v>
      </c>
      <c r="M59" s="19">
        <v>2.7456</v>
      </c>
      <c r="N59" t="s">
        <v>84</v>
      </c>
      <c r="O59"/>
      <c r="P59"/>
      <c r="Q59">
        <v>20</v>
      </c>
      <c r="R59"/>
      <c r="S59"/>
      <c r="T59"/>
      <c r="U59"/>
      <c r="V59"/>
    </row>
    <row r="60" spans="1:22" x14ac:dyDescent="0.3">
      <c r="A60"/>
      <c r="B60" s="22">
        <v>305.05727999999999</v>
      </c>
      <c r="C60" s="21" t="s">
        <v>97</v>
      </c>
      <c r="D60" s="21" t="s">
        <v>85</v>
      </c>
      <c r="E60" s="21" t="s">
        <v>97</v>
      </c>
      <c r="F60" s="21" t="s">
        <v>339</v>
      </c>
      <c r="G60" s="21" t="s">
        <v>83</v>
      </c>
      <c r="H60" s="20">
        <v>220</v>
      </c>
      <c r="I60"/>
      <c r="J60" s="20">
        <v>460</v>
      </c>
      <c r="K60"/>
      <c r="L60" s="20">
        <v>32</v>
      </c>
      <c r="M60" s="19">
        <v>6.4767999999999999</v>
      </c>
      <c r="N60" t="s">
        <v>84</v>
      </c>
      <c r="O60"/>
      <c r="P60"/>
      <c r="Q60">
        <v>4</v>
      </c>
      <c r="R60"/>
      <c r="S60"/>
      <c r="T60"/>
      <c r="U60"/>
      <c r="V60"/>
    </row>
    <row r="61" spans="1:22" x14ac:dyDescent="0.3">
      <c r="A61"/>
      <c r="B61" s="22">
        <v>10.5975</v>
      </c>
      <c r="C61" s="21" t="s">
        <v>97</v>
      </c>
      <c r="D61" s="21" t="s">
        <v>88</v>
      </c>
      <c r="E61" s="21" t="s">
        <v>97</v>
      </c>
      <c r="F61" s="21" t="s">
        <v>87</v>
      </c>
      <c r="G61" s="21" t="s">
        <v>83</v>
      </c>
      <c r="H61" s="20">
        <v>150</v>
      </c>
      <c r="I61"/>
      <c r="J61" s="20">
        <v>150</v>
      </c>
      <c r="K61"/>
      <c r="L61" s="20">
        <v>4</v>
      </c>
      <c r="M61" s="19">
        <v>0.18</v>
      </c>
      <c r="N61" t="s">
        <v>84</v>
      </c>
      <c r="O61"/>
      <c r="P61"/>
      <c r="Q61">
        <v>2</v>
      </c>
      <c r="R61"/>
      <c r="S61"/>
      <c r="T61"/>
      <c r="U61"/>
      <c r="V61"/>
    </row>
    <row r="62" spans="1:22" x14ac:dyDescent="0.3">
      <c r="A62"/>
      <c r="B62" s="22">
        <v>9.0432000000000006</v>
      </c>
      <c r="C62" s="21" t="s">
        <v>489</v>
      </c>
      <c r="D62" s="21" t="s">
        <v>85</v>
      </c>
      <c r="E62" s="21" t="s">
        <v>97</v>
      </c>
      <c r="F62" s="21" t="s">
        <v>87</v>
      </c>
      <c r="G62" s="21" t="s">
        <v>83</v>
      </c>
      <c r="H62" s="20">
        <v>120</v>
      </c>
      <c r="I62"/>
      <c r="J62" s="20">
        <v>160</v>
      </c>
      <c r="K62"/>
      <c r="L62" s="20">
        <v>4</v>
      </c>
      <c r="M62" s="19">
        <v>0.15359999999999999</v>
      </c>
      <c r="N62" t="s">
        <v>84</v>
      </c>
      <c r="O62"/>
      <c r="P62"/>
      <c r="Q62">
        <v>1</v>
      </c>
      <c r="R62"/>
      <c r="S62"/>
      <c r="T62"/>
      <c r="U62"/>
      <c r="V62"/>
    </row>
    <row r="63" spans="1:22" x14ac:dyDescent="0.3">
      <c r="A63"/>
      <c r="B63" s="22">
        <v>9.0432000000000006</v>
      </c>
      <c r="C63" s="21" t="s">
        <v>489</v>
      </c>
      <c r="D63" s="21" t="s">
        <v>85</v>
      </c>
      <c r="E63" s="21" t="s">
        <v>97</v>
      </c>
      <c r="F63" s="21" t="s">
        <v>87</v>
      </c>
      <c r="G63" s="21" t="s">
        <v>83</v>
      </c>
      <c r="H63" s="20">
        <v>120</v>
      </c>
      <c r="I63"/>
      <c r="J63" s="20">
        <v>160</v>
      </c>
      <c r="K63"/>
      <c r="L63" s="20">
        <v>4</v>
      </c>
      <c r="M63" s="19">
        <v>0.15359999999999999</v>
      </c>
      <c r="N63" t="s">
        <v>84</v>
      </c>
      <c r="O63"/>
      <c r="P63"/>
      <c r="Q63">
        <v>1</v>
      </c>
      <c r="R63"/>
      <c r="S63"/>
      <c r="T63"/>
      <c r="U63"/>
      <c r="V63"/>
    </row>
    <row r="64" spans="1:22" x14ac:dyDescent="0.3">
      <c r="A64"/>
      <c r="B64" s="22">
        <v>4.5216000000000003</v>
      </c>
      <c r="C64" s="21" t="s">
        <v>489</v>
      </c>
      <c r="D64" s="21" t="s">
        <v>85</v>
      </c>
      <c r="E64" s="21" t="s">
        <v>97</v>
      </c>
      <c r="F64" s="21" t="s">
        <v>87</v>
      </c>
      <c r="G64" s="21" t="s">
        <v>83</v>
      </c>
      <c r="H64" s="20">
        <v>120</v>
      </c>
      <c r="I64"/>
      <c r="J64" s="20">
        <v>160</v>
      </c>
      <c r="K64"/>
      <c r="L64" s="20">
        <v>2</v>
      </c>
      <c r="M64" s="19">
        <v>7.6799999999999993E-2</v>
      </c>
      <c r="N64" t="s">
        <v>84</v>
      </c>
      <c r="O64"/>
      <c r="P64"/>
      <c r="Q64">
        <v>1</v>
      </c>
      <c r="R64"/>
      <c r="S64"/>
      <c r="T64"/>
      <c r="U64"/>
      <c r="V64"/>
    </row>
    <row r="65" spans="1:23" x14ac:dyDescent="0.3">
      <c r="A65"/>
      <c r="B65" s="22">
        <v>31.651200000000003</v>
      </c>
      <c r="C65" s="21" t="s">
        <v>489</v>
      </c>
      <c r="D65" s="21" t="s">
        <v>85</v>
      </c>
      <c r="E65" s="21" t="s">
        <v>97</v>
      </c>
      <c r="F65" s="21" t="s">
        <v>87</v>
      </c>
      <c r="G65" s="21" t="s">
        <v>83</v>
      </c>
      <c r="H65" s="20">
        <v>120</v>
      </c>
      <c r="I65"/>
      <c r="J65" s="20">
        <v>160</v>
      </c>
      <c r="K65"/>
      <c r="L65" s="20">
        <v>14</v>
      </c>
      <c r="M65" s="19">
        <v>0.53759999999999997</v>
      </c>
      <c r="N65" t="s">
        <v>84</v>
      </c>
      <c r="O65"/>
      <c r="P65"/>
      <c r="Q65">
        <v>1</v>
      </c>
      <c r="R65"/>
      <c r="S65"/>
      <c r="T65"/>
      <c r="U65"/>
      <c r="V65"/>
    </row>
    <row r="66" spans="1:23" x14ac:dyDescent="0.3">
      <c r="A66"/>
      <c r="B66" s="22">
        <v>18.086400000000001</v>
      </c>
      <c r="C66" s="21" t="s">
        <v>489</v>
      </c>
      <c r="D66" s="21" t="s">
        <v>85</v>
      </c>
      <c r="E66" s="21" t="s">
        <v>97</v>
      </c>
      <c r="F66" s="21" t="s">
        <v>87</v>
      </c>
      <c r="G66" s="21" t="s">
        <v>83</v>
      </c>
      <c r="H66" s="20">
        <v>120</v>
      </c>
      <c r="I66"/>
      <c r="J66" s="20">
        <v>160</v>
      </c>
      <c r="K66"/>
      <c r="L66" s="20">
        <v>8</v>
      </c>
      <c r="M66" s="19">
        <v>0.30719999999999997</v>
      </c>
      <c r="N66" t="s">
        <v>84</v>
      </c>
      <c r="O66"/>
      <c r="P66"/>
      <c r="Q66">
        <v>1</v>
      </c>
      <c r="R66"/>
      <c r="S66"/>
      <c r="T66"/>
      <c r="U66"/>
      <c r="V66"/>
    </row>
    <row r="67" spans="1:23" x14ac:dyDescent="0.3">
      <c r="A67"/>
      <c r="B67" s="22">
        <v>27.129600000000003</v>
      </c>
      <c r="C67" s="21" t="s">
        <v>489</v>
      </c>
      <c r="D67" s="21" t="s">
        <v>85</v>
      </c>
      <c r="E67" s="21" t="s">
        <v>97</v>
      </c>
      <c r="F67" s="21" t="s">
        <v>87</v>
      </c>
      <c r="G67" s="21" t="s">
        <v>83</v>
      </c>
      <c r="H67" s="20">
        <v>120</v>
      </c>
      <c r="I67"/>
      <c r="J67" s="20">
        <v>160</v>
      </c>
      <c r="K67"/>
      <c r="L67" s="20">
        <v>12</v>
      </c>
      <c r="M67" s="19">
        <v>0.46079999999999999</v>
      </c>
      <c r="N67" t="s">
        <v>84</v>
      </c>
      <c r="O67"/>
      <c r="P67"/>
      <c r="Q67">
        <v>1</v>
      </c>
      <c r="R67"/>
      <c r="S67"/>
      <c r="T67"/>
      <c r="U67"/>
      <c r="V67"/>
      <c r="W67" s="233"/>
    </row>
    <row r="68" spans="1:23" x14ac:dyDescent="0.3">
      <c r="A68"/>
      <c r="B68" s="22">
        <v>9.0432000000000006</v>
      </c>
      <c r="C68" s="21" t="s">
        <v>489</v>
      </c>
      <c r="D68" s="21" t="s">
        <v>85</v>
      </c>
      <c r="E68" s="21" t="s">
        <v>97</v>
      </c>
      <c r="F68" s="21" t="s">
        <v>87</v>
      </c>
      <c r="G68" s="21" t="s">
        <v>83</v>
      </c>
      <c r="H68" s="20">
        <v>120</v>
      </c>
      <c r="I68"/>
      <c r="J68" s="20">
        <v>160</v>
      </c>
      <c r="K68"/>
      <c r="L68" s="20">
        <v>4</v>
      </c>
      <c r="M68" s="19">
        <v>0.15359999999999999</v>
      </c>
      <c r="N68" t="s">
        <v>84</v>
      </c>
      <c r="O68"/>
      <c r="P68"/>
      <c r="Q68">
        <v>1</v>
      </c>
      <c r="R68"/>
      <c r="S68"/>
      <c r="T68"/>
      <c r="U68"/>
      <c r="V68"/>
    </row>
    <row r="69" spans="1:23" x14ac:dyDescent="0.3">
      <c r="A69"/>
      <c r="B69" s="22">
        <v>4.5216000000000003</v>
      </c>
      <c r="C69" s="21" t="s">
        <v>489</v>
      </c>
      <c r="D69" s="21" t="s">
        <v>85</v>
      </c>
      <c r="E69" s="21" t="s">
        <v>97</v>
      </c>
      <c r="F69" s="21" t="s">
        <v>87</v>
      </c>
      <c r="G69" s="21" t="s">
        <v>83</v>
      </c>
      <c r="H69" s="20">
        <v>120</v>
      </c>
      <c r="I69"/>
      <c r="J69" s="20">
        <v>160</v>
      </c>
      <c r="K69"/>
      <c r="L69" s="20">
        <v>2</v>
      </c>
      <c r="M69" s="19">
        <v>7.6799999999999993E-2</v>
      </c>
      <c r="N69" t="s">
        <v>84</v>
      </c>
      <c r="O69"/>
      <c r="P69"/>
      <c r="Q69">
        <v>1</v>
      </c>
      <c r="R69"/>
      <c r="S69"/>
      <c r="T69"/>
      <c r="U69"/>
      <c r="V69"/>
    </row>
    <row r="70" spans="1:23" x14ac:dyDescent="0.3">
      <c r="A70"/>
      <c r="B70" s="22">
        <v>36.172800000000002</v>
      </c>
      <c r="C70" s="21" t="s">
        <v>489</v>
      </c>
      <c r="D70" s="21" t="s">
        <v>85</v>
      </c>
      <c r="E70" s="21" t="s">
        <v>97</v>
      </c>
      <c r="F70" s="21" t="s">
        <v>87</v>
      </c>
      <c r="G70" s="21" t="s">
        <v>83</v>
      </c>
      <c r="H70" s="20">
        <v>120</v>
      </c>
      <c r="I70"/>
      <c r="J70" s="20">
        <v>160</v>
      </c>
      <c r="K70"/>
      <c r="L70" s="20">
        <v>16</v>
      </c>
      <c r="M70" s="19">
        <v>0.61439999999999995</v>
      </c>
      <c r="N70" t="s">
        <v>84</v>
      </c>
      <c r="O70"/>
      <c r="P70"/>
      <c r="Q70">
        <v>1</v>
      </c>
      <c r="R70"/>
      <c r="S70"/>
      <c r="T70"/>
      <c r="U70"/>
      <c r="V70"/>
    </row>
    <row r="71" spans="1:23" x14ac:dyDescent="0.3">
      <c r="A71"/>
      <c r="B71" s="22">
        <v>4.5216000000000003</v>
      </c>
      <c r="C71" s="21" t="s">
        <v>489</v>
      </c>
      <c r="D71" s="21" t="s">
        <v>85</v>
      </c>
      <c r="E71" s="21" t="s">
        <v>97</v>
      </c>
      <c r="F71" s="21" t="s">
        <v>87</v>
      </c>
      <c r="G71" s="21" t="s">
        <v>83</v>
      </c>
      <c r="H71" s="20">
        <v>120</v>
      </c>
      <c r="I71"/>
      <c r="J71" s="20">
        <v>160</v>
      </c>
      <c r="K71"/>
      <c r="L71" s="20">
        <v>2</v>
      </c>
      <c r="M71" s="19">
        <v>7.6799999999999993E-2</v>
      </c>
      <c r="N71" t="s">
        <v>84</v>
      </c>
      <c r="O71"/>
      <c r="P71"/>
      <c r="Q71">
        <v>1</v>
      </c>
      <c r="R71"/>
      <c r="S71"/>
      <c r="T71"/>
      <c r="U71"/>
      <c r="V71"/>
    </row>
    <row r="72" spans="1:23" x14ac:dyDescent="0.3">
      <c r="A72"/>
      <c r="B72" s="22">
        <v>9.0432000000000006</v>
      </c>
      <c r="C72" s="21" t="s">
        <v>489</v>
      </c>
      <c r="D72" s="21" t="s">
        <v>85</v>
      </c>
      <c r="E72" s="21" t="s">
        <v>97</v>
      </c>
      <c r="F72" s="21" t="s">
        <v>87</v>
      </c>
      <c r="G72" s="21" t="s">
        <v>83</v>
      </c>
      <c r="H72" s="20">
        <v>120</v>
      </c>
      <c r="I72"/>
      <c r="J72" s="20">
        <v>160</v>
      </c>
      <c r="K72"/>
      <c r="L72" s="20">
        <v>4</v>
      </c>
      <c r="M72" s="19">
        <v>0.15359999999999999</v>
      </c>
      <c r="N72" t="s">
        <v>84</v>
      </c>
      <c r="O72"/>
      <c r="P72"/>
      <c r="Q72">
        <v>1</v>
      </c>
      <c r="R72"/>
      <c r="S72"/>
      <c r="T72"/>
      <c r="U72"/>
      <c r="V72"/>
    </row>
    <row r="73" spans="1:23" x14ac:dyDescent="0.3">
      <c r="A73"/>
      <c r="B73" s="22">
        <v>15.825600000000001</v>
      </c>
      <c r="C73" s="21" t="s">
        <v>489</v>
      </c>
      <c r="D73" s="21" t="s">
        <v>85</v>
      </c>
      <c r="E73" s="21" t="s">
        <v>97</v>
      </c>
      <c r="F73" s="21" t="s">
        <v>87</v>
      </c>
      <c r="G73" s="21" t="s">
        <v>83</v>
      </c>
      <c r="H73" s="20">
        <v>120</v>
      </c>
      <c r="I73"/>
      <c r="J73" s="20">
        <v>160</v>
      </c>
      <c r="K73"/>
      <c r="L73" s="20">
        <v>7</v>
      </c>
      <c r="M73" s="19">
        <v>0.26879999999999998</v>
      </c>
      <c r="N73" t="s">
        <v>84</v>
      </c>
      <c r="O73"/>
      <c r="P73"/>
      <c r="Q73">
        <v>1</v>
      </c>
      <c r="R73"/>
      <c r="S73"/>
      <c r="T73"/>
      <c r="U73"/>
      <c r="V73"/>
    </row>
    <row r="74" spans="1:23" x14ac:dyDescent="0.3">
      <c r="A74"/>
      <c r="B74" s="22">
        <v>18.086400000000001</v>
      </c>
      <c r="C74" s="21" t="s">
        <v>489</v>
      </c>
      <c r="D74" s="21" t="s">
        <v>85</v>
      </c>
      <c r="E74" s="21" t="s">
        <v>97</v>
      </c>
      <c r="F74" s="21" t="s">
        <v>87</v>
      </c>
      <c r="G74" s="21" t="s">
        <v>83</v>
      </c>
      <c r="H74" s="20">
        <v>120</v>
      </c>
      <c r="I74"/>
      <c r="J74" s="20">
        <v>160</v>
      </c>
      <c r="K74"/>
      <c r="L74" s="20">
        <v>8</v>
      </c>
      <c r="M74" s="19">
        <v>0.30719999999999997</v>
      </c>
      <c r="N74" t="s">
        <v>84</v>
      </c>
      <c r="O74"/>
      <c r="P74"/>
      <c r="Q74">
        <v>1</v>
      </c>
      <c r="R74"/>
      <c r="S74"/>
      <c r="T74"/>
      <c r="U74"/>
      <c r="V74"/>
    </row>
    <row r="75" spans="1:23" x14ac:dyDescent="0.3">
      <c r="A75"/>
      <c r="B75" s="22">
        <v>27.129600000000003</v>
      </c>
      <c r="C75" s="21" t="s">
        <v>489</v>
      </c>
      <c r="D75" s="21" t="s">
        <v>88</v>
      </c>
      <c r="E75" s="21" t="s">
        <v>97</v>
      </c>
      <c r="F75" s="21" t="s">
        <v>87</v>
      </c>
      <c r="G75" s="21" t="s">
        <v>83</v>
      </c>
      <c r="H75" s="20">
        <v>120</v>
      </c>
      <c r="I75"/>
      <c r="J75" s="20">
        <v>160</v>
      </c>
      <c r="K75"/>
      <c r="L75" s="20">
        <v>12</v>
      </c>
      <c r="M75" s="19">
        <v>0.46079999999999999</v>
      </c>
      <c r="N75" t="s">
        <v>84</v>
      </c>
      <c r="O75"/>
      <c r="P75"/>
      <c r="Q75">
        <v>2</v>
      </c>
      <c r="R75"/>
      <c r="S75"/>
      <c r="T75"/>
      <c r="U75"/>
      <c r="V75"/>
    </row>
    <row r="76" spans="1:23" x14ac:dyDescent="0.3">
      <c r="A76"/>
      <c r="B76" s="22">
        <v>27.129600000000003</v>
      </c>
      <c r="C76" s="21" t="s">
        <v>489</v>
      </c>
      <c r="D76" s="21" t="s">
        <v>88</v>
      </c>
      <c r="E76" s="21" t="s">
        <v>97</v>
      </c>
      <c r="F76" s="21" t="s">
        <v>87</v>
      </c>
      <c r="G76" s="21" t="s">
        <v>83</v>
      </c>
      <c r="H76" s="20">
        <v>120</v>
      </c>
      <c r="I76"/>
      <c r="J76" s="20">
        <v>160</v>
      </c>
      <c r="K76"/>
      <c r="L76" s="20">
        <v>12</v>
      </c>
      <c r="M76" s="19">
        <v>0.46079999999999999</v>
      </c>
      <c r="N76" t="s">
        <v>84</v>
      </c>
      <c r="O76"/>
      <c r="P76"/>
      <c r="Q76">
        <v>2</v>
      </c>
      <c r="R76"/>
      <c r="S76"/>
      <c r="T76"/>
      <c r="U76"/>
      <c r="V76"/>
    </row>
    <row r="77" spans="1:23" x14ac:dyDescent="0.3">
      <c r="A77"/>
      <c r="B77" s="22">
        <v>4.5216000000000003</v>
      </c>
      <c r="C77" s="21" t="s">
        <v>489</v>
      </c>
      <c r="D77" s="21" t="s">
        <v>88</v>
      </c>
      <c r="E77" s="21" t="s">
        <v>97</v>
      </c>
      <c r="F77" s="21" t="s">
        <v>87</v>
      </c>
      <c r="G77" s="21" t="s">
        <v>83</v>
      </c>
      <c r="H77" s="20">
        <v>120</v>
      </c>
      <c r="I77"/>
      <c r="J77" s="20">
        <v>160</v>
      </c>
      <c r="K77"/>
      <c r="L77" s="20">
        <v>2</v>
      </c>
      <c r="M77" s="19">
        <v>7.6799999999999993E-2</v>
      </c>
      <c r="N77" t="s">
        <v>84</v>
      </c>
      <c r="O77"/>
      <c r="P77"/>
      <c r="Q77">
        <v>2</v>
      </c>
      <c r="R77"/>
      <c r="S77"/>
      <c r="T77"/>
      <c r="U77"/>
      <c r="V77"/>
    </row>
    <row r="78" spans="1:23" x14ac:dyDescent="0.3">
      <c r="A78"/>
      <c r="B78" s="22">
        <v>18.086400000000001</v>
      </c>
      <c r="C78" s="21" t="s">
        <v>489</v>
      </c>
      <c r="D78" s="21" t="s">
        <v>88</v>
      </c>
      <c r="E78" s="21" t="s">
        <v>97</v>
      </c>
      <c r="F78" s="21" t="s">
        <v>87</v>
      </c>
      <c r="G78" s="21" t="s">
        <v>83</v>
      </c>
      <c r="H78" s="20">
        <v>120</v>
      </c>
      <c r="I78"/>
      <c r="J78" s="20">
        <v>160</v>
      </c>
      <c r="K78"/>
      <c r="L78" s="20">
        <v>8</v>
      </c>
      <c r="M78" s="19">
        <v>0.30719999999999997</v>
      </c>
      <c r="N78" t="s">
        <v>84</v>
      </c>
      <c r="O78"/>
      <c r="P78"/>
      <c r="Q78">
        <v>2</v>
      </c>
      <c r="R78"/>
      <c r="S78"/>
      <c r="T78"/>
      <c r="U78"/>
      <c r="V78"/>
    </row>
    <row r="79" spans="1:23" x14ac:dyDescent="0.3">
      <c r="A79"/>
      <c r="B79" s="22">
        <v>13.564800000000002</v>
      </c>
      <c r="C79" s="21" t="s">
        <v>489</v>
      </c>
      <c r="D79" s="21" t="s">
        <v>88</v>
      </c>
      <c r="E79" s="21" t="s">
        <v>97</v>
      </c>
      <c r="F79" s="21" t="s">
        <v>87</v>
      </c>
      <c r="G79" s="21" t="s">
        <v>83</v>
      </c>
      <c r="H79" s="20">
        <v>120</v>
      </c>
      <c r="I79"/>
      <c r="J79" s="20">
        <v>160</v>
      </c>
      <c r="K79"/>
      <c r="L79" s="20">
        <v>6</v>
      </c>
      <c r="M79" s="19">
        <v>0.23039999999999999</v>
      </c>
      <c r="N79" t="s">
        <v>84</v>
      </c>
      <c r="O79"/>
      <c r="P79"/>
      <c r="Q79">
        <v>2</v>
      </c>
      <c r="R79"/>
      <c r="S79"/>
      <c r="T79"/>
      <c r="U79"/>
      <c r="V79"/>
    </row>
    <row r="80" spans="1:23" x14ac:dyDescent="0.3">
      <c r="A80"/>
      <c r="B80" s="22">
        <v>6.7824000000000009</v>
      </c>
      <c r="C80" s="21" t="s">
        <v>489</v>
      </c>
      <c r="D80" s="21" t="s">
        <v>88</v>
      </c>
      <c r="E80" s="21" t="s">
        <v>97</v>
      </c>
      <c r="F80" s="21" t="s">
        <v>87</v>
      </c>
      <c r="G80" s="21" t="s">
        <v>83</v>
      </c>
      <c r="H80" s="20">
        <v>120</v>
      </c>
      <c r="I80"/>
      <c r="J80" s="20">
        <v>160</v>
      </c>
      <c r="K80"/>
      <c r="L80" s="20">
        <v>3</v>
      </c>
      <c r="M80" s="19">
        <v>0.1152</v>
      </c>
      <c r="N80" t="s">
        <v>84</v>
      </c>
      <c r="O80"/>
      <c r="P80"/>
      <c r="Q80">
        <v>2</v>
      </c>
      <c r="R80"/>
      <c r="S80"/>
      <c r="T80"/>
      <c r="U80"/>
      <c r="V80"/>
    </row>
    <row r="81" spans="1:23" x14ac:dyDescent="0.3">
      <c r="A81"/>
      <c r="B81" s="22">
        <v>30.520800000000001</v>
      </c>
      <c r="C81" s="21" t="s">
        <v>80</v>
      </c>
      <c r="D81" s="21" t="s">
        <v>81</v>
      </c>
      <c r="E81" s="21" t="s">
        <v>97</v>
      </c>
      <c r="F81" s="21" t="s">
        <v>87</v>
      </c>
      <c r="G81" s="21" t="s">
        <v>83</v>
      </c>
      <c r="H81" s="20">
        <v>180</v>
      </c>
      <c r="I81"/>
      <c r="J81" s="20">
        <v>180</v>
      </c>
      <c r="K81"/>
      <c r="L81" s="20">
        <v>8</v>
      </c>
      <c r="M81" s="19">
        <v>0.51839999999999997</v>
      </c>
      <c r="N81" t="s">
        <v>84</v>
      </c>
      <c r="O81"/>
      <c r="P81"/>
      <c r="Q81">
        <v>4</v>
      </c>
      <c r="R81"/>
      <c r="S81"/>
      <c r="T81"/>
      <c r="U81"/>
      <c r="V81"/>
    </row>
    <row r="82" spans="1:23" x14ac:dyDescent="0.3">
      <c r="A82"/>
      <c r="B82" s="22">
        <v>18.84</v>
      </c>
      <c r="C82" s="21" t="s">
        <v>97</v>
      </c>
      <c r="D82" s="21" t="s">
        <v>81</v>
      </c>
      <c r="E82" s="21" t="s">
        <v>97</v>
      </c>
      <c r="F82" s="21" t="s">
        <v>87</v>
      </c>
      <c r="G82" s="21" t="s">
        <v>83</v>
      </c>
      <c r="H82" s="20">
        <v>200</v>
      </c>
      <c r="I82"/>
      <c r="J82" s="20">
        <v>200</v>
      </c>
      <c r="K82"/>
      <c r="L82" s="20">
        <v>4</v>
      </c>
      <c r="M82" s="19">
        <v>0.32</v>
      </c>
      <c r="N82" t="s">
        <v>84</v>
      </c>
      <c r="O82"/>
      <c r="P82"/>
      <c r="Q82">
        <v>12</v>
      </c>
      <c r="R82"/>
      <c r="S82"/>
      <c r="T82"/>
      <c r="U82"/>
      <c r="V82"/>
    </row>
    <row r="83" spans="1:23" x14ac:dyDescent="0.3">
      <c r="A83"/>
      <c r="B83" s="22">
        <v>169.56</v>
      </c>
      <c r="C83" s="21" t="s">
        <v>97</v>
      </c>
      <c r="D83" s="21" t="s">
        <v>85</v>
      </c>
      <c r="E83" s="21" t="s">
        <v>97</v>
      </c>
      <c r="F83" s="21" t="s">
        <v>87</v>
      </c>
      <c r="G83" s="21" t="s">
        <v>83</v>
      </c>
      <c r="H83" s="20">
        <v>150</v>
      </c>
      <c r="I83"/>
      <c r="J83" s="20">
        <v>200</v>
      </c>
      <c r="K83"/>
      <c r="L83" s="20">
        <v>48</v>
      </c>
      <c r="M83" s="19">
        <v>2.88</v>
      </c>
      <c r="N83" t="s">
        <v>84</v>
      </c>
      <c r="O83"/>
      <c r="P83"/>
      <c r="Q83">
        <v>4</v>
      </c>
      <c r="R83"/>
      <c r="S83"/>
      <c r="T83"/>
      <c r="U83"/>
      <c r="V83"/>
    </row>
    <row r="84" spans="1:23" x14ac:dyDescent="0.3">
      <c r="A84"/>
      <c r="B84" s="22">
        <v>49.7376</v>
      </c>
      <c r="C84" s="21" t="s">
        <v>97</v>
      </c>
      <c r="D84" s="21" t="s">
        <v>340</v>
      </c>
      <c r="E84" s="21" t="s">
        <v>97</v>
      </c>
      <c r="F84" s="21" t="s">
        <v>87</v>
      </c>
      <c r="G84" s="21" t="s">
        <v>83</v>
      </c>
      <c r="H84" s="20">
        <v>120</v>
      </c>
      <c r="I84"/>
      <c r="J84" s="20">
        <v>220</v>
      </c>
      <c r="K84"/>
      <c r="L84" s="20">
        <v>16</v>
      </c>
      <c r="M84" s="19">
        <v>0.8448</v>
      </c>
      <c r="N84" t="s">
        <v>84</v>
      </c>
      <c r="O84"/>
      <c r="P84"/>
      <c r="Q84"/>
      <c r="R84"/>
      <c r="S84"/>
      <c r="T84"/>
      <c r="U84"/>
      <c r="V84"/>
    </row>
    <row r="85" spans="1:23" x14ac:dyDescent="0.3">
      <c r="A85"/>
      <c r="B85" s="22">
        <v>117.75</v>
      </c>
      <c r="C85" s="21" t="s">
        <v>93</v>
      </c>
      <c r="D85" s="21" t="s">
        <v>340</v>
      </c>
      <c r="E85" s="21" t="s">
        <v>97</v>
      </c>
      <c r="F85" s="21" t="s">
        <v>87</v>
      </c>
      <c r="G85" s="21" t="s">
        <v>83</v>
      </c>
      <c r="H85" s="20">
        <v>250</v>
      </c>
      <c r="I85"/>
      <c r="J85" s="20">
        <v>250</v>
      </c>
      <c r="K85"/>
      <c r="L85" s="20">
        <v>16</v>
      </c>
      <c r="M85" s="19">
        <v>2</v>
      </c>
      <c r="N85" t="s">
        <v>84</v>
      </c>
      <c r="O85"/>
      <c r="P85"/>
      <c r="Q85"/>
      <c r="R85"/>
      <c r="S85"/>
      <c r="T85"/>
      <c r="U85"/>
      <c r="V85"/>
    </row>
    <row r="86" spans="1:23" x14ac:dyDescent="0.3">
      <c r="A86"/>
      <c r="B86" s="22">
        <v>117.75</v>
      </c>
      <c r="C86" s="21" t="s">
        <v>93</v>
      </c>
      <c r="D86" s="21" t="s">
        <v>340</v>
      </c>
      <c r="E86" s="21" t="s">
        <v>97</v>
      </c>
      <c r="F86" s="21" t="s">
        <v>87</v>
      </c>
      <c r="G86" s="21" t="s">
        <v>83</v>
      </c>
      <c r="H86" s="20">
        <v>250</v>
      </c>
      <c r="I86"/>
      <c r="J86" s="20">
        <v>250</v>
      </c>
      <c r="K86"/>
      <c r="L86" s="20">
        <v>16</v>
      </c>
      <c r="M86" s="19">
        <v>2</v>
      </c>
      <c r="N86" t="s">
        <v>84</v>
      </c>
      <c r="O86"/>
      <c r="P86"/>
      <c r="Q86"/>
      <c r="R86"/>
      <c r="S86"/>
      <c r="T86"/>
      <c r="U86"/>
      <c r="V86"/>
    </row>
    <row r="87" spans="1:23" x14ac:dyDescent="0.3">
      <c r="A87"/>
      <c r="B87" s="22">
        <v>176.625</v>
      </c>
      <c r="C87" s="21" t="s">
        <v>383</v>
      </c>
      <c r="D87" s="21" t="s">
        <v>343</v>
      </c>
      <c r="E87" s="21" t="s">
        <v>97</v>
      </c>
      <c r="F87" s="21" t="s">
        <v>87</v>
      </c>
      <c r="G87" s="21" t="s">
        <v>83</v>
      </c>
      <c r="H87" s="20">
        <v>125</v>
      </c>
      <c r="I87"/>
      <c r="J87" s="20">
        <v>250</v>
      </c>
      <c r="K87"/>
      <c r="L87" s="20">
        <v>48</v>
      </c>
      <c r="M87" s="19">
        <v>3</v>
      </c>
      <c r="N87" t="s">
        <v>84</v>
      </c>
      <c r="O87"/>
      <c r="P87"/>
      <c r="Q87">
        <v>16</v>
      </c>
      <c r="R87"/>
      <c r="S87"/>
      <c r="T87"/>
      <c r="U87"/>
      <c r="V87"/>
    </row>
    <row r="88" spans="1:23" x14ac:dyDescent="0.3">
      <c r="A88"/>
      <c r="B88" s="22">
        <v>101.0766</v>
      </c>
      <c r="C88" s="21" t="s">
        <v>383</v>
      </c>
      <c r="D88" s="21" t="s">
        <v>340</v>
      </c>
      <c r="E88" s="21" t="s">
        <v>97</v>
      </c>
      <c r="F88" s="21" t="s">
        <v>87</v>
      </c>
      <c r="G88" s="21" t="s">
        <v>83</v>
      </c>
      <c r="H88" s="20">
        <v>290</v>
      </c>
      <c r="I88"/>
      <c r="J88" s="20">
        <v>370</v>
      </c>
      <c r="K88"/>
      <c r="L88" s="20">
        <v>8</v>
      </c>
      <c r="M88" s="19">
        <v>1.7168000000000001</v>
      </c>
      <c r="N88" t="s">
        <v>84</v>
      </c>
      <c r="O88"/>
      <c r="P88"/>
      <c r="Q88"/>
      <c r="R88"/>
      <c r="S88"/>
      <c r="T88"/>
      <c r="U88"/>
      <c r="V88"/>
    </row>
    <row r="89" spans="1:23" x14ac:dyDescent="0.3">
      <c r="A89"/>
      <c r="B89" s="22">
        <v>303.22980000000001</v>
      </c>
      <c r="C89" s="21" t="s">
        <v>383</v>
      </c>
      <c r="D89" s="21" t="s">
        <v>340</v>
      </c>
      <c r="E89" s="21" t="s">
        <v>97</v>
      </c>
      <c r="F89" s="21" t="s">
        <v>87</v>
      </c>
      <c r="G89" s="21" t="s">
        <v>83</v>
      </c>
      <c r="H89" s="20">
        <v>290</v>
      </c>
      <c r="I89"/>
      <c r="J89" s="20">
        <v>370</v>
      </c>
      <c r="K89"/>
      <c r="L89" s="20">
        <v>24</v>
      </c>
      <c r="M89" s="19">
        <v>5.1504000000000003</v>
      </c>
      <c r="N89" t="s">
        <v>84</v>
      </c>
      <c r="O89"/>
      <c r="P89"/>
      <c r="Q89"/>
      <c r="R89"/>
      <c r="S89"/>
      <c r="T89"/>
      <c r="U89"/>
      <c r="V89"/>
    </row>
    <row r="90" spans="1:23" x14ac:dyDescent="0.3">
      <c r="A90"/>
      <c r="B90" s="22">
        <v>148.36500000000001</v>
      </c>
      <c r="C90" s="21" t="s">
        <v>97</v>
      </c>
      <c r="D90" s="21" t="s">
        <v>81</v>
      </c>
      <c r="E90" s="21" t="s">
        <v>97</v>
      </c>
      <c r="F90" s="21" t="s">
        <v>87</v>
      </c>
      <c r="G90" s="21" t="s">
        <v>83</v>
      </c>
      <c r="H90" s="20">
        <v>210</v>
      </c>
      <c r="I90"/>
      <c r="J90" s="20">
        <v>375</v>
      </c>
      <c r="K90"/>
      <c r="L90" s="20">
        <v>16</v>
      </c>
      <c r="M90" s="19">
        <v>2.52</v>
      </c>
      <c r="N90" t="s">
        <v>84</v>
      </c>
      <c r="O90"/>
      <c r="P90"/>
      <c r="Q90">
        <v>16</v>
      </c>
      <c r="R90"/>
      <c r="S90"/>
      <c r="T90"/>
      <c r="U90"/>
      <c r="V90"/>
    </row>
    <row r="91" spans="1:23" x14ac:dyDescent="0.3">
      <c r="A91"/>
      <c r="B91" s="22">
        <v>109.50749999999999</v>
      </c>
      <c r="C91" s="21" t="s">
        <v>97</v>
      </c>
      <c r="D91" s="21" t="s">
        <v>81</v>
      </c>
      <c r="E91" s="21" t="s">
        <v>97</v>
      </c>
      <c r="F91" s="21" t="s">
        <v>87</v>
      </c>
      <c r="G91" s="21" t="s">
        <v>83</v>
      </c>
      <c r="H91" s="20">
        <v>310</v>
      </c>
      <c r="I91"/>
      <c r="J91" s="20">
        <v>375</v>
      </c>
      <c r="K91"/>
      <c r="L91" s="20">
        <v>8</v>
      </c>
      <c r="M91" s="19">
        <v>1.86</v>
      </c>
      <c r="N91" t="s">
        <v>84</v>
      </c>
      <c r="O91"/>
      <c r="P91"/>
      <c r="Q91">
        <v>16</v>
      </c>
      <c r="R91"/>
      <c r="S91"/>
      <c r="T91"/>
      <c r="U91"/>
      <c r="V91"/>
    </row>
    <row r="92" spans="1:23" x14ac:dyDescent="0.3">
      <c r="A92"/>
      <c r="B92" s="22">
        <v>71.591999999999999</v>
      </c>
      <c r="C92" s="21" t="s">
        <v>383</v>
      </c>
      <c r="D92" s="21" t="s">
        <v>340</v>
      </c>
      <c r="E92" s="21" t="s">
        <v>97</v>
      </c>
      <c r="F92" s="21" t="s">
        <v>87</v>
      </c>
      <c r="G92" s="21" t="s">
        <v>83</v>
      </c>
      <c r="H92" s="20">
        <v>95</v>
      </c>
      <c r="I92"/>
      <c r="J92" s="20">
        <v>400</v>
      </c>
      <c r="K92"/>
      <c r="L92" s="20">
        <v>16</v>
      </c>
      <c r="M92" s="19">
        <v>1.216</v>
      </c>
      <c r="N92" t="s">
        <v>84</v>
      </c>
      <c r="O92"/>
      <c r="P92"/>
      <c r="Q92"/>
      <c r="R92"/>
      <c r="S92"/>
      <c r="T92"/>
      <c r="U92"/>
      <c r="V92"/>
    </row>
    <row r="93" spans="1:23" x14ac:dyDescent="0.3">
      <c r="A93"/>
      <c r="B93" s="22">
        <v>41.448</v>
      </c>
      <c r="C93" s="21" t="s">
        <v>97</v>
      </c>
      <c r="D93" s="21" t="s">
        <v>85</v>
      </c>
      <c r="E93" s="21" t="s">
        <v>97</v>
      </c>
      <c r="F93" s="21" t="s">
        <v>87</v>
      </c>
      <c r="G93" s="21" t="s">
        <v>83</v>
      </c>
      <c r="H93" s="20">
        <v>220</v>
      </c>
      <c r="I93"/>
      <c r="J93" s="20">
        <v>400</v>
      </c>
      <c r="K93"/>
      <c r="L93" s="20">
        <v>4</v>
      </c>
      <c r="M93" s="19">
        <v>0.70399999999999996</v>
      </c>
      <c r="N93" t="s">
        <v>84</v>
      </c>
      <c r="O93"/>
      <c r="P93"/>
      <c r="Q93">
        <v>4</v>
      </c>
      <c r="R93"/>
      <c r="S93"/>
      <c r="T93"/>
      <c r="U93"/>
      <c r="V93"/>
    </row>
    <row r="94" spans="1:23" x14ac:dyDescent="0.3">
      <c r="A94"/>
      <c r="B94" s="22">
        <v>47.665199999999999</v>
      </c>
      <c r="C94" s="21" t="s">
        <v>97</v>
      </c>
      <c r="D94" s="21" t="s">
        <v>85</v>
      </c>
      <c r="E94" s="21" t="s">
        <v>97</v>
      </c>
      <c r="F94" s="21" t="s">
        <v>87</v>
      </c>
      <c r="G94" s="21" t="s">
        <v>83</v>
      </c>
      <c r="H94" s="20">
        <v>220</v>
      </c>
      <c r="I94"/>
      <c r="J94" s="20">
        <v>460</v>
      </c>
      <c r="K94"/>
      <c r="L94" s="20">
        <v>4</v>
      </c>
      <c r="M94" s="19">
        <v>0.80959999999999999</v>
      </c>
      <c r="N94" t="s">
        <v>84</v>
      </c>
      <c r="O94"/>
      <c r="P94"/>
      <c r="Q94">
        <v>4</v>
      </c>
      <c r="R94"/>
      <c r="S94"/>
      <c r="T94"/>
      <c r="U94"/>
      <c r="V94"/>
      <c r="W94" s="233"/>
    </row>
    <row r="95" spans="1:23" x14ac:dyDescent="0.3">
      <c r="A95"/>
      <c r="B95" s="22">
        <v>1814.2920000000001</v>
      </c>
      <c r="C95" s="21" t="s">
        <v>97</v>
      </c>
      <c r="D95" s="21" t="s">
        <v>81</v>
      </c>
      <c r="E95" s="21" t="s">
        <v>97</v>
      </c>
      <c r="F95" s="21" t="s">
        <v>87</v>
      </c>
      <c r="G95" s="21" t="s">
        <v>83</v>
      </c>
      <c r="H95" s="20">
        <v>360</v>
      </c>
      <c r="I95"/>
      <c r="J95" s="20">
        <v>535</v>
      </c>
      <c r="K95"/>
      <c r="L95" s="20">
        <v>80</v>
      </c>
      <c r="M95" s="19">
        <v>30.815999999999999</v>
      </c>
      <c r="N95" t="s">
        <v>84</v>
      </c>
      <c r="O95"/>
      <c r="P95"/>
      <c r="Q95">
        <v>18</v>
      </c>
      <c r="R95"/>
      <c r="S95"/>
      <c r="T95"/>
      <c r="U95"/>
      <c r="V95"/>
    </row>
    <row r="96" spans="1:23" x14ac:dyDescent="0.3">
      <c r="A96"/>
      <c r="B96" s="22">
        <v>113.982</v>
      </c>
      <c r="C96" s="21" t="s">
        <v>97</v>
      </c>
      <c r="D96" s="21" t="s">
        <v>344</v>
      </c>
      <c r="E96" s="21" t="s">
        <v>97</v>
      </c>
      <c r="F96" s="21" t="s">
        <v>87</v>
      </c>
      <c r="G96" s="21" t="s">
        <v>83</v>
      </c>
      <c r="H96" s="20">
        <v>220</v>
      </c>
      <c r="I96"/>
      <c r="J96" s="20">
        <v>550</v>
      </c>
      <c r="K96"/>
      <c r="L96" s="20">
        <v>8</v>
      </c>
      <c r="M96" s="19">
        <v>1.9359999999999999</v>
      </c>
      <c r="N96" t="s">
        <v>84</v>
      </c>
      <c r="O96"/>
      <c r="P96"/>
      <c r="Q96">
        <v>8</v>
      </c>
      <c r="R96"/>
      <c r="S96"/>
      <c r="T96"/>
      <c r="U96"/>
      <c r="V96"/>
    </row>
    <row r="97" spans="1:22" x14ac:dyDescent="0.3">
      <c r="A97"/>
      <c r="B97" s="22">
        <v>427.4325</v>
      </c>
      <c r="C97" s="21" t="s">
        <v>80</v>
      </c>
      <c r="D97" s="21" t="s">
        <v>88</v>
      </c>
      <c r="E97" s="21" t="s">
        <v>97</v>
      </c>
      <c r="F97" s="21" t="s">
        <v>87</v>
      </c>
      <c r="G97" s="21" t="s">
        <v>83</v>
      </c>
      <c r="H97" s="20">
        <v>220</v>
      </c>
      <c r="I97"/>
      <c r="J97" s="20">
        <v>550</v>
      </c>
      <c r="K97"/>
      <c r="L97" s="20">
        <v>30</v>
      </c>
      <c r="M97" s="19">
        <v>7.26</v>
      </c>
      <c r="N97" t="s">
        <v>84</v>
      </c>
      <c r="O97"/>
      <c r="P97"/>
      <c r="Q97">
        <v>8</v>
      </c>
      <c r="R97"/>
      <c r="S97"/>
      <c r="T97"/>
      <c r="U97"/>
      <c r="V97"/>
    </row>
    <row r="98" spans="1:22" x14ac:dyDescent="0.3">
      <c r="A98"/>
      <c r="B98" s="22">
        <v>186.51599999999999</v>
      </c>
      <c r="C98" s="21" t="s">
        <v>97</v>
      </c>
      <c r="D98" s="21" t="s">
        <v>85</v>
      </c>
      <c r="E98" s="21" t="s">
        <v>97</v>
      </c>
      <c r="F98" s="21" t="s">
        <v>87</v>
      </c>
      <c r="G98" s="21" t="s">
        <v>83</v>
      </c>
      <c r="H98" s="20">
        <v>180</v>
      </c>
      <c r="I98"/>
      <c r="J98" s="20">
        <v>550</v>
      </c>
      <c r="K98"/>
      <c r="L98" s="20">
        <v>16</v>
      </c>
      <c r="M98" s="19">
        <v>3.1680000000000001</v>
      </c>
      <c r="N98" t="s">
        <v>84</v>
      </c>
      <c r="O98"/>
      <c r="P98"/>
      <c r="Q98">
        <v>4</v>
      </c>
      <c r="R98"/>
      <c r="S98"/>
      <c r="T98"/>
      <c r="U98"/>
      <c r="V98"/>
    </row>
    <row r="99" spans="1:22" x14ac:dyDescent="0.3">
      <c r="A99"/>
      <c r="B99" s="22">
        <v>138.12074999999999</v>
      </c>
      <c r="C99" s="21" t="s">
        <v>411</v>
      </c>
      <c r="D99" s="21" t="s">
        <v>340</v>
      </c>
      <c r="E99" s="21" t="s">
        <v>97</v>
      </c>
      <c r="F99" s="21" t="s">
        <v>87</v>
      </c>
      <c r="G99" s="21" t="s">
        <v>83</v>
      </c>
      <c r="H99" s="20">
        <v>170</v>
      </c>
      <c r="I99"/>
      <c r="J99" s="20">
        <v>575</v>
      </c>
      <c r="K99"/>
      <c r="L99" s="20">
        <v>12</v>
      </c>
      <c r="M99" s="19">
        <v>2.3460000000000001</v>
      </c>
      <c r="N99" t="s">
        <v>84</v>
      </c>
      <c r="O99"/>
      <c r="P99"/>
      <c r="Q99"/>
      <c r="R99"/>
      <c r="S99"/>
      <c r="T99"/>
      <c r="U99"/>
      <c r="V99"/>
    </row>
    <row r="100" spans="1:22" x14ac:dyDescent="0.3">
      <c r="A100"/>
      <c r="B100" s="22">
        <v>163.90800000000002</v>
      </c>
      <c r="C100" s="21" t="s">
        <v>382</v>
      </c>
      <c r="D100" s="21" t="s">
        <v>341</v>
      </c>
      <c r="E100" s="21" t="s">
        <v>97</v>
      </c>
      <c r="F100" s="21" t="s">
        <v>87</v>
      </c>
      <c r="G100" s="21" t="s">
        <v>83</v>
      </c>
      <c r="H100" s="20">
        <v>200</v>
      </c>
      <c r="I100"/>
      <c r="J100" s="20">
        <v>580</v>
      </c>
      <c r="K100"/>
      <c r="L100" s="20">
        <v>12</v>
      </c>
      <c r="M100" s="19">
        <v>2.7840000000000003</v>
      </c>
      <c r="N100" t="s">
        <v>84</v>
      </c>
      <c r="O100"/>
      <c r="P100"/>
      <c r="Q100">
        <v>16</v>
      </c>
      <c r="R100"/>
      <c r="S100"/>
      <c r="T100"/>
      <c r="U100"/>
      <c r="V100"/>
    </row>
    <row r="101" spans="1:22" x14ac:dyDescent="0.3">
      <c r="A101"/>
      <c r="B101" s="22">
        <v>113.04</v>
      </c>
      <c r="C101" s="21" t="s">
        <v>97</v>
      </c>
      <c r="D101" s="21" t="s">
        <v>81</v>
      </c>
      <c r="E101" s="21" t="s">
        <v>97</v>
      </c>
      <c r="F101" s="21" t="s">
        <v>87</v>
      </c>
      <c r="G101" s="21" t="s">
        <v>83</v>
      </c>
      <c r="H101" s="20">
        <v>200</v>
      </c>
      <c r="I101"/>
      <c r="J101" s="20">
        <v>600</v>
      </c>
      <c r="K101"/>
      <c r="L101" s="20">
        <v>8</v>
      </c>
      <c r="M101" s="19">
        <v>1.92</v>
      </c>
      <c r="N101" t="s">
        <v>84</v>
      </c>
      <c r="O101"/>
      <c r="P101"/>
      <c r="Q101">
        <v>12</v>
      </c>
      <c r="R101"/>
      <c r="S101"/>
      <c r="T101"/>
      <c r="U101"/>
      <c r="V101"/>
    </row>
    <row r="102" spans="1:22" x14ac:dyDescent="0.3">
      <c r="A102"/>
      <c r="B102" s="22">
        <v>120.34050000000001</v>
      </c>
      <c r="C102" s="21" t="s">
        <v>383</v>
      </c>
      <c r="D102" s="21" t="s">
        <v>340</v>
      </c>
      <c r="E102" s="21" t="s">
        <v>97</v>
      </c>
      <c r="F102" s="21" t="s">
        <v>87</v>
      </c>
      <c r="G102" s="21" t="s">
        <v>83</v>
      </c>
      <c r="H102" s="20">
        <v>365</v>
      </c>
      <c r="I102"/>
      <c r="J102" s="20">
        <v>700</v>
      </c>
      <c r="K102"/>
      <c r="L102" s="20">
        <v>4</v>
      </c>
      <c r="M102" s="19">
        <v>2.044</v>
      </c>
      <c r="N102" t="s">
        <v>84</v>
      </c>
      <c r="O102"/>
      <c r="P102"/>
      <c r="Q102"/>
      <c r="R102"/>
      <c r="S102"/>
      <c r="T102"/>
      <c r="U102"/>
      <c r="V102"/>
    </row>
    <row r="103" spans="1:22" x14ac:dyDescent="0.3">
      <c r="A103"/>
      <c r="B103" s="22">
        <v>71.215199999999996</v>
      </c>
      <c r="C103" s="21" t="s">
        <v>97</v>
      </c>
      <c r="D103" s="21" t="s">
        <v>340</v>
      </c>
      <c r="E103" s="21" t="s">
        <v>97</v>
      </c>
      <c r="F103" s="21" t="s">
        <v>87</v>
      </c>
      <c r="G103" s="21" t="s">
        <v>83</v>
      </c>
      <c r="H103" s="20">
        <v>360</v>
      </c>
      <c r="I103"/>
      <c r="J103" s="20">
        <v>840</v>
      </c>
      <c r="K103"/>
      <c r="L103" s="20">
        <v>2</v>
      </c>
      <c r="M103" s="19">
        <v>1.2096</v>
      </c>
      <c r="N103" t="s">
        <v>84</v>
      </c>
      <c r="O103"/>
      <c r="P103"/>
      <c r="Q103">
        <v>2</v>
      </c>
      <c r="R103"/>
      <c r="S103"/>
      <c r="T103"/>
      <c r="U103"/>
      <c r="V103"/>
    </row>
    <row r="104" spans="1:22" x14ac:dyDescent="0.3">
      <c r="A104"/>
      <c r="B104" s="22">
        <v>178.45012500000001</v>
      </c>
      <c r="C104" s="21" t="s">
        <v>97</v>
      </c>
      <c r="D104" s="21" t="s">
        <v>88</v>
      </c>
      <c r="E104" s="21" t="s">
        <v>97</v>
      </c>
      <c r="F104" s="21" t="s">
        <v>87</v>
      </c>
      <c r="G104" s="21" t="s">
        <v>83</v>
      </c>
      <c r="H104" s="20">
        <v>250</v>
      </c>
      <c r="I104"/>
      <c r="J104" s="20">
        <v>866</v>
      </c>
      <c r="K104"/>
      <c r="L104" s="20">
        <v>7</v>
      </c>
      <c r="M104" s="19">
        <v>3.0310000000000001</v>
      </c>
      <c r="N104" t="s">
        <v>84</v>
      </c>
      <c r="O104"/>
      <c r="P104"/>
      <c r="Q104"/>
      <c r="R104"/>
      <c r="S104"/>
      <c r="T104"/>
      <c r="U104"/>
      <c r="V104"/>
    </row>
    <row r="105" spans="1:22" x14ac:dyDescent="0.3">
      <c r="A105"/>
      <c r="B105" s="22">
        <v>169.56</v>
      </c>
      <c r="C105" s="21" t="s">
        <v>97</v>
      </c>
      <c r="D105" s="21" t="s">
        <v>81</v>
      </c>
      <c r="E105" s="21" t="s">
        <v>97</v>
      </c>
      <c r="F105" s="21" t="s">
        <v>87</v>
      </c>
      <c r="G105" s="21" t="s">
        <v>83</v>
      </c>
      <c r="H105" s="20">
        <v>200</v>
      </c>
      <c r="I105"/>
      <c r="J105" s="20">
        <v>900</v>
      </c>
      <c r="K105"/>
      <c r="L105" s="20">
        <v>8</v>
      </c>
      <c r="M105" s="19">
        <v>2.88</v>
      </c>
      <c r="N105" t="s">
        <v>84</v>
      </c>
      <c r="O105"/>
      <c r="P105"/>
      <c r="Q105">
        <v>12</v>
      </c>
      <c r="R105"/>
      <c r="S105"/>
      <c r="T105"/>
      <c r="U105"/>
      <c r="V105"/>
    </row>
    <row r="106" spans="1:22" x14ac:dyDescent="0.3">
      <c r="A106"/>
      <c r="B106" s="22">
        <v>536.93999999999994</v>
      </c>
      <c r="C106" s="21" t="s">
        <v>471</v>
      </c>
      <c r="D106" s="21" t="s">
        <v>88</v>
      </c>
      <c r="E106" s="21" t="s">
        <v>97</v>
      </c>
      <c r="F106" s="21" t="s">
        <v>87</v>
      </c>
      <c r="G106" s="21" t="s">
        <v>83</v>
      </c>
      <c r="H106" s="20">
        <v>304</v>
      </c>
      <c r="I106"/>
      <c r="J106" s="20">
        <v>1000</v>
      </c>
      <c r="K106"/>
      <c r="L106" s="20">
        <v>15</v>
      </c>
      <c r="M106" s="19">
        <v>9.1199999999999992</v>
      </c>
      <c r="N106" t="s">
        <v>84</v>
      </c>
      <c r="O106"/>
      <c r="P106"/>
      <c r="Q106">
        <v>12</v>
      </c>
      <c r="R106"/>
      <c r="S106"/>
      <c r="T106"/>
      <c r="U106"/>
      <c r="V106"/>
    </row>
    <row r="107" spans="1:22" x14ac:dyDescent="0.3">
      <c r="A107"/>
      <c r="B107" s="22">
        <v>2488.5756000000001</v>
      </c>
      <c r="C107" s="21" t="s">
        <v>97</v>
      </c>
      <c r="D107" s="21" t="s">
        <v>341</v>
      </c>
      <c r="E107" s="21" t="s">
        <v>97</v>
      </c>
      <c r="F107" s="21" t="s">
        <v>87</v>
      </c>
      <c r="G107" s="21" t="s">
        <v>83</v>
      </c>
      <c r="H107" s="20">
        <v>296</v>
      </c>
      <c r="I107"/>
      <c r="J107" s="20">
        <v>1050</v>
      </c>
      <c r="K107"/>
      <c r="L107" s="20">
        <v>68</v>
      </c>
      <c r="M107" s="19">
        <v>42.268800000000006</v>
      </c>
      <c r="N107" t="s">
        <v>84</v>
      </c>
      <c r="O107"/>
      <c r="P107"/>
      <c r="Q107">
        <v>2</v>
      </c>
      <c r="R107"/>
      <c r="S107"/>
      <c r="T107"/>
      <c r="U107"/>
      <c r="V107"/>
    </row>
    <row r="108" spans="1:22" x14ac:dyDescent="0.3">
      <c r="A108"/>
      <c r="B108" s="22">
        <v>466.28999999999996</v>
      </c>
      <c r="C108" s="21" t="s">
        <v>93</v>
      </c>
      <c r="D108" s="21" t="s">
        <v>342</v>
      </c>
      <c r="E108" s="21" t="s">
        <v>97</v>
      </c>
      <c r="F108" s="21" t="s">
        <v>87</v>
      </c>
      <c r="G108" s="21" t="s">
        <v>83</v>
      </c>
      <c r="H108" s="20">
        <v>180</v>
      </c>
      <c r="I108"/>
      <c r="J108" s="20">
        <v>1100</v>
      </c>
      <c r="K108"/>
      <c r="L108" s="20">
        <v>20</v>
      </c>
      <c r="M108" s="19">
        <v>7.92</v>
      </c>
      <c r="N108" t="s">
        <v>84</v>
      </c>
      <c r="O108"/>
      <c r="P108"/>
      <c r="Q108">
        <v>2</v>
      </c>
      <c r="R108"/>
      <c r="S108"/>
      <c r="T108"/>
      <c r="U108"/>
      <c r="V108"/>
    </row>
    <row r="109" spans="1:22" x14ac:dyDescent="0.3">
      <c r="A109"/>
      <c r="B109" s="22">
        <v>1257.57</v>
      </c>
      <c r="C109" s="21" t="s">
        <v>345</v>
      </c>
      <c r="D109" s="21" t="s">
        <v>81</v>
      </c>
      <c r="E109" s="21" t="s">
        <v>97</v>
      </c>
      <c r="F109" s="21" t="s">
        <v>87</v>
      </c>
      <c r="G109" s="21" t="s">
        <v>83</v>
      </c>
      <c r="H109" s="20">
        <v>250</v>
      </c>
      <c r="I109"/>
      <c r="J109" s="20">
        <v>7120</v>
      </c>
      <c r="K109"/>
      <c r="L109" s="20">
        <v>6</v>
      </c>
      <c r="M109" s="19">
        <v>0</v>
      </c>
      <c r="N109" t="s">
        <v>84</v>
      </c>
      <c r="O109"/>
      <c r="P109"/>
      <c r="Q109"/>
      <c r="R109"/>
      <c r="S109"/>
      <c r="T109"/>
      <c r="U109"/>
      <c r="V109"/>
    </row>
    <row r="110" spans="1:22" x14ac:dyDescent="0.3">
      <c r="A110"/>
      <c r="B110" s="22">
        <v>2249.6372999999999</v>
      </c>
      <c r="C110" s="21" t="s">
        <v>345</v>
      </c>
      <c r="D110" s="21" t="s">
        <v>76</v>
      </c>
      <c r="E110" s="21" t="s">
        <v>97</v>
      </c>
      <c r="F110" s="21" t="s">
        <v>87</v>
      </c>
      <c r="G110" s="21" t="s">
        <v>83</v>
      </c>
      <c r="H110" s="20">
        <v>1220</v>
      </c>
      <c r="I110"/>
      <c r="J110" s="20">
        <v>7830</v>
      </c>
      <c r="K110"/>
      <c r="L110" s="20">
        <v>2</v>
      </c>
      <c r="M110" s="19">
        <v>38.2104</v>
      </c>
      <c r="N110" t="s">
        <v>84</v>
      </c>
      <c r="O110"/>
      <c r="P110"/>
      <c r="Q110"/>
      <c r="R110"/>
      <c r="S110"/>
      <c r="T110"/>
      <c r="U110"/>
      <c r="V110"/>
    </row>
    <row r="111" spans="1:22" x14ac:dyDescent="0.3">
      <c r="A111"/>
      <c r="B111" s="22">
        <v>1719.26775</v>
      </c>
      <c r="C111" s="21" t="s">
        <v>345</v>
      </c>
      <c r="D111" s="21" t="s">
        <v>76</v>
      </c>
      <c r="E111" s="21" t="s">
        <v>97</v>
      </c>
      <c r="F111" s="21" t="s">
        <v>87</v>
      </c>
      <c r="G111" s="21" t="s">
        <v>83</v>
      </c>
      <c r="H111" s="20">
        <v>930</v>
      </c>
      <c r="I111"/>
      <c r="J111" s="20">
        <v>7850</v>
      </c>
      <c r="K111"/>
      <c r="L111" s="20">
        <v>2</v>
      </c>
      <c r="M111" s="19">
        <v>29.202000000000002</v>
      </c>
      <c r="N111" t="s">
        <v>84</v>
      </c>
      <c r="O111"/>
      <c r="P111"/>
      <c r="Q111"/>
      <c r="R111"/>
      <c r="S111"/>
      <c r="T111"/>
      <c r="U111"/>
      <c r="V111"/>
    </row>
    <row r="112" spans="1:22" x14ac:dyDescent="0.3">
      <c r="A112"/>
      <c r="B112" s="22">
        <v>158.00479999999999</v>
      </c>
      <c r="C112" s="21" t="s">
        <v>93</v>
      </c>
      <c r="D112" s="21" t="s">
        <v>341</v>
      </c>
      <c r="E112" s="21" t="s">
        <v>97</v>
      </c>
      <c r="F112" s="21" t="s">
        <v>167</v>
      </c>
      <c r="G112" s="21" t="s">
        <v>83</v>
      </c>
      <c r="H112" s="20">
        <v>370</v>
      </c>
      <c r="I112"/>
      <c r="J112" s="20">
        <v>850</v>
      </c>
      <c r="K112"/>
      <c r="L112" s="20">
        <v>4</v>
      </c>
      <c r="M112" s="19">
        <v>2.516</v>
      </c>
      <c r="N112" t="s">
        <v>84</v>
      </c>
      <c r="O112"/>
      <c r="P112"/>
      <c r="Q112">
        <v>6</v>
      </c>
      <c r="R112"/>
      <c r="S112"/>
      <c r="T112"/>
      <c r="U112"/>
      <c r="V112"/>
    </row>
    <row r="113" spans="1:23" x14ac:dyDescent="0.3">
      <c r="A113"/>
      <c r="B113" s="22">
        <v>58.027200000000001</v>
      </c>
      <c r="C113" s="21" t="s">
        <v>346</v>
      </c>
      <c r="D113" s="21" t="s">
        <v>85</v>
      </c>
      <c r="E113" s="21" t="s">
        <v>97</v>
      </c>
      <c r="F113" s="21" t="s">
        <v>86</v>
      </c>
      <c r="G113" s="21" t="s">
        <v>83</v>
      </c>
      <c r="H113" s="20">
        <v>220</v>
      </c>
      <c r="I113"/>
      <c r="J113" s="20">
        <v>420</v>
      </c>
      <c r="K113"/>
      <c r="L113" s="20">
        <v>4</v>
      </c>
      <c r="M113" s="19">
        <v>0.73919999999999997</v>
      </c>
      <c r="N113" t="s">
        <v>84</v>
      </c>
      <c r="O113"/>
      <c r="P113"/>
      <c r="Q113">
        <v>8</v>
      </c>
      <c r="R113"/>
      <c r="S113"/>
      <c r="T113"/>
      <c r="U113"/>
      <c r="V113"/>
    </row>
    <row r="114" spans="1:23" x14ac:dyDescent="0.3">
      <c r="A114"/>
      <c r="B114" s="22">
        <v>180.2988</v>
      </c>
      <c r="C114" s="21" t="s">
        <v>80</v>
      </c>
      <c r="D114" s="21" t="s">
        <v>85</v>
      </c>
      <c r="E114" s="21" t="s">
        <v>97</v>
      </c>
      <c r="F114" s="21" t="s">
        <v>86</v>
      </c>
      <c r="G114" s="21" t="s">
        <v>83</v>
      </c>
      <c r="H114" s="20">
        <v>220</v>
      </c>
      <c r="I114"/>
      <c r="J114" s="20">
        <v>435</v>
      </c>
      <c r="K114"/>
      <c r="L114" s="20">
        <v>12</v>
      </c>
      <c r="M114" s="19">
        <v>2.2967999999999997</v>
      </c>
      <c r="N114" t="s">
        <v>84</v>
      </c>
      <c r="O114"/>
      <c r="P114"/>
      <c r="Q114">
        <v>8</v>
      </c>
      <c r="R114"/>
      <c r="S114"/>
      <c r="T114"/>
      <c r="U114"/>
      <c r="V114"/>
    </row>
    <row r="115" spans="1:23" x14ac:dyDescent="0.3">
      <c r="A115"/>
      <c r="B115" s="22">
        <v>60.099600000000002</v>
      </c>
      <c r="C115" s="21" t="s">
        <v>80</v>
      </c>
      <c r="D115" s="21" t="s">
        <v>85</v>
      </c>
      <c r="E115" s="21" t="s">
        <v>97</v>
      </c>
      <c r="F115" s="21" t="s">
        <v>86</v>
      </c>
      <c r="G115" s="21" t="s">
        <v>83</v>
      </c>
      <c r="H115" s="20">
        <v>220</v>
      </c>
      <c r="I115"/>
      <c r="J115" s="20">
        <v>435</v>
      </c>
      <c r="K115"/>
      <c r="L115" s="20">
        <v>4</v>
      </c>
      <c r="M115" s="19">
        <v>0.76559999999999995</v>
      </c>
      <c r="N115" t="s">
        <v>84</v>
      </c>
      <c r="O115"/>
      <c r="P115"/>
      <c r="Q115">
        <v>8</v>
      </c>
      <c r="R115"/>
      <c r="S115"/>
      <c r="T115"/>
      <c r="U115"/>
      <c r="V115"/>
    </row>
    <row r="116" spans="1:23" x14ac:dyDescent="0.3">
      <c r="A116"/>
      <c r="B116" s="22">
        <v>72.22</v>
      </c>
      <c r="C116" s="21" t="s">
        <v>80</v>
      </c>
      <c r="D116" s="21" t="s">
        <v>81</v>
      </c>
      <c r="E116" s="21" t="s">
        <v>97</v>
      </c>
      <c r="F116" s="21" t="s">
        <v>86</v>
      </c>
      <c r="G116" s="21" t="s">
        <v>83</v>
      </c>
      <c r="H116" s="20">
        <v>250</v>
      </c>
      <c r="I116"/>
      <c r="J116" s="20">
        <v>460</v>
      </c>
      <c r="K116"/>
      <c r="L116" s="20">
        <v>4</v>
      </c>
      <c r="M116" s="19">
        <v>0.92</v>
      </c>
      <c r="N116" t="s">
        <v>84</v>
      </c>
      <c r="O116"/>
      <c r="P116"/>
      <c r="Q116">
        <v>10</v>
      </c>
      <c r="R116"/>
      <c r="S116"/>
      <c r="T116"/>
      <c r="U116"/>
      <c r="V116"/>
    </row>
    <row r="117" spans="1:23" x14ac:dyDescent="0.3">
      <c r="A117"/>
      <c r="B117" s="22">
        <v>691.899</v>
      </c>
      <c r="C117" s="21" t="s">
        <v>80</v>
      </c>
      <c r="D117" s="21" t="s">
        <v>76</v>
      </c>
      <c r="E117" s="21" t="s">
        <v>97</v>
      </c>
      <c r="F117" s="21" t="s">
        <v>86</v>
      </c>
      <c r="G117" s="21" t="s">
        <v>83</v>
      </c>
      <c r="H117" s="20">
        <v>130</v>
      </c>
      <c r="I117"/>
      <c r="J117" s="20">
        <v>565</v>
      </c>
      <c r="K117"/>
      <c r="L117" s="20">
        <v>60</v>
      </c>
      <c r="M117" s="19">
        <v>8.8140000000000001</v>
      </c>
      <c r="N117" t="s">
        <v>84</v>
      </c>
      <c r="O117"/>
      <c r="P117"/>
      <c r="Q117"/>
      <c r="R117"/>
      <c r="S117"/>
      <c r="T117"/>
      <c r="U117"/>
      <c r="V117"/>
    </row>
    <row r="118" spans="1:23" x14ac:dyDescent="0.3">
      <c r="A118"/>
      <c r="B118" s="22">
        <v>91.06</v>
      </c>
      <c r="C118" s="21" t="s">
        <v>470</v>
      </c>
      <c r="D118" s="21" t="s">
        <v>342</v>
      </c>
      <c r="E118" s="21" t="s">
        <v>97</v>
      </c>
      <c r="F118" s="21" t="s">
        <v>86</v>
      </c>
      <c r="G118" s="21" t="s">
        <v>83</v>
      </c>
      <c r="H118" s="20">
        <v>250</v>
      </c>
      <c r="I118"/>
      <c r="J118" s="20">
        <v>580</v>
      </c>
      <c r="K118"/>
      <c r="L118" s="20">
        <v>4</v>
      </c>
      <c r="M118" s="19">
        <v>1.1599999999999999</v>
      </c>
      <c r="N118" t="s">
        <v>84</v>
      </c>
      <c r="O118"/>
      <c r="P118"/>
      <c r="Q118">
        <v>8</v>
      </c>
      <c r="R118"/>
      <c r="S118"/>
      <c r="T118"/>
      <c r="U118"/>
      <c r="V118"/>
    </row>
    <row r="119" spans="1:23" x14ac:dyDescent="0.3">
      <c r="A119"/>
      <c r="B119" s="22">
        <v>90.997200000000007</v>
      </c>
      <c r="C119" s="21" t="s">
        <v>80</v>
      </c>
      <c r="D119" s="21" t="s">
        <v>85</v>
      </c>
      <c r="E119" s="21" t="s">
        <v>97</v>
      </c>
      <c r="F119" s="21" t="s">
        <v>86</v>
      </c>
      <c r="G119" s="21" t="s">
        <v>83</v>
      </c>
      <c r="H119" s="20">
        <v>230</v>
      </c>
      <c r="I119"/>
      <c r="J119" s="20">
        <v>630</v>
      </c>
      <c r="K119"/>
      <c r="L119" s="20">
        <v>4</v>
      </c>
      <c r="M119" s="19">
        <v>1.1592</v>
      </c>
      <c r="N119" t="s">
        <v>84</v>
      </c>
      <c r="O119"/>
      <c r="P119"/>
      <c r="Q119">
        <v>8</v>
      </c>
      <c r="R119"/>
      <c r="S119"/>
      <c r="T119"/>
      <c r="U119"/>
      <c r="V119"/>
    </row>
    <row r="120" spans="1:23" x14ac:dyDescent="0.3">
      <c r="A120"/>
      <c r="B120" s="22">
        <v>94.828000000000003</v>
      </c>
      <c r="C120" s="21" t="s">
        <v>93</v>
      </c>
      <c r="D120" s="21" t="s">
        <v>341</v>
      </c>
      <c r="E120" s="21" t="s">
        <v>97</v>
      </c>
      <c r="F120" s="21" t="s">
        <v>86</v>
      </c>
      <c r="G120" s="21" t="s">
        <v>83</v>
      </c>
      <c r="H120" s="20">
        <v>100</v>
      </c>
      <c r="I120"/>
      <c r="J120" s="20">
        <v>755</v>
      </c>
      <c r="K120"/>
      <c r="L120" s="20">
        <v>8</v>
      </c>
      <c r="M120" s="19">
        <v>1.208</v>
      </c>
      <c r="N120" t="s">
        <v>84</v>
      </c>
      <c r="O120"/>
      <c r="P120"/>
      <c r="Q120"/>
      <c r="R120"/>
      <c r="S120"/>
      <c r="T120"/>
      <c r="U120"/>
      <c r="V120"/>
    </row>
    <row r="121" spans="1:23" x14ac:dyDescent="0.3">
      <c r="A121"/>
      <c r="B121" s="22">
        <v>536.93999999999994</v>
      </c>
      <c r="C121" s="21" t="s">
        <v>411</v>
      </c>
      <c r="D121" s="21" t="s">
        <v>88</v>
      </c>
      <c r="E121" s="21" t="s">
        <v>97</v>
      </c>
      <c r="F121" s="21" t="s">
        <v>86</v>
      </c>
      <c r="G121" s="21" t="s">
        <v>83</v>
      </c>
      <c r="H121" s="20">
        <v>125</v>
      </c>
      <c r="I121"/>
      <c r="J121" s="20">
        <v>760</v>
      </c>
      <c r="K121"/>
      <c r="L121" s="20">
        <v>36</v>
      </c>
      <c r="M121" s="19">
        <v>6.84</v>
      </c>
      <c r="N121" t="s">
        <v>84</v>
      </c>
      <c r="O121"/>
      <c r="P121"/>
      <c r="Q121"/>
      <c r="R121"/>
      <c r="S121"/>
      <c r="T121"/>
      <c r="U121"/>
      <c r="V121"/>
    </row>
    <row r="122" spans="1:23" x14ac:dyDescent="0.3">
      <c r="A122"/>
      <c r="B122" s="22">
        <v>927.74440000000004</v>
      </c>
      <c r="C122" s="21" t="s">
        <v>346</v>
      </c>
      <c r="D122" s="21" t="s">
        <v>88</v>
      </c>
      <c r="E122" s="21" t="s">
        <v>97</v>
      </c>
      <c r="F122" s="21" t="s">
        <v>86</v>
      </c>
      <c r="G122" s="21" t="s">
        <v>83</v>
      </c>
      <c r="H122" s="20">
        <v>220</v>
      </c>
      <c r="I122"/>
      <c r="J122" s="20">
        <v>790</v>
      </c>
      <c r="K122"/>
      <c r="L122" s="20">
        <v>34</v>
      </c>
      <c r="M122" s="19">
        <v>11.8184</v>
      </c>
      <c r="N122" t="s">
        <v>84</v>
      </c>
      <c r="O122"/>
      <c r="P122"/>
      <c r="Q122">
        <v>8</v>
      </c>
      <c r="R122"/>
      <c r="S122"/>
      <c r="T122"/>
      <c r="U122"/>
      <c r="V122"/>
    </row>
    <row r="123" spans="1:23" x14ac:dyDescent="0.3">
      <c r="A123"/>
      <c r="B123" s="22">
        <v>4024.2239999999997</v>
      </c>
      <c r="C123" s="21" t="s">
        <v>345</v>
      </c>
      <c r="D123" s="21" t="s">
        <v>76</v>
      </c>
      <c r="E123" s="21" t="s">
        <v>97</v>
      </c>
      <c r="F123" s="21" t="s">
        <v>86</v>
      </c>
      <c r="G123" s="21" t="s">
        <v>83</v>
      </c>
      <c r="H123" s="20">
        <v>300</v>
      </c>
      <c r="I123"/>
      <c r="J123" s="20">
        <v>7120</v>
      </c>
      <c r="K123"/>
      <c r="L123" s="20">
        <v>12</v>
      </c>
      <c r="M123" s="19">
        <v>0</v>
      </c>
      <c r="N123" t="s">
        <v>84</v>
      </c>
      <c r="O123"/>
      <c r="P123"/>
      <c r="Q123">
        <v>40</v>
      </c>
      <c r="R123"/>
      <c r="S123"/>
      <c r="T123"/>
      <c r="U123"/>
      <c r="V123"/>
    </row>
    <row r="124" spans="1:23" x14ac:dyDescent="0.3">
      <c r="A124"/>
      <c r="B124" s="22">
        <v>13131.480000000001</v>
      </c>
      <c r="C124" s="21" t="s">
        <v>345</v>
      </c>
      <c r="D124" s="21" t="s">
        <v>81</v>
      </c>
      <c r="E124" s="21" t="s">
        <v>97</v>
      </c>
      <c r="F124" s="21" t="s">
        <v>86</v>
      </c>
      <c r="G124" s="21" t="s">
        <v>83</v>
      </c>
      <c r="H124" s="20">
        <v>300</v>
      </c>
      <c r="I124"/>
      <c r="J124" s="20">
        <v>8200</v>
      </c>
      <c r="K124"/>
      <c r="L124" s="20">
        <v>34</v>
      </c>
      <c r="M124" s="19">
        <v>167.28</v>
      </c>
      <c r="N124" t="s">
        <v>84</v>
      </c>
      <c r="O124"/>
      <c r="P124"/>
      <c r="Q124"/>
      <c r="R124"/>
      <c r="S124"/>
      <c r="T124"/>
      <c r="U124"/>
      <c r="V124"/>
    </row>
    <row r="125" spans="1:23" x14ac:dyDescent="0.3">
      <c r="A125"/>
      <c r="B125" s="22">
        <v>351.68</v>
      </c>
      <c r="C125" s="21" t="s">
        <v>345</v>
      </c>
      <c r="D125" s="21" t="s">
        <v>76</v>
      </c>
      <c r="E125" s="21" t="s">
        <v>97</v>
      </c>
      <c r="F125" s="21" t="s">
        <v>90</v>
      </c>
      <c r="G125" s="21" t="s">
        <v>83</v>
      </c>
      <c r="H125" s="20">
        <v>280</v>
      </c>
      <c r="I125"/>
      <c r="J125" s="20">
        <v>400</v>
      </c>
      <c r="K125"/>
      <c r="L125" s="20">
        <v>16</v>
      </c>
      <c r="M125" s="19">
        <v>3.5840000000000001</v>
      </c>
      <c r="N125" t="s">
        <v>84</v>
      </c>
      <c r="O125"/>
      <c r="P125"/>
      <c r="Q125">
        <v>13</v>
      </c>
      <c r="R125"/>
      <c r="S125"/>
      <c r="T125"/>
      <c r="U125"/>
      <c r="V125"/>
    </row>
    <row r="126" spans="1:23" x14ac:dyDescent="0.3">
      <c r="A126"/>
      <c r="B126" s="22">
        <v>272.0025</v>
      </c>
      <c r="C126" s="21" t="s">
        <v>97</v>
      </c>
      <c r="D126" s="21" t="s">
        <v>85</v>
      </c>
      <c r="E126" s="21" t="s">
        <v>97</v>
      </c>
      <c r="F126" s="21" t="s">
        <v>90</v>
      </c>
      <c r="G126" s="21" t="s">
        <v>83</v>
      </c>
      <c r="H126" s="20">
        <v>210</v>
      </c>
      <c r="I126"/>
      <c r="J126" s="20">
        <v>550</v>
      </c>
      <c r="K126"/>
      <c r="L126" s="20">
        <v>12</v>
      </c>
      <c r="M126" s="19">
        <v>2.7720000000000002</v>
      </c>
      <c r="N126" t="s">
        <v>84</v>
      </c>
      <c r="O126"/>
      <c r="P126"/>
      <c r="Q126">
        <v>4</v>
      </c>
      <c r="R126"/>
      <c r="S126"/>
      <c r="T126"/>
      <c r="U126"/>
      <c r="V126"/>
      <c r="W126" s="233"/>
    </row>
    <row r="127" spans="1:23" x14ac:dyDescent="0.3">
      <c r="A127"/>
      <c r="B127" s="22">
        <v>98.91</v>
      </c>
      <c r="C127" s="21" t="s">
        <v>346</v>
      </c>
      <c r="D127" s="21" t="s">
        <v>85</v>
      </c>
      <c r="E127" s="21" t="s">
        <v>97</v>
      </c>
      <c r="F127" s="21" t="s">
        <v>90</v>
      </c>
      <c r="G127" s="21" t="s">
        <v>83</v>
      </c>
      <c r="H127" s="20">
        <v>210</v>
      </c>
      <c r="I127"/>
      <c r="J127" s="20">
        <v>600</v>
      </c>
      <c r="K127"/>
      <c r="L127" s="20">
        <v>4</v>
      </c>
      <c r="M127" s="19">
        <v>1.008</v>
      </c>
      <c r="N127" t="s">
        <v>84</v>
      </c>
      <c r="O127"/>
      <c r="P127"/>
      <c r="Q127">
        <v>8</v>
      </c>
      <c r="R127"/>
      <c r="S127"/>
      <c r="T127"/>
      <c r="U127"/>
      <c r="V127"/>
    </row>
    <row r="128" spans="1:23" x14ac:dyDescent="0.3">
      <c r="A128"/>
      <c r="B128" s="22">
        <v>169.85830000000001</v>
      </c>
      <c r="C128" s="21" t="s">
        <v>97</v>
      </c>
      <c r="D128" s="21" t="s">
        <v>85</v>
      </c>
      <c r="E128" s="21" t="s">
        <v>97</v>
      </c>
      <c r="F128" s="21" t="s">
        <v>90</v>
      </c>
      <c r="G128" s="21" t="s">
        <v>83</v>
      </c>
      <c r="H128" s="20">
        <v>310</v>
      </c>
      <c r="I128"/>
      <c r="J128" s="20">
        <v>698</v>
      </c>
      <c r="K128"/>
      <c r="L128" s="20">
        <v>4</v>
      </c>
      <c r="M128" s="19">
        <v>1.7310399999999999</v>
      </c>
      <c r="N128" t="s">
        <v>84</v>
      </c>
      <c r="O128"/>
      <c r="P128"/>
      <c r="Q128">
        <v>4</v>
      </c>
      <c r="R128"/>
      <c r="S128"/>
      <c r="T128"/>
      <c r="U128"/>
      <c r="V128"/>
    </row>
    <row r="129" spans="1:23" x14ac:dyDescent="0.3">
      <c r="A129"/>
      <c r="B129" s="22">
        <v>230.79</v>
      </c>
      <c r="C129" s="21" t="s">
        <v>97</v>
      </c>
      <c r="D129" s="21" t="s">
        <v>88</v>
      </c>
      <c r="E129" s="21" t="s">
        <v>97</v>
      </c>
      <c r="F129" s="21" t="s">
        <v>90</v>
      </c>
      <c r="G129" s="21" t="s">
        <v>83</v>
      </c>
      <c r="H129" s="20">
        <v>420</v>
      </c>
      <c r="I129"/>
      <c r="J129" s="20">
        <v>700</v>
      </c>
      <c r="K129"/>
      <c r="L129" s="20">
        <v>4</v>
      </c>
      <c r="M129" s="19">
        <v>2.3519999999999999</v>
      </c>
      <c r="N129" t="s">
        <v>84</v>
      </c>
      <c r="O129"/>
      <c r="P129"/>
      <c r="Q129">
        <v>16</v>
      </c>
      <c r="R129"/>
      <c r="S129"/>
      <c r="T129"/>
      <c r="U129"/>
      <c r="V129"/>
    </row>
    <row r="130" spans="1:23" x14ac:dyDescent="0.3">
      <c r="A130"/>
      <c r="B130" s="22">
        <v>1393.6576</v>
      </c>
      <c r="C130" s="21" t="s">
        <v>97</v>
      </c>
      <c r="D130" s="21" t="s">
        <v>88</v>
      </c>
      <c r="E130" s="21" t="s">
        <v>97</v>
      </c>
      <c r="F130" s="21" t="s">
        <v>90</v>
      </c>
      <c r="G130" s="21" t="s">
        <v>83</v>
      </c>
      <c r="H130" s="20">
        <v>760</v>
      </c>
      <c r="I130"/>
      <c r="J130" s="20">
        <v>1168</v>
      </c>
      <c r="K130"/>
      <c r="L130" s="20">
        <v>8</v>
      </c>
      <c r="M130" s="19">
        <v>14.20288</v>
      </c>
      <c r="N130" t="s">
        <v>84</v>
      </c>
      <c r="O130"/>
      <c r="P130"/>
      <c r="Q130">
        <v>24</v>
      </c>
      <c r="R130"/>
      <c r="S130"/>
      <c r="T130"/>
      <c r="U130"/>
      <c r="V130"/>
    </row>
    <row r="131" spans="1:23" x14ac:dyDescent="0.3">
      <c r="A131"/>
      <c r="B131" s="22">
        <v>1393.6576</v>
      </c>
      <c r="C131" s="21" t="s">
        <v>97</v>
      </c>
      <c r="D131" s="21" t="s">
        <v>88</v>
      </c>
      <c r="E131" s="21" t="s">
        <v>97</v>
      </c>
      <c r="F131" s="21" t="s">
        <v>90</v>
      </c>
      <c r="G131" s="21" t="s">
        <v>83</v>
      </c>
      <c r="H131" s="20">
        <v>760</v>
      </c>
      <c r="I131"/>
      <c r="J131" s="20">
        <v>1168</v>
      </c>
      <c r="K131"/>
      <c r="L131" s="20">
        <v>8</v>
      </c>
      <c r="M131" s="19">
        <v>14.20288</v>
      </c>
      <c r="N131" t="s">
        <v>84</v>
      </c>
      <c r="O131"/>
      <c r="P131"/>
      <c r="Q131">
        <v>24</v>
      </c>
      <c r="R131"/>
      <c r="S131"/>
      <c r="T131"/>
      <c r="U131"/>
      <c r="V131"/>
    </row>
    <row r="132" spans="1:23" x14ac:dyDescent="0.3">
      <c r="A132"/>
      <c r="B132" s="22">
        <v>1083.0645</v>
      </c>
      <c r="C132" s="21" t="s">
        <v>97</v>
      </c>
      <c r="D132" s="21" t="s">
        <v>343</v>
      </c>
      <c r="E132" s="21" t="s">
        <v>97</v>
      </c>
      <c r="F132" s="21" t="s">
        <v>90</v>
      </c>
      <c r="G132" s="21" t="s">
        <v>83</v>
      </c>
      <c r="H132" s="20">
        <v>730</v>
      </c>
      <c r="I132"/>
      <c r="J132" s="20">
        <v>1890</v>
      </c>
      <c r="K132"/>
      <c r="L132" s="20">
        <v>4</v>
      </c>
      <c r="M132" s="19">
        <v>11.037599999999999</v>
      </c>
      <c r="N132" t="s">
        <v>84</v>
      </c>
      <c r="O132"/>
      <c r="P132"/>
      <c r="Q132"/>
      <c r="R132"/>
      <c r="S132"/>
      <c r="T132"/>
      <c r="U132"/>
      <c r="V132"/>
    </row>
    <row r="133" spans="1:23" x14ac:dyDescent="0.3">
      <c r="A133"/>
      <c r="B133" s="22">
        <v>161.553</v>
      </c>
      <c r="C133" s="21" t="s">
        <v>80</v>
      </c>
      <c r="D133" s="21" t="s">
        <v>85</v>
      </c>
      <c r="E133" s="21" t="s">
        <v>97</v>
      </c>
      <c r="F133" s="21" t="s">
        <v>448</v>
      </c>
      <c r="G133" s="21" t="s">
        <v>83</v>
      </c>
      <c r="H133" s="20">
        <v>500</v>
      </c>
      <c r="I133"/>
      <c r="J133" s="20">
        <v>3430</v>
      </c>
      <c r="K133"/>
      <c r="L133" s="20">
        <v>4</v>
      </c>
      <c r="M133" s="19">
        <v>13.72</v>
      </c>
      <c r="N133" t="s">
        <v>84</v>
      </c>
      <c r="O133"/>
      <c r="P133"/>
      <c r="Q133">
        <v>8</v>
      </c>
      <c r="R133"/>
      <c r="S133"/>
      <c r="T133"/>
      <c r="U133"/>
      <c r="V133"/>
      <c r="W133" s="233"/>
    </row>
    <row r="134" spans="1:23" x14ac:dyDescent="0.3">
      <c r="A134"/>
      <c r="B134" s="22">
        <v>327.81599999999997</v>
      </c>
      <c r="C134" s="21" t="s">
        <v>97</v>
      </c>
      <c r="D134" s="21" t="s">
        <v>88</v>
      </c>
      <c r="E134" s="21" t="s">
        <v>97</v>
      </c>
      <c r="F134" s="21" t="s">
        <v>448</v>
      </c>
      <c r="G134" s="21" t="s">
        <v>83</v>
      </c>
      <c r="H134" s="20">
        <v>500</v>
      </c>
      <c r="I134"/>
      <c r="J134" s="20">
        <v>3480</v>
      </c>
      <c r="K134"/>
      <c r="L134" s="20">
        <v>8</v>
      </c>
      <c r="M134" s="19">
        <v>27.84</v>
      </c>
      <c r="N134" t="s">
        <v>84</v>
      </c>
      <c r="O134"/>
      <c r="P134"/>
      <c r="Q134">
        <v>8</v>
      </c>
      <c r="R134"/>
      <c r="S134"/>
      <c r="T134"/>
      <c r="U134"/>
      <c r="V134"/>
    </row>
    <row r="135" spans="1:23" x14ac:dyDescent="0.3">
      <c r="A135"/>
      <c r="B135" s="22">
        <v>85.721999999999994</v>
      </c>
      <c r="C135" s="21" t="s">
        <v>97</v>
      </c>
      <c r="D135" s="21" t="s">
        <v>81</v>
      </c>
      <c r="E135" s="21" t="s">
        <v>97</v>
      </c>
      <c r="F135" s="21" t="s">
        <v>448</v>
      </c>
      <c r="G135" s="21" t="s">
        <v>83</v>
      </c>
      <c r="H135" s="20">
        <v>500</v>
      </c>
      <c r="I135"/>
      <c r="J135" s="20">
        <v>3640</v>
      </c>
      <c r="K135"/>
      <c r="L135" s="20">
        <v>2</v>
      </c>
      <c r="M135" s="19">
        <v>7.28</v>
      </c>
      <c r="N135" t="s">
        <v>84</v>
      </c>
      <c r="O135"/>
      <c r="P135"/>
      <c r="Q135">
        <v>8</v>
      </c>
      <c r="R135"/>
      <c r="S135"/>
      <c r="T135"/>
      <c r="U135"/>
      <c r="V135"/>
    </row>
    <row r="136" spans="1:23" x14ac:dyDescent="0.3">
      <c r="A136"/>
      <c r="B136" s="22">
        <v>179.922</v>
      </c>
      <c r="C136" s="21" t="s">
        <v>80</v>
      </c>
      <c r="D136" s="21" t="s">
        <v>76</v>
      </c>
      <c r="E136" s="21" t="s">
        <v>97</v>
      </c>
      <c r="F136" s="21" t="s">
        <v>448</v>
      </c>
      <c r="G136" s="21" t="s">
        <v>83</v>
      </c>
      <c r="H136" s="20">
        <v>500</v>
      </c>
      <c r="I136"/>
      <c r="J136" s="20">
        <v>3820</v>
      </c>
      <c r="K136"/>
      <c r="L136" s="20">
        <v>4</v>
      </c>
      <c r="M136" s="19">
        <v>15.28</v>
      </c>
      <c r="N136" t="s">
        <v>84</v>
      </c>
      <c r="O136"/>
      <c r="P136"/>
      <c r="Q136">
        <v>8</v>
      </c>
      <c r="R136"/>
      <c r="S136"/>
      <c r="T136"/>
      <c r="U136"/>
      <c r="V136"/>
    </row>
    <row r="137" spans="1:23" x14ac:dyDescent="0.3">
      <c r="A137"/>
      <c r="B137" s="22">
        <v>310.86</v>
      </c>
      <c r="C137" s="21" t="s">
        <v>383</v>
      </c>
      <c r="D137" s="21" t="s">
        <v>463</v>
      </c>
      <c r="E137" s="21" t="s">
        <v>97</v>
      </c>
      <c r="F137" s="21" t="s">
        <v>89</v>
      </c>
      <c r="G137" s="21" t="s">
        <v>83</v>
      </c>
      <c r="H137" s="20">
        <v>300</v>
      </c>
      <c r="I137"/>
      <c r="J137" s="20">
        <v>550</v>
      </c>
      <c r="K137"/>
      <c r="L137" s="20">
        <v>8</v>
      </c>
      <c r="M137" s="19">
        <v>2.64</v>
      </c>
      <c r="N137" t="s">
        <v>84</v>
      </c>
      <c r="O137"/>
      <c r="P137"/>
      <c r="Q137">
        <v>1</v>
      </c>
      <c r="R137"/>
      <c r="S137"/>
      <c r="T137"/>
      <c r="U137"/>
      <c r="V137"/>
    </row>
    <row r="138" spans="1:23" x14ac:dyDescent="0.3">
      <c r="A138"/>
      <c r="B138" s="22">
        <v>310.86</v>
      </c>
      <c r="C138" s="21" t="s">
        <v>97</v>
      </c>
      <c r="D138" s="21" t="s">
        <v>85</v>
      </c>
      <c r="E138" s="21" t="s">
        <v>97</v>
      </c>
      <c r="F138" s="21" t="s">
        <v>89</v>
      </c>
      <c r="G138" s="21" t="s">
        <v>83</v>
      </c>
      <c r="H138" s="20">
        <v>200</v>
      </c>
      <c r="I138"/>
      <c r="J138" s="20">
        <v>550</v>
      </c>
      <c r="K138"/>
      <c r="L138" s="20">
        <v>12</v>
      </c>
      <c r="M138" s="19">
        <v>2.64</v>
      </c>
      <c r="N138" t="s">
        <v>84</v>
      </c>
      <c r="O138"/>
      <c r="P138"/>
      <c r="Q138">
        <v>4</v>
      </c>
      <c r="R138"/>
      <c r="S138"/>
      <c r="T138"/>
      <c r="U138"/>
      <c r="V138"/>
    </row>
    <row r="139" spans="1:23" x14ac:dyDescent="0.3">
      <c r="A139"/>
      <c r="B139" s="22">
        <v>174.62796</v>
      </c>
      <c r="C139" s="21" t="s">
        <v>97</v>
      </c>
      <c r="D139" s="21" t="s">
        <v>85</v>
      </c>
      <c r="E139" s="21" t="s">
        <v>97</v>
      </c>
      <c r="F139" s="21" t="s">
        <v>89</v>
      </c>
      <c r="G139" s="21" t="s">
        <v>83</v>
      </c>
      <c r="H139" s="20">
        <v>310</v>
      </c>
      <c r="I139"/>
      <c r="J139" s="20">
        <v>598</v>
      </c>
      <c r="K139"/>
      <c r="L139" s="20">
        <v>4</v>
      </c>
      <c r="M139" s="19">
        <v>1.4830399999999999</v>
      </c>
      <c r="N139" t="s">
        <v>84</v>
      </c>
      <c r="O139"/>
      <c r="P139"/>
      <c r="Q139">
        <v>4</v>
      </c>
      <c r="R139"/>
      <c r="S139"/>
      <c r="T139"/>
      <c r="U139"/>
      <c r="V139"/>
    </row>
    <row r="140" spans="1:23" x14ac:dyDescent="0.3">
      <c r="A140"/>
      <c r="B140" s="22">
        <v>226.08</v>
      </c>
      <c r="C140" s="21" t="s">
        <v>97</v>
      </c>
      <c r="D140" s="21" t="s">
        <v>81</v>
      </c>
      <c r="E140" s="21" t="s">
        <v>97</v>
      </c>
      <c r="F140" s="21" t="s">
        <v>89</v>
      </c>
      <c r="G140" s="21" t="s">
        <v>83</v>
      </c>
      <c r="H140" s="20">
        <v>300</v>
      </c>
      <c r="I140"/>
      <c r="J140" s="20">
        <v>640</v>
      </c>
      <c r="K140"/>
      <c r="L140" s="20">
        <v>5</v>
      </c>
      <c r="M140" s="19">
        <v>1.92</v>
      </c>
      <c r="N140" t="s">
        <v>84</v>
      </c>
      <c r="O140"/>
      <c r="P140"/>
      <c r="Q140">
        <v>12</v>
      </c>
      <c r="R140"/>
      <c r="S140"/>
      <c r="T140"/>
      <c r="U140"/>
      <c r="V140"/>
    </row>
    <row r="141" spans="1:23" x14ac:dyDescent="0.3">
      <c r="A141"/>
      <c r="B141" s="22">
        <v>361.72800000000001</v>
      </c>
      <c r="C141" s="21" t="s">
        <v>97</v>
      </c>
      <c r="D141" s="21" t="s">
        <v>81</v>
      </c>
      <c r="E141" s="21" t="s">
        <v>97</v>
      </c>
      <c r="F141" s="21" t="s">
        <v>89</v>
      </c>
      <c r="G141" s="21" t="s">
        <v>83</v>
      </c>
      <c r="H141" s="20">
        <v>300</v>
      </c>
      <c r="I141"/>
      <c r="J141" s="20">
        <v>640</v>
      </c>
      <c r="K141"/>
      <c r="L141" s="20">
        <v>8</v>
      </c>
      <c r="M141" s="19">
        <v>3.0720000000000001</v>
      </c>
      <c r="N141" t="s">
        <v>84</v>
      </c>
      <c r="O141"/>
      <c r="P141"/>
      <c r="Q141">
        <v>12</v>
      </c>
      <c r="R141"/>
      <c r="S141"/>
      <c r="T141"/>
      <c r="U141"/>
      <c r="V141"/>
    </row>
    <row r="142" spans="1:23" x14ac:dyDescent="0.3">
      <c r="A142"/>
      <c r="B142" s="22">
        <v>1526.04</v>
      </c>
      <c r="C142" s="21" t="s">
        <v>97</v>
      </c>
      <c r="D142" s="21" t="s">
        <v>85</v>
      </c>
      <c r="E142" s="21" t="s">
        <v>97</v>
      </c>
      <c r="F142" s="21" t="s">
        <v>89</v>
      </c>
      <c r="G142" s="21" t="s">
        <v>83</v>
      </c>
      <c r="H142" s="20">
        <v>360</v>
      </c>
      <c r="I142"/>
      <c r="J142" s="20">
        <v>750</v>
      </c>
      <c r="K142"/>
      <c r="L142" s="20">
        <v>24</v>
      </c>
      <c r="M142" s="19">
        <v>12.96</v>
      </c>
      <c r="N142" t="s">
        <v>84</v>
      </c>
      <c r="O142"/>
      <c r="P142"/>
      <c r="Q142">
        <v>4</v>
      </c>
      <c r="R142"/>
      <c r="S142"/>
      <c r="T142"/>
      <c r="U142"/>
      <c r="V142"/>
    </row>
    <row r="143" spans="1:23" x14ac:dyDescent="0.3">
      <c r="A143"/>
      <c r="B143" s="22">
        <v>254.34</v>
      </c>
      <c r="C143" s="21" t="s">
        <v>97</v>
      </c>
      <c r="D143" s="21" t="s">
        <v>85</v>
      </c>
      <c r="E143" s="21" t="s">
        <v>97</v>
      </c>
      <c r="F143" s="21" t="s">
        <v>89</v>
      </c>
      <c r="G143" s="21" t="s">
        <v>83</v>
      </c>
      <c r="H143" s="20">
        <v>360</v>
      </c>
      <c r="I143"/>
      <c r="J143" s="20">
        <v>750</v>
      </c>
      <c r="K143"/>
      <c r="L143" s="20">
        <v>4</v>
      </c>
      <c r="M143" s="19">
        <v>2.16</v>
      </c>
      <c r="N143" t="s">
        <v>84</v>
      </c>
      <c r="O143"/>
      <c r="P143"/>
      <c r="Q143">
        <v>4</v>
      </c>
      <c r="R143"/>
      <c r="S143"/>
      <c r="T143"/>
      <c r="U143"/>
      <c r="V143"/>
      <c r="W143" s="233"/>
    </row>
    <row r="144" spans="1:23" x14ac:dyDescent="0.3">
      <c r="A144"/>
      <c r="B144" s="22">
        <v>1017.36</v>
      </c>
      <c r="C144" s="21" t="s">
        <v>97</v>
      </c>
      <c r="D144" s="21" t="s">
        <v>85</v>
      </c>
      <c r="E144" s="21" t="s">
        <v>97</v>
      </c>
      <c r="F144" s="21" t="s">
        <v>89</v>
      </c>
      <c r="G144" s="21" t="s">
        <v>83</v>
      </c>
      <c r="H144" s="20">
        <v>360</v>
      </c>
      <c r="I144"/>
      <c r="J144" s="20">
        <v>750</v>
      </c>
      <c r="K144"/>
      <c r="L144" s="20">
        <v>16</v>
      </c>
      <c r="M144" s="19">
        <v>8.64</v>
      </c>
      <c r="N144" t="s">
        <v>84</v>
      </c>
      <c r="O144"/>
      <c r="P144"/>
      <c r="Q144">
        <v>4</v>
      </c>
      <c r="R144"/>
      <c r="S144"/>
      <c r="T144"/>
      <c r="U144"/>
      <c r="V144"/>
    </row>
    <row r="145" spans="1:23" x14ac:dyDescent="0.3">
      <c r="A145"/>
      <c r="B145" s="22">
        <v>355.60500000000002</v>
      </c>
      <c r="C145" s="21" t="s">
        <v>93</v>
      </c>
      <c r="D145" s="21" t="s">
        <v>340</v>
      </c>
      <c r="E145" s="21" t="s">
        <v>97</v>
      </c>
      <c r="F145" s="21" t="s">
        <v>89</v>
      </c>
      <c r="G145" s="21" t="s">
        <v>83</v>
      </c>
      <c r="H145" s="20">
        <v>125</v>
      </c>
      <c r="I145"/>
      <c r="J145" s="20">
        <v>755</v>
      </c>
      <c r="K145"/>
      <c r="L145" s="20">
        <v>16</v>
      </c>
      <c r="M145" s="19">
        <v>3.02</v>
      </c>
      <c r="N145" t="s">
        <v>84</v>
      </c>
      <c r="O145"/>
      <c r="P145"/>
      <c r="Q145"/>
      <c r="R145"/>
      <c r="S145"/>
      <c r="T145"/>
      <c r="U145"/>
      <c r="V145"/>
    </row>
    <row r="146" spans="1:23" x14ac:dyDescent="0.3">
      <c r="A146"/>
      <c r="B146" s="22">
        <v>1414.6579200000001</v>
      </c>
      <c r="C146" s="21" t="s">
        <v>97</v>
      </c>
      <c r="D146" s="21" t="s">
        <v>88</v>
      </c>
      <c r="E146" s="21" t="s">
        <v>97</v>
      </c>
      <c r="F146" s="21" t="s">
        <v>89</v>
      </c>
      <c r="G146" s="21" t="s">
        <v>83</v>
      </c>
      <c r="H146" s="20">
        <v>494</v>
      </c>
      <c r="I146"/>
      <c r="J146" s="20">
        <v>760</v>
      </c>
      <c r="K146"/>
      <c r="L146" s="20">
        <v>16</v>
      </c>
      <c r="M146" s="19">
        <v>12.01408</v>
      </c>
      <c r="N146" t="s">
        <v>84</v>
      </c>
      <c r="O146"/>
      <c r="P146"/>
      <c r="Q146"/>
      <c r="R146"/>
      <c r="S146"/>
      <c r="T146"/>
      <c r="U146"/>
      <c r="V146"/>
    </row>
    <row r="147" spans="1:23" x14ac:dyDescent="0.3">
      <c r="A147"/>
      <c r="B147" s="22">
        <v>501.02625</v>
      </c>
      <c r="C147" s="21" t="s">
        <v>97</v>
      </c>
      <c r="D147" s="21" t="s">
        <v>88</v>
      </c>
      <c r="E147" s="21" t="s">
        <v>97</v>
      </c>
      <c r="F147" s="21" t="s">
        <v>89</v>
      </c>
      <c r="G147" s="21" t="s">
        <v>83</v>
      </c>
      <c r="H147" s="20">
        <v>575</v>
      </c>
      <c r="I147"/>
      <c r="J147" s="20">
        <v>925</v>
      </c>
      <c r="K147"/>
      <c r="L147" s="20">
        <v>4</v>
      </c>
      <c r="M147" s="19">
        <v>4.2549999999999999</v>
      </c>
      <c r="N147" t="s">
        <v>84</v>
      </c>
      <c r="O147"/>
      <c r="P147"/>
      <c r="Q147">
        <v>8</v>
      </c>
      <c r="R147"/>
      <c r="S147"/>
      <c r="T147"/>
      <c r="U147"/>
      <c r="V147"/>
    </row>
    <row r="148" spans="1:23" x14ac:dyDescent="0.3">
      <c r="A148"/>
      <c r="B148" s="22">
        <v>361.72800000000001</v>
      </c>
      <c r="C148" s="21" t="s">
        <v>346</v>
      </c>
      <c r="D148" s="21" t="s">
        <v>88</v>
      </c>
      <c r="E148" s="21" t="s">
        <v>97</v>
      </c>
      <c r="F148" s="21" t="s">
        <v>89</v>
      </c>
      <c r="G148" s="21" t="s">
        <v>83</v>
      </c>
      <c r="H148" s="20">
        <v>300</v>
      </c>
      <c r="I148"/>
      <c r="J148" s="20">
        <v>1280</v>
      </c>
      <c r="K148"/>
      <c r="L148" s="20">
        <v>4</v>
      </c>
      <c r="M148" s="19">
        <v>3.0720000000000001</v>
      </c>
      <c r="N148" t="s">
        <v>84</v>
      </c>
      <c r="O148"/>
      <c r="P148"/>
      <c r="Q148">
        <v>8</v>
      </c>
      <c r="R148"/>
      <c r="S148"/>
      <c r="T148"/>
      <c r="U148"/>
      <c r="V148"/>
    </row>
    <row r="149" spans="1:23" x14ac:dyDescent="0.3">
      <c r="A149"/>
      <c r="B149" s="22">
        <v>2071.3166999999999</v>
      </c>
      <c r="C149" s="21" t="s">
        <v>97</v>
      </c>
      <c r="D149" s="21" t="s">
        <v>88</v>
      </c>
      <c r="E149" s="21" t="s">
        <v>97</v>
      </c>
      <c r="F149" s="21" t="s">
        <v>89</v>
      </c>
      <c r="G149" s="21" t="s">
        <v>83</v>
      </c>
      <c r="H149" s="20">
        <v>535</v>
      </c>
      <c r="I149"/>
      <c r="J149" s="20">
        <v>1370</v>
      </c>
      <c r="K149"/>
      <c r="L149" s="20">
        <v>12</v>
      </c>
      <c r="M149" s="19">
        <v>17.590800000000002</v>
      </c>
      <c r="N149" t="s">
        <v>84</v>
      </c>
      <c r="O149"/>
      <c r="P149"/>
      <c r="Q149"/>
      <c r="R149"/>
      <c r="S149"/>
      <c r="T149"/>
      <c r="U149"/>
      <c r="V149"/>
    </row>
    <row r="150" spans="1:23" x14ac:dyDescent="0.3">
      <c r="A150"/>
      <c r="B150" s="22">
        <v>1912.93824</v>
      </c>
      <c r="C150" s="21" t="s">
        <v>97</v>
      </c>
      <c r="D150" s="21" t="s">
        <v>344</v>
      </c>
      <c r="E150" s="21" t="s">
        <v>97</v>
      </c>
      <c r="F150" s="21" t="s">
        <v>89</v>
      </c>
      <c r="G150" s="21" t="s">
        <v>83</v>
      </c>
      <c r="H150" s="20">
        <v>668</v>
      </c>
      <c r="I150"/>
      <c r="J150" s="20">
        <v>1520</v>
      </c>
      <c r="K150"/>
      <c r="L150" s="20">
        <v>8</v>
      </c>
      <c r="M150" s="19">
        <v>16.245760000000001</v>
      </c>
      <c r="N150" t="s">
        <v>84</v>
      </c>
      <c r="O150"/>
      <c r="P150"/>
      <c r="Q150"/>
      <c r="R150"/>
      <c r="S150"/>
      <c r="T150"/>
      <c r="U150"/>
      <c r="V150"/>
    </row>
    <row r="151" spans="1:23" x14ac:dyDescent="0.3">
      <c r="A151"/>
      <c r="B151" s="22">
        <v>904.32</v>
      </c>
      <c r="C151" s="21" t="s">
        <v>346</v>
      </c>
      <c r="D151" s="21" t="s">
        <v>85</v>
      </c>
      <c r="E151" s="21" t="s">
        <v>97</v>
      </c>
      <c r="F151" s="21" t="s">
        <v>89</v>
      </c>
      <c r="G151" s="21" t="s">
        <v>83</v>
      </c>
      <c r="H151" s="20">
        <v>600</v>
      </c>
      <c r="I151"/>
      <c r="J151" s="20">
        <v>1600</v>
      </c>
      <c r="K151"/>
      <c r="L151" s="20">
        <v>4</v>
      </c>
      <c r="M151" s="19">
        <v>7.68</v>
      </c>
      <c r="N151" t="s">
        <v>84</v>
      </c>
      <c r="O151"/>
      <c r="P151"/>
      <c r="Q151">
        <v>16</v>
      </c>
      <c r="R151"/>
      <c r="S151"/>
      <c r="T151"/>
      <c r="U151"/>
      <c r="V151"/>
    </row>
    <row r="152" spans="1:23" x14ac:dyDescent="0.3">
      <c r="A152"/>
      <c r="B152" s="22">
        <v>1245.7008000000001</v>
      </c>
      <c r="C152" s="21" t="s">
        <v>97</v>
      </c>
      <c r="D152" s="21" t="s">
        <v>85</v>
      </c>
      <c r="E152" s="21" t="s">
        <v>97</v>
      </c>
      <c r="F152" s="21" t="s">
        <v>89</v>
      </c>
      <c r="G152" s="21" t="s">
        <v>83</v>
      </c>
      <c r="H152" s="20">
        <v>760</v>
      </c>
      <c r="I152"/>
      <c r="J152" s="20">
        <v>1740</v>
      </c>
      <c r="K152"/>
      <c r="L152" s="20">
        <v>4</v>
      </c>
      <c r="M152" s="19">
        <v>10.5792</v>
      </c>
      <c r="N152" t="s">
        <v>84</v>
      </c>
      <c r="O152"/>
      <c r="P152"/>
      <c r="Q152">
        <v>8</v>
      </c>
      <c r="R152"/>
      <c r="S152"/>
      <c r="T152"/>
      <c r="U152"/>
      <c r="V152"/>
    </row>
    <row r="153" spans="1:23" x14ac:dyDescent="0.3">
      <c r="A153"/>
      <c r="B153" s="22">
        <v>7646.0256000000008</v>
      </c>
      <c r="C153" s="21" t="s">
        <v>345</v>
      </c>
      <c r="D153" s="21" t="s">
        <v>81</v>
      </c>
      <c r="E153" s="21" t="s">
        <v>97</v>
      </c>
      <c r="F153" s="21" t="s">
        <v>89</v>
      </c>
      <c r="G153" s="21" t="s">
        <v>83</v>
      </c>
      <c r="H153" s="20">
        <v>760</v>
      </c>
      <c r="I153"/>
      <c r="J153" s="20">
        <v>7120</v>
      </c>
      <c r="K153"/>
      <c r="L153" s="20">
        <v>6</v>
      </c>
      <c r="M153" s="19">
        <v>0</v>
      </c>
      <c r="N153" t="s">
        <v>84</v>
      </c>
      <c r="O153"/>
      <c r="P153"/>
      <c r="Q153"/>
      <c r="R153"/>
      <c r="S153"/>
      <c r="T153"/>
      <c r="U153"/>
      <c r="V153"/>
    </row>
    <row r="154" spans="1:23" x14ac:dyDescent="0.3">
      <c r="A154"/>
      <c r="B154" s="22">
        <v>2957.88</v>
      </c>
      <c r="C154" s="21" t="s">
        <v>345</v>
      </c>
      <c r="D154" s="21" t="s">
        <v>81</v>
      </c>
      <c r="E154" s="21" t="s">
        <v>97</v>
      </c>
      <c r="F154" s="21" t="s">
        <v>89</v>
      </c>
      <c r="G154" s="21" t="s">
        <v>83</v>
      </c>
      <c r="H154" s="20">
        <v>400</v>
      </c>
      <c r="I154"/>
      <c r="J154" s="20">
        <v>7850</v>
      </c>
      <c r="K154"/>
      <c r="L154" s="20">
        <v>4</v>
      </c>
      <c r="M154" s="19">
        <v>25.12</v>
      </c>
      <c r="N154" t="s">
        <v>84</v>
      </c>
      <c r="O154"/>
      <c r="P154"/>
      <c r="Q154"/>
      <c r="R154"/>
      <c r="S154"/>
      <c r="T154"/>
      <c r="U154"/>
      <c r="V154"/>
    </row>
    <row r="155" spans="1:23" x14ac:dyDescent="0.3">
      <c r="A155"/>
      <c r="B155" s="22">
        <v>879.2</v>
      </c>
      <c r="C155" s="21" t="s">
        <v>345</v>
      </c>
      <c r="D155" s="21" t="s">
        <v>81</v>
      </c>
      <c r="E155" s="21" t="s">
        <v>97</v>
      </c>
      <c r="F155" s="21" t="s">
        <v>91</v>
      </c>
      <c r="G155" s="21" t="s">
        <v>83</v>
      </c>
      <c r="H155" s="20">
        <v>250</v>
      </c>
      <c r="I155"/>
      <c r="J155" s="20">
        <v>400</v>
      </c>
      <c r="K155"/>
      <c r="L155" s="20">
        <v>32</v>
      </c>
      <c r="M155" s="19">
        <v>6.4</v>
      </c>
      <c r="N155" t="s">
        <v>84</v>
      </c>
      <c r="O155"/>
      <c r="P155"/>
      <c r="Q155">
        <v>8</v>
      </c>
      <c r="R155"/>
      <c r="S155"/>
      <c r="T155"/>
      <c r="U155"/>
      <c r="V155"/>
    </row>
    <row r="156" spans="1:23" x14ac:dyDescent="0.3">
      <c r="A156"/>
      <c r="B156" s="22">
        <v>1314.404</v>
      </c>
      <c r="C156" s="21" t="s">
        <v>383</v>
      </c>
      <c r="D156" s="21" t="s">
        <v>88</v>
      </c>
      <c r="E156" s="21" t="s">
        <v>97</v>
      </c>
      <c r="F156" s="21" t="s">
        <v>91</v>
      </c>
      <c r="G156" s="21" t="s">
        <v>83</v>
      </c>
      <c r="H156" s="20">
        <v>230</v>
      </c>
      <c r="I156"/>
      <c r="J156" s="20">
        <v>1300</v>
      </c>
      <c r="K156"/>
      <c r="L156" s="20">
        <v>16</v>
      </c>
      <c r="M156" s="19">
        <v>9.5679999999999996</v>
      </c>
      <c r="N156" t="s">
        <v>84</v>
      </c>
      <c r="O156"/>
      <c r="P156"/>
      <c r="Q156"/>
      <c r="R156"/>
      <c r="S156"/>
      <c r="T156"/>
      <c r="U156"/>
      <c r="V156"/>
    </row>
    <row r="157" spans="1:23" x14ac:dyDescent="0.3">
      <c r="A157"/>
      <c r="B157" s="22">
        <v>1861.2664</v>
      </c>
      <c r="C157" s="21" t="s">
        <v>97</v>
      </c>
      <c r="D157" s="21" t="s">
        <v>342</v>
      </c>
      <c r="E157" s="21" t="s">
        <v>97</v>
      </c>
      <c r="F157" s="21" t="s">
        <v>91</v>
      </c>
      <c r="G157" s="21" t="s">
        <v>83</v>
      </c>
      <c r="H157" s="20">
        <v>730</v>
      </c>
      <c r="I157"/>
      <c r="J157" s="20">
        <v>2320</v>
      </c>
      <c r="K157"/>
      <c r="L157" s="20">
        <v>4</v>
      </c>
      <c r="M157" s="19">
        <v>13.5488</v>
      </c>
      <c r="N157" t="s">
        <v>84</v>
      </c>
      <c r="O157"/>
      <c r="P157"/>
      <c r="Q157"/>
      <c r="R157"/>
      <c r="S157"/>
      <c r="T157"/>
      <c r="U157"/>
      <c r="V157"/>
    </row>
    <row r="158" spans="1:23" x14ac:dyDescent="0.3">
      <c r="A158"/>
      <c r="B158" s="22">
        <v>9161.9233999999997</v>
      </c>
      <c r="C158" s="21" t="s">
        <v>345</v>
      </c>
      <c r="D158" s="21" t="s">
        <v>76</v>
      </c>
      <c r="E158" s="21" t="s">
        <v>97</v>
      </c>
      <c r="F158" s="21" t="s">
        <v>91</v>
      </c>
      <c r="G158" s="21" t="s">
        <v>83</v>
      </c>
      <c r="H158" s="20">
        <v>730</v>
      </c>
      <c r="I158"/>
      <c r="J158" s="20">
        <v>11420</v>
      </c>
      <c r="K158"/>
      <c r="L158" s="20">
        <v>4</v>
      </c>
      <c r="M158" s="19">
        <v>66.692800000000005</v>
      </c>
      <c r="N158" t="s">
        <v>84</v>
      </c>
      <c r="O158"/>
      <c r="P158"/>
      <c r="Q158">
        <v>13</v>
      </c>
      <c r="R158"/>
      <c r="S158"/>
      <c r="T158"/>
      <c r="U158"/>
      <c r="V158"/>
    </row>
    <row r="159" spans="1:23" x14ac:dyDescent="0.3">
      <c r="A159"/>
      <c r="B159" s="22">
        <v>15060.696</v>
      </c>
      <c r="C159" s="21" t="s">
        <v>345</v>
      </c>
      <c r="D159" s="21" t="s">
        <v>81</v>
      </c>
      <c r="E159" s="21" t="s">
        <v>97</v>
      </c>
      <c r="F159" s="21" t="s">
        <v>91</v>
      </c>
      <c r="G159" s="21" t="s">
        <v>83</v>
      </c>
      <c r="H159" s="20">
        <v>600</v>
      </c>
      <c r="I159"/>
      <c r="J159" s="20">
        <v>11420</v>
      </c>
      <c r="K159"/>
      <c r="L159" s="20">
        <v>8</v>
      </c>
      <c r="M159" s="19">
        <v>109.63200000000001</v>
      </c>
      <c r="N159" t="s">
        <v>84</v>
      </c>
      <c r="O159"/>
      <c r="P159"/>
      <c r="Q159">
        <v>16</v>
      </c>
      <c r="R159"/>
      <c r="S159"/>
      <c r="T159"/>
      <c r="U159"/>
      <c r="V159"/>
      <c r="W159" s="233"/>
    </row>
    <row r="160" spans="1:23" x14ac:dyDescent="0.3">
      <c r="A160"/>
      <c r="B160" s="22">
        <v>4.2703999999999995</v>
      </c>
      <c r="C160" s="21" t="s">
        <v>80</v>
      </c>
      <c r="D160" s="21" t="s">
        <v>341</v>
      </c>
      <c r="E160" s="21" t="s">
        <v>97</v>
      </c>
      <c r="F160" s="21" t="s">
        <v>487</v>
      </c>
      <c r="G160" s="21" t="s">
        <v>83</v>
      </c>
      <c r="H160" s="20">
        <v>40</v>
      </c>
      <c r="I160"/>
      <c r="J160" s="20">
        <v>100</v>
      </c>
      <c r="K160"/>
      <c r="L160" s="20">
        <v>34</v>
      </c>
      <c r="M160" s="19">
        <v>0.27200000000000002</v>
      </c>
      <c r="N160" t="s">
        <v>84</v>
      </c>
      <c r="O160"/>
      <c r="P160"/>
      <c r="Q160"/>
      <c r="R160"/>
      <c r="S160"/>
      <c r="T160"/>
      <c r="U160"/>
      <c r="V160"/>
      <c r="W160" s="233"/>
    </row>
    <row r="161" spans="1:22" x14ac:dyDescent="0.3">
      <c r="A161"/>
      <c r="B161" s="22">
        <v>2.0095999999999998</v>
      </c>
      <c r="C161" s="21" t="s">
        <v>80</v>
      </c>
      <c r="D161" s="21" t="s">
        <v>341</v>
      </c>
      <c r="E161" s="21" t="s">
        <v>97</v>
      </c>
      <c r="F161" s="21" t="s">
        <v>487</v>
      </c>
      <c r="G161" s="21" t="s">
        <v>83</v>
      </c>
      <c r="H161" s="20">
        <v>40</v>
      </c>
      <c r="I161"/>
      <c r="J161" s="20">
        <v>100</v>
      </c>
      <c r="K161"/>
      <c r="L161" s="20">
        <v>16</v>
      </c>
      <c r="M161" s="19">
        <v>0.128</v>
      </c>
      <c r="N161" t="s">
        <v>84</v>
      </c>
      <c r="O161"/>
      <c r="P161"/>
      <c r="Q161"/>
      <c r="R161"/>
      <c r="S161"/>
      <c r="T161"/>
      <c r="U161"/>
      <c r="V161"/>
    </row>
    <row r="162" spans="1:22" x14ac:dyDescent="0.3">
      <c r="A162"/>
      <c r="B162" s="22">
        <v>1.7584</v>
      </c>
      <c r="C162" s="21" t="s">
        <v>80</v>
      </c>
      <c r="D162" s="21" t="s">
        <v>81</v>
      </c>
      <c r="E162" s="21" t="s">
        <v>97</v>
      </c>
      <c r="F162" s="21" t="s">
        <v>487</v>
      </c>
      <c r="G162" s="21" t="s">
        <v>83</v>
      </c>
      <c r="H162" s="20">
        <v>40</v>
      </c>
      <c r="I162"/>
      <c r="J162" s="20">
        <v>100</v>
      </c>
      <c r="K162"/>
      <c r="L162" s="20">
        <v>14</v>
      </c>
      <c r="M162" s="19">
        <v>0.112</v>
      </c>
      <c r="N162" t="s">
        <v>84</v>
      </c>
      <c r="O162"/>
      <c r="P162"/>
      <c r="Q162"/>
      <c r="R162"/>
      <c r="S162"/>
      <c r="T162"/>
      <c r="U162"/>
      <c r="V162"/>
    </row>
    <row r="163" spans="1:22" x14ac:dyDescent="0.3">
      <c r="A163"/>
      <c r="B163" s="22">
        <v>60.287999999999997</v>
      </c>
      <c r="C163" s="21" t="s">
        <v>80</v>
      </c>
      <c r="D163" s="21" t="s">
        <v>81</v>
      </c>
      <c r="E163" s="21" t="s">
        <v>97</v>
      </c>
      <c r="F163" s="21" t="s">
        <v>487</v>
      </c>
      <c r="G163" s="21" t="s">
        <v>83</v>
      </c>
      <c r="H163" s="20">
        <v>100</v>
      </c>
      <c r="I163"/>
      <c r="J163" s="20">
        <v>150</v>
      </c>
      <c r="K163"/>
      <c r="L163" s="20">
        <v>128</v>
      </c>
      <c r="M163" s="19">
        <v>3.84</v>
      </c>
      <c r="N163" t="s">
        <v>84</v>
      </c>
      <c r="O163"/>
      <c r="P163"/>
      <c r="Q163"/>
      <c r="R163"/>
      <c r="S163"/>
      <c r="T163"/>
      <c r="U163"/>
      <c r="V163"/>
    </row>
    <row r="164" spans="1:22" x14ac:dyDescent="0.3">
      <c r="A164"/>
      <c r="B164" s="22">
        <v>15.071999999999999</v>
      </c>
      <c r="C164" s="21" t="s">
        <v>80</v>
      </c>
      <c r="D164" s="21" t="s">
        <v>81</v>
      </c>
      <c r="E164" s="21" t="s">
        <v>97</v>
      </c>
      <c r="F164" s="21" t="s">
        <v>487</v>
      </c>
      <c r="G164" s="21" t="s">
        <v>83</v>
      </c>
      <c r="H164" s="20">
        <v>100</v>
      </c>
      <c r="I164"/>
      <c r="J164" s="20">
        <v>150</v>
      </c>
      <c r="K164"/>
      <c r="L164" s="20">
        <v>32</v>
      </c>
      <c r="M164" s="19">
        <v>0.96</v>
      </c>
      <c r="N164" t="s">
        <v>84</v>
      </c>
      <c r="O164"/>
      <c r="P164"/>
      <c r="Q164"/>
      <c r="R164"/>
      <c r="S164"/>
      <c r="T164"/>
      <c r="U164"/>
      <c r="V164"/>
    </row>
    <row r="165" spans="1:22" x14ac:dyDescent="0.3">
      <c r="A165"/>
      <c r="B165" s="22">
        <v>763.02</v>
      </c>
      <c r="C165" s="21" t="s">
        <v>346</v>
      </c>
      <c r="D165" s="21" t="s">
        <v>344</v>
      </c>
      <c r="E165" s="21" t="s">
        <v>97</v>
      </c>
      <c r="F165" s="21" t="s">
        <v>92</v>
      </c>
      <c r="G165" s="21" t="s">
        <v>83</v>
      </c>
      <c r="H165" s="20">
        <v>450</v>
      </c>
      <c r="I165"/>
      <c r="J165" s="20">
        <v>450</v>
      </c>
      <c r="K165"/>
      <c r="L165" s="20">
        <v>12</v>
      </c>
      <c r="M165" s="19">
        <v>4.8600000000000003</v>
      </c>
      <c r="N165" t="s">
        <v>84</v>
      </c>
      <c r="O165"/>
      <c r="P165"/>
      <c r="Q165">
        <v>16</v>
      </c>
      <c r="R165"/>
      <c r="S165"/>
      <c r="T165"/>
      <c r="U165"/>
      <c r="V165"/>
    </row>
    <row r="166" spans="1:22" x14ac:dyDescent="0.3">
      <c r="A166"/>
      <c r="B166" s="22">
        <v>763.02</v>
      </c>
      <c r="C166" s="21" t="s">
        <v>346</v>
      </c>
      <c r="D166" s="21" t="s">
        <v>342</v>
      </c>
      <c r="E166" s="21" t="s">
        <v>97</v>
      </c>
      <c r="F166" s="21" t="s">
        <v>92</v>
      </c>
      <c r="G166" s="21" t="s">
        <v>83</v>
      </c>
      <c r="H166" s="20">
        <v>450</v>
      </c>
      <c r="I166"/>
      <c r="J166" s="20">
        <v>450</v>
      </c>
      <c r="K166"/>
      <c r="L166" s="20">
        <v>12</v>
      </c>
      <c r="M166" s="19">
        <v>4.8600000000000003</v>
      </c>
      <c r="N166" t="s">
        <v>84</v>
      </c>
      <c r="O166"/>
      <c r="P166"/>
      <c r="Q166">
        <v>8</v>
      </c>
      <c r="R166"/>
      <c r="S166"/>
      <c r="T166"/>
      <c r="U166"/>
      <c r="V166"/>
    </row>
    <row r="167" spans="1:22" x14ac:dyDescent="0.3">
      <c r="A167"/>
      <c r="B167" s="22">
        <v>763.02</v>
      </c>
      <c r="C167" s="21" t="s">
        <v>346</v>
      </c>
      <c r="D167" s="21" t="s">
        <v>475</v>
      </c>
      <c r="E167" s="21" t="s">
        <v>97</v>
      </c>
      <c r="F167" s="21" t="s">
        <v>92</v>
      </c>
      <c r="G167" s="21" t="s">
        <v>83</v>
      </c>
      <c r="H167" s="20">
        <v>450</v>
      </c>
      <c r="I167"/>
      <c r="J167" s="20">
        <v>450</v>
      </c>
      <c r="K167"/>
      <c r="L167" s="20">
        <v>12</v>
      </c>
      <c r="M167" s="19">
        <v>4.8600000000000003</v>
      </c>
      <c r="N167" t="s">
        <v>84</v>
      </c>
      <c r="O167"/>
      <c r="P167"/>
      <c r="Q167">
        <v>16</v>
      </c>
      <c r="R167"/>
      <c r="S167"/>
      <c r="T167"/>
      <c r="U167"/>
      <c r="V167"/>
    </row>
    <row r="168" spans="1:22" x14ac:dyDescent="0.3">
      <c r="A168"/>
      <c r="B168" s="22">
        <v>891.13199999999995</v>
      </c>
      <c r="C168" s="21" t="s">
        <v>80</v>
      </c>
      <c r="D168" s="21" t="s">
        <v>81</v>
      </c>
      <c r="E168" s="21" t="s">
        <v>97</v>
      </c>
      <c r="F168" s="21" t="s">
        <v>92</v>
      </c>
      <c r="G168" s="21" t="s">
        <v>83</v>
      </c>
      <c r="H168" s="20">
        <v>430</v>
      </c>
      <c r="I168"/>
      <c r="J168" s="20">
        <v>550</v>
      </c>
      <c r="K168"/>
      <c r="L168" s="20">
        <v>12</v>
      </c>
      <c r="M168" s="19">
        <v>5.6760000000000002</v>
      </c>
      <c r="N168" t="s">
        <v>84</v>
      </c>
      <c r="O168"/>
      <c r="P168"/>
      <c r="Q168">
        <v>8</v>
      </c>
      <c r="R168"/>
      <c r="S168"/>
      <c r="T168"/>
      <c r="U168"/>
      <c r="V168"/>
    </row>
    <row r="169" spans="1:22" x14ac:dyDescent="0.3">
      <c r="A169"/>
      <c r="B169" s="22">
        <v>297.04399999999998</v>
      </c>
      <c r="C169" s="21" t="s">
        <v>80</v>
      </c>
      <c r="D169" s="21" t="s">
        <v>81</v>
      </c>
      <c r="E169" s="21" t="s">
        <v>97</v>
      </c>
      <c r="F169" s="21" t="s">
        <v>92</v>
      </c>
      <c r="G169" s="21" t="s">
        <v>83</v>
      </c>
      <c r="H169" s="20">
        <v>430</v>
      </c>
      <c r="I169"/>
      <c r="J169" s="20">
        <v>550</v>
      </c>
      <c r="K169"/>
      <c r="L169" s="20">
        <v>4</v>
      </c>
      <c r="M169" s="19">
        <v>1.8919999999999999</v>
      </c>
      <c r="N169" t="s">
        <v>84</v>
      </c>
      <c r="O169"/>
      <c r="P169"/>
      <c r="Q169">
        <v>8</v>
      </c>
      <c r="R169"/>
      <c r="S169"/>
      <c r="T169"/>
      <c r="U169"/>
      <c r="V169"/>
    </row>
    <row r="170" spans="1:22" x14ac:dyDescent="0.3">
      <c r="A170"/>
      <c r="B170" s="22">
        <v>439.0976</v>
      </c>
      <c r="C170" s="21" t="s">
        <v>80</v>
      </c>
      <c r="D170" s="21" t="s">
        <v>85</v>
      </c>
      <c r="E170" s="21" t="s">
        <v>97</v>
      </c>
      <c r="F170" s="21" t="s">
        <v>92</v>
      </c>
      <c r="G170" s="21" t="s">
        <v>83</v>
      </c>
      <c r="H170" s="20">
        <v>230</v>
      </c>
      <c r="I170"/>
      <c r="J170" s="20">
        <v>760</v>
      </c>
      <c r="K170"/>
      <c r="L170" s="20">
        <v>8</v>
      </c>
      <c r="M170" s="19">
        <v>2.7968000000000002</v>
      </c>
      <c r="N170" t="s">
        <v>84</v>
      </c>
      <c r="O170"/>
      <c r="P170"/>
      <c r="Q170">
        <v>8</v>
      </c>
      <c r="R170"/>
      <c r="S170"/>
      <c r="T170"/>
      <c r="U170"/>
      <c r="V170"/>
    </row>
    <row r="171" spans="1:22" x14ac:dyDescent="0.3">
      <c r="A171"/>
      <c r="B171" s="22">
        <v>1213.296</v>
      </c>
      <c r="C171" s="21" t="s">
        <v>80</v>
      </c>
      <c r="D171" s="21" t="s">
        <v>85</v>
      </c>
      <c r="E171" s="21" t="s">
        <v>97</v>
      </c>
      <c r="F171" s="21" t="s">
        <v>92</v>
      </c>
      <c r="G171" s="21" t="s">
        <v>83</v>
      </c>
      <c r="H171" s="20">
        <v>230</v>
      </c>
      <c r="I171"/>
      <c r="J171" s="20">
        <v>1400</v>
      </c>
      <c r="K171"/>
      <c r="L171" s="20">
        <v>12</v>
      </c>
      <c r="M171" s="19">
        <v>7.7279999999999998</v>
      </c>
      <c r="N171" t="s">
        <v>84</v>
      </c>
      <c r="O171"/>
      <c r="P171"/>
      <c r="Q171">
        <v>10</v>
      </c>
      <c r="R171"/>
      <c r="S171"/>
      <c r="T171"/>
      <c r="U171"/>
      <c r="V171"/>
    </row>
    <row r="172" spans="1:22" x14ac:dyDescent="0.3">
      <c r="A172"/>
      <c r="B172" s="22">
        <v>3933.7919999999999</v>
      </c>
      <c r="C172" s="21" t="s">
        <v>345</v>
      </c>
      <c r="D172" s="21" t="s">
        <v>81</v>
      </c>
      <c r="E172" s="21" t="s">
        <v>97</v>
      </c>
      <c r="F172" s="21" t="s">
        <v>92</v>
      </c>
      <c r="G172" s="21" t="s">
        <v>83</v>
      </c>
      <c r="H172" s="20">
        <v>400</v>
      </c>
      <c r="I172"/>
      <c r="J172" s="20">
        <v>7830</v>
      </c>
      <c r="K172"/>
      <c r="L172" s="20">
        <v>4</v>
      </c>
      <c r="M172" s="19">
        <v>25.056000000000001</v>
      </c>
      <c r="N172" t="s">
        <v>84</v>
      </c>
      <c r="O172"/>
      <c r="P172"/>
      <c r="Q172"/>
      <c r="R172"/>
      <c r="S172"/>
      <c r="T172"/>
      <c r="U172"/>
      <c r="V172"/>
    </row>
    <row r="173" spans="1:22" x14ac:dyDescent="0.3">
      <c r="A173"/>
      <c r="B173" s="22">
        <v>17.662500000000001</v>
      </c>
      <c r="C173" s="21" t="s">
        <v>80</v>
      </c>
      <c r="D173" s="21" t="s">
        <v>88</v>
      </c>
      <c r="E173" s="21" t="s">
        <v>97</v>
      </c>
      <c r="F173" s="21" t="s">
        <v>324</v>
      </c>
      <c r="G173" s="21" t="s">
        <v>83</v>
      </c>
      <c r="H173" s="20">
        <v>150</v>
      </c>
      <c r="I173"/>
      <c r="J173" s="20">
        <v>50</v>
      </c>
      <c r="K173"/>
      <c r="L173" s="20">
        <v>60</v>
      </c>
      <c r="M173" s="19">
        <v>0.89999999999999991</v>
      </c>
      <c r="N173" t="s">
        <v>84</v>
      </c>
      <c r="O173"/>
      <c r="P173"/>
      <c r="Q173"/>
      <c r="R173"/>
      <c r="S173"/>
      <c r="T173"/>
      <c r="U173"/>
      <c r="V173"/>
    </row>
    <row r="174" spans="1:22" x14ac:dyDescent="0.3">
      <c r="A174"/>
      <c r="B174" s="22">
        <v>14.129999999999999</v>
      </c>
      <c r="C174" s="21" t="s">
        <v>346</v>
      </c>
      <c r="D174" s="21" t="s">
        <v>466</v>
      </c>
      <c r="E174" s="21" t="s">
        <v>97</v>
      </c>
      <c r="F174" s="21" t="s">
        <v>324</v>
      </c>
      <c r="G174" s="21" t="s">
        <v>83</v>
      </c>
      <c r="H174" s="20">
        <v>150</v>
      </c>
      <c r="I174"/>
      <c r="J174" s="20">
        <v>100</v>
      </c>
      <c r="K174"/>
      <c r="L174" s="20">
        <v>24</v>
      </c>
      <c r="M174" s="19">
        <v>0.72</v>
      </c>
      <c r="N174" t="s">
        <v>84</v>
      </c>
      <c r="O174"/>
      <c r="P174"/>
      <c r="Q174"/>
      <c r="R174"/>
      <c r="S174"/>
      <c r="T174"/>
      <c r="U174"/>
      <c r="V174"/>
    </row>
    <row r="175" spans="1:22" x14ac:dyDescent="0.3">
      <c r="A175"/>
      <c r="B175" s="22">
        <v>9.42</v>
      </c>
      <c r="C175" s="21" t="s">
        <v>80</v>
      </c>
      <c r="D175" s="21" t="s">
        <v>85</v>
      </c>
      <c r="E175" s="21" t="s">
        <v>97</v>
      </c>
      <c r="F175" s="21" t="s">
        <v>324</v>
      </c>
      <c r="G175" s="21" t="s">
        <v>83</v>
      </c>
      <c r="H175" s="20">
        <v>50</v>
      </c>
      <c r="I175"/>
      <c r="J175" s="20">
        <v>100</v>
      </c>
      <c r="K175"/>
      <c r="L175" s="20">
        <v>48</v>
      </c>
      <c r="M175" s="19">
        <v>0.48</v>
      </c>
      <c r="N175" t="s">
        <v>84</v>
      </c>
      <c r="O175"/>
      <c r="P175"/>
      <c r="Q175"/>
      <c r="R175"/>
      <c r="S175"/>
      <c r="T175"/>
      <c r="U175"/>
      <c r="V175"/>
    </row>
    <row r="176" spans="1:22" x14ac:dyDescent="0.3">
      <c r="A176"/>
      <c r="B176" s="22">
        <v>3.14</v>
      </c>
      <c r="C176" s="21" t="s">
        <v>80</v>
      </c>
      <c r="D176" s="21" t="s">
        <v>81</v>
      </c>
      <c r="E176" s="21" t="s">
        <v>97</v>
      </c>
      <c r="F176" s="21" t="s">
        <v>324</v>
      </c>
      <c r="G176" s="21" t="s">
        <v>83</v>
      </c>
      <c r="H176" s="20">
        <v>50</v>
      </c>
      <c r="I176"/>
      <c r="J176" s="20">
        <v>100</v>
      </c>
      <c r="K176"/>
      <c r="L176" s="20">
        <v>16</v>
      </c>
      <c r="M176" s="19">
        <v>0.16</v>
      </c>
      <c r="N176" t="s">
        <v>84</v>
      </c>
      <c r="O176"/>
      <c r="P176"/>
      <c r="Q176"/>
      <c r="R176"/>
      <c r="S176"/>
      <c r="T176"/>
      <c r="U176"/>
      <c r="V176"/>
    </row>
    <row r="177" spans="1:23" x14ac:dyDescent="0.3">
      <c r="A177"/>
      <c r="B177" s="22">
        <v>2.355</v>
      </c>
      <c r="C177" s="21" t="s">
        <v>80</v>
      </c>
      <c r="D177" s="21" t="s">
        <v>81</v>
      </c>
      <c r="E177" s="21" t="s">
        <v>97</v>
      </c>
      <c r="F177" s="21" t="s">
        <v>324</v>
      </c>
      <c r="G177" s="21" t="s">
        <v>83</v>
      </c>
      <c r="H177" s="20">
        <v>50</v>
      </c>
      <c r="I177"/>
      <c r="J177" s="20">
        <v>100</v>
      </c>
      <c r="K177"/>
      <c r="L177" s="20">
        <v>12</v>
      </c>
      <c r="M177" s="19">
        <v>0.12</v>
      </c>
      <c r="N177" t="s">
        <v>84</v>
      </c>
      <c r="O177"/>
      <c r="P177"/>
      <c r="Q177"/>
      <c r="R177"/>
      <c r="S177"/>
      <c r="T177"/>
      <c r="U177"/>
      <c r="V177"/>
    </row>
    <row r="178" spans="1:23" x14ac:dyDescent="0.3">
      <c r="A178"/>
      <c r="B178" s="22">
        <v>4.5216000000000003</v>
      </c>
      <c r="C178" s="21" t="s">
        <v>80</v>
      </c>
      <c r="D178" s="21" t="s">
        <v>81</v>
      </c>
      <c r="E178" s="21" t="s">
        <v>97</v>
      </c>
      <c r="F178" s="21" t="s">
        <v>324</v>
      </c>
      <c r="G178" s="21" t="s">
        <v>83</v>
      </c>
      <c r="H178" s="20">
        <v>60</v>
      </c>
      <c r="I178"/>
      <c r="J178" s="20">
        <v>120</v>
      </c>
      <c r="K178"/>
      <c r="L178" s="20">
        <v>16</v>
      </c>
      <c r="M178" s="19">
        <v>0.23039999999999999</v>
      </c>
      <c r="N178" t="s">
        <v>84</v>
      </c>
      <c r="O178"/>
      <c r="P178"/>
      <c r="Q178"/>
      <c r="R178"/>
      <c r="S178"/>
      <c r="T178"/>
      <c r="U178"/>
      <c r="V178"/>
    </row>
    <row r="179" spans="1:23" x14ac:dyDescent="0.3">
      <c r="A179"/>
      <c r="B179" s="22">
        <v>2.2608000000000001</v>
      </c>
      <c r="C179" s="21" t="s">
        <v>80</v>
      </c>
      <c r="D179" s="21" t="s">
        <v>81</v>
      </c>
      <c r="E179" s="21" t="s">
        <v>97</v>
      </c>
      <c r="F179" s="21" t="s">
        <v>324</v>
      </c>
      <c r="G179" s="21" t="s">
        <v>83</v>
      </c>
      <c r="H179" s="20">
        <v>60</v>
      </c>
      <c r="I179"/>
      <c r="J179" s="20">
        <v>120</v>
      </c>
      <c r="K179"/>
      <c r="L179" s="20">
        <v>8</v>
      </c>
      <c r="M179" s="19">
        <v>0.1152</v>
      </c>
      <c r="N179" t="s">
        <v>84</v>
      </c>
      <c r="O179"/>
      <c r="P179"/>
      <c r="Q179"/>
      <c r="R179"/>
      <c r="S179"/>
      <c r="T179"/>
      <c r="U179"/>
      <c r="V179"/>
    </row>
    <row r="180" spans="1:23" x14ac:dyDescent="0.3">
      <c r="A180"/>
      <c r="B180" s="22">
        <v>21.540399999999998</v>
      </c>
      <c r="C180" s="21" t="s">
        <v>80</v>
      </c>
      <c r="D180" s="21" t="s">
        <v>81</v>
      </c>
      <c r="E180" s="21" t="s">
        <v>97</v>
      </c>
      <c r="F180" s="21" t="s">
        <v>324</v>
      </c>
      <c r="G180" s="21" t="s">
        <v>83</v>
      </c>
      <c r="H180" s="20">
        <v>70</v>
      </c>
      <c r="I180"/>
      <c r="J180" s="20">
        <v>140</v>
      </c>
      <c r="K180"/>
      <c r="L180" s="20">
        <v>56</v>
      </c>
      <c r="M180" s="19">
        <v>1.0975999999999999</v>
      </c>
      <c r="N180" t="s">
        <v>84</v>
      </c>
      <c r="O180"/>
      <c r="P180"/>
      <c r="Q180"/>
      <c r="R180"/>
      <c r="S180"/>
      <c r="T180"/>
      <c r="U180"/>
      <c r="V180"/>
    </row>
    <row r="181" spans="1:23" x14ac:dyDescent="0.3">
      <c r="A181"/>
      <c r="B181" s="22">
        <v>14.13</v>
      </c>
      <c r="C181" s="21" t="s">
        <v>80</v>
      </c>
      <c r="D181" s="21" t="s">
        <v>81</v>
      </c>
      <c r="E181" s="21" t="s">
        <v>97</v>
      </c>
      <c r="F181" s="21" t="s">
        <v>324</v>
      </c>
      <c r="G181" s="21" t="s">
        <v>83</v>
      </c>
      <c r="H181" s="20">
        <v>75</v>
      </c>
      <c r="I181"/>
      <c r="J181" s="20">
        <v>150</v>
      </c>
      <c r="K181"/>
      <c r="L181" s="20">
        <v>32</v>
      </c>
      <c r="M181" s="19">
        <v>0.72</v>
      </c>
      <c r="N181" t="s">
        <v>84</v>
      </c>
      <c r="O181"/>
      <c r="P181"/>
      <c r="Q181"/>
      <c r="R181"/>
      <c r="S181"/>
      <c r="T181"/>
      <c r="U181"/>
      <c r="V181"/>
    </row>
    <row r="182" spans="1:23" x14ac:dyDescent="0.3">
      <c r="A182"/>
      <c r="B182" s="22">
        <v>7.9481250000000001</v>
      </c>
      <c r="C182" s="21" t="s">
        <v>80</v>
      </c>
      <c r="D182" s="21" t="s">
        <v>85</v>
      </c>
      <c r="E182" s="21" t="s">
        <v>97</v>
      </c>
      <c r="F182" s="21" t="s">
        <v>324</v>
      </c>
      <c r="G182" s="21" t="s">
        <v>83</v>
      </c>
      <c r="H182" s="20">
        <v>75</v>
      </c>
      <c r="I182"/>
      <c r="J182" s="20">
        <v>150</v>
      </c>
      <c r="K182"/>
      <c r="L182" s="20">
        <v>18</v>
      </c>
      <c r="M182" s="19">
        <v>0.40499999999999997</v>
      </c>
      <c r="N182" t="s">
        <v>84</v>
      </c>
      <c r="O182"/>
      <c r="P182"/>
      <c r="Q182"/>
      <c r="R182"/>
      <c r="S182"/>
      <c r="T182"/>
      <c r="U182"/>
      <c r="V182"/>
      <c r="W182" s="233"/>
    </row>
    <row r="183" spans="1:23" x14ac:dyDescent="0.3">
      <c r="A183"/>
      <c r="B183" s="22">
        <v>10.5975</v>
      </c>
      <c r="C183" s="21" t="s">
        <v>80</v>
      </c>
      <c r="D183" s="21" t="s">
        <v>81</v>
      </c>
      <c r="E183" s="21" t="s">
        <v>97</v>
      </c>
      <c r="F183" s="21" t="s">
        <v>324</v>
      </c>
      <c r="G183" s="21" t="s">
        <v>83</v>
      </c>
      <c r="H183" s="20">
        <v>150</v>
      </c>
      <c r="I183"/>
      <c r="J183" s="20">
        <v>150</v>
      </c>
      <c r="K183"/>
      <c r="L183" s="20">
        <v>12</v>
      </c>
      <c r="M183" s="19">
        <v>0.54</v>
      </c>
      <c r="N183" t="s">
        <v>84</v>
      </c>
      <c r="O183"/>
      <c r="P183"/>
      <c r="Q183"/>
      <c r="R183"/>
      <c r="S183"/>
      <c r="T183"/>
      <c r="U183"/>
      <c r="V183"/>
    </row>
    <row r="184" spans="1:23" x14ac:dyDescent="0.3">
      <c r="A184"/>
      <c r="B184" s="22">
        <v>24.115199999999998</v>
      </c>
      <c r="C184" s="21" t="s">
        <v>80</v>
      </c>
      <c r="D184" s="21" t="s">
        <v>81</v>
      </c>
      <c r="E184" s="21" t="s">
        <v>97</v>
      </c>
      <c r="F184" s="21" t="s">
        <v>324</v>
      </c>
      <c r="G184" s="21" t="s">
        <v>83</v>
      </c>
      <c r="H184" s="20">
        <v>80</v>
      </c>
      <c r="I184"/>
      <c r="J184" s="20">
        <v>160</v>
      </c>
      <c r="K184"/>
      <c r="L184" s="20">
        <v>48</v>
      </c>
      <c r="M184" s="19">
        <v>1.2288000000000001</v>
      </c>
      <c r="N184" t="s">
        <v>84</v>
      </c>
      <c r="O184"/>
      <c r="P184"/>
      <c r="Q184"/>
      <c r="R184"/>
      <c r="S184"/>
      <c r="T184"/>
      <c r="U184"/>
      <c r="V184"/>
    </row>
    <row r="185" spans="1:23" x14ac:dyDescent="0.3">
      <c r="A185"/>
      <c r="B185" s="22">
        <v>14.0672</v>
      </c>
      <c r="C185" s="21" t="s">
        <v>80</v>
      </c>
      <c r="D185" s="21" t="s">
        <v>81</v>
      </c>
      <c r="E185" s="21" t="s">
        <v>97</v>
      </c>
      <c r="F185" s="21" t="s">
        <v>324</v>
      </c>
      <c r="G185" s="21" t="s">
        <v>83</v>
      </c>
      <c r="H185" s="20">
        <v>80</v>
      </c>
      <c r="I185"/>
      <c r="J185" s="20">
        <v>160</v>
      </c>
      <c r="K185"/>
      <c r="L185" s="20">
        <v>28</v>
      </c>
      <c r="M185" s="19">
        <v>0.71679999999999999</v>
      </c>
      <c r="N185" t="s">
        <v>84</v>
      </c>
      <c r="O185"/>
      <c r="P185"/>
      <c r="Q185"/>
      <c r="R185"/>
      <c r="S185"/>
      <c r="T185"/>
      <c r="U185"/>
      <c r="V185"/>
    </row>
    <row r="186" spans="1:23" x14ac:dyDescent="0.3">
      <c r="A186"/>
      <c r="B186" s="22">
        <v>16.076799999999999</v>
      </c>
      <c r="C186" s="21" t="s">
        <v>80</v>
      </c>
      <c r="D186" s="21" t="s">
        <v>81</v>
      </c>
      <c r="E186" s="21" t="s">
        <v>97</v>
      </c>
      <c r="F186" s="21" t="s">
        <v>324</v>
      </c>
      <c r="G186" s="21" t="s">
        <v>83</v>
      </c>
      <c r="H186" s="20">
        <v>80</v>
      </c>
      <c r="I186"/>
      <c r="J186" s="20">
        <v>160</v>
      </c>
      <c r="K186"/>
      <c r="L186" s="20">
        <v>32</v>
      </c>
      <c r="M186" s="19">
        <v>0.81920000000000004</v>
      </c>
      <c r="N186" t="s">
        <v>84</v>
      </c>
      <c r="O186"/>
      <c r="P186"/>
      <c r="Q186"/>
      <c r="R186"/>
      <c r="S186"/>
      <c r="T186"/>
      <c r="U186"/>
      <c r="V186"/>
    </row>
    <row r="187" spans="1:23" x14ac:dyDescent="0.3">
      <c r="A187"/>
      <c r="B187" s="22">
        <v>10.1736</v>
      </c>
      <c r="C187" s="21" t="s">
        <v>80</v>
      </c>
      <c r="D187" s="21" t="s">
        <v>81</v>
      </c>
      <c r="E187" s="21" t="s">
        <v>97</v>
      </c>
      <c r="F187" s="21" t="s">
        <v>324</v>
      </c>
      <c r="G187" s="21" t="s">
        <v>83</v>
      </c>
      <c r="H187" s="20">
        <v>90</v>
      </c>
      <c r="I187"/>
      <c r="J187" s="20">
        <v>180</v>
      </c>
      <c r="K187"/>
      <c r="L187" s="20">
        <v>16</v>
      </c>
      <c r="M187" s="19">
        <v>0.51839999999999997</v>
      </c>
      <c r="N187" t="s">
        <v>84</v>
      </c>
      <c r="O187"/>
      <c r="P187"/>
      <c r="Q187"/>
      <c r="R187"/>
      <c r="S187"/>
      <c r="T187"/>
      <c r="U187"/>
      <c r="V187"/>
    </row>
    <row r="188" spans="1:23" x14ac:dyDescent="0.3">
      <c r="A188"/>
      <c r="B188" s="22">
        <v>30.520800000000001</v>
      </c>
      <c r="C188" s="21" t="s">
        <v>80</v>
      </c>
      <c r="D188" s="21" t="s">
        <v>81</v>
      </c>
      <c r="E188" s="21" t="s">
        <v>97</v>
      </c>
      <c r="F188" s="21" t="s">
        <v>324</v>
      </c>
      <c r="G188" s="21" t="s">
        <v>83</v>
      </c>
      <c r="H188" s="20">
        <v>90</v>
      </c>
      <c r="I188"/>
      <c r="J188" s="20">
        <v>180</v>
      </c>
      <c r="K188"/>
      <c r="L188" s="20">
        <v>48</v>
      </c>
      <c r="M188" s="19">
        <v>1.5551999999999999</v>
      </c>
      <c r="N188" t="s">
        <v>84</v>
      </c>
      <c r="O188"/>
      <c r="P188"/>
      <c r="Q188"/>
      <c r="R188"/>
      <c r="S188"/>
      <c r="T188"/>
      <c r="U188"/>
      <c r="V188"/>
    </row>
    <row r="189" spans="1:23" x14ac:dyDescent="0.3">
      <c r="A189"/>
      <c r="B189" s="22">
        <v>12.56</v>
      </c>
      <c r="C189" s="21" t="s">
        <v>346</v>
      </c>
      <c r="D189" s="21" t="s">
        <v>343</v>
      </c>
      <c r="E189" s="21" t="s">
        <v>97</v>
      </c>
      <c r="F189" s="21" t="s">
        <v>324</v>
      </c>
      <c r="G189" s="21" t="s">
        <v>83</v>
      </c>
      <c r="H189" s="20">
        <v>100</v>
      </c>
      <c r="I189"/>
      <c r="J189" s="20">
        <v>200</v>
      </c>
      <c r="K189"/>
      <c r="L189" s="20">
        <v>16</v>
      </c>
      <c r="M189" s="19">
        <v>0.64</v>
      </c>
      <c r="N189" t="s">
        <v>84</v>
      </c>
      <c r="O189"/>
      <c r="P189"/>
      <c r="Q189"/>
      <c r="R189"/>
      <c r="S189"/>
      <c r="T189"/>
      <c r="U189"/>
      <c r="V189"/>
    </row>
    <row r="190" spans="1:23" x14ac:dyDescent="0.3">
      <c r="A190"/>
      <c r="B190" s="22">
        <v>18.84</v>
      </c>
      <c r="C190" s="21" t="s">
        <v>346</v>
      </c>
      <c r="D190" s="21" t="s">
        <v>344</v>
      </c>
      <c r="E190" s="21" t="s">
        <v>97</v>
      </c>
      <c r="F190" s="21" t="s">
        <v>324</v>
      </c>
      <c r="G190" s="21" t="s">
        <v>83</v>
      </c>
      <c r="H190" s="20">
        <v>200</v>
      </c>
      <c r="I190"/>
      <c r="J190" s="20">
        <v>200</v>
      </c>
      <c r="K190"/>
      <c r="L190" s="20">
        <v>12</v>
      </c>
      <c r="M190" s="19">
        <v>0.96</v>
      </c>
      <c r="N190" t="s">
        <v>84</v>
      </c>
      <c r="O190"/>
      <c r="P190"/>
      <c r="Q190"/>
      <c r="R190"/>
      <c r="S190"/>
      <c r="T190"/>
      <c r="U190"/>
      <c r="V190"/>
    </row>
    <row r="191" spans="1:23" x14ac:dyDescent="0.3">
      <c r="A191"/>
      <c r="B191" s="22">
        <v>37.68</v>
      </c>
      <c r="C191" s="21" t="s">
        <v>346</v>
      </c>
      <c r="D191" s="21" t="s">
        <v>344</v>
      </c>
      <c r="E191" s="21" t="s">
        <v>97</v>
      </c>
      <c r="F191" s="21" t="s">
        <v>324</v>
      </c>
      <c r="G191" s="21" t="s">
        <v>83</v>
      </c>
      <c r="H191" s="20">
        <v>200</v>
      </c>
      <c r="I191"/>
      <c r="J191" s="20">
        <v>200</v>
      </c>
      <c r="K191"/>
      <c r="L191" s="20">
        <v>24</v>
      </c>
      <c r="M191" s="19">
        <v>1.92</v>
      </c>
      <c r="N191" t="s">
        <v>84</v>
      </c>
      <c r="O191"/>
      <c r="P191"/>
      <c r="Q191"/>
      <c r="R191"/>
      <c r="S191"/>
      <c r="T191"/>
      <c r="U191"/>
      <c r="V191"/>
    </row>
    <row r="192" spans="1:23" x14ac:dyDescent="0.3">
      <c r="A192"/>
      <c r="B192" s="22">
        <v>12.56</v>
      </c>
      <c r="C192" s="21" t="s">
        <v>346</v>
      </c>
      <c r="D192" s="21" t="s">
        <v>344</v>
      </c>
      <c r="E192" s="21" t="s">
        <v>97</v>
      </c>
      <c r="F192" s="21" t="s">
        <v>324</v>
      </c>
      <c r="G192" s="21" t="s">
        <v>83</v>
      </c>
      <c r="H192" s="20">
        <v>200</v>
      </c>
      <c r="I192"/>
      <c r="J192" s="20">
        <v>200</v>
      </c>
      <c r="K192"/>
      <c r="L192" s="20">
        <v>8</v>
      </c>
      <c r="M192" s="19">
        <v>0.64</v>
      </c>
      <c r="N192" t="s">
        <v>84</v>
      </c>
      <c r="O192"/>
      <c r="P192"/>
      <c r="Q192"/>
      <c r="R192"/>
      <c r="S192"/>
      <c r="T192"/>
      <c r="U192"/>
      <c r="V192"/>
    </row>
    <row r="193" spans="1:22" x14ac:dyDescent="0.3">
      <c r="A193"/>
      <c r="B193" s="22">
        <v>18.84</v>
      </c>
      <c r="C193" s="21" t="s">
        <v>346</v>
      </c>
      <c r="D193" s="21" t="s">
        <v>463</v>
      </c>
      <c r="E193" s="21" t="s">
        <v>97</v>
      </c>
      <c r="F193" s="21" t="s">
        <v>324</v>
      </c>
      <c r="G193" s="21" t="s">
        <v>83</v>
      </c>
      <c r="H193" s="20">
        <v>200</v>
      </c>
      <c r="I193"/>
      <c r="J193" s="20">
        <v>200</v>
      </c>
      <c r="K193"/>
      <c r="L193" s="20">
        <v>12</v>
      </c>
      <c r="M193" s="19">
        <v>0.96</v>
      </c>
      <c r="N193" t="s">
        <v>84</v>
      </c>
      <c r="O193"/>
      <c r="P193"/>
      <c r="Q193"/>
      <c r="R193"/>
      <c r="S193"/>
      <c r="T193"/>
      <c r="U193"/>
      <c r="V193"/>
    </row>
    <row r="194" spans="1:22" x14ac:dyDescent="0.3">
      <c r="A194"/>
      <c r="B194" s="22">
        <v>50.24</v>
      </c>
      <c r="C194" s="21" t="s">
        <v>80</v>
      </c>
      <c r="D194" s="21" t="s">
        <v>81</v>
      </c>
      <c r="E194" s="21" t="s">
        <v>97</v>
      </c>
      <c r="F194" s="21" t="s">
        <v>324</v>
      </c>
      <c r="G194" s="21" t="s">
        <v>83</v>
      </c>
      <c r="H194" s="20">
        <v>100</v>
      </c>
      <c r="I194"/>
      <c r="J194" s="20">
        <v>200</v>
      </c>
      <c r="K194"/>
      <c r="L194" s="20">
        <v>64</v>
      </c>
      <c r="M194" s="19">
        <v>2.56</v>
      </c>
      <c r="N194" t="s">
        <v>84</v>
      </c>
      <c r="O194"/>
      <c r="P194"/>
      <c r="Q194"/>
      <c r="R194"/>
      <c r="S194"/>
      <c r="T194"/>
      <c r="U194"/>
      <c r="V194"/>
    </row>
    <row r="195" spans="1:22" x14ac:dyDescent="0.3">
      <c r="A195"/>
      <c r="B195" s="22">
        <v>6.28</v>
      </c>
      <c r="C195" s="21" t="s">
        <v>80</v>
      </c>
      <c r="D195" s="21" t="s">
        <v>81</v>
      </c>
      <c r="E195" s="21" t="s">
        <v>97</v>
      </c>
      <c r="F195" s="21" t="s">
        <v>324</v>
      </c>
      <c r="G195" s="21" t="s">
        <v>83</v>
      </c>
      <c r="H195" s="20">
        <v>100</v>
      </c>
      <c r="I195"/>
      <c r="J195" s="20">
        <v>200</v>
      </c>
      <c r="K195"/>
      <c r="L195" s="20">
        <v>8</v>
      </c>
      <c r="M195" s="19">
        <v>0.32</v>
      </c>
      <c r="N195" t="s">
        <v>84</v>
      </c>
      <c r="O195"/>
      <c r="P195"/>
      <c r="Q195"/>
      <c r="R195"/>
      <c r="S195"/>
      <c r="T195"/>
      <c r="U195"/>
      <c r="V195"/>
    </row>
    <row r="196" spans="1:22" x14ac:dyDescent="0.3">
      <c r="A196"/>
      <c r="B196" s="22">
        <v>58.875</v>
      </c>
      <c r="C196" s="21" t="s">
        <v>80</v>
      </c>
      <c r="D196" s="21" t="s">
        <v>81</v>
      </c>
      <c r="E196" s="21" t="s">
        <v>97</v>
      </c>
      <c r="F196" s="21" t="s">
        <v>324</v>
      </c>
      <c r="G196" s="21" t="s">
        <v>83</v>
      </c>
      <c r="H196" s="20">
        <v>125</v>
      </c>
      <c r="I196"/>
      <c r="J196" s="20">
        <v>250</v>
      </c>
      <c r="K196"/>
      <c r="L196" s="20">
        <v>48</v>
      </c>
      <c r="M196" s="19">
        <v>3</v>
      </c>
      <c r="N196" t="s">
        <v>84</v>
      </c>
      <c r="O196"/>
      <c r="P196"/>
      <c r="Q196"/>
      <c r="R196"/>
      <c r="S196"/>
      <c r="T196"/>
      <c r="U196"/>
      <c r="V196"/>
    </row>
    <row r="197" spans="1:22" x14ac:dyDescent="0.3">
      <c r="A197"/>
      <c r="B197" s="22">
        <v>9.8125</v>
      </c>
      <c r="C197" s="21" t="s">
        <v>80</v>
      </c>
      <c r="D197" s="21" t="s">
        <v>81</v>
      </c>
      <c r="E197" s="21" t="s">
        <v>97</v>
      </c>
      <c r="F197" s="21" t="s">
        <v>324</v>
      </c>
      <c r="G197" s="21" t="s">
        <v>83</v>
      </c>
      <c r="H197" s="20">
        <v>125</v>
      </c>
      <c r="I197"/>
      <c r="J197" s="20">
        <v>250</v>
      </c>
      <c r="K197"/>
      <c r="L197" s="20">
        <v>8</v>
      </c>
      <c r="M197" s="19">
        <v>0.5</v>
      </c>
      <c r="N197" t="s">
        <v>84</v>
      </c>
      <c r="O197"/>
      <c r="P197"/>
      <c r="Q197"/>
      <c r="R197"/>
      <c r="S197"/>
      <c r="T197"/>
      <c r="U197"/>
      <c r="V197"/>
    </row>
    <row r="198" spans="1:22" x14ac:dyDescent="0.3">
      <c r="A198"/>
      <c r="B198" s="22">
        <v>8.8312500000000007</v>
      </c>
      <c r="C198" s="21" t="s">
        <v>80</v>
      </c>
      <c r="D198" s="21" t="s">
        <v>81</v>
      </c>
      <c r="E198" s="21" t="s">
        <v>97</v>
      </c>
      <c r="F198" s="21" t="s">
        <v>324</v>
      </c>
      <c r="G198" s="21" t="s">
        <v>83</v>
      </c>
      <c r="H198" s="20">
        <v>150</v>
      </c>
      <c r="I198"/>
      <c r="J198" s="20">
        <v>250</v>
      </c>
      <c r="K198"/>
      <c r="L198" s="20">
        <v>6</v>
      </c>
      <c r="M198" s="19">
        <v>0.44999999999999996</v>
      </c>
      <c r="N198" t="s">
        <v>84</v>
      </c>
      <c r="O198"/>
      <c r="P198"/>
      <c r="Q198"/>
      <c r="R198"/>
      <c r="S198"/>
      <c r="T198"/>
      <c r="U198"/>
      <c r="V198"/>
    </row>
    <row r="199" spans="1:22" x14ac:dyDescent="0.3">
      <c r="A199"/>
      <c r="B199" s="22">
        <v>56.52</v>
      </c>
      <c r="C199" s="21" t="s">
        <v>80</v>
      </c>
      <c r="D199" s="21" t="s">
        <v>81</v>
      </c>
      <c r="E199" s="21" t="s">
        <v>97</v>
      </c>
      <c r="F199" s="21" t="s">
        <v>324</v>
      </c>
      <c r="G199" s="21" t="s">
        <v>83</v>
      </c>
      <c r="H199" s="20">
        <v>150</v>
      </c>
      <c r="I199"/>
      <c r="J199" s="20">
        <v>300</v>
      </c>
      <c r="K199"/>
      <c r="L199" s="20">
        <v>32</v>
      </c>
      <c r="M199" s="19">
        <v>2.88</v>
      </c>
      <c r="N199" t="s">
        <v>84</v>
      </c>
      <c r="O199"/>
      <c r="P199"/>
      <c r="Q199"/>
      <c r="R199"/>
      <c r="S199"/>
      <c r="T199"/>
      <c r="U199"/>
      <c r="V199"/>
    </row>
    <row r="200" spans="1:22" x14ac:dyDescent="0.3">
      <c r="A200"/>
      <c r="B200" s="22">
        <v>116.80800000000001</v>
      </c>
      <c r="C200" s="21" t="s">
        <v>454</v>
      </c>
      <c r="D200" s="21" t="s">
        <v>81</v>
      </c>
      <c r="E200" s="21" t="s">
        <v>97</v>
      </c>
      <c r="F200" s="21" t="s">
        <v>324</v>
      </c>
      <c r="G200" s="21" t="s">
        <v>83</v>
      </c>
      <c r="H200" s="20">
        <v>930</v>
      </c>
      <c r="I200"/>
      <c r="J200" s="20">
        <v>400</v>
      </c>
      <c r="K200"/>
      <c r="L200" s="20">
        <v>8</v>
      </c>
      <c r="M200" s="19">
        <v>5.952</v>
      </c>
      <c r="N200" t="s">
        <v>84</v>
      </c>
      <c r="O200"/>
      <c r="P200"/>
      <c r="Q200">
        <v>16</v>
      </c>
      <c r="R200"/>
      <c r="S200"/>
      <c r="T200"/>
      <c r="U200"/>
      <c r="V200"/>
    </row>
    <row r="201" spans="1:22" x14ac:dyDescent="0.3">
      <c r="A201"/>
      <c r="B201" s="22">
        <v>222.78299999999999</v>
      </c>
      <c r="C201" s="21" t="s">
        <v>454</v>
      </c>
      <c r="D201" s="21" t="s">
        <v>81</v>
      </c>
      <c r="E201" s="21" t="s">
        <v>97</v>
      </c>
      <c r="F201" s="21" t="s">
        <v>324</v>
      </c>
      <c r="G201" s="21" t="s">
        <v>83</v>
      </c>
      <c r="H201" s="20">
        <v>430</v>
      </c>
      <c r="I201"/>
      <c r="J201" s="20">
        <v>550</v>
      </c>
      <c r="K201"/>
      <c r="L201" s="20">
        <v>24</v>
      </c>
      <c r="M201" s="19">
        <v>11.352</v>
      </c>
      <c r="N201" t="s">
        <v>84</v>
      </c>
      <c r="O201"/>
      <c r="P201"/>
      <c r="Q201">
        <v>16</v>
      </c>
      <c r="R201"/>
      <c r="S201"/>
      <c r="T201"/>
      <c r="U201"/>
      <c r="V201"/>
    </row>
    <row r="202" spans="1:22" x14ac:dyDescent="0.3">
      <c r="A202"/>
      <c r="B202" s="22">
        <v>310.86</v>
      </c>
      <c r="C202" s="21" t="s">
        <v>454</v>
      </c>
      <c r="D202" s="21" t="s">
        <v>81</v>
      </c>
      <c r="E202" s="21" t="s">
        <v>97</v>
      </c>
      <c r="F202" s="21" t="s">
        <v>324</v>
      </c>
      <c r="G202" s="21" t="s">
        <v>83</v>
      </c>
      <c r="H202" s="20">
        <v>450</v>
      </c>
      <c r="I202"/>
      <c r="J202" s="20">
        <v>550</v>
      </c>
      <c r="K202"/>
      <c r="L202" s="20">
        <v>32</v>
      </c>
      <c r="M202" s="19">
        <v>15.84</v>
      </c>
      <c r="N202" t="s">
        <v>84</v>
      </c>
      <c r="O202"/>
      <c r="P202"/>
      <c r="Q202">
        <v>16</v>
      </c>
      <c r="R202"/>
      <c r="S202"/>
      <c r="T202"/>
      <c r="U202"/>
      <c r="V202"/>
    </row>
    <row r="203" spans="1:22" x14ac:dyDescent="0.3">
      <c r="A203"/>
      <c r="B203" s="22">
        <v>45.53</v>
      </c>
      <c r="C203" s="21" t="s">
        <v>454</v>
      </c>
      <c r="D203" s="21" t="s">
        <v>81</v>
      </c>
      <c r="E203" s="21" t="s">
        <v>97</v>
      </c>
      <c r="F203" s="21" t="s">
        <v>324</v>
      </c>
      <c r="G203" s="21" t="s">
        <v>83</v>
      </c>
      <c r="H203" s="20">
        <v>200</v>
      </c>
      <c r="I203"/>
      <c r="J203" s="20">
        <v>580</v>
      </c>
      <c r="K203"/>
      <c r="L203" s="20">
        <v>10</v>
      </c>
      <c r="M203" s="19">
        <v>2.3200000000000003</v>
      </c>
      <c r="N203" t="s">
        <v>84</v>
      </c>
      <c r="O203"/>
      <c r="P203"/>
      <c r="Q203">
        <v>16</v>
      </c>
      <c r="R203"/>
      <c r="S203"/>
      <c r="T203"/>
      <c r="U203"/>
      <c r="V203"/>
    </row>
    <row r="204" spans="1:22" x14ac:dyDescent="0.3">
      <c r="A204"/>
      <c r="B204" s="22">
        <v>301.44</v>
      </c>
      <c r="C204" s="21" t="s">
        <v>454</v>
      </c>
      <c r="D204" s="21" t="s">
        <v>81</v>
      </c>
      <c r="E204" s="21" t="s">
        <v>97</v>
      </c>
      <c r="F204" s="21" t="s">
        <v>324</v>
      </c>
      <c r="G204" s="21" t="s">
        <v>83</v>
      </c>
      <c r="H204" s="20">
        <v>1600</v>
      </c>
      <c r="I204"/>
      <c r="J204" s="20">
        <v>600</v>
      </c>
      <c r="K204"/>
      <c r="L204" s="20">
        <v>8</v>
      </c>
      <c r="M204" s="19">
        <v>15.36</v>
      </c>
      <c r="N204" t="s">
        <v>84</v>
      </c>
      <c r="O204"/>
      <c r="P204"/>
      <c r="Q204">
        <v>16</v>
      </c>
      <c r="R204"/>
      <c r="S204"/>
      <c r="T204"/>
      <c r="U204"/>
      <c r="V204"/>
    </row>
    <row r="205" spans="1:22" x14ac:dyDescent="0.3">
      <c r="A205"/>
      <c r="B205" s="22">
        <v>60.287999999999997</v>
      </c>
      <c r="C205" s="21" t="s">
        <v>454</v>
      </c>
      <c r="D205" s="21" t="s">
        <v>81</v>
      </c>
      <c r="E205" s="21" t="s">
        <v>97</v>
      </c>
      <c r="F205" s="21" t="s">
        <v>324</v>
      </c>
      <c r="G205" s="21" t="s">
        <v>83</v>
      </c>
      <c r="H205" s="20">
        <v>300</v>
      </c>
      <c r="I205"/>
      <c r="J205" s="20">
        <v>640</v>
      </c>
      <c r="K205"/>
      <c r="L205" s="20">
        <v>8</v>
      </c>
      <c r="M205" s="19">
        <v>3.0720000000000001</v>
      </c>
      <c r="N205" t="s">
        <v>84</v>
      </c>
      <c r="O205"/>
      <c r="P205"/>
      <c r="Q205">
        <v>12</v>
      </c>
      <c r="R205"/>
      <c r="S205"/>
      <c r="T205"/>
      <c r="U205"/>
      <c r="V205"/>
    </row>
    <row r="206" spans="1:22" x14ac:dyDescent="0.3">
      <c r="A206"/>
      <c r="B206" s="22">
        <v>557.66399999999999</v>
      </c>
      <c r="C206" s="21" t="s">
        <v>97</v>
      </c>
      <c r="D206" s="21" t="s">
        <v>81</v>
      </c>
      <c r="E206" s="21" t="s">
        <v>97</v>
      </c>
      <c r="F206" s="21" t="s">
        <v>324</v>
      </c>
      <c r="G206" s="21" t="s">
        <v>83</v>
      </c>
      <c r="H206" s="20">
        <v>300</v>
      </c>
      <c r="I206"/>
      <c r="J206" s="20">
        <v>1280</v>
      </c>
      <c r="K206"/>
      <c r="L206" s="20">
        <v>37</v>
      </c>
      <c r="M206" s="19">
        <v>28.416</v>
      </c>
      <c r="N206" t="s">
        <v>84</v>
      </c>
      <c r="O206"/>
      <c r="P206"/>
      <c r="Q206">
        <v>12</v>
      </c>
      <c r="R206"/>
      <c r="S206"/>
      <c r="T206"/>
      <c r="U206"/>
      <c r="V206"/>
    </row>
    <row r="207" spans="1:22" x14ac:dyDescent="0.3">
      <c r="A207"/>
      <c r="B207" s="22">
        <v>7.5359999999999996</v>
      </c>
      <c r="C207" s="21" t="s">
        <v>80</v>
      </c>
      <c r="D207" s="21" t="s">
        <v>81</v>
      </c>
      <c r="E207" s="21" t="s">
        <v>97</v>
      </c>
      <c r="F207" s="21" t="s">
        <v>488</v>
      </c>
      <c r="G207" s="21" t="s">
        <v>83</v>
      </c>
      <c r="H207" s="20">
        <v>100</v>
      </c>
      <c r="I207"/>
      <c r="J207" s="20">
        <v>200</v>
      </c>
      <c r="K207"/>
      <c r="L207" s="20">
        <v>8</v>
      </c>
      <c r="M207" s="19">
        <v>0.32</v>
      </c>
      <c r="N207" t="s">
        <v>84</v>
      </c>
      <c r="O207"/>
      <c r="P207"/>
      <c r="Q207"/>
      <c r="R207"/>
      <c r="S207"/>
      <c r="T207"/>
      <c r="U207"/>
      <c r="V207"/>
    </row>
    <row r="208" spans="1:22" x14ac:dyDescent="0.3">
      <c r="A208"/>
      <c r="B208" s="22">
        <v>3539.6592000000001</v>
      </c>
      <c r="C208" s="21" t="s">
        <v>346</v>
      </c>
      <c r="D208" s="21" t="s">
        <v>85</v>
      </c>
      <c r="E208" s="21" t="s">
        <v>97</v>
      </c>
      <c r="F208" s="21" t="s">
        <v>387</v>
      </c>
      <c r="G208" s="21" t="s">
        <v>83</v>
      </c>
      <c r="H208" s="20">
        <v>1220</v>
      </c>
      <c r="I208"/>
      <c r="J208" s="20">
        <v>1320</v>
      </c>
      <c r="K208"/>
      <c r="L208" s="20">
        <v>4</v>
      </c>
      <c r="M208" s="19">
        <v>12.8832</v>
      </c>
      <c r="N208" t="s">
        <v>84</v>
      </c>
      <c r="O208"/>
      <c r="P208"/>
      <c r="Q208">
        <v>12</v>
      </c>
      <c r="R208"/>
      <c r="S208"/>
      <c r="T208"/>
      <c r="U208"/>
      <c r="V208"/>
    </row>
    <row r="209" spans="1:22" x14ac:dyDescent="0.3">
      <c r="A209"/>
      <c r="B209" s="22">
        <v>12.057600000000001</v>
      </c>
      <c r="C209" s="21" t="s">
        <v>97</v>
      </c>
      <c r="D209" s="21" t="s">
        <v>85</v>
      </c>
      <c r="E209" s="21" t="s">
        <v>97</v>
      </c>
      <c r="F209" s="21" t="s">
        <v>337</v>
      </c>
      <c r="G209" s="21" t="s">
        <v>83</v>
      </c>
      <c r="H209" s="20">
        <v>120</v>
      </c>
      <c r="I209"/>
      <c r="J209" s="20">
        <v>200</v>
      </c>
      <c r="K209"/>
      <c r="L209" s="20">
        <v>8</v>
      </c>
      <c r="M209" s="19">
        <v>0.38400000000000001</v>
      </c>
      <c r="N209" t="s">
        <v>84</v>
      </c>
      <c r="O209"/>
      <c r="P209"/>
      <c r="Q209">
        <v>4</v>
      </c>
      <c r="R209"/>
      <c r="S209"/>
      <c r="T209"/>
      <c r="U209"/>
      <c r="V209"/>
    </row>
    <row r="210" spans="1:22" x14ac:dyDescent="0.3">
      <c r="A210"/>
      <c r="B210" s="22">
        <v>31.7925</v>
      </c>
      <c r="C210" s="21" t="s">
        <v>93</v>
      </c>
      <c r="D210" s="21" t="s">
        <v>85</v>
      </c>
      <c r="E210" s="21" t="s">
        <v>97</v>
      </c>
      <c r="F210" s="21" t="s">
        <v>337</v>
      </c>
      <c r="G210" s="21" t="s">
        <v>83</v>
      </c>
      <c r="H210" s="20">
        <v>125</v>
      </c>
      <c r="I210"/>
      <c r="J210" s="20">
        <v>225</v>
      </c>
      <c r="K210"/>
      <c r="L210" s="20">
        <v>18</v>
      </c>
      <c r="M210" s="19">
        <v>1.0125</v>
      </c>
      <c r="N210" t="s">
        <v>84</v>
      </c>
      <c r="O210"/>
      <c r="P210"/>
      <c r="Q210">
        <v>2</v>
      </c>
      <c r="R210"/>
      <c r="S210"/>
      <c r="T210"/>
      <c r="U210"/>
      <c r="V210"/>
    </row>
    <row r="211" spans="1:22" x14ac:dyDescent="0.3">
      <c r="A211"/>
      <c r="B211" s="22">
        <v>56.52</v>
      </c>
      <c r="C211" s="21" t="s">
        <v>93</v>
      </c>
      <c r="D211" s="21" t="s">
        <v>341</v>
      </c>
      <c r="E211" s="21" t="s">
        <v>97</v>
      </c>
      <c r="F211" s="21" t="s">
        <v>337</v>
      </c>
      <c r="G211" s="21" t="s">
        <v>83</v>
      </c>
      <c r="H211" s="20">
        <v>125</v>
      </c>
      <c r="I211"/>
      <c r="J211" s="20">
        <v>225</v>
      </c>
      <c r="K211"/>
      <c r="L211" s="20">
        <v>32</v>
      </c>
      <c r="M211" s="19">
        <v>1.8</v>
      </c>
      <c r="N211" t="s">
        <v>84</v>
      </c>
      <c r="O211"/>
      <c r="P211"/>
      <c r="Q211"/>
      <c r="R211"/>
      <c r="S211"/>
      <c r="T211"/>
      <c r="U211"/>
      <c r="V211"/>
    </row>
    <row r="212" spans="1:22" x14ac:dyDescent="0.3">
      <c r="A212"/>
      <c r="B212" s="22">
        <v>16.88064</v>
      </c>
      <c r="C212" s="21" t="s">
        <v>97</v>
      </c>
      <c r="D212" s="21" t="s">
        <v>85</v>
      </c>
      <c r="E212" s="21" t="s">
        <v>97</v>
      </c>
      <c r="F212" s="21" t="s">
        <v>337</v>
      </c>
      <c r="G212" s="21" t="s">
        <v>83</v>
      </c>
      <c r="H212" s="20">
        <v>140</v>
      </c>
      <c r="I212"/>
      <c r="J212" s="20">
        <v>240</v>
      </c>
      <c r="K212"/>
      <c r="L212" s="20">
        <v>8</v>
      </c>
      <c r="M212" s="19">
        <v>0.53759999999999997</v>
      </c>
      <c r="N212" t="s">
        <v>84</v>
      </c>
      <c r="O212"/>
      <c r="P212"/>
      <c r="Q212">
        <v>4</v>
      </c>
      <c r="R212"/>
      <c r="S212"/>
      <c r="T212"/>
      <c r="U212"/>
      <c r="V212"/>
    </row>
    <row r="213" spans="1:22" x14ac:dyDescent="0.3">
      <c r="A213"/>
      <c r="B213" s="22">
        <v>78.776319999999998</v>
      </c>
      <c r="C213" s="21" t="s">
        <v>97</v>
      </c>
      <c r="D213" s="21" t="s">
        <v>85</v>
      </c>
      <c r="E213" s="21" t="s">
        <v>97</v>
      </c>
      <c r="F213" s="21" t="s">
        <v>337</v>
      </c>
      <c r="G213" s="21" t="s">
        <v>83</v>
      </c>
      <c r="H213" s="20">
        <v>160</v>
      </c>
      <c r="I213"/>
      <c r="J213" s="20">
        <v>280</v>
      </c>
      <c r="K213"/>
      <c r="L213" s="20">
        <v>28</v>
      </c>
      <c r="M213" s="19">
        <v>2.5087999999999999</v>
      </c>
      <c r="N213" t="s">
        <v>84</v>
      </c>
      <c r="O213"/>
      <c r="P213"/>
      <c r="Q213">
        <v>4</v>
      </c>
      <c r="R213"/>
      <c r="S213"/>
      <c r="T213"/>
      <c r="U213"/>
      <c r="V213"/>
    </row>
    <row r="214" spans="1:22" x14ac:dyDescent="0.3">
      <c r="A214"/>
      <c r="B214" s="22">
        <v>10.19872</v>
      </c>
      <c r="C214" s="21" t="s">
        <v>93</v>
      </c>
      <c r="D214" s="21" t="s">
        <v>340</v>
      </c>
      <c r="E214" s="21" t="s">
        <v>97</v>
      </c>
      <c r="F214" s="21" t="s">
        <v>337</v>
      </c>
      <c r="G214" s="21" t="s">
        <v>83</v>
      </c>
      <c r="H214" s="20">
        <v>140</v>
      </c>
      <c r="I214"/>
      <c r="J214" s="20">
        <v>290</v>
      </c>
      <c r="K214"/>
      <c r="L214" s="20">
        <v>4</v>
      </c>
      <c r="M214" s="19">
        <v>0.32479999999999998</v>
      </c>
      <c r="N214" t="s">
        <v>84</v>
      </c>
      <c r="O214"/>
      <c r="P214"/>
      <c r="Q214">
        <v>2</v>
      </c>
      <c r="R214"/>
      <c r="S214"/>
      <c r="T214"/>
      <c r="U214"/>
      <c r="V214"/>
    </row>
    <row r="215" spans="1:22" x14ac:dyDescent="0.3">
      <c r="A215"/>
      <c r="B215" s="22">
        <v>30.596159999999998</v>
      </c>
      <c r="C215" s="21" t="s">
        <v>93</v>
      </c>
      <c r="D215" s="21" t="s">
        <v>340</v>
      </c>
      <c r="E215" s="21" t="s">
        <v>97</v>
      </c>
      <c r="F215" s="21" t="s">
        <v>337</v>
      </c>
      <c r="G215" s="21" t="s">
        <v>83</v>
      </c>
      <c r="H215" s="20">
        <v>140</v>
      </c>
      <c r="I215"/>
      <c r="J215" s="20">
        <v>290</v>
      </c>
      <c r="K215"/>
      <c r="L215" s="20">
        <v>12</v>
      </c>
      <c r="M215" s="19">
        <v>0.97439999999999993</v>
      </c>
      <c r="N215" t="s">
        <v>84</v>
      </c>
      <c r="O215"/>
      <c r="P215"/>
      <c r="Q215">
        <v>2</v>
      </c>
      <c r="R215"/>
      <c r="S215"/>
      <c r="T215"/>
      <c r="U215"/>
      <c r="V215"/>
    </row>
    <row r="216" spans="1:22" x14ac:dyDescent="0.3">
      <c r="A216"/>
      <c r="B216" s="22">
        <v>10.19872</v>
      </c>
      <c r="C216" s="21" t="s">
        <v>97</v>
      </c>
      <c r="D216" s="21" t="s">
        <v>340</v>
      </c>
      <c r="E216" s="21" t="s">
        <v>97</v>
      </c>
      <c r="F216" s="21" t="s">
        <v>337</v>
      </c>
      <c r="G216" s="21" t="s">
        <v>83</v>
      </c>
      <c r="H216" s="20">
        <v>140</v>
      </c>
      <c r="I216"/>
      <c r="J216" s="20">
        <v>290</v>
      </c>
      <c r="K216"/>
      <c r="L216" s="20">
        <v>4</v>
      </c>
      <c r="M216" s="19">
        <v>0.32479999999999998</v>
      </c>
      <c r="N216" t="s">
        <v>84</v>
      </c>
      <c r="O216"/>
      <c r="P216"/>
      <c r="Q216">
        <v>2</v>
      </c>
      <c r="R216"/>
      <c r="S216"/>
      <c r="T216"/>
      <c r="U216"/>
      <c r="V216"/>
    </row>
    <row r="217" spans="1:22" x14ac:dyDescent="0.3">
      <c r="A217"/>
      <c r="B217" s="22">
        <v>67.823999999999998</v>
      </c>
      <c r="C217" s="21" t="s">
        <v>346</v>
      </c>
      <c r="D217" s="21" t="s">
        <v>85</v>
      </c>
      <c r="E217" s="21" t="s">
        <v>97</v>
      </c>
      <c r="F217" s="21" t="s">
        <v>337</v>
      </c>
      <c r="G217" s="21" t="s">
        <v>83</v>
      </c>
      <c r="H217" s="20">
        <v>300</v>
      </c>
      <c r="I217"/>
      <c r="J217" s="20">
        <v>300</v>
      </c>
      <c r="K217"/>
      <c r="L217" s="20">
        <v>12</v>
      </c>
      <c r="M217" s="19">
        <v>2.16</v>
      </c>
      <c r="N217" t="s">
        <v>84</v>
      </c>
      <c r="O217"/>
      <c r="P217"/>
      <c r="Q217"/>
      <c r="R217"/>
      <c r="S217"/>
      <c r="T217"/>
      <c r="U217"/>
      <c r="V217"/>
    </row>
    <row r="218" spans="1:22" x14ac:dyDescent="0.3">
      <c r="A218"/>
      <c r="B218" s="22">
        <v>51.244799999999998</v>
      </c>
      <c r="C218" s="21" t="s">
        <v>97</v>
      </c>
      <c r="D218" s="21" t="s">
        <v>85</v>
      </c>
      <c r="E218" s="21" t="s">
        <v>97</v>
      </c>
      <c r="F218" s="21" t="s">
        <v>337</v>
      </c>
      <c r="G218" s="21" t="s">
        <v>83</v>
      </c>
      <c r="H218" s="20">
        <v>170</v>
      </c>
      <c r="I218"/>
      <c r="J218" s="20">
        <v>300</v>
      </c>
      <c r="K218"/>
      <c r="L218" s="20">
        <v>16</v>
      </c>
      <c r="M218" s="19">
        <v>1.6319999999999999</v>
      </c>
      <c r="N218" t="s">
        <v>84</v>
      </c>
      <c r="O218"/>
      <c r="P218"/>
      <c r="Q218">
        <v>4</v>
      </c>
      <c r="R218"/>
      <c r="S218"/>
      <c r="T218"/>
      <c r="U218"/>
      <c r="V218"/>
    </row>
    <row r="219" spans="1:22" x14ac:dyDescent="0.3">
      <c r="A219"/>
      <c r="B219" s="22">
        <v>86.814719999999994</v>
      </c>
      <c r="C219" s="21" t="s">
        <v>97</v>
      </c>
      <c r="D219" s="21" t="s">
        <v>85</v>
      </c>
      <c r="E219" s="21" t="s">
        <v>97</v>
      </c>
      <c r="F219" s="21" t="s">
        <v>337</v>
      </c>
      <c r="G219" s="21" t="s">
        <v>83</v>
      </c>
      <c r="H219" s="20">
        <v>180</v>
      </c>
      <c r="I219"/>
      <c r="J219" s="20">
        <v>320</v>
      </c>
      <c r="K219"/>
      <c r="L219" s="20">
        <v>24</v>
      </c>
      <c r="M219" s="19">
        <v>2.7648000000000001</v>
      </c>
      <c r="N219" t="s">
        <v>84</v>
      </c>
      <c r="O219"/>
      <c r="P219"/>
      <c r="Q219">
        <v>4</v>
      </c>
      <c r="R219"/>
      <c r="S219"/>
      <c r="T219"/>
      <c r="U219"/>
      <c r="V219"/>
    </row>
    <row r="220" spans="1:22" x14ac:dyDescent="0.3">
      <c r="A220"/>
      <c r="B220" s="22">
        <v>50.641919999999999</v>
      </c>
      <c r="C220" s="21" t="s">
        <v>97</v>
      </c>
      <c r="D220" s="21" t="s">
        <v>85</v>
      </c>
      <c r="E220" s="21" t="s">
        <v>97</v>
      </c>
      <c r="F220" s="21" t="s">
        <v>337</v>
      </c>
      <c r="G220" s="21" t="s">
        <v>83</v>
      </c>
      <c r="H220" s="20">
        <v>180</v>
      </c>
      <c r="I220"/>
      <c r="J220" s="20">
        <v>320</v>
      </c>
      <c r="K220"/>
      <c r="L220" s="20">
        <v>14</v>
      </c>
      <c r="M220" s="19">
        <v>1.6128</v>
      </c>
      <c r="N220" t="s">
        <v>84</v>
      </c>
      <c r="O220"/>
      <c r="P220"/>
      <c r="Q220">
        <v>4</v>
      </c>
      <c r="R220"/>
      <c r="S220"/>
      <c r="T220"/>
      <c r="U220"/>
      <c r="V220"/>
    </row>
    <row r="221" spans="1:22" x14ac:dyDescent="0.3">
      <c r="A221"/>
      <c r="B221" s="22">
        <v>49.536639999999998</v>
      </c>
      <c r="C221" s="21" t="s">
        <v>97</v>
      </c>
      <c r="D221" s="21" t="s">
        <v>342</v>
      </c>
      <c r="E221" s="21" t="s">
        <v>97</v>
      </c>
      <c r="F221" s="21" t="s">
        <v>337</v>
      </c>
      <c r="G221" s="21" t="s">
        <v>83</v>
      </c>
      <c r="H221" s="20">
        <v>290</v>
      </c>
      <c r="I221"/>
      <c r="J221" s="20">
        <v>340</v>
      </c>
      <c r="K221"/>
      <c r="L221" s="20">
        <v>8</v>
      </c>
      <c r="M221" s="19">
        <v>1.5775999999999999</v>
      </c>
      <c r="N221" t="s">
        <v>84</v>
      </c>
      <c r="O221"/>
      <c r="P221"/>
      <c r="Q221"/>
      <c r="R221"/>
      <c r="S221"/>
      <c r="T221"/>
      <c r="U221"/>
      <c r="V221"/>
    </row>
    <row r="222" spans="1:22" x14ac:dyDescent="0.3">
      <c r="A222"/>
      <c r="B222" s="22">
        <v>237.38400000000001</v>
      </c>
      <c r="C222" s="21" t="s">
        <v>97</v>
      </c>
      <c r="D222" s="21" t="s">
        <v>81</v>
      </c>
      <c r="E222" s="21" t="s">
        <v>97</v>
      </c>
      <c r="F222" s="21" t="s">
        <v>337</v>
      </c>
      <c r="G222" s="21" t="s">
        <v>83</v>
      </c>
      <c r="H222" s="20">
        <v>210</v>
      </c>
      <c r="I222"/>
      <c r="J222" s="20">
        <v>375</v>
      </c>
      <c r="K222"/>
      <c r="L222" s="20">
        <v>48</v>
      </c>
      <c r="M222" s="19">
        <v>7.5600000000000005</v>
      </c>
      <c r="N222" t="s">
        <v>84</v>
      </c>
      <c r="O222"/>
      <c r="P222"/>
      <c r="Q222">
        <v>8</v>
      </c>
      <c r="R222"/>
      <c r="S222"/>
      <c r="T222"/>
      <c r="U222"/>
      <c r="V222"/>
    </row>
    <row r="223" spans="1:22" x14ac:dyDescent="0.3">
      <c r="A223"/>
      <c r="B223" s="22">
        <v>130.22208000000001</v>
      </c>
      <c r="C223" s="21" t="s">
        <v>97</v>
      </c>
      <c r="D223" s="21" t="s">
        <v>81</v>
      </c>
      <c r="E223" s="21" t="s">
        <v>97</v>
      </c>
      <c r="F223" s="21" t="s">
        <v>337</v>
      </c>
      <c r="G223" s="21" t="s">
        <v>83</v>
      </c>
      <c r="H223" s="20">
        <v>360</v>
      </c>
      <c r="I223"/>
      <c r="J223" s="20">
        <v>480</v>
      </c>
      <c r="K223"/>
      <c r="L223" s="20">
        <v>12</v>
      </c>
      <c r="M223" s="19">
        <v>4.1471999999999998</v>
      </c>
      <c r="N223" t="s">
        <v>84</v>
      </c>
      <c r="O223"/>
      <c r="P223"/>
      <c r="Q223">
        <v>16</v>
      </c>
      <c r="R223"/>
      <c r="S223"/>
      <c r="T223"/>
      <c r="U223"/>
      <c r="V223"/>
    </row>
    <row r="224" spans="1:22" x14ac:dyDescent="0.3">
      <c r="A224"/>
      <c r="B224" s="22">
        <v>69.08</v>
      </c>
      <c r="C224" s="21" t="s">
        <v>93</v>
      </c>
      <c r="D224" s="21" t="s">
        <v>88</v>
      </c>
      <c r="E224" s="21" t="s">
        <v>97</v>
      </c>
      <c r="F224" s="21" t="s">
        <v>337</v>
      </c>
      <c r="G224" s="21" t="s">
        <v>83</v>
      </c>
      <c r="H224" s="20">
        <v>100</v>
      </c>
      <c r="I224"/>
      <c r="J224" s="20">
        <v>550</v>
      </c>
      <c r="K224"/>
      <c r="L224" s="20">
        <v>20</v>
      </c>
      <c r="M224" s="19">
        <v>2.2000000000000002</v>
      </c>
      <c r="N224" t="s">
        <v>84</v>
      </c>
      <c r="O224"/>
      <c r="P224"/>
      <c r="Q224"/>
      <c r="R224"/>
      <c r="S224"/>
      <c r="T224"/>
      <c r="U224"/>
      <c r="V224"/>
    </row>
    <row r="225" spans="1:22" x14ac:dyDescent="0.3">
      <c r="A225"/>
      <c r="B225" s="22">
        <v>138.16</v>
      </c>
      <c r="C225" s="21" t="s">
        <v>93</v>
      </c>
      <c r="D225" s="21" t="s">
        <v>88</v>
      </c>
      <c r="E225" s="21" t="s">
        <v>97</v>
      </c>
      <c r="F225" s="21" t="s">
        <v>337</v>
      </c>
      <c r="G225" s="21" t="s">
        <v>83</v>
      </c>
      <c r="H225" s="20">
        <v>100</v>
      </c>
      <c r="I225"/>
      <c r="J225" s="20">
        <v>550</v>
      </c>
      <c r="K225"/>
      <c r="L225" s="20">
        <v>40</v>
      </c>
      <c r="M225" s="19">
        <v>4.4000000000000004</v>
      </c>
      <c r="N225" t="s">
        <v>84</v>
      </c>
      <c r="O225"/>
      <c r="P225"/>
      <c r="Q225"/>
      <c r="R225"/>
      <c r="S225"/>
      <c r="T225"/>
      <c r="U225"/>
      <c r="V225"/>
    </row>
    <row r="226" spans="1:22" x14ac:dyDescent="0.3">
      <c r="A226"/>
      <c r="B226" s="22">
        <v>6653.2831999999999</v>
      </c>
      <c r="C226" s="21" t="s">
        <v>345</v>
      </c>
      <c r="D226" s="21" t="s">
        <v>76</v>
      </c>
      <c r="E226" s="21" t="s">
        <v>97</v>
      </c>
      <c r="F226" s="21" t="s">
        <v>337</v>
      </c>
      <c r="G226" s="21" t="s">
        <v>83</v>
      </c>
      <c r="H226" s="20">
        <v>760</v>
      </c>
      <c r="I226"/>
      <c r="J226" s="20">
        <v>8200</v>
      </c>
      <c r="K226"/>
      <c r="L226" s="20">
        <v>17</v>
      </c>
      <c r="M226" s="19">
        <v>211.88800000000001</v>
      </c>
      <c r="N226" t="s">
        <v>84</v>
      </c>
      <c r="O226"/>
      <c r="P226"/>
      <c r="Q226">
        <v>6</v>
      </c>
      <c r="R226"/>
      <c r="S226"/>
      <c r="T226"/>
      <c r="U226"/>
      <c r="V226"/>
    </row>
    <row r="227" spans="1:22" x14ac:dyDescent="0.3">
      <c r="A227"/>
      <c r="B227" s="22">
        <v>0</v>
      </c>
      <c r="C227" s="21" t="s">
        <v>451</v>
      </c>
      <c r="D227" s="21" t="s">
        <v>341</v>
      </c>
      <c r="E227" s="21" t="s">
        <v>97</v>
      </c>
      <c r="F227" s="21" t="s">
        <v>421</v>
      </c>
      <c r="G227" s="21" t="s">
        <v>83</v>
      </c>
      <c r="H227" s="20">
        <v>580</v>
      </c>
      <c r="I227"/>
      <c r="J227" s="20">
        <v>420</v>
      </c>
      <c r="K227"/>
      <c r="L227" s="20">
        <v>8</v>
      </c>
      <c r="M227" s="19">
        <v>0</v>
      </c>
      <c r="N227" t="s">
        <v>84</v>
      </c>
      <c r="O227"/>
      <c r="P227"/>
      <c r="Q227"/>
      <c r="R227"/>
      <c r="S227"/>
      <c r="T227"/>
      <c r="U227"/>
      <c r="V227"/>
    </row>
    <row r="228" spans="1:22" x14ac:dyDescent="0.3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  <c r="R228"/>
      <c r="S228"/>
      <c r="T228"/>
      <c r="U228"/>
      <c r="V228"/>
    </row>
    <row r="229" spans="1:22" x14ac:dyDescent="0.3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  <c r="R229"/>
      <c r="S229"/>
      <c r="T229"/>
      <c r="U229"/>
      <c r="V229"/>
    </row>
    <row r="230" spans="1:22" x14ac:dyDescent="0.3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  <c r="R230"/>
      <c r="S230"/>
      <c r="T230"/>
      <c r="U230"/>
      <c r="V230"/>
    </row>
    <row r="231" spans="1:22" x14ac:dyDescent="0.3">
      <c r="A231"/>
      <c r="B231"/>
      <c r="C231"/>
      <c r="D231"/>
      <c r="E231"/>
      <c r="F231" s="49" t="s">
        <v>124</v>
      </c>
      <c r="G231" s="49" t="s">
        <v>107</v>
      </c>
      <c r="H231" s="49" t="s">
        <v>125</v>
      </c>
      <c r="I231" s="49"/>
      <c r="J231" s="49" t="s">
        <v>126</v>
      </c>
      <c r="K231" s="49"/>
      <c r="L231" s="49" t="s">
        <v>127</v>
      </c>
      <c r="M231"/>
      <c r="N231"/>
      <c r="O231"/>
      <c r="P231"/>
      <c r="Q231"/>
      <c r="R231"/>
      <c r="S231"/>
      <c r="T231"/>
      <c r="U231"/>
      <c r="V231"/>
    </row>
    <row r="232" spans="1:22" x14ac:dyDescent="0.3">
      <c r="A232"/>
      <c r="B232"/>
      <c r="C232"/>
      <c r="D232"/>
      <c r="E232"/>
      <c r="F232" s="21" t="s">
        <v>82</v>
      </c>
      <c r="G232" s="21" t="s">
        <v>83</v>
      </c>
      <c r="H232" s="22">
        <v>16735.596178000003</v>
      </c>
      <c r="I232"/>
      <c r="J232" s="20">
        <v>749</v>
      </c>
      <c r="K232"/>
      <c r="L232" s="19">
        <v>328.98301599999996</v>
      </c>
      <c r="M232"/>
      <c r="N232"/>
      <c r="O232"/>
      <c r="P232"/>
      <c r="Q232"/>
      <c r="R232"/>
      <c r="S232"/>
      <c r="T232"/>
      <c r="U232"/>
      <c r="V232"/>
    </row>
    <row r="233" spans="1:22" x14ac:dyDescent="0.3">
      <c r="A233"/>
      <c r="B233"/>
      <c r="C233"/>
      <c r="D233"/>
      <c r="E233"/>
      <c r="F233" s="21" t="s">
        <v>339</v>
      </c>
      <c r="G233" s="21" t="s">
        <v>83</v>
      </c>
      <c r="H233" s="22">
        <v>1077.8364000000001</v>
      </c>
      <c r="I233"/>
      <c r="J233" s="20">
        <v>104</v>
      </c>
      <c r="K233"/>
      <c r="L233" s="19">
        <v>22.884</v>
      </c>
      <c r="M233"/>
      <c r="N233"/>
      <c r="O233"/>
      <c r="P233"/>
      <c r="Q233"/>
      <c r="R233"/>
      <c r="S233"/>
      <c r="T233"/>
      <c r="U233"/>
      <c r="V233"/>
    </row>
    <row r="234" spans="1:22" x14ac:dyDescent="0.3">
      <c r="A234"/>
      <c r="B234"/>
      <c r="C234"/>
      <c r="D234"/>
      <c r="E234"/>
      <c r="F234" s="21" t="s">
        <v>87</v>
      </c>
      <c r="G234" s="21" t="s">
        <v>83</v>
      </c>
      <c r="H234" s="22">
        <v>14023.306725000002</v>
      </c>
      <c r="I234"/>
      <c r="J234" s="20">
        <v>670</v>
      </c>
      <c r="K234"/>
      <c r="L234" s="19">
        <v>216.8278</v>
      </c>
      <c r="M234"/>
      <c r="N234"/>
      <c r="O234"/>
      <c r="P234"/>
      <c r="Q234"/>
      <c r="R234"/>
      <c r="S234"/>
      <c r="T234"/>
      <c r="U234"/>
      <c r="V234"/>
    </row>
    <row r="235" spans="1:22" x14ac:dyDescent="0.3">
      <c r="A235"/>
      <c r="B235"/>
      <c r="C235"/>
      <c r="D235"/>
      <c r="E235"/>
      <c r="F235" s="21" t="s">
        <v>167</v>
      </c>
      <c r="G235" s="21" t="s">
        <v>83</v>
      </c>
      <c r="H235" s="22">
        <v>158.00479999999999</v>
      </c>
      <c r="I235"/>
      <c r="J235">
        <v>4</v>
      </c>
      <c r="K235"/>
      <c r="L235" s="19">
        <v>2.516</v>
      </c>
      <c r="M235"/>
      <c r="N235"/>
      <c r="O235"/>
      <c r="P235"/>
      <c r="Q235"/>
      <c r="R235"/>
      <c r="S235"/>
      <c r="T235"/>
      <c r="U235"/>
      <c r="V235"/>
    </row>
    <row r="236" spans="1:22" x14ac:dyDescent="0.3">
      <c r="A236"/>
      <c r="B236"/>
      <c r="C236"/>
      <c r="D236"/>
      <c r="E236"/>
      <c r="F236" s="21" t="s">
        <v>86</v>
      </c>
      <c r="G236" s="21" t="s">
        <v>83</v>
      </c>
      <c r="H236" s="22">
        <v>19959.818200000002</v>
      </c>
      <c r="I236"/>
      <c r="J236" s="20">
        <v>216</v>
      </c>
      <c r="K236"/>
      <c r="L236" s="19">
        <v>203.00119999999998</v>
      </c>
      <c r="M236"/>
      <c r="N236"/>
      <c r="O236"/>
      <c r="P236"/>
      <c r="Q236"/>
      <c r="R236"/>
      <c r="S236"/>
      <c r="T236"/>
      <c r="U236"/>
      <c r="V236"/>
    </row>
    <row r="237" spans="1:22" x14ac:dyDescent="0.3">
      <c r="A237"/>
      <c r="B237"/>
      <c r="C237"/>
      <c r="D237"/>
      <c r="E237"/>
      <c r="F237" s="21" t="s">
        <v>90</v>
      </c>
      <c r="G237" s="21" t="s">
        <v>83</v>
      </c>
      <c r="H237" s="22">
        <v>4993.6205</v>
      </c>
      <c r="I237"/>
      <c r="J237" s="20">
        <v>60</v>
      </c>
      <c r="K237"/>
      <c r="L237" s="19">
        <v>50.8904</v>
      </c>
      <c r="M237"/>
      <c r="N237"/>
      <c r="O237"/>
      <c r="P237"/>
      <c r="Q237"/>
      <c r="R237"/>
      <c r="S237"/>
      <c r="T237"/>
      <c r="U237"/>
      <c r="V237"/>
    </row>
    <row r="238" spans="1:22" x14ac:dyDescent="0.3">
      <c r="A238"/>
      <c r="B238"/>
      <c r="C238"/>
      <c r="D238"/>
      <c r="E238"/>
      <c r="F238" s="21" t="s">
        <v>448</v>
      </c>
      <c r="G238" s="21" t="s">
        <v>83</v>
      </c>
      <c r="H238" s="22">
        <v>755.01300000000003</v>
      </c>
      <c r="I238"/>
      <c r="J238" s="20">
        <v>18</v>
      </c>
      <c r="K238"/>
      <c r="L238" s="19">
        <v>64.12</v>
      </c>
      <c r="M238"/>
      <c r="N238"/>
      <c r="O238"/>
      <c r="P238"/>
      <c r="Q238"/>
      <c r="R238"/>
      <c r="S238"/>
      <c r="T238"/>
      <c r="U238"/>
      <c r="V238"/>
    </row>
    <row r="239" spans="1:22" x14ac:dyDescent="0.3">
      <c r="A239"/>
      <c r="B239"/>
      <c r="C239"/>
      <c r="D239"/>
      <c r="E239"/>
      <c r="F239" s="21" t="s">
        <v>89</v>
      </c>
      <c r="G239" s="21" t="s">
        <v>83</v>
      </c>
      <c r="H239" s="22">
        <v>23553.09447</v>
      </c>
      <c r="I239"/>
      <c r="J239" s="20">
        <v>159</v>
      </c>
      <c r="K239"/>
      <c r="L239" s="19">
        <v>135.09188</v>
      </c>
      <c r="M239"/>
      <c r="N239"/>
      <c r="O239"/>
      <c r="P239"/>
      <c r="Q239"/>
      <c r="R239"/>
      <c r="S239"/>
      <c r="T239"/>
      <c r="U239"/>
      <c r="V239"/>
    </row>
    <row r="240" spans="1:22" x14ac:dyDescent="0.3">
      <c r="A240"/>
      <c r="B240"/>
      <c r="C240"/>
      <c r="D240"/>
      <c r="E240"/>
      <c r="F240" s="21" t="s">
        <v>91</v>
      </c>
      <c r="G240" s="21" t="s">
        <v>83</v>
      </c>
      <c r="H240" s="22">
        <v>28277.489799999999</v>
      </c>
      <c r="I240"/>
      <c r="J240" s="20">
        <v>64</v>
      </c>
      <c r="K240"/>
      <c r="L240" s="19">
        <v>205.84160000000003</v>
      </c>
      <c r="M240"/>
      <c r="N240"/>
      <c r="O240"/>
      <c r="P240"/>
      <c r="Q240"/>
      <c r="R240"/>
      <c r="S240"/>
      <c r="T240"/>
      <c r="U240"/>
      <c r="V240"/>
    </row>
    <row r="241" spans="1:22" x14ac:dyDescent="0.3">
      <c r="A241"/>
      <c r="B241"/>
      <c r="C241"/>
      <c r="D241"/>
      <c r="E241"/>
      <c r="F241" s="21" t="s">
        <v>487</v>
      </c>
      <c r="G241" s="21" t="s">
        <v>83</v>
      </c>
      <c r="H241" s="22">
        <v>83.398399999999995</v>
      </c>
      <c r="I241"/>
      <c r="J241" s="20">
        <v>224</v>
      </c>
      <c r="K241"/>
      <c r="L241" s="19">
        <v>5.3120000000000003</v>
      </c>
      <c r="M241"/>
      <c r="N241"/>
      <c r="O241"/>
      <c r="P241"/>
      <c r="Q241"/>
      <c r="R241"/>
      <c r="S241"/>
      <c r="T241"/>
      <c r="U241"/>
      <c r="V241"/>
    </row>
    <row r="242" spans="1:22" x14ac:dyDescent="0.3">
      <c r="A242"/>
      <c r="B242"/>
      <c r="C242"/>
      <c r="D242"/>
      <c r="E242"/>
      <c r="F242" s="21" t="s">
        <v>92</v>
      </c>
      <c r="G242" s="21" t="s">
        <v>83</v>
      </c>
      <c r="H242" s="22">
        <v>9063.4215999999997</v>
      </c>
      <c r="I242"/>
      <c r="J242" s="20">
        <v>76</v>
      </c>
      <c r="K242"/>
      <c r="L242" s="19">
        <v>57.728800000000007</v>
      </c>
      <c r="M242"/>
      <c r="N242"/>
      <c r="O242"/>
      <c r="P242"/>
      <c r="Q242"/>
      <c r="R242"/>
      <c r="S242"/>
      <c r="T242"/>
      <c r="U242"/>
      <c r="V242"/>
    </row>
    <row r="243" spans="1:22" x14ac:dyDescent="0.3">
      <c r="A243"/>
      <c r="B243"/>
      <c r="C243"/>
      <c r="D243"/>
      <c r="E243"/>
      <c r="F243" s="21" t="s">
        <v>324</v>
      </c>
      <c r="G243" s="21" t="s">
        <v>83</v>
      </c>
      <c r="H243" s="22">
        <v>2109.0712750000002</v>
      </c>
      <c r="I243"/>
      <c r="J243" s="20">
        <v>839</v>
      </c>
      <c r="K243"/>
      <c r="L243" s="19">
        <v>107.46860000000001</v>
      </c>
      <c r="M243"/>
      <c r="N243"/>
      <c r="O243"/>
      <c r="P243"/>
      <c r="Q243"/>
      <c r="R243"/>
      <c r="S243"/>
      <c r="T243"/>
      <c r="U243"/>
      <c r="V243"/>
    </row>
    <row r="244" spans="1:22" x14ac:dyDescent="0.3">
      <c r="A244"/>
      <c r="B244"/>
      <c r="C244"/>
      <c r="D244"/>
      <c r="E244"/>
      <c r="F244" s="21" t="s">
        <v>488</v>
      </c>
      <c r="G244" s="21" t="s">
        <v>83</v>
      </c>
      <c r="H244" s="22">
        <v>7.5359999999999996</v>
      </c>
      <c r="I244"/>
      <c r="J244">
        <v>8</v>
      </c>
      <c r="K244"/>
      <c r="L244" s="19">
        <v>0.32</v>
      </c>
      <c r="M244"/>
      <c r="N244"/>
      <c r="O244"/>
      <c r="P244"/>
      <c r="Q244"/>
      <c r="R244"/>
      <c r="S244"/>
      <c r="T244"/>
      <c r="U244"/>
      <c r="V244"/>
    </row>
    <row r="245" spans="1:22" x14ac:dyDescent="0.3">
      <c r="A245"/>
      <c r="B245"/>
      <c r="C245"/>
      <c r="D245"/>
      <c r="E245"/>
      <c r="F245" s="21" t="s">
        <v>387</v>
      </c>
      <c r="G245" s="21" t="s">
        <v>83</v>
      </c>
      <c r="H245" s="22">
        <v>3539.6592000000001</v>
      </c>
      <c r="I245"/>
      <c r="J245">
        <v>4</v>
      </c>
      <c r="K245"/>
      <c r="L245" s="19">
        <v>12.8832</v>
      </c>
      <c r="M245"/>
      <c r="N245"/>
      <c r="O245"/>
      <c r="P245"/>
      <c r="Q245"/>
      <c r="R245"/>
      <c r="S245"/>
      <c r="T245"/>
      <c r="U245"/>
      <c r="V245"/>
    </row>
    <row r="246" spans="1:22" x14ac:dyDescent="0.3">
      <c r="A246"/>
      <c r="B246"/>
      <c r="C246"/>
      <c r="D246"/>
      <c r="E246"/>
      <c r="F246" s="21" t="s">
        <v>337</v>
      </c>
      <c r="G246" s="21" t="s">
        <v>83</v>
      </c>
      <c r="H246" s="22">
        <v>7781.2120199999999</v>
      </c>
      <c r="I246"/>
      <c r="J246" s="20">
        <v>325</v>
      </c>
      <c r="K246"/>
      <c r="L246" s="19">
        <v>247.80930000000001</v>
      </c>
      <c r="M246"/>
      <c r="N246"/>
      <c r="O246"/>
      <c r="P246"/>
      <c r="Q246"/>
      <c r="R246"/>
      <c r="S246"/>
      <c r="T246"/>
      <c r="U246"/>
      <c r="V246"/>
    </row>
    <row r="247" spans="1:22" x14ac:dyDescent="0.3">
      <c r="A247"/>
      <c r="B247"/>
      <c r="C247"/>
      <c r="D247"/>
      <c r="E247"/>
      <c r="F247" s="21" t="s">
        <v>421</v>
      </c>
      <c r="G247" s="21" t="s">
        <v>83</v>
      </c>
      <c r="H247" s="22">
        <v>0</v>
      </c>
      <c r="I247"/>
      <c r="J247">
        <v>8</v>
      </c>
      <c r="K247"/>
      <c r="L247" s="19">
        <v>0</v>
      </c>
      <c r="M247"/>
      <c r="N247"/>
      <c r="O247"/>
      <c r="P247"/>
      <c r="Q247"/>
      <c r="R247"/>
      <c r="S247"/>
      <c r="T247"/>
      <c r="U247"/>
      <c r="V247"/>
    </row>
    <row r="248" spans="1:22" x14ac:dyDescent="0.3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  <c r="S248"/>
      <c r="T248"/>
      <c r="U248"/>
      <c r="V248"/>
    </row>
    <row r="249" spans="1:22" x14ac:dyDescent="0.3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  <c r="S249"/>
      <c r="T249"/>
      <c r="U249"/>
      <c r="V249"/>
    </row>
    <row r="250" spans="1:22" x14ac:dyDescent="0.3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  <c r="T250"/>
      <c r="U250"/>
      <c r="V250"/>
    </row>
    <row r="251" spans="1:22" x14ac:dyDescent="0.3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  <c r="S251"/>
      <c r="T251"/>
      <c r="U251"/>
      <c r="V251"/>
    </row>
    <row r="252" spans="1:22" x14ac:dyDescent="0.3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  <c r="S252"/>
      <c r="T252"/>
      <c r="U252"/>
      <c r="V252"/>
    </row>
    <row r="253" spans="1:22" x14ac:dyDescent="0.3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  <c r="R253"/>
      <c r="S253"/>
      <c r="T253"/>
      <c r="U253"/>
      <c r="V253"/>
    </row>
    <row r="254" spans="1:22" x14ac:dyDescent="0.3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  <c r="S254"/>
      <c r="T254"/>
      <c r="U254"/>
      <c r="V254"/>
    </row>
    <row r="255" spans="1:22" x14ac:dyDescent="0.3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  <c r="S255"/>
      <c r="T255"/>
      <c r="U255"/>
      <c r="V255"/>
    </row>
    <row r="256" spans="1:22" x14ac:dyDescent="0.3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  <c r="S256"/>
      <c r="T256"/>
      <c r="U256"/>
      <c r="V256"/>
    </row>
    <row r="257" spans="1:22" x14ac:dyDescent="0.3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  <c r="R257"/>
      <c r="S257"/>
      <c r="T257"/>
      <c r="U257"/>
      <c r="V257"/>
    </row>
    <row r="258" spans="1:22" x14ac:dyDescent="0.3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  <c r="R258"/>
      <c r="S258"/>
      <c r="T258"/>
      <c r="U258"/>
      <c r="V258"/>
    </row>
    <row r="259" spans="1:22" x14ac:dyDescent="0.3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  <c r="R259"/>
      <c r="S259"/>
      <c r="T259"/>
      <c r="U259"/>
      <c r="V259"/>
    </row>
    <row r="260" spans="1:22" x14ac:dyDescent="0.3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  <c r="R260"/>
      <c r="S260"/>
      <c r="T260"/>
      <c r="U260"/>
      <c r="V260"/>
    </row>
    <row r="261" spans="1:22" x14ac:dyDescent="0.3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Q261"/>
      <c r="R261"/>
      <c r="S261"/>
      <c r="T261"/>
      <c r="U261"/>
      <c r="V261"/>
    </row>
    <row r="262" spans="1:22" x14ac:dyDescent="0.3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Q262"/>
      <c r="R262"/>
      <c r="S262"/>
      <c r="T262"/>
      <c r="U262"/>
      <c r="V262"/>
    </row>
    <row r="263" spans="1:22" x14ac:dyDescent="0.3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Q263"/>
      <c r="R263"/>
      <c r="S263"/>
      <c r="T263"/>
      <c r="U263"/>
      <c r="V263"/>
    </row>
    <row r="264" spans="1:22" x14ac:dyDescent="0.3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Q264"/>
      <c r="R264"/>
      <c r="S264"/>
      <c r="T264"/>
      <c r="U264"/>
      <c r="V264"/>
    </row>
    <row r="265" spans="1:22" x14ac:dyDescent="0.3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Q265"/>
      <c r="R265"/>
      <c r="S265"/>
      <c r="T265"/>
      <c r="U265"/>
      <c r="V265"/>
    </row>
    <row r="266" spans="1:22" x14ac:dyDescent="0.3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Q266"/>
      <c r="R266"/>
      <c r="S266"/>
      <c r="T266"/>
      <c r="U266"/>
      <c r="V266"/>
    </row>
    <row r="267" spans="1:22" x14ac:dyDescent="0.3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Q267"/>
      <c r="R267"/>
      <c r="S267"/>
      <c r="T267"/>
      <c r="U267"/>
      <c r="V267"/>
    </row>
    <row r="268" spans="1:22" x14ac:dyDescent="0.3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Q268"/>
      <c r="R268"/>
      <c r="S268"/>
      <c r="T268"/>
      <c r="U268"/>
      <c r="V268"/>
    </row>
    <row r="269" spans="1:22" x14ac:dyDescent="0.3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Q269"/>
      <c r="R269"/>
      <c r="S269"/>
      <c r="T269"/>
      <c r="U269"/>
      <c r="V269"/>
    </row>
    <row r="270" spans="1:22" x14ac:dyDescent="0.3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Q270"/>
      <c r="R270"/>
      <c r="S270"/>
      <c r="T270"/>
      <c r="U270"/>
      <c r="V270"/>
    </row>
    <row r="271" spans="1:22" x14ac:dyDescent="0.3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Q271"/>
      <c r="R271"/>
      <c r="S271"/>
      <c r="T271"/>
      <c r="U271"/>
      <c r="V271"/>
    </row>
    <row r="272" spans="1:22" x14ac:dyDescent="0.3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Q272"/>
      <c r="R272"/>
      <c r="S272"/>
      <c r="T272"/>
      <c r="U272"/>
      <c r="V272"/>
    </row>
    <row r="273" spans="1:22" x14ac:dyDescent="0.3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Q273"/>
      <c r="R273"/>
      <c r="S273"/>
      <c r="T273"/>
      <c r="U273"/>
      <c r="V273"/>
    </row>
    <row r="274" spans="1:22" x14ac:dyDescent="0.3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Q274"/>
      <c r="R274"/>
      <c r="S274"/>
      <c r="T274"/>
      <c r="U274"/>
      <c r="V274"/>
    </row>
    <row r="275" spans="1:22" x14ac:dyDescent="0.3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Q275"/>
      <c r="R275"/>
      <c r="S275"/>
      <c r="T275"/>
      <c r="U275"/>
      <c r="V275"/>
    </row>
    <row r="276" spans="1:22" x14ac:dyDescent="0.3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Q276"/>
      <c r="R276"/>
      <c r="S276"/>
      <c r="T276"/>
      <c r="U276"/>
      <c r="V276"/>
    </row>
    <row r="277" spans="1:22" x14ac:dyDescent="0.3">
      <c r="A27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Q277"/>
      <c r="R277"/>
      <c r="S277"/>
      <c r="T277"/>
      <c r="U277"/>
      <c r="V277"/>
    </row>
    <row r="278" spans="1:22" x14ac:dyDescent="0.3">
      <c r="A278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Q278"/>
      <c r="R278"/>
      <c r="S278"/>
      <c r="T278"/>
      <c r="U278"/>
      <c r="V278"/>
    </row>
    <row r="279" spans="1:22" x14ac:dyDescent="0.3">
      <c r="A279"/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Q279"/>
      <c r="R279"/>
      <c r="S279"/>
      <c r="T279"/>
      <c r="U279"/>
      <c r="V279"/>
    </row>
    <row r="280" spans="1:22" x14ac:dyDescent="0.3">
      <c r="A280"/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Q280"/>
      <c r="R280"/>
      <c r="S280"/>
      <c r="T280"/>
      <c r="U280"/>
      <c r="V280"/>
    </row>
    <row r="281" spans="1:22" x14ac:dyDescent="0.3">
      <c r="A281"/>
      <c r="B28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  <c r="Q281"/>
      <c r="R281"/>
      <c r="S281"/>
      <c r="T281"/>
      <c r="U281"/>
      <c r="V281"/>
    </row>
    <row r="282" spans="1:22" x14ac:dyDescent="0.3">
      <c r="A282"/>
      <c r="B282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  <c r="Q282"/>
      <c r="R282"/>
      <c r="S282"/>
      <c r="T282"/>
      <c r="U282"/>
      <c r="V282"/>
    </row>
    <row r="283" spans="1:22" x14ac:dyDescent="0.3">
      <c r="A283"/>
      <c r="B283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  <c r="Q283"/>
      <c r="R283"/>
      <c r="S283"/>
      <c r="T283"/>
      <c r="U283"/>
      <c r="V283"/>
    </row>
    <row r="284" spans="1:22" x14ac:dyDescent="0.3">
      <c r="A284"/>
      <c r="B284"/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  <c r="Q284"/>
      <c r="R284"/>
      <c r="S284"/>
      <c r="T284"/>
      <c r="U284"/>
      <c r="V284"/>
    </row>
    <row r="285" spans="1:22" x14ac:dyDescent="0.3">
      <c r="A285"/>
      <c r="B285"/>
      <c r="C285"/>
      <c r="D285"/>
      <c r="E285"/>
      <c r="F285"/>
      <c r="G285"/>
      <c r="H285"/>
      <c r="I285"/>
      <c r="J285"/>
      <c r="K285"/>
      <c r="L285"/>
      <c r="M285"/>
      <c r="N285"/>
      <c r="O285"/>
      <c r="P285"/>
      <c r="Q285"/>
      <c r="R285"/>
      <c r="S285"/>
      <c r="T285"/>
      <c r="U285"/>
      <c r="V285"/>
    </row>
    <row r="286" spans="1:22" x14ac:dyDescent="0.3">
      <c r="A286"/>
      <c r="B286"/>
      <c r="C286"/>
      <c r="D286"/>
      <c r="E286"/>
      <c r="F286"/>
      <c r="G286"/>
      <c r="H286"/>
      <c r="I286"/>
      <c r="J286"/>
      <c r="K286"/>
      <c r="L286"/>
      <c r="M286"/>
      <c r="N286"/>
      <c r="O286"/>
      <c r="P286"/>
      <c r="Q286"/>
      <c r="R286"/>
      <c r="S286"/>
      <c r="T286"/>
      <c r="U286"/>
      <c r="V286"/>
    </row>
    <row r="287" spans="1:22" x14ac:dyDescent="0.3">
      <c r="A287"/>
      <c r="B287"/>
      <c r="C287"/>
      <c r="D287"/>
      <c r="E287"/>
      <c r="F287"/>
      <c r="G287"/>
      <c r="H287"/>
      <c r="I287"/>
      <c r="J287"/>
      <c r="K287"/>
      <c r="L287"/>
      <c r="M287"/>
      <c r="N287"/>
      <c r="O287"/>
      <c r="P287"/>
      <c r="Q287"/>
      <c r="R287"/>
      <c r="S287"/>
      <c r="T287"/>
      <c r="U287"/>
      <c r="V287"/>
    </row>
    <row r="288" spans="1:22" x14ac:dyDescent="0.3">
      <c r="A288"/>
      <c r="B288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  <c r="Q288"/>
      <c r="R288"/>
      <c r="S288"/>
      <c r="T288"/>
      <c r="U288"/>
      <c r="V288"/>
    </row>
    <row r="289" spans="1:22" x14ac:dyDescent="0.3">
      <c r="A289"/>
      <c r="B289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  <c r="Q289"/>
      <c r="R289"/>
      <c r="S289"/>
      <c r="T289"/>
      <c r="U289"/>
      <c r="V289"/>
    </row>
    <row r="290" spans="1:22" x14ac:dyDescent="0.3">
      <c r="A290"/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  <c r="Q290"/>
      <c r="R290"/>
      <c r="S290"/>
      <c r="T290"/>
      <c r="U290"/>
      <c r="V290"/>
    </row>
    <row r="291" spans="1:22" x14ac:dyDescent="0.3">
      <c r="A291"/>
      <c r="B29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  <c r="Q291"/>
      <c r="R291"/>
      <c r="S291"/>
      <c r="T291"/>
      <c r="U291"/>
      <c r="V291"/>
    </row>
    <row r="292" spans="1:22" x14ac:dyDescent="0.3">
      <c r="A292"/>
      <c r="B29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  <c r="Q292"/>
      <c r="R292"/>
      <c r="S292"/>
      <c r="T292"/>
      <c r="U292"/>
      <c r="V292"/>
    </row>
    <row r="293" spans="1:22" x14ac:dyDescent="0.3">
      <c r="A293"/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</row>
    <row r="294" spans="1:22" x14ac:dyDescent="0.3">
      <c r="A294"/>
      <c r="B294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  <c r="Q294"/>
      <c r="R294"/>
      <c r="S294"/>
      <c r="T294"/>
      <c r="U294"/>
      <c r="V294"/>
    </row>
    <row r="295" spans="1:22" x14ac:dyDescent="0.3">
      <c r="A295"/>
      <c r="B295"/>
      <c r="C295"/>
      <c r="D295"/>
      <c r="E295"/>
      <c r="F295"/>
      <c r="G295"/>
      <c r="H295"/>
      <c r="I295"/>
      <c r="J295"/>
      <c r="K295"/>
      <c r="L295"/>
      <c r="M295"/>
      <c r="N295"/>
      <c r="O295"/>
      <c r="P295"/>
      <c r="Q295"/>
      <c r="R295"/>
      <c r="S295"/>
      <c r="T295"/>
      <c r="U295"/>
      <c r="V295"/>
    </row>
    <row r="296" spans="1:22" x14ac:dyDescent="0.3">
      <c r="A296"/>
      <c r="B296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  <c r="Q296"/>
      <c r="R296"/>
      <c r="S296"/>
      <c r="T296"/>
      <c r="U296"/>
      <c r="V296"/>
    </row>
    <row r="297" spans="1:22" x14ac:dyDescent="0.3">
      <c r="A297"/>
      <c r="B297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  <c r="Q297"/>
      <c r="R297"/>
      <c r="S297"/>
      <c r="T297"/>
      <c r="U297"/>
      <c r="V297"/>
    </row>
    <row r="298" spans="1:22" x14ac:dyDescent="0.3">
      <c r="A298"/>
      <c r="B298"/>
      <c r="C298"/>
      <c r="D298"/>
      <c r="E298"/>
      <c r="F298"/>
      <c r="G298"/>
      <c r="H298"/>
      <c r="I298"/>
      <c r="J298"/>
      <c r="K298"/>
      <c r="L298"/>
      <c r="M298"/>
      <c r="N298"/>
      <c r="O298"/>
      <c r="P298"/>
      <c r="Q298"/>
      <c r="R298"/>
      <c r="S298"/>
      <c r="T298"/>
      <c r="U298"/>
      <c r="V298"/>
    </row>
    <row r="299" spans="1:22" x14ac:dyDescent="0.3">
      <c r="A299"/>
      <c r="B299"/>
      <c r="C299"/>
      <c r="D299"/>
      <c r="E299"/>
      <c r="F299"/>
      <c r="G299"/>
      <c r="H299"/>
      <c r="I299"/>
      <c r="J299"/>
      <c r="K299"/>
      <c r="L299"/>
      <c r="M299"/>
      <c r="N299"/>
      <c r="O299"/>
      <c r="P299"/>
      <c r="Q299"/>
      <c r="R299"/>
      <c r="S299"/>
      <c r="T299"/>
      <c r="U299"/>
      <c r="V299"/>
    </row>
    <row r="300" spans="1:22" x14ac:dyDescent="0.3">
      <c r="A300"/>
      <c r="B300"/>
      <c r="C300"/>
      <c r="D300"/>
      <c r="E300"/>
      <c r="F300"/>
      <c r="G300"/>
      <c r="H300"/>
      <c r="I300"/>
      <c r="J300"/>
      <c r="K300"/>
      <c r="L300"/>
      <c r="M300"/>
      <c r="N300"/>
      <c r="O300"/>
      <c r="P300"/>
      <c r="Q300"/>
      <c r="R300"/>
      <c r="S300"/>
      <c r="T300"/>
      <c r="U300"/>
      <c r="V300"/>
    </row>
    <row r="301" spans="1:22" x14ac:dyDescent="0.3">
      <c r="A301"/>
      <c r="B301"/>
      <c r="C301"/>
      <c r="D301"/>
      <c r="E301"/>
      <c r="F301"/>
      <c r="G301"/>
      <c r="H301"/>
      <c r="I301"/>
      <c r="J301"/>
      <c r="K301"/>
      <c r="L301"/>
      <c r="M301"/>
      <c r="N301"/>
      <c r="O301"/>
      <c r="P301"/>
      <c r="Q301"/>
      <c r="R301"/>
      <c r="S301"/>
      <c r="T301"/>
      <c r="U301"/>
      <c r="V301"/>
    </row>
    <row r="302" spans="1:22" x14ac:dyDescent="0.3">
      <c r="A302"/>
      <c r="B302"/>
      <c r="C302"/>
      <c r="D302"/>
      <c r="E302"/>
      <c r="F302"/>
      <c r="G302"/>
      <c r="H302"/>
      <c r="I302"/>
      <c r="J302"/>
      <c r="K302"/>
      <c r="L302"/>
      <c r="M302"/>
      <c r="N302"/>
      <c r="O302"/>
      <c r="P302"/>
      <c r="Q302"/>
      <c r="R302"/>
      <c r="S302"/>
      <c r="T302"/>
      <c r="U302"/>
      <c r="V302"/>
    </row>
    <row r="303" spans="1:22" x14ac:dyDescent="0.3">
      <c r="A303"/>
      <c r="B303"/>
      <c r="C303"/>
      <c r="D303"/>
      <c r="E303"/>
      <c r="F303"/>
      <c r="G303"/>
      <c r="H303"/>
      <c r="I303"/>
      <c r="J303"/>
      <c r="K303"/>
      <c r="L303"/>
      <c r="M303"/>
      <c r="N303"/>
      <c r="O303"/>
      <c r="P303"/>
      <c r="Q303"/>
      <c r="R303"/>
      <c r="S303"/>
      <c r="T303"/>
      <c r="U303"/>
      <c r="V303"/>
    </row>
    <row r="304" spans="1:22" x14ac:dyDescent="0.3">
      <c r="A304"/>
      <c r="B304"/>
      <c r="C304"/>
      <c r="D304"/>
      <c r="E304"/>
      <c r="F304"/>
      <c r="G304"/>
      <c r="H304"/>
      <c r="I304"/>
      <c r="J304"/>
      <c r="K304"/>
      <c r="L304"/>
      <c r="M304"/>
      <c r="N304"/>
      <c r="O304"/>
      <c r="P304"/>
      <c r="Q304"/>
      <c r="R304"/>
      <c r="S304"/>
      <c r="T304"/>
      <c r="U304"/>
      <c r="V304"/>
    </row>
    <row r="305" spans="1:22" x14ac:dyDescent="0.3">
      <c r="A305"/>
      <c r="B305"/>
      <c r="C305"/>
      <c r="D305"/>
      <c r="E305"/>
      <c r="F305"/>
      <c r="G305"/>
      <c r="H305"/>
      <c r="I305"/>
      <c r="J305"/>
      <c r="K305"/>
      <c r="L305"/>
      <c r="M305"/>
      <c r="N305"/>
      <c r="O305"/>
      <c r="P305"/>
      <c r="Q305"/>
      <c r="R305"/>
      <c r="S305"/>
      <c r="T305"/>
      <c r="U305"/>
      <c r="V305"/>
    </row>
    <row r="306" spans="1:22" x14ac:dyDescent="0.3">
      <c r="A306"/>
      <c r="B306"/>
      <c r="C306"/>
      <c r="D306"/>
      <c r="E306"/>
      <c r="F306"/>
      <c r="G306"/>
      <c r="H306"/>
      <c r="I306"/>
      <c r="J306"/>
      <c r="K306"/>
      <c r="L306"/>
      <c r="M306"/>
      <c r="N306"/>
      <c r="O306"/>
      <c r="P306"/>
      <c r="Q306"/>
      <c r="R306"/>
      <c r="S306"/>
      <c r="T306"/>
      <c r="U306"/>
      <c r="V306"/>
    </row>
    <row r="307" spans="1:22" x14ac:dyDescent="0.3">
      <c r="A307"/>
      <c r="B307"/>
      <c r="C307"/>
      <c r="D307"/>
      <c r="E307"/>
      <c r="F307"/>
      <c r="G307"/>
      <c r="H307"/>
      <c r="I307"/>
      <c r="J307"/>
      <c r="K307"/>
      <c r="L307"/>
      <c r="M307"/>
      <c r="N307"/>
      <c r="O307"/>
      <c r="P307"/>
      <c r="Q307"/>
      <c r="R307"/>
      <c r="S307"/>
      <c r="T307"/>
      <c r="U307"/>
      <c r="V307"/>
    </row>
    <row r="308" spans="1:22" x14ac:dyDescent="0.3">
      <c r="A308"/>
      <c r="B308"/>
      <c r="C308"/>
      <c r="D308"/>
      <c r="E308"/>
      <c r="F308"/>
      <c r="G308"/>
      <c r="H308"/>
      <c r="I308"/>
      <c r="J308"/>
      <c r="K308"/>
      <c r="L308"/>
      <c r="M308"/>
      <c r="N308"/>
      <c r="O308"/>
      <c r="P308"/>
      <c r="Q308"/>
      <c r="R308"/>
      <c r="S308"/>
      <c r="T308"/>
      <c r="U308"/>
      <c r="V308"/>
    </row>
    <row r="309" spans="1:22" x14ac:dyDescent="0.3">
      <c r="A309"/>
      <c r="B309"/>
      <c r="C309"/>
      <c r="D309"/>
      <c r="E309"/>
      <c r="F309"/>
      <c r="G309"/>
      <c r="H309"/>
      <c r="I309"/>
      <c r="J309"/>
      <c r="K309"/>
      <c r="L309"/>
      <c r="M309"/>
      <c r="N309"/>
      <c r="O309"/>
      <c r="P309"/>
      <c r="Q309"/>
      <c r="R309"/>
      <c r="S309"/>
      <c r="T309"/>
      <c r="U309"/>
      <c r="V309"/>
    </row>
    <row r="310" spans="1:22" x14ac:dyDescent="0.3">
      <c r="A310"/>
      <c r="B310"/>
      <c r="C310"/>
      <c r="D310"/>
      <c r="E310"/>
      <c r="F310"/>
      <c r="G310"/>
      <c r="H310"/>
      <c r="I310"/>
      <c r="J310"/>
      <c r="K310"/>
      <c r="L310"/>
      <c r="M310"/>
      <c r="N310"/>
      <c r="O310"/>
      <c r="P310"/>
      <c r="Q310"/>
      <c r="R310"/>
      <c r="S310"/>
      <c r="T310"/>
      <c r="U310"/>
      <c r="V310"/>
    </row>
    <row r="311" spans="1:22" x14ac:dyDescent="0.3">
      <c r="A311"/>
      <c r="B311"/>
      <c r="C311"/>
      <c r="D311"/>
      <c r="E311"/>
      <c r="F311"/>
      <c r="G311"/>
      <c r="H311"/>
      <c r="I311"/>
      <c r="J311"/>
      <c r="K311"/>
      <c r="L311"/>
      <c r="M311"/>
      <c r="N311"/>
      <c r="O311"/>
      <c r="P311"/>
      <c r="Q311"/>
      <c r="R311"/>
      <c r="S311"/>
      <c r="T311"/>
      <c r="U311"/>
      <c r="V311"/>
    </row>
    <row r="312" spans="1:22" x14ac:dyDescent="0.3">
      <c r="A312"/>
      <c r="B312"/>
      <c r="C312"/>
      <c r="D312"/>
      <c r="E312"/>
      <c r="F312"/>
      <c r="G312"/>
      <c r="H312"/>
      <c r="I312"/>
      <c r="J312"/>
      <c r="K312"/>
      <c r="L312"/>
      <c r="M312"/>
      <c r="N312"/>
      <c r="O312"/>
      <c r="P312"/>
      <c r="Q312"/>
      <c r="R312"/>
      <c r="S312"/>
      <c r="T312"/>
      <c r="U312"/>
      <c r="V312"/>
    </row>
    <row r="313" spans="1:22" x14ac:dyDescent="0.3">
      <c r="A313"/>
      <c r="B313"/>
      <c r="C313"/>
      <c r="D313"/>
      <c r="E313"/>
      <c r="F313"/>
      <c r="G313"/>
      <c r="H313"/>
      <c r="I313"/>
      <c r="J313"/>
      <c r="K313"/>
      <c r="L313"/>
      <c r="M313"/>
      <c r="N313"/>
      <c r="O313"/>
      <c r="P313"/>
      <c r="Q313"/>
      <c r="R313"/>
      <c r="S313"/>
      <c r="T313"/>
      <c r="U313"/>
      <c r="V313"/>
    </row>
    <row r="314" spans="1:22" x14ac:dyDescent="0.3">
      <c r="A314"/>
      <c r="B314"/>
      <c r="C314"/>
      <c r="D314"/>
      <c r="E314"/>
      <c r="F314"/>
      <c r="G314"/>
      <c r="H314"/>
      <c r="I314"/>
      <c r="J314"/>
      <c r="K314"/>
      <c r="L314"/>
      <c r="M314"/>
      <c r="N314"/>
      <c r="O314"/>
      <c r="P314"/>
      <c r="Q314"/>
      <c r="R314"/>
      <c r="S314"/>
      <c r="T314"/>
      <c r="U314"/>
      <c r="V314"/>
    </row>
    <row r="315" spans="1:22" x14ac:dyDescent="0.3">
      <c r="A315"/>
      <c r="B315"/>
      <c r="C315"/>
      <c r="D315"/>
      <c r="E315"/>
      <c r="F315"/>
      <c r="G315"/>
      <c r="H315"/>
      <c r="I315"/>
      <c r="J315"/>
      <c r="K315"/>
      <c r="L315"/>
      <c r="M315"/>
      <c r="N315"/>
      <c r="O315"/>
      <c r="P315"/>
      <c r="Q315"/>
      <c r="R315"/>
      <c r="S315"/>
      <c r="T315"/>
      <c r="U315"/>
      <c r="V315"/>
    </row>
    <row r="316" spans="1:22" x14ac:dyDescent="0.3">
      <c r="A316"/>
      <c r="B316"/>
      <c r="C316"/>
      <c r="D316"/>
      <c r="E316"/>
      <c r="F316"/>
      <c r="G316"/>
      <c r="H316"/>
      <c r="I316"/>
      <c r="J316"/>
      <c r="K316"/>
      <c r="L316"/>
      <c r="M316"/>
      <c r="N316"/>
      <c r="O316"/>
      <c r="P316"/>
      <c r="Q316"/>
      <c r="R316"/>
      <c r="S316"/>
      <c r="T316"/>
      <c r="U316"/>
      <c r="V316"/>
    </row>
    <row r="317" spans="1:22" x14ac:dyDescent="0.3">
      <c r="A317"/>
      <c r="B317"/>
      <c r="C317"/>
      <c r="D317"/>
      <c r="E317"/>
      <c r="F317"/>
      <c r="G317"/>
      <c r="H317"/>
      <c r="I317"/>
      <c r="J317"/>
      <c r="K317"/>
      <c r="L317"/>
      <c r="M317"/>
      <c r="N317"/>
      <c r="O317"/>
      <c r="P317"/>
      <c r="Q317"/>
      <c r="R317"/>
      <c r="S317"/>
      <c r="T317"/>
      <c r="U317"/>
      <c r="V317"/>
    </row>
    <row r="318" spans="1:22" x14ac:dyDescent="0.3">
      <c r="A318"/>
      <c r="B318"/>
      <c r="C318"/>
      <c r="D318"/>
      <c r="E318"/>
      <c r="F318"/>
      <c r="G318"/>
      <c r="H318"/>
      <c r="I318"/>
      <c r="J318"/>
      <c r="K318"/>
      <c r="L318"/>
      <c r="M318"/>
      <c r="N318"/>
      <c r="O318"/>
      <c r="P318"/>
      <c r="Q318"/>
      <c r="R318"/>
      <c r="S318"/>
      <c r="T318"/>
      <c r="U318"/>
      <c r="V318"/>
    </row>
    <row r="319" spans="1:22" x14ac:dyDescent="0.3">
      <c r="A319"/>
      <c r="B319"/>
      <c r="C319"/>
      <c r="D319"/>
      <c r="E319"/>
      <c r="F319"/>
      <c r="G319"/>
      <c r="H319"/>
      <c r="I319"/>
      <c r="J319"/>
      <c r="K319"/>
      <c r="L319"/>
      <c r="M319"/>
      <c r="N319"/>
      <c r="O319"/>
      <c r="P319"/>
      <c r="Q319"/>
      <c r="R319"/>
      <c r="S319"/>
      <c r="T319"/>
      <c r="U319"/>
      <c r="V319"/>
    </row>
    <row r="320" spans="1:22" x14ac:dyDescent="0.3">
      <c r="A320"/>
      <c r="B320"/>
      <c r="C320"/>
      <c r="D320"/>
      <c r="E320"/>
      <c r="F320"/>
      <c r="G320"/>
      <c r="H320"/>
      <c r="I320"/>
      <c r="J320"/>
      <c r="K320"/>
      <c r="L320"/>
      <c r="M320"/>
      <c r="N320"/>
      <c r="O320"/>
      <c r="P320"/>
      <c r="Q320"/>
      <c r="R320"/>
      <c r="S320"/>
      <c r="T320"/>
      <c r="U320"/>
      <c r="V320"/>
    </row>
    <row r="321" spans="1:22" x14ac:dyDescent="0.3">
      <c r="A321"/>
      <c r="B321"/>
      <c r="C321"/>
      <c r="D321"/>
      <c r="E321"/>
      <c r="F321"/>
      <c r="G321"/>
      <c r="H321"/>
      <c r="I321"/>
      <c r="J321"/>
      <c r="K321"/>
      <c r="L321"/>
      <c r="M321"/>
      <c r="N321"/>
      <c r="O321"/>
      <c r="P321"/>
      <c r="Q321"/>
      <c r="R321"/>
      <c r="S321"/>
      <c r="T321"/>
      <c r="U321"/>
      <c r="V321"/>
    </row>
    <row r="322" spans="1:22" x14ac:dyDescent="0.3">
      <c r="A322"/>
      <c r="B322"/>
      <c r="C322"/>
      <c r="D322"/>
      <c r="E322"/>
      <c r="F322"/>
      <c r="G322"/>
      <c r="H322"/>
      <c r="I322"/>
      <c r="J322"/>
      <c r="K322"/>
      <c r="L322"/>
      <c r="M322"/>
      <c r="N322"/>
      <c r="O322"/>
      <c r="P322"/>
      <c r="Q322"/>
      <c r="R322"/>
      <c r="S322"/>
      <c r="T322"/>
      <c r="U322"/>
      <c r="V322"/>
    </row>
    <row r="323" spans="1:22" x14ac:dyDescent="0.3">
      <c r="A323"/>
      <c r="B323"/>
      <c r="C323"/>
      <c r="D323"/>
      <c r="E323"/>
      <c r="F323"/>
      <c r="G323"/>
      <c r="H323"/>
      <c r="I323"/>
      <c r="J323"/>
      <c r="K323"/>
      <c r="L323"/>
      <c r="M323"/>
      <c r="N323"/>
      <c r="O323"/>
      <c r="P323"/>
      <c r="Q323"/>
      <c r="R323"/>
      <c r="S323"/>
      <c r="T323"/>
      <c r="U323"/>
      <c r="V323"/>
    </row>
    <row r="324" spans="1:22" x14ac:dyDescent="0.3">
      <c r="A324"/>
      <c r="B324"/>
      <c r="C324"/>
      <c r="D324"/>
      <c r="E324"/>
      <c r="F324"/>
      <c r="G324"/>
      <c r="H324"/>
      <c r="I324"/>
      <c r="J324"/>
      <c r="K324"/>
      <c r="L324"/>
      <c r="M324"/>
      <c r="N324"/>
      <c r="O324"/>
      <c r="P324"/>
      <c r="Q324"/>
      <c r="R324"/>
      <c r="S324"/>
      <c r="T324"/>
      <c r="U324"/>
      <c r="V324"/>
    </row>
    <row r="325" spans="1:22" x14ac:dyDescent="0.3">
      <c r="A325"/>
      <c r="B325"/>
      <c r="C325"/>
      <c r="D325"/>
      <c r="E325"/>
      <c r="F325"/>
      <c r="G325"/>
      <c r="H325"/>
      <c r="I325"/>
      <c r="J325"/>
      <c r="K325"/>
      <c r="L325"/>
      <c r="M325"/>
      <c r="N325"/>
      <c r="O325"/>
      <c r="P325"/>
      <c r="Q325"/>
      <c r="R325"/>
      <c r="S325"/>
      <c r="T325"/>
      <c r="U325"/>
      <c r="V325"/>
    </row>
    <row r="326" spans="1:22" x14ac:dyDescent="0.3">
      <c r="A326"/>
      <c r="B326"/>
      <c r="C326"/>
      <c r="D326"/>
      <c r="E326"/>
      <c r="F326"/>
      <c r="G326"/>
      <c r="H326"/>
      <c r="I326"/>
      <c r="J326"/>
      <c r="K326"/>
      <c r="L326"/>
      <c r="M326"/>
      <c r="N326"/>
      <c r="O326"/>
      <c r="P326"/>
      <c r="Q326"/>
      <c r="R326"/>
      <c r="S326"/>
      <c r="T326"/>
      <c r="U326"/>
      <c r="V326"/>
    </row>
    <row r="327" spans="1:22" x14ac:dyDescent="0.3">
      <c r="A327"/>
      <c r="B327"/>
      <c r="C327"/>
      <c r="D327"/>
      <c r="E327"/>
      <c r="F327"/>
      <c r="G327"/>
      <c r="H327"/>
      <c r="I327"/>
      <c r="J327"/>
      <c r="K327"/>
      <c r="L327"/>
      <c r="M327"/>
      <c r="N327"/>
      <c r="O327"/>
      <c r="P327"/>
      <c r="Q327"/>
      <c r="R327"/>
      <c r="S327"/>
      <c r="T327"/>
      <c r="U327"/>
      <c r="V327"/>
    </row>
    <row r="328" spans="1:22" x14ac:dyDescent="0.3">
      <c r="A328"/>
      <c r="B328"/>
      <c r="C328"/>
      <c r="D328"/>
      <c r="E328"/>
      <c r="F328"/>
      <c r="G328"/>
      <c r="H328"/>
      <c r="I328"/>
      <c r="J328"/>
      <c r="K328"/>
      <c r="L328"/>
      <c r="M328"/>
      <c r="N328"/>
      <c r="O328"/>
      <c r="P328"/>
      <c r="Q328"/>
      <c r="R328"/>
      <c r="S328"/>
      <c r="T328"/>
      <c r="U328"/>
      <c r="V328"/>
    </row>
    <row r="329" spans="1:22" x14ac:dyDescent="0.3">
      <c r="A329"/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Q329"/>
      <c r="R329"/>
      <c r="S329"/>
      <c r="T329"/>
      <c r="U329"/>
      <c r="V329"/>
    </row>
    <row r="330" spans="1:22" x14ac:dyDescent="0.3">
      <c r="A330"/>
      <c r="B330"/>
      <c r="C330"/>
      <c r="D330"/>
      <c r="E330"/>
      <c r="F330"/>
      <c r="G330"/>
      <c r="H330"/>
      <c r="I330"/>
      <c r="J330"/>
      <c r="K330"/>
      <c r="L330"/>
      <c r="M330"/>
      <c r="N330"/>
      <c r="O330"/>
      <c r="P330"/>
      <c r="Q330"/>
      <c r="R330"/>
      <c r="S330"/>
      <c r="T330"/>
      <c r="U330"/>
      <c r="V330"/>
    </row>
    <row r="331" spans="1:22" x14ac:dyDescent="0.3">
      <c r="A331"/>
      <c r="B331"/>
      <c r="C331"/>
      <c r="D331"/>
      <c r="E331"/>
      <c r="F331"/>
      <c r="G331"/>
      <c r="H331"/>
      <c r="I331"/>
      <c r="J331"/>
      <c r="K331"/>
      <c r="L331"/>
      <c r="M331"/>
      <c r="N331"/>
      <c r="O331"/>
      <c r="P331"/>
      <c r="Q331"/>
      <c r="R331"/>
      <c r="S331"/>
      <c r="T331"/>
      <c r="U331"/>
      <c r="V331"/>
    </row>
    <row r="332" spans="1:22" x14ac:dyDescent="0.3">
      <c r="A332"/>
      <c r="B332"/>
      <c r="C332"/>
      <c r="D332"/>
      <c r="E332"/>
      <c r="F332"/>
      <c r="G332"/>
      <c r="H332"/>
      <c r="I332"/>
      <c r="J332"/>
      <c r="K332"/>
      <c r="L332"/>
      <c r="M332"/>
      <c r="N332"/>
      <c r="O332"/>
      <c r="P332"/>
      <c r="Q332"/>
      <c r="R332"/>
      <c r="S332"/>
      <c r="T332"/>
      <c r="U332"/>
      <c r="V332"/>
    </row>
    <row r="333" spans="1:22" x14ac:dyDescent="0.3">
      <c r="A333"/>
      <c r="B333"/>
      <c r="C333"/>
      <c r="D333"/>
      <c r="E333"/>
      <c r="F333"/>
      <c r="G333"/>
      <c r="H333"/>
      <c r="I333"/>
      <c r="J333"/>
      <c r="K333"/>
      <c r="L333"/>
      <c r="M333"/>
      <c r="N333"/>
      <c r="O333"/>
      <c r="P333"/>
      <c r="Q333"/>
      <c r="R333"/>
      <c r="S333"/>
      <c r="T333"/>
      <c r="U333"/>
      <c r="V333"/>
    </row>
    <row r="334" spans="1:22" x14ac:dyDescent="0.3">
      <c r="A334"/>
      <c r="B334"/>
      <c r="C334"/>
      <c r="D334"/>
      <c r="E334"/>
      <c r="F334"/>
      <c r="G334"/>
      <c r="H334"/>
      <c r="I334"/>
      <c r="J334"/>
      <c r="K334"/>
      <c r="L334"/>
      <c r="M334"/>
      <c r="N334"/>
      <c r="O334"/>
      <c r="P334"/>
      <c r="Q334"/>
      <c r="R334"/>
      <c r="S334"/>
      <c r="T334"/>
      <c r="U334"/>
      <c r="V334"/>
    </row>
    <row r="335" spans="1:22" x14ac:dyDescent="0.3">
      <c r="A335"/>
      <c r="B335"/>
      <c r="C335"/>
      <c r="D335"/>
      <c r="E335"/>
      <c r="F335"/>
      <c r="G335"/>
      <c r="H335"/>
      <c r="I335"/>
      <c r="J335"/>
      <c r="K335"/>
      <c r="L335"/>
      <c r="M335"/>
      <c r="N335"/>
      <c r="O335"/>
      <c r="P335"/>
      <c r="Q335"/>
      <c r="R335"/>
      <c r="S335"/>
      <c r="T335"/>
      <c r="U335"/>
      <c r="V335"/>
    </row>
    <row r="336" spans="1:22" x14ac:dyDescent="0.3">
      <c r="A336"/>
      <c r="B336"/>
      <c r="C336"/>
      <c r="D336"/>
      <c r="E336"/>
      <c r="F336"/>
      <c r="G336"/>
      <c r="H336"/>
      <c r="I336"/>
      <c r="J336"/>
      <c r="K336"/>
      <c r="L336"/>
      <c r="M336"/>
      <c r="N336"/>
      <c r="O336"/>
      <c r="P336"/>
      <c r="Q336"/>
      <c r="R336"/>
      <c r="S336"/>
      <c r="T336"/>
      <c r="U336"/>
      <c r="V336"/>
    </row>
    <row r="337" spans="1:22" x14ac:dyDescent="0.3">
      <c r="A337"/>
      <c r="B337"/>
      <c r="C337"/>
      <c r="D337"/>
      <c r="E337"/>
      <c r="F337"/>
      <c r="G337"/>
      <c r="H337"/>
      <c r="I337"/>
      <c r="J337"/>
      <c r="K337"/>
      <c r="L337"/>
      <c r="M337"/>
      <c r="N337"/>
      <c r="O337"/>
      <c r="P337"/>
      <c r="Q337"/>
      <c r="R337"/>
      <c r="S337"/>
      <c r="T337"/>
      <c r="U337"/>
      <c r="V337"/>
    </row>
    <row r="338" spans="1:22" x14ac:dyDescent="0.3">
      <c r="A338"/>
      <c r="B338"/>
      <c r="C338"/>
      <c r="D338"/>
      <c r="E338"/>
      <c r="F338"/>
      <c r="G338"/>
      <c r="H338"/>
      <c r="I338"/>
      <c r="J338"/>
      <c r="K338"/>
      <c r="L338"/>
      <c r="M338"/>
      <c r="N338"/>
      <c r="O338"/>
      <c r="P338"/>
      <c r="Q338"/>
      <c r="R338"/>
      <c r="S338"/>
      <c r="T338"/>
      <c r="U338"/>
      <c r="V338"/>
    </row>
    <row r="339" spans="1:22" x14ac:dyDescent="0.3">
      <c r="A339"/>
      <c r="B339"/>
      <c r="C339"/>
      <c r="D339"/>
      <c r="E339"/>
      <c r="F339"/>
      <c r="G339"/>
      <c r="H339"/>
      <c r="I339"/>
      <c r="J339"/>
      <c r="K339"/>
      <c r="L339"/>
      <c r="M339"/>
      <c r="N339"/>
      <c r="O339"/>
      <c r="P339"/>
      <c r="Q339"/>
      <c r="R339"/>
      <c r="S339"/>
      <c r="T339"/>
      <c r="U339"/>
      <c r="V339"/>
    </row>
    <row r="340" spans="1:22" x14ac:dyDescent="0.3">
      <c r="A340"/>
      <c r="B340"/>
      <c r="C340"/>
      <c r="D340"/>
      <c r="E340"/>
      <c r="F340"/>
      <c r="G340"/>
      <c r="H340"/>
      <c r="I340"/>
      <c r="J340"/>
      <c r="K340"/>
      <c r="L340"/>
      <c r="M340"/>
      <c r="N340"/>
      <c r="O340"/>
      <c r="P340"/>
      <c r="Q340"/>
      <c r="R340"/>
      <c r="S340"/>
      <c r="T340"/>
      <c r="U340"/>
      <c r="V340"/>
    </row>
    <row r="341" spans="1:22" x14ac:dyDescent="0.3">
      <c r="A341"/>
      <c r="B341"/>
      <c r="C341"/>
      <c r="D341"/>
      <c r="E341"/>
      <c r="F341"/>
      <c r="G341"/>
      <c r="H341"/>
      <c r="I341"/>
      <c r="J341"/>
      <c r="K341"/>
      <c r="L341"/>
      <c r="M341"/>
      <c r="N341"/>
      <c r="O341"/>
      <c r="P341"/>
      <c r="Q341"/>
      <c r="R341"/>
      <c r="S341"/>
      <c r="T341"/>
      <c r="U341"/>
      <c r="V341"/>
    </row>
    <row r="342" spans="1:22" x14ac:dyDescent="0.3">
      <c r="A342"/>
      <c r="B342"/>
      <c r="C342"/>
      <c r="D342"/>
      <c r="E342"/>
      <c r="F342"/>
      <c r="G342"/>
      <c r="H342"/>
      <c r="I342"/>
      <c r="J342"/>
      <c r="K342"/>
      <c r="L342"/>
      <c r="M342"/>
      <c r="N342"/>
      <c r="O342"/>
      <c r="P342"/>
      <c r="Q342"/>
      <c r="R342"/>
      <c r="S342"/>
      <c r="T342"/>
      <c r="U342"/>
      <c r="V342"/>
    </row>
    <row r="343" spans="1:22" x14ac:dyDescent="0.3">
      <c r="A343"/>
      <c r="B343"/>
      <c r="C343"/>
      <c r="D343"/>
      <c r="E343"/>
      <c r="F343"/>
      <c r="G343"/>
      <c r="H343"/>
      <c r="I343"/>
      <c r="J343"/>
      <c r="K343"/>
      <c r="L343"/>
      <c r="M343"/>
      <c r="N343"/>
      <c r="O343"/>
      <c r="P343"/>
      <c r="Q343"/>
      <c r="R343"/>
      <c r="S343"/>
      <c r="T343"/>
      <c r="U343"/>
      <c r="V343"/>
    </row>
    <row r="344" spans="1:22" x14ac:dyDescent="0.3">
      <c r="A344"/>
      <c r="B344"/>
      <c r="C344"/>
      <c r="D344"/>
      <c r="E344"/>
      <c r="F344"/>
      <c r="G344"/>
      <c r="H344"/>
      <c r="I344"/>
      <c r="J344"/>
      <c r="K344"/>
      <c r="L344"/>
      <c r="M344"/>
      <c r="N344"/>
      <c r="O344"/>
      <c r="P344"/>
      <c r="Q344"/>
      <c r="R344"/>
      <c r="S344"/>
      <c r="T344"/>
      <c r="U344"/>
      <c r="V344"/>
    </row>
    <row r="345" spans="1:22" x14ac:dyDescent="0.3">
      <c r="A345"/>
      <c r="B345"/>
      <c r="C345"/>
      <c r="D345"/>
      <c r="E345"/>
      <c r="F345"/>
      <c r="G345"/>
      <c r="H345"/>
      <c r="I345"/>
      <c r="J345"/>
      <c r="K345"/>
      <c r="L345"/>
      <c r="M345"/>
      <c r="N345"/>
      <c r="O345"/>
      <c r="P345"/>
      <c r="Q345"/>
      <c r="R345"/>
      <c r="S345"/>
      <c r="T345"/>
      <c r="U345"/>
      <c r="V345"/>
    </row>
    <row r="346" spans="1:22" x14ac:dyDescent="0.3">
      <c r="A346"/>
      <c r="B346"/>
      <c r="C346"/>
      <c r="D346"/>
      <c r="E346"/>
      <c r="F346"/>
      <c r="G346"/>
      <c r="H346"/>
      <c r="I346"/>
      <c r="J346"/>
      <c r="K346"/>
      <c r="L346"/>
      <c r="M346"/>
      <c r="N346"/>
      <c r="O346"/>
      <c r="P346"/>
      <c r="Q346"/>
      <c r="R346"/>
      <c r="S346"/>
      <c r="T346"/>
      <c r="U346"/>
      <c r="V346"/>
    </row>
    <row r="347" spans="1:22" x14ac:dyDescent="0.3">
      <c r="A347"/>
      <c r="B347"/>
      <c r="C347"/>
      <c r="D347"/>
      <c r="E347"/>
      <c r="F347"/>
      <c r="G347"/>
      <c r="H347"/>
      <c r="I347"/>
      <c r="J347"/>
      <c r="K347"/>
      <c r="L347"/>
      <c r="M347"/>
      <c r="N347"/>
      <c r="O347"/>
      <c r="P347"/>
      <c r="Q347"/>
      <c r="R347"/>
      <c r="S347"/>
      <c r="T347"/>
      <c r="U347"/>
      <c r="V347"/>
    </row>
    <row r="348" spans="1:22" x14ac:dyDescent="0.3">
      <c r="A348"/>
      <c r="B348"/>
      <c r="C348"/>
      <c r="D348"/>
      <c r="E348"/>
      <c r="F348"/>
      <c r="G348"/>
      <c r="H348"/>
      <c r="I348"/>
      <c r="J348"/>
      <c r="K348"/>
      <c r="L348"/>
      <c r="M348"/>
      <c r="N348"/>
      <c r="O348"/>
      <c r="P348"/>
      <c r="Q348"/>
      <c r="R348"/>
      <c r="S348"/>
      <c r="T348"/>
      <c r="U348"/>
      <c r="V348"/>
    </row>
    <row r="349" spans="1:22" x14ac:dyDescent="0.3">
      <c r="A349"/>
      <c r="B349"/>
      <c r="C349"/>
      <c r="D349"/>
      <c r="E349"/>
      <c r="F349"/>
      <c r="G349"/>
      <c r="H349"/>
      <c r="I349"/>
      <c r="J349"/>
      <c r="K349"/>
      <c r="L349"/>
      <c r="M349"/>
      <c r="N349"/>
      <c r="O349"/>
      <c r="P349"/>
      <c r="Q349"/>
      <c r="R349"/>
      <c r="S349"/>
      <c r="T349"/>
      <c r="U349"/>
      <c r="V349"/>
    </row>
    <row r="350" spans="1:22" x14ac:dyDescent="0.3">
      <c r="A350"/>
      <c r="B350"/>
      <c r="C350"/>
      <c r="D350"/>
      <c r="E350"/>
      <c r="F350"/>
      <c r="G350"/>
      <c r="H350"/>
      <c r="I350"/>
      <c r="J350"/>
      <c r="K350"/>
      <c r="L350"/>
      <c r="M350"/>
      <c r="N350"/>
      <c r="O350"/>
      <c r="P350"/>
      <c r="Q350"/>
      <c r="R350"/>
      <c r="S350"/>
      <c r="T350"/>
      <c r="U350"/>
      <c r="V350"/>
    </row>
    <row r="351" spans="1:22" x14ac:dyDescent="0.3">
      <c r="A351"/>
      <c r="B351"/>
      <c r="C351"/>
      <c r="D351"/>
      <c r="E351"/>
      <c r="F351"/>
      <c r="G351"/>
      <c r="H351"/>
      <c r="I351"/>
      <c r="J351"/>
      <c r="K351"/>
      <c r="L351"/>
      <c r="M351"/>
      <c r="N351"/>
      <c r="O351"/>
      <c r="P351"/>
      <c r="Q351"/>
      <c r="R351"/>
      <c r="S351"/>
      <c r="T351"/>
      <c r="U351"/>
      <c r="V351"/>
    </row>
    <row r="352" spans="1:22" x14ac:dyDescent="0.3">
      <c r="A352"/>
      <c r="B352"/>
      <c r="C352"/>
      <c r="D352"/>
      <c r="E352"/>
      <c r="F352"/>
      <c r="G352"/>
      <c r="H352"/>
      <c r="I352"/>
      <c r="J352"/>
      <c r="K352"/>
      <c r="L352"/>
      <c r="M352"/>
      <c r="N352"/>
      <c r="O352"/>
      <c r="P352"/>
      <c r="Q352"/>
      <c r="R352"/>
      <c r="S352"/>
      <c r="T352"/>
      <c r="U352"/>
      <c r="V352"/>
    </row>
    <row r="353" spans="1:22" x14ac:dyDescent="0.3">
      <c r="A353"/>
      <c r="B353"/>
      <c r="C353"/>
      <c r="D353"/>
      <c r="E353"/>
      <c r="F353"/>
      <c r="G353"/>
      <c r="H353"/>
      <c r="I353"/>
      <c r="J353"/>
      <c r="K353"/>
      <c r="L353"/>
      <c r="M353"/>
      <c r="N353"/>
      <c r="O353"/>
      <c r="P353"/>
      <c r="Q353"/>
      <c r="R353"/>
      <c r="S353"/>
      <c r="T353"/>
      <c r="U353"/>
      <c r="V353"/>
    </row>
    <row r="354" spans="1:22" x14ac:dyDescent="0.3">
      <c r="A354"/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</row>
    <row r="355" spans="1:22" x14ac:dyDescent="0.3">
      <c r="A355"/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</row>
    <row r="356" spans="1:22" x14ac:dyDescent="0.3">
      <c r="A356"/>
      <c r="B356"/>
      <c r="C356"/>
      <c r="D356"/>
      <c r="E356"/>
      <c r="F356"/>
      <c r="G356"/>
      <c r="H356"/>
      <c r="I356"/>
      <c r="J356"/>
      <c r="K356"/>
      <c r="L356"/>
      <c r="M356"/>
      <c r="N356"/>
      <c r="O356"/>
      <c r="P356"/>
      <c r="Q356"/>
      <c r="R356"/>
      <c r="S356"/>
      <c r="T356"/>
      <c r="U356"/>
      <c r="V356"/>
    </row>
    <row r="357" spans="1:22" x14ac:dyDescent="0.3">
      <c r="A357"/>
      <c r="B357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Q357"/>
      <c r="R357"/>
      <c r="S357"/>
      <c r="T357"/>
      <c r="U357"/>
      <c r="V357"/>
    </row>
    <row r="358" spans="1:22" x14ac:dyDescent="0.3">
      <c r="A358"/>
      <c r="B358"/>
      <c r="C358"/>
      <c r="D358"/>
      <c r="E358"/>
      <c r="F358"/>
      <c r="G358"/>
      <c r="H358"/>
      <c r="I358"/>
      <c r="J358"/>
      <c r="K358"/>
      <c r="L358"/>
      <c r="M358"/>
      <c r="N358"/>
      <c r="O358"/>
      <c r="P358"/>
      <c r="Q358"/>
      <c r="R358"/>
      <c r="S358"/>
      <c r="T358"/>
      <c r="U358"/>
      <c r="V358"/>
    </row>
    <row r="359" spans="1:22" x14ac:dyDescent="0.3">
      <c r="A359"/>
      <c r="B359"/>
      <c r="C359"/>
      <c r="D359"/>
      <c r="E359"/>
      <c r="F359"/>
      <c r="G359"/>
      <c r="H359"/>
      <c r="I359"/>
      <c r="J359"/>
      <c r="K359"/>
      <c r="L359"/>
      <c r="M359"/>
      <c r="N359"/>
      <c r="O359"/>
      <c r="P359"/>
      <c r="Q359"/>
      <c r="R359"/>
      <c r="S359"/>
      <c r="T359"/>
      <c r="U359"/>
      <c r="V359"/>
    </row>
    <row r="360" spans="1:22" x14ac:dyDescent="0.3">
      <c r="A360"/>
      <c r="B360"/>
      <c r="C360"/>
      <c r="D360"/>
      <c r="E360"/>
      <c r="F360"/>
      <c r="G360"/>
      <c r="H360"/>
      <c r="I360"/>
      <c r="J360"/>
      <c r="K360"/>
      <c r="L360"/>
      <c r="M360"/>
      <c r="N360"/>
      <c r="O360"/>
      <c r="P360"/>
      <c r="Q360"/>
      <c r="R360"/>
      <c r="S360"/>
      <c r="T360"/>
      <c r="U360"/>
      <c r="V360"/>
    </row>
    <row r="361" spans="1:22" x14ac:dyDescent="0.3">
      <c r="A361"/>
      <c r="B361"/>
      <c r="C361"/>
      <c r="D361"/>
      <c r="E361"/>
      <c r="F361"/>
      <c r="G361"/>
      <c r="H361"/>
      <c r="I361"/>
      <c r="J361"/>
      <c r="K361"/>
      <c r="L361"/>
      <c r="M361"/>
      <c r="N361"/>
      <c r="O361"/>
      <c r="P361"/>
      <c r="Q361"/>
      <c r="R361"/>
      <c r="S361"/>
      <c r="T361"/>
      <c r="U361"/>
      <c r="V361"/>
    </row>
    <row r="362" spans="1:22" x14ac:dyDescent="0.3">
      <c r="A362"/>
      <c r="B362"/>
      <c r="C362"/>
      <c r="D362"/>
      <c r="E362"/>
      <c r="F362"/>
      <c r="G362"/>
      <c r="H362"/>
      <c r="I362"/>
      <c r="J362"/>
      <c r="K362"/>
      <c r="L362"/>
      <c r="M362"/>
      <c r="N362"/>
      <c r="O362"/>
      <c r="P362"/>
      <c r="Q362"/>
      <c r="R362"/>
      <c r="S362"/>
      <c r="T362"/>
      <c r="U362"/>
      <c r="V362"/>
    </row>
    <row r="363" spans="1:22" x14ac:dyDescent="0.3">
      <c r="A363"/>
      <c r="B363"/>
      <c r="C363"/>
      <c r="D363"/>
      <c r="E363"/>
      <c r="F363"/>
      <c r="G363"/>
      <c r="H363"/>
      <c r="I363"/>
      <c r="J363"/>
      <c r="K363"/>
      <c r="L363"/>
      <c r="M363"/>
      <c r="N363"/>
      <c r="O363"/>
      <c r="P363"/>
      <c r="Q363"/>
      <c r="R363"/>
      <c r="S363"/>
      <c r="T363"/>
      <c r="U363"/>
      <c r="V363"/>
    </row>
    <row r="364" spans="1:22" x14ac:dyDescent="0.3">
      <c r="A364"/>
      <c r="B364"/>
      <c r="C364"/>
      <c r="D364"/>
      <c r="E364"/>
      <c r="F364"/>
      <c r="G364"/>
      <c r="H364"/>
      <c r="I364"/>
      <c r="J364"/>
      <c r="K364"/>
      <c r="L364"/>
      <c r="M364"/>
      <c r="N364"/>
      <c r="O364"/>
      <c r="P364"/>
      <c r="Q364"/>
      <c r="R364"/>
      <c r="S364"/>
      <c r="T364"/>
      <c r="U364"/>
      <c r="V364"/>
    </row>
    <row r="365" spans="1:22" x14ac:dyDescent="0.3">
      <c r="A365"/>
      <c r="B365"/>
      <c r="C365"/>
      <c r="D365"/>
      <c r="E365"/>
      <c r="F365"/>
      <c r="G365"/>
      <c r="H365"/>
      <c r="I365"/>
      <c r="J365"/>
      <c r="K365"/>
      <c r="L365"/>
      <c r="M365"/>
      <c r="N365"/>
      <c r="O365"/>
      <c r="P365"/>
      <c r="Q365"/>
      <c r="R365"/>
      <c r="S365"/>
      <c r="T365"/>
      <c r="U365"/>
      <c r="V365"/>
    </row>
    <row r="366" spans="1:22" x14ac:dyDescent="0.3">
      <c r="A366"/>
      <c r="B366"/>
      <c r="C366"/>
      <c r="D366"/>
      <c r="E366"/>
      <c r="F366"/>
      <c r="G366"/>
      <c r="H366"/>
      <c r="I366"/>
      <c r="J366"/>
      <c r="K366"/>
      <c r="L366"/>
      <c r="M366"/>
      <c r="N366"/>
      <c r="O366"/>
      <c r="P366"/>
      <c r="Q366"/>
      <c r="R366"/>
      <c r="S366"/>
      <c r="T366"/>
      <c r="U366"/>
      <c r="V366"/>
    </row>
    <row r="367" spans="1:22" x14ac:dyDescent="0.3">
      <c r="A367"/>
      <c r="B367"/>
      <c r="C367"/>
      <c r="D367"/>
      <c r="E367"/>
      <c r="F367"/>
      <c r="G367"/>
      <c r="H367"/>
      <c r="I367"/>
      <c r="J367"/>
      <c r="K367"/>
      <c r="L367"/>
      <c r="M367"/>
      <c r="N367"/>
      <c r="O367"/>
      <c r="P367"/>
      <c r="Q367"/>
      <c r="R367"/>
      <c r="S367"/>
      <c r="T367"/>
      <c r="U367"/>
      <c r="V367"/>
    </row>
    <row r="368" spans="1:22" x14ac:dyDescent="0.3">
      <c r="A368"/>
      <c r="B368"/>
      <c r="C368"/>
      <c r="D368"/>
      <c r="E368"/>
      <c r="F368"/>
      <c r="G368"/>
      <c r="H368"/>
      <c r="I368"/>
      <c r="J368"/>
      <c r="K368"/>
      <c r="L368"/>
      <c r="M368"/>
      <c r="N368"/>
      <c r="O368"/>
      <c r="P368"/>
      <c r="Q368"/>
      <c r="R368"/>
      <c r="S368"/>
      <c r="T368"/>
      <c r="U368"/>
      <c r="V368"/>
    </row>
    <row r="369" spans="1:22" x14ac:dyDescent="0.3">
      <c r="A369"/>
      <c r="B369"/>
      <c r="C369"/>
      <c r="D369"/>
      <c r="E369"/>
      <c r="F369"/>
      <c r="G369"/>
      <c r="H369"/>
      <c r="I369"/>
      <c r="J369"/>
      <c r="K369"/>
      <c r="L369"/>
      <c r="M369"/>
      <c r="N369"/>
      <c r="O369"/>
      <c r="P369"/>
      <c r="Q369"/>
      <c r="R369"/>
      <c r="S369"/>
      <c r="T369"/>
      <c r="U369"/>
      <c r="V369"/>
    </row>
    <row r="370" spans="1:22" x14ac:dyDescent="0.3">
      <c r="A370"/>
      <c r="B370"/>
      <c r="C370"/>
      <c r="D370"/>
      <c r="E370"/>
      <c r="F370"/>
      <c r="G370"/>
      <c r="H370"/>
      <c r="I370"/>
      <c r="J370"/>
      <c r="K370"/>
      <c r="L370"/>
      <c r="M370"/>
      <c r="N370"/>
      <c r="O370"/>
      <c r="P370"/>
      <c r="Q370"/>
      <c r="R370"/>
      <c r="S370"/>
      <c r="T370"/>
      <c r="U370"/>
      <c r="V370"/>
    </row>
    <row r="371" spans="1:22" x14ac:dyDescent="0.3">
      <c r="A371"/>
      <c r="B371"/>
      <c r="C371"/>
      <c r="D371"/>
      <c r="E371"/>
      <c r="F371"/>
      <c r="G371"/>
      <c r="H371"/>
      <c r="I371"/>
      <c r="J371"/>
      <c r="K371"/>
      <c r="L371"/>
      <c r="M371"/>
      <c r="N371"/>
      <c r="O371"/>
      <c r="P371"/>
      <c r="Q371"/>
      <c r="R371"/>
      <c r="S371"/>
      <c r="T371"/>
      <c r="U371"/>
      <c r="V371"/>
    </row>
    <row r="372" spans="1:22" x14ac:dyDescent="0.3">
      <c r="A372"/>
      <c r="B372"/>
      <c r="C372"/>
      <c r="D372"/>
      <c r="E372"/>
      <c r="F372"/>
      <c r="G372"/>
      <c r="H372"/>
      <c r="I372"/>
      <c r="J372"/>
      <c r="K372"/>
      <c r="L372"/>
      <c r="M372"/>
      <c r="N372"/>
      <c r="O372"/>
      <c r="P372"/>
      <c r="Q372"/>
      <c r="R372"/>
      <c r="S372"/>
      <c r="T372"/>
      <c r="U372"/>
      <c r="V372"/>
    </row>
    <row r="373" spans="1:22" x14ac:dyDescent="0.3">
      <c r="A373"/>
      <c r="B373"/>
      <c r="C373"/>
      <c r="D373"/>
      <c r="E373"/>
      <c r="F373"/>
      <c r="G373"/>
      <c r="H373"/>
      <c r="I373"/>
      <c r="J373"/>
      <c r="K373"/>
      <c r="L373"/>
      <c r="M373"/>
      <c r="N373"/>
      <c r="O373"/>
      <c r="P373"/>
      <c r="Q373"/>
      <c r="R373"/>
      <c r="S373"/>
      <c r="T373"/>
      <c r="U373"/>
      <c r="V373"/>
    </row>
    <row r="374" spans="1:22" x14ac:dyDescent="0.3">
      <c r="A374"/>
      <c r="B374"/>
      <c r="C374"/>
      <c r="D374"/>
      <c r="E374"/>
      <c r="F374"/>
      <c r="G374"/>
      <c r="H374"/>
      <c r="I374"/>
      <c r="J374"/>
      <c r="K374"/>
      <c r="L374"/>
      <c r="M374"/>
      <c r="N374"/>
      <c r="O374"/>
      <c r="P374"/>
      <c r="Q374"/>
      <c r="R374"/>
      <c r="S374"/>
      <c r="T374"/>
      <c r="U374"/>
      <c r="V374"/>
    </row>
    <row r="375" spans="1:22" x14ac:dyDescent="0.3">
      <c r="A375"/>
      <c r="B375"/>
      <c r="C375"/>
      <c r="D375"/>
      <c r="E375"/>
      <c r="F375"/>
      <c r="G375"/>
      <c r="H375"/>
      <c r="I375"/>
      <c r="J375"/>
      <c r="K375"/>
      <c r="L375"/>
      <c r="M375"/>
      <c r="N375"/>
      <c r="O375"/>
      <c r="P375"/>
      <c r="Q375"/>
      <c r="R375"/>
      <c r="S375"/>
      <c r="T375"/>
      <c r="U375"/>
      <c r="V375"/>
    </row>
    <row r="376" spans="1:22" x14ac:dyDescent="0.3">
      <c r="A376"/>
      <c r="B376"/>
      <c r="C376"/>
      <c r="D376"/>
      <c r="E376"/>
      <c r="F376"/>
      <c r="G376"/>
      <c r="H376"/>
      <c r="I376"/>
      <c r="J376"/>
      <c r="K376"/>
      <c r="L376"/>
      <c r="M376"/>
      <c r="N376"/>
      <c r="O376"/>
      <c r="P376"/>
      <c r="Q376"/>
      <c r="R376"/>
      <c r="S376"/>
      <c r="T376"/>
      <c r="U376"/>
      <c r="V376"/>
    </row>
    <row r="377" spans="1:22" x14ac:dyDescent="0.3">
      <c r="A377"/>
      <c r="B377"/>
      <c r="C377"/>
      <c r="D377"/>
      <c r="E377"/>
      <c r="F377"/>
      <c r="G377"/>
      <c r="H377"/>
      <c r="I377"/>
      <c r="J377"/>
      <c r="K377"/>
      <c r="L377"/>
      <c r="M377"/>
      <c r="N377"/>
      <c r="O377"/>
      <c r="P377"/>
      <c r="Q377"/>
      <c r="R377"/>
      <c r="S377"/>
      <c r="T377"/>
      <c r="U377"/>
      <c r="V377"/>
    </row>
    <row r="378" spans="1:22" x14ac:dyDescent="0.3">
      <c r="A378"/>
      <c r="B378"/>
      <c r="C378"/>
      <c r="D378"/>
      <c r="E378"/>
      <c r="F378"/>
      <c r="G378"/>
      <c r="H378"/>
      <c r="I378"/>
      <c r="J378"/>
      <c r="K378"/>
      <c r="L378"/>
      <c r="M378"/>
      <c r="N378"/>
      <c r="O378"/>
      <c r="P378"/>
      <c r="Q378"/>
      <c r="R378"/>
      <c r="S378"/>
      <c r="T378"/>
      <c r="U378"/>
      <c r="V378"/>
    </row>
    <row r="379" spans="1:22" x14ac:dyDescent="0.3">
      <c r="A379"/>
      <c r="B379"/>
      <c r="C379"/>
      <c r="D379"/>
      <c r="E379"/>
      <c r="F379"/>
      <c r="G379"/>
      <c r="H379"/>
      <c r="I379"/>
      <c r="J379"/>
      <c r="K379"/>
      <c r="L379"/>
      <c r="M379"/>
      <c r="N379"/>
      <c r="O379"/>
      <c r="P379"/>
      <c r="Q379"/>
      <c r="R379"/>
      <c r="S379"/>
      <c r="T379"/>
      <c r="U379"/>
      <c r="V379"/>
    </row>
    <row r="380" spans="1:22" x14ac:dyDescent="0.3">
      <c r="A380"/>
      <c r="B380"/>
      <c r="C380"/>
      <c r="D380"/>
      <c r="E380"/>
      <c r="F380"/>
      <c r="G380"/>
      <c r="H380"/>
      <c r="I380"/>
      <c r="J380"/>
      <c r="K380"/>
      <c r="L380"/>
      <c r="M380"/>
      <c r="N380"/>
      <c r="O380"/>
      <c r="P380"/>
      <c r="Q380"/>
      <c r="R380"/>
      <c r="S380"/>
      <c r="T380"/>
      <c r="U380"/>
      <c r="V380"/>
    </row>
    <row r="381" spans="1:22" x14ac:dyDescent="0.3">
      <c r="A381"/>
      <c r="B381"/>
      <c r="C381"/>
      <c r="D381"/>
      <c r="E381"/>
      <c r="F381"/>
      <c r="G381"/>
      <c r="H381"/>
      <c r="I381"/>
      <c r="J381"/>
      <c r="K381"/>
      <c r="L381"/>
      <c r="M381"/>
      <c r="N381"/>
      <c r="O381"/>
      <c r="P381"/>
      <c r="Q381"/>
      <c r="R381"/>
      <c r="S381"/>
      <c r="T381"/>
      <c r="U381"/>
      <c r="V381"/>
    </row>
    <row r="382" spans="1:22" x14ac:dyDescent="0.3">
      <c r="A382"/>
      <c r="B382"/>
      <c r="C382"/>
      <c r="D382"/>
      <c r="E382"/>
      <c r="F382"/>
      <c r="G382"/>
      <c r="H382"/>
      <c r="I382"/>
      <c r="J382"/>
      <c r="K382"/>
      <c r="L382"/>
      <c r="M382"/>
      <c r="N382"/>
      <c r="O382"/>
      <c r="P382"/>
      <c r="Q382"/>
      <c r="R382"/>
      <c r="S382"/>
      <c r="T382"/>
      <c r="U382"/>
      <c r="V382"/>
    </row>
    <row r="383" spans="1:22" x14ac:dyDescent="0.3">
      <c r="A383"/>
      <c r="B383"/>
      <c r="C383"/>
      <c r="D383"/>
      <c r="E383"/>
      <c r="F383"/>
      <c r="G383"/>
      <c r="H383"/>
      <c r="I383"/>
      <c r="J383"/>
      <c r="K383"/>
      <c r="L383"/>
      <c r="M383"/>
      <c r="N383"/>
      <c r="O383"/>
      <c r="P383"/>
      <c r="Q383"/>
      <c r="R383"/>
      <c r="S383"/>
      <c r="T383"/>
      <c r="U383"/>
      <c r="V383"/>
    </row>
    <row r="384" spans="1:22" x14ac:dyDescent="0.3">
      <c r="A384"/>
      <c r="B384"/>
      <c r="C384"/>
      <c r="D384"/>
      <c r="E384"/>
      <c r="F384"/>
      <c r="G384"/>
      <c r="H384"/>
      <c r="I384"/>
      <c r="J384"/>
      <c r="K384"/>
      <c r="L384"/>
      <c r="M384"/>
      <c r="N384"/>
      <c r="O384"/>
      <c r="P384"/>
      <c r="Q384"/>
      <c r="R384"/>
      <c r="S384"/>
      <c r="T384"/>
      <c r="U384"/>
      <c r="V384"/>
    </row>
    <row r="385" spans="1:22" x14ac:dyDescent="0.3">
      <c r="A385"/>
      <c r="B385"/>
      <c r="C385"/>
      <c r="D385"/>
      <c r="E385"/>
      <c r="F385"/>
      <c r="G385"/>
      <c r="H385"/>
      <c r="I385"/>
      <c r="J385"/>
      <c r="K385"/>
      <c r="L385"/>
      <c r="M385"/>
      <c r="N385"/>
      <c r="O385"/>
      <c r="P385"/>
      <c r="Q385"/>
      <c r="R385"/>
      <c r="S385"/>
      <c r="T385"/>
      <c r="U385"/>
      <c r="V385"/>
    </row>
    <row r="386" spans="1:22" x14ac:dyDescent="0.3">
      <c r="A386"/>
      <c r="B386"/>
      <c r="C386"/>
      <c r="D386"/>
      <c r="E386"/>
      <c r="F386"/>
      <c r="G386"/>
      <c r="H386"/>
      <c r="I386"/>
      <c r="J386"/>
      <c r="K386"/>
      <c r="L386"/>
      <c r="M386"/>
      <c r="N386"/>
      <c r="O386"/>
      <c r="P386"/>
      <c r="Q386"/>
      <c r="R386"/>
      <c r="S386"/>
      <c r="T386"/>
      <c r="U386"/>
      <c r="V386"/>
    </row>
    <row r="387" spans="1:22" x14ac:dyDescent="0.3">
      <c r="A387"/>
      <c r="B387"/>
      <c r="C387"/>
      <c r="D387"/>
      <c r="E387"/>
      <c r="F387"/>
      <c r="G387"/>
      <c r="H387"/>
      <c r="I387"/>
      <c r="J387"/>
      <c r="K387"/>
      <c r="L387"/>
      <c r="M387"/>
      <c r="N387"/>
      <c r="O387"/>
      <c r="P387"/>
      <c r="Q387"/>
      <c r="R387"/>
      <c r="S387"/>
      <c r="T387"/>
      <c r="U387"/>
      <c r="V387"/>
    </row>
    <row r="388" spans="1:22" x14ac:dyDescent="0.3">
      <c r="A388"/>
      <c r="B388"/>
      <c r="C388"/>
      <c r="D388"/>
      <c r="E388"/>
      <c r="F388"/>
      <c r="G388"/>
      <c r="H388"/>
      <c r="I388"/>
      <c r="J388"/>
      <c r="K388"/>
      <c r="L388"/>
      <c r="M388"/>
      <c r="N388"/>
      <c r="O388"/>
      <c r="P388"/>
      <c r="Q388"/>
      <c r="R388"/>
      <c r="S388"/>
      <c r="T388"/>
      <c r="U388"/>
      <c r="V388"/>
    </row>
    <row r="389" spans="1:22" x14ac:dyDescent="0.3">
      <c r="A389"/>
      <c r="B389"/>
      <c r="C389"/>
      <c r="D389"/>
      <c r="E389"/>
      <c r="F389"/>
      <c r="G389"/>
      <c r="H389"/>
      <c r="I389"/>
      <c r="J389"/>
      <c r="K389"/>
      <c r="L389"/>
      <c r="M389"/>
      <c r="N389"/>
      <c r="O389"/>
      <c r="P389"/>
      <c r="Q389"/>
      <c r="R389"/>
      <c r="S389"/>
      <c r="T389"/>
      <c r="U389"/>
      <c r="V389"/>
    </row>
    <row r="390" spans="1:22" x14ac:dyDescent="0.3">
      <c r="A390"/>
      <c r="B390"/>
      <c r="C390"/>
      <c r="D390"/>
      <c r="E390"/>
      <c r="F390"/>
      <c r="G390"/>
      <c r="H390"/>
      <c r="I390"/>
      <c r="J390"/>
      <c r="K390"/>
      <c r="L390"/>
      <c r="M390"/>
      <c r="N390"/>
      <c r="O390"/>
      <c r="P390"/>
      <c r="Q390"/>
      <c r="R390"/>
      <c r="S390"/>
      <c r="T390"/>
      <c r="U390"/>
      <c r="V390"/>
    </row>
    <row r="391" spans="1:22" x14ac:dyDescent="0.3">
      <c r="A391"/>
      <c r="B391"/>
      <c r="C391"/>
      <c r="D391"/>
      <c r="E391"/>
      <c r="F391"/>
      <c r="G391"/>
      <c r="H391"/>
      <c r="I391"/>
      <c r="J391"/>
      <c r="K391"/>
      <c r="L391"/>
      <c r="M391"/>
      <c r="N391"/>
      <c r="O391"/>
      <c r="P391"/>
      <c r="Q391"/>
      <c r="R391"/>
      <c r="S391"/>
      <c r="T391"/>
      <c r="U391"/>
      <c r="V391"/>
    </row>
    <row r="392" spans="1:22" x14ac:dyDescent="0.3">
      <c r="A392"/>
      <c r="B392"/>
      <c r="C392"/>
      <c r="D392"/>
      <c r="E392"/>
      <c r="F392"/>
      <c r="G392"/>
      <c r="H392"/>
      <c r="I392"/>
      <c r="J392"/>
      <c r="K392"/>
      <c r="L392"/>
      <c r="M392"/>
      <c r="N392"/>
      <c r="O392"/>
      <c r="P392"/>
      <c r="Q392"/>
      <c r="R392"/>
      <c r="S392"/>
      <c r="T392"/>
      <c r="U392"/>
      <c r="V392"/>
    </row>
    <row r="393" spans="1:22" x14ac:dyDescent="0.3">
      <c r="A393"/>
      <c r="B393"/>
      <c r="C393"/>
      <c r="D393"/>
      <c r="E393"/>
      <c r="F393"/>
      <c r="G393"/>
      <c r="H393"/>
      <c r="I393"/>
      <c r="J393"/>
      <c r="K393"/>
      <c r="L393"/>
      <c r="M393"/>
      <c r="N393"/>
      <c r="O393"/>
      <c r="P393"/>
      <c r="Q393"/>
      <c r="R393"/>
      <c r="S393"/>
      <c r="T393"/>
      <c r="U393"/>
      <c r="V393"/>
    </row>
    <row r="394" spans="1:22" x14ac:dyDescent="0.3">
      <c r="A394"/>
      <c r="B394"/>
      <c r="C394"/>
      <c r="D394"/>
      <c r="E394"/>
      <c r="F394"/>
      <c r="G394"/>
      <c r="H394"/>
      <c r="I394"/>
      <c r="J394"/>
      <c r="K394"/>
      <c r="L394"/>
      <c r="M394"/>
      <c r="N394"/>
      <c r="O394"/>
      <c r="P394"/>
      <c r="Q394"/>
      <c r="R394"/>
      <c r="S394"/>
      <c r="T394"/>
      <c r="U394"/>
      <c r="V394"/>
    </row>
    <row r="395" spans="1:22" x14ac:dyDescent="0.3">
      <c r="A395"/>
      <c r="B395"/>
      <c r="C395"/>
      <c r="D395"/>
      <c r="E395"/>
      <c r="F395"/>
      <c r="G395"/>
      <c r="H395"/>
      <c r="I395"/>
      <c r="J395"/>
      <c r="K395"/>
      <c r="L395"/>
      <c r="M395"/>
      <c r="N395"/>
      <c r="O395"/>
      <c r="P395"/>
      <c r="Q395"/>
      <c r="R395"/>
      <c r="S395"/>
      <c r="T395"/>
      <c r="U395"/>
      <c r="V395"/>
    </row>
    <row r="396" spans="1:22" x14ac:dyDescent="0.3">
      <c r="A396"/>
      <c r="B396"/>
      <c r="C396"/>
      <c r="D396"/>
      <c r="E396"/>
      <c r="F396"/>
      <c r="G396"/>
      <c r="H396"/>
      <c r="I396"/>
      <c r="J396"/>
      <c r="K396"/>
      <c r="L396"/>
      <c r="M396"/>
      <c r="N396"/>
      <c r="O396"/>
      <c r="P396"/>
      <c r="Q396"/>
      <c r="R396"/>
      <c r="S396"/>
      <c r="T396"/>
      <c r="U396"/>
      <c r="V396"/>
    </row>
    <row r="397" spans="1:22" x14ac:dyDescent="0.3">
      <c r="A397"/>
      <c r="B397"/>
      <c r="C397"/>
      <c r="D397"/>
      <c r="E397"/>
      <c r="F397"/>
      <c r="G397"/>
      <c r="H397"/>
      <c r="I397"/>
      <c r="J397"/>
      <c r="K397"/>
      <c r="L397"/>
      <c r="M397"/>
      <c r="N397"/>
      <c r="O397"/>
      <c r="P397"/>
      <c r="Q397"/>
      <c r="R397"/>
      <c r="S397"/>
      <c r="T397"/>
      <c r="U397"/>
      <c r="V397"/>
    </row>
    <row r="398" spans="1:22" x14ac:dyDescent="0.3">
      <c r="A398"/>
      <c r="B398"/>
      <c r="C398"/>
      <c r="D398"/>
      <c r="E398"/>
      <c r="F398"/>
      <c r="G398"/>
      <c r="H398"/>
      <c r="I398"/>
      <c r="J398"/>
      <c r="K398"/>
      <c r="L398"/>
      <c r="M398"/>
      <c r="N398"/>
      <c r="O398"/>
      <c r="P398"/>
      <c r="Q398"/>
      <c r="R398"/>
      <c r="S398"/>
      <c r="T398"/>
      <c r="U398"/>
      <c r="V398"/>
    </row>
    <row r="399" spans="1:22" x14ac:dyDescent="0.3">
      <c r="A399"/>
      <c r="B399"/>
      <c r="C399"/>
      <c r="D399"/>
      <c r="E399"/>
      <c r="F399"/>
      <c r="G399"/>
      <c r="H399"/>
      <c r="I399"/>
      <c r="J399"/>
      <c r="K399"/>
      <c r="L399"/>
      <c r="M399"/>
      <c r="N399"/>
      <c r="O399"/>
      <c r="P399"/>
      <c r="Q399"/>
      <c r="R399"/>
      <c r="S399"/>
      <c r="T399"/>
      <c r="U399"/>
      <c r="V399"/>
    </row>
    <row r="400" spans="1:22" x14ac:dyDescent="0.3">
      <c r="A400"/>
      <c r="B400"/>
      <c r="C400"/>
      <c r="D400"/>
      <c r="E400"/>
      <c r="F400"/>
      <c r="G400"/>
      <c r="H400"/>
      <c r="I400"/>
      <c r="J400"/>
      <c r="K400"/>
      <c r="L400"/>
      <c r="M400"/>
      <c r="N400"/>
      <c r="O400"/>
      <c r="P400"/>
      <c r="Q400"/>
      <c r="R400"/>
      <c r="S400"/>
      <c r="T400"/>
      <c r="U400"/>
      <c r="V400"/>
    </row>
    <row r="401" spans="1:22" x14ac:dyDescent="0.3">
      <c r="A401"/>
      <c r="B401"/>
      <c r="C401"/>
      <c r="D401"/>
      <c r="E401"/>
      <c r="F401"/>
      <c r="G401"/>
      <c r="H401"/>
      <c r="I401"/>
      <c r="J401"/>
      <c r="K401"/>
      <c r="L401"/>
      <c r="M401"/>
      <c r="N401"/>
      <c r="O401"/>
      <c r="P401"/>
      <c r="Q401"/>
      <c r="R401"/>
      <c r="S401"/>
      <c r="T401"/>
      <c r="U401"/>
      <c r="V401"/>
    </row>
    <row r="402" spans="1:22" x14ac:dyDescent="0.3">
      <c r="A402"/>
      <c r="B402"/>
      <c r="C402"/>
      <c r="D402"/>
      <c r="E402"/>
      <c r="F402"/>
      <c r="G402"/>
      <c r="H402"/>
      <c r="I402"/>
      <c r="J402"/>
      <c r="K402"/>
      <c r="L402"/>
      <c r="M402"/>
      <c r="N402"/>
      <c r="O402"/>
      <c r="P402"/>
      <c r="Q402"/>
      <c r="R402"/>
      <c r="S402"/>
      <c r="T402"/>
      <c r="U402"/>
      <c r="V402"/>
    </row>
    <row r="403" spans="1:22" x14ac:dyDescent="0.3">
      <c r="A403"/>
      <c r="B403"/>
      <c r="C403"/>
      <c r="D403"/>
      <c r="E403"/>
      <c r="F403"/>
      <c r="G403"/>
      <c r="H403"/>
      <c r="I403"/>
      <c r="J403"/>
      <c r="K403"/>
      <c r="L403"/>
      <c r="M403"/>
      <c r="N403"/>
      <c r="O403"/>
      <c r="P403"/>
      <c r="Q403"/>
      <c r="R403"/>
      <c r="S403"/>
      <c r="T403"/>
      <c r="U403"/>
      <c r="V403"/>
    </row>
    <row r="404" spans="1:22" x14ac:dyDescent="0.3">
      <c r="A404"/>
      <c r="B404"/>
      <c r="C404"/>
      <c r="D404"/>
      <c r="E404"/>
      <c r="F404"/>
      <c r="G404"/>
      <c r="H404"/>
      <c r="I404"/>
      <c r="J404"/>
      <c r="K404"/>
      <c r="L404"/>
      <c r="M404"/>
      <c r="N404"/>
      <c r="O404"/>
      <c r="P404"/>
      <c r="Q404"/>
      <c r="R404"/>
      <c r="S404"/>
      <c r="T404"/>
      <c r="U404"/>
      <c r="V404"/>
    </row>
    <row r="405" spans="1:22" x14ac:dyDescent="0.3">
      <c r="A405"/>
      <c r="B405"/>
      <c r="C405"/>
      <c r="D405"/>
      <c r="E405"/>
      <c r="F405"/>
      <c r="G405"/>
      <c r="H405"/>
      <c r="I405"/>
      <c r="J405"/>
      <c r="K405"/>
      <c r="L405"/>
      <c r="M405"/>
      <c r="N405"/>
      <c r="O405"/>
      <c r="P405"/>
      <c r="Q405"/>
      <c r="R405"/>
      <c r="S405"/>
      <c r="T405"/>
      <c r="U405"/>
      <c r="V405"/>
    </row>
    <row r="406" spans="1:22" x14ac:dyDescent="0.3">
      <c r="A406"/>
      <c r="B406"/>
      <c r="C406"/>
      <c r="D406"/>
      <c r="E406"/>
      <c r="F406"/>
      <c r="G406"/>
      <c r="H406"/>
      <c r="I406"/>
      <c r="J406"/>
      <c r="K406"/>
      <c r="L406"/>
      <c r="M406"/>
      <c r="N406"/>
      <c r="O406"/>
      <c r="P406"/>
      <c r="Q406"/>
      <c r="R406"/>
      <c r="S406"/>
      <c r="T406"/>
      <c r="U406"/>
      <c r="V406"/>
    </row>
    <row r="407" spans="1:22" x14ac:dyDescent="0.3">
      <c r="A407"/>
      <c r="B407"/>
      <c r="C407"/>
      <c r="D407"/>
      <c r="E407"/>
      <c r="F407"/>
      <c r="G407"/>
      <c r="H407"/>
      <c r="I407"/>
      <c r="J407"/>
      <c r="K407"/>
      <c r="L407"/>
      <c r="M407"/>
      <c r="N407"/>
      <c r="O407"/>
      <c r="P407"/>
      <c r="Q407"/>
      <c r="R407"/>
      <c r="S407"/>
      <c r="T407"/>
      <c r="U407"/>
      <c r="V407"/>
    </row>
    <row r="408" spans="1:22" x14ac:dyDescent="0.3">
      <c r="A408"/>
      <c r="B408"/>
      <c r="C408"/>
      <c r="D408"/>
      <c r="E408"/>
      <c r="F408"/>
      <c r="G408"/>
      <c r="H408"/>
      <c r="I408"/>
      <c r="J408"/>
      <c r="K408"/>
      <c r="L408"/>
      <c r="M408"/>
      <c r="N408"/>
      <c r="O408"/>
      <c r="P408"/>
      <c r="Q408"/>
      <c r="R408"/>
      <c r="S408"/>
      <c r="T408"/>
      <c r="U408"/>
      <c r="V408"/>
    </row>
    <row r="409" spans="1:22" x14ac:dyDescent="0.3">
      <c r="A409"/>
      <c r="B409"/>
      <c r="C409"/>
      <c r="D409"/>
      <c r="E409"/>
      <c r="F409"/>
      <c r="G409"/>
      <c r="H409"/>
      <c r="I409"/>
      <c r="J409"/>
      <c r="K409"/>
      <c r="L409"/>
      <c r="M409"/>
      <c r="N409"/>
      <c r="O409"/>
      <c r="P409"/>
      <c r="Q409"/>
      <c r="R409"/>
      <c r="S409"/>
      <c r="T409"/>
      <c r="U409"/>
      <c r="V409"/>
    </row>
    <row r="410" spans="1:22" x14ac:dyDescent="0.3">
      <c r="A410"/>
      <c r="B410"/>
      <c r="C410"/>
      <c r="D410"/>
      <c r="E410"/>
      <c r="F410"/>
      <c r="G410"/>
      <c r="H410"/>
      <c r="I410"/>
      <c r="J410"/>
      <c r="K410"/>
      <c r="L410"/>
      <c r="M410"/>
      <c r="N410"/>
      <c r="O410"/>
      <c r="P410"/>
      <c r="Q410"/>
      <c r="R410"/>
      <c r="S410"/>
      <c r="T410"/>
      <c r="U410"/>
      <c r="V410"/>
    </row>
    <row r="411" spans="1:22" x14ac:dyDescent="0.3">
      <c r="A411"/>
      <c r="B411"/>
      <c r="C411"/>
      <c r="D411"/>
      <c r="E411"/>
      <c r="F411"/>
      <c r="G411"/>
      <c r="H411"/>
      <c r="I411"/>
      <c r="J411"/>
      <c r="K411"/>
      <c r="L411"/>
      <c r="M411"/>
      <c r="N411"/>
      <c r="O411"/>
      <c r="P411"/>
      <c r="Q411"/>
      <c r="R411"/>
      <c r="S411"/>
      <c r="T411"/>
      <c r="U411"/>
      <c r="V411"/>
    </row>
    <row r="412" spans="1:22" x14ac:dyDescent="0.3">
      <c r="A412"/>
      <c r="B412"/>
      <c r="C412"/>
      <c r="D412"/>
      <c r="E412"/>
      <c r="F412"/>
      <c r="G412"/>
      <c r="H412"/>
      <c r="I412"/>
      <c r="J412"/>
      <c r="K412"/>
      <c r="L412"/>
      <c r="M412"/>
      <c r="N412"/>
      <c r="O412"/>
      <c r="P412"/>
      <c r="Q412"/>
      <c r="R412"/>
      <c r="S412"/>
      <c r="T412"/>
      <c r="U412"/>
      <c r="V412"/>
    </row>
    <row r="413" spans="1:22" x14ac:dyDescent="0.3">
      <c r="A413"/>
      <c r="B413"/>
      <c r="C413"/>
      <c r="D413"/>
      <c r="E413"/>
      <c r="F413"/>
      <c r="G413"/>
      <c r="H413"/>
      <c r="I413"/>
      <c r="J413"/>
      <c r="K413"/>
      <c r="L413"/>
      <c r="M413"/>
      <c r="N413"/>
      <c r="O413"/>
      <c r="P413"/>
      <c r="Q413"/>
      <c r="R413"/>
      <c r="S413"/>
      <c r="T413"/>
      <c r="U413"/>
      <c r="V413"/>
    </row>
    <row r="414" spans="1:22" x14ac:dyDescent="0.3">
      <c r="A414"/>
      <c r="B414"/>
      <c r="C414"/>
      <c r="D414"/>
      <c r="E414"/>
      <c r="F414"/>
      <c r="G414"/>
      <c r="H414"/>
      <c r="I414"/>
      <c r="J414"/>
      <c r="K414"/>
      <c r="L414"/>
      <c r="M414"/>
      <c r="N414"/>
      <c r="O414"/>
      <c r="P414"/>
      <c r="Q414"/>
      <c r="R414"/>
      <c r="S414"/>
      <c r="T414"/>
      <c r="U414"/>
      <c r="V414"/>
    </row>
    <row r="415" spans="1:22" x14ac:dyDescent="0.3">
      <c r="A415"/>
      <c r="B415"/>
      <c r="C415"/>
      <c r="D415"/>
      <c r="E415"/>
      <c r="F415"/>
      <c r="G415"/>
      <c r="H415"/>
      <c r="I415"/>
      <c r="J415"/>
      <c r="K415"/>
      <c r="L415"/>
      <c r="M415"/>
      <c r="N415"/>
      <c r="O415"/>
      <c r="P415"/>
      <c r="Q415"/>
      <c r="R415"/>
      <c r="S415"/>
      <c r="T415"/>
      <c r="U415"/>
      <c r="V415"/>
    </row>
    <row r="416" spans="1:22" x14ac:dyDescent="0.3">
      <c r="A416"/>
      <c r="B416"/>
      <c r="C416"/>
      <c r="D416"/>
      <c r="E416"/>
      <c r="F416"/>
      <c r="G416"/>
      <c r="H416"/>
      <c r="I416"/>
      <c r="J416"/>
      <c r="K416"/>
      <c r="L416"/>
      <c r="M416"/>
      <c r="N416"/>
      <c r="O416"/>
      <c r="P416"/>
      <c r="Q416"/>
      <c r="R416"/>
      <c r="S416"/>
      <c r="T416"/>
      <c r="U416"/>
      <c r="V416"/>
    </row>
    <row r="417" spans="1:22" x14ac:dyDescent="0.3">
      <c r="A417"/>
      <c r="B417"/>
      <c r="C417"/>
      <c r="D417"/>
      <c r="E417"/>
      <c r="F417"/>
      <c r="G417"/>
      <c r="H417"/>
      <c r="I417"/>
      <c r="J417"/>
      <c r="K417"/>
      <c r="L417"/>
      <c r="M417"/>
      <c r="N417"/>
      <c r="O417"/>
      <c r="P417"/>
      <c r="Q417"/>
      <c r="R417"/>
      <c r="S417"/>
      <c r="T417"/>
      <c r="U417"/>
      <c r="V417"/>
    </row>
    <row r="418" spans="1:22" x14ac:dyDescent="0.3">
      <c r="A418"/>
      <c r="B418"/>
      <c r="C418"/>
      <c r="D418"/>
      <c r="E418"/>
      <c r="F418"/>
      <c r="G418"/>
      <c r="H418"/>
      <c r="I418"/>
      <c r="J418"/>
      <c r="K418"/>
      <c r="L418"/>
      <c r="M418"/>
      <c r="N418"/>
      <c r="O418"/>
      <c r="P418"/>
      <c r="Q418"/>
      <c r="R418"/>
      <c r="S418"/>
      <c r="T418"/>
      <c r="U418"/>
      <c r="V418"/>
    </row>
    <row r="419" spans="1:22" x14ac:dyDescent="0.3">
      <c r="A419"/>
      <c r="B419"/>
      <c r="C419"/>
      <c r="D419"/>
      <c r="E419"/>
      <c r="F419"/>
      <c r="G419"/>
      <c r="H419"/>
      <c r="I419"/>
      <c r="J419"/>
      <c r="K419"/>
      <c r="L419"/>
      <c r="M419"/>
      <c r="N419"/>
      <c r="O419"/>
      <c r="P419"/>
      <c r="Q419"/>
      <c r="R419"/>
      <c r="S419"/>
      <c r="T419"/>
      <c r="U419"/>
      <c r="V419"/>
    </row>
    <row r="420" spans="1:22" x14ac:dyDescent="0.3">
      <c r="A420"/>
      <c r="B420"/>
      <c r="C420"/>
      <c r="D420"/>
      <c r="E420"/>
      <c r="F420"/>
      <c r="G420"/>
      <c r="H420"/>
      <c r="I420"/>
      <c r="J420"/>
      <c r="K420"/>
      <c r="L420"/>
      <c r="M420"/>
      <c r="N420"/>
      <c r="O420"/>
      <c r="P420"/>
      <c r="Q420"/>
      <c r="R420"/>
      <c r="S420"/>
      <c r="T420"/>
      <c r="U420"/>
      <c r="V420"/>
    </row>
    <row r="421" spans="1:22" x14ac:dyDescent="0.3">
      <c r="A421"/>
      <c r="B421"/>
      <c r="C421"/>
      <c r="D421"/>
      <c r="E421"/>
      <c r="F421"/>
      <c r="G421"/>
      <c r="H421"/>
      <c r="I421"/>
      <c r="J421"/>
      <c r="K421"/>
      <c r="L421"/>
      <c r="M421"/>
      <c r="N421"/>
      <c r="O421"/>
      <c r="P421"/>
      <c r="Q421"/>
      <c r="R421"/>
      <c r="S421"/>
      <c r="T421"/>
      <c r="U421"/>
      <c r="V421"/>
    </row>
    <row r="422" spans="1:22" x14ac:dyDescent="0.3">
      <c r="A422"/>
      <c r="B422"/>
      <c r="C422"/>
      <c r="D422"/>
      <c r="E422"/>
      <c r="F422"/>
      <c r="G422"/>
      <c r="H422"/>
      <c r="I422"/>
      <c r="J422"/>
      <c r="K422"/>
      <c r="L422"/>
      <c r="M422"/>
      <c r="N422"/>
      <c r="O422"/>
      <c r="P422"/>
      <c r="Q422"/>
      <c r="R422"/>
      <c r="S422"/>
      <c r="T422"/>
      <c r="U422"/>
      <c r="V422"/>
    </row>
    <row r="423" spans="1:22" x14ac:dyDescent="0.3">
      <c r="A423"/>
      <c r="B423"/>
      <c r="C423"/>
      <c r="D423"/>
      <c r="E423"/>
      <c r="F423"/>
      <c r="G423"/>
      <c r="H423"/>
      <c r="I423"/>
      <c r="J423"/>
      <c r="K423"/>
      <c r="L423"/>
      <c r="M423"/>
      <c r="N423"/>
      <c r="O423"/>
      <c r="P423"/>
      <c r="Q423"/>
      <c r="R423"/>
      <c r="S423"/>
      <c r="T423"/>
      <c r="U423"/>
      <c r="V423"/>
    </row>
    <row r="424" spans="1:22" x14ac:dyDescent="0.3">
      <c r="A424"/>
      <c r="B424"/>
      <c r="C424"/>
      <c r="D424"/>
      <c r="E424"/>
      <c r="F424"/>
      <c r="G424"/>
      <c r="H424"/>
      <c r="I424"/>
      <c r="J424"/>
      <c r="K424"/>
      <c r="L424"/>
      <c r="M424"/>
      <c r="N424"/>
      <c r="O424"/>
      <c r="P424"/>
      <c r="Q424"/>
      <c r="R424"/>
      <c r="S424"/>
      <c r="T424"/>
      <c r="U424"/>
      <c r="V424"/>
    </row>
    <row r="425" spans="1:22" x14ac:dyDescent="0.3">
      <c r="A425"/>
      <c r="B425"/>
      <c r="C425"/>
      <c r="D425"/>
      <c r="E425"/>
      <c r="F425"/>
      <c r="G425"/>
      <c r="H425"/>
      <c r="I425"/>
      <c r="J425"/>
      <c r="K425"/>
      <c r="L425"/>
      <c r="M425"/>
      <c r="N425"/>
      <c r="O425"/>
      <c r="P425"/>
      <c r="Q425"/>
      <c r="R425"/>
      <c r="S425"/>
      <c r="T425"/>
      <c r="U425"/>
      <c r="V425"/>
    </row>
    <row r="426" spans="1:22" x14ac:dyDescent="0.3">
      <c r="A426"/>
      <c r="B426"/>
      <c r="C426"/>
      <c r="D426"/>
      <c r="E426"/>
      <c r="F426"/>
      <c r="G426"/>
      <c r="H426"/>
      <c r="I426"/>
      <c r="J426"/>
      <c r="K426"/>
      <c r="L426"/>
      <c r="M426"/>
      <c r="N426"/>
      <c r="O426"/>
      <c r="P426"/>
      <c r="Q426"/>
      <c r="R426"/>
      <c r="S426"/>
      <c r="T426"/>
      <c r="U426"/>
      <c r="V426"/>
    </row>
    <row r="427" spans="1:22" x14ac:dyDescent="0.3">
      <c r="A427"/>
      <c r="B427"/>
      <c r="C427"/>
      <c r="D427"/>
      <c r="E427"/>
      <c r="F427"/>
      <c r="G427"/>
      <c r="H427"/>
      <c r="I427"/>
      <c r="J427"/>
      <c r="K427"/>
      <c r="L427"/>
      <c r="M427"/>
      <c r="N427"/>
      <c r="O427"/>
      <c r="P427"/>
      <c r="Q427"/>
      <c r="R427"/>
      <c r="S427"/>
      <c r="T427"/>
      <c r="U427"/>
      <c r="V427"/>
    </row>
    <row r="428" spans="1:22" x14ac:dyDescent="0.3">
      <c r="A428"/>
      <c r="B428"/>
      <c r="C428"/>
      <c r="D428"/>
      <c r="E428"/>
      <c r="F428"/>
      <c r="G428"/>
      <c r="H428"/>
      <c r="I428"/>
      <c r="J428"/>
      <c r="K428"/>
      <c r="L428"/>
      <c r="M428"/>
      <c r="N428"/>
      <c r="O428"/>
      <c r="P428"/>
      <c r="Q428"/>
      <c r="R428"/>
      <c r="S428"/>
      <c r="T428"/>
      <c r="U428"/>
      <c r="V428"/>
    </row>
    <row r="429" spans="1:22" x14ac:dyDescent="0.3">
      <c r="A429"/>
      <c r="B429"/>
      <c r="C429"/>
      <c r="D429"/>
      <c r="E429"/>
      <c r="F429"/>
      <c r="G429"/>
      <c r="H429"/>
      <c r="I429"/>
      <c r="J429"/>
      <c r="K429"/>
      <c r="L429"/>
      <c r="M429"/>
      <c r="N429"/>
      <c r="O429"/>
      <c r="P429"/>
      <c r="Q429"/>
      <c r="R429"/>
      <c r="S429"/>
      <c r="T429"/>
      <c r="U429"/>
      <c r="V429"/>
    </row>
    <row r="430" spans="1:22" x14ac:dyDescent="0.3">
      <c r="A430"/>
      <c r="B430"/>
      <c r="C430"/>
      <c r="D430"/>
      <c r="E430"/>
      <c r="F430"/>
      <c r="G430"/>
      <c r="H430"/>
      <c r="I430"/>
      <c r="J430"/>
      <c r="K430"/>
      <c r="L430"/>
      <c r="M430"/>
      <c r="N430"/>
      <c r="O430"/>
      <c r="P430"/>
      <c r="Q430"/>
      <c r="R430"/>
      <c r="S430"/>
      <c r="T430"/>
      <c r="U430"/>
      <c r="V430"/>
    </row>
    <row r="431" spans="1:22" x14ac:dyDescent="0.3">
      <c r="A431"/>
      <c r="B431"/>
      <c r="C431"/>
      <c r="D431"/>
      <c r="E431"/>
      <c r="F431"/>
      <c r="G431"/>
      <c r="H431"/>
      <c r="I431"/>
      <c r="J431"/>
      <c r="K431"/>
      <c r="L431"/>
      <c r="M431"/>
      <c r="N431"/>
      <c r="O431"/>
      <c r="P431"/>
      <c r="Q431"/>
      <c r="R431"/>
      <c r="S431"/>
      <c r="T431"/>
      <c r="U431"/>
      <c r="V431"/>
    </row>
    <row r="432" spans="1:22" x14ac:dyDescent="0.3">
      <c r="A432"/>
      <c r="B432"/>
      <c r="C432"/>
      <c r="D432"/>
      <c r="E432"/>
      <c r="F432"/>
      <c r="G432"/>
      <c r="H432"/>
      <c r="I432"/>
      <c r="J432"/>
      <c r="K432"/>
      <c r="L432"/>
      <c r="M432"/>
      <c r="N432"/>
      <c r="O432"/>
      <c r="P432"/>
      <c r="Q432"/>
      <c r="R432"/>
      <c r="S432"/>
      <c r="T432"/>
      <c r="U432"/>
      <c r="V432"/>
    </row>
    <row r="433" spans="1:22" x14ac:dyDescent="0.3">
      <c r="A433"/>
      <c r="B433"/>
      <c r="C433"/>
      <c r="D433"/>
      <c r="E433"/>
      <c r="F433"/>
      <c r="G433"/>
      <c r="H433"/>
      <c r="I433"/>
      <c r="J433"/>
      <c r="K433"/>
      <c r="L433"/>
      <c r="M433"/>
      <c r="N433"/>
      <c r="O433"/>
      <c r="P433"/>
      <c r="Q433"/>
      <c r="R433"/>
      <c r="S433"/>
      <c r="T433"/>
      <c r="U433"/>
      <c r="V433"/>
    </row>
    <row r="434" spans="1:22" x14ac:dyDescent="0.3">
      <c r="A434"/>
      <c r="B434"/>
      <c r="C434"/>
      <c r="D434"/>
      <c r="E434"/>
      <c r="F434"/>
      <c r="G434"/>
      <c r="H434"/>
      <c r="I434"/>
      <c r="J434"/>
      <c r="K434"/>
      <c r="L434"/>
      <c r="M434"/>
      <c r="N434"/>
      <c r="O434"/>
      <c r="P434"/>
      <c r="Q434"/>
      <c r="R434"/>
      <c r="S434"/>
      <c r="T434"/>
      <c r="U434"/>
      <c r="V434"/>
    </row>
    <row r="435" spans="1:22" x14ac:dyDescent="0.3">
      <c r="A435"/>
      <c r="B435"/>
      <c r="C435"/>
      <c r="D435"/>
      <c r="E435"/>
      <c r="F435"/>
      <c r="G435"/>
      <c r="H435"/>
      <c r="I435"/>
      <c r="J435"/>
      <c r="K435"/>
      <c r="L435"/>
      <c r="M435"/>
      <c r="N435"/>
      <c r="O435"/>
      <c r="P435"/>
      <c r="Q435"/>
      <c r="R435"/>
      <c r="S435"/>
      <c r="T435"/>
      <c r="U435"/>
      <c r="V435"/>
    </row>
    <row r="436" spans="1:22" x14ac:dyDescent="0.3">
      <c r="A436"/>
      <c r="B436"/>
      <c r="C436"/>
      <c r="D436"/>
      <c r="E436"/>
      <c r="F436"/>
      <c r="G436"/>
      <c r="H436"/>
      <c r="I436"/>
      <c r="J436"/>
      <c r="K436"/>
      <c r="L436"/>
      <c r="M436"/>
      <c r="N436"/>
      <c r="O436"/>
      <c r="P436"/>
      <c r="Q436"/>
      <c r="R436"/>
      <c r="S436"/>
      <c r="T436"/>
      <c r="U436"/>
      <c r="V436"/>
    </row>
    <row r="437" spans="1:22" x14ac:dyDescent="0.3">
      <c r="A437"/>
      <c r="B437"/>
      <c r="C437"/>
      <c r="D437"/>
      <c r="E437"/>
      <c r="F437"/>
      <c r="G437"/>
      <c r="H437"/>
      <c r="I437"/>
      <c r="J437"/>
      <c r="K437"/>
      <c r="L437"/>
      <c r="M437"/>
      <c r="N437"/>
      <c r="O437"/>
      <c r="P437"/>
      <c r="Q437"/>
      <c r="R437"/>
      <c r="S437"/>
      <c r="T437"/>
      <c r="U437"/>
      <c r="V437"/>
    </row>
    <row r="438" spans="1:22" x14ac:dyDescent="0.3">
      <c r="A438"/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</row>
    <row r="439" spans="1:22" x14ac:dyDescent="0.3">
      <c r="A439"/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</row>
    <row r="440" spans="1:22" x14ac:dyDescent="0.3">
      <c r="A440"/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</row>
    <row r="441" spans="1:22" x14ac:dyDescent="0.3">
      <c r="A441"/>
      <c r="B441"/>
      <c r="C441"/>
      <c r="D441"/>
      <c r="E441"/>
      <c r="F441"/>
      <c r="G441"/>
      <c r="H441"/>
      <c r="I441"/>
      <c r="J441"/>
      <c r="K441"/>
      <c r="L441"/>
      <c r="M441"/>
      <c r="N441"/>
      <c r="O441"/>
      <c r="P441"/>
      <c r="Q441"/>
      <c r="R441"/>
      <c r="S441"/>
      <c r="T441"/>
      <c r="U441"/>
      <c r="V441"/>
    </row>
    <row r="442" spans="1:22" x14ac:dyDescent="0.3">
      <c r="A442"/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  <c r="R442"/>
      <c r="S442"/>
      <c r="T442"/>
      <c r="U442"/>
      <c r="V442"/>
    </row>
    <row r="443" spans="1:22" x14ac:dyDescent="0.3">
      <c r="A443"/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</row>
    <row r="444" spans="1:22" x14ac:dyDescent="0.3">
      <c r="A444"/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</row>
    <row r="445" spans="1:22" x14ac:dyDescent="0.3">
      <c r="A445"/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</row>
    <row r="446" spans="1:22" x14ac:dyDescent="0.3">
      <c r="A446"/>
      <c r="B446"/>
      <c r="C446"/>
      <c r="D446"/>
      <c r="E446"/>
      <c r="F446"/>
      <c r="G446"/>
      <c r="H446"/>
      <c r="I446"/>
      <c r="J446"/>
      <c r="K446"/>
      <c r="L446"/>
      <c r="M446"/>
      <c r="N446"/>
      <c r="O446"/>
      <c r="P446"/>
      <c r="Q446"/>
      <c r="R446"/>
      <c r="S446"/>
      <c r="T446"/>
      <c r="U446"/>
      <c r="V446"/>
    </row>
    <row r="447" spans="1:22" x14ac:dyDescent="0.3">
      <c r="A447"/>
      <c r="B447"/>
      <c r="C447"/>
      <c r="D447"/>
      <c r="E447"/>
      <c r="F447"/>
      <c r="G447"/>
      <c r="H447"/>
      <c r="I447"/>
      <c r="J447"/>
      <c r="K447"/>
      <c r="L447"/>
      <c r="M447"/>
      <c r="N447"/>
      <c r="O447"/>
      <c r="P447"/>
      <c r="Q447"/>
      <c r="R447"/>
      <c r="S447"/>
      <c r="T447"/>
      <c r="U447"/>
      <c r="V447"/>
    </row>
    <row r="448" spans="1:22" x14ac:dyDescent="0.3">
      <c r="A448"/>
      <c r="B448"/>
      <c r="C448"/>
      <c r="D448"/>
      <c r="E448"/>
      <c r="F448"/>
      <c r="G448"/>
      <c r="H448"/>
      <c r="I448"/>
      <c r="J448"/>
      <c r="K448"/>
      <c r="L448"/>
      <c r="M448"/>
      <c r="N448"/>
      <c r="O448"/>
      <c r="P448"/>
      <c r="Q448"/>
      <c r="R448"/>
      <c r="S448"/>
      <c r="T448"/>
      <c r="U448"/>
      <c r="V448"/>
    </row>
    <row r="449" spans="1:22" x14ac:dyDescent="0.3">
      <c r="A449"/>
      <c r="B449"/>
      <c r="C449"/>
      <c r="D449"/>
      <c r="E449"/>
      <c r="F449"/>
      <c r="G449"/>
      <c r="H449"/>
      <c r="I449"/>
      <c r="J449"/>
      <c r="K449"/>
      <c r="L449"/>
      <c r="M449"/>
      <c r="N449"/>
      <c r="O449"/>
      <c r="P449"/>
      <c r="Q449"/>
      <c r="R449"/>
      <c r="S449"/>
      <c r="T449"/>
      <c r="U449"/>
      <c r="V449"/>
    </row>
    <row r="450" spans="1:22" x14ac:dyDescent="0.3">
      <c r="A450"/>
      <c r="B450"/>
      <c r="C450"/>
      <c r="D450"/>
      <c r="E450"/>
      <c r="F450"/>
      <c r="G450"/>
      <c r="H450"/>
      <c r="I450"/>
      <c r="J450"/>
      <c r="K450"/>
      <c r="L450"/>
      <c r="M450"/>
      <c r="N450"/>
      <c r="O450"/>
      <c r="P450"/>
      <c r="Q450"/>
      <c r="R450"/>
      <c r="S450"/>
      <c r="T450"/>
      <c r="U450"/>
      <c r="V450"/>
    </row>
    <row r="451" spans="1:22" x14ac:dyDescent="0.3">
      <c r="A451"/>
      <c r="B451"/>
      <c r="C451"/>
      <c r="D451"/>
      <c r="E451"/>
      <c r="F451"/>
      <c r="G451"/>
      <c r="H451"/>
      <c r="I451"/>
      <c r="J451"/>
      <c r="K451"/>
      <c r="L451"/>
      <c r="M451"/>
      <c r="N451"/>
      <c r="O451"/>
      <c r="P451"/>
      <c r="Q451"/>
      <c r="R451"/>
      <c r="S451"/>
      <c r="T451"/>
      <c r="U451"/>
      <c r="V451"/>
    </row>
    <row r="452" spans="1:22" x14ac:dyDescent="0.3">
      <c r="A452"/>
      <c r="B452"/>
      <c r="C452"/>
      <c r="D452"/>
      <c r="E452"/>
      <c r="F452"/>
      <c r="G452"/>
      <c r="H452"/>
      <c r="I452"/>
      <c r="J452"/>
      <c r="K452"/>
      <c r="L452"/>
      <c r="M452"/>
      <c r="N452"/>
      <c r="O452"/>
      <c r="P452"/>
      <c r="Q452"/>
      <c r="R452"/>
      <c r="S452"/>
      <c r="T452"/>
      <c r="U452"/>
      <c r="V452"/>
    </row>
    <row r="453" spans="1:22" x14ac:dyDescent="0.3">
      <c r="A453"/>
      <c r="B453"/>
      <c r="C453"/>
      <c r="D453"/>
      <c r="E453"/>
      <c r="F453"/>
      <c r="G453"/>
      <c r="H453"/>
      <c r="I453"/>
      <c r="J453"/>
      <c r="K453"/>
      <c r="L453"/>
      <c r="M453"/>
      <c r="N453"/>
      <c r="O453"/>
      <c r="P453"/>
      <c r="Q453"/>
      <c r="R453"/>
      <c r="S453"/>
      <c r="T453"/>
      <c r="U453"/>
      <c r="V453"/>
    </row>
    <row r="454" spans="1:22" x14ac:dyDescent="0.3">
      <c r="A454"/>
      <c r="B454"/>
      <c r="C454"/>
      <c r="D454"/>
      <c r="E454"/>
      <c r="F454"/>
      <c r="G454"/>
      <c r="H454"/>
      <c r="I454"/>
      <c r="J454"/>
      <c r="K454"/>
      <c r="L454"/>
      <c r="M454"/>
      <c r="N454"/>
      <c r="O454"/>
      <c r="P454"/>
      <c r="Q454"/>
      <c r="R454"/>
      <c r="S454"/>
      <c r="T454"/>
      <c r="U454"/>
      <c r="V454"/>
    </row>
    <row r="455" spans="1:22" x14ac:dyDescent="0.3">
      <c r="A455"/>
      <c r="B455"/>
      <c r="C455"/>
      <c r="D455"/>
      <c r="E455"/>
      <c r="F455"/>
      <c r="G455"/>
      <c r="H455"/>
      <c r="I455"/>
      <c r="J455"/>
      <c r="K455"/>
      <c r="L455"/>
      <c r="M455"/>
      <c r="N455"/>
      <c r="O455"/>
      <c r="P455"/>
      <c r="Q455"/>
      <c r="R455"/>
      <c r="S455"/>
      <c r="T455"/>
      <c r="U455"/>
      <c r="V455"/>
    </row>
    <row r="456" spans="1:22" x14ac:dyDescent="0.3">
      <c r="A456"/>
      <c r="B456"/>
      <c r="C456"/>
      <c r="D456"/>
      <c r="E456"/>
      <c r="F456"/>
      <c r="G456"/>
      <c r="H456"/>
      <c r="I456"/>
      <c r="J456"/>
      <c r="K456"/>
      <c r="L456"/>
      <c r="M456"/>
      <c r="N456"/>
      <c r="O456"/>
      <c r="P456"/>
      <c r="Q456"/>
      <c r="R456"/>
      <c r="S456"/>
      <c r="T456"/>
      <c r="U456"/>
      <c r="V456"/>
    </row>
    <row r="457" spans="1:22" x14ac:dyDescent="0.3">
      <c r="A457"/>
      <c r="B457"/>
      <c r="C457"/>
      <c r="D457"/>
      <c r="E457"/>
      <c r="F457"/>
      <c r="G457"/>
      <c r="H457"/>
      <c r="I457"/>
      <c r="J457"/>
      <c r="K457"/>
      <c r="L457"/>
      <c r="M457"/>
      <c r="N457"/>
      <c r="O457"/>
      <c r="P457"/>
      <c r="Q457"/>
      <c r="R457"/>
      <c r="S457"/>
      <c r="T457"/>
      <c r="U457"/>
      <c r="V457"/>
    </row>
    <row r="458" spans="1:22" x14ac:dyDescent="0.3">
      <c r="A458"/>
      <c r="B458"/>
      <c r="C458"/>
      <c r="D458"/>
      <c r="E458"/>
      <c r="F458"/>
      <c r="G458"/>
      <c r="H458"/>
      <c r="I458"/>
      <c r="J458"/>
      <c r="K458"/>
      <c r="L458"/>
      <c r="M458"/>
      <c r="N458"/>
      <c r="O458"/>
      <c r="P458"/>
      <c r="Q458"/>
      <c r="R458"/>
      <c r="S458"/>
      <c r="T458"/>
      <c r="U458"/>
      <c r="V458"/>
    </row>
    <row r="459" spans="1:22" x14ac:dyDescent="0.3">
      <c r="A459"/>
      <c r="B459"/>
      <c r="C459"/>
      <c r="D459"/>
      <c r="E459"/>
      <c r="F459"/>
      <c r="G459"/>
      <c r="H459"/>
      <c r="I459"/>
      <c r="J459"/>
      <c r="K459"/>
      <c r="L459"/>
      <c r="M459"/>
      <c r="N459"/>
      <c r="O459"/>
      <c r="P459"/>
      <c r="Q459"/>
      <c r="R459"/>
      <c r="S459"/>
      <c r="T459"/>
      <c r="U459"/>
      <c r="V459"/>
    </row>
    <row r="460" spans="1:22" x14ac:dyDescent="0.3">
      <c r="A460"/>
      <c r="B460"/>
      <c r="C460"/>
      <c r="D460"/>
      <c r="E460"/>
      <c r="F460"/>
      <c r="G460"/>
      <c r="H460"/>
      <c r="I460"/>
      <c r="J460"/>
      <c r="K460"/>
      <c r="L460"/>
      <c r="M460"/>
      <c r="N460"/>
      <c r="O460"/>
      <c r="P460"/>
      <c r="Q460"/>
      <c r="R460"/>
      <c r="S460"/>
      <c r="T460"/>
      <c r="U460"/>
      <c r="V460"/>
    </row>
    <row r="461" spans="1:22" x14ac:dyDescent="0.3">
      <c r="A461"/>
      <c r="B461"/>
      <c r="C461"/>
      <c r="D461"/>
      <c r="E461"/>
      <c r="F461"/>
      <c r="G461"/>
      <c r="H461"/>
      <c r="I461"/>
      <c r="J461"/>
      <c r="K461"/>
      <c r="L461"/>
      <c r="M461"/>
      <c r="N461"/>
      <c r="O461"/>
      <c r="P461"/>
      <c r="Q461"/>
      <c r="R461"/>
      <c r="S461"/>
      <c r="T461"/>
      <c r="U461"/>
      <c r="V461"/>
    </row>
    <row r="462" spans="1:22" x14ac:dyDescent="0.3">
      <c r="A462"/>
      <c r="B462"/>
      <c r="C462"/>
      <c r="D462"/>
      <c r="E462"/>
      <c r="F462"/>
      <c r="G462"/>
      <c r="H462"/>
      <c r="I462"/>
      <c r="J462"/>
      <c r="K462"/>
      <c r="L462"/>
      <c r="M462"/>
      <c r="N462"/>
      <c r="O462"/>
      <c r="P462"/>
      <c r="Q462"/>
      <c r="R462"/>
      <c r="S462"/>
      <c r="T462"/>
      <c r="U462"/>
      <c r="V462"/>
    </row>
    <row r="463" spans="1:22" x14ac:dyDescent="0.3">
      <c r="A463"/>
      <c r="B463"/>
      <c r="C463"/>
      <c r="D463"/>
      <c r="E463"/>
      <c r="F463"/>
      <c r="G463"/>
      <c r="H463"/>
      <c r="I463"/>
      <c r="J463"/>
      <c r="K463"/>
      <c r="L463"/>
      <c r="M463"/>
      <c r="N463"/>
      <c r="O463"/>
      <c r="P463"/>
      <c r="Q463"/>
      <c r="R463"/>
      <c r="S463"/>
      <c r="T463"/>
      <c r="U463"/>
      <c r="V463"/>
    </row>
    <row r="464" spans="1:22" x14ac:dyDescent="0.3">
      <c r="A464"/>
      <c r="B464"/>
      <c r="C464"/>
      <c r="D464"/>
      <c r="E464"/>
      <c r="F464"/>
      <c r="G464"/>
      <c r="H464"/>
      <c r="I464"/>
      <c r="J464"/>
      <c r="K464"/>
      <c r="L464"/>
      <c r="M464"/>
      <c r="N464"/>
      <c r="O464"/>
      <c r="P464"/>
      <c r="Q464"/>
      <c r="R464"/>
      <c r="S464"/>
      <c r="T464"/>
      <c r="U464"/>
      <c r="V464"/>
    </row>
    <row r="465" spans="1:22" x14ac:dyDescent="0.3">
      <c r="A465"/>
      <c r="B465"/>
      <c r="C465"/>
      <c r="D465"/>
      <c r="E465"/>
      <c r="F465"/>
      <c r="G465"/>
      <c r="H465"/>
      <c r="I465"/>
      <c r="J465"/>
      <c r="K465"/>
      <c r="L465"/>
      <c r="M465"/>
      <c r="N465"/>
      <c r="O465"/>
      <c r="P465"/>
      <c r="Q465"/>
      <c r="R465"/>
      <c r="S465"/>
      <c r="T465"/>
      <c r="U465"/>
      <c r="V465"/>
    </row>
    <row r="466" spans="1:22" x14ac:dyDescent="0.3">
      <c r="A466"/>
      <c r="B466"/>
      <c r="C466"/>
      <c r="D466"/>
      <c r="E466"/>
      <c r="F466"/>
      <c r="G466"/>
      <c r="H466"/>
      <c r="I466"/>
      <c r="J466"/>
      <c r="K466"/>
      <c r="L466"/>
      <c r="M466"/>
      <c r="N466"/>
      <c r="O466"/>
      <c r="P466"/>
      <c r="Q466"/>
      <c r="R466"/>
      <c r="S466"/>
      <c r="T466"/>
      <c r="U466"/>
      <c r="V466"/>
    </row>
    <row r="467" spans="1:22" x14ac:dyDescent="0.3">
      <c r="A467"/>
      <c r="B467"/>
      <c r="C467"/>
      <c r="D467"/>
      <c r="E467"/>
      <c r="F467"/>
      <c r="G467"/>
      <c r="H467"/>
      <c r="I467"/>
      <c r="J467"/>
      <c r="K467"/>
      <c r="L467"/>
      <c r="M467"/>
      <c r="N467"/>
      <c r="O467"/>
      <c r="P467"/>
      <c r="Q467"/>
      <c r="R467"/>
      <c r="S467"/>
      <c r="T467"/>
      <c r="U467"/>
      <c r="V467"/>
    </row>
    <row r="468" spans="1:22" x14ac:dyDescent="0.3">
      <c r="A468"/>
      <c r="B468"/>
      <c r="C468"/>
      <c r="D468"/>
      <c r="E468"/>
      <c r="F468"/>
      <c r="G468"/>
      <c r="H468"/>
      <c r="I468"/>
      <c r="J468"/>
      <c r="K468"/>
      <c r="L468"/>
      <c r="M468"/>
      <c r="N468"/>
      <c r="O468"/>
      <c r="P468"/>
      <c r="Q468"/>
      <c r="R468"/>
      <c r="S468"/>
      <c r="T468"/>
      <c r="U468"/>
      <c r="V468"/>
    </row>
    <row r="469" spans="1:22" x14ac:dyDescent="0.3">
      <c r="A469"/>
      <c r="B469"/>
      <c r="C469"/>
      <c r="D469"/>
      <c r="E469"/>
      <c r="F469"/>
      <c r="G469"/>
      <c r="H469"/>
      <c r="I469"/>
      <c r="J469"/>
      <c r="K469"/>
      <c r="L469"/>
      <c r="M469"/>
      <c r="N469"/>
      <c r="O469"/>
      <c r="P469"/>
      <c r="Q469"/>
      <c r="R469"/>
      <c r="S469"/>
      <c r="T469"/>
      <c r="U469"/>
      <c r="V469"/>
    </row>
    <row r="470" spans="1:22" x14ac:dyDescent="0.3">
      <c r="A470"/>
      <c r="B470"/>
      <c r="C470"/>
      <c r="D470"/>
      <c r="E470"/>
      <c r="F470"/>
      <c r="G470"/>
      <c r="H470"/>
      <c r="I470"/>
      <c r="J470"/>
      <c r="K470"/>
      <c r="L470"/>
      <c r="M470"/>
      <c r="N470"/>
      <c r="O470"/>
      <c r="P470"/>
      <c r="Q470"/>
      <c r="R470"/>
      <c r="S470"/>
      <c r="T470"/>
      <c r="U470"/>
      <c r="V470"/>
    </row>
    <row r="471" spans="1:22" x14ac:dyDescent="0.3">
      <c r="A471"/>
      <c r="B471"/>
      <c r="C471"/>
      <c r="D471"/>
      <c r="E471"/>
      <c r="F471"/>
      <c r="G471"/>
      <c r="H471"/>
      <c r="I471"/>
      <c r="J471"/>
      <c r="K471"/>
      <c r="L471"/>
      <c r="M471"/>
      <c r="N471"/>
      <c r="O471"/>
      <c r="P471"/>
      <c r="Q471"/>
      <c r="R471"/>
      <c r="S471"/>
      <c r="T471"/>
      <c r="U471"/>
      <c r="V471"/>
    </row>
    <row r="472" spans="1:22" x14ac:dyDescent="0.3">
      <c r="A472"/>
      <c r="B472"/>
      <c r="C472"/>
      <c r="D472"/>
      <c r="E472"/>
      <c r="F472"/>
      <c r="G472"/>
      <c r="H472"/>
      <c r="I472"/>
      <c r="J472"/>
      <c r="K472"/>
      <c r="L472"/>
      <c r="M472"/>
      <c r="N472"/>
      <c r="O472"/>
      <c r="P472"/>
      <c r="Q472"/>
      <c r="R472"/>
      <c r="S472"/>
      <c r="T472"/>
      <c r="U472"/>
      <c r="V472"/>
    </row>
    <row r="473" spans="1:22" x14ac:dyDescent="0.3">
      <c r="A473"/>
      <c r="B473"/>
      <c r="C473"/>
      <c r="D473"/>
      <c r="E473"/>
      <c r="F473"/>
      <c r="G473"/>
      <c r="H473"/>
      <c r="I473"/>
      <c r="J473"/>
      <c r="K473"/>
      <c r="L473"/>
      <c r="M473"/>
      <c r="N473"/>
      <c r="O473"/>
      <c r="P473"/>
      <c r="Q473"/>
      <c r="R473"/>
      <c r="S473"/>
      <c r="T473"/>
      <c r="U473"/>
      <c r="V473"/>
    </row>
    <row r="474" spans="1:22" x14ac:dyDescent="0.3">
      <c r="A474"/>
      <c r="B474"/>
      <c r="C474"/>
      <c r="D474"/>
      <c r="E474"/>
      <c r="F474"/>
      <c r="G474"/>
      <c r="H474"/>
      <c r="I474"/>
      <c r="J474"/>
      <c r="K474"/>
      <c r="L474"/>
      <c r="M474"/>
      <c r="N474"/>
      <c r="O474"/>
      <c r="P474"/>
      <c r="Q474"/>
      <c r="R474"/>
      <c r="S474"/>
      <c r="T474"/>
      <c r="U474"/>
      <c r="V474"/>
    </row>
    <row r="475" spans="1:22" x14ac:dyDescent="0.3">
      <c r="A475"/>
      <c r="B475"/>
      <c r="C475"/>
      <c r="D475"/>
      <c r="E475"/>
      <c r="F475"/>
      <c r="G475"/>
      <c r="H475"/>
      <c r="I475"/>
      <c r="J475"/>
      <c r="K475"/>
      <c r="L475"/>
      <c r="M475"/>
      <c r="N475"/>
      <c r="O475"/>
      <c r="P475"/>
      <c r="Q475"/>
      <c r="R475"/>
      <c r="S475"/>
      <c r="T475"/>
      <c r="U475"/>
      <c r="V475"/>
    </row>
    <row r="476" spans="1:22" x14ac:dyDescent="0.3">
      <c r="A476"/>
      <c r="B476"/>
      <c r="C476"/>
      <c r="D476"/>
      <c r="E476"/>
      <c r="F476"/>
      <c r="G476"/>
      <c r="H476"/>
      <c r="I476"/>
      <c r="J476"/>
      <c r="K476"/>
      <c r="L476"/>
      <c r="M476"/>
      <c r="N476"/>
      <c r="O476"/>
      <c r="P476"/>
      <c r="Q476"/>
      <c r="R476"/>
      <c r="S476"/>
      <c r="T476"/>
      <c r="U476"/>
      <c r="V476"/>
    </row>
    <row r="477" spans="1:22" x14ac:dyDescent="0.3">
      <c r="A477"/>
      <c r="B477"/>
      <c r="C477"/>
      <c r="D477"/>
      <c r="E477"/>
      <c r="F477"/>
      <c r="G477"/>
      <c r="H477"/>
      <c r="I477"/>
      <c r="J477"/>
      <c r="K477"/>
      <c r="L477"/>
      <c r="M477"/>
      <c r="N477"/>
      <c r="O477"/>
      <c r="P477"/>
      <c r="Q477"/>
      <c r="R477"/>
      <c r="S477"/>
      <c r="T477"/>
      <c r="U477"/>
      <c r="V477"/>
    </row>
    <row r="478" spans="1:22" x14ac:dyDescent="0.3">
      <c r="A478"/>
      <c r="B478"/>
      <c r="C478"/>
      <c r="D478"/>
      <c r="E478"/>
      <c r="F478"/>
      <c r="G478"/>
      <c r="H478"/>
      <c r="I478"/>
      <c r="J478"/>
      <c r="K478"/>
      <c r="L478"/>
      <c r="M478"/>
      <c r="N478"/>
      <c r="O478"/>
      <c r="P478"/>
      <c r="Q478"/>
      <c r="R478"/>
      <c r="S478"/>
      <c r="T478"/>
      <c r="U478"/>
      <c r="V478"/>
    </row>
    <row r="479" spans="1:22" x14ac:dyDescent="0.3">
      <c r="A479"/>
      <c r="B479"/>
      <c r="C479"/>
      <c r="D479"/>
      <c r="E479"/>
      <c r="F479"/>
      <c r="G479"/>
      <c r="H479"/>
      <c r="I479"/>
      <c r="J479"/>
      <c r="K479"/>
      <c r="L479"/>
      <c r="M479"/>
      <c r="N479"/>
      <c r="O479"/>
      <c r="P479"/>
      <c r="Q479"/>
      <c r="R479"/>
      <c r="S479"/>
      <c r="T479"/>
      <c r="U479"/>
      <c r="V479"/>
    </row>
    <row r="480" spans="1:22" x14ac:dyDescent="0.3">
      <c r="A480"/>
      <c r="B480"/>
      <c r="C480"/>
      <c r="D480"/>
      <c r="E480"/>
      <c r="F480"/>
      <c r="G480"/>
      <c r="H480"/>
      <c r="I480"/>
      <c r="J480"/>
      <c r="K480"/>
      <c r="L480"/>
      <c r="M480"/>
      <c r="N480"/>
      <c r="O480"/>
      <c r="P480"/>
      <c r="Q480"/>
      <c r="R480"/>
      <c r="S480"/>
      <c r="T480"/>
      <c r="U480"/>
      <c r="V480"/>
    </row>
    <row r="481" spans="1:22" x14ac:dyDescent="0.3">
      <c r="A481"/>
      <c r="B481"/>
      <c r="C481"/>
      <c r="D481"/>
      <c r="E481"/>
      <c r="F481"/>
      <c r="G481"/>
      <c r="H481"/>
      <c r="I481"/>
      <c r="J481"/>
      <c r="K481"/>
      <c r="L481"/>
      <c r="M481"/>
      <c r="N481"/>
      <c r="O481"/>
      <c r="P481"/>
      <c r="Q481"/>
      <c r="R481"/>
      <c r="S481"/>
      <c r="T481"/>
      <c r="U481"/>
      <c r="V481"/>
    </row>
    <row r="482" spans="1:22" x14ac:dyDescent="0.3">
      <c r="A482"/>
      <c r="B482"/>
      <c r="C482"/>
      <c r="D482"/>
      <c r="E482"/>
      <c r="F482"/>
      <c r="G482"/>
      <c r="H482"/>
      <c r="I482"/>
      <c r="J482"/>
      <c r="K482"/>
      <c r="L482"/>
      <c r="M482"/>
      <c r="N482"/>
      <c r="O482"/>
      <c r="P482"/>
      <c r="Q482"/>
      <c r="R482"/>
      <c r="S482"/>
      <c r="T482"/>
      <c r="U482"/>
      <c r="V482"/>
    </row>
    <row r="483" spans="1:22" x14ac:dyDescent="0.3">
      <c r="A483"/>
      <c r="B483"/>
      <c r="C483"/>
      <c r="D483"/>
      <c r="E483"/>
      <c r="F483"/>
      <c r="G483"/>
      <c r="H483"/>
      <c r="I483"/>
      <c r="J483"/>
      <c r="K483"/>
      <c r="L483"/>
      <c r="M483"/>
      <c r="N483"/>
      <c r="O483"/>
      <c r="P483"/>
      <c r="Q483"/>
      <c r="R483"/>
      <c r="S483"/>
      <c r="T483"/>
      <c r="U483"/>
      <c r="V483"/>
    </row>
    <row r="484" spans="1:22" x14ac:dyDescent="0.3">
      <c r="A484"/>
      <c r="B484"/>
      <c r="C484"/>
      <c r="D484"/>
      <c r="E484"/>
      <c r="F484"/>
      <c r="G484"/>
      <c r="H484"/>
      <c r="I484"/>
      <c r="J484"/>
      <c r="K484"/>
      <c r="L484"/>
      <c r="M484"/>
      <c r="N484"/>
      <c r="O484"/>
      <c r="P484"/>
      <c r="Q484"/>
      <c r="R484"/>
      <c r="S484"/>
      <c r="T484"/>
      <c r="U484"/>
      <c r="V484"/>
    </row>
    <row r="485" spans="1:22" x14ac:dyDescent="0.3">
      <c r="A485"/>
      <c r="B485"/>
      <c r="C485"/>
      <c r="D485"/>
      <c r="E485"/>
      <c r="F485"/>
      <c r="G485"/>
      <c r="H485"/>
      <c r="I485"/>
      <c r="J485"/>
      <c r="K485"/>
      <c r="L485"/>
      <c r="M485"/>
      <c r="N485"/>
      <c r="O485"/>
      <c r="P485"/>
      <c r="Q485"/>
      <c r="R485"/>
      <c r="S485"/>
      <c r="T485"/>
      <c r="U485"/>
      <c r="V485"/>
    </row>
    <row r="486" spans="1:22" x14ac:dyDescent="0.3">
      <c r="A486"/>
      <c r="B486"/>
      <c r="C486"/>
      <c r="D486"/>
      <c r="E486"/>
      <c r="F486"/>
      <c r="G486"/>
      <c r="H486"/>
      <c r="I486"/>
      <c r="J486"/>
      <c r="K486"/>
      <c r="L486"/>
      <c r="M486"/>
      <c r="N486"/>
      <c r="O486"/>
      <c r="P486"/>
      <c r="Q486"/>
      <c r="R486"/>
      <c r="S486"/>
      <c r="T486"/>
      <c r="U486"/>
      <c r="V486"/>
    </row>
    <row r="487" spans="1:22" x14ac:dyDescent="0.3">
      <c r="A487"/>
      <c r="B487"/>
      <c r="C487"/>
      <c r="D487"/>
      <c r="E487"/>
      <c r="F487"/>
      <c r="G487"/>
      <c r="H487"/>
      <c r="I487"/>
      <c r="J487"/>
      <c r="K487"/>
      <c r="L487"/>
      <c r="M487"/>
      <c r="N487"/>
      <c r="O487"/>
      <c r="P487"/>
      <c r="Q487"/>
      <c r="R487"/>
      <c r="S487"/>
      <c r="T487"/>
      <c r="U487"/>
      <c r="V487"/>
    </row>
    <row r="488" spans="1:22" x14ac:dyDescent="0.3">
      <c r="A488"/>
      <c r="B488"/>
      <c r="C488"/>
      <c r="D488"/>
      <c r="E488"/>
      <c r="F488"/>
      <c r="G488"/>
      <c r="H488"/>
      <c r="I488"/>
      <c r="J488"/>
      <c r="K488"/>
      <c r="L488"/>
      <c r="M488"/>
      <c r="N488"/>
      <c r="O488"/>
      <c r="P488"/>
      <c r="Q488"/>
      <c r="R488"/>
      <c r="S488"/>
      <c r="T488"/>
      <c r="U488"/>
      <c r="V488"/>
    </row>
    <row r="489" spans="1:22" x14ac:dyDescent="0.3">
      <c r="A489"/>
      <c r="B489"/>
      <c r="C489"/>
      <c r="D489"/>
      <c r="E489"/>
      <c r="F489"/>
      <c r="G489"/>
      <c r="H489"/>
      <c r="I489"/>
      <c r="J489"/>
      <c r="K489"/>
      <c r="L489"/>
      <c r="M489"/>
      <c r="N489"/>
      <c r="O489"/>
      <c r="P489"/>
      <c r="Q489"/>
      <c r="R489"/>
      <c r="S489"/>
      <c r="T489"/>
      <c r="U489"/>
      <c r="V489"/>
    </row>
    <row r="490" spans="1:22" x14ac:dyDescent="0.3">
      <c r="A490"/>
      <c r="B490"/>
      <c r="C490"/>
      <c r="D490"/>
      <c r="E490"/>
      <c r="F490"/>
      <c r="G490"/>
      <c r="H490"/>
      <c r="I490"/>
      <c r="J490"/>
      <c r="K490"/>
      <c r="L490"/>
      <c r="M490"/>
      <c r="N490"/>
      <c r="O490"/>
      <c r="P490"/>
      <c r="Q490"/>
      <c r="R490"/>
      <c r="S490"/>
      <c r="T490"/>
      <c r="U490"/>
      <c r="V490"/>
    </row>
    <row r="491" spans="1:22" x14ac:dyDescent="0.3">
      <c r="A491"/>
      <c r="B491"/>
      <c r="C491"/>
      <c r="D491"/>
      <c r="E491"/>
      <c r="F491"/>
      <c r="G491"/>
      <c r="H491"/>
      <c r="I491"/>
      <c r="J491"/>
      <c r="K491"/>
      <c r="L491"/>
      <c r="M491"/>
      <c r="N491"/>
      <c r="O491"/>
      <c r="P491"/>
      <c r="Q491"/>
      <c r="R491"/>
      <c r="S491"/>
      <c r="T491"/>
      <c r="U491"/>
      <c r="V491"/>
    </row>
    <row r="492" spans="1:22" x14ac:dyDescent="0.3">
      <c r="A492"/>
      <c r="B492"/>
      <c r="C492"/>
      <c r="D492"/>
      <c r="E492"/>
      <c r="F492"/>
      <c r="G492"/>
      <c r="H492"/>
      <c r="I492"/>
      <c r="J492"/>
      <c r="K492"/>
      <c r="L492"/>
      <c r="M492"/>
      <c r="N492"/>
      <c r="O492"/>
      <c r="P492"/>
      <c r="Q492"/>
      <c r="R492"/>
      <c r="S492"/>
      <c r="T492"/>
      <c r="U492"/>
      <c r="V492"/>
    </row>
    <row r="493" spans="1:22" x14ac:dyDescent="0.3">
      <c r="A493"/>
      <c r="B493"/>
      <c r="C493"/>
      <c r="D493"/>
      <c r="E493"/>
      <c r="F493"/>
      <c r="G493"/>
      <c r="H493"/>
      <c r="I493"/>
      <c r="J493"/>
      <c r="K493"/>
      <c r="L493"/>
      <c r="M493"/>
      <c r="N493"/>
      <c r="O493"/>
      <c r="P493"/>
      <c r="Q493"/>
      <c r="R493"/>
      <c r="S493"/>
      <c r="T493"/>
      <c r="U493"/>
      <c r="V493"/>
    </row>
    <row r="494" spans="1:22" x14ac:dyDescent="0.3">
      <c r="A494"/>
      <c r="B494"/>
      <c r="C494"/>
      <c r="D494"/>
      <c r="E494"/>
      <c r="F494"/>
      <c r="G494"/>
      <c r="H494"/>
      <c r="I494"/>
      <c r="J494"/>
      <c r="K494"/>
      <c r="L494"/>
      <c r="M494"/>
      <c r="N494"/>
      <c r="O494"/>
      <c r="P494"/>
      <c r="Q494"/>
      <c r="R494"/>
      <c r="S494"/>
      <c r="T494"/>
      <c r="U494"/>
      <c r="V494"/>
    </row>
    <row r="495" spans="1:22" x14ac:dyDescent="0.3">
      <c r="A495"/>
      <c r="B495"/>
      <c r="C495"/>
      <c r="D495"/>
      <c r="E495"/>
      <c r="F495"/>
      <c r="G495"/>
      <c r="H495"/>
      <c r="I495"/>
      <c r="J495"/>
      <c r="K495"/>
      <c r="L495"/>
      <c r="M495"/>
      <c r="N495"/>
      <c r="O495"/>
      <c r="P495"/>
      <c r="Q495"/>
      <c r="R495"/>
      <c r="S495"/>
      <c r="T495"/>
      <c r="U495"/>
      <c r="V495"/>
    </row>
    <row r="496" spans="1:22" x14ac:dyDescent="0.3">
      <c r="A496"/>
      <c r="B496"/>
      <c r="C496"/>
      <c r="D496"/>
      <c r="E496"/>
      <c r="F496"/>
      <c r="G496"/>
      <c r="H496"/>
      <c r="I496"/>
      <c r="J496"/>
      <c r="K496"/>
      <c r="L496"/>
      <c r="M496"/>
      <c r="N496"/>
      <c r="O496"/>
      <c r="P496"/>
      <c r="Q496"/>
      <c r="R496"/>
      <c r="S496"/>
      <c r="T496"/>
      <c r="U496"/>
      <c r="V496"/>
    </row>
    <row r="497" spans="1:22" x14ac:dyDescent="0.3">
      <c r="A497"/>
      <c r="B497"/>
      <c r="C497"/>
      <c r="D497"/>
      <c r="E497"/>
      <c r="F497"/>
      <c r="G497"/>
      <c r="H497"/>
      <c r="I497"/>
      <c r="J497"/>
      <c r="K497"/>
      <c r="L497"/>
      <c r="M497"/>
      <c r="N497"/>
      <c r="O497"/>
      <c r="P497"/>
      <c r="Q497"/>
      <c r="R497"/>
      <c r="S497"/>
      <c r="T497"/>
      <c r="U497"/>
      <c r="V497"/>
    </row>
    <row r="498" spans="1:22" x14ac:dyDescent="0.3">
      <c r="A498"/>
      <c r="B498"/>
      <c r="C498"/>
      <c r="D498"/>
      <c r="E498"/>
      <c r="F498"/>
      <c r="G498"/>
      <c r="H498"/>
      <c r="I498"/>
      <c r="J498"/>
      <c r="K498"/>
      <c r="L498"/>
      <c r="M498"/>
      <c r="N498"/>
      <c r="O498"/>
      <c r="P498"/>
      <c r="Q498"/>
      <c r="R498"/>
      <c r="S498"/>
      <c r="T498"/>
      <c r="U498"/>
      <c r="V498"/>
    </row>
    <row r="499" spans="1:22" x14ac:dyDescent="0.3">
      <c r="A499"/>
      <c r="B499"/>
      <c r="C499"/>
      <c r="D499"/>
      <c r="E499"/>
      <c r="F499"/>
      <c r="G499"/>
      <c r="H499"/>
      <c r="I499"/>
      <c r="J499"/>
      <c r="K499"/>
      <c r="L499"/>
      <c r="M499"/>
      <c r="N499"/>
      <c r="O499"/>
      <c r="P499"/>
      <c r="Q499"/>
      <c r="R499"/>
      <c r="S499"/>
      <c r="T499"/>
      <c r="U499"/>
      <c r="V499"/>
    </row>
    <row r="500" spans="1:22" x14ac:dyDescent="0.3">
      <c r="A500"/>
      <c r="B500"/>
      <c r="C500"/>
      <c r="D500"/>
      <c r="E500"/>
      <c r="F500"/>
      <c r="G500"/>
      <c r="H500"/>
      <c r="I500"/>
      <c r="J500"/>
      <c r="K500"/>
      <c r="L500"/>
      <c r="M500"/>
      <c r="N500"/>
      <c r="O500"/>
      <c r="P500"/>
      <c r="Q500"/>
      <c r="R500"/>
      <c r="S500"/>
      <c r="T500"/>
      <c r="U500"/>
      <c r="V500"/>
    </row>
    <row r="501" spans="1:22" x14ac:dyDescent="0.3">
      <c r="A501"/>
      <c r="B501"/>
      <c r="C501"/>
      <c r="D501"/>
      <c r="E501"/>
      <c r="F501"/>
      <c r="G501"/>
      <c r="H501"/>
      <c r="I501"/>
      <c r="J501"/>
      <c r="K501"/>
      <c r="L501"/>
      <c r="M501"/>
      <c r="N501"/>
      <c r="O501"/>
      <c r="P501"/>
      <c r="Q501"/>
      <c r="R501"/>
      <c r="S501"/>
      <c r="T501"/>
      <c r="U501"/>
      <c r="V501"/>
    </row>
    <row r="502" spans="1:22" x14ac:dyDescent="0.3">
      <c r="A502"/>
      <c r="B502"/>
      <c r="C502"/>
      <c r="D502"/>
      <c r="E502"/>
      <c r="F502"/>
      <c r="G502"/>
      <c r="H502"/>
      <c r="I502"/>
      <c r="J502"/>
      <c r="K502"/>
      <c r="L502"/>
      <c r="M502"/>
      <c r="N502"/>
      <c r="O502"/>
      <c r="P502"/>
      <c r="Q502"/>
      <c r="R502"/>
      <c r="S502"/>
      <c r="T502"/>
      <c r="U502"/>
      <c r="V502"/>
    </row>
    <row r="503" spans="1:22" x14ac:dyDescent="0.3">
      <c r="A503"/>
      <c r="B503"/>
      <c r="C503"/>
      <c r="D503"/>
      <c r="E503"/>
      <c r="F503"/>
      <c r="G503"/>
      <c r="H503"/>
      <c r="I503"/>
      <c r="J503"/>
      <c r="K503"/>
      <c r="L503"/>
      <c r="M503"/>
      <c r="N503"/>
      <c r="O503"/>
      <c r="P503"/>
      <c r="Q503"/>
      <c r="R503"/>
      <c r="S503"/>
      <c r="T503"/>
      <c r="U503"/>
      <c r="V503"/>
    </row>
    <row r="504" spans="1:22" x14ac:dyDescent="0.3">
      <c r="A504"/>
      <c r="B504"/>
      <c r="C504"/>
      <c r="D504"/>
      <c r="E504"/>
      <c r="F504"/>
      <c r="G504"/>
      <c r="H504"/>
      <c r="I504"/>
      <c r="J504"/>
      <c r="K504"/>
      <c r="L504"/>
      <c r="M504"/>
      <c r="N504"/>
      <c r="O504"/>
      <c r="P504"/>
      <c r="Q504"/>
      <c r="R504"/>
      <c r="S504"/>
      <c r="T504"/>
      <c r="U504"/>
      <c r="V504"/>
    </row>
    <row r="505" spans="1:22" x14ac:dyDescent="0.3">
      <c r="A505"/>
      <c r="B505"/>
      <c r="C505"/>
      <c r="D505"/>
      <c r="E505"/>
      <c r="F505"/>
      <c r="G505"/>
      <c r="H505"/>
      <c r="I505"/>
      <c r="J505"/>
      <c r="K505"/>
      <c r="L505"/>
      <c r="M505"/>
      <c r="N505"/>
      <c r="O505"/>
      <c r="P505"/>
      <c r="Q505"/>
      <c r="R505"/>
      <c r="S505"/>
      <c r="T505"/>
      <c r="U505"/>
      <c r="V505"/>
    </row>
    <row r="506" spans="1:22" x14ac:dyDescent="0.3">
      <c r="A506"/>
      <c r="B506"/>
      <c r="C506"/>
      <c r="D506"/>
      <c r="E506"/>
      <c r="F506"/>
      <c r="G506"/>
      <c r="H506"/>
      <c r="I506"/>
      <c r="J506"/>
      <c r="K506"/>
      <c r="L506"/>
      <c r="M506"/>
      <c r="N506"/>
      <c r="O506"/>
      <c r="P506"/>
      <c r="Q506"/>
      <c r="R506"/>
      <c r="S506"/>
      <c r="T506"/>
      <c r="U506"/>
      <c r="V506"/>
    </row>
    <row r="507" spans="1:22" x14ac:dyDescent="0.3">
      <c r="A507"/>
      <c r="B507"/>
      <c r="C507"/>
      <c r="D507"/>
      <c r="E507"/>
      <c r="F507"/>
      <c r="G507"/>
      <c r="H507"/>
      <c r="I507"/>
      <c r="J507"/>
      <c r="K507"/>
      <c r="L507"/>
      <c r="M507"/>
      <c r="N507"/>
      <c r="O507"/>
      <c r="P507"/>
      <c r="Q507"/>
      <c r="R507"/>
      <c r="S507"/>
      <c r="T507"/>
      <c r="U507"/>
      <c r="V507"/>
    </row>
    <row r="508" spans="1:22" x14ac:dyDescent="0.3">
      <c r="A508"/>
      <c r="B508"/>
      <c r="C508"/>
      <c r="D508"/>
      <c r="E508"/>
      <c r="F508"/>
      <c r="G508"/>
      <c r="H508"/>
      <c r="I508"/>
      <c r="J508"/>
      <c r="K508"/>
      <c r="L508"/>
      <c r="M508"/>
      <c r="N508"/>
      <c r="O508"/>
      <c r="P508"/>
      <c r="Q508"/>
      <c r="R508"/>
      <c r="S508"/>
      <c r="T508"/>
      <c r="U508"/>
      <c r="V508"/>
    </row>
    <row r="509" spans="1:22" x14ac:dyDescent="0.3">
      <c r="A509"/>
      <c r="B509"/>
      <c r="C509"/>
      <c r="D509"/>
      <c r="E509"/>
      <c r="F509"/>
      <c r="G509"/>
      <c r="H509"/>
      <c r="I509"/>
      <c r="J509"/>
      <c r="K509"/>
      <c r="L509"/>
      <c r="M509"/>
      <c r="N509"/>
      <c r="O509"/>
      <c r="P509"/>
      <c r="Q509"/>
      <c r="R509"/>
      <c r="S509"/>
      <c r="T509"/>
      <c r="U509"/>
      <c r="V509"/>
    </row>
    <row r="510" spans="1:22" x14ac:dyDescent="0.3">
      <c r="A510"/>
      <c r="B510"/>
      <c r="C510"/>
      <c r="D510"/>
      <c r="E510"/>
      <c r="F510"/>
      <c r="G510"/>
      <c r="H510"/>
      <c r="I510"/>
      <c r="J510"/>
      <c r="K510"/>
      <c r="L510"/>
      <c r="M510"/>
      <c r="N510"/>
      <c r="O510"/>
      <c r="P510"/>
      <c r="Q510"/>
      <c r="R510"/>
      <c r="S510"/>
      <c r="T510"/>
      <c r="U510"/>
      <c r="V510"/>
    </row>
    <row r="511" spans="1:22" x14ac:dyDescent="0.3">
      <c r="A511"/>
      <c r="B511"/>
      <c r="C511"/>
      <c r="D511"/>
      <c r="E511"/>
      <c r="F511"/>
      <c r="G511"/>
      <c r="H511"/>
      <c r="I511"/>
      <c r="J511"/>
      <c r="K511"/>
      <c r="L511"/>
      <c r="M511"/>
      <c r="N511"/>
      <c r="O511"/>
      <c r="P511"/>
      <c r="Q511"/>
      <c r="R511"/>
      <c r="S511"/>
      <c r="T511"/>
      <c r="U511"/>
      <c r="V511"/>
    </row>
    <row r="512" spans="1:22" x14ac:dyDescent="0.3">
      <c r="A512"/>
      <c r="B512"/>
      <c r="C512"/>
      <c r="D512"/>
      <c r="E512"/>
      <c r="F512"/>
      <c r="G512"/>
      <c r="H512"/>
      <c r="I512"/>
      <c r="J512"/>
      <c r="K512"/>
      <c r="L512"/>
      <c r="M512"/>
      <c r="N512"/>
      <c r="O512"/>
      <c r="P512"/>
      <c r="Q512"/>
      <c r="R512"/>
      <c r="S512"/>
      <c r="T512"/>
      <c r="U512"/>
      <c r="V512"/>
    </row>
    <row r="513" spans="1:22" x14ac:dyDescent="0.3">
      <c r="A513"/>
      <c r="B513"/>
      <c r="C513"/>
      <c r="D513"/>
      <c r="E513"/>
      <c r="F513"/>
      <c r="G513"/>
      <c r="H513"/>
      <c r="I513"/>
      <c r="J513"/>
      <c r="K513"/>
      <c r="L513"/>
      <c r="M513"/>
      <c r="N513"/>
      <c r="O513"/>
      <c r="P513"/>
      <c r="Q513"/>
      <c r="R513"/>
      <c r="S513"/>
      <c r="T513"/>
      <c r="U513"/>
      <c r="V513"/>
    </row>
    <row r="514" spans="1:22" x14ac:dyDescent="0.3">
      <c r="A514"/>
      <c r="B514"/>
      <c r="C514"/>
      <c r="D514"/>
      <c r="E514"/>
      <c r="F514"/>
      <c r="G514"/>
      <c r="H514"/>
      <c r="I514"/>
      <c r="J514"/>
      <c r="K514"/>
      <c r="L514"/>
      <c r="M514"/>
      <c r="N514"/>
      <c r="O514"/>
      <c r="P514"/>
      <c r="Q514"/>
      <c r="R514"/>
      <c r="S514"/>
      <c r="T514"/>
      <c r="U514"/>
      <c r="V514"/>
    </row>
    <row r="515" spans="1:22" x14ac:dyDescent="0.3">
      <c r="A515"/>
      <c r="B515"/>
      <c r="C515"/>
      <c r="D515"/>
      <c r="E515"/>
      <c r="F515"/>
      <c r="G515"/>
      <c r="H515"/>
      <c r="I515"/>
      <c r="J515"/>
      <c r="K515"/>
      <c r="L515"/>
      <c r="M515"/>
      <c r="N515"/>
      <c r="O515"/>
      <c r="P515"/>
      <c r="Q515"/>
      <c r="R515"/>
      <c r="S515"/>
      <c r="T515"/>
      <c r="U515"/>
      <c r="V515"/>
    </row>
    <row r="516" spans="1:22" x14ac:dyDescent="0.3">
      <c r="A516"/>
      <c r="B516"/>
      <c r="C516"/>
      <c r="D516"/>
      <c r="E516"/>
      <c r="F516"/>
      <c r="G516"/>
      <c r="H516"/>
      <c r="I516"/>
      <c r="J516"/>
      <c r="K516"/>
      <c r="L516"/>
      <c r="M516"/>
      <c r="N516"/>
      <c r="O516"/>
      <c r="P516"/>
      <c r="Q516"/>
      <c r="R516"/>
      <c r="S516"/>
      <c r="T516"/>
      <c r="U516"/>
      <c r="V516"/>
    </row>
    <row r="517" spans="1:22" x14ac:dyDescent="0.3">
      <c r="A517"/>
      <c r="B517"/>
      <c r="C517"/>
      <c r="D517"/>
      <c r="E517"/>
      <c r="F517"/>
      <c r="G517"/>
      <c r="H517"/>
      <c r="I517"/>
      <c r="J517"/>
      <c r="K517"/>
      <c r="L517"/>
      <c r="M517"/>
      <c r="N517"/>
      <c r="O517"/>
      <c r="P517"/>
      <c r="Q517"/>
      <c r="R517"/>
      <c r="S517"/>
      <c r="T517"/>
      <c r="U517"/>
      <c r="V517"/>
    </row>
    <row r="518" spans="1:22" x14ac:dyDescent="0.3">
      <c r="A518"/>
      <c r="B518"/>
      <c r="C518"/>
      <c r="D518"/>
      <c r="E518"/>
      <c r="F518"/>
      <c r="G518"/>
      <c r="H518"/>
      <c r="I518"/>
      <c r="J518"/>
      <c r="K518"/>
      <c r="L518"/>
      <c r="M518"/>
      <c r="N518"/>
      <c r="O518"/>
      <c r="P518"/>
      <c r="Q518"/>
      <c r="R518"/>
      <c r="S518"/>
      <c r="T518"/>
      <c r="U518"/>
      <c r="V518"/>
    </row>
    <row r="519" spans="1:22" x14ac:dyDescent="0.3">
      <c r="A519"/>
      <c r="B519"/>
      <c r="C519"/>
      <c r="D519"/>
      <c r="E519"/>
      <c r="F519"/>
      <c r="G519"/>
      <c r="H519"/>
      <c r="I519"/>
      <c r="J519"/>
      <c r="K519"/>
      <c r="L519"/>
      <c r="M519"/>
      <c r="N519"/>
      <c r="O519"/>
      <c r="P519"/>
      <c r="Q519"/>
      <c r="R519"/>
      <c r="S519"/>
      <c r="T519"/>
      <c r="U519"/>
      <c r="V519"/>
    </row>
    <row r="520" spans="1:22" x14ac:dyDescent="0.3">
      <c r="A520"/>
      <c r="B520"/>
      <c r="C520"/>
      <c r="D520"/>
      <c r="E520"/>
      <c r="F520"/>
      <c r="G520"/>
      <c r="H520"/>
      <c r="I520"/>
      <c r="J520"/>
      <c r="K520"/>
      <c r="L520"/>
      <c r="M520"/>
      <c r="N520"/>
      <c r="O520"/>
      <c r="P520"/>
      <c r="Q520"/>
      <c r="R520"/>
      <c r="S520"/>
      <c r="T520"/>
      <c r="U520"/>
      <c r="V520"/>
    </row>
    <row r="521" spans="1:22" x14ac:dyDescent="0.3">
      <c r="A521"/>
      <c r="B521"/>
      <c r="C521"/>
      <c r="D521"/>
      <c r="E521"/>
      <c r="F521"/>
      <c r="G521"/>
      <c r="H521"/>
      <c r="I521"/>
      <c r="J521"/>
      <c r="K521"/>
      <c r="L521"/>
      <c r="M521"/>
      <c r="N521"/>
      <c r="O521"/>
      <c r="P521"/>
      <c r="Q521"/>
      <c r="R521"/>
      <c r="S521"/>
      <c r="T521"/>
      <c r="U521"/>
      <c r="V521"/>
    </row>
    <row r="522" spans="1:22" x14ac:dyDescent="0.3">
      <c r="A522"/>
      <c r="B522"/>
      <c r="C522"/>
      <c r="D522"/>
      <c r="E522"/>
      <c r="F522"/>
      <c r="G522"/>
      <c r="H522"/>
      <c r="I522"/>
      <c r="J522"/>
      <c r="K522"/>
      <c r="L522"/>
      <c r="M522"/>
      <c r="N522"/>
      <c r="O522"/>
      <c r="P522"/>
      <c r="Q522"/>
      <c r="R522"/>
      <c r="S522"/>
      <c r="T522"/>
      <c r="U522"/>
      <c r="V522"/>
    </row>
    <row r="523" spans="1:22" x14ac:dyDescent="0.3">
      <c r="A523"/>
      <c r="B523"/>
      <c r="C523"/>
      <c r="D523"/>
      <c r="E523"/>
      <c r="F523"/>
      <c r="G523"/>
      <c r="H523"/>
      <c r="I523"/>
      <c r="J523"/>
      <c r="K523"/>
      <c r="L523"/>
      <c r="M523"/>
      <c r="N523"/>
      <c r="O523"/>
      <c r="P523"/>
      <c r="Q523"/>
      <c r="R523"/>
      <c r="S523"/>
      <c r="T523"/>
      <c r="U523"/>
      <c r="V523"/>
    </row>
    <row r="524" spans="1:22" x14ac:dyDescent="0.3">
      <c r="A524"/>
      <c r="B524"/>
      <c r="C524"/>
      <c r="D524"/>
      <c r="E524"/>
      <c r="F524"/>
      <c r="G524"/>
      <c r="H524"/>
      <c r="I524"/>
      <c r="J524"/>
      <c r="K524"/>
      <c r="L524"/>
      <c r="M524"/>
      <c r="N524"/>
      <c r="O524"/>
      <c r="P524"/>
      <c r="Q524"/>
      <c r="R524"/>
      <c r="S524"/>
      <c r="T524"/>
      <c r="U524"/>
      <c r="V524"/>
    </row>
    <row r="525" spans="1:22" x14ac:dyDescent="0.3">
      <c r="A525"/>
      <c r="B525"/>
      <c r="C525"/>
      <c r="D525"/>
      <c r="E525"/>
      <c r="F525"/>
      <c r="G525"/>
      <c r="H525"/>
      <c r="I525"/>
      <c r="J525"/>
      <c r="K525"/>
      <c r="L525"/>
      <c r="M525"/>
      <c r="N525"/>
      <c r="O525"/>
      <c r="P525"/>
      <c r="Q525"/>
      <c r="R525"/>
      <c r="S525"/>
      <c r="T525"/>
      <c r="U525"/>
      <c r="V525"/>
    </row>
    <row r="526" spans="1:22" x14ac:dyDescent="0.3">
      <c r="A526"/>
      <c r="B526"/>
      <c r="C526"/>
      <c r="D526"/>
      <c r="E526"/>
      <c r="F526"/>
      <c r="G526"/>
      <c r="H526"/>
      <c r="I526"/>
      <c r="J526"/>
      <c r="K526"/>
      <c r="L526"/>
      <c r="M526"/>
      <c r="N526"/>
      <c r="O526"/>
      <c r="P526"/>
      <c r="Q526"/>
      <c r="R526"/>
      <c r="S526"/>
      <c r="T526"/>
      <c r="U526"/>
      <c r="V526"/>
    </row>
    <row r="527" spans="1:22" x14ac:dyDescent="0.3">
      <c r="A527"/>
      <c r="B527"/>
      <c r="C527"/>
      <c r="D527"/>
      <c r="E527"/>
      <c r="F527"/>
      <c r="G527"/>
      <c r="H527"/>
      <c r="I527"/>
      <c r="J527"/>
      <c r="K527"/>
      <c r="L527"/>
      <c r="M527"/>
      <c r="N527"/>
      <c r="O527"/>
      <c r="P527"/>
      <c r="Q527"/>
      <c r="R527"/>
      <c r="S527"/>
      <c r="T527"/>
      <c r="U527"/>
      <c r="V527"/>
    </row>
    <row r="528" spans="1:22" x14ac:dyDescent="0.3">
      <c r="A528"/>
      <c r="B528"/>
      <c r="C528"/>
      <c r="D528"/>
      <c r="E528"/>
      <c r="F528"/>
      <c r="G528"/>
      <c r="H528"/>
      <c r="I528"/>
      <c r="J528"/>
      <c r="K528"/>
      <c r="L528"/>
      <c r="M528"/>
      <c r="N528"/>
      <c r="O528"/>
      <c r="P528"/>
      <c r="Q528"/>
      <c r="R528"/>
      <c r="S528"/>
      <c r="T528"/>
      <c r="U528"/>
      <c r="V528"/>
    </row>
    <row r="529" spans="1:22" x14ac:dyDescent="0.3">
      <c r="A529"/>
      <c r="B529"/>
      <c r="C529"/>
      <c r="D529"/>
      <c r="E529"/>
      <c r="F529"/>
      <c r="G529"/>
      <c r="H529"/>
      <c r="I529"/>
      <c r="J529"/>
      <c r="K529"/>
      <c r="L529"/>
      <c r="M529"/>
      <c r="N529"/>
      <c r="O529"/>
      <c r="P529"/>
      <c r="Q529"/>
      <c r="R529"/>
      <c r="S529"/>
      <c r="T529"/>
      <c r="U529"/>
      <c r="V529"/>
    </row>
    <row r="530" spans="1:22" x14ac:dyDescent="0.3">
      <c r="A530"/>
      <c r="B530"/>
      <c r="C530"/>
      <c r="D530"/>
      <c r="E530"/>
      <c r="F530"/>
      <c r="G530"/>
      <c r="H530"/>
      <c r="I530"/>
      <c r="J530"/>
      <c r="K530"/>
      <c r="L530"/>
      <c r="M530"/>
      <c r="N530"/>
      <c r="O530"/>
      <c r="P530"/>
      <c r="Q530"/>
      <c r="R530"/>
      <c r="S530"/>
      <c r="T530"/>
      <c r="U530"/>
      <c r="V530"/>
    </row>
    <row r="531" spans="1:22" x14ac:dyDescent="0.3">
      <c r="A531"/>
      <c r="B531"/>
      <c r="C531"/>
      <c r="D531"/>
      <c r="E531"/>
      <c r="F531"/>
      <c r="G531"/>
      <c r="H531"/>
      <c r="I531"/>
      <c r="J531"/>
      <c r="K531"/>
      <c r="L531"/>
      <c r="M531"/>
      <c r="N531"/>
      <c r="O531"/>
      <c r="P531"/>
      <c r="Q531"/>
      <c r="R531"/>
      <c r="S531"/>
      <c r="T531"/>
      <c r="U531"/>
      <c r="V531"/>
    </row>
    <row r="532" spans="1:22" x14ac:dyDescent="0.3">
      <c r="A532"/>
      <c r="B532"/>
      <c r="C532"/>
      <c r="D532"/>
      <c r="E532"/>
      <c r="F532"/>
      <c r="G532"/>
      <c r="H532"/>
      <c r="I532"/>
      <c r="J532"/>
      <c r="K532"/>
      <c r="L532"/>
      <c r="M532"/>
      <c r="N532"/>
      <c r="O532"/>
      <c r="P532"/>
      <c r="Q532"/>
      <c r="R532"/>
      <c r="S532"/>
      <c r="T532"/>
      <c r="U532"/>
      <c r="V532"/>
    </row>
    <row r="533" spans="1:22" x14ac:dyDescent="0.3">
      <c r="A533"/>
      <c r="B533"/>
      <c r="C533"/>
      <c r="D533"/>
      <c r="E533"/>
      <c r="F533"/>
      <c r="G533"/>
      <c r="H533"/>
      <c r="I533"/>
      <c r="J533"/>
      <c r="K533"/>
      <c r="L533"/>
      <c r="M533"/>
      <c r="N533"/>
      <c r="O533"/>
      <c r="P533"/>
      <c r="Q533"/>
      <c r="R533"/>
      <c r="S533"/>
      <c r="T533"/>
      <c r="U533"/>
      <c r="V533"/>
    </row>
    <row r="534" spans="1:22" x14ac:dyDescent="0.3">
      <c r="A534"/>
      <c r="B534"/>
      <c r="C534"/>
      <c r="D534"/>
      <c r="E534"/>
      <c r="F534"/>
      <c r="G534"/>
      <c r="H534"/>
      <c r="I534"/>
      <c r="J534"/>
      <c r="K534"/>
      <c r="L534"/>
      <c r="M534"/>
      <c r="N534"/>
      <c r="O534"/>
      <c r="P534"/>
      <c r="Q534"/>
      <c r="R534"/>
      <c r="S534"/>
      <c r="T534"/>
      <c r="U534"/>
      <c r="V534"/>
    </row>
    <row r="535" spans="1:22" x14ac:dyDescent="0.3">
      <c r="A535"/>
      <c r="B535"/>
      <c r="C535"/>
      <c r="D535"/>
      <c r="E535"/>
      <c r="F535"/>
      <c r="G535"/>
      <c r="H535"/>
      <c r="I535"/>
      <c r="J535"/>
      <c r="K535"/>
      <c r="L535"/>
      <c r="M535"/>
      <c r="N535"/>
      <c r="O535"/>
      <c r="P535"/>
      <c r="Q535"/>
      <c r="R535"/>
      <c r="S535"/>
      <c r="T535"/>
      <c r="U535"/>
      <c r="V535"/>
    </row>
    <row r="536" spans="1:22" x14ac:dyDescent="0.3">
      <c r="A536"/>
      <c r="B536"/>
      <c r="C536"/>
      <c r="D536"/>
      <c r="E536"/>
      <c r="F536"/>
      <c r="G536"/>
      <c r="H536"/>
      <c r="I536"/>
      <c r="J536"/>
      <c r="K536"/>
      <c r="L536"/>
      <c r="M536"/>
      <c r="N536"/>
      <c r="O536"/>
      <c r="P536"/>
      <c r="Q536"/>
      <c r="R536"/>
      <c r="S536"/>
      <c r="T536"/>
      <c r="U536"/>
      <c r="V536"/>
    </row>
    <row r="537" spans="1:22" x14ac:dyDescent="0.3">
      <c r="A537"/>
      <c r="B537"/>
      <c r="C537"/>
      <c r="D537"/>
      <c r="E537"/>
      <c r="F537"/>
      <c r="G537"/>
      <c r="H537"/>
      <c r="I537"/>
      <c r="J537"/>
      <c r="K537"/>
      <c r="L537"/>
      <c r="M537"/>
      <c r="N537"/>
      <c r="O537"/>
      <c r="P537"/>
      <c r="Q537"/>
      <c r="R537"/>
      <c r="S537"/>
      <c r="T537"/>
      <c r="U537"/>
      <c r="V537"/>
    </row>
    <row r="538" spans="1:22" x14ac:dyDescent="0.3">
      <c r="A538"/>
      <c r="B538"/>
      <c r="C538"/>
      <c r="D538"/>
      <c r="E538"/>
      <c r="F538"/>
      <c r="G538"/>
      <c r="H538"/>
      <c r="I538"/>
      <c r="J538"/>
      <c r="K538"/>
      <c r="L538"/>
      <c r="M538"/>
      <c r="N538"/>
      <c r="O538"/>
      <c r="P538"/>
      <c r="Q538"/>
      <c r="R538"/>
      <c r="S538"/>
      <c r="T538"/>
      <c r="U538"/>
      <c r="V538"/>
    </row>
    <row r="539" spans="1:22" x14ac:dyDescent="0.3">
      <c r="A539"/>
      <c r="B539"/>
      <c r="C539"/>
      <c r="D539"/>
      <c r="E539"/>
      <c r="F539"/>
      <c r="G539"/>
      <c r="H539"/>
      <c r="I539"/>
      <c r="J539"/>
      <c r="K539"/>
      <c r="L539"/>
      <c r="M539"/>
      <c r="N539"/>
      <c r="O539"/>
      <c r="P539"/>
      <c r="Q539"/>
      <c r="R539"/>
      <c r="S539"/>
      <c r="T539"/>
      <c r="U539"/>
      <c r="V539"/>
    </row>
    <row r="540" spans="1:22" x14ac:dyDescent="0.3">
      <c r="A540"/>
      <c r="B540"/>
      <c r="C540"/>
      <c r="D540"/>
      <c r="E540"/>
      <c r="F540"/>
      <c r="G540"/>
      <c r="H540"/>
      <c r="I540"/>
      <c r="J540"/>
      <c r="K540"/>
      <c r="L540"/>
      <c r="M540"/>
      <c r="N540"/>
      <c r="O540"/>
      <c r="P540"/>
      <c r="Q540"/>
      <c r="R540"/>
      <c r="S540"/>
      <c r="T540"/>
      <c r="U540"/>
      <c r="V540"/>
    </row>
    <row r="541" spans="1:22" x14ac:dyDescent="0.3">
      <c r="A541"/>
      <c r="B541"/>
      <c r="C541"/>
      <c r="D541"/>
      <c r="E541"/>
      <c r="F541"/>
      <c r="G541"/>
      <c r="H541"/>
      <c r="I541"/>
      <c r="J541"/>
      <c r="K541"/>
      <c r="L541"/>
      <c r="M541"/>
      <c r="N541"/>
      <c r="O541"/>
      <c r="P541"/>
      <c r="Q541"/>
      <c r="R541"/>
      <c r="S541"/>
      <c r="T541"/>
      <c r="U541"/>
      <c r="V541"/>
    </row>
    <row r="542" spans="1:22" x14ac:dyDescent="0.3">
      <c r="A542"/>
      <c r="B542"/>
      <c r="C542"/>
      <c r="D542"/>
      <c r="E542"/>
      <c r="F542"/>
      <c r="G542"/>
      <c r="H542"/>
      <c r="I542"/>
      <c r="J542"/>
      <c r="K542"/>
      <c r="L542"/>
      <c r="M542"/>
      <c r="N542"/>
      <c r="O542"/>
      <c r="P542"/>
      <c r="Q542"/>
      <c r="R542"/>
      <c r="S542"/>
      <c r="T542"/>
      <c r="U542"/>
      <c r="V542"/>
    </row>
    <row r="543" spans="1:22" x14ac:dyDescent="0.3">
      <c r="A543"/>
      <c r="B543"/>
      <c r="C543"/>
      <c r="D543"/>
      <c r="E543"/>
      <c r="F543"/>
      <c r="G543"/>
      <c r="H543"/>
      <c r="I543"/>
      <c r="J543"/>
      <c r="K543"/>
      <c r="L543"/>
      <c r="M543"/>
      <c r="N543"/>
      <c r="O543"/>
      <c r="P543"/>
      <c r="Q543"/>
      <c r="R543"/>
      <c r="S543"/>
      <c r="T543"/>
      <c r="U543"/>
      <c r="V543"/>
    </row>
    <row r="544" spans="1:22" x14ac:dyDescent="0.3">
      <c r="A544"/>
      <c r="B544"/>
      <c r="C544"/>
      <c r="D544"/>
      <c r="E544"/>
      <c r="F544"/>
      <c r="G544"/>
      <c r="H544"/>
      <c r="I544"/>
      <c r="J544"/>
      <c r="K544"/>
      <c r="L544"/>
      <c r="M544"/>
      <c r="N544"/>
      <c r="O544"/>
      <c r="P544"/>
      <c r="Q544"/>
      <c r="R544"/>
      <c r="S544"/>
      <c r="T544"/>
      <c r="U544"/>
      <c r="V544"/>
    </row>
    <row r="545" spans="1:22" x14ac:dyDescent="0.3">
      <c r="A545"/>
      <c r="B545"/>
      <c r="C545"/>
      <c r="D545"/>
      <c r="E545"/>
      <c r="F545"/>
      <c r="G545"/>
      <c r="H545"/>
      <c r="I545"/>
      <c r="J545"/>
      <c r="K545"/>
      <c r="L545"/>
      <c r="M545"/>
      <c r="N545"/>
      <c r="O545"/>
      <c r="P545"/>
      <c r="Q545"/>
      <c r="R545"/>
      <c r="S545"/>
      <c r="T545"/>
      <c r="U545"/>
      <c r="V545"/>
    </row>
    <row r="546" spans="1:22" x14ac:dyDescent="0.3">
      <c r="A546"/>
      <c r="B546"/>
      <c r="C546"/>
      <c r="D546"/>
      <c r="E546"/>
      <c r="F546"/>
      <c r="G546"/>
      <c r="H546"/>
      <c r="I546"/>
      <c r="J546"/>
      <c r="K546"/>
      <c r="L546"/>
      <c r="M546"/>
      <c r="N546"/>
      <c r="O546"/>
      <c r="P546"/>
      <c r="Q546"/>
      <c r="R546"/>
      <c r="S546"/>
      <c r="T546"/>
      <c r="U546"/>
      <c r="V546"/>
    </row>
    <row r="547" spans="1:22" x14ac:dyDescent="0.3">
      <c r="A547"/>
      <c r="B547"/>
      <c r="C547"/>
      <c r="D547"/>
      <c r="E547"/>
      <c r="F547"/>
      <c r="G547"/>
      <c r="H547"/>
      <c r="I547"/>
      <c r="J547"/>
      <c r="K547"/>
      <c r="L547"/>
      <c r="M547"/>
      <c r="N547"/>
      <c r="O547"/>
      <c r="P547"/>
      <c r="Q547"/>
      <c r="R547"/>
      <c r="S547"/>
      <c r="T547"/>
      <c r="U547"/>
      <c r="V547"/>
    </row>
    <row r="548" spans="1:22" x14ac:dyDescent="0.3">
      <c r="A548"/>
      <c r="B548"/>
      <c r="C548"/>
      <c r="D548"/>
      <c r="E548"/>
      <c r="F548"/>
      <c r="G548"/>
      <c r="H548"/>
      <c r="I548"/>
      <c r="J548"/>
      <c r="K548"/>
      <c r="L548"/>
      <c r="M548"/>
      <c r="N548"/>
      <c r="O548"/>
      <c r="P548"/>
      <c r="Q548"/>
      <c r="R548"/>
      <c r="S548"/>
      <c r="T548"/>
      <c r="U548"/>
      <c r="V548"/>
    </row>
    <row r="549" spans="1:22" x14ac:dyDescent="0.3">
      <c r="A549"/>
      <c r="B549"/>
      <c r="C549"/>
      <c r="D549"/>
      <c r="E549"/>
      <c r="F549"/>
      <c r="G549"/>
      <c r="H549"/>
      <c r="I549"/>
      <c r="J549"/>
      <c r="K549"/>
      <c r="L549"/>
      <c r="M549"/>
      <c r="N549"/>
      <c r="O549"/>
      <c r="P549"/>
      <c r="Q549"/>
      <c r="R549"/>
      <c r="S549"/>
      <c r="T549"/>
      <c r="U549"/>
      <c r="V549"/>
    </row>
    <row r="550" spans="1:22" x14ac:dyDescent="0.3">
      <c r="A550"/>
      <c r="B550"/>
      <c r="C550"/>
      <c r="D550"/>
      <c r="E550"/>
      <c r="F550"/>
      <c r="G550"/>
      <c r="H550"/>
      <c r="I550"/>
      <c r="J550"/>
      <c r="K550"/>
      <c r="L550"/>
      <c r="M550"/>
      <c r="N550"/>
      <c r="O550"/>
      <c r="P550"/>
      <c r="Q550"/>
      <c r="R550"/>
      <c r="S550"/>
      <c r="T550"/>
      <c r="U550"/>
      <c r="V550"/>
    </row>
    <row r="551" spans="1:22" x14ac:dyDescent="0.3">
      <c r="A551"/>
      <c r="B551"/>
      <c r="C551"/>
      <c r="D551"/>
      <c r="E551"/>
      <c r="F551"/>
      <c r="G551"/>
      <c r="H551"/>
      <c r="I551"/>
      <c r="J551"/>
      <c r="K551"/>
      <c r="L551"/>
      <c r="M551"/>
      <c r="N551"/>
      <c r="O551"/>
      <c r="P551"/>
      <c r="Q551"/>
      <c r="R551"/>
      <c r="S551"/>
      <c r="T551"/>
      <c r="U551"/>
      <c r="V551"/>
    </row>
    <row r="552" spans="1:22" x14ac:dyDescent="0.3">
      <c r="A552"/>
      <c r="B552"/>
      <c r="C552"/>
      <c r="D552"/>
      <c r="E552"/>
      <c r="F552"/>
      <c r="G552"/>
      <c r="H552"/>
      <c r="I552"/>
      <c r="J552"/>
      <c r="K552"/>
      <c r="L552"/>
      <c r="M552"/>
      <c r="N552"/>
      <c r="O552"/>
      <c r="P552"/>
      <c r="Q552"/>
      <c r="R552"/>
      <c r="S552"/>
      <c r="T552"/>
      <c r="U552"/>
      <c r="V552"/>
    </row>
    <row r="553" spans="1:22" x14ac:dyDescent="0.3">
      <c r="A553"/>
      <c r="B553"/>
      <c r="C553"/>
      <c r="D553"/>
      <c r="E553"/>
      <c r="F553"/>
      <c r="G553"/>
      <c r="H553"/>
      <c r="I553"/>
      <c r="J553"/>
      <c r="K553"/>
      <c r="L553"/>
      <c r="M553"/>
      <c r="N553"/>
      <c r="O553"/>
      <c r="P553"/>
      <c r="Q553"/>
      <c r="R553"/>
      <c r="S553"/>
      <c r="T553"/>
      <c r="U553"/>
      <c r="V553"/>
    </row>
    <row r="554" spans="1:22" x14ac:dyDescent="0.3">
      <c r="A554"/>
      <c r="B554"/>
      <c r="C554"/>
      <c r="D554"/>
      <c r="E554"/>
      <c r="F554"/>
      <c r="G554"/>
      <c r="H554"/>
      <c r="I554"/>
      <c r="J554"/>
      <c r="K554"/>
      <c r="L554"/>
      <c r="M554"/>
      <c r="N554"/>
      <c r="O554"/>
      <c r="P554"/>
      <c r="Q554"/>
      <c r="R554"/>
      <c r="S554"/>
      <c r="T554"/>
      <c r="U554"/>
      <c r="V554"/>
    </row>
    <row r="555" spans="1:22" x14ac:dyDescent="0.3">
      <c r="A555"/>
      <c r="B555"/>
      <c r="C555"/>
      <c r="D555"/>
      <c r="E555"/>
      <c r="F555"/>
      <c r="G555"/>
      <c r="H555"/>
      <c r="I555"/>
      <c r="J555"/>
      <c r="K555"/>
      <c r="L555"/>
      <c r="M555"/>
      <c r="N555"/>
      <c r="O555"/>
      <c r="P555"/>
      <c r="Q555"/>
      <c r="R555"/>
      <c r="S555"/>
      <c r="T555"/>
      <c r="U555"/>
      <c r="V555"/>
    </row>
    <row r="556" spans="1:22" x14ac:dyDescent="0.3">
      <c r="A556"/>
      <c r="B556"/>
      <c r="C556"/>
      <c r="D556"/>
      <c r="E556"/>
      <c r="F556"/>
      <c r="G556"/>
      <c r="H556"/>
      <c r="I556"/>
      <c r="J556"/>
      <c r="K556"/>
      <c r="L556"/>
      <c r="M556"/>
      <c r="N556"/>
      <c r="O556"/>
      <c r="P556"/>
      <c r="Q556"/>
      <c r="R556"/>
      <c r="S556"/>
      <c r="T556"/>
      <c r="U556"/>
      <c r="V556"/>
    </row>
    <row r="557" spans="1:22" x14ac:dyDescent="0.3">
      <c r="A557"/>
      <c r="B557"/>
      <c r="C557"/>
      <c r="D557"/>
      <c r="E557"/>
      <c r="F557"/>
      <c r="G557"/>
      <c r="H557"/>
      <c r="I557"/>
      <c r="J557"/>
      <c r="K557"/>
      <c r="L557"/>
      <c r="M557"/>
      <c r="N557"/>
      <c r="O557"/>
      <c r="P557"/>
      <c r="Q557"/>
      <c r="R557"/>
      <c r="S557"/>
      <c r="T557"/>
      <c r="U557"/>
      <c r="V557"/>
    </row>
    <row r="558" spans="1:22" x14ac:dyDescent="0.3">
      <c r="A558"/>
      <c r="B558"/>
      <c r="C558"/>
      <c r="D558"/>
      <c r="E558"/>
      <c r="F558"/>
      <c r="G558"/>
      <c r="H558"/>
      <c r="I558"/>
      <c r="J558"/>
      <c r="K558"/>
      <c r="L558"/>
      <c r="M558"/>
      <c r="N558"/>
      <c r="O558"/>
      <c r="P558"/>
      <c r="Q558"/>
      <c r="R558"/>
      <c r="S558"/>
      <c r="T558"/>
      <c r="U558"/>
      <c r="V558"/>
    </row>
    <row r="559" spans="1:22" x14ac:dyDescent="0.3">
      <c r="A559"/>
      <c r="B559"/>
      <c r="C559"/>
      <c r="D559"/>
      <c r="E559"/>
      <c r="F559"/>
      <c r="G559"/>
      <c r="H559"/>
      <c r="I559"/>
      <c r="J559"/>
      <c r="K559"/>
      <c r="L559"/>
      <c r="M559"/>
      <c r="N559"/>
      <c r="O559"/>
      <c r="P559"/>
      <c r="Q559"/>
      <c r="R559"/>
      <c r="S559"/>
      <c r="T559"/>
      <c r="U559"/>
      <c r="V559"/>
    </row>
    <row r="560" spans="1:22" x14ac:dyDescent="0.3">
      <c r="A560"/>
      <c r="B560"/>
      <c r="C560"/>
      <c r="D560"/>
      <c r="E560"/>
      <c r="F560"/>
      <c r="G560"/>
      <c r="H560"/>
      <c r="I560"/>
      <c r="J560"/>
      <c r="K560"/>
      <c r="L560"/>
      <c r="M560"/>
      <c r="N560"/>
      <c r="O560"/>
      <c r="P560"/>
      <c r="Q560"/>
      <c r="R560"/>
      <c r="S560"/>
      <c r="T560"/>
      <c r="U560"/>
      <c r="V560"/>
    </row>
    <row r="561" spans="1:22" x14ac:dyDescent="0.3">
      <c r="A561"/>
      <c r="B561"/>
      <c r="C561"/>
      <c r="D561"/>
      <c r="E561"/>
      <c r="F561"/>
      <c r="G561"/>
      <c r="H561"/>
      <c r="I561"/>
      <c r="J561"/>
      <c r="K561"/>
      <c r="L561"/>
      <c r="M561"/>
      <c r="N561"/>
      <c r="O561"/>
      <c r="P561"/>
      <c r="Q561"/>
      <c r="R561"/>
      <c r="S561"/>
      <c r="T561"/>
      <c r="U561"/>
      <c r="V561"/>
    </row>
    <row r="562" spans="1:22" x14ac:dyDescent="0.3">
      <c r="A562"/>
      <c r="B562"/>
      <c r="C562"/>
      <c r="D562"/>
      <c r="E562"/>
      <c r="F562"/>
      <c r="G562"/>
      <c r="H562"/>
      <c r="I562"/>
      <c r="J562"/>
      <c r="K562"/>
      <c r="L562"/>
      <c r="M562"/>
      <c r="N562"/>
      <c r="O562"/>
      <c r="P562"/>
      <c r="Q562"/>
      <c r="R562"/>
      <c r="S562"/>
      <c r="T562"/>
      <c r="U562"/>
      <c r="V562"/>
    </row>
    <row r="563" spans="1:22" x14ac:dyDescent="0.3">
      <c r="A563"/>
      <c r="B563"/>
      <c r="C563"/>
      <c r="D563"/>
      <c r="E563"/>
      <c r="F563"/>
      <c r="G563"/>
      <c r="H563"/>
      <c r="I563"/>
      <c r="J563"/>
      <c r="K563"/>
      <c r="L563"/>
      <c r="M563"/>
      <c r="N563"/>
      <c r="O563"/>
      <c r="P563"/>
      <c r="Q563"/>
      <c r="R563"/>
      <c r="S563"/>
      <c r="T563"/>
      <c r="U563"/>
      <c r="V563"/>
    </row>
    <row r="564" spans="1:22" x14ac:dyDescent="0.3">
      <c r="A564"/>
      <c r="B564"/>
      <c r="C564"/>
      <c r="D564"/>
      <c r="E564"/>
      <c r="F564"/>
      <c r="G564"/>
      <c r="H564"/>
      <c r="I564"/>
      <c r="J564"/>
      <c r="K564"/>
      <c r="L564"/>
      <c r="M564"/>
      <c r="N564"/>
      <c r="O564"/>
      <c r="P564"/>
      <c r="Q564"/>
      <c r="R564"/>
      <c r="S564"/>
      <c r="T564"/>
      <c r="U564"/>
      <c r="V564"/>
    </row>
    <row r="565" spans="1:22" x14ac:dyDescent="0.3">
      <c r="A565"/>
      <c r="B565"/>
      <c r="C565"/>
      <c r="D565"/>
      <c r="E565"/>
      <c r="F565"/>
      <c r="G565"/>
      <c r="H565"/>
      <c r="I565"/>
      <c r="J565"/>
      <c r="K565"/>
      <c r="L565"/>
      <c r="M565"/>
      <c r="N565"/>
      <c r="O565"/>
      <c r="P565"/>
      <c r="Q565"/>
      <c r="R565"/>
      <c r="S565"/>
      <c r="T565"/>
      <c r="U565"/>
      <c r="V565"/>
    </row>
    <row r="566" spans="1:22" x14ac:dyDescent="0.3">
      <c r="A566"/>
      <c r="B566"/>
      <c r="C566"/>
      <c r="D566"/>
      <c r="E566"/>
      <c r="F566"/>
      <c r="G566"/>
      <c r="H566"/>
      <c r="I566"/>
      <c r="J566"/>
      <c r="K566"/>
      <c r="L566"/>
      <c r="M566"/>
      <c r="N566"/>
      <c r="O566"/>
      <c r="P566"/>
      <c r="Q566"/>
      <c r="R566"/>
      <c r="S566"/>
      <c r="T566"/>
      <c r="U566"/>
      <c r="V566"/>
    </row>
    <row r="567" spans="1:22" x14ac:dyDescent="0.3">
      <c r="A567"/>
      <c r="B567"/>
      <c r="C567"/>
      <c r="D567"/>
      <c r="E567"/>
      <c r="F567"/>
      <c r="G567"/>
      <c r="H567"/>
      <c r="I567"/>
      <c r="J567"/>
      <c r="K567"/>
      <c r="L567"/>
      <c r="M567"/>
      <c r="N567"/>
      <c r="O567"/>
      <c r="P567"/>
      <c r="Q567"/>
      <c r="R567"/>
      <c r="S567"/>
      <c r="T567"/>
      <c r="U567"/>
      <c r="V567"/>
    </row>
    <row r="568" spans="1:22" x14ac:dyDescent="0.3">
      <c r="A568"/>
      <c r="B568"/>
      <c r="C568"/>
      <c r="D568"/>
      <c r="E568"/>
      <c r="F568"/>
      <c r="G568"/>
      <c r="H568"/>
      <c r="I568"/>
      <c r="J568"/>
      <c r="K568"/>
      <c r="L568"/>
      <c r="M568"/>
      <c r="N568"/>
      <c r="O568"/>
      <c r="P568"/>
      <c r="Q568"/>
      <c r="R568"/>
      <c r="S568"/>
      <c r="T568"/>
      <c r="U568"/>
      <c r="V568"/>
    </row>
    <row r="569" spans="1:22" x14ac:dyDescent="0.3">
      <c r="A569"/>
      <c r="B569"/>
      <c r="C569"/>
      <c r="D569"/>
      <c r="E569"/>
      <c r="F569"/>
      <c r="G569"/>
      <c r="H569"/>
      <c r="I569"/>
      <c r="J569"/>
      <c r="K569"/>
      <c r="L569"/>
      <c r="M569"/>
      <c r="N569"/>
      <c r="O569"/>
      <c r="P569"/>
      <c r="Q569"/>
      <c r="R569"/>
      <c r="S569"/>
      <c r="T569"/>
      <c r="U569"/>
      <c r="V569"/>
    </row>
    <row r="570" spans="1:22" x14ac:dyDescent="0.3">
      <c r="A570"/>
      <c r="B570"/>
      <c r="C570"/>
      <c r="D570"/>
      <c r="E570"/>
      <c r="F570"/>
      <c r="G570"/>
      <c r="H570"/>
      <c r="I570"/>
      <c r="J570"/>
      <c r="K570"/>
      <c r="L570"/>
      <c r="M570"/>
      <c r="N570"/>
      <c r="O570"/>
      <c r="P570"/>
      <c r="Q570"/>
      <c r="R570"/>
      <c r="S570"/>
      <c r="T570"/>
      <c r="U570"/>
      <c r="V570"/>
    </row>
    <row r="571" spans="1:22" x14ac:dyDescent="0.3">
      <c r="A571"/>
      <c r="B571"/>
      <c r="C571"/>
      <c r="D571"/>
      <c r="E571"/>
      <c r="F571"/>
      <c r="G571"/>
      <c r="H571"/>
      <c r="I571"/>
      <c r="J571"/>
      <c r="K571"/>
      <c r="L571"/>
      <c r="M571"/>
      <c r="N571"/>
      <c r="O571"/>
      <c r="P571"/>
      <c r="Q571"/>
      <c r="R571"/>
      <c r="S571"/>
      <c r="T571"/>
      <c r="U571"/>
      <c r="V571"/>
    </row>
    <row r="572" spans="1:22" x14ac:dyDescent="0.3">
      <c r="A572"/>
      <c r="B572"/>
      <c r="C572"/>
      <c r="D572"/>
      <c r="E572"/>
      <c r="F572"/>
      <c r="G572"/>
      <c r="H572"/>
      <c r="I572"/>
      <c r="J572"/>
      <c r="K572"/>
      <c r="L572"/>
      <c r="M572"/>
      <c r="N572"/>
      <c r="O572"/>
      <c r="P572"/>
      <c r="Q572"/>
      <c r="R572"/>
      <c r="S572"/>
      <c r="T572"/>
      <c r="U572"/>
      <c r="V572"/>
    </row>
    <row r="573" spans="1:22" x14ac:dyDescent="0.3">
      <c r="A573"/>
      <c r="B573"/>
      <c r="C573"/>
      <c r="D573"/>
      <c r="E573"/>
      <c r="F573"/>
      <c r="G573"/>
      <c r="H573"/>
      <c r="I573"/>
      <c r="J573"/>
      <c r="K573"/>
      <c r="L573"/>
      <c r="M573"/>
      <c r="N573"/>
      <c r="O573"/>
      <c r="P573"/>
      <c r="Q573"/>
      <c r="R573"/>
      <c r="S573"/>
      <c r="T573"/>
      <c r="U573"/>
      <c r="V573"/>
    </row>
    <row r="574" spans="1:22" x14ac:dyDescent="0.3">
      <c r="A574"/>
      <c r="B574"/>
      <c r="C574"/>
      <c r="D574"/>
      <c r="E574"/>
      <c r="F574"/>
      <c r="G574"/>
      <c r="H574"/>
      <c r="I574"/>
      <c r="J574"/>
      <c r="K574"/>
      <c r="L574"/>
      <c r="M574"/>
      <c r="N574"/>
      <c r="O574"/>
      <c r="P574"/>
      <c r="Q574"/>
      <c r="R574"/>
      <c r="S574"/>
      <c r="T574"/>
      <c r="U574"/>
      <c r="V574"/>
    </row>
    <row r="575" spans="1:22" x14ac:dyDescent="0.3">
      <c r="A575"/>
      <c r="B575"/>
      <c r="C575"/>
      <c r="D575"/>
      <c r="E575"/>
      <c r="F575"/>
      <c r="G575"/>
      <c r="H575"/>
      <c r="I575"/>
      <c r="J575"/>
      <c r="K575"/>
      <c r="L575"/>
      <c r="M575"/>
      <c r="N575"/>
      <c r="O575"/>
      <c r="P575"/>
      <c r="Q575"/>
      <c r="R575"/>
      <c r="S575"/>
      <c r="T575"/>
      <c r="U575"/>
      <c r="V575"/>
    </row>
    <row r="576" spans="1:22" x14ac:dyDescent="0.3">
      <c r="A576"/>
      <c r="B576"/>
      <c r="C576"/>
      <c r="D576"/>
      <c r="E576"/>
      <c r="F576"/>
      <c r="G576"/>
      <c r="H576"/>
      <c r="I576"/>
      <c r="J576"/>
      <c r="K576"/>
      <c r="L576"/>
      <c r="M576"/>
      <c r="N576"/>
      <c r="O576"/>
      <c r="P576"/>
      <c r="Q576"/>
      <c r="R576"/>
      <c r="S576"/>
      <c r="T576"/>
      <c r="U576"/>
      <c r="V576"/>
    </row>
    <row r="577" spans="1:22" x14ac:dyDescent="0.3">
      <c r="A577"/>
      <c r="B577"/>
      <c r="C577"/>
      <c r="D577"/>
      <c r="E577"/>
      <c r="F577"/>
      <c r="G577"/>
      <c r="H577"/>
      <c r="I577"/>
      <c r="J577"/>
      <c r="K577"/>
      <c r="L577"/>
      <c r="M577"/>
      <c r="N577"/>
      <c r="O577"/>
      <c r="P577"/>
      <c r="Q577"/>
      <c r="R577"/>
      <c r="S577"/>
      <c r="T577"/>
      <c r="U577"/>
      <c r="V577"/>
    </row>
    <row r="578" spans="1:22" x14ac:dyDescent="0.3">
      <c r="A578"/>
      <c r="B578"/>
      <c r="C578"/>
      <c r="D578"/>
      <c r="E578"/>
      <c r="F578"/>
      <c r="G578"/>
      <c r="H578"/>
      <c r="I578"/>
      <c r="J578"/>
      <c r="K578"/>
      <c r="L578"/>
      <c r="M578"/>
      <c r="N578"/>
      <c r="O578"/>
      <c r="P578"/>
      <c r="Q578"/>
      <c r="R578"/>
      <c r="S578"/>
      <c r="T578"/>
      <c r="U578"/>
      <c r="V578"/>
    </row>
    <row r="579" spans="1:22" x14ac:dyDescent="0.3">
      <c r="A579"/>
      <c r="B579"/>
      <c r="C579"/>
      <c r="D579"/>
      <c r="E579"/>
      <c r="F579"/>
      <c r="G579"/>
      <c r="H579"/>
      <c r="I579"/>
      <c r="J579"/>
      <c r="K579"/>
      <c r="L579"/>
      <c r="M579"/>
      <c r="N579"/>
      <c r="O579"/>
      <c r="P579"/>
      <c r="Q579"/>
      <c r="R579"/>
      <c r="S579"/>
      <c r="T579"/>
      <c r="U579"/>
      <c r="V579"/>
    </row>
    <row r="580" spans="1:22" x14ac:dyDescent="0.3">
      <c r="A580"/>
      <c r="B580"/>
      <c r="C580"/>
      <c r="D580"/>
      <c r="E580"/>
      <c r="F580"/>
      <c r="G580"/>
      <c r="H580"/>
      <c r="I580"/>
      <c r="J580"/>
      <c r="K580"/>
      <c r="L580"/>
      <c r="M580"/>
      <c r="N580"/>
      <c r="O580"/>
      <c r="P580"/>
      <c r="Q580"/>
      <c r="R580"/>
      <c r="S580"/>
      <c r="T580"/>
      <c r="U580"/>
      <c r="V580"/>
    </row>
    <row r="581" spans="1:22" x14ac:dyDescent="0.3">
      <c r="A581"/>
      <c r="B581"/>
      <c r="C581"/>
      <c r="D581"/>
      <c r="E581"/>
      <c r="F581"/>
      <c r="G581"/>
      <c r="H581"/>
      <c r="I581"/>
      <c r="J581"/>
      <c r="K581"/>
      <c r="L581"/>
      <c r="M581"/>
      <c r="N581"/>
      <c r="O581"/>
      <c r="P581"/>
      <c r="Q581"/>
      <c r="R581"/>
      <c r="S581"/>
      <c r="T581"/>
      <c r="U581"/>
      <c r="V581"/>
    </row>
    <row r="582" spans="1:22" x14ac:dyDescent="0.3">
      <c r="A582"/>
      <c r="B582"/>
      <c r="C582"/>
      <c r="D582"/>
      <c r="E582"/>
      <c r="F582"/>
      <c r="G582"/>
      <c r="H582"/>
      <c r="I582"/>
      <c r="J582"/>
      <c r="K582"/>
      <c r="L582"/>
      <c r="M582"/>
      <c r="N582"/>
      <c r="O582"/>
      <c r="P582"/>
      <c r="Q582"/>
      <c r="R582"/>
      <c r="S582"/>
      <c r="T582"/>
      <c r="U582"/>
      <c r="V582"/>
    </row>
    <row r="583" spans="1:22" x14ac:dyDescent="0.3">
      <c r="A583"/>
      <c r="B583"/>
      <c r="C583"/>
      <c r="D583"/>
      <c r="E583"/>
      <c r="F583"/>
      <c r="G583"/>
      <c r="H583"/>
      <c r="I583"/>
      <c r="J583"/>
      <c r="K583"/>
      <c r="L583"/>
      <c r="M583"/>
      <c r="N583"/>
      <c r="O583"/>
      <c r="P583"/>
      <c r="Q583"/>
      <c r="R583"/>
      <c r="S583"/>
      <c r="T583"/>
      <c r="U583"/>
      <c r="V583"/>
    </row>
    <row r="584" spans="1:22" x14ac:dyDescent="0.3">
      <c r="A584"/>
      <c r="B584"/>
      <c r="C584"/>
      <c r="D584"/>
      <c r="E584"/>
      <c r="F584"/>
      <c r="G584"/>
      <c r="H584"/>
      <c r="I584"/>
      <c r="J584"/>
      <c r="K584"/>
      <c r="L584"/>
      <c r="M584"/>
      <c r="N584"/>
      <c r="O584"/>
      <c r="P584"/>
      <c r="Q584"/>
      <c r="R584"/>
      <c r="S584"/>
      <c r="T584"/>
      <c r="U584"/>
      <c r="V584"/>
    </row>
    <row r="585" spans="1:22" x14ac:dyDescent="0.3">
      <c r="A585"/>
      <c r="B585"/>
      <c r="C585"/>
      <c r="D585"/>
      <c r="E585"/>
      <c r="F585"/>
      <c r="G585"/>
      <c r="H585"/>
      <c r="I585"/>
      <c r="J585"/>
      <c r="K585"/>
      <c r="L585"/>
      <c r="M585"/>
      <c r="N585"/>
      <c r="O585"/>
      <c r="P585"/>
      <c r="Q585"/>
      <c r="R585"/>
      <c r="S585"/>
      <c r="T585"/>
      <c r="U585"/>
      <c r="V585"/>
    </row>
    <row r="586" spans="1:22" x14ac:dyDescent="0.3">
      <c r="A586"/>
      <c r="B586"/>
      <c r="C586"/>
      <c r="D586"/>
      <c r="E586"/>
      <c r="F586"/>
      <c r="G586"/>
      <c r="H586"/>
      <c r="I586"/>
      <c r="J586"/>
      <c r="K586"/>
      <c r="L586"/>
      <c r="M586"/>
      <c r="N586"/>
      <c r="O586"/>
      <c r="P586"/>
      <c r="Q586"/>
      <c r="R586"/>
      <c r="S586"/>
      <c r="T586"/>
      <c r="U586"/>
      <c r="V586"/>
    </row>
    <row r="587" spans="1:22" x14ac:dyDescent="0.3">
      <c r="A587"/>
      <c r="B587"/>
      <c r="C587"/>
      <c r="D587"/>
      <c r="E587"/>
      <c r="F587"/>
      <c r="G587"/>
      <c r="H587"/>
      <c r="I587"/>
      <c r="J587"/>
      <c r="K587"/>
      <c r="L587"/>
      <c r="M587"/>
      <c r="N587"/>
      <c r="O587"/>
      <c r="P587"/>
      <c r="Q587"/>
      <c r="R587"/>
      <c r="S587"/>
      <c r="T587"/>
      <c r="U587"/>
      <c r="V587"/>
    </row>
    <row r="588" spans="1:22" x14ac:dyDescent="0.3">
      <c r="A588"/>
      <c r="B588"/>
      <c r="C588"/>
      <c r="D588"/>
      <c r="E588"/>
      <c r="F588"/>
      <c r="G588"/>
      <c r="H588"/>
      <c r="I588"/>
      <c r="J588"/>
      <c r="K588"/>
      <c r="L588"/>
      <c r="M588"/>
      <c r="N588"/>
      <c r="O588"/>
      <c r="P588"/>
      <c r="Q588"/>
      <c r="R588"/>
      <c r="S588"/>
      <c r="T588"/>
      <c r="U588"/>
      <c r="V588"/>
    </row>
    <row r="589" spans="1:22" x14ac:dyDescent="0.3">
      <c r="A589"/>
      <c r="B589"/>
      <c r="C589"/>
      <c r="D589"/>
      <c r="E589"/>
      <c r="F589"/>
      <c r="G589"/>
      <c r="H589"/>
      <c r="I589"/>
      <c r="J589"/>
      <c r="K589"/>
      <c r="L589"/>
      <c r="M589"/>
      <c r="N589"/>
      <c r="O589"/>
      <c r="P589"/>
      <c r="Q589"/>
      <c r="R589"/>
      <c r="S589"/>
      <c r="T589"/>
      <c r="U589"/>
      <c r="V589"/>
    </row>
    <row r="590" spans="1:22" x14ac:dyDescent="0.3">
      <c r="A590"/>
      <c r="B590"/>
      <c r="C590"/>
      <c r="D590"/>
      <c r="E590"/>
      <c r="F590"/>
      <c r="G590"/>
      <c r="H590"/>
      <c r="I590"/>
      <c r="J590"/>
      <c r="K590"/>
      <c r="L590"/>
      <c r="M590"/>
      <c r="N590"/>
      <c r="O590"/>
      <c r="P590"/>
      <c r="Q590"/>
      <c r="R590"/>
      <c r="S590"/>
      <c r="T590"/>
      <c r="U590"/>
      <c r="V590"/>
    </row>
    <row r="591" spans="1:22" x14ac:dyDescent="0.3">
      <c r="A591"/>
      <c r="B591"/>
      <c r="C591"/>
      <c r="D591"/>
      <c r="E591"/>
      <c r="F591"/>
      <c r="G591"/>
      <c r="H591"/>
      <c r="I591"/>
      <c r="J591"/>
      <c r="K591"/>
      <c r="L591"/>
      <c r="M591"/>
      <c r="N591"/>
      <c r="O591"/>
      <c r="P591"/>
      <c r="Q591"/>
      <c r="R591"/>
      <c r="S591"/>
      <c r="T591"/>
      <c r="U591"/>
      <c r="V591"/>
    </row>
    <row r="592" spans="1:22" x14ac:dyDescent="0.3">
      <c r="A592"/>
      <c r="B592"/>
      <c r="C592"/>
      <c r="D592"/>
      <c r="E592"/>
      <c r="F592"/>
      <c r="G592"/>
      <c r="H592"/>
      <c r="I592"/>
      <c r="J592"/>
      <c r="K592"/>
      <c r="L592"/>
      <c r="M592"/>
      <c r="N592"/>
      <c r="O592"/>
      <c r="P592"/>
      <c r="Q592"/>
      <c r="R592"/>
      <c r="S592"/>
      <c r="T592"/>
      <c r="U592"/>
      <c r="V592"/>
    </row>
    <row r="593" spans="1:22" x14ac:dyDescent="0.3">
      <c r="A593"/>
      <c r="B593"/>
      <c r="C593"/>
      <c r="D593"/>
      <c r="E593"/>
      <c r="F593"/>
      <c r="G593"/>
      <c r="H593"/>
      <c r="I593"/>
      <c r="J593"/>
      <c r="K593"/>
      <c r="L593"/>
      <c r="M593"/>
      <c r="N593"/>
      <c r="O593"/>
      <c r="P593"/>
      <c r="Q593"/>
      <c r="R593"/>
      <c r="S593"/>
      <c r="T593"/>
      <c r="U593"/>
      <c r="V593"/>
    </row>
    <row r="594" spans="1:22" x14ac:dyDescent="0.3">
      <c r="A594"/>
      <c r="B594"/>
      <c r="C594"/>
      <c r="D594"/>
      <c r="E594"/>
      <c r="F594"/>
      <c r="G594"/>
      <c r="H594"/>
      <c r="I594"/>
      <c r="J594"/>
      <c r="K594"/>
      <c r="L594"/>
      <c r="M594"/>
      <c r="N594"/>
      <c r="O594"/>
      <c r="P594"/>
      <c r="Q594"/>
      <c r="R594"/>
      <c r="S594"/>
      <c r="T594"/>
      <c r="U594"/>
      <c r="V594"/>
    </row>
    <row r="595" spans="1:22" x14ac:dyDescent="0.3">
      <c r="A595"/>
      <c r="B595"/>
      <c r="C595"/>
      <c r="D595"/>
      <c r="E595"/>
      <c r="F595"/>
      <c r="G595"/>
      <c r="H595"/>
      <c r="I595"/>
      <c r="J595"/>
      <c r="K595"/>
      <c r="L595"/>
      <c r="M595"/>
      <c r="N595"/>
      <c r="O595"/>
      <c r="P595"/>
      <c r="Q595"/>
      <c r="R595"/>
      <c r="S595"/>
      <c r="T595"/>
      <c r="U595"/>
      <c r="V595"/>
    </row>
    <row r="596" spans="1:22" x14ac:dyDescent="0.3">
      <c r="A596"/>
      <c r="B596"/>
      <c r="C596"/>
      <c r="D596"/>
      <c r="E596"/>
      <c r="F596"/>
      <c r="G596"/>
      <c r="H596"/>
      <c r="I596"/>
      <c r="J596"/>
      <c r="K596"/>
      <c r="L596"/>
      <c r="M596"/>
      <c r="N596"/>
      <c r="O596"/>
      <c r="P596"/>
      <c r="Q596"/>
      <c r="R596"/>
      <c r="S596"/>
      <c r="T596"/>
      <c r="U596"/>
      <c r="V596"/>
    </row>
    <row r="597" spans="1:22" x14ac:dyDescent="0.3">
      <c r="A597"/>
      <c r="B597"/>
      <c r="C597"/>
      <c r="D597"/>
      <c r="E597"/>
      <c r="F597"/>
      <c r="G597"/>
      <c r="H597"/>
      <c r="I597"/>
      <c r="J597"/>
      <c r="K597"/>
      <c r="L597"/>
      <c r="M597"/>
      <c r="N597"/>
      <c r="O597"/>
      <c r="P597"/>
      <c r="Q597"/>
      <c r="R597"/>
      <c r="S597"/>
      <c r="T597"/>
      <c r="U597"/>
      <c r="V597"/>
    </row>
    <row r="598" spans="1:22" x14ac:dyDescent="0.3">
      <c r="A598"/>
      <c r="B598"/>
      <c r="C598"/>
      <c r="D598"/>
      <c r="E598"/>
      <c r="F598"/>
      <c r="G598"/>
      <c r="H598"/>
      <c r="I598"/>
      <c r="J598"/>
      <c r="K598"/>
      <c r="L598"/>
      <c r="M598"/>
      <c r="N598"/>
      <c r="O598"/>
      <c r="P598"/>
      <c r="Q598"/>
      <c r="R598"/>
      <c r="S598"/>
      <c r="T598"/>
      <c r="U598"/>
      <c r="V598"/>
    </row>
    <row r="599" spans="1:22" x14ac:dyDescent="0.3">
      <c r="A599"/>
      <c r="B599"/>
      <c r="C599"/>
      <c r="D599"/>
      <c r="E599"/>
      <c r="F599"/>
      <c r="G599"/>
      <c r="H599"/>
      <c r="I599"/>
      <c r="J599"/>
      <c r="K599"/>
      <c r="L599"/>
      <c r="M599"/>
      <c r="N599"/>
      <c r="O599"/>
      <c r="P599"/>
      <c r="Q599"/>
      <c r="R599"/>
      <c r="S599"/>
      <c r="T599"/>
      <c r="U599"/>
      <c r="V599"/>
    </row>
    <row r="600" spans="1:22" x14ac:dyDescent="0.3">
      <c r="A600"/>
      <c r="B600"/>
      <c r="C600"/>
      <c r="D600"/>
      <c r="E600"/>
      <c r="F600"/>
      <c r="G600"/>
      <c r="H600"/>
      <c r="I600"/>
      <c r="J600"/>
      <c r="K600"/>
      <c r="L600"/>
      <c r="M600"/>
      <c r="N600"/>
      <c r="O600"/>
      <c r="P600"/>
      <c r="Q600"/>
      <c r="R600"/>
      <c r="S600"/>
      <c r="T600"/>
      <c r="U600"/>
      <c r="V600"/>
    </row>
    <row r="601" spans="1:22" x14ac:dyDescent="0.3">
      <c r="A601"/>
      <c r="B601"/>
      <c r="C601"/>
      <c r="D601"/>
      <c r="E601"/>
      <c r="F601"/>
      <c r="G601"/>
      <c r="H601"/>
      <c r="I601"/>
      <c r="J601"/>
      <c r="K601"/>
      <c r="L601"/>
      <c r="M601"/>
      <c r="N601"/>
      <c r="O601"/>
      <c r="P601"/>
      <c r="Q601"/>
      <c r="R601"/>
      <c r="S601"/>
      <c r="T601"/>
      <c r="U601"/>
      <c r="V601"/>
    </row>
    <row r="602" spans="1:22" x14ac:dyDescent="0.3">
      <c r="A602"/>
      <c r="B602"/>
      <c r="C602"/>
      <c r="D602"/>
      <c r="E602"/>
      <c r="F602"/>
      <c r="G602"/>
      <c r="H602"/>
      <c r="I602"/>
      <c r="J602"/>
      <c r="K602"/>
      <c r="L602"/>
      <c r="M602"/>
      <c r="N602"/>
      <c r="O602"/>
      <c r="P602"/>
      <c r="Q602"/>
      <c r="R602"/>
      <c r="S602"/>
      <c r="T602"/>
      <c r="U602"/>
      <c r="V602"/>
    </row>
    <row r="603" spans="1:22" x14ac:dyDescent="0.3">
      <c r="A603"/>
      <c r="B603"/>
      <c r="C603"/>
      <c r="D603"/>
      <c r="E603"/>
      <c r="F603"/>
      <c r="G603"/>
      <c r="H603"/>
      <c r="I603"/>
      <c r="J603"/>
      <c r="K603"/>
      <c r="L603"/>
      <c r="M603"/>
      <c r="N603"/>
      <c r="O603"/>
      <c r="P603"/>
      <c r="Q603"/>
      <c r="R603"/>
      <c r="S603"/>
      <c r="T603"/>
      <c r="U603"/>
      <c r="V603"/>
    </row>
    <row r="604" spans="1:22" x14ac:dyDescent="0.3">
      <c r="A604"/>
      <c r="B604"/>
      <c r="C604"/>
      <c r="D604"/>
      <c r="E604"/>
      <c r="F604"/>
      <c r="G604"/>
      <c r="H604"/>
      <c r="I604"/>
      <c r="J604"/>
      <c r="K604"/>
      <c r="L604"/>
      <c r="M604"/>
      <c r="N604"/>
      <c r="O604"/>
      <c r="P604"/>
      <c r="Q604"/>
      <c r="R604"/>
      <c r="S604"/>
      <c r="T604"/>
      <c r="U604"/>
      <c r="V604"/>
    </row>
    <row r="605" spans="1:22" x14ac:dyDescent="0.3">
      <c r="A605"/>
      <c r="B605"/>
      <c r="C605"/>
      <c r="D605"/>
      <c r="E605"/>
      <c r="F605"/>
      <c r="G605"/>
      <c r="H605"/>
      <c r="I605"/>
      <c r="J605"/>
      <c r="K605"/>
      <c r="L605"/>
      <c r="M605"/>
      <c r="N605"/>
      <c r="O605"/>
      <c r="P605"/>
      <c r="Q605"/>
      <c r="R605"/>
      <c r="S605"/>
      <c r="T605"/>
      <c r="U605"/>
      <c r="V605"/>
    </row>
    <row r="606" spans="1:22" x14ac:dyDescent="0.3">
      <c r="A606"/>
      <c r="B606"/>
      <c r="C606"/>
      <c r="D606"/>
      <c r="E606"/>
      <c r="F606"/>
      <c r="G606"/>
      <c r="H606"/>
      <c r="I606"/>
      <c r="J606"/>
      <c r="K606"/>
      <c r="L606"/>
      <c r="M606"/>
      <c r="N606"/>
      <c r="O606"/>
      <c r="P606"/>
      <c r="Q606"/>
      <c r="R606"/>
      <c r="S606"/>
      <c r="T606"/>
      <c r="U606"/>
      <c r="V606"/>
    </row>
    <row r="607" spans="1:22" x14ac:dyDescent="0.3">
      <c r="A607"/>
      <c r="B607"/>
      <c r="C607"/>
      <c r="D607"/>
      <c r="E607"/>
      <c r="F607"/>
      <c r="G607"/>
      <c r="H607"/>
      <c r="I607"/>
      <c r="J607"/>
      <c r="K607"/>
      <c r="L607"/>
      <c r="M607"/>
      <c r="N607"/>
      <c r="O607"/>
      <c r="P607"/>
      <c r="Q607"/>
      <c r="R607"/>
      <c r="S607"/>
      <c r="T607"/>
      <c r="U607"/>
      <c r="V607"/>
    </row>
    <row r="608" spans="1:22" x14ac:dyDescent="0.3">
      <c r="A608"/>
      <c r="B608"/>
      <c r="C608"/>
      <c r="D608"/>
      <c r="E608"/>
      <c r="F608"/>
      <c r="G608"/>
      <c r="H608"/>
      <c r="I608"/>
      <c r="J608"/>
      <c r="K608"/>
      <c r="L608"/>
      <c r="M608"/>
      <c r="N608"/>
      <c r="O608"/>
      <c r="P608"/>
      <c r="Q608"/>
      <c r="R608"/>
      <c r="S608"/>
      <c r="T608"/>
      <c r="U608"/>
      <c r="V608"/>
    </row>
    <row r="609" spans="1:22" x14ac:dyDescent="0.3">
      <c r="A609"/>
      <c r="B609"/>
      <c r="C609"/>
      <c r="D609"/>
      <c r="E609"/>
      <c r="F609"/>
      <c r="G609"/>
      <c r="H609"/>
      <c r="I609"/>
      <c r="J609"/>
      <c r="K609"/>
      <c r="L609"/>
      <c r="M609"/>
      <c r="N609"/>
      <c r="O609"/>
      <c r="P609"/>
      <c r="Q609"/>
      <c r="R609"/>
      <c r="S609"/>
      <c r="T609"/>
      <c r="U609"/>
      <c r="V609"/>
    </row>
    <row r="610" spans="1:22" x14ac:dyDescent="0.3">
      <c r="A610"/>
      <c r="B610"/>
      <c r="C610"/>
      <c r="D610"/>
      <c r="E610"/>
      <c r="F610"/>
      <c r="G610"/>
      <c r="H610"/>
      <c r="I610"/>
      <c r="J610"/>
      <c r="K610"/>
      <c r="L610"/>
      <c r="M610"/>
      <c r="N610"/>
      <c r="O610"/>
      <c r="P610"/>
      <c r="Q610"/>
      <c r="R610"/>
      <c r="S610"/>
      <c r="T610"/>
      <c r="U610"/>
      <c r="V610"/>
    </row>
    <row r="611" spans="1:22" x14ac:dyDescent="0.3">
      <c r="A611"/>
      <c r="B611"/>
      <c r="C611"/>
      <c r="D611"/>
      <c r="E611"/>
      <c r="F611"/>
      <c r="G611"/>
      <c r="H611"/>
      <c r="I611"/>
      <c r="J611"/>
      <c r="K611"/>
      <c r="L611"/>
      <c r="M611"/>
      <c r="N611"/>
      <c r="O611"/>
      <c r="P611"/>
      <c r="Q611"/>
      <c r="R611"/>
      <c r="S611"/>
      <c r="T611"/>
      <c r="U611"/>
      <c r="V611"/>
    </row>
    <row r="612" spans="1:22" x14ac:dyDescent="0.3">
      <c r="A612"/>
      <c r="B612"/>
      <c r="C612"/>
      <c r="D612"/>
      <c r="E612"/>
      <c r="F612"/>
      <c r="G612"/>
      <c r="H612"/>
      <c r="I612"/>
      <c r="J612"/>
      <c r="K612"/>
      <c r="L612"/>
      <c r="M612"/>
      <c r="N612"/>
      <c r="O612"/>
      <c r="P612"/>
      <c r="Q612"/>
      <c r="R612"/>
      <c r="S612"/>
      <c r="T612"/>
      <c r="U612"/>
      <c r="V612"/>
    </row>
    <row r="613" spans="1:22" x14ac:dyDescent="0.3">
      <c r="A613"/>
      <c r="B613"/>
      <c r="C613"/>
      <c r="D613"/>
      <c r="E613"/>
      <c r="F613"/>
      <c r="G613"/>
      <c r="H613"/>
      <c r="I613"/>
      <c r="J613"/>
      <c r="K613"/>
      <c r="L613"/>
      <c r="M613"/>
      <c r="N613"/>
      <c r="O613"/>
      <c r="P613"/>
      <c r="Q613"/>
      <c r="R613"/>
      <c r="S613"/>
      <c r="T613"/>
      <c r="U613"/>
      <c r="V613"/>
    </row>
    <row r="614" spans="1:22" x14ac:dyDescent="0.3">
      <c r="A614"/>
      <c r="B614"/>
      <c r="C614"/>
      <c r="D614"/>
      <c r="E614"/>
      <c r="F614"/>
      <c r="G614"/>
      <c r="H614"/>
      <c r="I614"/>
      <c r="J614"/>
      <c r="K614"/>
      <c r="L614"/>
      <c r="M614"/>
      <c r="N614"/>
      <c r="O614"/>
      <c r="P614"/>
      <c r="Q614"/>
      <c r="R614"/>
      <c r="S614"/>
      <c r="T614"/>
      <c r="U614"/>
      <c r="V614"/>
    </row>
    <row r="615" spans="1:22" x14ac:dyDescent="0.3">
      <c r="A615"/>
      <c r="B615"/>
      <c r="C615"/>
      <c r="D615"/>
      <c r="E615"/>
      <c r="F615"/>
      <c r="G615"/>
      <c r="H615"/>
      <c r="I615"/>
      <c r="J615"/>
      <c r="K615"/>
      <c r="L615"/>
      <c r="M615"/>
      <c r="N615"/>
      <c r="O615"/>
      <c r="P615"/>
      <c r="Q615"/>
      <c r="R615"/>
      <c r="S615"/>
      <c r="T615"/>
      <c r="U615"/>
      <c r="V615"/>
    </row>
    <row r="616" spans="1:22" x14ac:dyDescent="0.3">
      <c r="A616"/>
      <c r="B616"/>
      <c r="C616"/>
      <c r="D616"/>
      <c r="E616"/>
      <c r="F616"/>
      <c r="G616"/>
      <c r="H616"/>
      <c r="I616"/>
      <c r="J616"/>
      <c r="K616"/>
      <c r="L616"/>
      <c r="M616"/>
      <c r="N616"/>
      <c r="O616"/>
      <c r="P616"/>
      <c r="Q616"/>
      <c r="R616"/>
      <c r="S616"/>
      <c r="T616"/>
      <c r="U616"/>
      <c r="V616"/>
    </row>
    <row r="617" spans="1:22" x14ac:dyDescent="0.3">
      <c r="A617"/>
      <c r="B617"/>
      <c r="C617"/>
      <c r="D617"/>
      <c r="E617"/>
      <c r="F617"/>
      <c r="G617"/>
      <c r="H617"/>
      <c r="I617"/>
      <c r="J617"/>
      <c r="K617"/>
      <c r="L617"/>
      <c r="M617"/>
      <c r="N617"/>
      <c r="O617"/>
      <c r="P617"/>
      <c r="Q617"/>
      <c r="R617"/>
      <c r="S617"/>
      <c r="T617"/>
      <c r="U617"/>
      <c r="V617"/>
    </row>
    <row r="618" spans="1:22" x14ac:dyDescent="0.3">
      <c r="A618"/>
      <c r="B618"/>
      <c r="C618"/>
      <c r="D618"/>
      <c r="E618"/>
      <c r="F618"/>
      <c r="G618"/>
      <c r="H618"/>
      <c r="I618"/>
      <c r="J618"/>
      <c r="K618"/>
      <c r="L618"/>
      <c r="M618"/>
      <c r="N618"/>
      <c r="O618"/>
      <c r="P618"/>
      <c r="Q618"/>
      <c r="R618"/>
      <c r="S618"/>
      <c r="T618"/>
      <c r="U618"/>
      <c r="V618"/>
    </row>
    <row r="619" spans="1:22" x14ac:dyDescent="0.3">
      <c r="A619"/>
      <c r="B619"/>
      <c r="C619"/>
      <c r="D619"/>
      <c r="E619"/>
      <c r="F619"/>
      <c r="G619"/>
      <c r="H619"/>
      <c r="I619"/>
      <c r="J619"/>
      <c r="K619"/>
      <c r="L619"/>
      <c r="M619"/>
      <c r="N619"/>
      <c r="O619"/>
      <c r="P619"/>
      <c r="Q619"/>
      <c r="R619"/>
      <c r="S619"/>
      <c r="T619"/>
      <c r="U619"/>
      <c r="V619"/>
    </row>
    <row r="620" spans="1:22" x14ac:dyDescent="0.3">
      <c r="A620"/>
      <c r="B620"/>
      <c r="C620"/>
      <c r="D620"/>
      <c r="E620"/>
      <c r="F620"/>
      <c r="G620"/>
      <c r="H620"/>
      <c r="I620"/>
      <c r="J620"/>
      <c r="K620"/>
      <c r="L620"/>
      <c r="M620"/>
      <c r="N620"/>
      <c r="O620"/>
      <c r="P620"/>
      <c r="Q620"/>
      <c r="R620"/>
      <c r="S620"/>
      <c r="T620"/>
      <c r="U620"/>
      <c r="V620"/>
    </row>
    <row r="621" spans="1:22" x14ac:dyDescent="0.3">
      <c r="A621"/>
      <c r="B621"/>
      <c r="C621"/>
      <c r="D621"/>
      <c r="E621"/>
      <c r="F621"/>
      <c r="G621"/>
      <c r="H621"/>
      <c r="I621"/>
      <c r="J621"/>
      <c r="K621"/>
      <c r="L621"/>
      <c r="M621"/>
      <c r="N621"/>
      <c r="O621"/>
      <c r="P621"/>
      <c r="Q621"/>
      <c r="R621"/>
      <c r="S621"/>
      <c r="T621"/>
      <c r="U621"/>
      <c r="V621"/>
    </row>
    <row r="622" spans="1:22" x14ac:dyDescent="0.3">
      <c r="A622"/>
      <c r="B622"/>
      <c r="C622"/>
      <c r="D622"/>
      <c r="E622"/>
      <c r="F622"/>
      <c r="G622"/>
      <c r="H622"/>
      <c r="I622"/>
      <c r="J622"/>
      <c r="K622"/>
      <c r="L622"/>
      <c r="M622"/>
      <c r="N622"/>
      <c r="O622"/>
      <c r="P622"/>
      <c r="Q622"/>
      <c r="R622"/>
      <c r="S622"/>
      <c r="T622"/>
      <c r="U622"/>
      <c r="V622"/>
    </row>
    <row r="623" spans="1:22" x14ac:dyDescent="0.3">
      <c r="A623"/>
      <c r="B623"/>
      <c r="C623"/>
      <c r="D623"/>
      <c r="E623"/>
      <c r="F623"/>
      <c r="G623"/>
      <c r="H623"/>
      <c r="I623"/>
      <c r="J623"/>
      <c r="K623"/>
      <c r="L623"/>
      <c r="M623"/>
      <c r="N623"/>
      <c r="O623"/>
      <c r="P623"/>
      <c r="Q623"/>
      <c r="R623"/>
      <c r="S623"/>
      <c r="T623"/>
      <c r="U623"/>
      <c r="V623"/>
    </row>
    <row r="624" spans="1:22" x14ac:dyDescent="0.3">
      <c r="A624"/>
      <c r="B624"/>
      <c r="C624"/>
      <c r="D624"/>
      <c r="E624"/>
      <c r="F624"/>
      <c r="G624"/>
      <c r="H624"/>
      <c r="I624"/>
      <c r="J624"/>
      <c r="K624"/>
      <c r="L624"/>
      <c r="M624"/>
      <c r="N624"/>
      <c r="O624"/>
      <c r="P624"/>
      <c r="Q624"/>
      <c r="R624"/>
      <c r="S624"/>
      <c r="T624"/>
      <c r="U624"/>
      <c r="V624"/>
    </row>
    <row r="625" spans="1:22" x14ac:dyDescent="0.3">
      <c r="A625"/>
      <c r="B625"/>
      <c r="C625"/>
      <c r="D625"/>
      <c r="E625"/>
      <c r="F625"/>
      <c r="G625"/>
      <c r="H625"/>
      <c r="I625"/>
      <c r="J625"/>
      <c r="K625"/>
      <c r="L625"/>
      <c r="M625"/>
      <c r="N625"/>
      <c r="O625"/>
      <c r="P625"/>
      <c r="Q625"/>
      <c r="R625"/>
      <c r="S625"/>
      <c r="T625"/>
      <c r="U625"/>
      <c r="V625"/>
    </row>
    <row r="626" spans="1:22" x14ac:dyDescent="0.3">
      <c r="A626"/>
      <c r="B626"/>
      <c r="C626"/>
      <c r="D626"/>
      <c r="E626"/>
      <c r="F626"/>
      <c r="G626"/>
      <c r="H626"/>
      <c r="I626"/>
      <c r="J626"/>
      <c r="K626"/>
      <c r="L626"/>
      <c r="M626"/>
      <c r="N626"/>
      <c r="O626"/>
      <c r="P626"/>
      <c r="Q626"/>
      <c r="R626"/>
      <c r="S626"/>
      <c r="T626"/>
      <c r="U626"/>
      <c r="V626"/>
    </row>
    <row r="627" spans="1:22" x14ac:dyDescent="0.3">
      <c r="A627"/>
      <c r="B627"/>
      <c r="C627"/>
      <c r="D627"/>
      <c r="E627"/>
      <c r="F627"/>
      <c r="G627"/>
      <c r="H627"/>
      <c r="I627"/>
      <c r="J627"/>
      <c r="K627"/>
      <c r="L627"/>
      <c r="M627"/>
      <c r="N627"/>
      <c r="O627"/>
      <c r="P627"/>
      <c r="Q627"/>
      <c r="R627"/>
      <c r="S627"/>
      <c r="T627"/>
      <c r="U627"/>
      <c r="V627"/>
    </row>
    <row r="628" spans="1:22" x14ac:dyDescent="0.3">
      <c r="A628"/>
      <c r="B628"/>
      <c r="C628"/>
      <c r="D628"/>
      <c r="E628"/>
      <c r="F628"/>
      <c r="G628"/>
      <c r="H628"/>
      <c r="I628"/>
      <c r="J628"/>
      <c r="K628"/>
      <c r="L628"/>
      <c r="M628"/>
      <c r="N628"/>
      <c r="O628"/>
      <c r="P628"/>
      <c r="Q628"/>
      <c r="R628"/>
      <c r="S628"/>
      <c r="T628"/>
      <c r="U628"/>
      <c r="V628"/>
    </row>
    <row r="629" spans="1:22" x14ac:dyDescent="0.3">
      <c r="A629"/>
      <c r="B629"/>
      <c r="C629"/>
      <c r="D629"/>
      <c r="E629"/>
      <c r="F629"/>
      <c r="G629"/>
      <c r="H629"/>
      <c r="I629"/>
      <c r="J629"/>
      <c r="K629"/>
      <c r="L629"/>
      <c r="M629"/>
      <c r="N629"/>
      <c r="O629"/>
      <c r="P629"/>
      <c r="Q629"/>
      <c r="R629"/>
      <c r="S629"/>
      <c r="T629"/>
      <c r="U629"/>
      <c r="V629"/>
    </row>
    <row r="630" spans="1:22" x14ac:dyDescent="0.3">
      <c r="A630"/>
      <c r="B630"/>
      <c r="C630"/>
      <c r="D630"/>
      <c r="E630"/>
      <c r="F630"/>
      <c r="G630"/>
      <c r="H630"/>
      <c r="I630"/>
      <c r="J630"/>
      <c r="K630"/>
      <c r="L630"/>
      <c r="M630"/>
      <c r="N630"/>
      <c r="O630"/>
      <c r="P630"/>
      <c r="Q630"/>
      <c r="R630"/>
      <c r="S630"/>
      <c r="T630"/>
      <c r="U630"/>
      <c r="V630"/>
    </row>
    <row r="631" spans="1:22" x14ac:dyDescent="0.3">
      <c r="A631"/>
      <c r="B631"/>
      <c r="C631"/>
      <c r="D631"/>
      <c r="E631"/>
      <c r="F631"/>
      <c r="G631"/>
      <c r="H631"/>
      <c r="I631"/>
      <c r="J631"/>
      <c r="K631"/>
      <c r="L631"/>
      <c r="M631"/>
      <c r="N631"/>
      <c r="O631"/>
      <c r="P631"/>
      <c r="Q631"/>
      <c r="R631"/>
      <c r="S631"/>
      <c r="T631"/>
      <c r="U631"/>
      <c r="V631"/>
    </row>
    <row r="632" spans="1:22" x14ac:dyDescent="0.3">
      <c r="A632"/>
      <c r="B632"/>
      <c r="C632"/>
      <c r="D632"/>
      <c r="E632"/>
      <c r="F632"/>
      <c r="G632"/>
      <c r="H632"/>
      <c r="I632"/>
      <c r="J632"/>
      <c r="K632"/>
      <c r="L632"/>
      <c r="M632"/>
      <c r="N632"/>
      <c r="O632"/>
      <c r="P632"/>
      <c r="Q632"/>
      <c r="R632"/>
      <c r="S632"/>
      <c r="T632"/>
      <c r="U632"/>
      <c r="V632"/>
    </row>
    <row r="633" spans="1:22" x14ac:dyDescent="0.3">
      <c r="A633"/>
      <c r="B633"/>
      <c r="C633"/>
      <c r="D633"/>
      <c r="E633"/>
      <c r="F633"/>
      <c r="G633"/>
      <c r="H633"/>
      <c r="I633"/>
      <c r="J633"/>
      <c r="K633"/>
      <c r="L633"/>
      <c r="M633"/>
      <c r="N633"/>
      <c r="O633"/>
      <c r="P633"/>
      <c r="Q633"/>
      <c r="R633"/>
      <c r="S633"/>
      <c r="T633"/>
      <c r="U633"/>
      <c r="V633"/>
    </row>
    <row r="634" spans="1:22" x14ac:dyDescent="0.3">
      <c r="A634"/>
      <c r="B634"/>
      <c r="C634"/>
      <c r="D634"/>
      <c r="E634"/>
      <c r="F634"/>
      <c r="G634"/>
      <c r="H634"/>
      <c r="I634"/>
      <c r="J634"/>
      <c r="K634"/>
      <c r="L634"/>
      <c r="M634"/>
      <c r="N634"/>
      <c r="O634"/>
      <c r="P634"/>
      <c r="Q634"/>
      <c r="R634"/>
      <c r="S634"/>
      <c r="T634"/>
      <c r="U634"/>
      <c r="V634"/>
    </row>
    <row r="635" spans="1:22" x14ac:dyDescent="0.3">
      <c r="A635"/>
      <c r="B635"/>
      <c r="C635"/>
      <c r="D635"/>
      <c r="E635"/>
      <c r="F635"/>
      <c r="G635"/>
      <c r="H635"/>
      <c r="I635"/>
      <c r="J635"/>
      <c r="K635"/>
      <c r="L635"/>
      <c r="M635"/>
      <c r="N635"/>
      <c r="O635"/>
      <c r="P635"/>
      <c r="Q635"/>
      <c r="R635"/>
      <c r="S635"/>
      <c r="T635"/>
      <c r="U635"/>
      <c r="V635"/>
    </row>
    <row r="636" spans="1:22" x14ac:dyDescent="0.3">
      <c r="A636"/>
      <c r="B636"/>
      <c r="C636"/>
      <c r="D636"/>
      <c r="E636"/>
      <c r="F636"/>
      <c r="G636"/>
      <c r="H636"/>
      <c r="I636"/>
      <c r="J636"/>
      <c r="K636"/>
      <c r="L636"/>
      <c r="M636"/>
      <c r="N636"/>
      <c r="O636"/>
      <c r="P636"/>
      <c r="Q636"/>
      <c r="R636"/>
      <c r="S636"/>
      <c r="T636"/>
      <c r="U636"/>
      <c r="V636"/>
    </row>
    <row r="637" spans="1:22" x14ac:dyDescent="0.3">
      <c r="A637"/>
      <c r="B637"/>
      <c r="C637"/>
      <c r="D637"/>
      <c r="E637"/>
      <c r="F637"/>
      <c r="G637"/>
      <c r="H637"/>
      <c r="I637"/>
      <c r="J637"/>
      <c r="K637"/>
      <c r="L637"/>
      <c r="M637"/>
      <c r="N637"/>
      <c r="O637"/>
      <c r="P637"/>
      <c r="Q637"/>
      <c r="R637"/>
      <c r="S637"/>
      <c r="T637"/>
      <c r="U637"/>
      <c r="V637"/>
    </row>
    <row r="638" spans="1:22" x14ac:dyDescent="0.3">
      <c r="A638"/>
      <c r="B638"/>
      <c r="C638"/>
      <c r="D638"/>
      <c r="E638"/>
      <c r="F638"/>
      <c r="G638"/>
      <c r="H638"/>
      <c r="I638"/>
      <c r="J638"/>
      <c r="K638"/>
      <c r="L638"/>
      <c r="M638"/>
      <c r="N638"/>
      <c r="O638"/>
      <c r="P638"/>
      <c r="Q638"/>
      <c r="R638"/>
      <c r="S638"/>
      <c r="T638"/>
      <c r="U638"/>
      <c r="V638"/>
    </row>
    <row r="639" spans="1:22" x14ac:dyDescent="0.3">
      <c r="A639"/>
      <c r="B639"/>
      <c r="C639"/>
      <c r="D639"/>
      <c r="E639"/>
      <c r="F639"/>
      <c r="G639"/>
      <c r="H639"/>
      <c r="I639"/>
      <c r="J639"/>
      <c r="K639"/>
      <c r="L639"/>
      <c r="M639"/>
      <c r="N639"/>
      <c r="O639"/>
      <c r="P639"/>
      <c r="Q639"/>
      <c r="R639"/>
      <c r="S639"/>
      <c r="T639"/>
      <c r="U639"/>
      <c r="V639"/>
    </row>
    <row r="640" spans="1:22" x14ac:dyDescent="0.3">
      <c r="A640"/>
      <c r="B640"/>
      <c r="C640"/>
      <c r="D640"/>
      <c r="E640"/>
      <c r="F640"/>
      <c r="G640"/>
      <c r="H640"/>
      <c r="I640"/>
      <c r="J640"/>
      <c r="K640"/>
      <c r="L640"/>
      <c r="M640"/>
      <c r="N640"/>
      <c r="O640"/>
      <c r="P640"/>
      <c r="Q640"/>
      <c r="R640"/>
      <c r="S640"/>
      <c r="T640"/>
      <c r="U640"/>
      <c r="V640"/>
    </row>
    <row r="641" spans="1:22" x14ac:dyDescent="0.3">
      <c r="A641"/>
      <c r="B641"/>
      <c r="C641"/>
      <c r="D641"/>
      <c r="E641"/>
      <c r="F641"/>
      <c r="G641"/>
      <c r="H641"/>
      <c r="I641"/>
      <c r="J641"/>
      <c r="K641"/>
      <c r="L641"/>
      <c r="M641"/>
      <c r="N641"/>
      <c r="O641"/>
      <c r="P641"/>
      <c r="Q641"/>
      <c r="R641"/>
      <c r="S641"/>
      <c r="T641"/>
      <c r="U641"/>
      <c r="V641"/>
    </row>
    <row r="642" spans="1:22" x14ac:dyDescent="0.3">
      <c r="A642"/>
      <c r="B642"/>
      <c r="C642"/>
      <c r="D642"/>
      <c r="E642"/>
      <c r="F642"/>
      <c r="G642"/>
      <c r="H642"/>
      <c r="I642"/>
      <c r="J642"/>
      <c r="K642"/>
      <c r="L642"/>
      <c r="M642"/>
      <c r="N642"/>
      <c r="O642"/>
      <c r="P642"/>
      <c r="Q642"/>
      <c r="R642"/>
      <c r="S642"/>
      <c r="T642"/>
      <c r="U642"/>
      <c r="V642"/>
    </row>
    <row r="643" spans="1:22" x14ac:dyDescent="0.3">
      <c r="A643"/>
      <c r="B643"/>
      <c r="C643"/>
      <c r="D643"/>
      <c r="E643"/>
      <c r="F643"/>
      <c r="G643"/>
      <c r="H643"/>
      <c r="I643"/>
      <c r="J643"/>
      <c r="K643"/>
      <c r="L643"/>
      <c r="M643"/>
      <c r="N643"/>
      <c r="O643"/>
      <c r="P643"/>
      <c r="Q643"/>
      <c r="R643"/>
      <c r="S643"/>
      <c r="T643"/>
      <c r="U643"/>
      <c r="V643"/>
    </row>
    <row r="644" spans="1:22" x14ac:dyDescent="0.3">
      <c r="A644"/>
      <c r="B644"/>
      <c r="C644"/>
      <c r="D644"/>
      <c r="E644"/>
      <c r="F644"/>
      <c r="G644"/>
      <c r="H644"/>
      <c r="I644"/>
      <c r="J644"/>
      <c r="K644"/>
      <c r="L644"/>
      <c r="M644"/>
      <c r="N644"/>
      <c r="O644"/>
      <c r="P644"/>
      <c r="Q644"/>
      <c r="R644"/>
      <c r="S644"/>
      <c r="T644"/>
      <c r="U644"/>
      <c r="V644"/>
    </row>
    <row r="645" spans="1:22" x14ac:dyDescent="0.3">
      <c r="A645"/>
      <c r="B645"/>
      <c r="C645"/>
      <c r="D645"/>
      <c r="E645"/>
      <c r="F645"/>
      <c r="G645"/>
      <c r="H645"/>
      <c r="I645"/>
      <c r="J645"/>
      <c r="K645"/>
      <c r="L645"/>
      <c r="M645"/>
      <c r="N645"/>
      <c r="O645"/>
      <c r="P645"/>
      <c r="Q645"/>
      <c r="R645"/>
      <c r="S645"/>
      <c r="T645"/>
      <c r="U645"/>
      <c r="V645"/>
    </row>
    <row r="646" spans="1:22" x14ac:dyDescent="0.3">
      <c r="A646"/>
      <c r="B646"/>
      <c r="C646"/>
      <c r="D646"/>
      <c r="E646"/>
      <c r="F646"/>
      <c r="G646"/>
      <c r="H646"/>
      <c r="I646"/>
      <c r="J646"/>
      <c r="K646"/>
      <c r="L646"/>
      <c r="M646"/>
      <c r="N646"/>
      <c r="O646"/>
      <c r="P646"/>
      <c r="Q646"/>
      <c r="R646"/>
      <c r="S646"/>
      <c r="T646"/>
      <c r="U646"/>
      <c r="V646"/>
    </row>
    <row r="647" spans="1:22" x14ac:dyDescent="0.3">
      <c r="A647"/>
      <c r="B647"/>
      <c r="C647"/>
      <c r="D647"/>
      <c r="E647"/>
      <c r="F647"/>
      <c r="G647"/>
      <c r="H647"/>
      <c r="I647"/>
      <c r="J647"/>
      <c r="K647"/>
      <c r="L647"/>
      <c r="M647"/>
      <c r="N647"/>
      <c r="O647"/>
      <c r="P647"/>
      <c r="Q647"/>
      <c r="R647"/>
      <c r="S647"/>
      <c r="T647"/>
      <c r="U647"/>
      <c r="V647"/>
    </row>
    <row r="648" spans="1:22" x14ac:dyDescent="0.3">
      <c r="A648"/>
      <c r="B648"/>
      <c r="C648"/>
      <c r="D648"/>
      <c r="E648"/>
      <c r="F648"/>
      <c r="G648"/>
      <c r="H648"/>
      <c r="I648"/>
      <c r="J648"/>
      <c r="K648"/>
      <c r="L648"/>
      <c r="M648"/>
      <c r="N648"/>
      <c r="O648"/>
      <c r="P648"/>
      <c r="Q648"/>
      <c r="R648"/>
      <c r="S648"/>
      <c r="T648"/>
      <c r="U648"/>
      <c r="V648"/>
    </row>
    <row r="649" spans="1:22" x14ac:dyDescent="0.3">
      <c r="A649"/>
      <c r="B649"/>
      <c r="C649"/>
      <c r="D649"/>
      <c r="E649"/>
      <c r="F649"/>
      <c r="G649"/>
      <c r="H649"/>
      <c r="I649"/>
      <c r="J649"/>
      <c r="K649"/>
      <c r="L649"/>
      <c r="M649"/>
      <c r="N649"/>
      <c r="O649"/>
      <c r="P649"/>
      <c r="Q649"/>
      <c r="R649"/>
      <c r="S649"/>
      <c r="T649"/>
      <c r="U649"/>
      <c r="V649"/>
    </row>
    <row r="650" spans="1:22" x14ac:dyDescent="0.3">
      <c r="A650"/>
      <c r="B650"/>
      <c r="C650"/>
      <c r="D650"/>
      <c r="E650"/>
      <c r="F650"/>
      <c r="G650"/>
      <c r="H650"/>
      <c r="I650"/>
      <c r="J650"/>
      <c r="K650"/>
      <c r="L650"/>
      <c r="M650"/>
      <c r="N650"/>
      <c r="O650"/>
      <c r="P650"/>
      <c r="Q650"/>
      <c r="R650"/>
      <c r="S650"/>
      <c r="T650"/>
      <c r="U650"/>
      <c r="V650"/>
    </row>
    <row r="651" spans="1:22" x14ac:dyDescent="0.3">
      <c r="A651"/>
      <c r="B651"/>
      <c r="C651"/>
      <c r="D651"/>
      <c r="E651"/>
      <c r="F651"/>
      <c r="G651"/>
      <c r="H651"/>
      <c r="I651"/>
      <c r="J651"/>
      <c r="K651"/>
      <c r="L651"/>
      <c r="M651"/>
      <c r="N651"/>
      <c r="O651"/>
      <c r="P651"/>
      <c r="Q651"/>
      <c r="R651"/>
      <c r="S651"/>
      <c r="T651"/>
      <c r="U651"/>
      <c r="V651"/>
    </row>
    <row r="652" spans="1:22" x14ac:dyDescent="0.3">
      <c r="A652"/>
      <c r="B652"/>
      <c r="C652"/>
      <c r="D652"/>
      <c r="E652"/>
      <c r="F652"/>
      <c r="G652"/>
      <c r="H652"/>
      <c r="I652"/>
      <c r="J652"/>
      <c r="K652"/>
      <c r="L652"/>
      <c r="M652"/>
      <c r="N652"/>
      <c r="O652"/>
      <c r="P652"/>
      <c r="Q652"/>
      <c r="R652"/>
      <c r="S652"/>
      <c r="T652"/>
      <c r="U652"/>
      <c r="V652"/>
    </row>
    <row r="653" spans="1:22" x14ac:dyDescent="0.3">
      <c r="A653"/>
      <c r="B653"/>
      <c r="C653"/>
      <c r="D653"/>
      <c r="E653"/>
      <c r="F653"/>
      <c r="G653"/>
      <c r="H653"/>
      <c r="I653"/>
      <c r="J653"/>
      <c r="K653"/>
      <c r="L653"/>
      <c r="M653"/>
      <c r="N653"/>
      <c r="O653"/>
      <c r="P653"/>
      <c r="Q653"/>
      <c r="R653"/>
      <c r="S653"/>
      <c r="T653"/>
      <c r="U653"/>
      <c r="V653"/>
    </row>
    <row r="654" spans="1:22" x14ac:dyDescent="0.3">
      <c r="A654"/>
      <c r="B654"/>
      <c r="C654"/>
      <c r="D654"/>
      <c r="E654"/>
      <c r="F654"/>
      <c r="G654"/>
      <c r="H654"/>
      <c r="I654"/>
      <c r="J654"/>
      <c r="K654"/>
      <c r="L654"/>
      <c r="M654"/>
      <c r="N654"/>
      <c r="O654"/>
      <c r="P654"/>
      <c r="Q654"/>
      <c r="R654"/>
      <c r="S654"/>
      <c r="T654"/>
      <c r="U654"/>
      <c r="V654"/>
    </row>
    <row r="655" spans="1:22" x14ac:dyDescent="0.3">
      <c r="A655"/>
      <c r="B655"/>
      <c r="C655"/>
      <c r="D655"/>
      <c r="E655"/>
      <c r="F655"/>
      <c r="G655"/>
      <c r="H655"/>
      <c r="I655"/>
      <c r="J655"/>
      <c r="K655"/>
      <c r="L655"/>
      <c r="M655"/>
      <c r="N655"/>
      <c r="O655"/>
      <c r="P655"/>
      <c r="Q655"/>
      <c r="R655"/>
      <c r="S655"/>
      <c r="T655"/>
      <c r="U655"/>
      <c r="V655"/>
    </row>
    <row r="656" spans="1:22" x14ac:dyDescent="0.3">
      <c r="A656"/>
      <c r="B656"/>
      <c r="C656"/>
      <c r="D656"/>
      <c r="E656"/>
      <c r="F656"/>
      <c r="G656"/>
      <c r="H656"/>
      <c r="I656"/>
      <c r="J656"/>
      <c r="K656"/>
      <c r="L656"/>
      <c r="M656"/>
      <c r="N656"/>
      <c r="O656"/>
      <c r="P656"/>
      <c r="Q656"/>
      <c r="R656"/>
      <c r="S656"/>
      <c r="T656"/>
      <c r="U656"/>
      <c r="V656"/>
    </row>
    <row r="657" spans="1:22" x14ac:dyDescent="0.3">
      <c r="A657"/>
      <c r="B657"/>
      <c r="C657"/>
      <c r="D657"/>
      <c r="E657"/>
      <c r="F657"/>
      <c r="G657"/>
      <c r="H657"/>
      <c r="I657"/>
      <c r="J657"/>
      <c r="K657"/>
      <c r="L657"/>
      <c r="M657"/>
      <c r="N657"/>
      <c r="O657"/>
      <c r="P657"/>
      <c r="Q657"/>
      <c r="R657"/>
      <c r="S657"/>
      <c r="T657"/>
      <c r="U657"/>
      <c r="V657"/>
    </row>
    <row r="658" spans="1:22" x14ac:dyDescent="0.3">
      <c r="A658"/>
      <c r="B658"/>
      <c r="C658"/>
      <c r="D658"/>
      <c r="E658"/>
      <c r="F658"/>
      <c r="G658"/>
      <c r="H658"/>
      <c r="I658"/>
      <c r="J658"/>
      <c r="K658"/>
      <c r="L658"/>
      <c r="M658"/>
      <c r="N658"/>
      <c r="O658"/>
      <c r="P658"/>
      <c r="Q658"/>
      <c r="R658"/>
      <c r="S658"/>
      <c r="T658"/>
      <c r="U658"/>
      <c r="V658"/>
    </row>
    <row r="659" spans="1:22" x14ac:dyDescent="0.3">
      <c r="A659"/>
      <c r="B659"/>
      <c r="C659"/>
      <c r="D659"/>
      <c r="E659"/>
      <c r="F659"/>
      <c r="G659"/>
      <c r="H659"/>
      <c r="I659"/>
      <c r="J659"/>
      <c r="K659"/>
      <c r="L659"/>
      <c r="M659"/>
      <c r="N659"/>
      <c r="O659"/>
      <c r="P659"/>
      <c r="Q659"/>
      <c r="R659"/>
      <c r="S659"/>
      <c r="T659"/>
      <c r="U659"/>
      <c r="V659"/>
    </row>
    <row r="660" spans="1:22" x14ac:dyDescent="0.3">
      <c r="A660"/>
      <c r="B660"/>
      <c r="C660"/>
      <c r="D660"/>
      <c r="E660"/>
      <c r="F660"/>
      <c r="G660"/>
      <c r="H660"/>
      <c r="I660"/>
      <c r="J660"/>
      <c r="K660"/>
      <c r="L660"/>
      <c r="M660"/>
      <c r="N660"/>
      <c r="O660"/>
      <c r="P660"/>
      <c r="Q660"/>
      <c r="R660"/>
      <c r="S660"/>
      <c r="T660"/>
      <c r="U660"/>
      <c r="V660"/>
    </row>
    <row r="661" spans="1:22" x14ac:dyDescent="0.3">
      <c r="A661"/>
      <c r="B661"/>
      <c r="C661"/>
      <c r="D661"/>
      <c r="E661"/>
      <c r="F661"/>
      <c r="G661"/>
      <c r="H661"/>
      <c r="I661"/>
      <c r="J661"/>
      <c r="K661"/>
      <c r="L661"/>
      <c r="M661"/>
      <c r="N661"/>
      <c r="O661"/>
      <c r="P661"/>
      <c r="Q661"/>
      <c r="R661"/>
      <c r="S661"/>
      <c r="T661"/>
      <c r="U661"/>
      <c r="V661"/>
    </row>
    <row r="662" spans="1:22" x14ac:dyDescent="0.3">
      <c r="A662"/>
      <c r="B662"/>
      <c r="C662"/>
      <c r="D662"/>
      <c r="E662"/>
      <c r="F662"/>
      <c r="G662"/>
      <c r="H662"/>
      <c r="I662"/>
      <c r="J662"/>
      <c r="K662"/>
      <c r="L662"/>
      <c r="M662"/>
      <c r="N662"/>
      <c r="O662"/>
      <c r="P662"/>
      <c r="Q662"/>
      <c r="R662"/>
      <c r="S662"/>
      <c r="T662"/>
      <c r="U662"/>
      <c r="V662"/>
    </row>
    <row r="663" spans="1:22" x14ac:dyDescent="0.3">
      <c r="A663"/>
      <c r="B663"/>
      <c r="C663"/>
      <c r="D663"/>
      <c r="E663"/>
      <c r="F663"/>
      <c r="G663"/>
      <c r="H663"/>
      <c r="I663"/>
      <c r="J663"/>
      <c r="K663"/>
      <c r="L663"/>
      <c r="M663"/>
      <c r="N663"/>
      <c r="O663"/>
      <c r="P663"/>
      <c r="Q663"/>
      <c r="R663"/>
      <c r="S663"/>
      <c r="T663"/>
      <c r="U663"/>
      <c r="V663"/>
    </row>
    <row r="664" spans="1:22" x14ac:dyDescent="0.3">
      <c r="A664"/>
      <c r="B664"/>
      <c r="C664"/>
      <c r="D664"/>
      <c r="E664"/>
      <c r="F664"/>
      <c r="G664"/>
      <c r="H664"/>
      <c r="I664"/>
      <c r="J664"/>
      <c r="K664"/>
      <c r="L664"/>
      <c r="M664"/>
      <c r="N664"/>
      <c r="O664"/>
      <c r="P664"/>
      <c r="Q664"/>
      <c r="R664"/>
      <c r="S664"/>
      <c r="T664"/>
      <c r="U664"/>
      <c r="V664"/>
    </row>
    <row r="665" spans="1:22" x14ac:dyDescent="0.3">
      <c r="A665"/>
      <c r="B665"/>
      <c r="C665"/>
      <c r="D665"/>
      <c r="E665"/>
      <c r="F665"/>
      <c r="G665"/>
      <c r="H665"/>
      <c r="I665"/>
      <c r="J665"/>
      <c r="K665"/>
      <c r="L665"/>
      <c r="M665"/>
      <c r="N665"/>
      <c r="O665"/>
      <c r="P665"/>
      <c r="Q665"/>
      <c r="R665"/>
      <c r="S665"/>
      <c r="T665"/>
      <c r="U665"/>
      <c r="V665"/>
    </row>
    <row r="666" spans="1:22" x14ac:dyDescent="0.3">
      <c r="A666"/>
      <c r="B666"/>
      <c r="C666"/>
      <c r="D666"/>
      <c r="E666"/>
      <c r="F666"/>
      <c r="G666"/>
      <c r="H666"/>
      <c r="I666"/>
      <c r="J666"/>
      <c r="K666"/>
      <c r="L666"/>
      <c r="M666"/>
      <c r="N666"/>
      <c r="O666"/>
      <c r="P666"/>
      <c r="Q666"/>
      <c r="R666"/>
      <c r="S666"/>
      <c r="T666"/>
      <c r="U666"/>
      <c r="V666"/>
    </row>
    <row r="667" spans="1:22" x14ac:dyDescent="0.3">
      <c r="A667"/>
      <c r="B667"/>
      <c r="C667"/>
      <c r="D667"/>
      <c r="E667"/>
      <c r="F667"/>
      <c r="G667"/>
      <c r="H667"/>
      <c r="I667"/>
      <c r="J667"/>
      <c r="K667"/>
      <c r="L667"/>
      <c r="M667"/>
      <c r="N667"/>
      <c r="O667"/>
      <c r="P667"/>
      <c r="Q667"/>
      <c r="R667"/>
      <c r="S667"/>
      <c r="T667"/>
      <c r="U667"/>
      <c r="V667"/>
    </row>
    <row r="668" spans="1:22" x14ac:dyDescent="0.3">
      <c r="A668"/>
      <c r="B668"/>
      <c r="C668"/>
      <c r="D668"/>
      <c r="E668"/>
      <c r="F668"/>
      <c r="G668"/>
      <c r="H668"/>
      <c r="I668"/>
      <c r="J668"/>
      <c r="K668"/>
      <c r="L668"/>
      <c r="M668"/>
      <c r="N668"/>
      <c r="O668"/>
      <c r="P668"/>
      <c r="Q668"/>
      <c r="R668"/>
      <c r="S668"/>
      <c r="T668"/>
      <c r="U668"/>
      <c r="V668"/>
    </row>
    <row r="669" spans="1:22" x14ac:dyDescent="0.3">
      <c r="A669"/>
      <c r="B669"/>
      <c r="C669"/>
      <c r="D669"/>
      <c r="E669"/>
      <c r="F669"/>
      <c r="G669"/>
      <c r="H669"/>
      <c r="I669"/>
      <c r="J669"/>
      <c r="K669"/>
      <c r="L669"/>
      <c r="M669"/>
      <c r="N669"/>
      <c r="O669"/>
      <c r="P669"/>
      <c r="Q669"/>
      <c r="R669"/>
      <c r="S669"/>
      <c r="T669"/>
      <c r="U669"/>
      <c r="V669"/>
    </row>
    <row r="670" spans="1:22" x14ac:dyDescent="0.3">
      <c r="A670"/>
      <c r="B670"/>
      <c r="C670"/>
      <c r="D670"/>
      <c r="E670"/>
      <c r="F670"/>
      <c r="G670"/>
      <c r="H670"/>
      <c r="I670"/>
      <c r="J670"/>
      <c r="K670"/>
      <c r="L670"/>
      <c r="M670"/>
      <c r="N670"/>
      <c r="O670"/>
      <c r="P670"/>
      <c r="Q670"/>
      <c r="R670"/>
      <c r="S670"/>
      <c r="T670"/>
      <c r="U670"/>
      <c r="V670"/>
    </row>
    <row r="671" spans="1:22" x14ac:dyDescent="0.3">
      <c r="A671"/>
      <c r="B671"/>
      <c r="C671"/>
      <c r="D671"/>
      <c r="E671"/>
      <c r="F671"/>
      <c r="G671"/>
      <c r="H671"/>
      <c r="I671"/>
      <c r="J671"/>
      <c r="K671"/>
      <c r="L671"/>
      <c r="M671"/>
      <c r="N671"/>
      <c r="O671"/>
      <c r="P671"/>
      <c r="Q671"/>
      <c r="R671"/>
      <c r="S671"/>
      <c r="T671"/>
      <c r="U671"/>
      <c r="V671"/>
    </row>
    <row r="672" spans="1:22" x14ac:dyDescent="0.3">
      <c r="A672"/>
      <c r="B672"/>
      <c r="C672"/>
      <c r="D672"/>
      <c r="E672"/>
      <c r="F672"/>
      <c r="G672"/>
      <c r="H672"/>
      <c r="I672"/>
      <c r="J672"/>
      <c r="K672"/>
      <c r="L672"/>
      <c r="M672"/>
      <c r="N672"/>
      <c r="O672"/>
      <c r="P672"/>
      <c r="Q672"/>
      <c r="R672"/>
      <c r="S672"/>
      <c r="T672"/>
      <c r="U672"/>
      <c r="V672"/>
    </row>
    <row r="673" spans="1:22" x14ac:dyDescent="0.3">
      <c r="A673"/>
      <c r="B673"/>
      <c r="C673"/>
      <c r="D673"/>
      <c r="E673"/>
      <c r="F673"/>
      <c r="G673"/>
      <c r="H673"/>
      <c r="I673"/>
      <c r="J673"/>
      <c r="K673"/>
      <c r="L673"/>
      <c r="M673"/>
      <c r="N673"/>
      <c r="O673"/>
      <c r="P673"/>
      <c r="Q673"/>
      <c r="R673"/>
      <c r="S673"/>
      <c r="T673"/>
      <c r="U673"/>
      <c r="V673"/>
    </row>
    <row r="674" spans="1:22" x14ac:dyDescent="0.3">
      <c r="A674"/>
      <c r="B674"/>
      <c r="C674"/>
      <c r="D674"/>
      <c r="E674"/>
      <c r="F674"/>
      <c r="G674"/>
      <c r="H674"/>
      <c r="I674"/>
      <c r="J674"/>
      <c r="K674"/>
      <c r="L674"/>
      <c r="M674"/>
      <c r="N674"/>
      <c r="O674"/>
      <c r="P674"/>
      <c r="Q674"/>
      <c r="R674"/>
      <c r="S674"/>
      <c r="T674"/>
      <c r="U674"/>
      <c r="V674"/>
    </row>
    <row r="675" spans="1:22" x14ac:dyDescent="0.3">
      <c r="A675"/>
      <c r="B675"/>
      <c r="C675"/>
      <c r="D675"/>
      <c r="E675"/>
      <c r="F675"/>
      <c r="G675"/>
      <c r="H675"/>
      <c r="I675"/>
      <c r="J675"/>
      <c r="K675"/>
      <c r="L675"/>
      <c r="M675"/>
      <c r="N675"/>
      <c r="O675"/>
      <c r="P675"/>
      <c r="Q675"/>
      <c r="R675"/>
      <c r="S675"/>
      <c r="T675"/>
      <c r="U675"/>
      <c r="V675"/>
    </row>
    <row r="676" spans="1:22" x14ac:dyDescent="0.3">
      <c r="A676"/>
      <c r="B676"/>
      <c r="C676"/>
      <c r="D676"/>
      <c r="E676"/>
      <c r="F676"/>
      <c r="G676"/>
      <c r="H676"/>
      <c r="I676"/>
      <c r="J676"/>
      <c r="K676"/>
      <c r="L676"/>
      <c r="M676"/>
      <c r="N676"/>
      <c r="O676"/>
      <c r="P676"/>
      <c r="Q676"/>
      <c r="R676"/>
      <c r="S676"/>
      <c r="T676"/>
      <c r="U676"/>
      <c r="V676"/>
    </row>
    <row r="677" spans="1:22" x14ac:dyDescent="0.3">
      <c r="A677"/>
      <c r="B677"/>
      <c r="C677"/>
      <c r="D677"/>
      <c r="E677"/>
      <c r="F677"/>
      <c r="G677"/>
      <c r="H677"/>
      <c r="I677"/>
      <c r="J677"/>
      <c r="K677"/>
      <c r="L677"/>
      <c r="M677"/>
      <c r="N677"/>
      <c r="O677"/>
      <c r="P677"/>
      <c r="Q677"/>
      <c r="R677"/>
      <c r="S677"/>
      <c r="T677"/>
      <c r="U677"/>
      <c r="V677"/>
    </row>
    <row r="678" spans="1:22" x14ac:dyDescent="0.3">
      <c r="A678"/>
      <c r="B678"/>
      <c r="C678"/>
      <c r="D678"/>
      <c r="E678"/>
      <c r="F678"/>
      <c r="G678"/>
      <c r="H678"/>
      <c r="I678"/>
      <c r="J678"/>
      <c r="K678"/>
      <c r="L678"/>
      <c r="M678"/>
      <c r="N678"/>
      <c r="O678"/>
      <c r="P678"/>
      <c r="Q678"/>
      <c r="R678"/>
      <c r="S678"/>
      <c r="T678"/>
      <c r="U678"/>
      <c r="V678"/>
    </row>
    <row r="679" spans="1:22" x14ac:dyDescent="0.3">
      <c r="A679"/>
      <c r="B679"/>
      <c r="C679"/>
      <c r="D679"/>
      <c r="E679"/>
      <c r="F679"/>
      <c r="G679"/>
      <c r="H679"/>
      <c r="I679"/>
      <c r="J679"/>
      <c r="K679"/>
      <c r="L679"/>
      <c r="M679"/>
      <c r="N679"/>
      <c r="O679"/>
      <c r="P679"/>
      <c r="Q679"/>
      <c r="R679"/>
      <c r="S679"/>
      <c r="T679"/>
      <c r="U679"/>
      <c r="V679"/>
    </row>
    <row r="680" spans="1:22" x14ac:dyDescent="0.3">
      <c r="A680"/>
      <c r="B680"/>
      <c r="C680"/>
      <c r="D680"/>
      <c r="E680"/>
      <c r="F680"/>
      <c r="G680"/>
      <c r="H680"/>
      <c r="I680"/>
      <c r="J680"/>
      <c r="K680"/>
      <c r="L680"/>
      <c r="M680"/>
      <c r="N680"/>
      <c r="O680"/>
      <c r="P680"/>
      <c r="Q680"/>
      <c r="R680"/>
      <c r="S680"/>
      <c r="T680"/>
      <c r="U680"/>
      <c r="V680"/>
    </row>
    <row r="681" spans="1:22" x14ac:dyDescent="0.3">
      <c r="A681"/>
      <c r="B681"/>
      <c r="C681"/>
      <c r="D681"/>
      <c r="E681"/>
      <c r="F681"/>
      <c r="G681"/>
      <c r="H681"/>
      <c r="I681"/>
      <c r="J681"/>
      <c r="K681"/>
      <c r="L681"/>
      <c r="M681"/>
      <c r="N681"/>
      <c r="O681"/>
      <c r="P681"/>
      <c r="Q681"/>
      <c r="R681"/>
      <c r="S681"/>
      <c r="T681"/>
      <c r="U681"/>
      <c r="V681"/>
    </row>
    <row r="682" spans="1:22" x14ac:dyDescent="0.3">
      <c r="A682"/>
      <c r="B682"/>
      <c r="C682"/>
      <c r="D682"/>
      <c r="E682"/>
      <c r="F682"/>
      <c r="G682"/>
      <c r="H682"/>
      <c r="I682"/>
      <c r="J682"/>
      <c r="K682"/>
      <c r="L682"/>
      <c r="M682"/>
      <c r="N682"/>
      <c r="O682"/>
      <c r="P682"/>
      <c r="Q682"/>
      <c r="R682"/>
      <c r="S682"/>
      <c r="T682"/>
      <c r="U682"/>
      <c r="V682"/>
    </row>
    <row r="683" spans="1:22" x14ac:dyDescent="0.3">
      <c r="A683"/>
      <c r="B683"/>
      <c r="C683"/>
      <c r="D683"/>
      <c r="E683"/>
      <c r="F683"/>
      <c r="G683"/>
      <c r="H683"/>
      <c r="I683"/>
      <c r="J683"/>
      <c r="K683"/>
      <c r="L683"/>
      <c r="M683"/>
      <c r="N683"/>
      <c r="O683"/>
      <c r="P683"/>
      <c r="Q683"/>
      <c r="R683"/>
      <c r="S683"/>
      <c r="T683"/>
      <c r="U683"/>
      <c r="V683"/>
    </row>
    <row r="684" spans="1:22" x14ac:dyDescent="0.3">
      <c r="A684"/>
      <c r="B684"/>
      <c r="C684"/>
      <c r="D684"/>
      <c r="E684"/>
      <c r="F684"/>
      <c r="G684"/>
      <c r="H684"/>
      <c r="I684"/>
      <c r="J684"/>
      <c r="K684"/>
      <c r="L684"/>
      <c r="M684"/>
      <c r="N684"/>
      <c r="O684"/>
      <c r="P684"/>
      <c r="Q684"/>
      <c r="R684"/>
      <c r="S684"/>
      <c r="T684"/>
      <c r="U684"/>
      <c r="V684"/>
    </row>
    <row r="685" spans="1:22" x14ac:dyDescent="0.3">
      <c r="A685"/>
      <c r="B685"/>
      <c r="C685"/>
      <c r="D685"/>
      <c r="E685"/>
      <c r="F685"/>
      <c r="G685"/>
      <c r="H685"/>
      <c r="I685"/>
      <c r="J685"/>
      <c r="K685"/>
      <c r="L685"/>
      <c r="M685"/>
      <c r="N685"/>
      <c r="O685"/>
      <c r="P685"/>
      <c r="Q685"/>
      <c r="R685"/>
      <c r="S685"/>
      <c r="T685"/>
      <c r="U685"/>
      <c r="V685"/>
    </row>
    <row r="686" spans="1:22" x14ac:dyDescent="0.3">
      <c r="A686"/>
      <c r="B686"/>
      <c r="C686"/>
      <c r="D686"/>
      <c r="E686"/>
      <c r="F686"/>
      <c r="G686"/>
      <c r="H686"/>
      <c r="I686"/>
      <c r="J686"/>
      <c r="K686"/>
      <c r="L686"/>
      <c r="M686"/>
      <c r="N686"/>
      <c r="O686"/>
      <c r="P686"/>
      <c r="Q686"/>
      <c r="R686"/>
      <c r="S686"/>
      <c r="T686"/>
      <c r="U686"/>
      <c r="V686"/>
    </row>
    <row r="687" spans="1:22" x14ac:dyDescent="0.3">
      <c r="A687"/>
      <c r="B687"/>
      <c r="C687"/>
      <c r="D687"/>
      <c r="E687"/>
      <c r="F687"/>
      <c r="G687"/>
      <c r="H687"/>
      <c r="I687"/>
      <c r="J687"/>
      <c r="K687"/>
      <c r="L687"/>
      <c r="M687"/>
      <c r="N687"/>
      <c r="O687"/>
      <c r="P687"/>
      <c r="Q687"/>
      <c r="R687"/>
      <c r="S687"/>
      <c r="T687"/>
      <c r="U687"/>
      <c r="V687"/>
    </row>
    <row r="688" spans="1:22" x14ac:dyDescent="0.3">
      <c r="A688"/>
      <c r="B688"/>
      <c r="C688"/>
      <c r="D688"/>
      <c r="E688"/>
      <c r="F688"/>
      <c r="G688"/>
      <c r="H688"/>
      <c r="I688"/>
      <c r="J688"/>
      <c r="K688"/>
      <c r="L688"/>
      <c r="M688"/>
      <c r="N688"/>
      <c r="O688"/>
      <c r="P688"/>
      <c r="Q688"/>
      <c r="R688"/>
      <c r="S688"/>
      <c r="T688"/>
      <c r="U688"/>
      <c r="V688"/>
    </row>
    <row r="689" spans="1:22" x14ac:dyDescent="0.3">
      <c r="A689"/>
      <c r="B689"/>
      <c r="C689"/>
      <c r="D689"/>
      <c r="E689"/>
      <c r="F689"/>
      <c r="G689"/>
      <c r="H689"/>
      <c r="I689"/>
      <c r="J689"/>
      <c r="K689"/>
      <c r="L689"/>
      <c r="M689"/>
      <c r="N689"/>
      <c r="O689"/>
      <c r="P689"/>
      <c r="Q689"/>
      <c r="R689"/>
      <c r="S689"/>
      <c r="T689"/>
      <c r="U689"/>
      <c r="V689"/>
    </row>
    <row r="690" spans="1:22" x14ac:dyDescent="0.3">
      <c r="A690"/>
      <c r="B690"/>
      <c r="C690"/>
      <c r="D690"/>
      <c r="E690"/>
      <c r="F690"/>
      <c r="G690"/>
      <c r="H690"/>
      <c r="I690"/>
      <c r="J690"/>
      <c r="K690"/>
      <c r="L690"/>
      <c r="M690"/>
      <c r="N690"/>
      <c r="O690"/>
      <c r="P690"/>
      <c r="Q690"/>
      <c r="R690"/>
      <c r="S690"/>
      <c r="T690"/>
      <c r="U690"/>
      <c r="V690"/>
    </row>
    <row r="691" spans="1:22" x14ac:dyDescent="0.3">
      <c r="A691"/>
      <c r="B691"/>
      <c r="C691"/>
      <c r="D691"/>
      <c r="E691"/>
      <c r="F691"/>
      <c r="G691"/>
      <c r="H691"/>
      <c r="I691"/>
      <c r="J691"/>
      <c r="K691"/>
      <c r="L691"/>
      <c r="M691"/>
      <c r="N691"/>
      <c r="O691"/>
      <c r="P691"/>
      <c r="Q691"/>
      <c r="R691"/>
      <c r="S691"/>
      <c r="T691"/>
      <c r="U691"/>
      <c r="V691"/>
    </row>
    <row r="692" spans="1:22" x14ac:dyDescent="0.3">
      <c r="A692"/>
      <c r="B692"/>
      <c r="C692"/>
      <c r="D692"/>
      <c r="E692"/>
      <c r="F692"/>
      <c r="G692"/>
      <c r="H692"/>
      <c r="I692"/>
      <c r="J692"/>
      <c r="K692"/>
      <c r="L692"/>
      <c r="M692"/>
      <c r="N692"/>
      <c r="O692"/>
      <c r="P692"/>
      <c r="Q692"/>
      <c r="R692"/>
      <c r="S692"/>
      <c r="T692"/>
      <c r="U692"/>
      <c r="V692"/>
    </row>
    <row r="693" spans="1:22" x14ac:dyDescent="0.3">
      <c r="A693"/>
      <c r="B693"/>
      <c r="C693"/>
      <c r="D693"/>
      <c r="E693"/>
      <c r="F693"/>
      <c r="G693"/>
      <c r="H693"/>
      <c r="I693"/>
      <c r="J693"/>
      <c r="K693"/>
      <c r="L693"/>
      <c r="M693"/>
      <c r="N693"/>
      <c r="O693"/>
      <c r="P693"/>
      <c r="Q693"/>
      <c r="R693"/>
      <c r="S693"/>
      <c r="T693"/>
      <c r="U693"/>
      <c r="V693"/>
    </row>
    <row r="694" spans="1:22" x14ac:dyDescent="0.3">
      <c r="A694"/>
      <c r="B694"/>
      <c r="C694"/>
      <c r="D694"/>
      <c r="E694"/>
      <c r="F694"/>
      <c r="G694"/>
      <c r="H694"/>
      <c r="I694"/>
      <c r="J694"/>
      <c r="K694"/>
      <c r="L694"/>
      <c r="M694"/>
      <c r="N694"/>
      <c r="O694"/>
      <c r="P694"/>
      <c r="Q694"/>
      <c r="R694"/>
      <c r="S694"/>
      <c r="T694"/>
      <c r="U694"/>
      <c r="V694"/>
    </row>
    <row r="695" spans="1:22" x14ac:dyDescent="0.3">
      <c r="A695"/>
      <c r="B695"/>
      <c r="C695"/>
      <c r="D695"/>
      <c r="E695"/>
      <c r="F695"/>
      <c r="G695"/>
      <c r="H695"/>
      <c r="I695"/>
      <c r="J695"/>
      <c r="K695"/>
      <c r="L695"/>
      <c r="M695"/>
      <c r="N695"/>
      <c r="O695"/>
      <c r="P695"/>
      <c r="Q695"/>
      <c r="R695"/>
      <c r="S695"/>
      <c r="T695"/>
      <c r="U695"/>
      <c r="V695"/>
    </row>
    <row r="696" spans="1:22" x14ac:dyDescent="0.3">
      <c r="A696"/>
      <c r="B696"/>
      <c r="C696"/>
      <c r="D696"/>
      <c r="E696"/>
      <c r="F696"/>
      <c r="G696"/>
      <c r="H696"/>
      <c r="I696"/>
      <c r="J696"/>
      <c r="K696"/>
      <c r="L696"/>
      <c r="M696"/>
      <c r="N696"/>
      <c r="O696"/>
      <c r="P696"/>
      <c r="Q696"/>
      <c r="R696"/>
      <c r="S696"/>
      <c r="T696"/>
      <c r="U696"/>
      <c r="V696"/>
    </row>
    <row r="697" spans="1:22" x14ac:dyDescent="0.3">
      <c r="A697"/>
      <c r="B697"/>
      <c r="C697"/>
      <c r="D697"/>
      <c r="E697"/>
      <c r="F697"/>
      <c r="G697"/>
      <c r="H697"/>
      <c r="I697"/>
      <c r="J697"/>
      <c r="K697"/>
      <c r="L697"/>
      <c r="M697"/>
      <c r="N697"/>
      <c r="O697"/>
      <c r="P697"/>
      <c r="Q697"/>
      <c r="R697"/>
      <c r="S697"/>
      <c r="T697"/>
      <c r="U697"/>
      <c r="V697"/>
    </row>
    <row r="698" spans="1:22" x14ac:dyDescent="0.3">
      <c r="A698"/>
      <c r="B698"/>
      <c r="C698"/>
      <c r="D698"/>
      <c r="E698"/>
      <c r="F698"/>
      <c r="G698"/>
      <c r="H698"/>
      <c r="I698"/>
      <c r="J698"/>
      <c r="K698"/>
      <c r="L698"/>
      <c r="M698"/>
      <c r="N698"/>
      <c r="O698"/>
      <c r="P698"/>
      <c r="Q698"/>
      <c r="R698"/>
      <c r="S698"/>
      <c r="T698"/>
      <c r="U698"/>
      <c r="V698"/>
    </row>
    <row r="699" spans="1:22" x14ac:dyDescent="0.3">
      <c r="A699"/>
      <c r="B699"/>
      <c r="C699"/>
      <c r="D699"/>
      <c r="E699"/>
      <c r="F699"/>
      <c r="G699"/>
      <c r="H699"/>
      <c r="I699"/>
      <c r="J699"/>
      <c r="K699"/>
      <c r="L699"/>
      <c r="M699"/>
      <c r="N699"/>
      <c r="O699"/>
      <c r="P699"/>
      <c r="Q699"/>
      <c r="R699"/>
      <c r="S699"/>
      <c r="T699"/>
      <c r="U699"/>
      <c r="V699"/>
    </row>
    <row r="700" spans="1:22" x14ac:dyDescent="0.3">
      <c r="A700"/>
      <c r="B700"/>
      <c r="C700"/>
      <c r="D700"/>
      <c r="E700"/>
      <c r="F700"/>
      <c r="G700"/>
      <c r="H700"/>
      <c r="I700"/>
      <c r="J700"/>
      <c r="K700"/>
      <c r="L700"/>
      <c r="M700"/>
      <c r="N700"/>
      <c r="O700"/>
      <c r="P700"/>
      <c r="Q700"/>
      <c r="R700"/>
      <c r="S700"/>
      <c r="T700"/>
      <c r="U700"/>
      <c r="V700"/>
    </row>
    <row r="701" spans="1:22" x14ac:dyDescent="0.3">
      <c r="A701"/>
      <c r="B701"/>
      <c r="C701"/>
      <c r="D701"/>
      <c r="E701"/>
      <c r="F701"/>
      <c r="G701"/>
      <c r="H701"/>
      <c r="I701"/>
      <c r="J701"/>
      <c r="K701"/>
      <c r="L701"/>
      <c r="M701"/>
      <c r="N701"/>
      <c r="O701"/>
      <c r="P701"/>
      <c r="Q701"/>
      <c r="R701"/>
      <c r="S701"/>
      <c r="T701"/>
      <c r="U701"/>
      <c r="V701"/>
    </row>
    <row r="702" spans="1:22" x14ac:dyDescent="0.3">
      <c r="A702"/>
      <c r="B702"/>
      <c r="C702"/>
      <c r="D702"/>
      <c r="E702"/>
      <c r="F702"/>
      <c r="G702"/>
      <c r="H702"/>
      <c r="I702"/>
      <c r="J702"/>
      <c r="K702"/>
      <c r="L702"/>
      <c r="M702"/>
      <c r="N702"/>
      <c r="O702"/>
      <c r="P702"/>
      <c r="Q702"/>
      <c r="R702"/>
      <c r="S702"/>
      <c r="T702"/>
      <c r="U702"/>
      <c r="V702"/>
    </row>
    <row r="703" spans="1:22" x14ac:dyDescent="0.3">
      <c r="A703"/>
      <c r="B703"/>
      <c r="C703"/>
      <c r="D703"/>
      <c r="E703"/>
      <c r="F703"/>
      <c r="G703"/>
      <c r="H703"/>
      <c r="I703"/>
      <c r="J703"/>
      <c r="K703"/>
      <c r="L703"/>
      <c r="M703"/>
      <c r="N703"/>
      <c r="O703"/>
      <c r="P703"/>
      <c r="Q703"/>
      <c r="R703"/>
      <c r="S703"/>
      <c r="T703"/>
      <c r="U703"/>
      <c r="V703"/>
    </row>
    <row r="704" spans="1:22" x14ac:dyDescent="0.3">
      <c r="A704"/>
      <c r="B704"/>
      <c r="C704"/>
      <c r="D704"/>
      <c r="E704"/>
      <c r="F704"/>
      <c r="G704"/>
      <c r="H704"/>
      <c r="I704"/>
      <c r="J704"/>
      <c r="K704"/>
      <c r="L704"/>
      <c r="M704"/>
      <c r="N704"/>
      <c r="O704"/>
      <c r="P704"/>
      <c r="Q704"/>
      <c r="R704"/>
      <c r="S704"/>
      <c r="T704"/>
      <c r="U704"/>
      <c r="V704"/>
    </row>
    <row r="705" spans="1:22" x14ac:dyDescent="0.3">
      <c r="A705"/>
      <c r="B705"/>
      <c r="C705"/>
      <c r="D705"/>
      <c r="E705"/>
      <c r="F705"/>
      <c r="G705"/>
      <c r="H705"/>
      <c r="I705"/>
      <c r="J705"/>
      <c r="K705"/>
      <c r="L705"/>
      <c r="M705"/>
      <c r="N705"/>
      <c r="O705"/>
      <c r="P705"/>
      <c r="Q705"/>
      <c r="R705"/>
      <c r="S705"/>
      <c r="T705"/>
      <c r="U705"/>
      <c r="V705"/>
    </row>
    <row r="706" spans="1:22" x14ac:dyDescent="0.3">
      <c r="A706"/>
      <c r="B706"/>
      <c r="C706"/>
      <c r="D706"/>
      <c r="E706"/>
      <c r="F706"/>
      <c r="G706"/>
      <c r="H706"/>
      <c r="I706"/>
      <c r="J706"/>
      <c r="K706"/>
      <c r="L706"/>
      <c r="M706"/>
      <c r="N706"/>
      <c r="O706"/>
      <c r="P706"/>
      <c r="Q706"/>
      <c r="R706"/>
      <c r="S706"/>
      <c r="T706"/>
      <c r="U706"/>
      <c r="V706"/>
    </row>
    <row r="707" spans="1:22" x14ac:dyDescent="0.3">
      <c r="A707"/>
      <c r="B707"/>
      <c r="C707"/>
      <c r="D707"/>
      <c r="E707"/>
      <c r="F707"/>
      <c r="G707"/>
      <c r="H707"/>
      <c r="I707"/>
      <c r="J707"/>
      <c r="K707"/>
      <c r="L707"/>
      <c r="M707"/>
      <c r="N707"/>
      <c r="O707"/>
      <c r="P707"/>
      <c r="Q707"/>
      <c r="R707"/>
      <c r="S707"/>
      <c r="T707"/>
      <c r="U707"/>
      <c r="V707"/>
    </row>
    <row r="708" spans="1:22" x14ac:dyDescent="0.3">
      <c r="A708"/>
      <c r="B708"/>
      <c r="C708"/>
      <c r="D708"/>
      <c r="E708"/>
      <c r="F708"/>
      <c r="G708"/>
      <c r="H708"/>
      <c r="I708"/>
      <c r="J708"/>
      <c r="K708"/>
      <c r="L708"/>
      <c r="M708"/>
      <c r="N708"/>
      <c r="O708"/>
      <c r="P708"/>
      <c r="Q708"/>
      <c r="R708"/>
      <c r="S708"/>
      <c r="T708"/>
      <c r="U708"/>
      <c r="V708"/>
    </row>
    <row r="709" spans="1:22" x14ac:dyDescent="0.3">
      <c r="A709"/>
      <c r="B709"/>
      <c r="C709"/>
      <c r="D709"/>
      <c r="E709"/>
      <c r="F709"/>
      <c r="G709"/>
      <c r="H709"/>
      <c r="I709"/>
      <c r="J709"/>
      <c r="K709"/>
      <c r="L709"/>
      <c r="M709"/>
      <c r="N709"/>
      <c r="O709"/>
      <c r="P709"/>
      <c r="Q709"/>
      <c r="R709"/>
      <c r="S709"/>
      <c r="T709"/>
      <c r="U709"/>
      <c r="V709"/>
    </row>
    <row r="710" spans="1:22" x14ac:dyDescent="0.3">
      <c r="A710"/>
      <c r="B710"/>
      <c r="C710"/>
      <c r="D710"/>
      <c r="E710"/>
      <c r="F710"/>
      <c r="G710"/>
      <c r="H710"/>
      <c r="I710"/>
      <c r="J710"/>
      <c r="K710"/>
      <c r="L710"/>
      <c r="M710"/>
      <c r="N710"/>
      <c r="O710"/>
      <c r="P710"/>
      <c r="Q710"/>
      <c r="R710"/>
      <c r="S710"/>
      <c r="T710"/>
      <c r="U710"/>
      <c r="V710"/>
    </row>
    <row r="711" spans="1:22" x14ac:dyDescent="0.3">
      <c r="A711"/>
      <c r="B711"/>
      <c r="C711"/>
      <c r="D711"/>
      <c r="E711"/>
      <c r="F711"/>
      <c r="G711"/>
      <c r="H711"/>
      <c r="I711"/>
      <c r="J711"/>
      <c r="K711"/>
      <c r="L711"/>
      <c r="M711"/>
      <c r="N711"/>
      <c r="O711"/>
      <c r="P711"/>
      <c r="Q711"/>
      <c r="R711"/>
      <c r="S711"/>
      <c r="T711"/>
      <c r="U711"/>
      <c r="V711"/>
    </row>
    <row r="712" spans="1:22" x14ac:dyDescent="0.3">
      <c r="A712"/>
      <c r="B712"/>
      <c r="C712"/>
      <c r="D712"/>
      <c r="E712"/>
      <c r="F712"/>
      <c r="G712"/>
      <c r="H712"/>
      <c r="I712"/>
      <c r="J712"/>
      <c r="K712"/>
      <c r="L712"/>
      <c r="M712"/>
      <c r="N712"/>
      <c r="O712"/>
      <c r="P712"/>
      <c r="Q712"/>
      <c r="R712"/>
      <c r="S712"/>
      <c r="T712"/>
      <c r="U712"/>
      <c r="V712"/>
    </row>
    <row r="713" spans="1:22" x14ac:dyDescent="0.3">
      <c r="A713"/>
      <c r="B713"/>
      <c r="C713"/>
      <c r="D713"/>
      <c r="E713"/>
      <c r="F713"/>
      <c r="G713"/>
      <c r="H713"/>
      <c r="I713"/>
      <c r="J713"/>
      <c r="K713"/>
      <c r="L713"/>
      <c r="M713"/>
      <c r="N713"/>
      <c r="O713"/>
      <c r="P713"/>
      <c r="Q713"/>
      <c r="R713"/>
      <c r="S713"/>
      <c r="T713"/>
      <c r="U713"/>
      <c r="V713"/>
    </row>
    <row r="714" spans="1:22" x14ac:dyDescent="0.3">
      <c r="A714"/>
      <c r="B714"/>
      <c r="C714"/>
      <c r="D714"/>
      <c r="E714"/>
      <c r="F714"/>
      <c r="G714"/>
      <c r="H714"/>
      <c r="I714"/>
      <c r="J714"/>
      <c r="K714"/>
      <c r="L714"/>
      <c r="M714"/>
      <c r="N714"/>
      <c r="O714"/>
      <c r="P714"/>
      <c r="Q714"/>
      <c r="R714"/>
      <c r="S714"/>
      <c r="T714"/>
      <c r="U714"/>
      <c r="V714"/>
    </row>
    <row r="715" spans="1:22" x14ac:dyDescent="0.3">
      <c r="A715"/>
      <c r="B715"/>
      <c r="C715"/>
      <c r="D715"/>
      <c r="E715"/>
      <c r="F715"/>
      <c r="G715"/>
      <c r="H715"/>
      <c r="I715"/>
      <c r="J715"/>
      <c r="K715"/>
      <c r="L715"/>
      <c r="M715"/>
      <c r="N715"/>
      <c r="O715"/>
      <c r="P715"/>
      <c r="Q715"/>
      <c r="R715"/>
      <c r="S715"/>
      <c r="T715"/>
      <c r="U715"/>
      <c r="V715"/>
    </row>
    <row r="716" spans="1:22" x14ac:dyDescent="0.3">
      <c r="A716"/>
      <c r="B716"/>
      <c r="C716"/>
      <c r="D716"/>
      <c r="E716"/>
      <c r="F716"/>
      <c r="G716"/>
      <c r="H716"/>
      <c r="I716"/>
      <c r="J716"/>
      <c r="K716"/>
      <c r="L716"/>
      <c r="M716"/>
      <c r="N716"/>
      <c r="O716"/>
      <c r="P716"/>
      <c r="Q716"/>
      <c r="R716"/>
      <c r="S716"/>
      <c r="T716"/>
      <c r="U716"/>
      <c r="V716"/>
    </row>
    <row r="717" spans="1:22" x14ac:dyDescent="0.3">
      <c r="A717"/>
      <c r="B717"/>
      <c r="C717"/>
      <c r="D717"/>
      <c r="E717"/>
      <c r="F717"/>
      <c r="G717"/>
      <c r="H717"/>
      <c r="I717"/>
      <c r="J717"/>
      <c r="K717"/>
      <c r="L717"/>
      <c r="M717"/>
      <c r="N717"/>
      <c r="O717"/>
      <c r="P717"/>
      <c r="Q717"/>
      <c r="R717"/>
      <c r="S717"/>
      <c r="T717"/>
      <c r="U717"/>
      <c r="V717"/>
    </row>
    <row r="718" spans="1:22" x14ac:dyDescent="0.3">
      <c r="A718"/>
      <c r="B718"/>
      <c r="C718"/>
      <c r="D718"/>
      <c r="E718"/>
      <c r="F718"/>
      <c r="G718"/>
      <c r="H718"/>
      <c r="I718"/>
      <c r="J718"/>
      <c r="K718"/>
      <c r="L718"/>
      <c r="M718"/>
      <c r="N718"/>
      <c r="O718"/>
      <c r="P718"/>
      <c r="Q718"/>
      <c r="R718"/>
      <c r="S718"/>
      <c r="T718"/>
      <c r="U718"/>
      <c r="V718"/>
    </row>
    <row r="719" spans="1:22" x14ac:dyDescent="0.3">
      <c r="A719"/>
      <c r="B719"/>
      <c r="C719"/>
      <c r="D719"/>
      <c r="E719"/>
      <c r="F719"/>
      <c r="G719"/>
      <c r="H719"/>
      <c r="I719"/>
      <c r="J719"/>
      <c r="K719"/>
      <c r="L719"/>
      <c r="M719"/>
      <c r="N719"/>
      <c r="O719"/>
      <c r="P719"/>
      <c r="Q719"/>
      <c r="R719"/>
      <c r="S719"/>
      <c r="T719"/>
      <c r="U719"/>
      <c r="V719"/>
    </row>
    <row r="720" spans="1:22" x14ac:dyDescent="0.3">
      <c r="A720"/>
      <c r="B720"/>
      <c r="C720"/>
      <c r="D720"/>
      <c r="E720"/>
      <c r="F720"/>
      <c r="G720"/>
      <c r="H720"/>
      <c r="I720"/>
      <c r="J720"/>
      <c r="K720"/>
      <c r="L720"/>
      <c r="M720"/>
      <c r="N720"/>
      <c r="O720"/>
      <c r="P720"/>
      <c r="Q720"/>
      <c r="R720"/>
      <c r="S720"/>
      <c r="T720"/>
      <c r="U720"/>
      <c r="V720"/>
    </row>
    <row r="721" spans="1:22" x14ac:dyDescent="0.3">
      <c r="A721"/>
      <c r="B721"/>
      <c r="C721"/>
      <c r="D721"/>
      <c r="E721"/>
      <c r="F721"/>
      <c r="G721"/>
      <c r="H721"/>
      <c r="I721"/>
      <c r="J721"/>
      <c r="K721"/>
      <c r="L721"/>
      <c r="M721"/>
      <c r="N721"/>
      <c r="O721"/>
      <c r="P721"/>
      <c r="Q721"/>
      <c r="R721"/>
      <c r="S721"/>
      <c r="T721"/>
      <c r="U721"/>
      <c r="V721"/>
    </row>
    <row r="722" spans="1:22" x14ac:dyDescent="0.3">
      <c r="A722"/>
      <c r="B722"/>
      <c r="C722"/>
      <c r="D722"/>
      <c r="E722"/>
      <c r="F722"/>
      <c r="G722"/>
      <c r="H722"/>
      <c r="I722"/>
      <c r="J722"/>
      <c r="K722"/>
      <c r="L722"/>
      <c r="M722"/>
      <c r="N722"/>
      <c r="O722"/>
      <c r="P722"/>
      <c r="Q722"/>
      <c r="R722"/>
      <c r="S722"/>
      <c r="T722"/>
      <c r="U722"/>
      <c r="V722"/>
    </row>
    <row r="723" spans="1:22" x14ac:dyDescent="0.3">
      <c r="A723"/>
      <c r="B723"/>
      <c r="C723"/>
      <c r="D723"/>
      <c r="E723"/>
      <c r="F723"/>
      <c r="G723"/>
      <c r="H723"/>
      <c r="I723"/>
      <c r="J723"/>
      <c r="K723"/>
      <c r="L723"/>
      <c r="M723"/>
      <c r="N723"/>
      <c r="O723"/>
      <c r="P723"/>
      <c r="Q723"/>
      <c r="R723"/>
      <c r="S723"/>
      <c r="T723"/>
      <c r="U723"/>
      <c r="V723"/>
    </row>
    <row r="724" spans="1:22" x14ac:dyDescent="0.3">
      <c r="A724"/>
      <c r="B724"/>
      <c r="C724"/>
      <c r="D724"/>
      <c r="E724"/>
      <c r="F724"/>
      <c r="G724"/>
      <c r="H724"/>
      <c r="I724"/>
      <c r="J724"/>
      <c r="K724"/>
      <c r="L724"/>
      <c r="M724"/>
      <c r="N724"/>
      <c r="O724"/>
      <c r="P724"/>
      <c r="Q724"/>
      <c r="R724"/>
      <c r="S724"/>
      <c r="T724"/>
      <c r="U724"/>
      <c r="V724"/>
    </row>
    <row r="725" spans="1:22" x14ac:dyDescent="0.3">
      <c r="A725"/>
      <c r="B725"/>
      <c r="C725"/>
      <c r="D725"/>
      <c r="E725"/>
      <c r="F725"/>
      <c r="G725"/>
      <c r="H725"/>
      <c r="I725"/>
      <c r="J725"/>
      <c r="K725"/>
      <c r="L725"/>
      <c r="M725"/>
      <c r="N725"/>
      <c r="O725"/>
      <c r="P725"/>
      <c r="Q725"/>
      <c r="R725"/>
      <c r="S725"/>
      <c r="T725"/>
      <c r="U725"/>
      <c r="V725"/>
    </row>
    <row r="726" spans="1:22" x14ac:dyDescent="0.3">
      <c r="A726"/>
      <c r="B726"/>
      <c r="C726"/>
      <c r="D726"/>
      <c r="E726"/>
      <c r="F726"/>
      <c r="G726"/>
      <c r="H726"/>
      <c r="I726"/>
      <c r="J726"/>
      <c r="K726"/>
      <c r="L726"/>
      <c r="M726"/>
      <c r="N726"/>
      <c r="O726"/>
      <c r="P726"/>
      <c r="Q726"/>
      <c r="R726"/>
      <c r="S726"/>
      <c r="T726"/>
      <c r="U726"/>
      <c r="V726"/>
    </row>
    <row r="727" spans="1:22" x14ac:dyDescent="0.3">
      <c r="A727"/>
      <c r="B727"/>
      <c r="C727"/>
      <c r="D727"/>
      <c r="E727"/>
      <c r="F727"/>
      <c r="G727"/>
      <c r="H727"/>
      <c r="I727"/>
      <c r="J727"/>
      <c r="K727"/>
      <c r="L727"/>
      <c r="M727"/>
      <c r="N727"/>
      <c r="O727"/>
      <c r="P727"/>
      <c r="Q727"/>
      <c r="R727"/>
      <c r="S727"/>
      <c r="T727"/>
      <c r="U727"/>
      <c r="V727"/>
    </row>
    <row r="728" spans="1:22" x14ac:dyDescent="0.3">
      <c r="A728"/>
      <c r="B728"/>
      <c r="C728"/>
      <c r="D728"/>
      <c r="E728"/>
      <c r="F728"/>
      <c r="G728"/>
      <c r="H728"/>
      <c r="I728"/>
      <c r="J728"/>
      <c r="K728"/>
      <c r="L728"/>
      <c r="M728"/>
      <c r="N728"/>
      <c r="O728"/>
      <c r="P728"/>
      <c r="Q728"/>
      <c r="R728"/>
      <c r="S728"/>
      <c r="T728"/>
      <c r="U728"/>
      <c r="V728"/>
    </row>
    <row r="729" spans="1:22" x14ac:dyDescent="0.3">
      <c r="A729"/>
      <c r="B729"/>
      <c r="C729"/>
      <c r="D729"/>
      <c r="E729"/>
      <c r="F729"/>
      <c r="G729"/>
      <c r="H729"/>
      <c r="I729"/>
      <c r="J729"/>
      <c r="K729"/>
      <c r="L729"/>
      <c r="M729"/>
      <c r="N729"/>
      <c r="O729"/>
      <c r="P729"/>
      <c r="Q729"/>
      <c r="R729"/>
      <c r="S729"/>
      <c r="T729"/>
      <c r="U729"/>
      <c r="V729"/>
    </row>
    <row r="730" spans="1:22" x14ac:dyDescent="0.3">
      <c r="A730"/>
      <c r="B730"/>
      <c r="C730"/>
      <c r="D730"/>
      <c r="E730"/>
      <c r="F730"/>
      <c r="G730"/>
      <c r="H730"/>
      <c r="I730"/>
      <c r="J730"/>
      <c r="K730"/>
      <c r="L730"/>
      <c r="M730"/>
      <c r="N730"/>
      <c r="O730"/>
      <c r="P730"/>
      <c r="Q730"/>
      <c r="R730"/>
      <c r="S730"/>
      <c r="T730"/>
      <c r="U730"/>
      <c r="V730"/>
    </row>
    <row r="731" spans="1:22" x14ac:dyDescent="0.3">
      <c r="A731"/>
      <c r="B731"/>
      <c r="C731"/>
      <c r="D731"/>
      <c r="E731"/>
      <c r="F731"/>
      <c r="G731"/>
      <c r="H731"/>
      <c r="I731"/>
      <c r="J731"/>
      <c r="K731"/>
      <c r="L731"/>
      <c r="M731"/>
      <c r="N731"/>
      <c r="O731"/>
      <c r="P731"/>
      <c r="Q731"/>
      <c r="R731"/>
      <c r="S731"/>
      <c r="T731"/>
      <c r="U731"/>
      <c r="V731"/>
    </row>
    <row r="732" spans="1:22" x14ac:dyDescent="0.3">
      <c r="A732"/>
      <c r="B732"/>
      <c r="C732"/>
      <c r="D732"/>
      <c r="E732"/>
      <c r="F732"/>
      <c r="G732"/>
      <c r="H732"/>
      <c r="I732"/>
      <c r="J732"/>
      <c r="K732"/>
      <c r="L732"/>
      <c r="M732"/>
      <c r="N732"/>
      <c r="O732"/>
      <c r="P732"/>
      <c r="Q732"/>
      <c r="R732"/>
      <c r="S732"/>
      <c r="T732"/>
      <c r="U732"/>
      <c r="V732"/>
    </row>
    <row r="733" spans="1:22" x14ac:dyDescent="0.3">
      <c r="A733"/>
      <c r="B733"/>
      <c r="C733"/>
      <c r="D733"/>
      <c r="E733"/>
      <c r="F733"/>
      <c r="G733"/>
      <c r="H733"/>
      <c r="I733"/>
      <c r="J733"/>
      <c r="K733"/>
      <c r="L733"/>
      <c r="M733"/>
      <c r="N733"/>
      <c r="O733"/>
      <c r="P733"/>
      <c r="Q733"/>
      <c r="R733"/>
      <c r="S733"/>
      <c r="T733"/>
      <c r="U733"/>
      <c r="V733"/>
    </row>
    <row r="734" spans="1:22" x14ac:dyDescent="0.3">
      <c r="A734"/>
      <c r="B734"/>
      <c r="C734"/>
      <c r="D734"/>
      <c r="E734"/>
      <c r="F734"/>
      <c r="G734"/>
      <c r="H734"/>
      <c r="I734"/>
      <c r="J734"/>
      <c r="K734"/>
      <c r="L734"/>
      <c r="M734"/>
      <c r="N734"/>
      <c r="O734"/>
      <c r="P734"/>
      <c r="Q734"/>
      <c r="R734"/>
      <c r="S734"/>
      <c r="T734"/>
      <c r="U734"/>
      <c r="V734"/>
    </row>
    <row r="735" spans="1:22" x14ac:dyDescent="0.3">
      <c r="A735"/>
      <c r="B735"/>
      <c r="C735"/>
      <c r="D735"/>
      <c r="E735"/>
      <c r="F735"/>
      <c r="G735"/>
      <c r="H735"/>
      <c r="I735"/>
      <c r="J735"/>
      <c r="K735"/>
      <c r="L735"/>
      <c r="M735"/>
      <c r="N735"/>
      <c r="O735"/>
      <c r="P735"/>
      <c r="Q735"/>
      <c r="R735"/>
      <c r="S735"/>
      <c r="T735"/>
      <c r="U735"/>
      <c r="V735"/>
    </row>
    <row r="736" spans="1:22" x14ac:dyDescent="0.3">
      <c r="A736"/>
      <c r="B736"/>
      <c r="C736"/>
      <c r="D736"/>
      <c r="E736"/>
      <c r="F736"/>
      <c r="G736"/>
      <c r="H736"/>
      <c r="I736"/>
      <c r="J736"/>
      <c r="K736"/>
      <c r="L736"/>
      <c r="M736"/>
      <c r="N736"/>
      <c r="O736"/>
      <c r="P736"/>
      <c r="Q736"/>
      <c r="R736"/>
      <c r="S736"/>
      <c r="T736"/>
      <c r="U736"/>
      <c r="V736"/>
    </row>
    <row r="737" spans="1:22" x14ac:dyDescent="0.3">
      <c r="A737"/>
      <c r="B737"/>
      <c r="C737"/>
      <c r="D737"/>
      <c r="E737"/>
      <c r="F737"/>
      <c r="G737"/>
      <c r="H737"/>
      <c r="I737"/>
      <c r="J737"/>
      <c r="K737"/>
      <c r="L737"/>
      <c r="M737"/>
      <c r="N737"/>
      <c r="O737"/>
      <c r="P737"/>
      <c r="Q737"/>
      <c r="R737"/>
      <c r="S737"/>
      <c r="T737"/>
      <c r="U737"/>
      <c r="V737"/>
    </row>
    <row r="738" spans="1:22" x14ac:dyDescent="0.3">
      <c r="A738"/>
      <c r="B738"/>
      <c r="C738"/>
      <c r="D738"/>
      <c r="E738"/>
      <c r="F738"/>
      <c r="G738"/>
      <c r="H738"/>
      <c r="I738"/>
      <c r="J738"/>
      <c r="K738"/>
      <c r="L738"/>
      <c r="M738"/>
      <c r="N738"/>
      <c r="O738"/>
      <c r="P738"/>
      <c r="Q738"/>
      <c r="R738"/>
      <c r="S738"/>
      <c r="T738"/>
      <c r="U738"/>
      <c r="V738"/>
    </row>
    <row r="739" spans="1:22" x14ac:dyDescent="0.3">
      <c r="A739"/>
      <c r="B739"/>
      <c r="C739"/>
      <c r="D739"/>
      <c r="E739"/>
      <c r="F739"/>
      <c r="G739"/>
      <c r="H739"/>
      <c r="I739"/>
      <c r="J739"/>
      <c r="K739"/>
      <c r="L739"/>
      <c r="M739"/>
      <c r="N739"/>
      <c r="O739"/>
      <c r="P739"/>
      <c r="Q739"/>
      <c r="R739"/>
      <c r="S739"/>
      <c r="T739"/>
      <c r="U739"/>
      <c r="V739"/>
    </row>
    <row r="740" spans="1:22" x14ac:dyDescent="0.3">
      <c r="A740"/>
      <c r="B740"/>
      <c r="C740"/>
      <c r="D740"/>
      <c r="E740"/>
      <c r="F740"/>
      <c r="G740"/>
      <c r="H740"/>
      <c r="I740"/>
      <c r="J740"/>
      <c r="K740"/>
      <c r="L740"/>
      <c r="M740"/>
      <c r="N740"/>
      <c r="O740"/>
      <c r="P740"/>
      <c r="Q740"/>
      <c r="R740"/>
      <c r="S740"/>
      <c r="T740"/>
      <c r="U740"/>
      <c r="V740"/>
    </row>
    <row r="741" spans="1:22" x14ac:dyDescent="0.3">
      <c r="A741"/>
      <c r="B741"/>
      <c r="C741"/>
      <c r="D741"/>
      <c r="E741"/>
      <c r="F741"/>
      <c r="G741"/>
      <c r="H741"/>
      <c r="I741"/>
      <c r="J741"/>
      <c r="K741"/>
      <c r="L741"/>
      <c r="M741"/>
      <c r="N741"/>
      <c r="O741"/>
      <c r="P741"/>
      <c r="Q741"/>
      <c r="R741"/>
      <c r="S741"/>
      <c r="T741"/>
      <c r="U741"/>
      <c r="V741"/>
    </row>
    <row r="742" spans="1:22" x14ac:dyDescent="0.3">
      <c r="A742"/>
      <c r="B742"/>
      <c r="C742"/>
      <c r="D742"/>
      <c r="E742"/>
      <c r="F742"/>
      <c r="G742"/>
      <c r="H742"/>
      <c r="I742"/>
      <c r="J742"/>
      <c r="K742"/>
      <c r="L742"/>
      <c r="M742"/>
      <c r="N742"/>
      <c r="O742"/>
      <c r="P742"/>
      <c r="Q742"/>
      <c r="R742"/>
      <c r="S742"/>
      <c r="T742"/>
      <c r="U742"/>
      <c r="V742"/>
    </row>
    <row r="743" spans="1:22" x14ac:dyDescent="0.3">
      <c r="A743"/>
      <c r="B743"/>
      <c r="C743"/>
      <c r="D743"/>
      <c r="E743"/>
      <c r="F743"/>
      <c r="G743"/>
      <c r="H743"/>
      <c r="I743"/>
      <c r="J743"/>
      <c r="K743"/>
      <c r="L743"/>
      <c r="M743"/>
      <c r="N743"/>
      <c r="O743"/>
      <c r="P743"/>
      <c r="Q743"/>
      <c r="R743"/>
      <c r="S743"/>
      <c r="T743"/>
      <c r="U743"/>
      <c r="V743"/>
    </row>
    <row r="744" spans="1:22" x14ac:dyDescent="0.3">
      <c r="A744"/>
      <c r="B744"/>
      <c r="C744"/>
      <c r="D744"/>
      <c r="E744"/>
      <c r="F744"/>
      <c r="G744"/>
      <c r="H744"/>
      <c r="I744"/>
      <c r="J744"/>
      <c r="K744"/>
      <c r="L744"/>
      <c r="M744"/>
      <c r="N744"/>
      <c r="O744"/>
      <c r="P744"/>
      <c r="Q744"/>
      <c r="R744"/>
      <c r="S744"/>
      <c r="T744"/>
      <c r="U744"/>
      <c r="V744"/>
    </row>
    <row r="745" spans="1:22" x14ac:dyDescent="0.3">
      <c r="A745"/>
      <c r="B745"/>
      <c r="C745"/>
      <c r="D745"/>
      <c r="E745"/>
      <c r="F745"/>
      <c r="G745"/>
      <c r="H745"/>
      <c r="I745"/>
      <c r="J745"/>
      <c r="K745"/>
      <c r="L745"/>
      <c r="M745"/>
      <c r="N745"/>
      <c r="O745"/>
      <c r="P745"/>
      <c r="Q745"/>
      <c r="R745"/>
      <c r="S745"/>
      <c r="T745"/>
      <c r="U745"/>
      <c r="V745"/>
    </row>
    <row r="746" spans="1:22" x14ac:dyDescent="0.3">
      <c r="A746"/>
      <c r="B746"/>
      <c r="C746"/>
      <c r="D746"/>
      <c r="E746"/>
      <c r="F746"/>
      <c r="G746"/>
      <c r="H746"/>
      <c r="I746"/>
      <c r="J746"/>
      <c r="K746"/>
      <c r="L746"/>
      <c r="M746"/>
      <c r="N746"/>
      <c r="O746"/>
      <c r="P746"/>
      <c r="Q746"/>
      <c r="R746"/>
      <c r="S746"/>
      <c r="T746"/>
      <c r="U746"/>
      <c r="V746"/>
    </row>
    <row r="747" spans="1:22" x14ac:dyDescent="0.3">
      <c r="A747"/>
      <c r="B747"/>
      <c r="C747"/>
      <c r="D747"/>
      <c r="E747"/>
      <c r="F747"/>
      <c r="G747"/>
      <c r="H747"/>
      <c r="I747"/>
      <c r="J747"/>
      <c r="K747"/>
      <c r="L747"/>
      <c r="M747"/>
      <c r="N747"/>
      <c r="O747"/>
      <c r="P747"/>
      <c r="Q747"/>
      <c r="R747"/>
      <c r="S747"/>
      <c r="T747"/>
      <c r="U747"/>
      <c r="V747"/>
    </row>
    <row r="748" spans="1:22" x14ac:dyDescent="0.3">
      <c r="A748"/>
      <c r="B748"/>
      <c r="C748"/>
      <c r="D748"/>
      <c r="E748"/>
      <c r="F748"/>
      <c r="G748"/>
      <c r="H748"/>
      <c r="I748"/>
      <c r="J748"/>
      <c r="K748"/>
      <c r="L748"/>
      <c r="M748"/>
      <c r="N748"/>
      <c r="O748"/>
      <c r="P748"/>
      <c r="Q748"/>
      <c r="R748"/>
      <c r="S748"/>
      <c r="T748"/>
      <c r="U748"/>
      <c r="V748"/>
    </row>
    <row r="749" spans="1:22" x14ac:dyDescent="0.3">
      <c r="A749"/>
      <c r="B749"/>
      <c r="C749"/>
      <c r="D749"/>
      <c r="E749"/>
      <c r="F749"/>
      <c r="G749"/>
      <c r="H749"/>
      <c r="I749"/>
      <c r="J749"/>
      <c r="K749"/>
      <c r="L749"/>
      <c r="M749"/>
      <c r="N749"/>
      <c r="O749"/>
      <c r="P749"/>
      <c r="Q749"/>
      <c r="R749"/>
      <c r="S749"/>
      <c r="T749"/>
      <c r="U749"/>
      <c r="V749"/>
    </row>
    <row r="750" spans="1:22" x14ac:dyDescent="0.3">
      <c r="A750"/>
      <c r="B750"/>
      <c r="C750"/>
      <c r="D750"/>
      <c r="E750"/>
      <c r="F750"/>
      <c r="G750"/>
      <c r="H750"/>
      <c r="I750"/>
      <c r="J750"/>
      <c r="K750"/>
      <c r="L750"/>
      <c r="M750"/>
      <c r="N750"/>
      <c r="O750"/>
      <c r="P750"/>
      <c r="Q750"/>
      <c r="R750"/>
      <c r="S750"/>
      <c r="T750"/>
      <c r="U750"/>
      <c r="V750"/>
    </row>
    <row r="751" spans="1:22" x14ac:dyDescent="0.3">
      <c r="A751"/>
      <c r="B751"/>
      <c r="C751"/>
      <c r="D751"/>
      <c r="E751"/>
      <c r="F751"/>
      <c r="G751"/>
      <c r="H751"/>
      <c r="I751"/>
      <c r="J751"/>
      <c r="K751"/>
      <c r="L751"/>
      <c r="M751"/>
      <c r="N751"/>
      <c r="O751"/>
      <c r="P751"/>
      <c r="Q751"/>
      <c r="R751"/>
      <c r="S751"/>
      <c r="T751"/>
      <c r="U751"/>
      <c r="V751"/>
    </row>
    <row r="752" spans="1:22" x14ac:dyDescent="0.3">
      <c r="A752"/>
      <c r="B752"/>
      <c r="C752"/>
      <c r="D752"/>
      <c r="E752"/>
      <c r="F752"/>
      <c r="G752"/>
      <c r="H752"/>
      <c r="I752"/>
      <c r="J752"/>
      <c r="K752"/>
      <c r="L752"/>
      <c r="M752"/>
      <c r="N752"/>
      <c r="O752"/>
      <c r="P752"/>
      <c r="Q752"/>
      <c r="R752"/>
      <c r="S752"/>
      <c r="T752"/>
      <c r="U752"/>
      <c r="V752"/>
    </row>
    <row r="753" spans="1:22" x14ac:dyDescent="0.3">
      <c r="A753"/>
      <c r="B753"/>
      <c r="C753"/>
      <c r="D753"/>
      <c r="E753"/>
      <c r="F753"/>
      <c r="G753"/>
      <c r="H753"/>
      <c r="I753"/>
      <c r="J753"/>
      <c r="K753"/>
      <c r="L753"/>
      <c r="M753"/>
      <c r="N753"/>
      <c r="O753"/>
      <c r="P753"/>
      <c r="Q753"/>
      <c r="R753"/>
      <c r="S753"/>
      <c r="T753"/>
      <c r="U753"/>
      <c r="V753"/>
    </row>
    <row r="754" spans="1:22" x14ac:dyDescent="0.3">
      <c r="A754"/>
      <c r="B754"/>
      <c r="C754"/>
      <c r="D754"/>
      <c r="E754"/>
      <c r="F754"/>
      <c r="G754"/>
      <c r="H754"/>
      <c r="I754"/>
      <c r="J754"/>
      <c r="K754"/>
      <c r="L754"/>
      <c r="M754"/>
      <c r="N754"/>
      <c r="O754"/>
      <c r="P754"/>
      <c r="Q754"/>
      <c r="R754"/>
      <c r="S754"/>
      <c r="T754"/>
      <c r="U754"/>
      <c r="V754"/>
    </row>
    <row r="755" spans="1:22" x14ac:dyDescent="0.3">
      <c r="A755"/>
      <c r="B755"/>
      <c r="C755"/>
      <c r="D755"/>
      <c r="E755"/>
      <c r="F755"/>
      <c r="G755"/>
      <c r="H755"/>
      <c r="I755"/>
      <c r="J755"/>
      <c r="K755"/>
      <c r="L755"/>
      <c r="M755"/>
      <c r="N755"/>
      <c r="O755"/>
      <c r="P755"/>
      <c r="Q755"/>
      <c r="R755"/>
      <c r="S755"/>
      <c r="T755"/>
      <c r="U755"/>
      <c r="V755"/>
    </row>
    <row r="756" spans="1:22" x14ac:dyDescent="0.3">
      <c r="A756"/>
      <c r="B756"/>
      <c r="C756"/>
      <c r="D756"/>
      <c r="E756"/>
      <c r="F756"/>
      <c r="G756"/>
      <c r="H756"/>
      <c r="I756"/>
      <c r="J756"/>
      <c r="K756"/>
      <c r="L756"/>
      <c r="M756"/>
      <c r="N756"/>
      <c r="O756"/>
      <c r="P756"/>
      <c r="Q756"/>
      <c r="R756"/>
      <c r="S756"/>
      <c r="T756"/>
      <c r="U756"/>
      <c r="V756"/>
    </row>
    <row r="757" spans="1:22" x14ac:dyDescent="0.3">
      <c r="A757"/>
      <c r="B757"/>
      <c r="C757"/>
      <c r="D757"/>
      <c r="E757"/>
      <c r="F757"/>
      <c r="G757"/>
      <c r="H757"/>
      <c r="I757"/>
      <c r="J757"/>
      <c r="K757"/>
      <c r="L757"/>
      <c r="M757"/>
      <c r="N757"/>
      <c r="O757"/>
      <c r="P757"/>
      <c r="Q757"/>
      <c r="R757"/>
      <c r="S757"/>
      <c r="T757"/>
      <c r="U757"/>
      <c r="V757"/>
    </row>
    <row r="758" spans="1:22" x14ac:dyDescent="0.3">
      <c r="A758"/>
      <c r="B758"/>
      <c r="C758"/>
      <c r="D758"/>
      <c r="E758"/>
      <c r="F758"/>
      <c r="G758"/>
      <c r="H758"/>
      <c r="I758"/>
      <c r="J758"/>
      <c r="K758"/>
      <c r="L758"/>
      <c r="M758"/>
      <c r="N758"/>
      <c r="O758"/>
      <c r="P758"/>
      <c r="Q758"/>
      <c r="R758"/>
      <c r="S758"/>
      <c r="T758"/>
      <c r="U758"/>
      <c r="V758"/>
    </row>
    <row r="759" spans="1:22" x14ac:dyDescent="0.3">
      <c r="A759"/>
      <c r="B759"/>
      <c r="C759"/>
      <c r="D759"/>
      <c r="E759"/>
      <c r="F759"/>
      <c r="G759"/>
      <c r="H759"/>
      <c r="I759"/>
      <c r="J759"/>
      <c r="K759"/>
      <c r="L759"/>
      <c r="M759"/>
      <c r="N759"/>
      <c r="O759"/>
      <c r="P759"/>
      <c r="Q759"/>
      <c r="R759"/>
      <c r="S759"/>
      <c r="T759"/>
      <c r="U759"/>
      <c r="V759"/>
    </row>
    <row r="760" spans="1:22" x14ac:dyDescent="0.3">
      <c r="A760"/>
      <c r="B760"/>
      <c r="C760"/>
      <c r="D760"/>
      <c r="E760"/>
      <c r="F760"/>
      <c r="G760"/>
      <c r="H760"/>
      <c r="I760"/>
      <c r="J760"/>
      <c r="K760"/>
      <c r="L760"/>
      <c r="M760"/>
      <c r="N760"/>
      <c r="O760"/>
      <c r="P760"/>
      <c r="Q760"/>
      <c r="R760"/>
      <c r="S760"/>
      <c r="T760"/>
      <c r="U760"/>
      <c r="V760"/>
    </row>
    <row r="761" spans="1:22" x14ac:dyDescent="0.3">
      <c r="A761"/>
      <c r="B761"/>
      <c r="C761"/>
      <c r="D761"/>
      <c r="E761"/>
      <c r="F761"/>
      <c r="G761"/>
      <c r="H761"/>
      <c r="I761"/>
      <c r="J761"/>
      <c r="K761"/>
      <c r="L761"/>
      <c r="M761"/>
      <c r="N761"/>
      <c r="O761"/>
      <c r="P761"/>
      <c r="Q761"/>
      <c r="R761"/>
      <c r="S761"/>
      <c r="T761"/>
      <c r="U761"/>
      <c r="V761"/>
    </row>
    <row r="762" spans="1:22" x14ac:dyDescent="0.3">
      <c r="A762"/>
      <c r="B762"/>
      <c r="C762"/>
      <c r="D762"/>
      <c r="E762"/>
      <c r="F762"/>
      <c r="G762"/>
      <c r="H762"/>
      <c r="I762"/>
      <c r="J762"/>
      <c r="K762"/>
      <c r="L762"/>
      <c r="M762"/>
      <c r="N762"/>
      <c r="O762"/>
      <c r="P762"/>
      <c r="Q762"/>
      <c r="R762"/>
      <c r="S762"/>
      <c r="T762"/>
      <c r="U762"/>
      <c r="V762"/>
    </row>
    <row r="763" spans="1:22" x14ac:dyDescent="0.3">
      <c r="A763"/>
      <c r="B763"/>
      <c r="C763"/>
      <c r="D763"/>
      <c r="E763"/>
      <c r="F763"/>
      <c r="G763"/>
      <c r="H763"/>
      <c r="I763"/>
      <c r="J763"/>
      <c r="K763"/>
      <c r="L763"/>
      <c r="M763"/>
      <c r="N763"/>
      <c r="O763"/>
      <c r="P763"/>
      <c r="Q763"/>
      <c r="R763"/>
      <c r="S763"/>
      <c r="T763"/>
      <c r="U763"/>
      <c r="V763"/>
    </row>
    <row r="764" spans="1:22" x14ac:dyDescent="0.3">
      <c r="A764"/>
      <c r="B764"/>
      <c r="C764"/>
      <c r="D764"/>
      <c r="E764"/>
      <c r="F764"/>
      <c r="G764"/>
      <c r="H764"/>
      <c r="I764"/>
      <c r="J764"/>
      <c r="K764"/>
      <c r="L764"/>
      <c r="M764"/>
      <c r="N764"/>
      <c r="O764"/>
      <c r="P764"/>
      <c r="Q764"/>
      <c r="R764"/>
      <c r="S764"/>
      <c r="T764"/>
      <c r="U764"/>
      <c r="V764"/>
    </row>
    <row r="765" spans="1:22" x14ac:dyDescent="0.3">
      <c r="A765"/>
      <c r="B765"/>
      <c r="C765"/>
      <c r="D765"/>
      <c r="E765"/>
      <c r="F765"/>
      <c r="G765"/>
      <c r="H765"/>
      <c r="I765"/>
      <c r="J765"/>
      <c r="K765"/>
      <c r="L765"/>
      <c r="M765"/>
      <c r="N765"/>
      <c r="O765"/>
      <c r="P765"/>
      <c r="Q765"/>
      <c r="R765"/>
      <c r="S765"/>
      <c r="T765"/>
      <c r="U765"/>
      <c r="V765"/>
    </row>
    <row r="766" spans="1:22" x14ac:dyDescent="0.3">
      <c r="A766"/>
      <c r="B766"/>
      <c r="C766"/>
      <c r="D766"/>
      <c r="E766"/>
      <c r="F766"/>
      <c r="G766"/>
      <c r="H766"/>
      <c r="I766"/>
      <c r="J766"/>
      <c r="K766"/>
      <c r="L766"/>
      <c r="M766"/>
      <c r="N766"/>
      <c r="O766"/>
      <c r="P766"/>
      <c r="Q766"/>
      <c r="R766"/>
      <c r="S766"/>
      <c r="T766"/>
      <c r="U766"/>
      <c r="V766"/>
    </row>
    <row r="767" spans="1:22" x14ac:dyDescent="0.3">
      <c r="A767"/>
      <c r="B767"/>
      <c r="C767"/>
      <c r="D767"/>
      <c r="E767"/>
      <c r="F767"/>
      <c r="G767"/>
      <c r="H767"/>
      <c r="I767"/>
      <c r="J767"/>
      <c r="K767"/>
      <c r="L767"/>
      <c r="M767"/>
      <c r="N767"/>
      <c r="O767"/>
      <c r="P767"/>
      <c r="Q767"/>
      <c r="R767"/>
      <c r="S767"/>
      <c r="T767"/>
      <c r="U767"/>
      <c r="V767"/>
    </row>
    <row r="768" spans="1:22" x14ac:dyDescent="0.3">
      <c r="A768"/>
      <c r="B768"/>
      <c r="C768"/>
      <c r="D768"/>
      <c r="E768"/>
      <c r="F768"/>
      <c r="G768"/>
      <c r="H768"/>
      <c r="I768"/>
      <c r="J768"/>
      <c r="K768"/>
      <c r="L768"/>
      <c r="M768"/>
      <c r="N768"/>
      <c r="O768"/>
      <c r="P768"/>
      <c r="Q768"/>
      <c r="R768"/>
      <c r="S768"/>
      <c r="T768"/>
      <c r="U768"/>
      <c r="V768"/>
    </row>
    <row r="769" spans="1:22" x14ac:dyDescent="0.3">
      <c r="A769"/>
      <c r="B769"/>
      <c r="C769"/>
      <c r="D769"/>
      <c r="E769"/>
      <c r="F769"/>
      <c r="G769"/>
      <c r="H769"/>
      <c r="I769"/>
      <c r="J769"/>
      <c r="K769"/>
      <c r="L769"/>
      <c r="M769"/>
      <c r="N769"/>
      <c r="O769"/>
      <c r="P769"/>
      <c r="Q769"/>
      <c r="R769"/>
      <c r="S769"/>
      <c r="T769"/>
      <c r="U769"/>
      <c r="V769"/>
    </row>
    <row r="770" spans="1:22" x14ac:dyDescent="0.3">
      <c r="A770"/>
      <c r="B770"/>
      <c r="C770"/>
      <c r="D770"/>
      <c r="E770"/>
      <c r="F770"/>
      <c r="G770"/>
      <c r="H770"/>
      <c r="I770"/>
      <c r="J770"/>
      <c r="K770"/>
      <c r="L770"/>
      <c r="M770"/>
      <c r="N770"/>
      <c r="O770"/>
      <c r="P770"/>
      <c r="Q770"/>
      <c r="R770"/>
      <c r="S770"/>
      <c r="T770"/>
      <c r="U770"/>
      <c r="V770"/>
    </row>
    <row r="771" spans="1:22" x14ac:dyDescent="0.3">
      <c r="A771"/>
      <c r="B771"/>
      <c r="C771"/>
      <c r="D771"/>
      <c r="E771"/>
      <c r="F771"/>
      <c r="G771"/>
      <c r="H771"/>
      <c r="I771"/>
      <c r="J771"/>
      <c r="K771"/>
      <c r="L771"/>
      <c r="M771"/>
      <c r="N771"/>
      <c r="O771"/>
      <c r="P771"/>
      <c r="Q771"/>
      <c r="R771"/>
      <c r="S771"/>
      <c r="T771"/>
      <c r="U771"/>
      <c r="V771"/>
    </row>
    <row r="772" spans="1:22" x14ac:dyDescent="0.3">
      <c r="A772"/>
      <c r="B772"/>
      <c r="C772"/>
      <c r="D772"/>
      <c r="E772"/>
      <c r="F772"/>
      <c r="G772"/>
      <c r="H772"/>
      <c r="I772"/>
      <c r="J772"/>
      <c r="K772"/>
      <c r="L772"/>
      <c r="M772"/>
      <c r="N772"/>
      <c r="O772"/>
      <c r="P772"/>
      <c r="Q772"/>
      <c r="R772"/>
      <c r="S772"/>
      <c r="T772"/>
      <c r="U772"/>
      <c r="V772"/>
    </row>
    <row r="773" spans="1:22" x14ac:dyDescent="0.3">
      <c r="A773"/>
      <c r="B773"/>
      <c r="C773"/>
      <c r="D773"/>
      <c r="E773"/>
      <c r="F773"/>
      <c r="G773"/>
      <c r="H773"/>
      <c r="I773"/>
      <c r="J773"/>
      <c r="K773"/>
      <c r="L773"/>
      <c r="M773"/>
      <c r="N773"/>
      <c r="O773"/>
      <c r="P773"/>
      <c r="Q773"/>
      <c r="R773"/>
      <c r="S773"/>
      <c r="T773"/>
      <c r="U773"/>
      <c r="V773"/>
    </row>
    <row r="774" spans="1:22" x14ac:dyDescent="0.3">
      <c r="A774"/>
      <c r="B774"/>
      <c r="C774"/>
      <c r="D774"/>
      <c r="E774"/>
      <c r="F774"/>
      <c r="G774"/>
      <c r="H774"/>
      <c r="I774"/>
      <c r="J774"/>
      <c r="K774"/>
      <c r="L774"/>
      <c r="M774"/>
      <c r="N774"/>
      <c r="O774"/>
      <c r="P774"/>
      <c r="Q774"/>
      <c r="R774"/>
      <c r="S774"/>
      <c r="T774"/>
      <c r="U774"/>
      <c r="V774"/>
    </row>
    <row r="775" spans="1:22" x14ac:dyDescent="0.3">
      <c r="A775"/>
      <c r="B775"/>
      <c r="C775"/>
      <c r="D775"/>
      <c r="E775"/>
      <c r="F775"/>
      <c r="G775"/>
      <c r="H775"/>
      <c r="I775"/>
      <c r="J775"/>
      <c r="K775"/>
      <c r="L775"/>
      <c r="M775"/>
      <c r="N775"/>
      <c r="O775"/>
      <c r="P775"/>
      <c r="Q775"/>
      <c r="R775"/>
      <c r="S775"/>
      <c r="T775"/>
      <c r="U775"/>
      <c r="V775"/>
    </row>
    <row r="776" spans="1:22" x14ac:dyDescent="0.3">
      <c r="A776"/>
      <c r="B776"/>
      <c r="C776"/>
      <c r="D776"/>
      <c r="E776"/>
      <c r="F776"/>
      <c r="G776"/>
      <c r="H776"/>
      <c r="I776"/>
      <c r="J776"/>
      <c r="K776"/>
      <c r="L776"/>
      <c r="M776"/>
      <c r="N776"/>
      <c r="O776"/>
      <c r="P776"/>
      <c r="Q776"/>
      <c r="R776"/>
      <c r="S776"/>
      <c r="T776"/>
      <c r="U776"/>
      <c r="V776"/>
    </row>
    <row r="777" spans="1:22" x14ac:dyDescent="0.3">
      <c r="A777"/>
      <c r="B777"/>
      <c r="C777"/>
      <c r="D777"/>
      <c r="E777"/>
      <c r="F777"/>
      <c r="G777"/>
      <c r="H777"/>
      <c r="I777"/>
      <c r="J777"/>
      <c r="K777"/>
      <c r="L777"/>
      <c r="M777"/>
      <c r="N777"/>
      <c r="O777"/>
      <c r="P777"/>
      <c r="Q777"/>
      <c r="R777"/>
      <c r="S777"/>
      <c r="T777"/>
      <c r="U777"/>
      <c r="V777"/>
    </row>
    <row r="778" spans="1:22" x14ac:dyDescent="0.3">
      <c r="A778"/>
      <c r="B778"/>
      <c r="C778"/>
      <c r="D778"/>
      <c r="E778"/>
      <c r="F778"/>
      <c r="G778"/>
      <c r="H778"/>
      <c r="I778"/>
      <c r="J778"/>
      <c r="K778"/>
      <c r="L778"/>
      <c r="M778"/>
      <c r="N778"/>
      <c r="O778"/>
      <c r="P778"/>
      <c r="Q778"/>
      <c r="R778"/>
      <c r="S778"/>
      <c r="T778"/>
      <c r="U778"/>
      <c r="V778"/>
    </row>
    <row r="779" spans="1:22" x14ac:dyDescent="0.3">
      <c r="A779"/>
      <c r="B779"/>
      <c r="C779"/>
      <c r="D779"/>
      <c r="E779"/>
      <c r="F779"/>
      <c r="G779"/>
      <c r="H779"/>
      <c r="I779"/>
      <c r="J779"/>
      <c r="K779"/>
      <c r="L779"/>
      <c r="M779"/>
      <c r="N779"/>
      <c r="O779"/>
      <c r="P779"/>
      <c r="Q779"/>
      <c r="R779"/>
      <c r="S779"/>
      <c r="T779"/>
      <c r="U779"/>
      <c r="V779"/>
    </row>
    <row r="780" spans="1:22" x14ac:dyDescent="0.3">
      <c r="A780"/>
      <c r="B780"/>
      <c r="C780"/>
      <c r="D780"/>
      <c r="E780"/>
      <c r="F780"/>
      <c r="G780"/>
      <c r="H780"/>
      <c r="I780"/>
      <c r="J780"/>
      <c r="K780"/>
      <c r="L780"/>
      <c r="M780"/>
      <c r="N780"/>
      <c r="O780"/>
      <c r="P780"/>
      <c r="Q780"/>
      <c r="R780"/>
      <c r="S780"/>
      <c r="T780"/>
      <c r="U780"/>
      <c r="V780"/>
    </row>
    <row r="781" spans="1:22" x14ac:dyDescent="0.3">
      <c r="A781"/>
      <c r="B781"/>
      <c r="C781"/>
      <c r="D781"/>
      <c r="E781"/>
      <c r="F781"/>
      <c r="G781"/>
      <c r="H781"/>
      <c r="I781"/>
      <c r="J781"/>
      <c r="K781"/>
      <c r="L781"/>
      <c r="M781"/>
      <c r="N781"/>
      <c r="O781"/>
      <c r="P781"/>
      <c r="Q781"/>
      <c r="R781"/>
      <c r="S781"/>
      <c r="T781"/>
      <c r="U781"/>
      <c r="V781"/>
    </row>
    <row r="782" spans="1:22" x14ac:dyDescent="0.3">
      <c r="A782"/>
      <c r="B782"/>
      <c r="C782"/>
      <c r="D782"/>
      <c r="E782"/>
      <c r="F782"/>
      <c r="G782"/>
      <c r="H782"/>
      <c r="I782"/>
      <c r="J782"/>
      <c r="K782"/>
      <c r="L782"/>
      <c r="M782"/>
      <c r="N782"/>
      <c r="O782"/>
      <c r="P782"/>
      <c r="Q782"/>
      <c r="R782"/>
      <c r="S782"/>
      <c r="T782"/>
      <c r="U782"/>
      <c r="V782"/>
    </row>
    <row r="783" spans="1:22" x14ac:dyDescent="0.3">
      <c r="A783"/>
      <c r="B783"/>
      <c r="C783"/>
      <c r="D783"/>
      <c r="E783"/>
      <c r="F783"/>
      <c r="G783"/>
      <c r="H783"/>
      <c r="I783"/>
      <c r="J783"/>
      <c r="K783"/>
      <c r="L783"/>
      <c r="M783"/>
      <c r="N783"/>
      <c r="O783"/>
      <c r="P783"/>
      <c r="Q783"/>
      <c r="R783"/>
      <c r="S783"/>
      <c r="T783"/>
      <c r="U783"/>
      <c r="V783"/>
    </row>
    <row r="784" spans="1:22" x14ac:dyDescent="0.3">
      <c r="A784"/>
      <c r="B784"/>
      <c r="C784"/>
      <c r="D784"/>
      <c r="E784"/>
      <c r="F784"/>
      <c r="G784"/>
      <c r="H784"/>
      <c r="I784"/>
      <c r="J784"/>
      <c r="K784"/>
      <c r="L784"/>
      <c r="M784"/>
      <c r="N784"/>
      <c r="O784"/>
      <c r="P784"/>
      <c r="Q784"/>
      <c r="R784"/>
      <c r="S784"/>
      <c r="T784"/>
      <c r="U784"/>
      <c r="V784"/>
    </row>
    <row r="785" spans="1:22" x14ac:dyDescent="0.3">
      <c r="A785"/>
      <c r="B785"/>
      <c r="C785"/>
      <c r="D785"/>
      <c r="E785"/>
      <c r="F785"/>
      <c r="G785"/>
      <c r="H785"/>
      <c r="I785"/>
      <c r="J785"/>
      <c r="K785"/>
      <c r="L785"/>
      <c r="M785"/>
      <c r="N785"/>
      <c r="O785"/>
      <c r="P785"/>
      <c r="Q785"/>
      <c r="R785"/>
      <c r="S785"/>
      <c r="T785"/>
      <c r="U785"/>
      <c r="V785"/>
    </row>
    <row r="786" spans="1:22" x14ac:dyDescent="0.3">
      <c r="A786"/>
      <c r="B786"/>
      <c r="C786"/>
      <c r="D786"/>
      <c r="E786"/>
      <c r="F786"/>
      <c r="G786"/>
      <c r="H786"/>
      <c r="I786"/>
      <c r="J786"/>
      <c r="K786"/>
      <c r="L786"/>
      <c r="M786"/>
      <c r="N786"/>
      <c r="O786"/>
      <c r="P786"/>
      <c r="Q786"/>
      <c r="R786"/>
      <c r="S786"/>
      <c r="T786"/>
      <c r="U786"/>
      <c r="V786"/>
    </row>
    <row r="787" spans="1:22" x14ac:dyDescent="0.3">
      <c r="A787"/>
      <c r="B787"/>
      <c r="C787"/>
      <c r="D787"/>
      <c r="E787"/>
      <c r="F787"/>
      <c r="G787"/>
      <c r="H787"/>
      <c r="I787"/>
      <c r="J787"/>
      <c r="K787"/>
      <c r="L787"/>
      <c r="M787"/>
      <c r="N787"/>
      <c r="O787"/>
      <c r="P787"/>
      <c r="Q787"/>
      <c r="R787"/>
      <c r="S787"/>
      <c r="T787"/>
      <c r="U787"/>
      <c r="V787"/>
    </row>
    <row r="788" spans="1:22" x14ac:dyDescent="0.3">
      <c r="A788"/>
      <c r="B788"/>
      <c r="C788"/>
      <c r="D788"/>
      <c r="E788"/>
      <c r="F788"/>
      <c r="G788"/>
      <c r="H788"/>
      <c r="I788"/>
      <c r="J788"/>
      <c r="K788"/>
      <c r="L788"/>
      <c r="M788"/>
      <c r="N788"/>
      <c r="O788"/>
      <c r="P788"/>
      <c r="Q788"/>
      <c r="R788"/>
      <c r="S788"/>
      <c r="T788"/>
      <c r="U788"/>
      <c r="V788"/>
    </row>
    <row r="789" spans="1:22" x14ac:dyDescent="0.3">
      <c r="A789"/>
      <c r="B789"/>
      <c r="C789"/>
      <c r="D789"/>
      <c r="E789"/>
      <c r="F789"/>
      <c r="G789"/>
      <c r="H789"/>
      <c r="I789"/>
      <c r="J789"/>
      <c r="K789"/>
      <c r="L789"/>
      <c r="M789"/>
      <c r="N789"/>
      <c r="O789"/>
      <c r="P789"/>
      <c r="Q789"/>
      <c r="R789"/>
      <c r="S789"/>
      <c r="T789"/>
      <c r="U789"/>
      <c r="V789"/>
    </row>
    <row r="790" spans="1:22" x14ac:dyDescent="0.3">
      <c r="A790"/>
      <c r="B790"/>
      <c r="C790"/>
      <c r="D790"/>
      <c r="E790"/>
      <c r="F790"/>
      <c r="G790"/>
      <c r="H790"/>
      <c r="I790"/>
      <c r="J790"/>
      <c r="K790"/>
      <c r="L790"/>
      <c r="M790"/>
      <c r="N790"/>
      <c r="O790"/>
      <c r="P790"/>
      <c r="Q790"/>
      <c r="R790"/>
      <c r="S790"/>
      <c r="T790"/>
      <c r="U790"/>
      <c r="V790"/>
    </row>
    <row r="791" spans="1:22" x14ac:dyDescent="0.3">
      <c r="A791"/>
      <c r="B791"/>
      <c r="C791"/>
      <c r="D791"/>
      <c r="E791"/>
      <c r="F791"/>
      <c r="G791"/>
      <c r="H791"/>
      <c r="I791"/>
      <c r="J791"/>
      <c r="K791"/>
      <c r="L791"/>
      <c r="M791"/>
      <c r="N791"/>
      <c r="O791"/>
      <c r="P791"/>
      <c r="Q791"/>
      <c r="R791"/>
      <c r="S791"/>
      <c r="T791"/>
      <c r="U791"/>
      <c r="V791"/>
    </row>
    <row r="792" spans="1:22" x14ac:dyDescent="0.3">
      <c r="A792"/>
      <c r="B792"/>
      <c r="C792"/>
      <c r="D792"/>
      <c r="E792"/>
      <c r="F792"/>
      <c r="G792"/>
      <c r="H792"/>
      <c r="I792"/>
      <c r="J792"/>
      <c r="K792"/>
      <c r="L792"/>
      <c r="M792"/>
      <c r="N792"/>
      <c r="O792"/>
      <c r="P792"/>
      <c r="Q792"/>
      <c r="R792"/>
      <c r="S792"/>
      <c r="T792"/>
      <c r="U792"/>
      <c r="V792"/>
    </row>
    <row r="793" spans="1:22" x14ac:dyDescent="0.3">
      <c r="A793"/>
      <c r="B793"/>
      <c r="C793"/>
      <c r="D793"/>
      <c r="E793"/>
      <c r="F793"/>
      <c r="G793"/>
      <c r="H793"/>
      <c r="I793"/>
      <c r="J793"/>
      <c r="K793"/>
      <c r="L793"/>
      <c r="M793"/>
      <c r="N793"/>
      <c r="O793"/>
      <c r="P793"/>
      <c r="Q793"/>
      <c r="R793"/>
      <c r="S793"/>
      <c r="T793"/>
      <c r="U793"/>
      <c r="V793"/>
    </row>
    <row r="794" spans="1:22" x14ac:dyDescent="0.3">
      <c r="A794"/>
      <c r="B794"/>
      <c r="C794"/>
      <c r="D794"/>
      <c r="E794"/>
      <c r="F794"/>
      <c r="G794"/>
      <c r="H794"/>
      <c r="I794"/>
      <c r="J794"/>
      <c r="K794"/>
      <c r="L794"/>
      <c r="M794"/>
      <c r="N794"/>
      <c r="O794"/>
      <c r="P794"/>
      <c r="Q794"/>
      <c r="R794"/>
      <c r="S794"/>
      <c r="T794"/>
      <c r="U794"/>
      <c r="V794"/>
    </row>
    <row r="795" spans="1:22" x14ac:dyDescent="0.3">
      <c r="A795"/>
      <c r="B795"/>
      <c r="C795"/>
      <c r="D795"/>
      <c r="E795"/>
      <c r="F795"/>
      <c r="G795"/>
      <c r="H795"/>
      <c r="I795"/>
      <c r="J795"/>
      <c r="K795"/>
      <c r="L795"/>
      <c r="M795"/>
      <c r="N795"/>
      <c r="O795"/>
      <c r="P795"/>
      <c r="Q795"/>
      <c r="R795"/>
      <c r="S795"/>
      <c r="T795"/>
      <c r="U795"/>
      <c r="V795"/>
    </row>
    <row r="796" spans="1:22" x14ac:dyDescent="0.3">
      <c r="A796"/>
      <c r="B796"/>
      <c r="C796"/>
      <c r="D796"/>
      <c r="E796"/>
      <c r="F796"/>
      <c r="G796"/>
      <c r="H796"/>
      <c r="I796"/>
      <c r="J796"/>
      <c r="K796"/>
      <c r="L796"/>
      <c r="M796"/>
      <c r="N796"/>
      <c r="O796"/>
      <c r="P796"/>
      <c r="Q796"/>
      <c r="R796"/>
      <c r="S796"/>
      <c r="T796"/>
      <c r="U796"/>
      <c r="V796"/>
    </row>
    <row r="797" spans="1:22" x14ac:dyDescent="0.3">
      <c r="A797"/>
      <c r="B797"/>
      <c r="C797"/>
      <c r="D797"/>
      <c r="E797"/>
      <c r="F797"/>
      <c r="G797"/>
      <c r="H797"/>
      <c r="I797"/>
      <c r="J797"/>
      <c r="K797"/>
      <c r="L797"/>
      <c r="M797"/>
      <c r="N797"/>
      <c r="O797"/>
      <c r="P797"/>
      <c r="Q797"/>
      <c r="R797"/>
      <c r="S797"/>
      <c r="T797"/>
      <c r="U797"/>
      <c r="V797"/>
    </row>
    <row r="798" spans="1:22" x14ac:dyDescent="0.3">
      <c r="A798"/>
      <c r="B798"/>
      <c r="C798"/>
      <c r="D798"/>
      <c r="E798"/>
      <c r="F798"/>
      <c r="G798"/>
      <c r="H798"/>
      <c r="I798"/>
      <c r="J798"/>
      <c r="K798"/>
      <c r="L798"/>
      <c r="M798"/>
      <c r="N798"/>
      <c r="O798"/>
      <c r="P798"/>
      <c r="Q798"/>
      <c r="R798"/>
      <c r="S798"/>
      <c r="T798"/>
      <c r="U798"/>
      <c r="V798"/>
    </row>
    <row r="799" spans="1:22" x14ac:dyDescent="0.3">
      <c r="A799"/>
      <c r="B799"/>
      <c r="C799"/>
      <c r="D799"/>
      <c r="E799"/>
      <c r="F799"/>
      <c r="G799"/>
      <c r="H799"/>
      <c r="I799"/>
      <c r="J799"/>
      <c r="K799"/>
      <c r="L799"/>
      <c r="M799"/>
      <c r="N799"/>
      <c r="O799"/>
      <c r="P799"/>
      <c r="Q799"/>
      <c r="R799"/>
      <c r="S799"/>
      <c r="T799"/>
      <c r="U799"/>
      <c r="V799"/>
    </row>
    <row r="800" spans="1:22" x14ac:dyDescent="0.3">
      <c r="A800"/>
      <c r="B800"/>
      <c r="C800"/>
      <c r="D800"/>
      <c r="E800"/>
      <c r="F800"/>
      <c r="G800"/>
      <c r="H800"/>
      <c r="I800"/>
      <c r="J800"/>
      <c r="K800"/>
      <c r="L800"/>
      <c r="M800"/>
      <c r="N800"/>
      <c r="O800"/>
      <c r="P800"/>
      <c r="Q800"/>
      <c r="R800"/>
      <c r="S800"/>
      <c r="T800"/>
      <c r="U800"/>
      <c r="V800"/>
    </row>
    <row r="801" spans="1:22" x14ac:dyDescent="0.3">
      <c r="A801"/>
      <c r="B801"/>
      <c r="C801"/>
      <c r="D801"/>
      <c r="E801"/>
      <c r="F801"/>
      <c r="G801"/>
      <c r="H801"/>
      <c r="I801"/>
      <c r="J801"/>
      <c r="K801"/>
      <c r="L801"/>
      <c r="M801"/>
      <c r="N801"/>
      <c r="O801"/>
      <c r="P801"/>
      <c r="Q801"/>
      <c r="R801"/>
      <c r="S801"/>
      <c r="T801"/>
      <c r="U801"/>
      <c r="V801"/>
    </row>
    <row r="802" spans="1:22" x14ac:dyDescent="0.3">
      <c r="A802"/>
      <c r="B802"/>
      <c r="C802"/>
      <c r="D802"/>
      <c r="E802"/>
      <c r="F802"/>
      <c r="G802"/>
      <c r="H802"/>
      <c r="I802"/>
      <c r="J802"/>
      <c r="K802"/>
      <c r="L802"/>
      <c r="M802"/>
      <c r="N802"/>
      <c r="O802"/>
      <c r="P802"/>
      <c r="Q802"/>
      <c r="R802"/>
      <c r="S802"/>
      <c r="T802"/>
      <c r="U802"/>
      <c r="V802"/>
    </row>
    <row r="803" spans="1:22" x14ac:dyDescent="0.3">
      <c r="A803"/>
      <c r="B803"/>
      <c r="C803"/>
      <c r="D803"/>
      <c r="E803"/>
      <c r="F803"/>
      <c r="G803"/>
      <c r="H803"/>
      <c r="I803"/>
      <c r="J803"/>
      <c r="K803"/>
      <c r="L803"/>
      <c r="M803"/>
      <c r="N803"/>
      <c r="O803"/>
      <c r="P803"/>
      <c r="Q803"/>
      <c r="R803"/>
      <c r="S803"/>
      <c r="T803"/>
      <c r="U803"/>
      <c r="V803"/>
    </row>
    <row r="804" spans="1:22" x14ac:dyDescent="0.3">
      <c r="A804"/>
      <c r="B804"/>
      <c r="C804"/>
      <c r="D804"/>
      <c r="E804"/>
      <c r="F804"/>
      <c r="G804"/>
      <c r="H804"/>
      <c r="I804"/>
      <c r="J804"/>
      <c r="K804"/>
      <c r="L804"/>
      <c r="M804"/>
      <c r="N804"/>
      <c r="O804"/>
      <c r="P804"/>
      <c r="Q804"/>
      <c r="R804"/>
      <c r="S804"/>
      <c r="T804"/>
      <c r="U804"/>
      <c r="V804"/>
    </row>
    <row r="805" spans="1:22" x14ac:dyDescent="0.3">
      <c r="A805"/>
      <c r="B805"/>
      <c r="C805"/>
      <c r="D805"/>
      <c r="E805"/>
      <c r="F805"/>
      <c r="G805"/>
      <c r="H805"/>
      <c r="I805"/>
      <c r="J805"/>
      <c r="K805"/>
      <c r="L805"/>
      <c r="M805"/>
      <c r="N805"/>
      <c r="O805"/>
      <c r="P805"/>
      <c r="Q805"/>
      <c r="R805"/>
      <c r="S805"/>
      <c r="T805"/>
      <c r="U805"/>
      <c r="V805"/>
    </row>
    <row r="806" spans="1:22" x14ac:dyDescent="0.3">
      <c r="A806"/>
      <c r="B806"/>
      <c r="C806"/>
      <c r="D806"/>
      <c r="E806"/>
      <c r="F806"/>
      <c r="G806"/>
      <c r="H806"/>
      <c r="I806"/>
      <c r="J806"/>
      <c r="K806"/>
      <c r="L806"/>
      <c r="M806"/>
      <c r="N806"/>
      <c r="O806"/>
      <c r="P806"/>
      <c r="Q806"/>
      <c r="R806"/>
      <c r="S806"/>
      <c r="T806"/>
      <c r="U806"/>
      <c r="V806"/>
    </row>
    <row r="807" spans="1:22" x14ac:dyDescent="0.3">
      <c r="A807"/>
      <c r="B807"/>
      <c r="C807"/>
      <c r="D807"/>
      <c r="E807"/>
      <c r="F807"/>
      <c r="G807"/>
      <c r="H807"/>
      <c r="I807"/>
      <c r="J807"/>
      <c r="K807"/>
      <c r="L807"/>
      <c r="M807"/>
      <c r="N807"/>
      <c r="O807"/>
      <c r="P807"/>
      <c r="Q807"/>
      <c r="R807"/>
      <c r="S807"/>
      <c r="T807"/>
      <c r="U807"/>
      <c r="V807"/>
    </row>
    <row r="808" spans="1:22" x14ac:dyDescent="0.3">
      <c r="A808"/>
      <c r="B808"/>
      <c r="C808"/>
      <c r="D808"/>
      <c r="E808"/>
      <c r="F808"/>
      <c r="G808"/>
      <c r="H808"/>
      <c r="I808"/>
      <c r="J808"/>
      <c r="K808"/>
      <c r="L808"/>
      <c r="M808"/>
      <c r="N808"/>
      <c r="O808"/>
      <c r="P808"/>
      <c r="Q808"/>
      <c r="R808"/>
      <c r="S808"/>
      <c r="T808"/>
      <c r="U808"/>
      <c r="V808"/>
    </row>
    <row r="809" spans="1:22" x14ac:dyDescent="0.3">
      <c r="A809"/>
      <c r="B809"/>
      <c r="C809"/>
      <c r="D809"/>
      <c r="E809"/>
      <c r="F809"/>
      <c r="G809"/>
      <c r="H809"/>
      <c r="I809"/>
      <c r="J809"/>
      <c r="K809"/>
      <c r="L809"/>
      <c r="M809"/>
      <c r="N809"/>
      <c r="O809"/>
      <c r="P809"/>
      <c r="Q809"/>
      <c r="R809"/>
      <c r="S809"/>
      <c r="T809"/>
      <c r="U809"/>
      <c r="V809"/>
    </row>
    <row r="810" spans="1:22" x14ac:dyDescent="0.3">
      <c r="A810"/>
      <c r="B810"/>
      <c r="C810"/>
      <c r="D810"/>
      <c r="E810"/>
      <c r="F810"/>
      <c r="G810"/>
      <c r="H810"/>
      <c r="I810"/>
      <c r="J810"/>
      <c r="K810"/>
      <c r="L810"/>
      <c r="M810"/>
      <c r="N810"/>
      <c r="O810"/>
      <c r="P810"/>
      <c r="Q810"/>
      <c r="R810"/>
      <c r="S810"/>
      <c r="T810"/>
      <c r="U810"/>
      <c r="V810"/>
    </row>
    <row r="811" spans="1:22" x14ac:dyDescent="0.3">
      <c r="A811"/>
      <c r="B811"/>
      <c r="C811"/>
      <c r="D811"/>
      <c r="E811"/>
      <c r="F811"/>
      <c r="G811"/>
      <c r="H811"/>
      <c r="I811"/>
      <c r="J811"/>
      <c r="K811"/>
      <c r="L811"/>
      <c r="M811"/>
      <c r="N811"/>
      <c r="O811"/>
      <c r="P811"/>
      <c r="Q811"/>
      <c r="R811"/>
      <c r="S811"/>
      <c r="T811"/>
      <c r="U811"/>
      <c r="V811"/>
    </row>
    <row r="812" spans="1:22" x14ac:dyDescent="0.3">
      <c r="A812"/>
      <c r="B812"/>
      <c r="C812"/>
      <c r="D812"/>
      <c r="E812"/>
      <c r="F812"/>
      <c r="G812"/>
      <c r="H812"/>
      <c r="I812"/>
      <c r="J812"/>
      <c r="K812"/>
      <c r="L812"/>
      <c r="M812"/>
      <c r="N812"/>
      <c r="O812"/>
      <c r="P812"/>
      <c r="Q812"/>
      <c r="R812"/>
      <c r="S812"/>
      <c r="T812"/>
      <c r="U812"/>
      <c r="V812"/>
    </row>
    <row r="813" spans="1:22" x14ac:dyDescent="0.3">
      <c r="A813"/>
      <c r="B813"/>
      <c r="C813"/>
      <c r="D813"/>
      <c r="E813"/>
      <c r="F813"/>
      <c r="G813"/>
      <c r="H813"/>
      <c r="I813"/>
      <c r="J813"/>
      <c r="K813"/>
      <c r="L813"/>
      <c r="M813"/>
      <c r="N813"/>
      <c r="O813"/>
      <c r="P813"/>
      <c r="Q813"/>
      <c r="R813"/>
      <c r="S813"/>
      <c r="T813"/>
      <c r="U813"/>
      <c r="V813"/>
    </row>
    <row r="814" spans="1:22" x14ac:dyDescent="0.3">
      <c r="A814"/>
      <c r="B814"/>
      <c r="C814"/>
      <c r="D814"/>
      <c r="E814"/>
      <c r="F814"/>
      <c r="G814"/>
      <c r="H814"/>
      <c r="I814"/>
      <c r="J814"/>
      <c r="K814"/>
      <c r="L814"/>
      <c r="M814"/>
      <c r="N814"/>
      <c r="O814"/>
      <c r="P814"/>
      <c r="Q814"/>
      <c r="R814"/>
      <c r="S814"/>
      <c r="T814"/>
      <c r="U814"/>
      <c r="V814"/>
    </row>
    <row r="815" spans="1:22" x14ac:dyDescent="0.3">
      <c r="A815"/>
      <c r="B815"/>
      <c r="C815"/>
      <c r="D815"/>
      <c r="E815"/>
      <c r="F815"/>
      <c r="G815"/>
      <c r="H815"/>
      <c r="I815"/>
      <c r="J815"/>
      <c r="K815"/>
      <c r="L815"/>
      <c r="M815"/>
      <c r="N815"/>
      <c r="O815"/>
      <c r="P815"/>
      <c r="Q815"/>
      <c r="R815"/>
      <c r="S815"/>
      <c r="T815"/>
      <c r="U815"/>
      <c r="V815"/>
    </row>
    <row r="816" spans="1:22" x14ac:dyDescent="0.3">
      <c r="A816"/>
      <c r="B816"/>
      <c r="C816"/>
      <c r="D816"/>
      <c r="E816"/>
      <c r="F816"/>
      <c r="G816"/>
      <c r="H816"/>
      <c r="I816"/>
      <c r="J816"/>
      <c r="K816"/>
      <c r="L816"/>
      <c r="M816"/>
      <c r="N816"/>
      <c r="O816"/>
      <c r="P816"/>
      <c r="Q816"/>
      <c r="R816"/>
      <c r="S816"/>
      <c r="T816"/>
      <c r="U816"/>
      <c r="V816"/>
    </row>
    <row r="817" spans="1:22" x14ac:dyDescent="0.3">
      <c r="A817"/>
      <c r="B817"/>
      <c r="C817"/>
      <c r="D817"/>
      <c r="E817"/>
      <c r="F817"/>
      <c r="G817"/>
      <c r="H817"/>
      <c r="I817"/>
      <c r="J817"/>
      <c r="K817"/>
      <c r="L817"/>
      <c r="M817"/>
      <c r="N817"/>
      <c r="O817"/>
      <c r="P817"/>
      <c r="Q817"/>
      <c r="R817"/>
      <c r="S817"/>
      <c r="T817"/>
      <c r="U817"/>
      <c r="V817"/>
    </row>
    <row r="818" spans="1:22" x14ac:dyDescent="0.3">
      <c r="A818"/>
      <c r="B818"/>
      <c r="C818"/>
      <c r="D818"/>
      <c r="E818"/>
      <c r="F818"/>
      <c r="G818"/>
      <c r="H818"/>
      <c r="I818"/>
      <c r="J818"/>
      <c r="K818"/>
      <c r="L818"/>
      <c r="M818"/>
      <c r="N818"/>
      <c r="O818"/>
      <c r="P818"/>
      <c r="Q818"/>
      <c r="R818"/>
      <c r="S818"/>
      <c r="T818"/>
      <c r="U818"/>
      <c r="V818"/>
    </row>
    <row r="819" spans="1:22" x14ac:dyDescent="0.3">
      <c r="A819"/>
      <c r="B819"/>
      <c r="C819"/>
      <c r="D819"/>
      <c r="E819"/>
      <c r="F819"/>
      <c r="G819"/>
      <c r="H819"/>
      <c r="I819"/>
      <c r="J819"/>
      <c r="K819"/>
      <c r="L819"/>
      <c r="M819"/>
      <c r="N819"/>
      <c r="O819"/>
      <c r="P819"/>
      <c r="Q819"/>
      <c r="R819"/>
      <c r="S819"/>
      <c r="T819"/>
      <c r="U819"/>
      <c r="V819"/>
    </row>
    <row r="820" spans="1:22" x14ac:dyDescent="0.3">
      <c r="A820"/>
      <c r="B820"/>
      <c r="C820"/>
      <c r="D820"/>
      <c r="E820"/>
      <c r="F820"/>
      <c r="G820"/>
      <c r="H820"/>
      <c r="I820"/>
      <c r="J820"/>
      <c r="K820"/>
      <c r="L820"/>
      <c r="M820"/>
      <c r="N820"/>
      <c r="O820"/>
      <c r="P820"/>
      <c r="Q820"/>
      <c r="R820"/>
      <c r="S820"/>
      <c r="T820"/>
      <c r="U820"/>
      <c r="V820"/>
    </row>
    <row r="821" spans="1:22" x14ac:dyDescent="0.3">
      <c r="A821"/>
      <c r="B821"/>
      <c r="C821"/>
      <c r="D821"/>
      <c r="E821"/>
      <c r="F821"/>
      <c r="G821"/>
      <c r="H821"/>
      <c r="I821"/>
      <c r="J821"/>
      <c r="K821"/>
      <c r="L821"/>
      <c r="M821"/>
      <c r="N821"/>
      <c r="O821"/>
      <c r="P821"/>
      <c r="Q821"/>
      <c r="R821"/>
      <c r="S821"/>
      <c r="T821"/>
      <c r="U821"/>
      <c r="V821"/>
    </row>
    <row r="822" spans="1:22" x14ac:dyDescent="0.3">
      <c r="A822"/>
      <c r="B822"/>
      <c r="C822"/>
      <c r="D822"/>
      <c r="E822"/>
      <c r="F822"/>
      <c r="G822"/>
      <c r="H822"/>
      <c r="I822"/>
      <c r="J822"/>
      <c r="K822"/>
      <c r="L822"/>
      <c r="M822"/>
      <c r="N822"/>
      <c r="O822"/>
      <c r="P822"/>
      <c r="Q822"/>
      <c r="R822"/>
      <c r="S822"/>
      <c r="T822"/>
      <c r="U822"/>
      <c r="V822"/>
    </row>
    <row r="823" spans="1:22" x14ac:dyDescent="0.3">
      <c r="A823"/>
      <c r="B823"/>
      <c r="C823"/>
      <c r="D823"/>
      <c r="E823"/>
      <c r="F823"/>
      <c r="G823"/>
      <c r="H823"/>
      <c r="I823"/>
      <c r="J823"/>
      <c r="K823"/>
      <c r="L823"/>
      <c r="M823"/>
      <c r="N823"/>
      <c r="O823"/>
      <c r="P823"/>
      <c r="Q823"/>
      <c r="R823"/>
      <c r="S823"/>
      <c r="T823"/>
      <c r="U823"/>
      <c r="V823"/>
    </row>
    <row r="824" spans="1:22" x14ac:dyDescent="0.3">
      <c r="A824"/>
      <c r="B824"/>
      <c r="C824"/>
      <c r="D824"/>
      <c r="E824"/>
      <c r="F824"/>
      <c r="G824"/>
      <c r="H824"/>
      <c r="I824"/>
      <c r="J824"/>
      <c r="K824"/>
      <c r="L824"/>
      <c r="M824"/>
      <c r="N824"/>
      <c r="O824"/>
      <c r="P824"/>
      <c r="Q824"/>
      <c r="R824"/>
      <c r="S824"/>
      <c r="T824"/>
      <c r="U824"/>
      <c r="V824"/>
    </row>
    <row r="825" spans="1:22" x14ac:dyDescent="0.3">
      <c r="A825"/>
      <c r="B825"/>
      <c r="C825"/>
      <c r="D825"/>
      <c r="E825"/>
      <c r="F825"/>
      <c r="G825"/>
      <c r="H825"/>
      <c r="I825"/>
      <c r="J825"/>
      <c r="K825"/>
      <c r="L825"/>
      <c r="M825"/>
      <c r="N825"/>
      <c r="O825"/>
      <c r="P825"/>
      <c r="Q825"/>
      <c r="R825"/>
      <c r="S825"/>
      <c r="T825"/>
      <c r="U825"/>
      <c r="V825"/>
    </row>
    <row r="826" spans="1:22" x14ac:dyDescent="0.3">
      <c r="A826"/>
      <c r="B826"/>
      <c r="C826"/>
      <c r="D826"/>
      <c r="E826"/>
      <c r="F826"/>
      <c r="G826"/>
      <c r="H826"/>
      <c r="I826"/>
      <c r="J826"/>
      <c r="K826"/>
      <c r="L826"/>
      <c r="M826"/>
      <c r="N826"/>
      <c r="O826"/>
      <c r="P826"/>
      <c r="Q826"/>
      <c r="R826"/>
      <c r="S826"/>
      <c r="T826"/>
      <c r="U826"/>
      <c r="V826"/>
    </row>
    <row r="827" spans="1:22" x14ac:dyDescent="0.3">
      <c r="A827"/>
      <c r="B827"/>
      <c r="C827"/>
      <c r="D827"/>
      <c r="E827"/>
      <c r="F827"/>
      <c r="G827"/>
      <c r="H827"/>
      <c r="I827"/>
      <c r="J827"/>
      <c r="K827"/>
      <c r="L827"/>
      <c r="M827"/>
      <c r="N827"/>
      <c r="O827"/>
      <c r="P827"/>
      <c r="Q827"/>
      <c r="R827"/>
      <c r="S827"/>
      <c r="T827"/>
      <c r="U827"/>
      <c r="V827"/>
    </row>
    <row r="828" spans="1:22" x14ac:dyDescent="0.3">
      <c r="A828"/>
      <c r="B828"/>
      <c r="C828"/>
      <c r="D828"/>
      <c r="E828"/>
      <c r="F828"/>
      <c r="G828"/>
      <c r="H828"/>
      <c r="I828"/>
      <c r="J828"/>
      <c r="K828"/>
      <c r="L828"/>
      <c r="M828"/>
      <c r="N828"/>
      <c r="O828"/>
      <c r="P828"/>
      <c r="Q828"/>
      <c r="R828"/>
      <c r="S828"/>
      <c r="T828"/>
      <c r="U828"/>
      <c r="V828"/>
    </row>
    <row r="829" spans="1:22" x14ac:dyDescent="0.3">
      <c r="A829"/>
      <c r="B829"/>
      <c r="C829"/>
      <c r="D829"/>
      <c r="E829"/>
      <c r="F829"/>
      <c r="G829"/>
      <c r="H829"/>
      <c r="I829"/>
      <c r="J829"/>
      <c r="K829"/>
      <c r="L829"/>
      <c r="M829"/>
      <c r="N829"/>
      <c r="O829"/>
      <c r="P829"/>
      <c r="Q829"/>
      <c r="R829"/>
      <c r="S829"/>
      <c r="T829"/>
      <c r="U829"/>
      <c r="V829"/>
    </row>
    <row r="830" spans="1:22" x14ac:dyDescent="0.3">
      <c r="A830"/>
      <c r="B830"/>
      <c r="C830"/>
      <c r="D830"/>
      <c r="E830"/>
      <c r="F830"/>
      <c r="G830"/>
      <c r="H830"/>
      <c r="I830"/>
      <c r="J830"/>
      <c r="K830"/>
      <c r="L830"/>
      <c r="M830"/>
      <c r="N830"/>
      <c r="O830"/>
      <c r="P830"/>
      <c r="Q830"/>
      <c r="R830"/>
      <c r="S830"/>
      <c r="T830"/>
      <c r="U830"/>
      <c r="V830"/>
    </row>
    <row r="831" spans="1:22" x14ac:dyDescent="0.3">
      <c r="A831"/>
      <c r="B831"/>
      <c r="C831"/>
      <c r="D831"/>
      <c r="E831"/>
      <c r="F831"/>
      <c r="G831"/>
      <c r="H831"/>
      <c r="I831"/>
      <c r="J831"/>
      <c r="K831"/>
      <c r="L831"/>
      <c r="M831"/>
      <c r="N831"/>
      <c r="O831"/>
      <c r="P831"/>
      <c r="Q831"/>
      <c r="R831"/>
      <c r="S831"/>
      <c r="T831"/>
      <c r="U831"/>
      <c r="V831"/>
    </row>
    <row r="832" spans="1:22" x14ac:dyDescent="0.3">
      <c r="A832"/>
      <c r="B832"/>
      <c r="C832"/>
      <c r="D832"/>
      <c r="E832"/>
      <c r="F832"/>
      <c r="G832"/>
      <c r="H832"/>
      <c r="I832"/>
      <c r="J832"/>
      <c r="K832"/>
      <c r="L832"/>
      <c r="M832"/>
      <c r="N832"/>
      <c r="O832"/>
      <c r="P832"/>
      <c r="Q832"/>
      <c r="R832"/>
      <c r="S832"/>
      <c r="T832"/>
      <c r="U832"/>
      <c r="V832"/>
    </row>
    <row r="833" spans="1:22" x14ac:dyDescent="0.3">
      <c r="A833"/>
      <c r="B833"/>
      <c r="C833"/>
      <c r="D833"/>
      <c r="E833"/>
      <c r="F833"/>
      <c r="G833"/>
      <c r="H833"/>
      <c r="I833"/>
      <c r="J833"/>
      <c r="K833"/>
      <c r="L833"/>
      <c r="M833"/>
      <c r="N833"/>
      <c r="O833"/>
      <c r="P833"/>
      <c r="Q833"/>
      <c r="R833"/>
      <c r="S833"/>
      <c r="T833"/>
      <c r="U833"/>
      <c r="V833"/>
    </row>
    <row r="834" spans="1:22" x14ac:dyDescent="0.3">
      <c r="A834"/>
      <c r="B834"/>
      <c r="C834"/>
      <c r="D834"/>
      <c r="E834"/>
      <c r="F834"/>
      <c r="G834"/>
      <c r="H834"/>
      <c r="I834"/>
      <c r="J834"/>
      <c r="K834"/>
      <c r="L834"/>
      <c r="M834"/>
      <c r="N834"/>
      <c r="O834"/>
      <c r="P834"/>
      <c r="Q834"/>
      <c r="R834"/>
      <c r="S834"/>
      <c r="T834"/>
      <c r="U834"/>
      <c r="V834"/>
    </row>
    <row r="835" spans="1:22" x14ac:dyDescent="0.3">
      <c r="A835"/>
      <c r="B835"/>
      <c r="C835"/>
      <c r="D835"/>
      <c r="E835"/>
      <c r="F835"/>
      <c r="G835"/>
      <c r="H835"/>
      <c r="I835"/>
      <c r="J835"/>
      <c r="K835"/>
      <c r="L835"/>
      <c r="M835"/>
      <c r="N835"/>
      <c r="O835"/>
      <c r="P835"/>
      <c r="Q835"/>
      <c r="R835"/>
      <c r="S835"/>
      <c r="T835"/>
      <c r="U835"/>
      <c r="V835"/>
    </row>
    <row r="836" spans="1:22" x14ac:dyDescent="0.3">
      <c r="A836"/>
      <c r="B836"/>
      <c r="C836"/>
      <c r="D836"/>
      <c r="E836"/>
      <c r="F836"/>
      <c r="G836"/>
      <c r="H836"/>
      <c r="I836"/>
      <c r="J836"/>
      <c r="K836"/>
      <c r="L836"/>
      <c r="M836"/>
      <c r="N836"/>
      <c r="O836"/>
      <c r="P836"/>
      <c r="Q836"/>
      <c r="R836"/>
      <c r="S836"/>
      <c r="T836"/>
      <c r="U836"/>
      <c r="V836"/>
    </row>
    <row r="837" spans="1:22" x14ac:dyDescent="0.3">
      <c r="A837"/>
      <c r="B837"/>
      <c r="C837"/>
      <c r="D837"/>
      <c r="E837"/>
      <c r="F837"/>
      <c r="G837"/>
      <c r="H837"/>
      <c r="I837"/>
      <c r="J837"/>
      <c r="K837"/>
      <c r="L837"/>
      <c r="M837"/>
      <c r="N837"/>
      <c r="O837"/>
      <c r="P837"/>
      <c r="Q837"/>
      <c r="R837"/>
      <c r="S837"/>
      <c r="T837"/>
      <c r="U837"/>
      <c r="V837"/>
    </row>
    <row r="838" spans="1:22" x14ac:dyDescent="0.3">
      <c r="A838"/>
      <c r="B838"/>
      <c r="C838"/>
      <c r="D838"/>
      <c r="E838"/>
      <c r="F838"/>
      <c r="G838"/>
      <c r="H838"/>
      <c r="I838"/>
      <c r="J838"/>
      <c r="K838"/>
      <c r="L838"/>
      <c r="M838"/>
      <c r="N838"/>
      <c r="O838"/>
      <c r="P838"/>
      <c r="Q838"/>
      <c r="R838"/>
      <c r="S838"/>
      <c r="T838"/>
      <c r="U838"/>
      <c r="V838"/>
    </row>
    <row r="839" spans="1:22" x14ac:dyDescent="0.3">
      <c r="A839"/>
      <c r="B839"/>
      <c r="C839"/>
      <c r="D839"/>
      <c r="E839"/>
      <c r="F839"/>
      <c r="G839"/>
      <c r="H839"/>
      <c r="I839"/>
      <c r="J839"/>
      <c r="K839"/>
      <c r="L839"/>
      <c r="M839"/>
      <c r="N839"/>
      <c r="O839"/>
      <c r="P839"/>
      <c r="Q839"/>
      <c r="R839"/>
      <c r="S839"/>
      <c r="T839"/>
      <c r="U839"/>
      <c r="V839"/>
    </row>
    <row r="840" spans="1:22" x14ac:dyDescent="0.3">
      <c r="A840"/>
      <c r="B840"/>
      <c r="C840"/>
      <c r="D840"/>
      <c r="E840"/>
      <c r="F840"/>
      <c r="G840"/>
      <c r="H840"/>
      <c r="I840"/>
      <c r="J840"/>
      <c r="K840"/>
      <c r="L840"/>
      <c r="M840"/>
      <c r="N840"/>
      <c r="O840"/>
      <c r="P840"/>
      <c r="Q840"/>
      <c r="R840"/>
      <c r="S840"/>
      <c r="T840"/>
      <c r="U840"/>
      <c r="V840"/>
    </row>
    <row r="841" spans="1:22" x14ac:dyDescent="0.3">
      <c r="A841"/>
      <c r="B841"/>
      <c r="C841"/>
      <c r="D841"/>
      <c r="E841"/>
      <c r="F841"/>
      <c r="G841"/>
      <c r="H841"/>
      <c r="I841"/>
      <c r="J841"/>
      <c r="K841"/>
      <c r="L841"/>
      <c r="M841"/>
      <c r="N841"/>
      <c r="O841"/>
      <c r="P841"/>
      <c r="Q841"/>
      <c r="R841"/>
      <c r="S841"/>
      <c r="T841"/>
      <c r="U841"/>
      <c r="V841"/>
    </row>
    <row r="842" spans="1:22" x14ac:dyDescent="0.3">
      <c r="A842"/>
      <c r="B842"/>
      <c r="C842"/>
      <c r="D842"/>
      <c r="E842"/>
      <c r="F842"/>
      <c r="G842"/>
      <c r="H842"/>
      <c r="I842"/>
      <c r="J842"/>
      <c r="K842"/>
      <c r="L842"/>
      <c r="M842"/>
      <c r="N842"/>
      <c r="O842"/>
      <c r="P842"/>
      <c r="Q842"/>
      <c r="R842"/>
      <c r="S842"/>
      <c r="T842"/>
      <c r="U842"/>
      <c r="V842"/>
    </row>
    <row r="843" spans="1:22" x14ac:dyDescent="0.3">
      <c r="A843"/>
      <c r="B843"/>
      <c r="C843"/>
      <c r="D843"/>
      <c r="E843"/>
      <c r="F843"/>
      <c r="G843"/>
      <c r="H843"/>
      <c r="I843"/>
      <c r="J843"/>
      <c r="K843"/>
      <c r="L843"/>
      <c r="M843"/>
      <c r="N843"/>
      <c r="O843"/>
      <c r="P843"/>
      <c r="Q843"/>
      <c r="R843"/>
      <c r="S843"/>
      <c r="T843"/>
      <c r="U843"/>
      <c r="V843"/>
    </row>
    <row r="844" spans="1:22" x14ac:dyDescent="0.3">
      <c r="A844"/>
      <c r="B844"/>
      <c r="C844"/>
      <c r="D844"/>
      <c r="E844"/>
      <c r="F844"/>
      <c r="G844"/>
      <c r="H844"/>
      <c r="I844"/>
      <c r="J844"/>
      <c r="K844"/>
      <c r="L844"/>
      <c r="M844"/>
      <c r="N844"/>
      <c r="O844"/>
      <c r="P844"/>
      <c r="Q844"/>
      <c r="R844"/>
      <c r="S844"/>
      <c r="T844"/>
      <c r="U844"/>
      <c r="V844"/>
    </row>
    <row r="845" spans="1:22" x14ac:dyDescent="0.3">
      <c r="A845"/>
      <c r="B845"/>
      <c r="C845"/>
      <c r="D845"/>
      <c r="E845"/>
      <c r="F845"/>
      <c r="G845"/>
      <c r="H845"/>
      <c r="I845"/>
      <c r="J845"/>
      <c r="K845"/>
      <c r="L845"/>
      <c r="M845"/>
      <c r="N845"/>
      <c r="O845"/>
      <c r="P845"/>
      <c r="Q845"/>
      <c r="R845"/>
      <c r="S845"/>
      <c r="T845"/>
      <c r="U845"/>
      <c r="V845"/>
    </row>
    <row r="846" spans="1:22" x14ac:dyDescent="0.3">
      <c r="A846"/>
      <c r="B846"/>
      <c r="C846"/>
      <c r="D846"/>
      <c r="E846"/>
      <c r="F846"/>
      <c r="G846"/>
      <c r="H846"/>
      <c r="I846"/>
      <c r="J846"/>
      <c r="K846"/>
      <c r="L846"/>
      <c r="M846"/>
      <c r="N846"/>
      <c r="O846"/>
      <c r="P846"/>
      <c r="Q846"/>
      <c r="R846"/>
      <c r="S846"/>
      <c r="T846"/>
      <c r="U846"/>
      <c r="V846"/>
    </row>
    <row r="847" spans="1:22" x14ac:dyDescent="0.3">
      <c r="A847"/>
      <c r="B847"/>
      <c r="C847"/>
      <c r="D847"/>
      <c r="E847"/>
      <c r="F847"/>
      <c r="G847"/>
      <c r="H847"/>
      <c r="I847"/>
      <c r="J847"/>
      <c r="K847"/>
      <c r="L847"/>
      <c r="M847"/>
      <c r="N847"/>
      <c r="O847"/>
      <c r="P847"/>
      <c r="Q847"/>
      <c r="R847"/>
      <c r="S847"/>
      <c r="T847"/>
      <c r="U847"/>
      <c r="V847"/>
    </row>
    <row r="848" spans="1:22" x14ac:dyDescent="0.3">
      <c r="A848"/>
      <c r="B848"/>
      <c r="C848"/>
      <c r="D848"/>
      <c r="E848"/>
      <c r="F848"/>
      <c r="G848"/>
      <c r="H848"/>
      <c r="I848"/>
      <c r="J848"/>
      <c r="K848"/>
      <c r="L848"/>
      <c r="M848"/>
      <c r="N848"/>
      <c r="O848"/>
      <c r="P848"/>
      <c r="Q848"/>
      <c r="R848"/>
      <c r="S848"/>
      <c r="T848"/>
      <c r="U848"/>
      <c r="V848"/>
    </row>
    <row r="849" spans="1:22" x14ac:dyDescent="0.3">
      <c r="A849"/>
      <c r="B849"/>
      <c r="C849"/>
      <c r="D849"/>
      <c r="E849"/>
      <c r="F849"/>
      <c r="G849"/>
      <c r="H849"/>
      <c r="I849"/>
      <c r="J849"/>
      <c r="K849"/>
      <c r="L849"/>
      <c r="M849"/>
      <c r="N849"/>
      <c r="O849"/>
      <c r="P849"/>
      <c r="Q849"/>
      <c r="R849"/>
      <c r="S849"/>
      <c r="T849"/>
      <c r="U849"/>
      <c r="V849"/>
    </row>
    <row r="850" spans="1:22" x14ac:dyDescent="0.3">
      <c r="A850"/>
      <c r="B850"/>
      <c r="C850"/>
      <c r="D850"/>
      <c r="E850"/>
      <c r="F850"/>
      <c r="G850"/>
      <c r="H850"/>
      <c r="I850"/>
      <c r="J850"/>
      <c r="K850"/>
      <c r="L850"/>
      <c r="M850"/>
      <c r="N850"/>
      <c r="O850"/>
      <c r="P850"/>
      <c r="Q850"/>
      <c r="R850"/>
      <c r="S850"/>
      <c r="T850"/>
      <c r="U850"/>
      <c r="V850"/>
    </row>
    <row r="851" spans="1:22" x14ac:dyDescent="0.3">
      <c r="A851"/>
      <c r="B851"/>
      <c r="C851"/>
      <c r="D851"/>
      <c r="E851"/>
      <c r="F851"/>
      <c r="G851"/>
      <c r="H851"/>
      <c r="I851"/>
      <c r="J851"/>
      <c r="K851"/>
      <c r="L851"/>
      <c r="M851"/>
      <c r="N851"/>
      <c r="O851"/>
      <c r="P851"/>
      <c r="Q851"/>
      <c r="R851"/>
      <c r="S851"/>
      <c r="T851"/>
      <c r="U851"/>
      <c r="V851"/>
    </row>
    <row r="852" spans="1:22" x14ac:dyDescent="0.3">
      <c r="A852"/>
      <c r="B852"/>
      <c r="C852"/>
      <c r="D852"/>
      <c r="E852"/>
      <c r="F852"/>
      <c r="G852"/>
      <c r="H852"/>
      <c r="I852"/>
      <c r="J852"/>
      <c r="K852"/>
      <c r="L852"/>
      <c r="M852"/>
      <c r="N852"/>
      <c r="O852"/>
      <c r="P852"/>
      <c r="Q852"/>
      <c r="R852"/>
      <c r="S852"/>
      <c r="T852"/>
      <c r="U852"/>
      <c r="V852"/>
    </row>
    <row r="853" spans="1:22" x14ac:dyDescent="0.3">
      <c r="A853"/>
      <c r="B853"/>
      <c r="C853"/>
      <c r="D853"/>
      <c r="E853"/>
      <c r="F853"/>
      <c r="G853"/>
      <c r="H853"/>
      <c r="I853"/>
      <c r="J853"/>
      <c r="K853"/>
      <c r="L853"/>
      <c r="M853"/>
      <c r="N853"/>
      <c r="O853"/>
      <c r="P853"/>
      <c r="Q853"/>
      <c r="R853"/>
      <c r="S853"/>
      <c r="T853"/>
      <c r="U853"/>
      <c r="V853"/>
    </row>
    <row r="854" spans="1:22" x14ac:dyDescent="0.3">
      <c r="A854"/>
      <c r="B854"/>
      <c r="C854"/>
      <c r="D854"/>
      <c r="E854"/>
      <c r="F854"/>
      <c r="G854"/>
      <c r="H854"/>
      <c r="I854"/>
      <c r="J854"/>
      <c r="K854"/>
      <c r="L854"/>
      <c r="M854"/>
      <c r="N854"/>
      <c r="O854"/>
      <c r="P854"/>
      <c r="Q854"/>
      <c r="R854"/>
      <c r="S854"/>
      <c r="T854"/>
      <c r="U854"/>
      <c r="V854"/>
    </row>
    <row r="855" spans="1:22" x14ac:dyDescent="0.3">
      <c r="A855"/>
      <c r="B855"/>
      <c r="C855"/>
      <c r="D855"/>
      <c r="E855"/>
      <c r="F855"/>
      <c r="G855"/>
      <c r="H855"/>
      <c r="I855"/>
      <c r="J855"/>
      <c r="K855"/>
      <c r="L855"/>
      <c r="M855"/>
      <c r="N855"/>
      <c r="O855"/>
      <c r="P855"/>
      <c r="Q855"/>
      <c r="R855"/>
      <c r="S855"/>
      <c r="T855"/>
      <c r="U855"/>
      <c r="V855"/>
    </row>
    <row r="856" spans="1:22" x14ac:dyDescent="0.3">
      <c r="A856"/>
      <c r="B856"/>
      <c r="C856"/>
      <c r="D856"/>
      <c r="E856"/>
      <c r="F856"/>
      <c r="G856"/>
      <c r="H856"/>
      <c r="I856"/>
      <c r="J856"/>
      <c r="K856"/>
      <c r="L856"/>
      <c r="M856"/>
      <c r="N856"/>
      <c r="O856"/>
      <c r="P856"/>
      <c r="Q856"/>
      <c r="R856"/>
      <c r="S856"/>
      <c r="T856"/>
      <c r="U856"/>
      <c r="V856"/>
    </row>
    <row r="857" spans="1:22" x14ac:dyDescent="0.3">
      <c r="A857"/>
      <c r="B857"/>
      <c r="C857"/>
      <c r="D857"/>
      <c r="E857"/>
      <c r="F857"/>
      <c r="G857"/>
      <c r="H857"/>
      <c r="I857"/>
      <c r="J857"/>
      <c r="K857"/>
      <c r="L857"/>
      <c r="M857"/>
      <c r="N857"/>
      <c r="O857"/>
      <c r="P857"/>
      <c r="Q857"/>
      <c r="R857"/>
      <c r="S857"/>
      <c r="T857"/>
      <c r="U857"/>
      <c r="V857"/>
    </row>
    <row r="858" spans="1:22" x14ac:dyDescent="0.3">
      <c r="A858"/>
      <c r="B858"/>
      <c r="C858"/>
      <c r="D858"/>
      <c r="E858"/>
      <c r="F858"/>
      <c r="G858"/>
      <c r="H858"/>
      <c r="I858"/>
      <c r="J858"/>
      <c r="K858"/>
      <c r="L858"/>
      <c r="M858"/>
      <c r="N858"/>
      <c r="O858"/>
      <c r="P858"/>
      <c r="Q858"/>
      <c r="R858"/>
      <c r="S858"/>
      <c r="T858"/>
      <c r="U858"/>
      <c r="V858"/>
    </row>
    <row r="859" spans="1:22" x14ac:dyDescent="0.3">
      <c r="A859"/>
      <c r="B859"/>
      <c r="C859"/>
      <c r="D859"/>
      <c r="E859"/>
      <c r="F859"/>
      <c r="G859"/>
      <c r="H859"/>
      <c r="I859"/>
      <c r="J859"/>
      <c r="K859"/>
      <c r="L859"/>
      <c r="M859"/>
      <c r="N859"/>
      <c r="O859"/>
      <c r="P859"/>
      <c r="Q859"/>
      <c r="R859"/>
      <c r="S859"/>
      <c r="T859"/>
      <c r="U859"/>
      <c r="V859"/>
    </row>
    <row r="860" spans="1:22" x14ac:dyDescent="0.3">
      <c r="A860"/>
      <c r="B860"/>
      <c r="C860"/>
      <c r="D860"/>
      <c r="E860"/>
      <c r="F860"/>
      <c r="G860"/>
      <c r="H860"/>
      <c r="I860"/>
      <c r="J860"/>
      <c r="K860"/>
      <c r="L860"/>
      <c r="M860"/>
      <c r="N860"/>
      <c r="O860"/>
      <c r="P860"/>
      <c r="Q860"/>
      <c r="R860"/>
      <c r="S860"/>
      <c r="T860"/>
      <c r="U860"/>
      <c r="V860"/>
    </row>
    <row r="861" spans="1:22" x14ac:dyDescent="0.3">
      <c r="A861"/>
      <c r="B861"/>
      <c r="C861"/>
      <c r="D861"/>
      <c r="E861"/>
      <c r="F861"/>
      <c r="G861"/>
      <c r="H861"/>
      <c r="I861"/>
      <c r="J861"/>
      <c r="K861"/>
      <c r="L861"/>
      <c r="M861"/>
      <c r="N861"/>
      <c r="O861"/>
      <c r="P861"/>
      <c r="Q861"/>
      <c r="R861"/>
      <c r="S861"/>
      <c r="T861"/>
      <c r="U861"/>
      <c r="V861"/>
    </row>
    <row r="862" spans="1:22" x14ac:dyDescent="0.3">
      <c r="A862"/>
      <c r="B862"/>
      <c r="C862"/>
      <c r="D862"/>
      <c r="E862"/>
      <c r="F862"/>
      <c r="G862"/>
      <c r="H862"/>
      <c r="I862"/>
      <c r="J862"/>
      <c r="K862"/>
      <c r="L862"/>
      <c r="M862"/>
      <c r="N862"/>
      <c r="O862"/>
      <c r="P862"/>
      <c r="Q862"/>
      <c r="R862"/>
      <c r="S862"/>
      <c r="T862"/>
      <c r="U862"/>
      <c r="V862"/>
    </row>
    <row r="863" spans="1:22" x14ac:dyDescent="0.3">
      <c r="A863"/>
      <c r="B863"/>
      <c r="C863"/>
      <c r="D863"/>
      <c r="E863"/>
      <c r="F863"/>
      <c r="G863"/>
      <c r="H863"/>
      <c r="I863"/>
      <c r="J863"/>
      <c r="K863"/>
      <c r="L863"/>
      <c r="M863"/>
      <c r="N863"/>
      <c r="O863"/>
      <c r="P863"/>
      <c r="Q863"/>
      <c r="R863"/>
      <c r="S863"/>
      <c r="T863"/>
      <c r="U863"/>
      <c r="V863"/>
    </row>
    <row r="864" spans="1:22" x14ac:dyDescent="0.3">
      <c r="A864"/>
      <c r="B864"/>
      <c r="C864"/>
      <c r="D864"/>
      <c r="E864"/>
      <c r="F864"/>
      <c r="G864"/>
      <c r="H864"/>
      <c r="I864"/>
      <c r="J864"/>
      <c r="K864"/>
      <c r="L864"/>
      <c r="M864"/>
      <c r="N864"/>
      <c r="O864"/>
      <c r="P864"/>
      <c r="Q864"/>
      <c r="R864"/>
      <c r="S864"/>
      <c r="T864"/>
      <c r="U864"/>
      <c r="V864"/>
    </row>
    <row r="865" spans="1:22" x14ac:dyDescent="0.3">
      <c r="A865"/>
      <c r="B865"/>
      <c r="C865"/>
      <c r="D865"/>
      <c r="E865"/>
      <c r="F865"/>
      <c r="G865"/>
      <c r="H865"/>
      <c r="I865"/>
      <c r="J865"/>
      <c r="K865"/>
      <c r="L865"/>
      <c r="M865"/>
      <c r="N865"/>
      <c r="O865"/>
      <c r="P865"/>
      <c r="Q865"/>
      <c r="R865"/>
      <c r="S865"/>
      <c r="T865"/>
      <c r="U865"/>
      <c r="V865"/>
    </row>
    <row r="866" spans="1:22" x14ac:dyDescent="0.3">
      <c r="A866"/>
      <c r="B866"/>
      <c r="C866"/>
      <c r="D866"/>
      <c r="E866"/>
      <c r="F866"/>
      <c r="G866"/>
      <c r="H866"/>
      <c r="I866"/>
      <c r="J866"/>
      <c r="K866"/>
      <c r="L866"/>
      <c r="M866"/>
      <c r="N866"/>
      <c r="O866"/>
      <c r="P866"/>
      <c r="Q866"/>
      <c r="R866"/>
      <c r="S866"/>
      <c r="T866"/>
      <c r="U866"/>
      <c r="V866"/>
    </row>
    <row r="867" spans="1:22" x14ac:dyDescent="0.3">
      <c r="A867"/>
      <c r="B867"/>
      <c r="C867"/>
      <c r="D867"/>
      <c r="E867"/>
      <c r="F867"/>
      <c r="G867"/>
      <c r="H867"/>
      <c r="I867"/>
      <c r="J867"/>
      <c r="K867"/>
      <c r="L867"/>
      <c r="M867"/>
      <c r="N867"/>
      <c r="O867"/>
      <c r="P867"/>
      <c r="Q867"/>
      <c r="R867"/>
      <c r="S867"/>
      <c r="T867"/>
      <c r="U867"/>
      <c r="V867"/>
    </row>
    <row r="868" spans="1:22" x14ac:dyDescent="0.3">
      <c r="A868"/>
      <c r="B868"/>
      <c r="C868"/>
      <c r="D868"/>
      <c r="E868"/>
      <c r="F868"/>
      <c r="G868"/>
      <c r="H868"/>
      <c r="I868"/>
      <c r="J868"/>
      <c r="K868"/>
      <c r="L868"/>
      <c r="M868"/>
      <c r="N868"/>
      <c r="O868"/>
      <c r="P868"/>
      <c r="Q868"/>
      <c r="R868"/>
      <c r="S868"/>
      <c r="T868"/>
      <c r="U868"/>
      <c r="V868"/>
    </row>
    <row r="869" spans="1:22" x14ac:dyDescent="0.3">
      <c r="A869"/>
      <c r="B869"/>
      <c r="C869"/>
      <c r="D869"/>
      <c r="E869"/>
      <c r="F869"/>
      <c r="G869"/>
      <c r="H869"/>
      <c r="I869"/>
      <c r="J869"/>
      <c r="K869"/>
      <c r="L869"/>
      <c r="M869"/>
      <c r="N869"/>
      <c r="O869"/>
      <c r="P869"/>
      <c r="Q869"/>
      <c r="R869"/>
      <c r="S869"/>
      <c r="T869"/>
      <c r="U869"/>
      <c r="V869"/>
    </row>
    <row r="870" spans="1:22" x14ac:dyDescent="0.3">
      <c r="A870"/>
      <c r="B870"/>
      <c r="C870"/>
      <c r="D870"/>
      <c r="E870"/>
      <c r="F870"/>
      <c r="G870"/>
      <c r="H870"/>
      <c r="I870"/>
      <c r="J870"/>
      <c r="K870"/>
      <c r="L870"/>
      <c r="M870"/>
      <c r="N870"/>
      <c r="O870"/>
      <c r="P870"/>
      <c r="Q870"/>
      <c r="R870"/>
      <c r="S870"/>
      <c r="T870"/>
      <c r="U870"/>
      <c r="V870"/>
    </row>
    <row r="871" spans="1:22" x14ac:dyDescent="0.3">
      <c r="A871"/>
      <c r="B871"/>
      <c r="C871"/>
      <c r="D871"/>
      <c r="E871"/>
      <c r="F871"/>
      <c r="G871"/>
      <c r="H871"/>
      <c r="I871"/>
      <c r="J871"/>
      <c r="K871"/>
      <c r="L871"/>
      <c r="M871"/>
      <c r="N871"/>
      <c r="O871"/>
      <c r="P871"/>
      <c r="Q871"/>
      <c r="R871"/>
      <c r="S871"/>
      <c r="T871"/>
      <c r="U871"/>
      <c r="V871"/>
    </row>
    <row r="872" spans="1:22" x14ac:dyDescent="0.3">
      <c r="A872"/>
      <c r="B872"/>
      <c r="C872"/>
      <c r="D872"/>
      <c r="E872"/>
      <c r="F872"/>
      <c r="G872"/>
      <c r="H872"/>
      <c r="I872"/>
      <c r="J872"/>
      <c r="K872"/>
      <c r="L872"/>
      <c r="M872"/>
      <c r="N872"/>
      <c r="O872"/>
      <c r="P872"/>
      <c r="Q872"/>
      <c r="R872"/>
      <c r="S872"/>
      <c r="T872"/>
      <c r="U872"/>
      <c r="V872"/>
    </row>
    <row r="873" spans="1:22" x14ac:dyDescent="0.3">
      <c r="A873"/>
      <c r="B873"/>
      <c r="C873"/>
      <c r="D873"/>
      <c r="E873"/>
      <c r="F873"/>
      <c r="G873"/>
      <c r="H873"/>
      <c r="I873"/>
      <c r="J873"/>
      <c r="K873"/>
      <c r="L873"/>
      <c r="M873"/>
      <c r="N873"/>
      <c r="O873"/>
      <c r="P873"/>
      <c r="Q873"/>
      <c r="R873"/>
      <c r="S873"/>
      <c r="T873"/>
      <c r="U873"/>
      <c r="V873"/>
    </row>
    <row r="874" spans="1:22" x14ac:dyDescent="0.3">
      <c r="A874"/>
      <c r="B874"/>
      <c r="C874"/>
      <c r="D874"/>
      <c r="E874"/>
      <c r="F874"/>
      <c r="G874"/>
      <c r="H874"/>
      <c r="I874"/>
      <c r="J874"/>
      <c r="K874"/>
      <c r="L874"/>
      <c r="M874"/>
      <c r="N874"/>
      <c r="O874"/>
      <c r="P874"/>
      <c r="Q874"/>
      <c r="R874"/>
      <c r="S874"/>
      <c r="T874"/>
      <c r="U874"/>
      <c r="V874"/>
    </row>
    <row r="875" spans="1:22" x14ac:dyDescent="0.3">
      <c r="A875"/>
      <c r="B875"/>
      <c r="C875"/>
      <c r="D875"/>
      <c r="E875"/>
      <c r="F875"/>
      <c r="G875"/>
      <c r="H875"/>
      <c r="I875"/>
      <c r="J875"/>
      <c r="K875"/>
      <c r="L875"/>
      <c r="M875"/>
      <c r="N875"/>
      <c r="O875"/>
      <c r="P875"/>
      <c r="Q875"/>
      <c r="R875"/>
      <c r="S875"/>
      <c r="T875"/>
      <c r="U875"/>
      <c r="V875"/>
    </row>
    <row r="876" spans="1:22" x14ac:dyDescent="0.3">
      <c r="A876"/>
      <c r="B876"/>
      <c r="C876"/>
      <c r="D876"/>
      <c r="E876"/>
      <c r="F876"/>
      <c r="G876"/>
      <c r="H876"/>
      <c r="I876"/>
      <c r="J876"/>
      <c r="K876"/>
      <c r="L876"/>
      <c r="M876"/>
      <c r="N876"/>
      <c r="O876"/>
      <c r="P876"/>
      <c r="Q876"/>
      <c r="R876"/>
      <c r="S876"/>
      <c r="T876"/>
      <c r="U876"/>
      <c r="V876"/>
    </row>
    <row r="877" spans="1:22" x14ac:dyDescent="0.3">
      <c r="A877"/>
      <c r="B877"/>
      <c r="C877"/>
      <c r="D877"/>
      <c r="E877"/>
      <c r="F877"/>
      <c r="G877"/>
      <c r="H877"/>
      <c r="I877"/>
      <c r="J877"/>
      <c r="K877"/>
      <c r="L877"/>
      <c r="M877"/>
      <c r="N877"/>
      <c r="O877"/>
      <c r="P877"/>
      <c r="Q877"/>
      <c r="R877"/>
      <c r="S877"/>
      <c r="T877"/>
      <c r="U877"/>
      <c r="V877"/>
    </row>
    <row r="878" spans="1:22" x14ac:dyDescent="0.3">
      <c r="A878"/>
      <c r="B878"/>
      <c r="C878"/>
      <c r="D878"/>
      <c r="E878"/>
      <c r="F878"/>
      <c r="G878"/>
      <c r="H878"/>
      <c r="I878"/>
      <c r="J878"/>
      <c r="K878"/>
      <c r="L878"/>
      <c r="M878"/>
      <c r="N878"/>
      <c r="O878"/>
      <c r="P878"/>
      <c r="Q878"/>
      <c r="R878"/>
      <c r="S878"/>
      <c r="T878"/>
      <c r="U878"/>
      <c r="V878"/>
    </row>
    <row r="879" spans="1:22" x14ac:dyDescent="0.3">
      <c r="A879"/>
      <c r="B879"/>
      <c r="C879"/>
      <c r="D879"/>
      <c r="E879"/>
      <c r="F879"/>
      <c r="G879"/>
      <c r="H879"/>
      <c r="I879"/>
      <c r="J879"/>
      <c r="K879"/>
      <c r="L879"/>
      <c r="M879"/>
      <c r="N879"/>
      <c r="O879"/>
      <c r="P879"/>
      <c r="Q879"/>
      <c r="R879"/>
      <c r="S879"/>
      <c r="T879"/>
      <c r="U879"/>
      <c r="V879"/>
    </row>
    <row r="880" spans="1:22" x14ac:dyDescent="0.3">
      <c r="A880"/>
      <c r="B880"/>
      <c r="C880"/>
      <c r="D880"/>
      <c r="E880"/>
      <c r="F880"/>
      <c r="G880"/>
      <c r="H880"/>
      <c r="I880"/>
      <c r="J880"/>
      <c r="K880"/>
      <c r="L880"/>
      <c r="M880"/>
      <c r="N880"/>
      <c r="O880"/>
      <c r="P880"/>
      <c r="Q880"/>
      <c r="R880"/>
      <c r="S880"/>
      <c r="T880"/>
      <c r="U880"/>
      <c r="V880"/>
    </row>
    <row r="881" spans="1:23" x14ac:dyDescent="0.3">
      <c r="A881"/>
      <c r="B881"/>
      <c r="C881"/>
      <c r="D881"/>
      <c r="E881"/>
      <c r="F881"/>
      <c r="G881"/>
      <c r="H881"/>
      <c r="I881"/>
      <c r="J881"/>
      <c r="K881"/>
      <c r="L881"/>
      <c r="M881"/>
      <c r="N881"/>
      <c r="O881"/>
      <c r="P881"/>
      <c r="Q881"/>
      <c r="R881"/>
      <c r="S881"/>
      <c r="T881"/>
      <c r="U881"/>
      <c r="V881"/>
      <c r="W881" s="233"/>
    </row>
    <row r="882" spans="1:23" x14ac:dyDescent="0.3">
      <c r="A882"/>
      <c r="B882"/>
      <c r="C882"/>
      <c r="D882"/>
      <c r="E882"/>
      <c r="F882"/>
      <c r="G882"/>
      <c r="H882"/>
      <c r="I882"/>
      <c r="J882"/>
      <c r="K882"/>
      <c r="L882"/>
      <c r="M882"/>
      <c r="N882"/>
      <c r="O882"/>
      <c r="P882"/>
      <c r="Q882"/>
      <c r="R882"/>
      <c r="S882"/>
      <c r="T882"/>
      <c r="U882"/>
      <c r="V882"/>
      <c r="W882" s="233"/>
    </row>
    <row r="883" spans="1:23" x14ac:dyDescent="0.3">
      <c r="A883"/>
      <c r="B883"/>
      <c r="C883"/>
      <c r="D883"/>
      <c r="E883"/>
      <c r="F883"/>
      <c r="G883"/>
      <c r="H883"/>
      <c r="I883"/>
      <c r="J883"/>
      <c r="K883"/>
      <c r="L883"/>
      <c r="M883"/>
      <c r="N883"/>
      <c r="O883"/>
      <c r="P883"/>
      <c r="Q883"/>
      <c r="R883"/>
      <c r="S883"/>
      <c r="T883"/>
      <c r="U883"/>
      <c r="V883"/>
      <c r="W883" s="233"/>
    </row>
    <row r="884" spans="1:23" x14ac:dyDescent="0.3">
      <c r="A884"/>
      <c r="B884"/>
      <c r="C884"/>
      <c r="D884"/>
      <c r="E884"/>
      <c r="F884"/>
      <c r="G884"/>
      <c r="H884"/>
      <c r="I884"/>
      <c r="J884"/>
      <c r="K884"/>
      <c r="L884"/>
      <c r="M884"/>
      <c r="N884"/>
      <c r="O884"/>
      <c r="P884"/>
      <c r="Q884"/>
      <c r="R884"/>
      <c r="S884"/>
      <c r="T884"/>
      <c r="U884"/>
      <c r="V884"/>
      <c r="W884"/>
    </row>
    <row r="885" spans="1:23" x14ac:dyDescent="0.3">
      <c r="A885"/>
      <c r="B885"/>
      <c r="C885"/>
      <c r="D885"/>
      <c r="E885"/>
      <c r="F885"/>
      <c r="G885"/>
      <c r="H885"/>
      <c r="I885"/>
      <c r="J885"/>
      <c r="K885"/>
      <c r="L885"/>
      <c r="M885"/>
      <c r="N885"/>
      <c r="O885"/>
      <c r="P885"/>
      <c r="Q885"/>
      <c r="R885"/>
      <c r="S885"/>
      <c r="T885"/>
      <c r="U885"/>
      <c r="V885"/>
      <c r="W885" s="233"/>
    </row>
    <row r="886" spans="1:23" x14ac:dyDescent="0.3">
      <c r="A886"/>
      <c r="B886"/>
      <c r="C886"/>
      <c r="D886"/>
      <c r="E886"/>
      <c r="F886"/>
      <c r="G886"/>
      <c r="H886"/>
      <c r="I886"/>
      <c r="J886"/>
      <c r="K886"/>
      <c r="L886"/>
      <c r="M886"/>
      <c r="N886"/>
      <c r="O886"/>
      <c r="P886"/>
      <c r="Q886"/>
      <c r="R886"/>
      <c r="S886"/>
      <c r="T886"/>
      <c r="U886"/>
      <c r="V886"/>
      <c r="W886" s="233"/>
    </row>
    <row r="887" spans="1:23" x14ac:dyDescent="0.3">
      <c r="A887"/>
      <c r="B887"/>
      <c r="C887"/>
      <c r="D887"/>
      <c r="E887"/>
      <c r="F887"/>
      <c r="G887"/>
      <c r="H887"/>
      <c r="I887"/>
      <c r="J887"/>
      <c r="K887"/>
      <c r="L887"/>
      <c r="M887"/>
      <c r="N887"/>
      <c r="O887"/>
      <c r="P887"/>
      <c r="Q887"/>
      <c r="R887"/>
      <c r="S887"/>
      <c r="T887"/>
      <c r="U887"/>
      <c r="V887"/>
      <c r="W887" s="233"/>
    </row>
    <row r="888" spans="1:23" x14ac:dyDescent="0.3">
      <c r="A888"/>
      <c r="B888"/>
      <c r="C888"/>
      <c r="D888"/>
      <c r="E888"/>
      <c r="F888"/>
      <c r="G888"/>
      <c r="H888"/>
      <c r="I888"/>
      <c r="J888"/>
      <c r="K888"/>
      <c r="L888"/>
      <c r="M888"/>
      <c r="N888"/>
      <c r="O888"/>
      <c r="P888"/>
      <c r="Q888"/>
      <c r="R888"/>
      <c r="S888"/>
      <c r="T888"/>
      <c r="U888"/>
      <c r="V888"/>
      <c r="W888" s="233"/>
    </row>
    <row r="889" spans="1:23" x14ac:dyDescent="0.3">
      <c r="A889"/>
      <c r="B889"/>
      <c r="C889"/>
      <c r="D889"/>
      <c r="E889"/>
      <c r="F889"/>
      <c r="G889"/>
      <c r="H889"/>
      <c r="I889"/>
      <c r="J889"/>
      <c r="K889"/>
      <c r="L889"/>
      <c r="M889"/>
      <c r="N889"/>
      <c r="O889"/>
      <c r="P889"/>
      <c r="Q889"/>
      <c r="R889"/>
      <c r="S889"/>
      <c r="T889"/>
      <c r="U889"/>
      <c r="V889"/>
      <c r="W889" s="233"/>
    </row>
    <row r="890" spans="1:23" x14ac:dyDescent="0.3">
      <c r="A890"/>
      <c r="B890"/>
      <c r="C890"/>
      <c r="D890"/>
      <c r="E890"/>
      <c r="F890"/>
      <c r="G890"/>
      <c r="H890"/>
      <c r="I890"/>
      <c r="J890"/>
      <c r="K890"/>
      <c r="L890"/>
      <c r="M890"/>
      <c r="N890"/>
      <c r="O890"/>
      <c r="P890"/>
      <c r="Q890"/>
      <c r="R890"/>
      <c r="S890"/>
      <c r="T890"/>
      <c r="U890"/>
      <c r="V890"/>
      <c r="W890" s="233"/>
    </row>
    <row r="891" spans="1:23" x14ac:dyDescent="0.3">
      <c r="A891"/>
      <c r="B891"/>
      <c r="C891"/>
      <c r="D891"/>
      <c r="E891"/>
      <c r="F891"/>
      <c r="G891"/>
      <c r="H891"/>
      <c r="I891"/>
      <c r="J891"/>
      <c r="K891"/>
      <c r="L891"/>
      <c r="M891"/>
      <c r="N891"/>
      <c r="O891"/>
      <c r="P891"/>
      <c r="Q891"/>
      <c r="R891"/>
      <c r="S891"/>
      <c r="T891"/>
      <c r="U891"/>
      <c r="V891"/>
      <c r="W891" s="233"/>
    </row>
    <row r="892" spans="1:23" x14ac:dyDescent="0.3">
      <c r="A892"/>
      <c r="B892"/>
      <c r="C892"/>
      <c r="D892"/>
      <c r="E892"/>
      <c r="F892"/>
      <c r="G892"/>
      <c r="H892"/>
      <c r="I892"/>
      <c r="J892"/>
      <c r="K892"/>
      <c r="L892"/>
      <c r="M892"/>
      <c r="N892"/>
      <c r="O892"/>
      <c r="P892"/>
      <c r="Q892"/>
      <c r="R892"/>
      <c r="S892"/>
      <c r="T892"/>
      <c r="U892"/>
      <c r="V892"/>
      <c r="W892" s="233"/>
    </row>
    <row r="893" spans="1:23" x14ac:dyDescent="0.3">
      <c r="A893"/>
      <c r="B893"/>
      <c r="C893"/>
      <c r="D893"/>
      <c r="E893"/>
      <c r="F893"/>
      <c r="G893"/>
      <c r="H893"/>
      <c r="I893"/>
      <c r="J893"/>
      <c r="K893"/>
      <c r="L893"/>
      <c r="M893"/>
      <c r="N893"/>
      <c r="O893"/>
      <c r="P893"/>
      <c r="Q893"/>
      <c r="R893"/>
      <c r="S893"/>
      <c r="T893"/>
      <c r="U893"/>
      <c r="V893"/>
      <c r="W893" s="233"/>
    </row>
    <row r="894" spans="1:23" x14ac:dyDescent="0.3">
      <c r="A894"/>
      <c r="B894"/>
      <c r="C894"/>
      <c r="D894"/>
      <c r="E894"/>
      <c r="F894"/>
      <c r="G894"/>
      <c r="H894"/>
      <c r="I894"/>
      <c r="J894"/>
      <c r="K894"/>
      <c r="L894"/>
      <c r="M894"/>
      <c r="N894"/>
      <c r="O894"/>
      <c r="P894"/>
      <c r="Q894"/>
      <c r="R894"/>
      <c r="S894"/>
      <c r="T894"/>
      <c r="U894"/>
      <c r="V894"/>
      <c r="W894" s="233"/>
    </row>
    <row r="895" spans="1:23" x14ac:dyDescent="0.3">
      <c r="A895"/>
      <c r="B895"/>
      <c r="C895"/>
      <c r="D895"/>
      <c r="E895"/>
      <c r="F895"/>
      <c r="G895"/>
      <c r="H895"/>
      <c r="I895"/>
      <c r="J895"/>
      <c r="K895"/>
      <c r="L895"/>
      <c r="M895"/>
      <c r="N895"/>
      <c r="O895"/>
      <c r="P895"/>
      <c r="Q895"/>
      <c r="R895"/>
      <c r="S895"/>
      <c r="T895"/>
      <c r="U895"/>
      <c r="V895"/>
      <c r="W895" s="233"/>
    </row>
    <row r="896" spans="1:23" x14ac:dyDescent="0.3">
      <c r="A896"/>
      <c r="B896"/>
      <c r="C896"/>
      <c r="D896"/>
      <c r="E896"/>
      <c r="F896"/>
      <c r="G896"/>
      <c r="H896"/>
      <c r="I896"/>
      <c r="J896"/>
      <c r="K896"/>
      <c r="L896"/>
      <c r="M896"/>
      <c r="N896"/>
      <c r="O896"/>
      <c r="P896"/>
      <c r="Q896"/>
      <c r="R896"/>
      <c r="S896"/>
      <c r="T896"/>
      <c r="U896"/>
      <c r="V896"/>
      <c r="W896" s="233"/>
    </row>
    <row r="897" spans="1:22" x14ac:dyDescent="0.3">
      <c r="A897"/>
      <c r="B897"/>
      <c r="C897"/>
      <c r="D897"/>
      <c r="E897"/>
      <c r="F897"/>
      <c r="G897"/>
      <c r="H897"/>
      <c r="I897"/>
      <c r="J897"/>
      <c r="K897"/>
      <c r="L897"/>
      <c r="M897"/>
      <c r="N897"/>
      <c r="O897"/>
      <c r="P897"/>
      <c r="Q897"/>
      <c r="R897"/>
      <c r="S897"/>
      <c r="T897"/>
      <c r="U897"/>
      <c r="V897"/>
    </row>
    <row r="898" spans="1:22" x14ac:dyDescent="0.3">
      <c r="A898"/>
      <c r="B898"/>
      <c r="C898"/>
      <c r="D898"/>
      <c r="E898"/>
      <c r="F898"/>
      <c r="G898"/>
      <c r="H898"/>
      <c r="I898"/>
      <c r="J898"/>
      <c r="K898"/>
      <c r="L898"/>
      <c r="M898"/>
      <c r="N898"/>
      <c r="O898"/>
      <c r="P898"/>
      <c r="Q898"/>
      <c r="R898"/>
      <c r="S898"/>
      <c r="T898"/>
      <c r="U898"/>
      <c r="V898"/>
    </row>
    <row r="899" spans="1:22" x14ac:dyDescent="0.3">
      <c r="A899"/>
      <c r="B899"/>
      <c r="C899"/>
      <c r="D899"/>
      <c r="E899"/>
      <c r="F899"/>
      <c r="G899"/>
      <c r="H899"/>
      <c r="I899"/>
      <c r="J899"/>
      <c r="K899"/>
      <c r="L899"/>
      <c r="M899"/>
      <c r="N899"/>
      <c r="O899"/>
      <c r="P899"/>
      <c r="Q899"/>
      <c r="R899"/>
      <c r="S899"/>
      <c r="T899"/>
      <c r="U899"/>
      <c r="V899"/>
    </row>
    <row r="900" spans="1:22" x14ac:dyDescent="0.3">
      <c r="A900"/>
      <c r="B900"/>
      <c r="C900"/>
      <c r="D900"/>
      <c r="E900"/>
      <c r="F900"/>
      <c r="G900"/>
      <c r="H900"/>
      <c r="I900"/>
      <c r="J900"/>
      <c r="K900"/>
      <c r="L900"/>
      <c r="M900"/>
      <c r="N900"/>
      <c r="O900"/>
      <c r="P900"/>
      <c r="Q900"/>
      <c r="R900"/>
      <c r="S900"/>
      <c r="T900"/>
      <c r="U900"/>
      <c r="V900"/>
    </row>
    <row r="901" spans="1:22" x14ac:dyDescent="0.3">
      <c r="A901"/>
      <c r="B901"/>
      <c r="C901"/>
      <c r="D901"/>
      <c r="E901"/>
      <c r="F901"/>
      <c r="G901"/>
      <c r="H901"/>
      <c r="I901"/>
      <c r="J901"/>
      <c r="K901"/>
      <c r="L901"/>
      <c r="M901"/>
      <c r="N901"/>
      <c r="O901"/>
      <c r="P901"/>
      <c r="Q901"/>
      <c r="R901"/>
      <c r="S901"/>
      <c r="T901"/>
      <c r="U901"/>
      <c r="V901"/>
    </row>
    <row r="902" spans="1:22" x14ac:dyDescent="0.3">
      <c r="A902"/>
      <c r="B902"/>
      <c r="C902"/>
      <c r="D902"/>
      <c r="E902"/>
      <c r="F902"/>
      <c r="G902"/>
      <c r="H902"/>
      <c r="I902"/>
      <c r="J902"/>
      <c r="K902"/>
      <c r="L902"/>
      <c r="M902"/>
      <c r="N902"/>
      <c r="O902"/>
      <c r="P902"/>
      <c r="Q902"/>
      <c r="R902"/>
      <c r="S902"/>
      <c r="T902"/>
      <c r="U902"/>
      <c r="V902"/>
    </row>
    <row r="903" spans="1:22" x14ac:dyDescent="0.3">
      <c r="A903"/>
      <c r="B903"/>
      <c r="C903"/>
      <c r="D903"/>
      <c r="E903"/>
      <c r="F903"/>
      <c r="G903"/>
      <c r="H903"/>
      <c r="I903"/>
      <c r="J903"/>
      <c r="K903"/>
      <c r="L903"/>
      <c r="M903"/>
      <c r="N903"/>
      <c r="O903"/>
      <c r="P903"/>
      <c r="Q903"/>
      <c r="R903"/>
      <c r="S903"/>
      <c r="T903"/>
      <c r="U903"/>
      <c r="V903"/>
    </row>
    <row r="904" spans="1:22" x14ac:dyDescent="0.3">
      <c r="A904"/>
      <c r="B904"/>
      <c r="C904"/>
      <c r="D904"/>
      <c r="E904"/>
      <c r="F904"/>
      <c r="G904"/>
      <c r="H904"/>
      <c r="I904"/>
      <c r="J904"/>
      <c r="K904"/>
      <c r="L904"/>
      <c r="M904"/>
      <c r="N904"/>
      <c r="O904"/>
      <c r="P904"/>
      <c r="Q904"/>
      <c r="R904"/>
      <c r="S904"/>
      <c r="T904"/>
      <c r="U904"/>
      <c r="V904"/>
    </row>
    <row r="905" spans="1:22" x14ac:dyDescent="0.3">
      <c r="A905"/>
      <c r="B905"/>
      <c r="C905"/>
      <c r="D905"/>
      <c r="E905"/>
      <c r="F905"/>
      <c r="G905"/>
      <c r="H905"/>
      <c r="I905"/>
      <c r="J905"/>
      <c r="K905"/>
      <c r="L905"/>
      <c r="M905"/>
      <c r="N905"/>
      <c r="O905"/>
      <c r="P905"/>
      <c r="Q905"/>
      <c r="R905"/>
      <c r="S905"/>
      <c r="T905"/>
      <c r="U905"/>
      <c r="V905"/>
    </row>
    <row r="906" spans="1:22" x14ac:dyDescent="0.3">
      <c r="A906"/>
      <c r="B906"/>
      <c r="C906"/>
      <c r="D906"/>
      <c r="E906"/>
      <c r="F906"/>
      <c r="G906"/>
      <c r="H906"/>
      <c r="I906"/>
      <c r="J906"/>
      <c r="K906"/>
      <c r="L906"/>
      <c r="M906"/>
      <c r="N906"/>
      <c r="O906"/>
      <c r="P906"/>
      <c r="Q906"/>
      <c r="R906"/>
      <c r="S906"/>
      <c r="T906"/>
      <c r="U906"/>
      <c r="V906"/>
    </row>
    <row r="907" spans="1:22" x14ac:dyDescent="0.3">
      <c r="A907"/>
      <c r="B907"/>
      <c r="C907"/>
      <c r="D907"/>
      <c r="E907"/>
      <c r="F907"/>
      <c r="G907"/>
      <c r="H907"/>
      <c r="I907"/>
      <c r="J907"/>
      <c r="K907"/>
      <c r="L907"/>
      <c r="M907"/>
      <c r="N907"/>
      <c r="O907"/>
      <c r="P907"/>
      <c r="Q907"/>
      <c r="R907"/>
      <c r="S907"/>
      <c r="T907"/>
      <c r="U907"/>
      <c r="V907"/>
    </row>
    <row r="908" spans="1:22" x14ac:dyDescent="0.3">
      <c r="A908"/>
      <c r="B908"/>
      <c r="C908"/>
      <c r="D908"/>
      <c r="E908"/>
      <c r="F908"/>
      <c r="G908"/>
      <c r="H908"/>
      <c r="I908"/>
      <c r="J908"/>
      <c r="K908"/>
      <c r="L908"/>
      <c r="M908"/>
      <c r="N908"/>
      <c r="O908"/>
      <c r="P908"/>
      <c r="Q908"/>
      <c r="R908"/>
      <c r="S908"/>
      <c r="T908"/>
      <c r="U908"/>
      <c r="V908"/>
    </row>
    <row r="909" spans="1:22" x14ac:dyDescent="0.3">
      <c r="A909"/>
      <c r="B909"/>
      <c r="C909"/>
      <c r="D909"/>
      <c r="E909"/>
      <c r="F909"/>
      <c r="G909"/>
      <c r="H909"/>
      <c r="I909"/>
      <c r="J909"/>
      <c r="K909"/>
      <c r="L909"/>
      <c r="M909"/>
      <c r="N909"/>
      <c r="O909"/>
      <c r="P909"/>
      <c r="Q909"/>
      <c r="R909"/>
      <c r="S909"/>
      <c r="T909"/>
      <c r="U909"/>
      <c r="V909"/>
    </row>
    <row r="910" spans="1:22" x14ac:dyDescent="0.3">
      <c r="A910"/>
      <c r="B910"/>
      <c r="C910"/>
      <c r="D910"/>
      <c r="E910"/>
      <c r="F910"/>
      <c r="G910"/>
      <c r="H910"/>
      <c r="I910"/>
      <c r="J910"/>
      <c r="K910"/>
      <c r="L910"/>
      <c r="M910"/>
      <c r="N910"/>
      <c r="O910"/>
      <c r="P910"/>
      <c r="Q910"/>
      <c r="R910"/>
      <c r="S910"/>
      <c r="T910"/>
      <c r="U910"/>
      <c r="V910"/>
    </row>
    <row r="911" spans="1:22" x14ac:dyDescent="0.3">
      <c r="A911"/>
      <c r="B911"/>
      <c r="C911"/>
      <c r="D911"/>
      <c r="E911"/>
      <c r="F911"/>
      <c r="G911"/>
      <c r="H911"/>
      <c r="I911"/>
      <c r="J911"/>
      <c r="K911"/>
      <c r="L911"/>
      <c r="M911"/>
      <c r="N911"/>
      <c r="O911"/>
      <c r="P911"/>
      <c r="Q911"/>
      <c r="R911"/>
      <c r="S911"/>
      <c r="T911"/>
      <c r="U911"/>
      <c r="V911"/>
    </row>
    <row r="912" spans="1:22" x14ac:dyDescent="0.3">
      <c r="A912"/>
      <c r="B912"/>
      <c r="C912"/>
      <c r="D912"/>
      <c r="E912"/>
      <c r="F912"/>
      <c r="G912"/>
      <c r="H912"/>
      <c r="I912"/>
      <c r="J912"/>
      <c r="K912"/>
      <c r="L912"/>
      <c r="M912"/>
      <c r="N912"/>
      <c r="O912"/>
      <c r="P912"/>
      <c r="Q912"/>
      <c r="R912"/>
      <c r="S912"/>
      <c r="T912"/>
      <c r="U912"/>
      <c r="V912"/>
    </row>
    <row r="913" spans="1:22" x14ac:dyDescent="0.3">
      <c r="A913"/>
      <c r="B913"/>
      <c r="C913"/>
      <c r="D913"/>
      <c r="E913"/>
      <c r="F913"/>
      <c r="G913"/>
      <c r="H913"/>
      <c r="I913"/>
      <c r="J913"/>
      <c r="K913"/>
      <c r="L913"/>
      <c r="M913"/>
      <c r="N913"/>
      <c r="O913"/>
      <c r="P913"/>
      <c r="Q913"/>
      <c r="R913"/>
      <c r="S913"/>
      <c r="T913"/>
      <c r="U913"/>
      <c r="V913"/>
    </row>
    <row r="914" spans="1:22" x14ac:dyDescent="0.3">
      <c r="A914"/>
      <c r="B914"/>
      <c r="C914"/>
      <c r="D914"/>
      <c r="E914"/>
      <c r="F914"/>
      <c r="G914"/>
      <c r="H914"/>
      <c r="I914"/>
      <c r="J914"/>
      <c r="K914"/>
      <c r="L914"/>
      <c r="M914"/>
      <c r="N914"/>
      <c r="O914"/>
      <c r="P914"/>
      <c r="Q914"/>
      <c r="R914"/>
      <c r="S914"/>
      <c r="T914"/>
      <c r="U914"/>
      <c r="V914"/>
    </row>
    <row r="915" spans="1:22" x14ac:dyDescent="0.3">
      <c r="A915"/>
      <c r="B915"/>
      <c r="C915"/>
      <c r="D915"/>
      <c r="E915"/>
      <c r="F915"/>
      <c r="G915"/>
      <c r="H915"/>
      <c r="I915"/>
      <c r="J915"/>
      <c r="K915"/>
      <c r="L915"/>
      <c r="M915"/>
      <c r="N915"/>
      <c r="O915"/>
      <c r="P915"/>
      <c r="Q915"/>
      <c r="R915"/>
      <c r="S915"/>
      <c r="T915"/>
      <c r="U915"/>
      <c r="V915"/>
    </row>
    <row r="916" spans="1:22" x14ac:dyDescent="0.3">
      <c r="A916"/>
      <c r="B916"/>
      <c r="C916"/>
      <c r="D916"/>
      <c r="E916"/>
      <c r="F916"/>
      <c r="G916"/>
      <c r="H916"/>
      <c r="I916"/>
      <c r="J916"/>
      <c r="K916"/>
      <c r="L916"/>
      <c r="M916"/>
      <c r="N916"/>
      <c r="O916"/>
      <c r="P916"/>
      <c r="Q916"/>
      <c r="R916"/>
      <c r="S916"/>
      <c r="T916"/>
      <c r="U916"/>
      <c r="V916"/>
    </row>
    <row r="917" spans="1:22" x14ac:dyDescent="0.3">
      <c r="A917"/>
      <c r="B917"/>
      <c r="C917"/>
      <c r="D917"/>
      <c r="E917"/>
      <c r="F917"/>
      <c r="G917"/>
      <c r="H917"/>
      <c r="I917"/>
      <c r="J917"/>
      <c r="K917"/>
      <c r="L917"/>
      <c r="M917"/>
      <c r="N917"/>
      <c r="O917"/>
      <c r="P917"/>
      <c r="Q917"/>
      <c r="R917"/>
      <c r="S917"/>
      <c r="T917"/>
      <c r="U917"/>
      <c r="V917"/>
    </row>
    <row r="918" spans="1:22" x14ac:dyDescent="0.3">
      <c r="A918"/>
      <c r="B918"/>
      <c r="C918"/>
      <c r="D918"/>
      <c r="E918"/>
      <c r="F918"/>
      <c r="G918"/>
      <c r="H918"/>
      <c r="I918"/>
      <c r="J918"/>
      <c r="K918"/>
      <c r="L918"/>
      <c r="M918"/>
      <c r="N918"/>
      <c r="O918"/>
      <c r="P918"/>
      <c r="Q918"/>
      <c r="R918"/>
      <c r="S918"/>
      <c r="T918"/>
      <c r="U918"/>
      <c r="V918"/>
    </row>
    <row r="919" spans="1:22" x14ac:dyDescent="0.3">
      <c r="A919"/>
      <c r="B919"/>
      <c r="C919"/>
      <c r="D919"/>
      <c r="E919"/>
      <c r="F919"/>
      <c r="G919"/>
      <c r="H919"/>
      <c r="I919"/>
      <c r="J919"/>
      <c r="K919"/>
      <c r="L919"/>
      <c r="M919"/>
      <c r="N919"/>
      <c r="O919"/>
      <c r="P919"/>
      <c r="Q919"/>
      <c r="R919"/>
      <c r="S919"/>
      <c r="T919"/>
      <c r="U919"/>
      <c r="V919"/>
    </row>
    <row r="920" spans="1:22" x14ac:dyDescent="0.3">
      <c r="A920"/>
      <c r="B920"/>
      <c r="C920"/>
      <c r="D920"/>
      <c r="E920"/>
      <c r="F920"/>
      <c r="G920"/>
      <c r="H920"/>
      <c r="I920"/>
      <c r="J920"/>
      <c r="K920"/>
      <c r="L920"/>
      <c r="M920"/>
      <c r="N920"/>
      <c r="O920"/>
      <c r="P920"/>
      <c r="Q920"/>
      <c r="R920"/>
      <c r="S920"/>
      <c r="T920"/>
      <c r="U920"/>
      <c r="V920"/>
    </row>
    <row r="921" spans="1:22" x14ac:dyDescent="0.3">
      <c r="A921"/>
      <c r="B921"/>
      <c r="C921"/>
      <c r="D921"/>
      <c r="E921"/>
      <c r="F921"/>
      <c r="G921"/>
      <c r="H921"/>
      <c r="I921"/>
      <c r="J921"/>
      <c r="K921"/>
      <c r="L921"/>
      <c r="M921"/>
      <c r="N921"/>
      <c r="O921"/>
      <c r="P921"/>
      <c r="Q921"/>
      <c r="R921"/>
      <c r="S921"/>
      <c r="T921"/>
      <c r="U921"/>
      <c r="V921"/>
    </row>
    <row r="922" spans="1:22" x14ac:dyDescent="0.3">
      <c r="A922"/>
      <c r="B922"/>
      <c r="C922"/>
      <c r="D922"/>
      <c r="E922"/>
      <c r="F922"/>
      <c r="G922"/>
      <c r="H922"/>
      <c r="I922"/>
      <c r="J922"/>
      <c r="K922"/>
      <c r="L922"/>
      <c r="M922"/>
      <c r="N922"/>
      <c r="O922"/>
      <c r="P922"/>
      <c r="Q922"/>
      <c r="R922"/>
      <c r="S922"/>
      <c r="T922"/>
      <c r="U922"/>
      <c r="V922"/>
    </row>
    <row r="923" spans="1:22" x14ac:dyDescent="0.3">
      <c r="A923"/>
      <c r="B923"/>
      <c r="C923"/>
      <c r="D923"/>
      <c r="E923"/>
      <c r="F923"/>
      <c r="G923"/>
      <c r="H923"/>
      <c r="I923"/>
      <c r="J923"/>
      <c r="K923"/>
      <c r="L923"/>
      <c r="M923"/>
      <c r="N923"/>
      <c r="O923"/>
      <c r="P923"/>
      <c r="Q923"/>
      <c r="R923"/>
      <c r="S923"/>
      <c r="T923"/>
      <c r="U923"/>
      <c r="V923"/>
    </row>
    <row r="924" spans="1:22" x14ac:dyDescent="0.3">
      <c r="A924"/>
      <c r="B924"/>
      <c r="C924"/>
      <c r="D924"/>
      <c r="E924"/>
      <c r="F924"/>
      <c r="G924"/>
      <c r="H924"/>
      <c r="I924"/>
      <c r="J924"/>
      <c r="K924"/>
      <c r="L924"/>
      <c r="M924"/>
      <c r="N924"/>
      <c r="O924"/>
      <c r="P924"/>
      <c r="Q924"/>
      <c r="R924"/>
      <c r="S924"/>
      <c r="T924"/>
      <c r="U924"/>
      <c r="V924"/>
    </row>
    <row r="925" spans="1:22" x14ac:dyDescent="0.3">
      <c r="A925"/>
      <c r="B925"/>
      <c r="C925"/>
      <c r="D925"/>
      <c r="E925"/>
      <c r="F925"/>
      <c r="G925"/>
      <c r="H925"/>
      <c r="I925"/>
      <c r="J925"/>
      <c r="K925"/>
      <c r="L925"/>
      <c r="M925"/>
      <c r="N925"/>
      <c r="O925"/>
      <c r="P925"/>
      <c r="Q925"/>
      <c r="R925"/>
      <c r="S925"/>
      <c r="T925"/>
      <c r="U925"/>
      <c r="V925"/>
    </row>
    <row r="926" spans="1:22" x14ac:dyDescent="0.3">
      <c r="A926"/>
      <c r="B926"/>
      <c r="C926"/>
      <c r="D926"/>
      <c r="E926"/>
      <c r="F926"/>
      <c r="G926"/>
      <c r="H926"/>
      <c r="I926"/>
      <c r="J926"/>
      <c r="K926"/>
      <c r="L926"/>
      <c r="M926"/>
      <c r="N926"/>
      <c r="O926"/>
      <c r="P926"/>
      <c r="Q926"/>
      <c r="R926"/>
      <c r="S926"/>
      <c r="T926"/>
      <c r="U926"/>
      <c r="V926"/>
    </row>
    <row r="927" spans="1:22" x14ac:dyDescent="0.3">
      <c r="A927"/>
      <c r="B927"/>
      <c r="C927"/>
      <c r="D927"/>
      <c r="E927"/>
      <c r="F927"/>
      <c r="G927"/>
      <c r="H927"/>
      <c r="I927"/>
      <c r="J927"/>
      <c r="K927"/>
      <c r="L927"/>
      <c r="M927"/>
      <c r="N927"/>
      <c r="O927"/>
      <c r="P927"/>
      <c r="Q927"/>
      <c r="R927"/>
      <c r="S927"/>
      <c r="T927"/>
      <c r="U927"/>
      <c r="V927"/>
    </row>
    <row r="928" spans="1:22" x14ac:dyDescent="0.3">
      <c r="A928"/>
      <c r="B928"/>
      <c r="C928"/>
      <c r="D928"/>
      <c r="E928"/>
      <c r="F928"/>
      <c r="G928"/>
      <c r="H928"/>
      <c r="I928"/>
      <c r="J928"/>
      <c r="K928"/>
      <c r="L928"/>
      <c r="M928"/>
      <c r="N928"/>
      <c r="O928"/>
      <c r="P928"/>
      <c r="Q928"/>
      <c r="R928"/>
      <c r="S928"/>
      <c r="T928"/>
      <c r="U928"/>
      <c r="V928"/>
    </row>
    <row r="929" spans="1:22" x14ac:dyDescent="0.3">
      <c r="A929"/>
      <c r="B929"/>
      <c r="C929"/>
      <c r="D929"/>
      <c r="E929"/>
      <c r="F929"/>
      <c r="G929"/>
      <c r="H929"/>
      <c r="I929"/>
      <c r="J929"/>
      <c r="K929"/>
      <c r="L929"/>
      <c r="M929"/>
      <c r="N929"/>
      <c r="O929"/>
      <c r="P929"/>
      <c r="Q929"/>
      <c r="R929"/>
      <c r="S929"/>
      <c r="T929"/>
      <c r="U929"/>
      <c r="V929"/>
    </row>
    <row r="930" spans="1:22" x14ac:dyDescent="0.3">
      <c r="A930"/>
      <c r="B930"/>
      <c r="C930"/>
      <c r="D930"/>
      <c r="E930"/>
      <c r="F930"/>
      <c r="G930"/>
      <c r="H930"/>
      <c r="I930"/>
      <c r="J930"/>
      <c r="K930"/>
      <c r="L930"/>
      <c r="M930"/>
      <c r="N930"/>
      <c r="O930"/>
      <c r="P930"/>
      <c r="Q930"/>
      <c r="R930"/>
      <c r="S930"/>
      <c r="T930"/>
      <c r="U930"/>
      <c r="V930"/>
    </row>
    <row r="931" spans="1:22" x14ac:dyDescent="0.3">
      <c r="A931"/>
      <c r="B931"/>
      <c r="C931"/>
      <c r="D931"/>
      <c r="E931"/>
      <c r="F931"/>
      <c r="G931"/>
      <c r="H931"/>
      <c r="I931"/>
      <c r="J931"/>
      <c r="K931"/>
      <c r="L931"/>
      <c r="M931"/>
      <c r="N931"/>
      <c r="O931"/>
      <c r="P931"/>
      <c r="Q931"/>
      <c r="R931"/>
      <c r="S931"/>
      <c r="T931"/>
      <c r="U931"/>
      <c r="V931"/>
    </row>
    <row r="932" spans="1:22" x14ac:dyDescent="0.3">
      <c r="A932"/>
      <c r="B932"/>
      <c r="C932"/>
      <c r="D932"/>
      <c r="E932"/>
      <c r="F932"/>
      <c r="G932"/>
      <c r="H932"/>
      <c r="I932"/>
      <c r="J932"/>
      <c r="K932"/>
      <c r="L932"/>
      <c r="M932"/>
      <c r="N932"/>
      <c r="O932"/>
      <c r="P932"/>
      <c r="Q932"/>
      <c r="R932"/>
      <c r="S932"/>
      <c r="T932"/>
      <c r="U932"/>
      <c r="V932"/>
    </row>
    <row r="933" spans="1:22" x14ac:dyDescent="0.3">
      <c r="A933"/>
      <c r="B933"/>
      <c r="C933"/>
      <c r="D933"/>
      <c r="E933"/>
      <c r="F933"/>
      <c r="G933"/>
      <c r="H933"/>
      <c r="I933"/>
      <c r="J933"/>
      <c r="K933"/>
      <c r="L933"/>
      <c r="M933"/>
      <c r="N933"/>
      <c r="O933"/>
      <c r="P933"/>
      <c r="Q933"/>
      <c r="R933"/>
      <c r="S933"/>
      <c r="T933"/>
      <c r="U933"/>
      <c r="V933"/>
    </row>
    <row r="934" spans="1:22" x14ac:dyDescent="0.3">
      <c r="A934"/>
      <c r="B934"/>
      <c r="C934"/>
      <c r="D934"/>
      <c r="E934"/>
      <c r="F934"/>
      <c r="G934"/>
      <c r="H934"/>
      <c r="I934"/>
      <c r="J934"/>
      <c r="K934"/>
      <c r="L934"/>
      <c r="M934"/>
      <c r="N934"/>
      <c r="O934"/>
      <c r="P934"/>
      <c r="Q934"/>
      <c r="R934"/>
      <c r="S934"/>
      <c r="T934"/>
      <c r="U934"/>
      <c r="V934"/>
    </row>
    <row r="935" spans="1:22" x14ac:dyDescent="0.3">
      <c r="A935"/>
      <c r="B935"/>
      <c r="C935"/>
      <c r="D935"/>
      <c r="E935"/>
      <c r="F935"/>
      <c r="G935"/>
      <c r="H935"/>
      <c r="I935"/>
      <c r="J935"/>
      <c r="K935"/>
      <c r="L935"/>
      <c r="M935"/>
      <c r="N935"/>
      <c r="O935"/>
      <c r="P935"/>
      <c r="Q935"/>
      <c r="R935"/>
      <c r="S935"/>
      <c r="T935"/>
      <c r="U935"/>
      <c r="V935"/>
    </row>
    <row r="936" spans="1:22" x14ac:dyDescent="0.3">
      <c r="A936"/>
      <c r="B936"/>
      <c r="C936"/>
      <c r="D936"/>
      <c r="E936"/>
      <c r="F936"/>
      <c r="G936"/>
      <c r="H936"/>
      <c r="I936"/>
      <c r="J936"/>
      <c r="K936"/>
      <c r="L936"/>
      <c r="M936"/>
      <c r="N936"/>
      <c r="O936"/>
      <c r="P936"/>
      <c r="Q936"/>
      <c r="R936"/>
      <c r="S936"/>
      <c r="T936"/>
      <c r="U936"/>
      <c r="V936"/>
    </row>
    <row r="937" spans="1:22" x14ac:dyDescent="0.3">
      <c r="A937"/>
      <c r="B937"/>
      <c r="C937"/>
      <c r="D937"/>
      <c r="E937"/>
      <c r="F937"/>
      <c r="G937"/>
      <c r="H937"/>
      <c r="I937"/>
      <c r="J937"/>
      <c r="K937"/>
      <c r="L937"/>
      <c r="M937"/>
      <c r="N937"/>
      <c r="O937"/>
      <c r="P937"/>
      <c r="Q937"/>
      <c r="R937"/>
      <c r="S937"/>
      <c r="T937"/>
      <c r="U937"/>
      <c r="V937"/>
    </row>
    <row r="938" spans="1:22" x14ac:dyDescent="0.3">
      <c r="A938"/>
      <c r="B938"/>
      <c r="C938"/>
      <c r="D938"/>
      <c r="E938"/>
      <c r="F938"/>
      <c r="G938"/>
      <c r="H938"/>
      <c r="I938"/>
      <c r="J938"/>
      <c r="K938"/>
      <c r="L938"/>
      <c r="M938"/>
      <c r="N938"/>
      <c r="O938"/>
      <c r="P938"/>
      <c r="Q938"/>
      <c r="R938"/>
      <c r="S938"/>
      <c r="T938"/>
      <c r="U938"/>
      <c r="V938"/>
    </row>
    <row r="939" spans="1:22" x14ac:dyDescent="0.3">
      <c r="A939"/>
      <c r="B939"/>
      <c r="C939"/>
      <c r="D939"/>
      <c r="E939"/>
      <c r="F939"/>
      <c r="G939"/>
      <c r="H939"/>
      <c r="I939"/>
      <c r="J939"/>
      <c r="K939"/>
      <c r="L939"/>
      <c r="M939"/>
      <c r="N939"/>
      <c r="O939"/>
      <c r="P939"/>
      <c r="Q939"/>
      <c r="R939"/>
      <c r="S939"/>
      <c r="T939"/>
      <c r="U939"/>
      <c r="V939"/>
    </row>
    <row r="940" spans="1:22" x14ac:dyDescent="0.3">
      <c r="A940"/>
      <c r="B940"/>
      <c r="C940"/>
      <c r="D940"/>
      <c r="E940"/>
      <c r="F940"/>
      <c r="G940"/>
      <c r="H940"/>
      <c r="I940"/>
      <c r="J940"/>
      <c r="K940"/>
      <c r="L940"/>
      <c r="M940"/>
      <c r="N940"/>
      <c r="O940"/>
      <c r="P940"/>
      <c r="Q940"/>
      <c r="R940"/>
      <c r="S940"/>
      <c r="T940"/>
      <c r="U940"/>
      <c r="V940"/>
    </row>
    <row r="941" spans="1:22" x14ac:dyDescent="0.3">
      <c r="A941"/>
      <c r="B941"/>
      <c r="C941"/>
      <c r="D941"/>
      <c r="E941"/>
      <c r="F941"/>
      <c r="G941"/>
      <c r="H941"/>
      <c r="I941"/>
      <c r="J941"/>
      <c r="K941"/>
      <c r="L941"/>
      <c r="M941"/>
      <c r="N941"/>
      <c r="O941"/>
      <c r="P941"/>
      <c r="Q941"/>
      <c r="R941"/>
      <c r="S941"/>
      <c r="T941"/>
      <c r="U941"/>
      <c r="V941"/>
    </row>
    <row r="942" spans="1:22" x14ac:dyDescent="0.3">
      <c r="A942"/>
      <c r="B942"/>
      <c r="C942"/>
      <c r="D942"/>
      <c r="E942"/>
      <c r="F942"/>
      <c r="G942"/>
      <c r="H942"/>
      <c r="I942"/>
      <c r="J942"/>
      <c r="K942"/>
      <c r="L942"/>
      <c r="M942"/>
      <c r="N942"/>
      <c r="O942"/>
      <c r="P942"/>
      <c r="Q942"/>
      <c r="R942"/>
      <c r="S942"/>
      <c r="T942"/>
      <c r="U942"/>
      <c r="V942"/>
    </row>
    <row r="943" spans="1:22" x14ac:dyDescent="0.3">
      <c r="A943"/>
      <c r="B943"/>
      <c r="C943"/>
      <c r="D943"/>
      <c r="E943"/>
      <c r="F943"/>
      <c r="G943"/>
      <c r="H943"/>
      <c r="I943"/>
      <c r="J943"/>
      <c r="K943"/>
      <c r="L943"/>
      <c r="M943"/>
      <c r="N943"/>
      <c r="O943"/>
      <c r="P943"/>
      <c r="Q943"/>
      <c r="R943"/>
      <c r="S943"/>
      <c r="T943"/>
      <c r="U943"/>
      <c r="V943"/>
    </row>
    <row r="944" spans="1:22" x14ac:dyDescent="0.3">
      <c r="A944"/>
      <c r="B944"/>
      <c r="C944"/>
      <c r="D944"/>
      <c r="E944"/>
      <c r="F944"/>
      <c r="G944"/>
      <c r="H944"/>
      <c r="I944"/>
      <c r="J944"/>
      <c r="K944"/>
      <c r="L944"/>
      <c r="M944"/>
      <c r="N944"/>
      <c r="O944"/>
      <c r="P944"/>
      <c r="Q944"/>
      <c r="R944"/>
      <c r="S944"/>
      <c r="T944"/>
      <c r="U944"/>
      <c r="V944"/>
    </row>
    <row r="945" spans="1:22" x14ac:dyDescent="0.3">
      <c r="A945"/>
      <c r="B945"/>
      <c r="C945"/>
      <c r="D945"/>
      <c r="E945"/>
      <c r="F945"/>
      <c r="G945"/>
      <c r="H945"/>
      <c r="I945"/>
      <c r="J945"/>
      <c r="K945"/>
      <c r="L945"/>
      <c r="M945"/>
      <c r="N945"/>
      <c r="O945"/>
      <c r="P945"/>
      <c r="Q945"/>
      <c r="R945"/>
      <c r="S945"/>
      <c r="T945"/>
      <c r="U945"/>
      <c r="V945"/>
    </row>
    <row r="946" spans="1:22" x14ac:dyDescent="0.3">
      <c r="A946"/>
      <c r="B946"/>
      <c r="C946"/>
      <c r="D946"/>
      <c r="E946"/>
      <c r="F946"/>
      <c r="G946"/>
      <c r="H946"/>
      <c r="I946"/>
      <c r="J946"/>
      <c r="K946"/>
      <c r="L946"/>
      <c r="M946"/>
      <c r="N946"/>
      <c r="O946"/>
      <c r="P946"/>
      <c r="Q946"/>
      <c r="R946"/>
      <c r="S946"/>
      <c r="T946"/>
      <c r="U946"/>
      <c r="V946"/>
    </row>
    <row r="947" spans="1:22" x14ac:dyDescent="0.3">
      <c r="A947"/>
      <c r="B947"/>
      <c r="C947"/>
      <c r="D947"/>
      <c r="E947"/>
      <c r="F947"/>
      <c r="G947"/>
      <c r="H947"/>
      <c r="I947"/>
      <c r="J947"/>
      <c r="K947"/>
      <c r="L947"/>
      <c r="M947"/>
      <c r="N947"/>
      <c r="O947"/>
      <c r="P947"/>
      <c r="Q947"/>
      <c r="R947"/>
      <c r="S947"/>
      <c r="T947"/>
      <c r="U947"/>
      <c r="V947"/>
    </row>
    <row r="948" spans="1:22" x14ac:dyDescent="0.3">
      <c r="A948"/>
      <c r="B948"/>
      <c r="C948"/>
      <c r="D948"/>
      <c r="E948"/>
      <c r="F948"/>
      <c r="G948"/>
      <c r="H948"/>
      <c r="I948"/>
      <c r="J948"/>
      <c r="K948"/>
      <c r="L948"/>
      <c r="M948"/>
      <c r="N948"/>
      <c r="O948"/>
      <c r="P948"/>
      <c r="Q948"/>
      <c r="R948"/>
      <c r="S948"/>
      <c r="T948"/>
      <c r="U948"/>
      <c r="V948"/>
    </row>
    <row r="949" spans="1:22" x14ac:dyDescent="0.3">
      <c r="A949"/>
      <c r="B949"/>
      <c r="C949"/>
      <c r="D949"/>
      <c r="E949"/>
      <c r="F949"/>
      <c r="G949"/>
      <c r="H949"/>
      <c r="I949"/>
      <c r="J949"/>
      <c r="K949"/>
      <c r="L949"/>
      <c r="M949"/>
      <c r="N949"/>
      <c r="O949"/>
      <c r="P949"/>
      <c r="Q949"/>
      <c r="R949"/>
      <c r="S949"/>
      <c r="T949"/>
      <c r="U949"/>
      <c r="V949"/>
    </row>
    <row r="950" spans="1:22" x14ac:dyDescent="0.3">
      <c r="A950"/>
      <c r="B950"/>
      <c r="C950"/>
      <c r="D950"/>
      <c r="E950"/>
      <c r="F950"/>
      <c r="G950"/>
      <c r="H950"/>
      <c r="I950"/>
      <c r="J950"/>
      <c r="K950"/>
      <c r="L950"/>
      <c r="M950"/>
      <c r="N950"/>
      <c r="O950"/>
      <c r="P950"/>
      <c r="Q950"/>
      <c r="R950"/>
      <c r="S950"/>
      <c r="T950"/>
      <c r="U950"/>
      <c r="V950"/>
    </row>
    <row r="951" spans="1:22" x14ac:dyDescent="0.3">
      <c r="A951"/>
      <c r="B951"/>
      <c r="C951"/>
      <c r="D951"/>
      <c r="E951"/>
      <c r="F951"/>
      <c r="G951"/>
      <c r="H951"/>
      <c r="I951"/>
      <c r="J951"/>
      <c r="K951"/>
      <c r="L951"/>
      <c r="M951"/>
      <c r="N951"/>
      <c r="O951"/>
      <c r="P951"/>
      <c r="Q951"/>
      <c r="R951"/>
      <c r="S951"/>
      <c r="T951"/>
      <c r="U951"/>
      <c r="V951"/>
    </row>
    <row r="952" spans="1:22" x14ac:dyDescent="0.3">
      <c r="A952"/>
      <c r="B952"/>
      <c r="C952"/>
      <c r="D952"/>
      <c r="E952"/>
      <c r="F952"/>
      <c r="G952"/>
      <c r="H952"/>
      <c r="I952"/>
      <c r="J952"/>
      <c r="K952"/>
      <c r="L952"/>
      <c r="M952"/>
      <c r="N952"/>
      <c r="O952"/>
      <c r="P952"/>
      <c r="Q952"/>
      <c r="R952"/>
      <c r="S952"/>
      <c r="T952"/>
      <c r="U952"/>
      <c r="V952"/>
    </row>
    <row r="953" spans="1:22" x14ac:dyDescent="0.3">
      <c r="A953"/>
      <c r="B953"/>
      <c r="C953"/>
      <c r="D953"/>
      <c r="E953"/>
      <c r="F953"/>
      <c r="G953"/>
      <c r="H953"/>
      <c r="I953"/>
      <c r="J953"/>
      <c r="K953"/>
      <c r="L953"/>
      <c r="M953"/>
      <c r="N953"/>
      <c r="O953"/>
      <c r="P953"/>
      <c r="Q953"/>
      <c r="R953"/>
      <c r="S953"/>
      <c r="T953"/>
      <c r="U953"/>
      <c r="V953"/>
    </row>
    <row r="954" spans="1:22" x14ac:dyDescent="0.3">
      <c r="A954"/>
      <c r="B954"/>
      <c r="C954"/>
      <c r="D954"/>
      <c r="E954"/>
      <c r="F954"/>
      <c r="G954"/>
      <c r="H954"/>
      <c r="I954"/>
      <c r="J954"/>
      <c r="K954"/>
      <c r="L954"/>
      <c r="M954"/>
      <c r="N954"/>
      <c r="O954"/>
      <c r="P954"/>
      <c r="Q954"/>
      <c r="R954"/>
      <c r="S954"/>
      <c r="T954"/>
      <c r="U954"/>
      <c r="V954"/>
    </row>
    <row r="955" spans="1:22" x14ac:dyDescent="0.3">
      <c r="A955"/>
      <c r="B955"/>
      <c r="C955"/>
      <c r="D955"/>
      <c r="E955"/>
      <c r="F955"/>
      <c r="G955"/>
      <c r="H955"/>
      <c r="I955"/>
      <c r="J955"/>
      <c r="K955"/>
      <c r="L955"/>
      <c r="M955"/>
      <c r="N955"/>
      <c r="O955"/>
      <c r="P955"/>
      <c r="Q955"/>
      <c r="R955"/>
      <c r="S955"/>
      <c r="T955"/>
      <c r="U955"/>
      <c r="V955"/>
    </row>
    <row r="956" spans="1:22" x14ac:dyDescent="0.3">
      <c r="A956"/>
      <c r="B956"/>
      <c r="C956"/>
      <c r="D956"/>
      <c r="E956"/>
      <c r="F956"/>
      <c r="G956"/>
      <c r="H956"/>
      <c r="I956"/>
      <c r="J956"/>
      <c r="K956"/>
      <c r="L956"/>
      <c r="M956"/>
      <c r="N956"/>
      <c r="O956"/>
      <c r="P956"/>
      <c r="Q956"/>
      <c r="R956"/>
      <c r="S956"/>
      <c r="T956"/>
      <c r="U956"/>
      <c r="V956"/>
    </row>
    <row r="957" spans="1:22" x14ac:dyDescent="0.3">
      <c r="A957"/>
      <c r="B957"/>
      <c r="C957"/>
      <c r="D957"/>
      <c r="E957"/>
      <c r="F957"/>
      <c r="G957"/>
      <c r="H957"/>
      <c r="I957"/>
      <c r="J957"/>
      <c r="K957"/>
      <c r="L957"/>
      <c r="M957"/>
      <c r="N957"/>
      <c r="O957"/>
      <c r="P957"/>
      <c r="Q957"/>
      <c r="R957"/>
      <c r="S957"/>
      <c r="T957"/>
      <c r="U957"/>
      <c r="V957"/>
    </row>
    <row r="958" spans="1:22" x14ac:dyDescent="0.3">
      <c r="A958"/>
      <c r="B958"/>
      <c r="C958"/>
      <c r="D958"/>
      <c r="E958"/>
      <c r="F958"/>
      <c r="G958"/>
      <c r="H958"/>
      <c r="I958"/>
      <c r="J958"/>
      <c r="K958"/>
      <c r="L958"/>
      <c r="M958"/>
      <c r="N958"/>
      <c r="O958"/>
      <c r="P958"/>
      <c r="Q958"/>
      <c r="R958"/>
      <c r="S958"/>
      <c r="T958"/>
      <c r="U958"/>
      <c r="V958"/>
    </row>
    <row r="959" spans="1:22" x14ac:dyDescent="0.3">
      <c r="A959"/>
      <c r="B959"/>
      <c r="C959"/>
      <c r="D959"/>
      <c r="E959"/>
      <c r="F959"/>
      <c r="G959"/>
      <c r="H959"/>
      <c r="I959"/>
      <c r="J959"/>
      <c r="K959"/>
      <c r="L959"/>
      <c r="M959"/>
      <c r="N959"/>
      <c r="O959"/>
      <c r="P959"/>
      <c r="Q959"/>
      <c r="R959"/>
      <c r="S959"/>
      <c r="T959"/>
      <c r="U959"/>
      <c r="V959"/>
    </row>
    <row r="960" spans="1:22" x14ac:dyDescent="0.3">
      <c r="A960"/>
      <c r="B960"/>
      <c r="C960"/>
      <c r="D960"/>
      <c r="E960"/>
      <c r="F960"/>
      <c r="G960"/>
      <c r="H960"/>
      <c r="I960"/>
      <c r="J960"/>
      <c r="K960"/>
      <c r="L960"/>
      <c r="M960"/>
      <c r="N960"/>
      <c r="O960"/>
      <c r="P960"/>
      <c r="Q960"/>
      <c r="R960"/>
      <c r="S960"/>
      <c r="T960"/>
      <c r="U960"/>
      <c r="V960"/>
    </row>
    <row r="961" spans="1:22" x14ac:dyDescent="0.3">
      <c r="A961"/>
      <c r="B961"/>
      <c r="C961"/>
      <c r="D961"/>
      <c r="E961"/>
      <c r="F961"/>
      <c r="G961"/>
      <c r="H961"/>
      <c r="I961"/>
      <c r="J961"/>
      <c r="K961"/>
      <c r="L961"/>
      <c r="M961"/>
      <c r="N961"/>
      <c r="O961"/>
      <c r="P961"/>
      <c r="Q961"/>
      <c r="R961"/>
      <c r="S961"/>
      <c r="T961"/>
      <c r="U961"/>
      <c r="V961"/>
    </row>
    <row r="962" spans="1:22" x14ac:dyDescent="0.3">
      <c r="A962"/>
      <c r="B962"/>
      <c r="C962"/>
      <c r="D962"/>
      <c r="E962"/>
      <c r="F962"/>
      <c r="G962"/>
      <c r="H962"/>
      <c r="I962"/>
      <c r="J962"/>
      <c r="K962"/>
      <c r="L962"/>
      <c r="M962"/>
      <c r="N962"/>
      <c r="O962"/>
      <c r="P962"/>
      <c r="Q962"/>
      <c r="R962"/>
      <c r="S962"/>
      <c r="T962"/>
      <c r="U962"/>
      <c r="V962"/>
    </row>
    <row r="963" spans="1:22" x14ac:dyDescent="0.3">
      <c r="A963"/>
      <c r="B963"/>
      <c r="C963"/>
      <c r="D963"/>
      <c r="E963"/>
      <c r="F963"/>
      <c r="G963"/>
      <c r="H963"/>
      <c r="I963"/>
      <c r="J963"/>
      <c r="K963"/>
      <c r="L963"/>
      <c r="M963"/>
      <c r="N963"/>
      <c r="O963"/>
      <c r="P963"/>
      <c r="Q963"/>
      <c r="R963"/>
      <c r="S963"/>
      <c r="T963"/>
      <c r="U963"/>
      <c r="V963"/>
    </row>
    <row r="964" spans="1:22" x14ac:dyDescent="0.3">
      <c r="A964"/>
      <c r="B964"/>
      <c r="C964"/>
      <c r="D964"/>
      <c r="E964"/>
      <c r="F964"/>
      <c r="G964"/>
      <c r="H964"/>
      <c r="I964"/>
      <c r="J964"/>
      <c r="K964"/>
      <c r="L964"/>
      <c r="M964"/>
      <c r="N964"/>
      <c r="O964"/>
      <c r="P964"/>
      <c r="Q964"/>
      <c r="R964"/>
      <c r="S964"/>
      <c r="T964"/>
      <c r="U964"/>
      <c r="V964"/>
    </row>
    <row r="965" spans="1:22" x14ac:dyDescent="0.3">
      <c r="A965"/>
      <c r="B965"/>
      <c r="C965"/>
      <c r="D965"/>
      <c r="E965"/>
      <c r="F965"/>
      <c r="G965"/>
      <c r="H965"/>
      <c r="I965"/>
      <c r="J965"/>
      <c r="K965"/>
      <c r="L965"/>
      <c r="M965"/>
      <c r="N965"/>
      <c r="O965"/>
      <c r="P965"/>
      <c r="Q965"/>
      <c r="R965"/>
      <c r="S965"/>
      <c r="T965"/>
      <c r="U965"/>
      <c r="V965"/>
    </row>
    <row r="966" spans="1:22" x14ac:dyDescent="0.3">
      <c r="A966"/>
      <c r="B966"/>
      <c r="C966"/>
      <c r="D966"/>
      <c r="E966"/>
      <c r="F966"/>
      <c r="G966"/>
      <c r="H966"/>
      <c r="I966"/>
      <c r="J966"/>
      <c r="K966"/>
      <c r="L966"/>
      <c r="M966"/>
      <c r="N966"/>
      <c r="O966"/>
      <c r="P966"/>
      <c r="Q966"/>
      <c r="R966"/>
      <c r="S966"/>
      <c r="T966"/>
      <c r="U966"/>
      <c r="V966"/>
    </row>
    <row r="967" spans="1:22" x14ac:dyDescent="0.3">
      <c r="A967"/>
      <c r="B967"/>
      <c r="C967"/>
      <c r="D967"/>
      <c r="E967"/>
      <c r="F967"/>
      <c r="G967"/>
      <c r="H967"/>
      <c r="I967"/>
      <c r="J967"/>
      <c r="K967"/>
      <c r="L967"/>
      <c r="M967"/>
      <c r="N967"/>
      <c r="O967"/>
      <c r="P967"/>
      <c r="Q967"/>
      <c r="R967"/>
      <c r="S967"/>
      <c r="T967"/>
      <c r="U967"/>
      <c r="V967"/>
    </row>
    <row r="968" spans="1:22" x14ac:dyDescent="0.3">
      <c r="A968"/>
      <c r="B968"/>
      <c r="C968"/>
      <c r="D968"/>
      <c r="E968"/>
      <c r="F968"/>
      <c r="G968"/>
      <c r="H968"/>
      <c r="I968"/>
      <c r="J968"/>
      <c r="K968"/>
      <c r="L968"/>
      <c r="M968"/>
      <c r="N968"/>
      <c r="O968"/>
      <c r="P968"/>
      <c r="Q968"/>
      <c r="R968"/>
      <c r="S968"/>
      <c r="T968"/>
      <c r="U968"/>
      <c r="V968"/>
    </row>
    <row r="969" spans="1:22" x14ac:dyDescent="0.3">
      <c r="A969"/>
      <c r="B969"/>
      <c r="C969"/>
      <c r="D969"/>
      <c r="E969"/>
      <c r="F969"/>
      <c r="G969"/>
      <c r="H969"/>
      <c r="I969"/>
      <c r="J969"/>
      <c r="K969"/>
      <c r="L969"/>
      <c r="M969"/>
      <c r="N969"/>
      <c r="O969"/>
      <c r="P969"/>
      <c r="Q969"/>
      <c r="R969"/>
      <c r="S969"/>
      <c r="T969"/>
      <c r="U969"/>
      <c r="V969"/>
    </row>
    <row r="970" spans="1:22" x14ac:dyDescent="0.3">
      <c r="A970"/>
      <c r="B970"/>
      <c r="C970"/>
      <c r="D970"/>
      <c r="E970"/>
      <c r="F970"/>
      <c r="G970"/>
      <c r="H970"/>
      <c r="I970"/>
      <c r="J970"/>
      <c r="K970"/>
      <c r="L970"/>
      <c r="M970"/>
      <c r="N970"/>
      <c r="O970"/>
      <c r="P970"/>
      <c r="Q970"/>
      <c r="R970"/>
      <c r="S970"/>
      <c r="T970"/>
      <c r="U970"/>
      <c r="V970"/>
    </row>
    <row r="971" spans="1:22" x14ac:dyDescent="0.3">
      <c r="A971"/>
      <c r="B971"/>
      <c r="C971"/>
      <c r="D971"/>
      <c r="E971"/>
      <c r="F971"/>
      <c r="G971"/>
      <c r="H971"/>
      <c r="I971"/>
      <c r="J971"/>
      <c r="K971"/>
      <c r="L971"/>
      <c r="M971"/>
      <c r="N971"/>
      <c r="O971"/>
      <c r="P971"/>
      <c r="Q971"/>
      <c r="R971"/>
      <c r="S971"/>
      <c r="T971"/>
      <c r="U971"/>
      <c r="V971"/>
    </row>
    <row r="972" spans="1:22" x14ac:dyDescent="0.3">
      <c r="A972"/>
      <c r="B972"/>
      <c r="C972"/>
      <c r="D972"/>
      <c r="E972"/>
      <c r="F972"/>
      <c r="G972"/>
      <c r="H972"/>
      <c r="I972"/>
      <c r="J972"/>
      <c r="K972"/>
      <c r="L972"/>
      <c r="M972"/>
      <c r="N972"/>
      <c r="O972"/>
      <c r="P972"/>
      <c r="Q972"/>
      <c r="R972"/>
      <c r="S972"/>
      <c r="T972"/>
      <c r="U972"/>
      <c r="V972"/>
    </row>
    <row r="973" spans="1:22" x14ac:dyDescent="0.3">
      <c r="A973"/>
      <c r="B973"/>
      <c r="C973"/>
      <c r="D973"/>
      <c r="E973"/>
      <c r="F973"/>
      <c r="G973"/>
      <c r="H973"/>
      <c r="I973"/>
      <c r="J973"/>
      <c r="K973"/>
      <c r="L973"/>
      <c r="M973"/>
      <c r="N973"/>
      <c r="O973"/>
      <c r="P973"/>
      <c r="Q973"/>
      <c r="R973"/>
      <c r="S973"/>
      <c r="T973"/>
      <c r="U973"/>
      <c r="V973"/>
    </row>
    <row r="974" spans="1:22" x14ac:dyDescent="0.3">
      <c r="A974"/>
      <c r="B974"/>
      <c r="C974"/>
      <c r="D974"/>
      <c r="E974"/>
      <c r="F974"/>
      <c r="G974"/>
      <c r="H974"/>
      <c r="I974"/>
      <c r="J974"/>
      <c r="K974"/>
      <c r="L974"/>
      <c r="M974"/>
      <c r="N974"/>
      <c r="O974"/>
      <c r="P974"/>
      <c r="Q974"/>
      <c r="R974"/>
      <c r="S974"/>
      <c r="T974"/>
      <c r="U974"/>
      <c r="V974"/>
    </row>
    <row r="975" spans="1:22" x14ac:dyDescent="0.3">
      <c r="A975"/>
      <c r="B975"/>
      <c r="C975"/>
      <c r="D975"/>
      <c r="E975"/>
      <c r="F975"/>
      <c r="G975"/>
      <c r="H975"/>
      <c r="I975"/>
      <c r="J975"/>
      <c r="K975"/>
      <c r="L975"/>
      <c r="M975"/>
      <c r="N975"/>
      <c r="O975"/>
      <c r="P975"/>
      <c r="Q975"/>
      <c r="R975"/>
      <c r="S975"/>
      <c r="T975"/>
      <c r="U975"/>
      <c r="V975"/>
    </row>
    <row r="976" spans="1:22" x14ac:dyDescent="0.3">
      <c r="A976"/>
      <c r="B976"/>
      <c r="C976"/>
      <c r="D976"/>
      <c r="E976"/>
      <c r="F976"/>
      <c r="G976"/>
      <c r="H976"/>
      <c r="I976"/>
      <c r="J976"/>
      <c r="K976"/>
      <c r="L976"/>
      <c r="M976"/>
      <c r="N976"/>
      <c r="O976"/>
      <c r="P976"/>
      <c r="Q976"/>
      <c r="R976"/>
      <c r="S976"/>
      <c r="T976"/>
      <c r="U976"/>
      <c r="V976"/>
    </row>
    <row r="977" spans="1:22" x14ac:dyDescent="0.3">
      <c r="A977"/>
      <c r="B977"/>
      <c r="C977"/>
      <c r="D977"/>
      <c r="E977"/>
      <c r="F977"/>
      <c r="G977"/>
      <c r="H977"/>
      <c r="I977"/>
      <c r="J977"/>
      <c r="K977"/>
      <c r="L977"/>
      <c r="M977"/>
      <c r="N977"/>
      <c r="O977"/>
      <c r="P977"/>
      <c r="Q977"/>
      <c r="R977"/>
      <c r="S977"/>
      <c r="T977"/>
      <c r="U977"/>
      <c r="V977"/>
    </row>
    <row r="978" spans="1:22" x14ac:dyDescent="0.3">
      <c r="A978"/>
      <c r="B978"/>
      <c r="C978"/>
      <c r="D978"/>
      <c r="E978"/>
      <c r="F978"/>
      <c r="G978"/>
      <c r="H978"/>
      <c r="I978"/>
      <c r="J978"/>
      <c r="K978"/>
      <c r="L978"/>
      <c r="M978"/>
      <c r="N978"/>
      <c r="O978"/>
      <c r="P978"/>
      <c r="Q978"/>
      <c r="R978"/>
      <c r="S978"/>
      <c r="T978"/>
      <c r="U978"/>
      <c r="V978"/>
    </row>
    <row r="979" spans="1:22" x14ac:dyDescent="0.3">
      <c r="A979"/>
      <c r="B979"/>
      <c r="C979"/>
      <c r="D979"/>
      <c r="E979"/>
      <c r="F979"/>
      <c r="G979"/>
      <c r="H979"/>
      <c r="I979"/>
      <c r="J979"/>
      <c r="K979"/>
      <c r="L979"/>
      <c r="M979"/>
      <c r="N979"/>
      <c r="O979"/>
      <c r="P979"/>
      <c r="Q979"/>
      <c r="R979"/>
      <c r="S979"/>
      <c r="T979"/>
      <c r="U979"/>
      <c r="V979"/>
    </row>
    <row r="980" spans="1:22" x14ac:dyDescent="0.3">
      <c r="A980"/>
      <c r="B980"/>
      <c r="C980"/>
      <c r="D980"/>
      <c r="E980"/>
      <c r="F980"/>
      <c r="G980"/>
      <c r="H980"/>
      <c r="I980"/>
      <c r="J980"/>
      <c r="K980"/>
      <c r="L980"/>
      <c r="M980"/>
      <c r="N980"/>
      <c r="O980"/>
      <c r="P980"/>
      <c r="Q980"/>
      <c r="R980"/>
      <c r="S980"/>
      <c r="T980"/>
      <c r="U980"/>
      <c r="V980"/>
    </row>
    <row r="981" spans="1:22" x14ac:dyDescent="0.3">
      <c r="A981"/>
      <c r="B981"/>
      <c r="C981"/>
      <c r="D981"/>
      <c r="E981"/>
      <c r="F981"/>
      <c r="G981"/>
      <c r="H981"/>
      <c r="I981"/>
      <c r="J981"/>
      <c r="K981"/>
      <c r="L981"/>
      <c r="M981"/>
      <c r="N981"/>
      <c r="O981"/>
      <c r="P981"/>
      <c r="Q981"/>
      <c r="R981"/>
      <c r="S981"/>
      <c r="T981"/>
      <c r="U981"/>
      <c r="V981"/>
    </row>
    <row r="982" spans="1:22" x14ac:dyDescent="0.3">
      <c r="A982"/>
      <c r="B982"/>
      <c r="C982"/>
      <c r="D982"/>
      <c r="E982"/>
      <c r="F982"/>
      <c r="G982"/>
      <c r="H982"/>
      <c r="I982"/>
      <c r="J982"/>
      <c r="K982"/>
      <c r="L982"/>
      <c r="M982"/>
      <c r="N982"/>
      <c r="O982"/>
      <c r="P982"/>
      <c r="Q982"/>
      <c r="R982"/>
      <c r="S982"/>
      <c r="T982"/>
      <c r="U982"/>
      <c r="V982"/>
    </row>
    <row r="983" spans="1:22" x14ac:dyDescent="0.3">
      <c r="A983"/>
      <c r="B983"/>
      <c r="C983"/>
      <c r="D983"/>
      <c r="E983"/>
      <c r="F983"/>
      <c r="G983"/>
      <c r="H983"/>
      <c r="I983"/>
      <c r="J983"/>
      <c r="K983"/>
      <c r="L983"/>
      <c r="M983"/>
      <c r="N983"/>
      <c r="O983"/>
      <c r="P983"/>
      <c r="Q983"/>
      <c r="R983"/>
      <c r="S983"/>
      <c r="T983"/>
      <c r="U983"/>
      <c r="V983"/>
    </row>
    <row r="984" spans="1:22" x14ac:dyDescent="0.3">
      <c r="A984"/>
      <c r="B984"/>
      <c r="C984"/>
      <c r="D984"/>
      <c r="E984"/>
      <c r="F984"/>
      <c r="G984"/>
      <c r="H984"/>
      <c r="I984"/>
      <c r="J984"/>
      <c r="K984"/>
      <c r="L984"/>
      <c r="M984"/>
      <c r="N984"/>
      <c r="O984"/>
      <c r="P984"/>
      <c r="Q984"/>
      <c r="R984"/>
      <c r="S984"/>
      <c r="T984"/>
      <c r="U984"/>
      <c r="V984"/>
    </row>
    <row r="985" spans="1:22" x14ac:dyDescent="0.3">
      <c r="A985"/>
      <c r="B985"/>
      <c r="C985"/>
      <c r="D985"/>
      <c r="E985"/>
      <c r="F985"/>
      <c r="G985"/>
      <c r="H985"/>
      <c r="I985"/>
      <c r="J985"/>
      <c r="K985"/>
      <c r="L985"/>
      <c r="M985"/>
      <c r="N985"/>
      <c r="O985"/>
      <c r="P985"/>
      <c r="Q985"/>
      <c r="R985"/>
      <c r="S985"/>
      <c r="T985"/>
      <c r="U985"/>
      <c r="V985"/>
    </row>
    <row r="986" spans="1:22" x14ac:dyDescent="0.3">
      <c r="A986"/>
      <c r="B986"/>
      <c r="C986"/>
      <c r="D986"/>
      <c r="E986"/>
      <c r="F986"/>
      <c r="G986"/>
      <c r="H986"/>
      <c r="I986"/>
      <c r="J986"/>
      <c r="K986"/>
      <c r="L986"/>
      <c r="M986"/>
      <c r="N986"/>
      <c r="O986"/>
      <c r="P986"/>
      <c r="Q986"/>
      <c r="R986"/>
      <c r="S986"/>
      <c r="T986"/>
      <c r="U986"/>
      <c r="V986"/>
    </row>
    <row r="987" spans="1:22" x14ac:dyDescent="0.3">
      <c r="A987"/>
      <c r="B987"/>
      <c r="C987"/>
      <c r="D987"/>
      <c r="E987"/>
      <c r="F987"/>
      <c r="G987"/>
      <c r="H987"/>
      <c r="I987"/>
      <c r="J987"/>
      <c r="K987"/>
      <c r="L987"/>
      <c r="M987"/>
      <c r="N987"/>
      <c r="O987"/>
      <c r="P987"/>
      <c r="Q987"/>
      <c r="R987"/>
      <c r="S987"/>
      <c r="T987"/>
      <c r="U987"/>
      <c r="V987"/>
    </row>
    <row r="988" spans="1:22" x14ac:dyDescent="0.3">
      <c r="A988"/>
      <c r="B988"/>
      <c r="C988"/>
      <c r="D988"/>
      <c r="E988"/>
      <c r="F988"/>
      <c r="G988"/>
      <c r="H988"/>
      <c r="I988"/>
      <c r="J988"/>
      <c r="K988"/>
      <c r="L988"/>
      <c r="M988"/>
      <c r="N988"/>
      <c r="O988"/>
      <c r="P988"/>
      <c r="Q988"/>
      <c r="R988"/>
      <c r="S988"/>
      <c r="T988"/>
      <c r="U988"/>
      <c r="V988"/>
    </row>
    <row r="989" spans="1:22" x14ac:dyDescent="0.3">
      <c r="A989"/>
      <c r="B989"/>
      <c r="C989"/>
      <c r="D989"/>
      <c r="E989"/>
      <c r="F989"/>
      <c r="G989"/>
      <c r="H989"/>
      <c r="I989"/>
      <c r="J989"/>
      <c r="K989"/>
      <c r="L989"/>
      <c r="M989"/>
      <c r="N989"/>
      <c r="O989"/>
      <c r="P989"/>
      <c r="Q989"/>
      <c r="R989"/>
      <c r="S989"/>
      <c r="T989"/>
      <c r="U989"/>
      <c r="V989"/>
    </row>
    <row r="990" spans="1:22" x14ac:dyDescent="0.3">
      <c r="A990"/>
      <c r="B990"/>
      <c r="C990"/>
      <c r="D990"/>
      <c r="E990"/>
      <c r="F990"/>
      <c r="G990"/>
      <c r="H990"/>
      <c r="I990"/>
      <c r="J990"/>
      <c r="K990"/>
      <c r="L990"/>
      <c r="M990"/>
      <c r="N990"/>
      <c r="O990"/>
      <c r="P990"/>
      <c r="Q990"/>
      <c r="R990"/>
      <c r="S990"/>
      <c r="T990"/>
      <c r="U990"/>
      <c r="V990"/>
    </row>
    <row r="991" spans="1:22" x14ac:dyDescent="0.3">
      <c r="A991"/>
      <c r="B991"/>
      <c r="C991"/>
      <c r="D991"/>
      <c r="E991"/>
      <c r="F991"/>
      <c r="G991"/>
      <c r="H991"/>
      <c r="I991"/>
      <c r="J991"/>
      <c r="K991"/>
      <c r="L991"/>
      <c r="M991"/>
      <c r="N991"/>
      <c r="O991"/>
      <c r="P991"/>
      <c r="Q991"/>
      <c r="R991"/>
      <c r="S991"/>
      <c r="T991"/>
      <c r="U991"/>
      <c r="V991"/>
    </row>
    <row r="992" spans="1:22" x14ac:dyDescent="0.3">
      <c r="A992"/>
      <c r="B992"/>
      <c r="C992"/>
      <c r="D992"/>
      <c r="E992"/>
      <c r="F992"/>
      <c r="G992"/>
      <c r="H992"/>
      <c r="I992"/>
      <c r="J992"/>
      <c r="K992"/>
      <c r="L992"/>
      <c r="M992"/>
      <c r="N992"/>
      <c r="O992"/>
      <c r="P992"/>
      <c r="Q992"/>
      <c r="R992"/>
      <c r="S992"/>
      <c r="T992"/>
      <c r="U992"/>
      <c r="V992"/>
    </row>
    <row r="993" spans="1:22" x14ac:dyDescent="0.3">
      <c r="A993"/>
      <c r="B993"/>
      <c r="C993"/>
      <c r="D993"/>
      <c r="E993"/>
      <c r="F993"/>
      <c r="G993"/>
      <c r="H993"/>
      <c r="I993"/>
      <c r="J993"/>
      <c r="K993"/>
      <c r="L993"/>
      <c r="M993"/>
      <c r="N993"/>
      <c r="O993"/>
      <c r="P993"/>
      <c r="Q993"/>
      <c r="R993"/>
      <c r="S993"/>
      <c r="T993"/>
      <c r="U993"/>
      <c r="V993"/>
    </row>
    <row r="994" spans="1:22" x14ac:dyDescent="0.3">
      <c r="A994"/>
      <c r="B994"/>
      <c r="C994"/>
      <c r="D994"/>
      <c r="E994"/>
      <c r="F994"/>
      <c r="G994"/>
      <c r="H994"/>
      <c r="I994"/>
      <c r="J994"/>
      <c r="K994"/>
      <c r="L994"/>
      <c r="M994"/>
      <c r="N994"/>
      <c r="O994"/>
      <c r="P994"/>
      <c r="Q994"/>
      <c r="R994"/>
      <c r="S994"/>
      <c r="T994"/>
      <c r="U994"/>
      <c r="V994"/>
    </row>
    <row r="995" spans="1:22" x14ac:dyDescent="0.3">
      <c r="A995"/>
      <c r="B995"/>
      <c r="C995"/>
      <c r="D995"/>
      <c r="E995"/>
      <c r="F995"/>
      <c r="G995"/>
      <c r="H995"/>
      <c r="I995"/>
      <c r="J995"/>
      <c r="K995"/>
      <c r="L995"/>
      <c r="M995"/>
      <c r="N995"/>
      <c r="O995"/>
      <c r="P995"/>
      <c r="Q995"/>
      <c r="R995"/>
      <c r="S995"/>
      <c r="T995"/>
      <c r="U995"/>
      <c r="V995"/>
    </row>
    <row r="996" spans="1:22" x14ac:dyDescent="0.3">
      <c r="A996"/>
      <c r="B996"/>
      <c r="C996"/>
      <c r="D996"/>
      <c r="E996"/>
      <c r="F996"/>
      <c r="G996"/>
      <c r="H996"/>
      <c r="I996"/>
      <c r="J996"/>
      <c r="K996"/>
      <c r="L996"/>
      <c r="M996"/>
      <c r="N996"/>
      <c r="O996"/>
      <c r="P996"/>
      <c r="Q996"/>
      <c r="R996"/>
      <c r="S996"/>
      <c r="T996"/>
      <c r="U996"/>
      <c r="V996"/>
    </row>
    <row r="997" spans="1:22" x14ac:dyDescent="0.3">
      <c r="A997"/>
      <c r="B997"/>
      <c r="C997"/>
      <c r="D997"/>
      <c r="E997"/>
      <c r="F997"/>
      <c r="G997"/>
      <c r="H997"/>
      <c r="I997"/>
      <c r="J997"/>
      <c r="K997"/>
      <c r="L997"/>
      <c r="M997"/>
      <c r="N997"/>
      <c r="O997"/>
      <c r="P997"/>
      <c r="Q997"/>
      <c r="R997"/>
      <c r="S997"/>
      <c r="T997"/>
      <c r="U997"/>
      <c r="V997"/>
    </row>
    <row r="998" spans="1:22" x14ac:dyDescent="0.3">
      <c r="A998"/>
      <c r="B998"/>
      <c r="C998"/>
      <c r="D998"/>
      <c r="E998"/>
      <c r="F998"/>
      <c r="G998"/>
      <c r="H998"/>
      <c r="I998"/>
      <c r="J998"/>
      <c r="K998"/>
      <c r="L998"/>
      <c r="M998"/>
      <c r="N998"/>
      <c r="O998"/>
      <c r="P998"/>
      <c r="Q998"/>
      <c r="R998"/>
      <c r="S998"/>
      <c r="T998"/>
      <c r="U998"/>
      <c r="V998"/>
    </row>
    <row r="999" spans="1:22" x14ac:dyDescent="0.3">
      <c r="A999"/>
      <c r="B999"/>
      <c r="C999"/>
      <c r="D999"/>
      <c r="E999"/>
      <c r="F999"/>
      <c r="G999"/>
      <c r="H999"/>
      <c r="I999"/>
      <c r="J999"/>
      <c r="K999"/>
      <c r="L999"/>
      <c r="M999"/>
      <c r="N999"/>
      <c r="O999"/>
      <c r="P999"/>
      <c r="Q999"/>
      <c r="R999"/>
      <c r="S999"/>
      <c r="T999"/>
      <c r="U999"/>
      <c r="V999"/>
    </row>
    <row r="1000" spans="1:22" x14ac:dyDescent="0.3">
      <c r="A1000"/>
      <c r="B1000"/>
      <c r="C1000"/>
      <c r="D1000"/>
      <c r="E1000"/>
      <c r="F1000"/>
      <c r="G1000"/>
      <c r="H1000"/>
      <c r="I1000"/>
      <c r="J1000"/>
      <c r="K1000"/>
      <c r="L1000"/>
      <c r="M1000"/>
      <c r="N1000"/>
      <c r="O1000"/>
      <c r="P1000"/>
      <c r="Q1000"/>
      <c r="R1000"/>
      <c r="S1000"/>
      <c r="T1000"/>
      <c r="U1000"/>
      <c r="V1000"/>
    </row>
    <row r="1001" spans="1:22" x14ac:dyDescent="0.3">
      <c r="A1001"/>
      <c r="B1001"/>
      <c r="C1001"/>
      <c r="D1001"/>
      <c r="E1001"/>
      <c r="F1001"/>
      <c r="G1001"/>
      <c r="H1001"/>
      <c r="I1001"/>
      <c r="J1001"/>
      <c r="K1001"/>
      <c r="L1001"/>
      <c r="M1001"/>
      <c r="N1001"/>
      <c r="O1001"/>
      <c r="P1001"/>
      <c r="Q1001"/>
      <c r="R1001"/>
      <c r="S1001"/>
      <c r="T1001"/>
      <c r="U1001"/>
      <c r="V1001"/>
    </row>
    <row r="1002" spans="1:22" x14ac:dyDescent="0.3">
      <c r="A1002"/>
      <c r="B1002"/>
      <c r="C1002"/>
      <c r="D1002"/>
      <c r="E1002"/>
      <c r="F1002"/>
      <c r="G1002"/>
      <c r="H1002"/>
      <c r="I1002"/>
      <c r="J1002"/>
      <c r="K1002"/>
      <c r="L1002"/>
      <c r="M1002"/>
      <c r="N1002"/>
      <c r="O1002"/>
      <c r="P1002"/>
      <c r="Q1002"/>
      <c r="R1002"/>
      <c r="S1002"/>
      <c r="T1002"/>
      <c r="U1002"/>
      <c r="V1002"/>
    </row>
    <row r="1003" spans="1:22" x14ac:dyDescent="0.3">
      <c r="A1003"/>
      <c r="B1003"/>
      <c r="C1003"/>
      <c r="D1003"/>
      <c r="E1003"/>
      <c r="F1003"/>
      <c r="G1003"/>
      <c r="H1003"/>
      <c r="I1003"/>
      <c r="J1003"/>
      <c r="K1003"/>
      <c r="L1003"/>
      <c r="M1003"/>
      <c r="N1003"/>
      <c r="O1003"/>
      <c r="P1003"/>
      <c r="Q1003"/>
      <c r="R1003"/>
      <c r="S1003"/>
      <c r="T1003"/>
      <c r="U1003"/>
      <c r="V1003"/>
    </row>
    <row r="1004" spans="1:22" x14ac:dyDescent="0.3">
      <c r="A1004"/>
      <c r="B1004"/>
      <c r="C1004"/>
      <c r="D1004"/>
      <c r="E1004"/>
      <c r="F1004"/>
      <c r="G1004"/>
      <c r="H1004"/>
      <c r="I1004"/>
      <c r="J1004"/>
      <c r="K1004"/>
      <c r="L1004"/>
      <c r="M1004"/>
      <c r="N1004"/>
      <c r="O1004"/>
      <c r="P1004"/>
      <c r="Q1004"/>
      <c r="R1004"/>
      <c r="S1004"/>
      <c r="T1004"/>
      <c r="U1004"/>
      <c r="V1004"/>
    </row>
    <row r="1005" spans="1:22" x14ac:dyDescent="0.3">
      <c r="A1005"/>
      <c r="B1005"/>
      <c r="C1005"/>
      <c r="D1005"/>
      <c r="E1005"/>
      <c r="F1005"/>
      <c r="G1005"/>
      <c r="H1005"/>
      <c r="I1005"/>
      <c r="J1005"/>
      <c r="K1005"/>
      <c r="L1005"/>
      <c r="M1005"/>
      <c r="N1005"/>
      <c r="O1005"/>
      <c r="P1005"/>
      <c r="Q1005"/>
      <c r="R1005"/>
      <c r="S1005"/>
      <c r="T1005"/>
      <c r="U1005"/>
      <c r="V1005"/>
    </row>
    <row r="1006" spans="1:22" x14ac:dyDescent="0.3">
      <c r="A1006"/>
      <c r="B1006"/>
      <c r="C1006"/>
      <c r="D1006"/>
      <c r="E1006"/>
      <c r="F1006"/>
      <c r="G1006"/>
      <c r="H1006"/>
      <c r="I1006"/>
      <c r="J1006"/>
      <c r="K1006"/>
      <c r="L1006"/>
      <c r="M1006"/>
      <c r="N1006"/>
      <c r="O1006"/>
      <c r="P1006"/>
      <c r="Q1006"/>
      <c r="R1006"/>
      <c r="S1006"/>
      <c r="T1006"/>
      <c r="U1006"/>
      <c r="V1006"/>
    </row>
    <row r="1007" spans="1:22" x14ac:dyDescent="0.3">
      <c r="A1007"/>
      <c r="B1007"/>
      <c r="C1007"/>
      <c r="D1007"/>
      <c r="E1007"/>
      <c r="F1007"/>
      <c r="G1007"/>
      <c r="H1007"/>
      <c r="I1007"/>
      <c r="J1007"/>
      <c r="K1007"/>
      <c r="L1007"/>
      <c r="M1007"/>
      <c r="N1007"/>
      <c r="O1007"/>
      <c r="P1007"/>
      <c r="Q1007"/>
      <c r="R1007"/>
      <c r="S1007"/>
      <c r="T1007"/>
      <c r="U1007"/>
      <c r="V1007"/>
    </row>
    <row r="1008" spans="1:22" x14ac:dyDescent="0.3">
      <c r="A1008"/>
      <c r="B1008"/>
      <c r="C1008"/>
      <c r="D1008"/>
      <c r="E1008"/>
      <c r="F1008"/>
      <c r="G1008"/>
      <c r="H1008"/>
      <c r="I1008"/>
      <c r="J1008"/>
      <c r="K1008"/>
      <c r="L1008"/>
      <c r="M1008"/>
      <c r="N1008"/>
      <c r="O1008"/>
      <c r="P1008"/>
      <c r="Q1008"/>
      <c r="R1008"/>
      <c r="S1008"/>
      <c r="T1008"/>
      <c r="U1008"/>
      <c r="V1008"/>
    </row>
    <row r="1009" spans="1:22" x14ac:dyDescent="0.3">
      <c r="A1009"/>
      <c r="B1009"/>
      <c r="C1009"/>
      <c r="D1009"/>
      <c r="E1009"/>
      <c r="F1009"/>
      <c r="G1009"/>
      <c r="H1009"/>
      <c r="I1009"/>
      <c r="J1009"/>
      <c r="K1009"/>
      <c r="L1009"/>
      <c r="M1009"/>
      <c r="N1009"/>
      <c r="O1009"/>
      <c r="P1009"/>
      <c r="Q1009"/>
      <c r="R1009"/>
      <c r="S1009"/>
      <c r="T1009"/>
      <c r="U1009"/>
      <c r="V1009"/>
    </row>
    <row r="1010" spans="1:22" x14ac:dyDescent="0.3">
      <c r="A1010"/>
      <c r="B1010"/>
      <c r="C1010"/>
      <c r="D1010"/>
      <c r="E1010"/>
      <c r="F1010"/>
      <c r="G1010"/>
      <c r="H1010"/>
      <c r="I1010"/>
      <c r="J1010"/>
      <c r="K1010"/>
      <c r="L1010"/>
      <c r="M1010"/>
      <c r="N1010"/>
      <c r="O1010"/>
      <c r="P1010"/>
      <c r="Q1010"/>
      <c r="R1010"/>
      <c r="S1010"/>
      <c r="T1010"/>
      <c r="U1010"/>
      <c r="V1010"/>
    </row>
    <row r="1011" spans="1:22" x14ac:dyDescent="0.3">
      <c r="A1011"/>
      <c r="B1011"/>
      <c r="C1011"/>
      <c r="D1011"/>
      <c r="E1011"/>
      <c r="F1011"/>
      <c r="G1011"/>
      <c r="H1011"/>
      <c r="I1011"/>
      <c r="J1011"/>
      <c r="K1011"/>
      <c r="L1011"/>
      <c r="M1011"/>
      <c r="N1011"/>
      <c r="O1011"/>
      <c r="P1011"/>
      <c r="Q1011"/>
      <c r="R1011"/>
      <c r="S1011"/>
      <c r="T1011"/>
      <c r="U1011"/>
      <c r="V1011"/>
    </row>
    <row r="1012" spans="1:22" x14ac:dyDescent="0.3">
      <c r="A1012"/>
      <c r="B1012"/>
      <c r="C1012"/>
      <c r="D1012"/>
      <c r="E1012"/>
      <c r="F1012"/>
      <c r="G1012"/>
      <c r="H1012"/>
      <c r="I1012"/>
      <c r="J1012"/>
      <c r="K1012"/>
      <c r="L1012"/>
      <c r="M1012"/>
      <c r="N1012"/>
      <c r="O1012"/>
      <c r="P1012"/>
      <c r="Q1012"/>
      <c r="R1012"/>
      <c r="S1012"/>
      <c r="T1012"/>
      <c r="U1012"/>
      <c r="V1012"/>
    </row>
    <row r="1013" spans="1:22" x14ac:dyDescent="0.3">
      <c r="A1013"/>
      <c r="B1013"/>
      <c r="C1013"/>
      <c r="D1013"/>
      <c r="E1013"/>
      <c r="F1013"/>
      <c r="G1013"/>
      <c r="H1013"/>
      <c r="I1013"/>
      <c r="J1013"/>
      <c r="K1013"/>
      <c r="L1013"/>
      <c r="M1013"/>
      <c r="N1013"/>
      <c r="O1013"/>
      <c r="P1013"/>
      <c r="Q1013"/>
      <c r="R1013"/>
      <c r="S1013"/>
      <c r="T1013"/>
      <c r="U1013"/>
      <c r="V1013"/>
    </row>
    <row r="1014" spans="1:22" x14ac:dyDescent="0.3">
      <c r="A1014"/>
      <c r="B1014"/>
      <c r="C1014"/>
      <c r="D1014"/>
      <c r="E1014"/>
      <c r="F1014"/>
      <c r="G1014"/>
      <c r="H1014"/>
      <c r="I1014"/>
      <c r="J1014"/>
      <c r="K1014"/>
      <c r="L1014"/>
      <c r="M1014"/>
      <c r="N1014"/>
      <c r="O1014"/>
      <c r="P1014"/>
      <c r="Q1014"/>
      <c r="R1014"/>
      <c r="S1014"/>
      <c r="T1014"/>
      <c r="U1014"/>
      <c r="V1014"/>
    </row>
    <row r="1015" spans="1:22" x14ac:dyDescent="0.3">
      <c r="A1015"/>
      <c r="B1015"/>
      <c r="C1015"/>
      <c r="D1015"/>
      <c r="E1015"/>
      <c r="F1015"/>
      <c r="G1015"/>
      <c r="H1015"/>
      <c r="I1015"/>
      <c r="J1015"/>
      <c r="K1015"/>
      <c r="L1015"/>
      <c r="M1015"/>
      <c r="N1015"/>
      <c r="O1015"/>
      <c r="P1015"/>
      <c r="Q1015"/>
      <c r="R1015"/>
      <c r="S1015"/>
      <c r="T1015"/>
      <c r="U1015"/>
      <c r="V1015"/>
    </row>
    <row r="1016" spans="1:22" x14ac:dyDescent="0.3">
      <c r="A1016"/>
      <c r="B1016"/>
      <c r="C1016"/>
      <c r="D1016"/>
      <c r="E1016"/>
      <c r="F1016"/>
      <c r="G1016"/>
      <c r="H1016"/>
      <c r="I1016"/>
      <c r="J1016"/>
      <c r="K1016"/>
      <c r="L1016"/>
      <c r="M1016"/>
      <c r="N1016"/>
      <c r="O1016"/>
      <c r="P1016"/>
      <c r="Q1016"/>
      <c r="R1016"/>
      <c r="S1016"/>
      <c r="T1016"/>
      <c r="U1016"/>
      <c r="V1016"/>
    </row>
    <row r="1017" spans="1:22" x14ac:dyDescent="0.3">
      <c r="A1017"/>
      <c r="B1017"/>
      <c r="C1017"/>
      <c r="D1017"/>
      <c r="E1017"/>
      <c r="F1017"/>
      <c r="G1017"/>
      <c r="H1017"/>
      <c r="I1017"/>
      <c r="J1017"/>
      <c r="K1017"/>
      <c r="L1017"/>
      <c r="M1017"/>
      <c r="N1017"/>
      <c r="O1017"/>
      <c r="P1017"/>
      <c r="Q1017"/>
      <c r="R1017"/>
      <c r="S1017"/>
      <c r="T1017"/>
      <c r="U1017"/>
      <c r="V1017"/>
    </row>
    <row r="1018" spans="1:22" x14ac:dyDescent="0.3">
      <c r="A1018"/>
      <c r="B1018"/>
      <c r="C1018"/>
      <c r="D1018"/>
      <c r="E1018"/>
      <c r="F1018"/>
      <c r="G1018"/>
      <c r="H1018"/>
      <c r="I1018"/>
      <c r="J1018"/>
      <c r="K1018"/>
      <c r="L1018"/>
      <c r="M1018"/>
      <c r="N1018"/>
      <c r="O1018"/>
      <c r="P1018"/>
      <c r="Q1018"/>
      <c r="R1018"/>
      <c r="S1018"/>
      <c r="T1018"/>
      <c r="U1018"/>
      <c r="V1018"/>
    </row>
    <row r="1019" spans="1:22" x14ac:dyDescent="0.3">
      <c r="A1019"/>
      <c r="B1019"/>
      <c r="C1019"/>
      <c r="D1019"/>
      <c r="E1019"/>
      <c r="F1019"/>
      <c r="G1019"/>
      <c r="H1019"/>
      <c r="I1019"/>
      <c r="J1019"/>
      <c r="K1019"/>
      <c r="L1019"/>
      <c r="M1019"/>
      <c r="N1019"/>
      <c r="O1019"/>
      <c r="P1019"/>
      <c r="Q1019"/>
      <c r="R1019"/>
      <c r="S1019"/>
      <c r="T1019"/>
      <c r="U1019"/>
      <c r="V1019"/>
    </row>
    <row r="1020" spans="1:22" x14ac:dyDescent="0.3">
      <c r="A1020"/>
      <c r="B1020"/>
      <c r="C1020"/>
      <c r="D1020"/>
      <c r="E1020"/>
      <c r="F1020"/>
      <c r="G1020"/>
      <c r="H1020"/>
      <c r="I1020"/>
      <c r="J1020"/>
      <c r="K1020"/>
      <c r="L1020"/>
      <c r="M1020"/>
      <c r="N1020"/>
      <c r="O1020"/>
      <c r="P1020"/>
      <c r="Q1020"/>
      <c r="R1020"/>
      <c r="S1020"/>
      <c r="T1020"/>
      <c r="U1020"/>
      <c r="V1020"/>
    </row>
    <row r="1021" spans="1:22" x14ac:dyDescent="0.3">
      <c r="A1021"/>
      <c r="B1021"/>
      <c r="C1021"/>
      <c r="D1021"/>
      <c r="E1021"/>
      <c r="F1021"/>
      <c r="G1021"/>
      <c r="H1021"/>
      <c r="I1021"/>
      <c r="J1021"/>
      <c r="K1021"/>
      <c r="L1021"/>
      <c r="M1021"/>
      <c r="N1021"/>
      <c r="O1021"/>
      <c r="P1021"/>
      <c r="Q1021"/>
      <c r="R1021"/>
      <c r="S1021"/>
      <c r="T1021"/>
      <c r="U1021"/>
      <c r="V1021"/>
    </row>
    <row r="1022" spans="1:22" x14ac:dyDescent="0.3">
      <c r="A1022"/>
      <c r="B1022"/>
      <c r="C1022"/>
      <c r="D1022"/>
      <c r="E1022"/>
      <c r="F1022"/>
      <c r="G1022"/>
      <c r="H1022"/>
      <c r="I1022"/>
      <c r="J1022"/>
      <c r="K1022"/>
      <c r="L1022"/>
      <c r="M1022"/>
      <c r="N1022"/>
      <c r="O1022"/>
      <c r="P1022"/>
      <c r="Q1022"/>
      <c r="R1022"/>
      <c r="S1022"/>
      <c r="T1022"/>
      <c r="U1022"/>
      <c r="V1022"/>
    </row>
    <row r="1023" spans="1:22" x14ac:dyDescent="0.3">
      <c r="A1023"/>
      <c r="B1023"/>
      <c r="C1023"/>
      <c r="D1023"/>
      <c r="E1023"/>
      <c r="F1023"/>
      <c r="G1023"/>
      <c r="H1023"/>
      <c r="I1023"/>
      <c r="J1023"/>
      <c r="K1023"/>
      <c r="L1023"/>
      <c r="M1023"/>
      <c r="N1023"/>
      <c r="O1023"/>
      <c r="P1023"/>
      <c r="Q1023"/>
      <c r="R1023"/>
      <c r="S1023"/>
      <c r="T1023"/>
      <c r="U1023"/>
      <c r="V1023"/>
    </row>
    <row r="1024" spans="1:22" x14ac:dyDescent="0.3">
      <c r="A1024"/>
      <c r="B1024"/>
      <c r="C1024"/>
      <c r="D1024"/>
      <c r="E1024"/>
      <c r="F1024"/>
      <c r="G1024"/>
      <c r="H1024"/>
      <c r="I1024"/>
      <c r="J1024"/>
      <c r="K1024"/>
      <c r="L1024"/>
      <c r="M1024"/>
      <c r="N1024"/>
      <c r="O1024"/>
      <c r="P1024"/>
      <c r="Q1024"/>
      <c r="R1024"/>
      <c r="S1024"/>
      <c r="T1024"/>
      <c r="U1024"/>
      <c r="V1024"/>
    </row>
    <row r="1025" spans="1:22" x14ac:dyDescent="0.3">
      <c r="A1025"/>
      <c r="B1025"/>
      <c r="C1025"/>
      <c r="D1025"/>
      <c r="E1025"/>
      <c r="F1025"/>
      <c r="G1025"/>
      <c r="H1025"/>
      <c r="I1025"/>
      <c r="J1025"/>
      <c r="K1025"/>
      <c r="L1025"/>
      <c r="M1025"/>
      <c r="N1025"/>
      <c r="O1025"/>
      <c r="P1025"/>
      <c r="Q1025"/>
      <c r="R1025"/>
      <c r="S1025"/>
      <c r="T1025"/>
      <c r="U1025"/>
      <c r="V1025"/>
    </row>
    <row r="1026" spans="1:22" x14ac:dyDescent="0.3">
      <c r="A1026"/>
      <c r="B1026"/>
      <c r="C1026"/>
      <c r="D1026"/>
      <c r="E1026"/>
      <c r="F1026"/>
      <c r="G1026"/>
      <c r="H1026"/>
      <c r="I1026"/>
      <c r="J1026"/>
      <c r="K1026"/>
      <c r="L1026"/>
      <c r="M1026"/>
      <c r="N1026"/>
      <c r="O1026"/>
      <c r="P1026"/>
      <c r="Q1026"/>
      <c r="R1026"/>
      <c r="S1026"/>
      <c r="T1026"/>
      <c r="U1026"/>
      <c r="V1026"/>
    </row>
    <row r="1027" spans="1:22" x14ac:dyDescent="0.3">
      <c r="A1027"/>
      <c r="B1027"/>
      <c r="C1027"/>
      <c r="D1027"/>
      <c r="E1027"/>
      <c r="F1027"/>
      <c r="G1027"/>
      <c r="H1027"/>
      <c r="I1027"/>
      <c r="J1027"/>
      <c r="K1027"/>
      <c r="L1027"/>
      <c r="M1027"/>
      <c r="N1027"/>
      <c r="O1027"/>
      <c r="P1027"/>
      <c r="Q1027"/>
      <c r="R1027"/>
      <c r="S1027"/>
      <c r="T1027"/>
      <c r="U1027"/>
      <c r="V1027"/>
    </row>
    <row r="1028" spans="1:22" x14ac:dyDescent="0.3">
      <c r="A1028"/>
      <c r="B1028"/>
      <c r="C1028"/>
      <c r="D1028"/>
      <c r="E1028"/>
      <c r="F1028"/>
      <c r="G1028"/>
      <c r="H1028"/>
      <c r="I1028"/>
      <c r="J1028"/>
      <c r="K1028"/>
      <c r="L1028"/>
      <c r="M1028"/>
      <c r="N1028"/>
      <c r="O1028"/>
      <c r="P1028"/>
      <c r="Q1028"/>
      <c r="R1028"/>
      <c r="S1028"/>
      <c r="T1028"/>
      <c r="U1028"/>
      <c r="V1028"/>
    </row>
    <row r="1029" spans="1:22" x14ac:dyDescent="0.3">
      <c r="A1029"/>
      <c r="B1029"/>
      <c r="C1029"/>
      <c r="D1029"/>
      <c r="E1029"/>
      <c r="F1029"/>
      <c r="G1029"/>
      <c r="H1029"/>
      <c r="I1029"/>
      <c r="J1029"/>
      <c r="K1029"/>
      <c r="L1029"/>
      <c r="M1029"/>
      <c r="N1029"/>
      <c r="O1029"/>
      <c r="P1029"/>
      <c r="Q1029"/>
      <c r="R1029"/>
      <c r="S1029"/>
      <c r="T1029"/>
      <c r="U1029"/>
      <c r="V1029"/>
    </row>
    <row r="1030" spans="1:22" x14ac:dyDescent="0.3">
      <c r="A1030"/>
      <c r="B1030"/>
      <c r="C1030"/>
      <c r="D1030"/>
      <c r="E1030"/>
      <c r="F1030"/>
      <c r="G1030"/>
      <c r="H1030"/>
      <c r="I1030"/>
      <c r="J1030"/>
      <c r="K1030"/>
      <c r="L1030"/>
      <c r="M1030"/>
      <c r="N1030"/>
      <c r="O1030"/>
      <c r="P1030"/>
      <c r="Q1030"/>
      <c r="R1030"/>
      <c r="S1030"/>
      <c r="T1030"/>
      <c r="U1030"/>
      <c r="V1030"/>
    </row>
    <row r="1031" spans="1:22" x14ac:dyDescent="0.3">
      <c r="A1031"/>
      <c r="B1031"/>
      <c r="C1031"/>
      <c r="D1031"/>
      <c r="E1031"/>
      <c r="F1031"/>
      <c r="G1031"/>
      <c r="H1031"/>
      <c r="I1031"/>
      <c r="J1031"/>
      <c r="K1031"/>
      <c r="L1031"/>
      <c r="M1031"/>
      <c r="N1031"/>
      <c r="O1031"/>
      <c r="P1031"/>
      <c r="Q1031"/>
      <c r="R1031"/>
      <c r="S1031"/>
      <c r="T1031"/>
      <c r="U1031"/>
      <c r="V1031"/>
    </row>
    <row r="1032" spans="1:22" x14ac:dyDescent="0.3">
      <c r="A1032"/>
      <c r="B1032"/>
      <c r="C1032"/>
      <c r="D1032"/>
      <c r="E1032"/>
      <c r="F1032"/>
      <c r="G1032"/>
      <c r="H1032"/>
      <c r="I1032"/>
      <c r="J1032"/>
      <c r="K1032"/>
      <c r="L1032"/>
      <c r="M1032"/>
      <c r="N1032"/>
      <c r="O1032"/>
      <c r="P1032"/>
      <c r="Q1032"/>
      <c r="R1032"/>
      <c r="S1032"/>
      <c r="T1032"/>
      <c r="U1032"/>
      <c r="V1032"/>
    </row>
    <row r="1033" spans="1:22" x14ac:dyDescent="0.3">
      <c r="A1033"/>
      <c r="B1033"/>
      <c r="C1033"/>
      <c r="D1033"/>
      <c r="E1033"/>
      <c r="F1033"/>
      <c r="G1033"/>
      <c r="H1033"/>
      <c r="I1033"/>
      <c r="J1033"/>
      <c r="K1033"/>
      <c r="L1033"/>
      <c r="M1033"/>
      <c r="N1033"/>
      <c r="O1033"/>
      <c r="P1033"/>
      <c r="Q1033"/>
      <c r="R1033"/>
      <c r="S1033"/>
      <c r="T1033"/>
      <c r="U1033"/>
      <c r="V1033"/>
    </row>
    <row r="1034" spans="1:22" x14ac:dyDescent="0.3">
      <c r="A1034"/>
      <c r="B1034"/>
      <c r="C1034"/>
      <c r="D1034"/>
      <c r="E1034"/>
      <c r="F1034"/>
      <c r="G1034"/>
      <c r="H1034"/>
      <c r="I1034"/>
      <c r="J1034"/>
      <c r="K1034"/>
      <c r="L1034"/>
      <c r="M1034"/>
      <c r="N1034"/>
      <c r="O1034"/>
      <c r="P1034"/>
      <c r="Q1034"/>
      <c r="R1034"/>
      <c r="S1034"/>
      <c r="T1034"/>
      <c r="U1034"/>
      <c r="V1034"/>
    </row>
    <row r="1035" spans="1:22" x14ac:dyDescent="0.3">
      <c r="A1035"/>
      <c r="B1035"/>
      <c r="C1035"/>
      <c r="D1035"/>
      <c r="E1035"/>
      <c r="F1035"/>
      <c r="G1035"/>
      <c r="H1035"/>
      <c r="I1035"/>
      <c r="J1035"/>
      <c r="K1035"/>
      <c r="L1035"/>
      <c r="M1035"/>
      <c r="N1035"/>
      <c r="O1035"/>
      <c r="P1035"/>
      <c r="Q1035"/>
      <c r="R1035"/>
      <c r="S1035"/>
      <c r="T1035"/>
      <c r="U1035"/>
      <c r="V1035"/>
    </row>
    <row r="1036" spans="1:22" x14ac:dyDescent="0.3">
      <c r="A1036"/>
      <c r="B1036"/>
      <c r="C1036"/>
      <c r="D1036"/>
      <c r="E1036"/>
      <c r="F1036"/>
      <c r="G1036"/>
      <c r="H1036"/>
      <c r="I1036"/>
      <c r="J1036"/>
      <c r="K1036"/>
      <c r="L1036"/>
      <c r="M1036"/>
      <c r="N1036"/>
      <c r="O1036"/>
      <c r="P1036"/>
      <c r="Q1036"/>
      <c r="R1036"/>
      <c r="S1036"/>
      <c r="T1036"/>
      <c r="U1036"/>
      <c r="V1036"/>
    </row>
    <row r="1037" spans="1:22" x14ac:dyDescent="0.3">
      <c r="A1037"/>
      <c r="B1037"/>
      <c r="C1037"/>
      <c r="D1037"/>
      <c r="E1037"/>
      <c r="F1037"/>
      <c r="G1037"/>
      <c r="H1037"/>
      <c r="I1037"/>
      <c r="J1037"/>
      <c r="K1037"/>
      <c r="L1037"/>
      <c r="M1037"/>
      <c r="N1037"/>
      <c r="O1037"/>
      <c r="P1037"/>
      <c r="Q1037"/>
      <c r="R1037"/>
      <c r="S1037"/>
      <c r="T1037"/>
      <c r="U1037"/>
      <c r="V1037"/>
    </row>
    <row r="1038" spans="1:22" x14ac:dyDescent="0.3">
      <c r="A1038"/>
      <c r="B1038"/>
      <c r="C1038"/>
      <c r="D1038"/>
      <c r="E1038"/>
      <c r="F1038"/>
      <c r="G1038"/>
      <c r="H1038"/>
      <c r="I1038"/>
      <c r="J1038"/>
      <c r="K1038"/>
      <c r="L1038"/>
      <c r="M1038"/>
      <c r="N1038"/>
      <c r="O1038"/>
      <c r="P1038"/>
      <c r="Q1038"/>
      <c r="R1038"/>
      <c r="S1038"/>
      <c r="T1038"/>
      <c r="U1038"/>
      <c r="V1038"/>
    </row>
    <row r="1039" spans="1:22" x14ac:dyDescent="0.3">
      <c r="A1039"/>
      <c r="B1039"/>
      <c r="C1039"/>
      <c r="D1039"/>
      <c r="E1039"/>
      <c r="F1039"/>
      <c r="G1039"/>
      <c r="H1039"/>
      <c r="I1039"/>
      <c r="J1039"/>
      <c r="K1039"/>
      <c r="L1039"/>
      <c r="M1039"/>
      <c r="N1039"/>
      <c r="O1039"/>
      <c r="P1039"/>
      <c r="Q1039"/>
      <c r="R1039"/>
      <c r="S1039"/>
      <c r="T1039"/>
      <c r="U1039"/>
      <c r="V1039"/>
    </row>
    <row r="1040" spans="1:22" x14ac:dyDescent="0.3">
      <c r="A1040"/>
      <c r="B1040"/>
      <c r="C1040"/>
      <c r="D1040"/>
      <c r="E1040"/>
      <c r="F1040"/>
      <c r="G1040"/>
      <c r="H1040"/>
      <c r="I1040"/>
      <c r="J1040"/>
      <c r="K1040"/>
      <c r="L1040"/>
      <c r="M1040"/>
      <c r="N1040"/>
      <c r="O1040"/>
      <c r="P1040"/>
      <c r="Q1040"/>
      <c r="R1040"/>
      <c r="S1040"/>
      <c r="T1040"/>
      <c r="U1040"/>
      <c r="V1040"/>
    </row>
    <row r="1041" spans="1:22" x14ac:dyDescent="0.3">
      <c r="A1041"/>
      <c r="B1041"/>
      <c r="C1041"/>
      <c r="D1041"/>
      <c r="E1041"/>
      <c r="F1041"/>
      <c r="G1041"/>
      <c r="H1041"/>
      <c r="I1041"/>
      <c r="J1041"/>
      <c r="K1041"/>
      <c r="L1041"/>
      <c r="M1041"/>
      <c r="N1041"/>
      <c r="O1041"/>
      <c r="P1041"/>
      <c r="Q1041"/>
      <c r="R1041"/>
      <c r="S1041"/>
      <c r="T1041"/>
      <c r="U1041"/>
      <c r="V1041"/>
    </row>
    <row r="1042" spans="1:22" x14ac:dyDescent="0.3">
      <c r="A1042"/>
      <c r="B1042"/>
      <c r="C1042"/>
      <c r="D1042"/>
      <c r="E1042"/>
      <c r="F1042"/>
      <c r="G1042"/>
      <c r="H1042"/>
      <c r="I1042"/>
      <c r="J1042"/>
      <c r="K1042"/>
      <c r="L1042"/>
      <c r="M1042"/>
      <c r="N1042"/>
      <c r="O1042"/>
      <c r="P1042"/>
      <c r="Q1042"/>
      <c r="R1042"/>
      <c r="S1042"/>
      <c r="T1042"/>
      <c r="U1042"/>
      <c r="V1042"/>
    </row>
    <row r="1043" spans="1:22" x14ac:dyDescent="0.3">
      <c r="A1043"/>
      <c r="B1043"/>
      <c r="C1043"/>
      <c r="D1043"/>
      <c r="E1043"/>
      <c r="F1043"/>
      <c r="G1043"/>
      <c r="H1043"/>
      <c r="I1043"/>
      <c r="J1043"/>
      <c r="K1043"/>
      <c r="L1043"/>
      <c r="M1043"/>
      <c r="N1043"/>
      <c r="O1043"/>
      <c r="P1043"/>
      <c r="Q1043"/>
      <c r="R1043"/>
      <c r="S1043"/>
      <c r="T1043"/>
      <c r="U1043"/>
      <c r="V1043"/>
    </row>
    <row r="1044" spans="1:22" x14ac:dyDescent="0.3">
      <c r="A1044"/>
      <c r="B1044"/>
      <c r="C1044"/>
      <c r="D1044"/>
      <c r="E1044"/>
      <c r="F1044"/>
      <c r="G1044"/>
      <c r="H1044"/>
      <c r="I1044"/>
      <c r="J1044"/>
      <c r="K1044"/>
      <c r="L1044"/>
      <c r="M1044"/>
      <c r="N1044"/>
      <c r="O1044"/>
      <c r="P1044"/>
      <c r="Q1044"/>
      <c r="R1044"/>
      <c r="S1044"/>
      <c r="T1044"/>
      <c r="U1044"/>
      <c r="V1044"/>
    </row>
    <row r="1045" spans="1:22" x14ac:dyDescent="0.3">
      <c r="A1045"/>
      <c r="B1045"/>
      <c r="C1045"/>
      <c r="D1045"/>
      <c r="E1045"/>
      <c r="F1045"/>
      <c r="G1045"/>
      <c r="H1045"/>
      <c r="I1045"/>
      <c r="J1045"/>
      <c r="K1045"/>
      <c r="L1045"/>
      <c r="M1045"/>
      <c r="N1045"/>
      <c r="O1045"/>
      <c r="P1045"/>
      <c r="Q1045"/>
      <c r="R1045"/>
      <c r="S1045"/>
      <c r="T1045"/>
      <c r="U1045"/>
      <c r="V1045"/>
    </row>
    <row r="1046" spans="1:22" x14ac:dyDescent="0.3">
      <c r="A1046"/>
      <c r="B1046"/>
      <c r="C1046"/>
      <c r="D1046"/>
      <c r="E1046"/>
      <c r="F1046"/>
      <c r="G1046"/>
      <c r="H1046"/>
      <c r="I1046"/>
      <c r="J1046"/>
      <c r="K1046"/>
      <c r="L1046"/>
      <c r="M1046"/>
      <c r="N1046"/>
      <c r="O1046"/>
      <c r="P1046"/>
      <c r="Q1046"/>
      <c r="R1046"/>
      <c r="S1046"/>
      <c r="T1046"/>
      <c r="U1046"/>
      <c r="V1046"/>
    </row>
    <row r="1047" spans="1:22" x14ac:dyDescent="0.3">
      <c r="A1047"/>
      <c r="B1047"/>
      <c r="C1047"/>
      <c r="D1047"/>
      <c r="E1047"/>
      <c r="F1047"/>
      <c r="G1047"/>
      <c r="H1047"/>
      <c r="I1047"/>
      <c r="J1047"/>
      <c r="K1047"/>
      <c r="L1047"/>
      <c r="M1047"/>
      <c r="N1047"/>
      <c r="O1047"/>
      <c r="P1047"/>
      <c r="Q1047"/>
      <c r="R1047"/>
      <c r="S1047"/>
      <c r="T1047"/>
      <c r="U1047"/>
      <c r="V1047"/>
    </row>
    <row r="1048" spans="1:22" x14ac:dyDescent="0.3">
      <c r="A1048"/>
      <c r="B1048"/>
      <c r="C1048"/>
      <c r="D1048"/>
      <c r="E1048"/>
      <c r="F1048"/>
      <c r="G1048"/>
      <c r="H1048"/>
      <c r="I1048"/>
      <c r="J1048"/>
      <c r="K1048"/>
      <c r="L1048"/>
      <c r="M1048"/>
      <c r="N1048"/>
      <c r="O1048"/>
      <c r="P1048"/>
      <c r="Q1048"/>
      <c r="R1048"/>
      <c r="S1048"/>
      <c r="T1048"/>
      <c r="U1048"/>
      <c r="V1048"/>
    </row>
    <row r="1049" spans="1:22" x14ac:dyDescent="0.3">
      <c r="A1049"/>
      <c r="B1049"/>
      <c r="C1049"/>
      <c r="D1049"/>
      <c r="E1049"/>
      <c r="F1049"/>
      <c r="G1049"/>
      <c r="H1049"/>
      <c r="I1049"/>
      <c r="J1049"/>
      <c r="K1049"/>
      <c r="L1049"/>
      <c r="M1049"/>
      <c r="N1049"/>
      <c r="O1049"/>
      <c r="P1049"/>
      <c r="Q1049"/>
      <c r="R1049"/>
      <c r="S1049"/>
      <c r="T1049"/>
      <c r="U1049"/>
      <c r="V1049"/>
    </row>
    <row r="1050" spans="1:22" x14ac:dyDescent="0.3">
      <c r="A1050"/>
      <c r="B1050"/>
      <c r="C1050"/>
      <c r="D1050"/>
      <c r="E1050"/>
      <c r="F1050"/>
      <c r="G1050"/>
      <c r="H1050"/>
      <c r="I1050"/>
      <c r="J1050"/>
      <c r="K1050"/>
      <c r="L1050"/>
      <c r="M1050"/>
      <c r="N1050"/>
      <c r="O1050"/>
      <c r="P1050"/>
      <c r="Q1050"/>
      <c r="R1050"/>
      <c r="S1050"/>
      <c r="T1050"/>
      <c r="U1050"/>
      <c r="V1050"/>
    </row>
    <row r="1051" spans="1:22" x14ac:dyDescent="0.3">
      <c r="A1051"/>
      <c r="B1051"/>
      <c r="C1051"/>
      <c r="D1051"/>
      <c r="E1051"/>
      <c r="F1051"/>
      <c r="G1051"/>
      <c r="H1051"/>
      <c r="I1051"/>
      <c r="J1051"/>
      <c r="K1051"/>
      <c r="L1051"/>
      <c r="M1051"/>
      <c r="N1051"/>
      <c r="O1051"/>
      <c r="P1051"/>
      <c r="Q1051"/>
      <c r="R1051"/>
      <c r="S1051"/>
      <c r="T1051"/>
      <c r="U1051"/>
      <c r="V1051"/>
    </row>
    <row r="1052" spans="1:22" x14ac:dyDescent="0.3">
      <c r="A1052"/>
      <c r="B1052"/>
      <c r="C1052"/>
      <c r="D1052"/>
      <c r="E1052"/>
      <c r="F1052"/>
      <c r="G1052"/>
      <c r="H1052"/>
      <c r="I1052"/>
      <c r="J1052"/>
      <c r="K1052"/>
      <c r="L1052"/>
      <c r="M1052"/>
      <c r="N1052"/>
      <c r="O1052"/>
      <c r="P1052"/>
      <c r="Q1052"/>
      <c r="R1052"/>
      <c r="S1052"/>
      <c r="T1052"/>
      <c r="U1052"/>
      <c r="V1052"/>
    </row>
    <row r="1053" spans="1:22" x14ac:dyDescent="0.3">
      <c r="A1053"/>
      <c r="B1053"/>
      <c r="C1053"/>
      <c r="D1053"/>
      <c r="E1053"/>
      <c r="F1053"/>
      <c r="G1053"/>
      <c r="H1053"/>
      <c r="I1053"/>
      <c r="J1053"/>
      <c r="K1053"/>
      <c r="L1053"/>
      <c r="M1053"/>
      <c r="N1053"/>
      <c r="O1053"/>
      <c r="P1053"/>
      <c r="Q1053"/>
      <c r="R1053"/>
      <c r="S1053"/>
      <c r="T1053"/>
      <c r="U1053"/>
      <c r="V1053"/>
    </row>
    <row r="1054" spans="1:22" x14ac:dyDescent="0.3">
      <c r="A1054"/>
      <c r="B1054"/>
      <c r="C1054"/>
      <c r="D1054"/>
      <c r="E1054"/>
      <c r="F1054"/>
      <c r="G1054"/>
      <c r="H1054"/>
      <c r="I1054"/>
      <c r="J1054"/>
      <c r="K1054"/>
      <c r="L1054"/>
      <c r="M1054"/>
      <c r="N1054"/>
      <c r="O1054"/>
      <c r="P1054"/>
      <c r="Q1054"/>
      <c r="R1054"/>
      <c r="S1054"/>
      <c r="T1054"/>
      <c r="U1054"/>
      <c r="V1054"/>
    </row>
  </sheetData>
  <sortState xmlns:xlrd2="http://schemas.microsoft.com/office/spreadsheetml/2017/richdata2" ref="A7:W228">
    <sortCondition ref="F7"/>
    <sortCondition ref="G7"/>
    <sortCondition ref="J7"/>
  </sortState>
  <dataConsolidate link="1"/>
  <mergeCells count="38">
    <mergeCell ref="H4:J4"/>
    <mergeCell ref="K4:L5"/>
    <mergeCell ref="N1:N3"/>
    <mergeCell ref="G3:L3"/>
    <mergeCell ref="G1:J1"/>
    <mergeCell ref="K1:M1"/>
    <mergeCell ref="R1:R3"/>
    <mergeCell ref="S1:S3"/>
    <mergeCell ref="A4:B4"/>
    <mergeCell ref="C4:C5"/>
    <mergeCell ref="D4:D5"/>
    <mergeCell ref="E4:E5"/>
    <mergeCell ref="A1:B3"/>
    <mergeCell ref="C1:F1"/>
    <mergeCell ref="M4:M5"/>
    <mergeCell ref="N4:N5"/>
    <mergeCell ref="C2:E2"/>
    <mergeCell ref="G2:L2"/>
    <mergeCell ref="M2:M3"/>
    <mergeCell ref="D3:E3"/>
    <mergeCell ref="F4:F5"/>
    <mergeCell ref="G4:G5"/>
    <mergeCell ref="P1:P3"/>
    <mergeCell ref="Q1:Q3"/>
    <mergeCell ref="O4:O5"/>
    <mergeCell ref="V1:V3"/>
    <mergeCell ref="W1:W3"/>
    <mergeCell ref="T1:T3"/>
    <mergeCell ref="U1:U3"/>
    <mergeCell ref="U4:U5"/>
    <mergeCell ref="V4:V5"/>
    <mergeCell ref="W4:W5"/>
    <mergeCell ref="P4:P5"/>
    <mergeCell ref="Q4:Q5"/>
    <mergeCell ref="R4:R5"/>
    <mergeCell ref="S4:S5"/>
    <mergeCell ref="T4:T5"/>
    <mergeCell ref="O1:O3"/>
  </mergeCells>
  <phoneticPr fontId="10" type="noConversion"/>
  <printOptions horizontalCentered="1" gridLines="1"/>
  <pageMargins left="0.19685039370078741" right="0.19685039370078741" top="0.39370078740157483" bottom="0.35433070866141736" header="0.19685039370078741" footer="0.19685039370078741"/>
  <pageSetup paperSize="9" orientation="landscape" blackAndWhite="1" horizontalDpi="360" verticalDpi="360" r:id="rId1"/>
  <headerFooter alignWithMargins="0">
    <oddHeader>&amp;RLeht &amp;P / Lehti &amp;N</oddHeader>
    <oddFooter>&amp;L&amp;F&amp;R&amp;T - &amp;D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Leht3">
    <pageSetUpPr fitToPage="1"/>
  </sheetPr>
  <dimension ref="A1:Y649"/>
  <sheetViews>
    <sheetView topLeftCell="A80" workbookViewId="0">
      <selection activeCell="H113" sqref="H113"/>
    </sheetView>
  </sheetViews>
  <sheetFormatPr defaultColWidth="9.125" defaultRowHeight="16.3" x14ac:dyDescent="0.3"/>
  <cols>
    <col min="1" max="1" width="6.125" style="3" customWidth="1"/>
    <col min="2" max="2" width="9.125" style="3" bestFit="1" customWidth="1"/>
    <col min="3" max="3" width="10.375" style="5" customWidth="1"/>
    <col min="4" max="4" width="16.75" style="4" bestFit="1" customWidth="1"/>
    <col min="5" max="5" width="10.875" style="8" customWidth="1"/>
    <col min="6" max="6" width="29.25" style="5" customWidth="1"/>
    <col min="7" max="7" width="13.25" style="5" customWidth="1"/>
    <col min="8" max="8" width="10.375" style="6" bestFit="1" customWidth="1"/>
    <col min="9" max="9" width="1.75" style="5" customWidth="1"/>
    <col min="10" max="10" width="8" style="6" customWidth="1"/>
    <col min="11" max="11" width="5.125" style="6" hidden="1" customWidth="1"/>
    <col min="12" max="12" width="13" style="3" customWidth="1"/>
    <col min="13" max="13" width="18.375" style="5" customWidth="1"/>
    <col min="14" max="14" width="10.625" style="5" customWidth="1"/>
    <col min="15" max="16" width="3.625" style="5" customWidth="1"/>
    <col min="17" max="17" width="19.375" style="5" customWidth="1"/>
    <col min="18" max="18" width="11.75" style="5" bestFit="1" customWidth="1"/>
    <col min="19" max="19" width="10.25" style="5" customWidth="1"/>
    <col min="20" max="21" width="17.75" style="5" customWidth="1"/>
    <col min="22" max="22" width="3.625" style="5" customWidth="1"/>
    <col min="23" max="23" width="16" style="5" bestFit="1" customWidth="1"/>
    <col min="24" max="24" width="14.75" style="7" customWidth="1"/>
    <col min="25" max="16384" width="9.125" style="7"/>
  </cols>
  <sheetData>
    <row r="1" spans="1:25" ht="39.25" customHeight="1" x14ac:dyDescent="0.3">
      <c r="A1" s="409" t="s">
        <v>128</v>
      </c>
      <c r="B1" s="410"/>
      <c r="C1" s="415" t="s">
        <v>95</v>
      </c>
      <c r="D1" s="415"/>
      <c r="E1" s="415"/>
      <c r="F1" s="415"/>
      <c r="G1" s="427" t="e">
        <f>Number</f>
        <v>#REF!</v>
      </c>
      <c r="H1" s="427"/>
      <c r="I1" s="427"/>
      <c r="J1" s="427"/>
      <c r="K1" s="427" t="s">
        <v>129</v>
      </c>
      <c r="L1" s="427"/>
      <c r="M1" s="427"/>
      <c r="N1" s="400" t="s">
        <v>97</v>
      </c>
      <c r="O1" s="400" t="s">
        <v>97</v>
      </c>
      <c r="P1" s="400" t="s">
        <v>97</v>
      </c>
      <c r="Q1" s="400" t="s">
        <v>97</v>
      </c>
      <c r="R1" s="400" t="s">
        <v>97</v>
      </c>
      <c r="S1" s="400" t="s">
        <v>97</v>
      </c>
      <c r="T1" s="400" t="s">
        <v>97</v>
      </c>
      <c r="U1" s="400" t="s">
        <v>97</v>
      </c>
      <c r="V1" s="428" t="s">
        <v>97</v>
      </c>
      <c r="W1" s="431"/>
      <c r="X1" s="25"/>
      <c r="Y1" s="25"/>
    </row>
    <row r="2" spans="1:25" ht="15.8" customHeight="1" x14ac:dyDescent="0.3">
      <c r="A2" s="411"/>
      <c r="B2" s="412"/>
      <c r="C2" s="417" t="e">
        <f>Kuupäev</f>
        <v>#REF!</v>
      </c>
      <c r="D2" s="417"/>
      <c r="E2" s="417"/>
      <c r="F2" s="234" t="s">
        <v>98</v>
      </c>
      <c r="G2" s="418" t="e">
        <f>Tellija</f>
        <v>#REF!</v>
      </c>
      <c r="H2" s="418"/>
      <c r="I2" s="418"/>
      <c r="J2" s="418"/>
      <c r="K2" s="418"/>
      <c r="L2" s="418"/>
      <c r="M2" s="419" t="s">
        <v>99</v>
      </c>
      <c r="N2" s="401"/>
      <c r="O2" s="401"/>
      <c r="P2" s="401"/>
      <c r="Q2" s="401"/>
      <c r="R2" s="401"/>
      <c r="S2" s="401"/>
      <c r="T2" s="401"/>
      <c r="U2" s="401"/>
      <c r="V2" s="429"/>
      <c r="W2" s="431"/>
      <c r="X2" s="25"/>
      <c r="Y2" s="25"/>
    </row>
    <row r="3" spans="1:25" x14ac:dyDescent="0.3">
      <c r="A3" s="413"/>
      <c r="B3" s="414"/>
      <c r="C3" s="234" t="s">
        <v>100</v>
      </c>
      <c r="D3" s="420" t="e">
        <f>Tehnoloog</f>
        <v>#REF!</v>
      </c>
      <c r="E3" s="420"/>
      <c r="F3" s="234" t="s">
        <v>101</v>
      </c>
      <c r="G3" s="425" t="e">
        <f>Toode</f>
        <v>#REF!</v>
      </c>
      <c r="H3" s="426"/>
      <c r="I3" s="426"/>
      <c r="J3" s="426"/>
      <c r="K3" s="426"/>
      <c r="L3" s="426"/>
      <c r="M3" s="419"/>
      <c r="N3" s="402"/>
      <c r="O3" s="402"/>
      <c r="P3" s="402"/>
      <c r="Q3" s="402"/>
      <c r="R3" s="402"/>
      <c r="S3" s="402"/>
      <c r="T3" s="402"/>
      <c r="U3" s="402"/>
      <c r="V3" s="430"/>
      <c r="W3" s="431"/>
      <c r="X3" s="25"/>
      <c r="Y3" s="25"/>
    </row>
    <row r="4" spans="1:25" x14ac:dyDescent="0.3">
      <c r="A4" s="404" t="s">
        <v>102</v>
      </c>
      <c r="B4" s="404"/>
      <c r="C4" s="403" t="s">
        <v>103</v>
      </c>
      <c r="D4" s="405" t="s">
        <v>104</v>
      </c>
      <c r="E4" s="407" t="s">
        <v>105</v>
      </c>
      <c r="F4" s="403" t="s">
        <v>106</v>
      </c>
      <c r="G4" s="403" t="s">
        <v>107</v>
      </c>
      <c r="H4" s="403" t="s">
        <v>108</v>
      </c>
      <c r="I4" s="403"/>
      <c r="J4" s="403"/>
      <c r="K4" s="421" t="s">
        <v>109</v>
      </c>
      <c r="L4" s="422"/>
      <c r="M4" s="403"/>
      <c r="N4" s="403" t="s">
        <v>110</v>
      </c>
      <c r="O4" s="403" t="s">
        <v>111</v>
      </c>
      <c r="P4" s="403" t="s">
        <v>112</v>
      </c>
      <c r="Q4" s="403" t="s">
        <v>113</v>
      </c>
      <c r="R4" s="403" t="s">
        <v>114</v>
      </c>
      <c r="S4" s="403" t="s">
        <v>115</v>
      </c>
      <c r="T4" s="403" t="s">
        <v>116</v>
      </c>
      <c r="U4" s="403" t="s">
        <v>117</v>
      </c>
      <c r="V4" s="432" t="s">
        <v>118</v>
      </c>
      <c r="W4" s="433"/>
      <c r="X4" s="25"/>
      <c r="Y4" s="25"/>
    </row>
    <row r="5" spans="1:25" x14ac:dyDescent="0.3">
      <c r="A5" s="1" t="s">
        <v>120</v>
      </c>
      <c r="B5" s="1" t="s">
        <v>121</v>
      </c>
      <c r="C5" s="403"/>
      <c r="D5" s="406"/>
      <c r="E5" s="408"/>
      <c r="F5" s="403"/>
      <c r="G5" s="403"/>
      <c r="H5" s="1" t="s">
        <v>122</v>
      </c>
      <c r="I5" s="2"/>
      <c r="J5" s="1" t="s">
        <v>123</v>
      </c>
      <c r="K5" s="423"/>
      <c r="L5" s="424"/>
      <c r="M5" s="403"/>
      <c r="N5" s="403"/>
      <c r="O5" s="403"/>
      <c r="P5" s="403"/>
      <c r="Q5" s="403"/>
      <c r="R5" s="403"/>
      <c r="S5" s="403"/>
      <c r="T5" s="403"/>
      <c r="U5" s="403"/>
      <c r="V5" s="432"/>
      <c r="W5" s="433"/>
      <c r="X5" s="25"/>
      <c r="Y5" s="25"/>
    </row>
    <row r="6" spans="1:25" customFormat="1" ht="14.3" x14ac:dyDescent="0.25"/>
    <row r="7" spans="1:25" customFormat="1" ht="14.3" x14ac:dyDescent="0.25">
      <c r="B7" s="22">
        <v>140.85120000000001</v>
      </c>
      <c r="C7" s="21" t="s">
        <v>97</v>
      </c>
      <c r="D7" s="21" t="s">
        <v>343</v>
      </c>
      <c r="E7" s="21" t="s">
        <v>97</v>
      </c>
      <c r="F7" s="21" t="s">
        <v>406</v>
      </c>
      <c r="G7" s="21" t="s">
        <v>79</v>
      </c>
      <c r="H7" s="20">
        <v>100</v>
      </c>
      <c r="J7" s="20">
        <v>7860</v>
      </c>
      <c r="L7" s="20">
        <v>2</v>
      </c>
      <c r="M7" s="19">
        <v>6.1307999999999998</v>
      </c>
      <c r="P7" t="s">
        <v>78</v>
      </c>
    </row>
    <row r="8" spans="1:25" customFormat="1" ht="14.3" x14ac:dyDescent="0.25">
      <c r="B8" s="22">
        <v>1249.0239999999999</v>
      </c>
      <c r="C8" s="21" t="s">
        <v>97</v>
      </c>
      <c r="D8" s="21" t="s">
        <v>343</v>
      </c>
      <c r="E8" s="21" t="s">
        <v>97</v>
      </c>
      <c r="F8" s="21" t="s">
        <v>406</v>
      </c>
      <c r="G8" s="21" t="s">
        <v>79</v>
      </c>
      <c r="H8" s="20">
        <v>100</v>
      </c>
      <c r="J8" s="20">
        <v>8200</v>
      </c>
      <c r="L8" s="20">
        <v>17</v>
      </c>
      <c r="M8" s="19">
        <v>54.366</v>
      </c>
      <c r="P8" t="s">
        <v>78</v>
      </c>
    </row>
    <row r="9" spans="1:25" customFormat="1" ht="14.3" x14ac:dyDescent="0.25">
      <c r="B9" s="22">
        <v>87.75</v>
      </c>
      <c r="C9" s="21" t="s">
        <v>379</v>
      </c>
      <c r="D9" s="21" t="s">
        <v>76</v>
      </c>
      <c r="E9" s="21" t="s">
        <v>97</v>
      </c>
      <c r="F9" s="21" t="s">
        <v>423</v>
      </c>
      <c r="G9" s="21" t="s">
        <v>79</v>
      </c>
      <c r="H9" s="20">
        <v>100</v>
      </c>
      <c r="J9" s="20">
        <v>2500</v>
      </c>
      <c r="L9" s="20">
        <v>3</v>
      </c>
      <c r="M9" s="19">
        <v>2.895</v>
      </c>
      <c r="P9" t="s">
        <v>78</v>
      </c>
    </row>
    <row r="10" spans="1:25" customFormat="1" ht="14.3" x14ac:dyDescent="0.25">
      <c r="B10" s="22">
        <v>170.82</v>
      </c>
      <c r="C10" s="21" t="s">
        <v>379</v>
      </c>
      <c r="D10" s="21" t="s">
        <v>76</v>
      </c>
      <c r="E10" s="21" t="s">
        <v>97</v>
      </c>
      <c r="F10" s="21" t="s">
        <v>423</v>
      </c>
      <c r="G10" s="21" t="s">
        <v>79</v>
      </c>
      <c r="H10" s="20">
        <v>100</v>
      </c>
      <c r="J10" s="20">
        <v>3650</v>
      </c>
      <c r="L10" s="20">
        <v>4</v>
      </c>
      <c r="M10" s="19">
        <v>5.6356000000000002</v>
      </c>
      <c r="P10" t="s">
        <v>78</v>
      </c>
    </row>
    <row r="11" spans="1:25" customFormat="1" ht="14.3" x14ac:dyDescent="0.25">
      <c r="B11" s="22">
        <v>96.363599999999991</v>
      </c>
      <c r="C11" s="21" t="s">
        <v>97</v>
      </c>
      <c r="D11" s="21" t="s">
        <v>340</v>
      </c>
      <c r="E11" s="21" t="s">
        <v>97</v>
      </c>
      <c r="F11" s="21" t="s">
        <v>459</v>
      </c>
      <c r="G11" s="21" t="s">
        <v>79</v>
      </c>
      <c r="H11" s="20">
        <v>100</v>
      </c>
      <c r="J11" s="20">
        <v>1965</v>
      </c>
      <c r="L11" s="20">
        <v>8</v>
      </c>
      <c r="M11" s="19">
        <v>4.2444000000000006</v>
      </c>
      <c r="P11" t="s">
        <v>78</v>
      </c>
    </row>
    <row r="12" spans="1:25" customFormat="1" ht="14.3" x14ac:dyDescent="0.25">
      <c r="B12" s="22">
        <v>772.38</v>
      </c>
      <c r="C12" s="21" t="s">
        <v>97</v>
      </c>
      <c r="D12" s="21" t="s">
        <v>81</v>
      </c>
      <c r="E12" s="21" t="s">
        <v>97</v>
      </c>
      <c r="F12" s="21" t="s">
        <v>459</v>
      </c>
      <c r="G12" s="21" t="s">
        <v>79</v>
      </c>
      <c r="H12" s="20">
        <v>100</v>
      </c>
      <c r="J12" s="20">
        <v>8400</v>
      </c>
      <c r="L12" s="20">
        <v>15</v>
      </c>
      <c r="M12" s="19">
        <v>34.020000000000003</v>
      </c>
      <c r="P12" t="s">
        <v>78</v>
      </c>
    </row>
    <row r="13" spans="1:25" customFormat="1" ht="14.3" x14ac:dyDescent="0.25">
      <c r="B13" s="22">
        <v>378.89530000000002</v>
      </c>
      <c r="C13" s="21" t="s">
        <v>97</v>
      </c>
      <c r="D13" s="21" t="s">
        <v>340</v>
      </c>
      <c r="E13" s="21" t="s">
        <v>97</v>
      </c>
      <c r="F13" s="21" t="s">
        <v>459</v>
      </c>
      <c r="G13" s="21" t="s">
        <v>79</v>
      </c>
      <c r="H13" s="20">
        <v>100</v>
      </c>
      <c r="J13" s="20">
        <v>8830</v>
      </c>
      <c r="L13" s="20">
        <v>7</v>
      </c>
      <c r="M13" s="19">
        <v>16.688700000000004</v>
      </c>
      <c r="P13" t="s">
        <v>78</v>
      </c>
    </row>
    <row r="14" spans="1:25" customFormat="1" ht="14.3" x14ac:dyDescent="0.25">
      <c r="B14" s="22">
        <v>176.39999999999998</v>
      </c>
      <c r="C14" s="21" t="s">
        <v>97</v>
      </c>
      <c r="D14" s="21" t="s">
        <v>343</v>
      </c>
      <c r="E14" s="21" t="s">
        <v>97</v>
      </c>
      <c r="F14" s="21" t="s">
        <v>485</v>
      </c>
      <c r="G14" s="21" t="s">
        <v>79</v>
      </c>
      <c r="H14" s="20">
        <v>100</v>
      </c>
      <c r="J14" s="20">
        <v>700</v>
      </c>
      <c r="L14" s="20">
        <v>24</v>
      </c>
      <c r="M14" s="19">
        <v>4.7543999999999995</v>
      </c>
      <c r="P14" t="s">
        <v>78</v>
      </c>
    </row>
    <row r="15" spans="1:25" customFormat="1" ht="14.3" x14ac:dyDescent="0.25">
      <c r="B15" s="22">
        <v>14.29785</v>
      </c>
      <c r="C15" s="21" t="s">
        <v>354</v>
      </c>
      <c r="D15" s="21" t="s">
        <v>340</v>
      </c>
      <c r="E15" s="21" t="s">
        <v>97</v>
      </c>
      <c r="F15" s="21" t="s">
        <v>407</v>
      </c>
      <c r="G15" s="21" t="s">
        <v>79</v>
      </c>
      <c r="H15" s="20">
        <v>100</v>
      </c>
      <c r="J15" s="20">
        <v>595</v>
      </c>
      <c r="L15" s="20">
        <v>3</v>
      </c>
      <c r="M15" s="19">
        <v>0.62475000000000003</v>
      </c>
      <c r="P15" t="s">
        <v>78</v>
      </c>
      <c r="Q15">
        <v>4</v>
      </c>
    </row>
    <row r="16" spans="1:25" customFormat="1" ht="14.3" x14ac:dyDescent="0.25">
      <c r="B16" s="22">
        <v>171.6</v>
      </c>
      <c r="C16" s="21" t="s">
        <v>379</v>
      </c>
      <c r="D16" s="21" t="s">
        <v>76</v>
      </c>
      <c r="E16" s="21" t="s">
        <v>97</v>
      </c>
      <c r="F16" s="21" t="s">
        <v>424</v>
      </c>
      <c r="G16" s="21" t="s">
        <v>79</v>
      </c>
      <c r="H16" s="20">
        <v>120</v>
      </c>
      <c r="J16" s="20">
        <v>3000</v>
      </c>
      <c r="L16" s="20">
        <v>4</v>
      </c>
      <c r="M16" s="19">
        <v>5.5919999999999996</v>
      </c>
      <c r="P16" t="s">
        <v>78</v>
      </c>
    </row>
    <row r="17" spans="2:16" customFormat="1" ht="14.3" x14ac:dyDescent="0.25">
      <c r="B17" s="22">
        <v>85.8</v>
      </c>
      <c r="C17" s="21" t="s">
        <v>379</v>
      </c>
      <c r="D17" s="21" t="s">
        <v>76</v>
      </c>
      <c r="E17" s="21" t="s">
        <v>97</v>
      </c>
      <c r="F17" s="21" t="s">
        <v>424</v>
      </c>
      <c r="G17" s="21" t="s">
        <v>79</v>
      </c>
      <c r="H17" s="20">
        <v>120</v>
      </c>
      <c r="J17" s="20">
        <v>3000</v>
      </c>
      <c r="L17" s="20">
        <v>2</v>
      </c>
      <c r="M17" s="19">
        <v>2.7959999999999998</v>
      </c>
      <c r="P17" t="s">
        <v>78</v>
      </c>
    </row>
    <row r="18" spans="2:16" customFormat="1" ht="14.3" x14ac:dyDescent="0.25">
      <c r="B18" s="22">
        <v>492.92099999999999</v>
      </c>
      <c r="C18" s="21" t="s">
        <v>97</v>
      </c>
      <c r="D18" s="21" t="s">
        <v>76</v>
      </c>
      <c r="E18" s="21" t="s">
        <v>97</v>
      </c>
      <c r="F18" s="21" t="s">
        <v>424</v>
      </c>
      <c r="G18" s="21" t="s">
        <v>79</v>
      </c>
      <c r="H18" s="20">
        <v>120</v>
      </c>
      <c r="J18" s="20">
        <v>3830</v>
      </c>
      <c r="L18" s="20">
        <v>9</v>
      </c>
      <c r="M18" s="19">
        <v>16.063020000000002</v>
      </c>
      <c r="P18" t="s">
        <v>78</v>
      </c>
    </row>
    <row r="19" spans="2:16" customFormat="1" ht="14.3" x14ac:dyDescent="0.25">
      <c r="B19" s="22">
        <v>1098.2400000000002</v>
      </c>
      <c r="C19" s="21" t="s">
        <v>97</v>
      </c>
      <c r="D19" s="21" t="s">
        <v>76</v>
      </c>
      <c r="E19" s="21" t="s">
        <v>97</v>
      </c>
      <c r="F19" s="21" t="s">
        <v>482</v>
      </c>
      <c r="G19" s="21" t="s">
        <v>79</v>
      </c>
      <c r="H19" s="20">
        <v>120</v>
      </c>
      <c r="J19" s="20">
        <v>2600</v>
      </c>
      <c r="L19" s="20">
        <v>24</v>
      </c>
      <c r="M19" s="19">
        <v>28.891199999999998</v>
      </c>
      <c r="P19" t="s">
        <v>78</v>
      </c>
    </row>
    <row r="20" spans="2:16" customFormat="1" ht="14.3" x14ac:dyDescent="0.25">
      <c r="B20" s="22">
        <v>1046.1780000000001</v>
      </c>
      <c r="C20" s="21" t="s">
        <v>379</v>
      </c>
      <c r="D20" s="21" t="s">
        <v>76</v>
      </c>
      <c r="E20" s="21" t="s">
        <v>97</v>
      </c>
      <c r="F20" s="21" t="s">
        <v>483</v>
      </c>
      <c r="G20" s="21" t="s">
        <v>79</v>
      </c>
      <c r="H20" s="20">
        <v>140</v>
      </c>
      <c r="J20" s="20">
        <v>3610</v>
      </c>
      <c r="L20" s="20">
        <v>14</v>
      </c>
      <c r="M20" s="19">
        <v>27.443220000000004</v>
      </c>
      <c r="P20" t="s">
        <v>78</v>
      </c>
    </row>
    <row r="21" spans="2:16" customFormat="1" ht="14.3" x14ac:dyDescent="0.25">
      <c r="B21" s="22">
        <v>501.71999999999997</v>
      </c>
      <c r="C21" s="21" t="s">
        <v>97</v>
      </c>
      <c r="D21" s="21" t="s">
        <v>340</v>
      </c>
      <c r="E21" s="21" t="s">
        <v>97</v>
      </c>
      <c r="F21" s="21" t="s">
        <v>461</v>
      </c>
      <c r="G21" s="21" t="s">
        <v>79</v>
      </c>
      <c r="H21" s="20">
        <v>150</v>
      </c>
      <c r="J21" s="20">
        <v>555</v>
      </c>
      <c r="L21" s="20">
        <v>80</v>
      </c>
      <c r="M21" s="19">
        <v>21.755999999999997</v>
      </c>
      <c r="P21" t="s">
        <v>78</v>
      </c>
    </row>
    <row r="22" spans="2:16" customFormat="1" ht="14.3" x14ac:dyDescent="0.25">
      <c r="B22" s="22">
        <v>100.34399999999999</v>
      </c>
      <c r="C22" s="21" t="s">
        <v>97</v>
      </c>
      <c r="D22" s="21" t="s">
        <v>340</v>
      </c>
      <c r="E22" s="21" t="s">
        <v>97</v>
      </c>
      <c r="F22" s="21" t="s">
        <v>461</v>
      </c>
      <c r="G22" s="21" t="s">
        <v>79</v>
      </c>
      <c r="H22" s="20">
        <v>150</v>
      </c>
      <c r="J22" s="20">
        <v>555</v>
      </c>
      <c r="L22" s="20">
        <v>16</v>
      </c>
      <c r="M22" s="19">
        <v>4.3511999999999995</v>
      </c>
      <c r="P22" t="s">
        <v>78</v>
      </c>
    </row>
    <row r="23" spans="2:16" customFormat="1" ht="14.3" x14ac:dyDescent="0.25">
      <c r="B23" s="22">
        <v>321.37199999999996</v>
      </c>
      <c r="C23" s="21" t="s">
        <v>97</v>
      </c>
      <c r="D23" s="21" t="s">
        <v>465</v>
      </c>
      <c r="E23" s="21" t="s">
        <v>97</v>
      </c>
      <c r="F23" s="21" t="s">
        <v>461</v>
      </c>
      <c r="G23" s="21" t="s">
        <v>79</v>
      </c>
      <c r="H23" s="20">
        <v>150</v>
      </c>
      <c r="J23" s="20">
        <v>2370</v>
      </c>
      <c r="L23" s="20">
        <v>12</v>
      </c>
      <c r="M23" s="19">
        <v>13.935599999999999</v>
      </c>
      <c r="P23" t="s">
        <v>78</v>
      </c>
    </row>
    <row r="24" spans="2:16" customFormat="1" ht="14.3" x14ac:dyDescent="0.25">
      <c r="B24" s="22">
        <v>395.274</v>
      </c>
      <c r="C24" s="21" t="s">
        <v>97</v>
      </c>
      <c r="D24" s="21" t="s">
        <v>344</v>
      </c>
      <c r="E24" s="21" t="s">
        <v>97</v>
      </c>
      <c r="F24" s="21" t="s">
        <v>461</v>
      </c>
      <c r="G24" s="21" t="s">
        <v>79</v>
      </c>
      <c r="H24" s="20">
        <v>150</v>
      </c>
      <c r="J24" s="20">
        <v>2915</v>
      </c>
      <c r="L24" s="20">
        <v>12</v>
      </c>
      <c r="M24" s="19">
        <v>17.140199999999997</v>
      </c>
      <c r="P24" t="s">
        <v>78</v>
      </c>
    </row>
    <row r="25" spans="2:16" customFormat="1" ht="14.3" x14ac:dyDescent="0.25">
      <c r="B25" s="22">
        <v>874.16</v>
      </c>
      <c r="C25" s="21" t="s">
        <v>379</v>
      </c>
      <c r="D25" s="21" t="s">
        <v>76</v>
      </c>
      <c r="E25" s="21" t="s">
        <v>97</v>
      </c>
      <c r="F25" s="21" t="s">
        <v>425</v>
      </c>
      <c r="G25" s="21" t="s">
        <v>79</v>
      </c>
      <c r="H25" s="20">
        <v>150</v>
      </c>
      <c r="J25" s="20">
        <v>4900</v>
      </c>
      <c r="L25" s="20">
        <v>8</v>
      </c>
      <c r="M25" s="19">
        <v>22.8536</v>
      </c>
      <c r="P25" t="s">
        <v>78</v>
      </c>
    </row>
    <row r="26" spans="2:16" customFormat="1" ht="14.3" x14ac:dyDescent="0.25">
      <c r="B26" s="22">
        <v>1291.17</v>
      </c>
      <c r="C26" s="21" t="s">
        <v>379</v>
      </c>
      <c r="D26" s="21" t="s">
        <v>76</v>
      </c>
      <c r="E26" s="21" t="s">
        <v>97</v>
      </c>
      <c r="F26" s="21" t="s">
        <v>425</v>
      </c>
      <c r="G26" s="21" t="s">
        <v>79</v>
      </c>
      <c r="H26" s="20">
        <v>150</v>
      </c>
      <c r="J26" s="20">
        <v>9650</v>
      </c>
      <c r="L26" s="20">
        <v>6</v>
      </c>
      <c r="M26" s="19">
        <v>33.755699999999997</v>
      </c>
      <c r="P26" t="s">
        <v>78</v>
      </c>
    </row>
    <row r="27" spans="2:16" customFormat="1" ht="14.3" x14ac:dyDescent="0.25">
      <c r="B27" s="22">
        <v>1128.96</v>
      </c>
      <c r="C27" s="21" t="s">
        <v>97</v>
      </c>
      <c r="D27" s="21" t="s">
        <v>85</v>
      </c>
      <c r="E27" s="21" t="s">
        <v>97</v>
      </c>
      <c r="F27" s="21" t="s">
        <v>460</v>
      </c>
      <c r="G27" s="21" t="s">
        <v>79</v>
      </c>
      <c r="H27" s="20">
        <v>150</v>
      </c>
      <c r="J27" s="20">
        <v>8400</v>
      </c>
      <c r="L27" s="20">
        <v>15</v>
      </c>
      <c r="M27" s="19">
        <v>49.14</v>
      </c>
      <c r="P27" t="s">
        <v>78</v>
      </c>
    </row>
    <row r="28" spans="2:16" customFormat="1" ht="14.3" x14ac:dyDescent="0.25">
      <c r="B28" s="22">
        <v>1225.9559999999999</v>
      </c>
      <c r="C28" s="21" t="s">
        <v>379</v>
      </c>
      <c r="D28" s="21" t="s">
        <v>76</v>
      </c>
      <c r="E28" s="21" t="s">
        <v>97</v>
      </c>
      <c r="F28" s="21" t="s">
        <v>484</v>
      </c>
      <c r="G28" s="21" t="s">
        <v>79</v>
      </c>
      <c r="H28" s="20">
        <v>160</v>
      </c>
      <c r="J28" s="20">
        <v>3610</v>
      </c>
      <c r="L28" s="20">
        <v>12</v>
      </c>
      <c r="M28" s="19">
        <v>26.815080000000002</v>
      </c>
      <c r="P28" t="s">
        <v>78</v>
      </c>
    </row>
    <row r="29" spans="2:16" customFormat="1" ht="14.3" x14ac:dyDescent="0.25">
      <c r="B29" s="22">
        <v>1654.135</v>
      </c>
      <c r="C29" s="21" t="s">
        <v>379</v>
      </c>
      <c r="D29" s="21" t="s">
        <v>76</v>
      </c>
      <c r="E29" s="21" t="s">
        <v>97</v>
      </c>
      <c r="F29" s="21" t="s">
        <v>484</v>
      </c>
      <c r="G29" s="21" t="s">
        <v>79</v>
      </c>
      <c r="H29" s="20">
        <v>160</v>
      </c>
      <c r="J29" s="20">
        <v>8350</v>
      </c>
      <c r="L29" s="20">
        <v>7</v>
      </c>
      <c r="M29" s="19">
        <v>36.180549999999997</v>
      </c>
      <c r="P29" t="s">
        <v>78</v>
      </c>
    </row>
    <row r="30" spans="2:16" customFormat="1" ht="14.3" x14ac:dyDescent="0.25">
      <c r="B30" s="22">
        <v>1241</v>
      </c>
      <c r="C30" s="21" t="s">
        <v>379</v>
      </c>
      <c r="D30" s="21" t="s">
        <v>76</v>
      </c>
      <c r="E30" s="21" t="s">
        <v>97</v>
      </c>
      <c r="F30" s="21" t="s">
        <v>426</v>
      </c>
      <c r="G30" s="21" t="s">
        <v>79</v>
      </c>
      <c r="H30" s="20">
        <v>160</v>
      </c>
      <c r="J30" s="20">
        <v>4250</v>
      </c>
      <c r="L30" s="20">
        <v>8</v>
      </c>
      <c r="M30" s="19">
        <v>20.603999999999999</v>
      </c>
      <c r="P30" t="s">
        <v>78</v>
      </c>
    </row>
    <row r="31" spans="2:16" customFormat="1" ht="14.3" x14ac:dyDescent="0.25">
      <c r="B31" s="22">
        <v>422.47</v>
      </c>
      <c r="C31" s="21" t="s">
        <v>379</v>
      </c>
      <c r="D31" s="21" t="s">
        <v>76</v>
      </c>
      <c r="E31" s="21" t="s">
        <v>97</v>
      </c>
      <c r="F31" s="21" t="s">
        <v>385</v>
      </c>
      <c r="G31" s="21" t="s">
        <v>79</v>
      </c>
      <c r="H31" s="20">
        <v>180</v>
      </c>
      <c r="J31" s="20">
        <v>2545</v>
      </c>
      <c r="L31" s="20">
        <v>4</v>
      </c>
      <c r="M31" s="19">
        <v>6.9834800000000001</v>
      </c>
      <c r="P31" t="s">
        <v>78</v>
      </c>
    </row>
    <row r="32" spans="2:16" customFormat="1" ht="14.3" x14ac:dyDescent="0.25">
      <c r="B32" s="22">
        <v>2116.5</v>
      </c>
      <c r="C32" s="21" t="s">
        <v>379</v>
      </c>
      <c r="D32" s="21" t="s">
        <v>76</v>
      </c>
      <c r="E32" s="21" t="s">
        <v>97</v>
      </c>
      <c r="F32" s="21" t="s">
        <v>385</v>
      </c>
      <c r="G32" s="21" t="s">
        <v>79</v>
      </c>
      <c r="H32" s="20">
        <v>180</v>
      </c>
      <c r="J32" s="20">
        <v>4250</v>
      </c>
      <c r="L32" s="20">
        <v>12</v>
      </c>
      <c r="M32" s="19">
        <v>34.986000000000004</v>
      </c>
      <c r="P32" t="s">
        <v>78</v>
      </c>
    </row>
    <row r="33" spans="2:17" customFormat="1" ht="14.3" x14ac:dyDescent="0.25">
      <c r="B33" s="22">
        <v>1164.952</v>
      </c>
      <c r="C33" s="21" t="s">
        <v>97</v>
      </c>
      <c r="D33" s="21" t="s">
        <v>342</v>
      </c>
      <c r="E33" s="21" t="s">
        <v>97</v>
      </c>
      <c r="F33" s="21" t="s">
        <v>462</v>
      </c>
      <c r="G33" s="21" t="s">
        <v>79</v>
      </c>
      <c r="H33" s="20">
        <v>200</v>
      </c>
      <c r="J33" s="20">
        <v>6530</v>
      </c>
      <c r="L33" s="20">
        <v>8</v>
      </c>
      <c r="M33" s="19">
        <v>30.455919999999999</v>
      </c>
      <c r="P33" t="s">
        <v>78</v>
      </c>
    </row>
    <row r="34" spans="2:17" customFormat="1" ht="14.3" x14ac:dyDescent="0.25">
      <c r="B34" s="22">
        <v>595.98</v>
      </c>
      <c r="C34" s="21" t="s">
        <v>97</v>
      </c>
      <c r="D34" s="21" t="s">
        <v>343</v>
      </c>
      <c r="E34" s="21" t="s">
        <v>97</v>
      </c>
      <c r="F34" s="21" t="s">
        <v>458</v>
      </c>
      <c r="G34" s="21" t="s">
        <v>79</v>
      </c>
      <c r="H34" s="20">
        <v>200</v>
      </c>
      <c r="J34" s="20">
        <v>1650</v>
      </c>
      <c r="L34" s="20">
        <v>12</v>
      </c>
      <c r="M34" s="19">
        <v>15.503400000000001</v>
      </c>
      <c r="P34" t="s">
        <v>78</v>
      </c>
    </row>
    <row r="35" spans="2:17" customFormat="1" ht="14.3" x14ac:dyDescent="0.25">
      <c r="B35" s="22">
        <v>1052.8980000000001</v>
      </c>
      <c r="C35" s="21" t="s">
        <v>97</v>
      </c>
      <c r="D35" s="21" t="s">
        <v>343</v>
      </c>
      <c r="E35" s="21" t="s">
        <v>97</v>
      </c>
      <c r="F35" s="21" t="s">
        <v>458</v>
      </c>
      <c r="G35" s="21" t="s">
        <v>79</v>
      </c>
      <c r="H35" s="20">
        <v>200</v>
      </c>
      <c r="J35" s="20">
        <v>2915</v>
      </c>
      <c r="L35" s="20">
        <v>12</v>
      </c>
      <c r="M35" s="19">
        <v>27.389340000000004</v>
      </c>
      <c r="P35" t="s">
        <v>78</v>
      </c>
    </row>
    <row r="36" spans="2:17" customFormat="1" ht="14.3" x14ac:dyDescent="0.25">
      <c r="B36" s="22">
        <v>638.12</v>
      </c>
      <c r="C36" s="21" t="s">
        <v>97</v>
      </c>
      <c r="D36" s="21" t="s">
        <v>343</v>
      </c>
      <c r="E36" s="21" t="s">
        <v>97</v>
      </c>
      <c r="F36" s="21" t="s">
        <v>458</v>
      </c>
      <c r="G36" s="21" t="s">
        <v>79</v>
      </c>
      <c r="H36" s="20">
        <v>200</v>
      </c>
      <c r="J36" s="20">
        <v>5300</v>
      </c>
      <c r="L36" s="20">
        <v>4</v>
      </c>
      <c r="M36" s="19">
        <v>16.599600000000002</v>
      </c>
      <c r="P36" t="s">
        <v>78</v>
      </c>
    </row>
    <row r="37" spans="2:17" customFormat="1" ht="14.3" x14ac:dyDescent="0.25">
      <c r="B37" s="22">
        <v>451.5</v>
      </c>
      <c r="C37" s="21" t="s">
        <v>379</v>
      </c>
      <c r="D37" s="21" t="s">
        <v>76</v>
      </c>
      <c r="E37" s="21" t="s">
        <v>97</v>
      </c>
      <c r="F37" s="21" t="s">
        <v>458</v>
      </c>
      <c r="G37" s="21" t="s">
        <v>79</v>
      </c>
      <c r="H37" s="20">
        <v>200</v>
      </c>
      <c r="J37" s="20">
        <v>7500</v>
      </c>
      <c r="L37" s="20">
        <v>2</v>
      </c>
      <c r="M37" s="19">
        <v>11.744999999999999</v>
      </c>
      <c r="P37" t="s">
        <v>78</v>
      </c>
    </row>
    <row r="38" spans="2:17" customFormat="1" ht="14.3" x14ac:dyDescent="0.25">
      <c r="B38" s="22">
        <v>2090.7199999999998</v>
      </c>
      <c r="C38" s="21" t="s">
        <v>379</v>
      </c>
      <c r="D38" s="21" t="s">
        <v>76</v>
      </c>
      <c r="E38" s="21" t="s">
        <v>97</v>
      </c>
      <c r="F38" s="21" t="s">
        <v>427</v>
      </c>
      <c r="G38" s="21" t="s">
        <v>79</v>
      </c>
      <c r="H38" s="20">
        <v>200</v>
      </c>
      <c r="J38" s="20">
        <v>3650</v>
      </c>
      <c r="L38" s="20">
        <v>16</v>
      </c>
      <c r="M38" s="19">
        <v>45.493600000000001</v>
      </c>
      <c r="P38" t="s">
        <v>78</v>
      </c>
    </row>
    <row r="39" spans="2:17" customFormat="1" ht="14.3" x14ac:dyDescent="0.25">
      <c r="B39" s="22">
        <v>524.52</v>
      </c>
      <c r="C39" s="21" t="s">
        <v>379</v>
      </c>
      <c r="D39" s="21" t="s">
        <v>76</v>
      </c>
      <c r="E39" s="21" t="s">
        <v>97</v>
      </c>
      <c r="F39" s="21" t="s">
        <v>428</v>
      </c>
      <c r="G39" s="21" t="s">
        <v>79</v>
      </c>
      <c r="H39" s="20">
        <v>200</v>
      </c>
      <c r="J39" s="20">
        <v>5640</v>
      </c>
      <c r="L39" s="20">
        <v>2</v>
      </c>
      <c r="M39" s="19">
        <v>8.6404800000000002</v>
      </c>
      <c r="P39" t="s">
        <v>78</v>
      </c>
    </row>
    <row r="40" spans="2:17" customFormat="1" ht="14.3" x14ac:dyDescent="0.25">
      <c r="B40" s="22">
        <v>857.84999999999991</v>
      </c>
      <c r="C40" s="21" t="s">
        <v>97</v>
      </c>
      <c r="D40" s="21" t="s">
        <v>76</v>
      </c>
      <c r="E40" s="21" t="s">
        <v>97</v>
      </c>
      <c r="F40" s="21" t="s">
        <v>486</v>
      </c>
      <c r="G40" s="21" t="s">
        <v>79</v>
      </c>
      <c r="H40" s="20">
        <v>250</v>
      </c>
      <c r="J40" s="20">
        <v>9500</v>
      </c>
      <c r="L40" s="20">
        <v>3</v>
      </c>
      <c r="M40" s="19">
        <v>22.3155</v>
      </c>
      <c r="P40" t="s">
        <v>78</v>
      </c>
    </row>
    <row r="41" spans="2:17" customFormat="1" ht="14.3" x14ac:dyDescent="0.25">
      <c r="B41" s="22">
        <v>2652.4079999999999</v>
      </c>
      <c r="C41" s="21" t="s">
        <v>379</v>
      </c>
      <c r="D41" s="21" t="s">
        <v>76</v>
      </c>
      <c r="E41" s="21" t="s">
        <v>97</v>
      </c>
      <c r="F41" s="21" t="s">
        <v>429</v>
      </c>
      <c r="G41" s="21" t="s">
        <v>79</v>
      </c>
      <c r="H41" s="20">
        <v>250</v>
      </c>
      <c r="J41" s="20">
        <v>3740</v>
      </c>
      <c r="L41" s="20">
        <v>12</v>
      </c>
      <c r="M41" s="19">
        <v>43.354079999999996</v>
      </c>
      <c r="P41" t="s">
        <v>78</v>
      </c>
    </row>
    <row r="42" spans="2:17" customFormat="1" ht="14.3" x14ac:dyDescent="0.25">
      <c r="B42" s="22">
        <v>679.65</v>
      </c>
      <c r="C42" s="21" t="s">
        <v>379</v>
      </c>
      <c r="D42" s="21" t="s">
        <v>76</v>
      </c>
      <c r="E42" s="21" t="s">
        <v>97</v>
      </c>
      <c r="F42" s="21" t="s">
        <v>429</v>
      </c>
      <c r="G42" s="21" t="s">
        <v>79</v>
      </c>
      <c r="H42" s="20">
        <v>250</v>
      </c>
      <c r="J42" s="20">
        <v>5750</v>
      </c>
      <c r="L42" s="20">
        <v>2</v>
      </c>
      <c r="M42" s="19">
        <v>11.109</v>
      </c>
      <c r="P42" t="s">
        <v>78</v>
      </c>
    </row>
    <row r="43" spans="2:17" customFormat="1" ht="14.3" x14ac:dyDescent="0.25">
      <c r="B43" s="22">
        <v>2751.0079999999998</v>
      </c>
      <c r="C43" s="21" t="s">
        <v>379</v>
      </c>
      <c r="D43" s="21" t="s">
        <v>76</v>
      </c>
      <c r="E43" s="21" t="s">
        <v>97</v>
      </c>
      <c r="F43" s="21" t="s">
        <v>430</v>
      </c>
      <c r="G43" s="21" t="s">
        <v>79</v>
      </c>
      <c r="H43" s="20">
        <v>300</v>
      </c>
      <c r="J43" s="20">
        <v>3890</v>
      </c>
      <c r="L43" s="20">
        <v>8</v>
      </c>
      <c r="M43" s="19">
        <v>36.005840000000006</v>
      </c>
      <c r="P43" t="s">
        <v>78</v>
      </c>
    </row>
    <row r="44" spans="2:17" customFormat="1" ht="14.3" x14ac:dyDescent="0.25">
      <c r="B44" s="22">
        <v>111.67199999999998</v>
      </c>
      <c r="C44" s="21" t="s">
        <v>354</v>
      </c>
      <c r="D44" s="21" t="s">
        <v>344</v>
      </c>
      <c r="E44" s="21" t="s">
        <v>97</v>
      </c>
      <c r="F44" s="21" t="s">
        <v>456</v>
      </c>
      <c r="G44" s="21" t="s">
        <v>83</v>
      </c>
      <c r="H44" s="20">
        <v>190</v>
      </c>
      <c r="J44" s="20">
        <v>660</v>
      </c>
      <c r="L44" s="20">
        <v>4</v>
      </c>
      <c r="M44" s="19">
        <v>3.0095999999999998</v>
      </c>
      <c r="P44" t="s">
        <v>78</v>
      </c>
      <c r="Q44">
        <v>4</v>
      </c>
    </row>
    <row r="45" spans="2:17" customFormat="1" ht="14.3" x14ac:dyDescent="0.25">
      <c r="B45" s="22">
        <v>632.80799999999999</v>
      </c>
      <c r="C45" s="21" t="s">
        <v>354</v>
      </c>
      <c r="D45" s="21" t="s">
        <v>76</v>
      </c>
      <c r="E45" s="21" t="s">
        <v>97</v>
      </c>
      <c r="F45" s="21" t="s">
        <v>456</v>
      </c>
      <c r="G45" s="21" t="s">
        <v>83</v>
      </c>
      <c r="H45" s="20">
        <v>190</v>
      </c>
      <c r="J45" s="20">
        <v>3740</v>
      </c>
      <c r="L45" s="20">
        <v>4</v>
      </c>
      <c r="M45" s="19">
        <v>17.054399999999998</v>
      </c>
      <c r="P45" t="s">
        <v>78</v>
      </c>
      <c r="Q45">
        <v>4</v>
      </c>
    </row>
    <row r="46" spans="2:17" customFormat="1" ht="14.3" x14ac:dyDescent="0.25">
      <c r="B46" s="22">
        <v>144.72</v>
      </c>
      <c r="C46" s="21" t="s">
        <v>97</v>
      </c>
      <c r="D46" s="21" t="s">
        <v>340</v>
      </c>
      <c r="E46" s="21" t="s">
        <v>97</v>
      </c>
      <c r="F46" s="21" t="s">
        <v>457</v>
      </c>
      <c r="G46" s="21" t="s">
        <v>83</v>
      </c>
      <c r="H46" s="20">
        <v>230</v>
      </c>
      <c r="J46" s="20">
        <v>200</v>
      </c>
      <c r="L46" s="20">
        <v>12</v>
      </c>
      <c r="M46" s="19">
        <v>3.2879999999999998</v>
      </c>
      <c r="P46" t="s">
        <v>78</v>
      </c>
    </row>
    <row r="47" spans="2:17" customFormat="1" ht="14.3" x14ac:dyDescent="0.25">
      <c r="B47" s="22">
        <v>808.85199999999998</v>
      </c>
      <c r="C47" s="21" t="s">
        <v>354</v>
      </c>
      <c r="D47" s="21" t="s">
        <v>76</v>
      </c>
      <c r="E47" s="21" t="s">
        <v>97</v>
      </c>
      <c r="F47" s="21" t="s">
        <v>384</v>
      </c>
      <c r="G47" s="21" t="s">
        <v>83</v>
      </c>
      <c r="H47" s="20">
        <v>250</v>
      </c>
      <c r="J47" s="20">
        <v>2965</v>
      </c>
      <c r="L47" s="20">
        <v>4</v>
      </c>
      <c r="M47" s="19">
        <v>17.552799999999998</v>
      </c>
      <c r="P47" t="s">
        <v>78</v>
      </c>
      <c r="Q47">
        <v>4</v>
      </c>
    </row>
    <row r="48" spans="2:17" customFormat="1" ht="14.3" x14ac:dyDescent="0.25">
      <c r="B48" s="22">
        <v>2399.2759999999998</v>
      </c>
      <c r="C48" s="21" t="s">
        <v>354</v>
      </c>
      <c r="D48" s="21" t="s">
        <v>76</v>
      </c>
      <c r="E48" s="21" t="s">
        <v>97</v>
      </c>
      <c r="F48" s="21" t="s">
        <v>384</v>
      </c>
      <c r="G48" s="21" t="s">
        <v>83</v>
      </c>
      <c r="H48" s="20">
        <v>250</v>
      </c>
      <c r="J48" s="20">
        <v>4397.5</v>
      </c>
      <c r="L48" s="20">
        <v>8</v>
      </c>
      <c r="M48" s="19">
        <v>52.066400000000002</v>
      </c>
      <c r="P48" t="s">
        <v>78</v>
      </c>
      <c r="Q48">
        <v>4</v>
      </c>
    </row>
    <row r="49" spans="2:23" customFormat="1" ht="14.3" x14ac:dyDescent="0.25">
      <c r="B49" s="22">
        <v>1408.671</v>
      </c>
      <c r="C49" s="21" t="s">
        <v>354</v>
      </c>
      <c r="D49" s="21" t="s">
        <v>76</v>
      </c>
      <c r="E49" s="21" t="s">
        <v>97</v>
      </c>
      <c r="F49" s="21" t="s">
        <v>384</v>
      </c>
      <c r="G49" s="21" t="s">
        <v>83</v>
      </c>
      <c r="H49" s="20">
        <v>250</v>
      </c>
      <c r="J49" s="20">
        <v>6885</v>
      </c>
      <c r="L49" s="20">
        <v>3</v>
      </c>
      <c r="M49" s="19">
        <v>30.569399999999998</v>
      </c>
      <c r="P49" t="s">
        <v>78</v>
      </c>
      <c r="Q49">
        <v>4</v>
      </c>
    </row>
    <row r="50" spans="2:23" customFormat="1" ht="14.3" x14ac:dyDescent="0.25">
      <c r="B50" s="22">
        <v>3852.6180000000004</v>
      </c>
      <c r="C50" s="21" t="s">
        <v>354</v>
      </c>
      <c r="D50" s="21" t="s">
        <v>76</v>
      </c>
      <c r="E50" s="21" t="s">
        <v>97</v>
      </c>
      <c r="F50" s="21" t="s">
        <v>384</v>
      </c>
      <c r="G50" s="21" t="s">
        <v>83</v>
      </c>
      <c r="H50" s="20">
        <v>250</v>
      </c>
      <c r="J50" s="20">
        <v>8070</v>
      </c>
      <c r="L50" s="20">
        <v>7</v>
      </c>
      <c r="M50" s="19">
        <v>83.605199999999996</v>
      </c>
      <c r="P50" t="s">
        <v>78</v>
      </c>
      <c r="Q50">
        <v>4</v>
      </c>
    </row>
    <row r="51" spans="2:23" customFormat="1" ht="14.3" x14ac:dyDescent="0.25">
      <c r="B51" s="22">
        <v>6032.6559999999999</v>
      </c>
      <c r="C51" s="21" t="s">
        <v>354</v>
      </c>
      <c r="D51" s="21" t="s">
        <v>76</v>
      </c>
      <c r="E51" s="21" t="s">
        <v>97</v>
      </c>
      <c r="F51" s="21" t="s">
        <v>402</v>
      </c>
      <c r="G51" s="21" t="s">
        <v>83</v>
      </c>
      <c r="H51" s="20">
        <v>310</v>
      </c>
      <c r="J51" s="20">
        <v>8830</v>
      </c>
      <c r="L51" s="20">
        <v>7</v>
      </c>
      <c r="M51" s="19">
        <v>108.78559999999999</v>
      </c>
      <c r="P51" t="s">
        <v>78</v>
      </c>
      <c r="Q51">
        <v>4</v>
      </c>
    </row>
    <row r="52" spans="2:23" customFormat="1" ht="14.3" x14ac:dyDescent="0.25">
      <c r="B52" s="22">
        <v>1360.8000000000002</v>
      </c>
      <c r="C52" s="21" t="s">
        <v>97</v>
      </c>
      <c r="D52" s="21" t="s">
        <v>343</v>
      </c>
      <c r="E52" s="21" t="s">
        <v>97</v>
      </c>
      <c r="F52" s="21" t="s">
        <v>403</v>
      </c>
      <c r="G52" s="21" t="s">
        <v>83</v>
      </c>
      <c r="H52" s="20">
        <v>330</v>
      </c>
      <c r="J52" s="20">
        <v>540</v>
      </c>
      <c r="L52" s="20">
        <v>24</v>
      </c>
      <c r="M52" s="19">
        <v>23.198400000000003</v>
      </c>
      <c r="P52" t="s">
        <v>78</v>
      </c>
    </row>
    <row r="53" spans="2:23" customFormat="1" ht="14.3" x14ac:dyDescent="0.25">
      <c r="B53" s="22">
        <v>1020.6000000000001</v>
      </c>
      <c r="C53" s="21" t="s">
        <v>97</v>
      </c>
      <c r="D53" s="21" t="s">
        <v>341</v>
      </c>
      <c r="E53" s="21" t="s">
        <v>97</v>
      </c>
      <c r="F53" s="21" t="s">
        <v>403</v>
      </c>
      <c r="G53" s="21" t="s">
        <v>83</v>
      </c>
      <c r="H53" s="20">
        <v>330</v>
      </c>
      <c r="J53" s="20">
        <v>540</v>
      </c>
      <c r="L53" s="20">
        <v>18</v>
      </c>
      <c r="M53" s="19">
        <v>17.398800000000001</v>
      </c>
      <c r="P53" t="s">
        <v>78</v>
      </c>
    </row>
    <row r="54" spans="2:23" customFormat="1" ht="14.3" x14ac:dyDescent="0.25">
      <c r="B54" s="22">
        <v>340.20000000000005</v>
      </c>
      <c r="C54" s="21" t="s">
        <v>97</v>
      </c>
      <c r="D54" s="21" t="s">
        <v>474</v>
      </c>
      <c r="E54" s="21" t="s">
        <v>97</v>
      </c>
      <c r="F54" s="21" t="s">
        <v>403</v>
      </c>
      <c r="G54" s="21" t="s">
        <v>83</v>
      </c>
      <c r="H54" s="20">
        <v>330</v>
      </c>
      <c r="J54" s="20">
        <v>540</v>
      </c>
      <c r="L54" s="20">
        <v>6</v>
      </c>
      <c r="M54" s="19">
        <v>5.7996000000000008</v>
      </c>
      <c r="P54" t="s">
        <v>78</v>
      </c>
    </row>
    <row r="55" spans="2:23" customFormat="1" ht="14.3" x14ac:dyDescent="0.25">
      <c r="B55" s="22">
        <v>4485.6000000000004</v>
      </c>
      <c r="C55" s="21" t="s">
        <v>354</v>
      </c>
      <c r="D55" s="21" t="s">
        <v>76</v>
      </c>
      <c r="E55" s="21" t="s">
        <v>97</v>
      </c>
      <c r="F55" s="21" t="s">
        <v>403</v>
      </c>
      <c r="G55" s="21" t="s">
        <v>83</v>
      </c>
      <c r="H55" s="20">
        <v>330</v>
      </c>
      <c r="J55" s="20">
        <v>3560</v>
      </c>
      <c r="L55" s="20">
        <v>12</v>
      </c>
      <c r="M55" s="19">
        <v>76.468800000000002</v>
      </c>
      <c r="P55" t="s">
        <v>78</v>
      </c>
      <c r="Q55">
        <v>4</v>
      </c>
    </row>
    <row r="56" spans="2:23" customFormat="1" ht="14.3" x14ac:dyDescent="0.25">
      <c r="B56" s="22">
        <v>1499.4</v>
      </c>
      <c r="C56" s="21" t="s">
        <v>354</v>
      </c>
      <c r="D56" s="21" t="s">
        <v>76</v>
      </c>
      <c r="E56" s="21" t="s">
        <v>97</v>
      </c>
      <c r="F56" s="21" t="s">
        <v>403</v>
      </c>
      <c r="G56" s="21" t="s">
        <v>83</v>
      </c>
      <c r="H56" s="20">
        <v>330</v>
      </c>
      <c r="J56" s="20">
        <v>3570</v>
      </c>
      <c r="L56" s="20">
        <v>4</v>
      </c>
      <c r="M56" s="19">
        <v>25.561199999999999</v>
      </c>
      <c r="P56" t="s">
        <v>78</v>
      </c>
      <c r="Q56">
        <v>4</v>
      </c>
    </row>
    <row r="57" spans="2:23" customFormat="1" ht="14.3" x14ac:dyDescent="0.25">
      <c r="B57" s="22">
        <v>73.680000000000007</v>
      </c>
      <c r="C57" s="21" t="s">
        <v>97</v>
      </c>
      <c r="D57" s="21" t="s">
        <v>343</v>
      </c>
      <c r="E57" s="21" t="s">
        <v>97</v>
      </c>
      <c r="F57" s="21" t="s">
        <v>455</v>
      </c>
      <c r="G57" s="21" t="s">
        <v>83</v>
      </c>
      <c r="H57" s="20">
        <v>240</v>
      </c>
      <c r="J57" s="20">
        <v>150</v>
      </c>
      <c r="L57" s="20">
        <v>16</v>
      </c>
      <c r="M57" s="19">
        <v>2.16</v>
      </c>
      <c r="P57" t="s">
        <v>78</v>
      </c>
    </row>
    <row r="58" spans="2:23" customFormat="1" ht="14.3" x14ac:dyDescent="0.25">
      <c r="B58" s="22">
        <v>46.050000000000004</v>
      </c>
      <c r="C58" s="21" t="s">
        <v>97</v>
      </c>
      <c r="D58" s="21" t="s">
        <v>343</v>
      </c>
      <c r="E58" s="21" t="s">
        <v>97</v>
      </c>
      <c r="F58" s="21" t="s">
        <v>455</v>
      </c>
      <c r="G58" s="21" t="s">
        <v>83</v>
      </c>
      <c r="H58" s="20">
        <v>240</v>
      </c>
      <c r="J58" s="20">
        <v>150</v>
      </c>
      <c r="L58" s="20">
        <v>10</v>
      </c>
      <c r="M58" s="19">
        <v>1.35</v>
      </c>
      <c r="P58" t="s">
        <v>78</v>
      </c>
    </row>
    <row r="59" spans="2:23" customFormat="1" ht="14.3" x14ac:dyDescent="0.25">
      <c r="B59" s="22">
        <v>27.630000000000003</v>
      </c>
      <c r="C59" s="21" t="s">
        <v>97</v>
      </c>
      <c r="D59" s="21" t="s">
        <v>466</v>
      </c>
      <c r="E59" s="21" t="s">
        <v>97</v>
      </c>
      <c r="F59" s="21" t="s">
        <v>455</v>
      </c>
      <c r="G59" s="21" t="s">
        <v>83</v>
      </c>
      <c r="H59" s="20">
        <v>240</v>
      </c>
      <c r="J59" s="20">
        <v>150</v>
      </c>
      <c r="L59" s="20">
        <v>6</v>
      </c>
      <c r="M59" s="19">
        <v>0.81</v>
      </c>
      <c r="P59" t="s">
        <v>78</v>
      </c>
    </row>
    <row r="60" spans="2:23" customFormat="1" ht="14.3" x14ac:dyDescent="0.25">
      <c r="B60" s="22">
        <v>1611.2</v>
      </c>
      <c r="C60" s="21" t="s">
        <v>354</v>
      </c>
      <c r="D60" s="21" t="s">
        <v>81</v>
      </c>
      <c r="E60" s="21" t="s">
        <v>97</v>
      </c>
      <c r="F60" s="380" t="s">
        <v>401</v>
      </c>
      <c r="G60" s="380" t="s">
        <v>83</v>
      </c>
      <c r="H60" s="381">
        <v>550</v>
      </c>
      <c r="I60" s="30"/>
      <c r="J60" s="381">
        <v>475</v>
      </c>
      <c r="K60" s="30"/>
      <c r="L60" s="381">
        <v>32</v>
      </c>
      <c r="M60" s="382">
        <v>28.88</v>
      </c>
      <c r="P60" t="s">
        <v>78</v>
      </c>
      <c r="Q60">
        <v>4</v>
      </c>
    </row>
    <row r="61" spans="2:23" customFormat="1" ht="14.3" x14ac:dyDescent="0.25">
      <c r="B61" s="22">
        <v>402.8</v>
      </c>
      <c r="C61" s="21" t="s">
        <v>354</v>
      </c>
      <c r="D61" s="21" t="s">
        <v>81</v>
      </c>
      <c r="E61" s="21" t="s">
        <v>97</v>
      </c>
      <c r="F61" s="380" t="s">
        <v>401</v>
      </c>
      <c r="G61" s="380" t="s">
        <v>83</v>
      </c>
      <c r="H61" s="381">
        <v>550</v>
      </c>
      <c r="I61" s="30"/>
      <c r="J61" s="381">
        <v>475</v>
      </c>
      <c r="K61" s="30"/>
      <c r="L61" s="381">
        <v>8</v>
      </c>
      <c r="M61" s="382">
        <v>7.22</v>
      </c>
      <c r="P61" t="s">
        <v>78</v>
      </c>
      <c r="Q61">
        <v>4</v>
      </c>
      <c r="T61">
        <v>201300</v>
      </c>
      <c r="U61">
        <v>228000</v>
      </c>
      <c r="W61">
        <f>U61/T61</f>
        <v>1.1326378539493294</v>
      </c>
    </row>
    <row r="62" spans="2:23" customFormat="1" ht="14.3" x14ac:dyDescent="0.25">
      <c r="B62" s="22">
        <v>1484</v>
      </c>
      <c r="C62" s="21" t="s">
        <v>354</v>
      </c>
      <c r="D62" s="21" t="s">
        <v>76</v>
      </c>
      <c r="E62" s="21" t="s">
        <v>97</v>
      </c>
      <c r="F62" s="380" t="s">
        <v>401</v>
      </c>
      <c r="G62" s="380" t="s">
        <v>83</v>
      </c>
      <c r="H62" s="381">
        <v>550</v>
      </c>
      <c r="I62" s="30"/>
      <c r="J62" s="381">
        <v>3500</v>
      </c>
      <c r="K62" s="30"/>
      <c r="L62" s="381">
        <v>4</v>
      </c>
      <c r="M62" s="382">
        <v>26.6</v>
      </c>
      <c r="P62" t="s">
        <v>78</v>
      </c>
      <c r="Q62">
        <v>16</v>
      </c>
    </row>
    <row r="63" spans="2:23" customFormat="1" ht="14.3" x14ac:dyDescent="0.25">
      <c r="B63" s="22">
        <v>13451.4</v>
      </c>
      <c r="C63" s="21" t="s">
        <v>354</v>
      </c>
      <c r="D63" s="21" t="s">
        <v>76</v>
      </c>
      <c r="E63" s="21" t="s">
        <v>97</v>
      </c>
      <c r="F63" s="380" t="s">
        <v>401</v>
      </c>
      <c r="G63" s="380" t="s">
        <v>83</v>
      </c>
      <c r="H63" s="381">
        <v>550</v>
      </c>
      <c r="I63" s="30"/>
      <c r="J63" s="381">
        <v>8460</v>
      </c>
      <c r="K63" s="30"/>
      <c r="L63" s="381">
        <v>15</v>
      </c>
      <c r="M63" s="382">
        <v>241.11</v>
      </c>
      <c r="P63" t="s">
        <v>78</v>
      </c>
      <c r="Q63">
        <v>4</v>
      </c>
    </row>
    <row r="64" spans="2:23" customFormat="1" ht="14.3" x14ac:dyDescent="0.25">
      <c r="B64" s="22">
        <v>1844.4</v>
      </c>
      <c r="C64" s="21" t="s">
        <v>354</v>
      </c>
      <c r="D64" s="21" t="s">
        <v>76</v>
      </c>
      <c r="E64" s="21" t="s">
        <v>97</v>
      </c>
      <c r="F64" s="380" t="s">
        <v>401</v>
      </c>
      <c r="G64" s="380" t="s">
        <v>83</v>
      </c>
      <c r="H64" s="381">
        <v>550</v>
      </c>
      <c r="I64" s="30"/>
      <c r="J64" s="381">
        <v>8700</v>
      </c>
      <c r="K64" s="30"/>
      <c r="L64" s="381">
        <v>2</v>
      </c>
      <c r="M64" s="382">
        <v>33.06</v>
      </c>
      <c r="P64" t="s">
        <v>78</v>
      </c>
      <c r="Q64">
        <v>10</v>
      </c>
    </row>
    <row r="65" spans="2:17" customFormat="1" ht="14.3" x14ac:dyDescent="0.25">
      <c r="B65" s="22">
        <v>2544</v>
      </c>
      <c r="C65" s="21" t="s">
        <v>354</v>
      </c>
      <c r="D65" s="21" t="s">
        <v>76</v>
      </c>
      <c r="E65" s="21" t="s">
        <v>97</v>
      </c>
      <c r="F65" s="380" t="s">
        <v>401</v>
      </c>
      <c r="G65" s="380" t="s">
        <v>83</v>
      </c>
      <c r="H65" s="381">
        <v>550</v>
      </c>
      <c r="I65" s="30"/>
      <c r="J65" s="381">
        <v>12000</v>
      </c>
      <c r="K65" s="30"/>
      <c r="L65" s="381">
        <v>2</v>
      </c>
      <c r="M65" s="382">
        <v>45.6</v>
      </c>
      <c r="P65" t="s">
        <v>78</v>
      </c>
      <c r="Q65">
        <v>16</v>
      </c>
    </row>
    <row r="66" spans="2:17" customFormat="1" ht="14.3" x14ac:dyDescent="0.25">
      <c r="B66" s="22">
        <v>459.64400000000001</v>
      </c>
      <c r="C66" s="21" t="s">
        <v>97</v>
      </c>
      <c r="D66" s="21" t="s">
        <v>76</v>
      </c>
      <c r="E66" s="21" t="s">
        <v>97</v>
      </c>
      <c r="F66" s="21" t="s">
        <v>408</v>
      </c>
      <c r="G66" s="21" t="s">
        <v>83</v>
      </c>
      <c r="H66" s="20">
        <v>100</v>
      </c>
      <c r="J66" s="20">
        <v>7610</v>
      </c>
      <c r="L66" s="20">
        <v>4</v>
      </c>
      <c r="M66" s="19">
        <v>11.871600000000001</v>
      </c>
      <c r="P66" t="s">
        <v>78</v>
      </c>
      <c r="Q66">
        <v>4</v>
      </c>
    </row>
    <row r="67" spans="2:17" customFormat="1" ht="14.3" x14ac:dyDescent="0.25">
      <c r="B67" s="22">
        <v>459.64400000000001</v>
      </c>
      <c r="C67" s="21" t="s">
        <v>97</v>
      </c>
      <c r="D67" s="21" t="s">
        <v>88</v>
      </c>
      <c r="E67" s="21" t="s">
        <v>97</v>
      </c>
      <c r="F67" s="21" t="s">
        <v>408</v>
      </c>
      <c r="G67" s="21" t="s">
        <v>83</v>
      </c>
      <c r="H67" s="20">
        <v>100</v>
      </c>
      <c r="J67" s="20">
        <v>7610</v>
      </c>
      <c r="L67" s="20">
        <v>4</v>
      </c>
      <c r="M67" s="19">
        <v>11.871600000000001</v>
      </c>
      <c r="P67" t="s">
        <v>78</v>
      </c>
      <c r="Q67">
        <v>4</v>
      </c>
    </row>
    <row r="68" spans="2:17" customFormat="1" ht="14.3" x14ac:dyDescent="0.25">
      <c r="B68" s="22">
        <v>232.54399999999998</v>
      </c>
      <c r="C68" s="21" t="s">
        <v>97</v>
      </c>
      <c r="D68" s="21" t="s">
        <v>464</v>
      </c>
      <c r="E68" s="21" t="s">
        <v>97</v>
      </c>
      <c r="F68" s="21" t="s">
        <v>391</v>
      </c>
      <c r="G68" s="21" t="s">
        <v>83</v>
      </c>
      <c r="H68" s="20">
        <v>150</v>
      </c>
      <c r="J68" s="20">
        <v>860</v>
      </c>
      <c r="L68" s="20">
        <v>8</v>
      </c>
      <c r="M68" s="19">
        <v>4.0316799999999997</v>
      </c>
      <c r="P68" t="s">
        <v>78</v>
      </c>
      <c r="Q68">
        <v>4</v>
      </c>
    </row>
    <row r="69" spans="2:17" customFormat="1" ht="14.3" x14ac:dyDescent="0.25">
      <c r="B69" s="22">
        <v>865.9559999999999</v>
      </c>
      <c r="C69" s="21" t="s">
        <v>97</v>
      </c>
      <c r="D69" s="21" t="s">
        <v>340</v>
      </c>
      <c r="E69" s="21" t="s">
        <v>97</v>
      </c>
      <c r="F69" s="21" t="s">
        <v>391</v>
      </c>
      <c r="G69" s="21" t="s">
        <v>83</v>
      </c>
      <c r="H69" s="20">
        <v>150</v>
      </c>
      <c r="J69" s="20">
        <v>1220</v>
      </c>
      <c r="L69" s="20">
        <v>21</v>
      </c>
      <c r="M69" s="19">
        <v>15.01332</v>
      </c>
      <c r="P69" t="s">
        <v>78</v>
      </c>
      <c r="Q69">
        <v>4</v>
      </c>
    </row>
    <row r="70" spans="2:17" customFormat="1" ht="14.3" x14ac:dyDescent="0.25">
      <c r="B70" s="22">
        <v>309.12</v>
      </c>
      <c r="C70" s="21" t="s">
        <v>97</v>
      </c>
      <c r="D70" s="21" t="s">
        <v>76</v>
      </c>
      <c r="E70" s="21" t="s">
        <v>97</v>
      </c>
      <c r="F70" s="21" t="s">
        <v>409</v>
      </c>
      <c r="G70" s="21" t="s">
        <v>83</v>
      </c>
      <c r="H70" s="20">
        <v>200</v>
      </c>
      <c r="J70" s="20">
        <v>280</v>
      </c>
      <c r="L70" s="20">
        <v>48</v>
      </c>
      <c r="M70" s="19">
        <v>7.8892799999999985</v>
      </c>
      <c r="P70" t="s">
        <v>78</v>
      </c>
      <c r="Q70">
        <v>4</v>
      </c>
    </row>
    <row r="71" spans="2:17" customFormat="1" ht="14.3" x14ac:dyDescent="0.25">
      <c r="B71" s="22">
        <v>103.04</v>
      </c>
      <c r="C71" s="21" t="s">
        <v>97</v>
      </c>
      <c r="D71" s="21" t="s">
        <v>76</v>
      </c>
      <c r="E71" s="21" t="s">
        <v>97</v>
      </c>
      <c r="F71" s="21" t="s">
        <v>409</v>
      </c>
      <c r="G71" s="21" t="s">
        <v>83</v>
      </c>
      <c r="H71" s="20">
        <v>200</v>
      </c>
      <c r="J71" s="20">
        <v>280</v>
      </c>
      <c r="L71" s="20">
        <v>16</v>
      </c>
      <c r="M71" s="19">
        <v>2.6297599999999997</v>
      </c>
      <c r="P71" t="s">
        <v>78</v>
      </c>
      <c r="Q71">
        <v>4</v>
      </c>
    </row>
    <row r="72" spans="2:17" customFormat="1" ht="14.3" x14ac:dyDescent="0.25">
      <c r="B72" s="22">
        <v>73.484999999999985</v>
      </c>
      <c r="C72" s="21" t="s">
        <v>97</v>
      </c>
      <c r="D72" s="21" t="s">
        <v>88</v>
      </c>
      <c r="E72" s="21" t="s">
        <v>97</v>
      </c>
      <c r="F72" s="21" t="s">
        <v>409</v>
      </c>
      <c r="G72" s="21" t="s">
        <v>83</v>
      </c>
      <c r="H72" s="20">
        <v>200</v>
      </c>
      <c r="J72" s="20">
        <v>355</v>
      </c>
      <c r="L72" s="20">
        <v>9</v>
      </c>
      <c r="M72" s="19">
        <v>1.8754649999999999</v>
      </c>
      <c r="P72" t="s">
        <v>78</v>
      </c>
      <c r="Q72">
        <v>4</v>
      </c>
    </row>
    <row r="73" spans="2:17" customFormat="1" ht="14.3" x14ac:dyDescent="0.25">
      <c r="B73" s="22">
        <v>94.656000000000006</v>
      </c>
      <c r="C73" s="21" t="s">
        <v>97</v>
      </c>
      <c r="D73" s="21" t="s">
        <v>76</v>
      </c>
      <c r="E73" s="21" t="s">
        <v>97</v>
      </c>
      <c r="F73" s="21" t="s">
        <v>404</v>
      </c>
      <c r="G73" s="21" t="s">
        <v>83</v>
      </c>
      <c r="H73" s="20">
        <v>120</v>
      </c>
      <c r="J73" s="20">
        <v>340</v>
      </c>
      <c r="L73" s="20">
        <v>12</v>
      </c>
      <c r="M73" s="19">
        <v>1.9583999999999999</v>
      </c>
      <c r="P73" t="s">
        <v>78</v>
      </c>
      <c r="Q73">
        <v>4</v>
      </c>
    </row>
    <row r="74" spans="2:17" customFormat="1" ht="14.3" x14ac:dyDescent="0.25">
      <c r="B74" s="22">
        <v>31.552</v>
      </c>
      <c r="C74" s="21" t="s">
        <v>97</v>
      </c>
      <c r="D74" s="21" t="s">
        <v>76</v>
      </c>
      <c r="E74" s="21" t="s">
        <v>97</v>
      </c>
      <c r="F74" s="21" t="s">
        <v>404</v>
      </c>
      <c r="G74" s="21" t="s">
        <v>83</v>
      </c>
      <c r="H74" s="20">
        <v>120</v>
      </c>
      <c r="J74" s="20">
        <v>340</v>
      </c>
      <c r="L74" s="20">
        <v>4</v>
      </c>
      <c r="M74" s="19">
        <v>0.65279999999999994</v>
      </c>
      <c r="P74" t="s">
        <v>78</v>
      </c>
      <c r="Q74">
        <v>4</v>
      </c>
    </row>
    <row r="75" spans="2:17" customFormat="1" ht="14.3" x14ac:dyDescent="0.25">
      <c r="B75" s="22">
        <v>112.68</v>
      </c>
      <c r="C75" s="21" t="s">
        <v>494</v>
      </c>
      <c r="D75" s="21" t="s">
        <v>85</v>
      </c>
      <c r="E75" s="21" t="s">
        <v>97</v>
      </c>
      <c r="F75" s="21" t="s">
        <v>405</v>
      </c>
      <c r="G75" s="21" t="s">
        <v>83</v>
      </c>
      <c r="H75" s="20">
        <v>140</v>
      </c>
      <c r="J75" s="20">
        <v>900</v>
      </c>
      <c r="L75" s="20">
        <v>4</v>
      </c>
      <c r="M75" s="19">
        <v>2.016</v>
      </c>
      <c r="P75" t="s">
        <v>78</v>
      </c>
    </row>
    <row r="76" spans="2:17" customFormat="1" ht="14.3" x14ac:dyDescent="0.25">
      <c r="B76" s="22">
        <v>933.49120000000005</v>
      </c>
      <c r="C76" s="21" t="s">
        <v>97</v>
      </c>
      <c r="D76" s="21" t="s">
        <v>343</v>
      </c>
      <c r="E76" s="21" t="s">
        <v>97</v>
      </c>
      <c r="F76" s="21" t="s">
        <v>405</v>
      </c>
      <c r="G76" s="21" t="s">
        <v>83</v>
      </c>
      <c r="H76" s="20">
        <v>140</v>
      </c>
      <c r="J76" s="20">
        <v>932</v>
      </c>
      <c r="L76" s="20">
        <v>32</v>
      </c>
      <c r="M76" s="19">
        <v>16.701440000000002</v>
      </c>
      <c r="P76" t="s">
        <v>78</v>
      </c>
      <c r="Q76">
        <v>4</v>
      </c>
    </row>
    <row r="77" spans="2:17" customFormat="1" ht="14.3" x14ac:dyDescent="0.25">
      <c r="B77" s="22">
        <v>131.46</v>
      </c>
      <c r="C77" s="21" t="s">
        <v>97</v>
      </c>
      <c r="D77" s="21" t="s">
        <v>85</v>
      </c>
      <c r="E77" s="21" t="s">
        <v>97</v>
      </c>
      <c r="F77" s="21" t="s">
        <v>405</v>
      </c>
      <c r="G77" s="21" t="s">
        <v>83</v>
      </c>
      <c r="H77" s="20">
        <v>140</v>
      </c>
      <c r="J77" s="20">
        <v>1050</v>
      </c>
      <c r="L77" s="20">
        <v>4</v>
      </c>
      <c r="M77" s="19">
        <v>2.3519999999999999</v>
      </c>
      <c r="P77" t="s">
        <v>78</v>
      </c>
    </row>
    <row r="78" spans="2:17" customFormat="1" ht="13.75" customHeight="1" x14ac:dyDescent="0.25">
      <c r="B78" s="22">
        <v>19.968</v>
      </c>
      <c r="C78" s="21" t="s">
        <v>97</v>
      </c>
      <c r="D78" s="21" t="s">
        <v>85</v>
      </c>
      <c r="E78" s="21" t="s">
        <v>97</v>
      </c>
      <c r="F78" s="21" t="s">
        <v>390</v>
      </c>
      <c r="G78" s="21" t="s">
        <v>83</v>
      </c>
      <c r="H78" s="20">
        <v>70</v>
      </c>
      <c r="J78" s="20">
        <v>600</v>
      </c>
      <c r="L78" s="20">
        <v>4</v>
      </c>
      <c r="M78" s="19">
        <v>0.67200000000000015</v>
      </c>
      <c r="P78" t="s">
        <v>78</v>
      </c>
    </row>
    <row r="79" spans="2:17" customFormat="1" ht="14.3" x14ac:dyDescent="0.25">
      <c r="B79" s="22">
        <v>21.299199999999999</v>
      </c>
      <c r="C79" s="21" t="s">
        <v>97</v>
      </c>
      <c r="D79" s="21" t="s">
        <v>85</v>
      </c>
      <c r="E79" s="21" t="s">
        <v>97</v>
      </c>
      <c r="F79" s="21" t="s">
        <v>390</v>
      </c>
      <c r="G79" s="21" t="s">
        <v>83</v>
      </c>
      <c r="H79" s="20">
        <v>70</v>
      </c>
      <c r="J79" s="20">
        <v>640</v>
      </c>
      <c r="L79" s="20">
        <v>4</v>
      </c>
      <c r="M79" s="19">
        <v>0.7168000000000001</v>
      </c>
      <c r="P79" t="s">
        <v>78</v>
      </c>
    </row>
    <row r="80" spans="2:17" customFormat="1" ht="14.3" x14ac:dyDescent="0.25">
      <c r="B80" s="22">
        <v>268.71100000000001</v>
      </c>
      <c r="C80" s="21" t="s">
        <v>354</v>
      </c>
      <c r="D80" s="21" t="s">
        <v>76</v>
      </c>
      <c r="E80" s="21" t="s">
        <v>97</v>
      </c>
      <c r="F80" s="21" t="s">
        <v>480</v>
      </c>
      <c r="G80" s="21" t="s">
        <v>83</v>
      </c>
      <c r="H80" s="20">
        <v>260</v>
      </c>
      <c r="J80" s="20">
        <v>3545</v>
      </c>
      <c r="L80" s="20">
        <v>2</v>
      </c>
      <c r="M80" s="19">
        <v>5.9130599999999998</v>
      </c>
      <c r="P80" t="s">
        <v>78</v>
      </c>
      <c r="Q80">
        <v>6</v>
      </c>
    </row>
    <row r="81" spans="2:17" customFormat="1" ht="14.3" x14ac:dyDescent="0.25">
      <c r="B81" s="22">
        <v>636.12000000000012</v>
      </c>
      <c r="C81" s="21" t="s">
        <v>354</v>
      </c>
      <c r="D81" s="21" t="s">
        <v>76</v>
      </c>
      <c r="E81" s="21" t="s">
        <v>97</v>
      </c>
      <c r="F81" s="21" t="s">
        <v>481</v>
      </c>
      <c r="G81" s="21" t="s">
        <v>83</v>
      </c>
      <c r="H81" s="20">
        <v>200</v>
      </c>
      <c r="J81" s="20">
        <v>3100</v>
      </c>
      <c r="L81" s="20">
        <v>9</v>
      </c>
      <c r="M81" s="19">
        <v>19.446300000000001</v>
      </c>
      <c r="P81" t="s">
        <v>78</v>
      </c>
      <c r="Q81">
        <v>6</v>
      </c>
    </row>
    <row r="82" spans="2:17" customFormat="1" ht="14.3" x14ac:dyDescent="0.25"/>
    <row r="83" spans="2:17" customFormat="1" ht="14.3" x14ac:dyDescent="0.25"/>
    <row r="84" spans="2:17" customFormat="1" ht="14.3" x14ac:dyDescent="0.25"/>
    <row r="85" spans="2:17" customFormat="1" ht="14.3" x14ac:dyDescent="0.25">
      <c r="F85" s="49" t="s">
        <v>124</v>
      </c>
      <c r="G85" s="49" t="s">
        <v>107</v>
      </c>
      <c r="H85" s="49" t="s">
        <v>125</v>
      </c>
      <c r="I85" s="49"/>
      <c r="J85" s="49" t="s">
        <v>126</v>
      </c>
      <c r="K85" s="49"/>
      <c r="L85" s="49"/>
    </row>
    <row r="86" spans="2:17" customFormat="1" ht="14.3" x14ac:dyDescent="0.25">
      <c r="F86" s="21" t="s">
        <v>406</v>
      </c>
      <c r="G86" s="21" t="s">
        <v>79</v>
      </c>
      <c r="H86" s="379">
        <v>1389.8751999999999</v>
      </c>
      <c r="J86" s="20">
        <v>19</v>
      </c>
    </row>
    <row r="87" spans="2:17" customFormat="1" ht="14.3" x14ac:dyDescent="0.25">
      <c r="F87" s="21" t="s">
        <v>423</v>
      </c>
      <c r="G87" s="21" t="s">
        <v>79</v>
      </c>
      <c r="H87" s="379">
        <v>258.57</v>
      </c>
      <c r="J87" s="20">
        <v>7</v>
      </c>
    </row>
    <row r="88" spans="2:17" customFormat="1" ht="14.3" x14ac:dyDescent="0.25">
      <c r="F88" s="21" t="s">
        <v>459</v>
      </c>
      <c r="G88" s="21" t="s">
        <v>79</v>
      </c>
      <c r="H88" s="379">
        <v>1247.6388999999999</v>
      </c>
      <c r="J88" s="20">
        <v>30</v>
      </c>
    </row>
    <row r="89" spans="2:17" customFormat="1" ht="14.3" x14ac:dyDescent="0.25">
      <c r="F89" s="21" t="s">
        <v>485</v>
      </c>
      <c r="G89" s="21" t="s">
        <v>79</v>
      </c>
      <c r="H89" s="379">
        <v>176.39999999999998</v>
      </c>
      <c r="J89">
        <v>24</v>
      </c>
    </row>
    <row r="90" spans="2:17" customFormat="1" ht="14.3" x14ac:dyDescent="0.25">
      <c r="F90" s="21" t="s">
        <v>407</v>
      </c>
      <c r="G90" s="21" t="s">
        <v>79</v>
      </c>
      <c r="H90" s="379">
        <v>14.29785</v>
      </c>
      <c r="J90">
        <v>3</v>
      </c>
    </row>
    <row r="91" spans="2:17" customFormat="1" ht="14.3" x14ac:dyDescent="0.25">
      <c r="F91" s="21" t="s">
        <v>424</v>
      </c>
      <c r="G91" s="21" t="s">
        <v>79</v>
      </c>
      <c r="H91" s="379">
        <v>750.32099999999991</v>
      </c>
      <c r="J91" s="20">
        <v>15</v>
      </c>
    </row>
    <row r="92" spans="2:17" customFormat="1" ht="14.3" x14ac:dyDescent="0.25">
      <c r="F92" s="21" t="s">
        <v>482</v>
      </c>
      <c r="G92" s="21" t="s">
        <v>79</v>
      </c>
      <c r="H92" s="379">
        <v>1098.2400000000002</v>
      </c>
      <c r="J92">
        <v>24</v>
      </c>
    </row>
    <row r="93" spans="2:17" customFormat="1" ht="14.3" x14ac:dyDescent="0.25">
      <c r="F93" s="21" t="s">
        <v>483</v>
      </c>
      <c r="G93" s="21" t="s">
        <v>79</v>
      </c>
      <c r="H93" s="379">
        <v>1046.1780000000001</v>
      </c>
      <c r="J93">
        <v>14</v>
      </c>
    </row>
    <row r="94" spans="2:17" customFormat="1" ht="14.3" x14ac:dyDescent="0.25">
      <c r="F94" s="21" t="s">
        <v>461</v>
      </c>
      <c r="G94" s="21" t="s">
        <v>79</v>
      </c>
      <c r="H94" s="379">
        <v>1318.71</v>
      </c>
      <c r="J94" s="20">
        <v>120</v>
      </c>
    </row>
    <row r="95" spans="2:17" customFormat="1" ht="14.3" x14ac:dyDescent="0.25">
      <c r="F95" s="21" t="s">
        <v>425</v>
      </c>
      <c r="G95" s="21" t="s">
        <v>79</v>
      </c>
      <c r="H95" s="379">
        <v>2165.33</v>
      </c>
      <c r="J95" s="20">
        <v>14</v>
      </c>
    </row>
    <row r="96" spans="2:17" customFormat="1" ht="14.3" x14ac:dyDescent="0.25">
      <c r="F96" s="21" t="s">
        <v>460</v>
      </c>
      <c r="G96" s="21" t="s">
        <v>79</v>
      </c>
      <c r="H96" s="379">
        <v>1128.96</v>
      </c>
      <c r="J96">
        <v>15</v>
      </c>
    </row>
    <row r="97" spans="6:10" customFormat="1" ht="14.3" x14ac:dyDescent="0.25">
      <c r="F97" s="21" t="s">
        <v>484</v>
      </c>
      <c r="G97" s="21" t="s">
        <v>79</v>
      </c>
      <c r="H97" s="379">
        <v>2880.0909999999999</v>
      </c>
      <c r="J97" s="20">
        <v>19</v>
      </c>
    </row>
    <row r="98" spans="6:10" customFormat="1" ht="14.3" x14ac:dyDescent="0.25">
      <c r="F98" s="21" t="s">
        <v>426</v>
      </c>
      <c r="G98" s="21" t="s">
        <v>79</v>
      </c>
      <c r="H98" s="379">
        <v>1241</v>
      </c>
      <c r="J98">
        <v>8</v>
      </c>
    </row>
    <row r="99" spans="6:10" customFormat="1" ht="14.3" x14ac:dyDescent="0.25">
      <c r="F99" s="21" t="s">
        <v>385</v>
      </c>
      <c r="G99" s="21" t="s">
        <v>79</v>
      </c>
      <c r="H99" s="379">
        <v>2538.9700000000003</v>
      </c>
      <c r="J99" s="20">
        <v>16</v>
      </c>
    </row>
    <row r="100" spans="6:10" customFormat="1" ht="14.3" x14ac:dyDescent="0.25">
      <c r="F100" s="21" t="s">
        <v>462</v>
      </c>
      <c r="G100" s="21" t="s">
        <v>79</v>
      </c>
      <c r="H100" s="379">
        <v>1164.952</v>
      </c>
      <c r="J100">
        <v>8</v>
      </c>
    </row>
    <row r="101" spans="6:10" customFormat="1" ht="14.3" x14ac:dyDescent="0.25">
      <c r="F101" s="21" t="s">
        <v>458</v>
      </c>
      <c r="G101" s="21" t="s">
        <v>79</v>
      </c>
      <c r="H101" s="379">
        <v>2738.498</v>
      </c>
      <c r="J101" s="20">
        <v>30</v>
      </c>
    </row>
    <row r="102" spans="6:10" customFormat="1" ht="14.3" x14ac:dyDescent="0.25">
      <c r="F102" s="21" t="s">
        <v>427</v>
      </c>
      <c r="G102" s="21" t="s">
        <v>79</v>
      </c>
      <c r="H102" s="379">
        <v>2090.7199999999998</v>
      </c>
      <c r="J102">
        <v>16</v>
      </c>
    </row>
    <row r="103" spans="6:10" customFormat="1" ht="14.3" x14ac:dyDescent="0.25">
      <c r="F103" s="21" t="s">
        <v>428</v>
      </c>
      <c r="G103" s="21" t="s">
        <v>79</v>
      </c>
      <c r="H103" s="379">
        <v>524.52</v>
      </c>
      <c r="J103">
        <v>2</v>
      </c>
    </row>
    <row r="104" spans="6:10" customFormat="1" ht="14.3" x14ac:dyDescent="0.25">
      <c r="F104" s="21" t="s">
        <v>486</v>
      </c>
      <c r="G104" s="21" t="s">
        <v>79</v>
      </c>
      <c r="H104" s="379">
        <v>857.84999999999991</v>
      </c>
      <c r="J104">
        <v>3</v>
      </c>
    </row>
    <row r="105" spans="6:10" customFormat="1" ht="14.3" x14ac:dyDescent="0.25">
      <c r="F105" s="21" t="s">
        <v>429</v>
      </c>
      <c r="G105" s="21" t="s">
        <v>79</v>
      </c>
      <c r="H105" s="379">
        <v>3332.058</v>
      </c>
      <c r="J105" s="20">
        <v>14</v>
      </c>
    </row>
    <row r="106" spans="6:10" customFormat="1" ht="14.3" x14ac:dyDescent="0.25">
      <c r="F106" s="21" t="s">
        <v>430</v>
      </c>
      <c r="G106" s="21" t="s">
        <v>79</v>
      </c>
      <c r="H106" s="379">
        <v>2751.0079999999998</v>
      </c>
      <c r="J106">
        <v>8</v>
      </c>
    </row>
    <row r="107" spans="6:10" customFormat="1" ht="14.3" x14ac:dyDescent="0.25">
      <c r="F107" s="21" t="s">
        <v>456</v>
      </c>
      <c r="G107" s="21" t="s">
        <v>83</v>
      </c>
      <c r="H107" s="379">
        <v>744.48</v>
      </c>
      <c r="J107" s="20">
        <v>8</v>
      </c>
    </row>
    <row r="108" spans="6:10" customFormat="1" ht="14.3" x14ac:dyDescent="0.25">
      <c r="F108" s="21" t="s">
        <v>457</v>
      </c>
      <c r="G108" s="21" t="s">
        <v>83</v>
      </c>
      <c r="H108" s="379">
        <v>144.72</v>
      </c>
      <c r="J108">
        <v>12</v>
      </c>
    </row>
    <row r="109" spans="6:10" customFormat="1" ht="14.3" x14ac:dyDescent="0.25">
      <c r="F109" s="21" t="s">
        <v>384</v>
      </c>
      <c r="G109" s="21" t="s">
        <v>83</v>
      </c>
      <c r="H109" s="379">
        <v>8469.4170000000013</v>
      </c>
      <c r="J109" s="20">
        <v>22</v>
      </c>
    </row>
    <row r="110" spans="6:10" customFormat="1" ht="14.3" x14ac:dyDescent="0.25">
      <c r="F110" s="21" t="s">
        <v>402</v>
      </c>
      <c r="G110" s="21" t="s">
        <v>83</v>
      </c>
      <c r="H110" s="379">
        <v>6032.6559999999999</v>
      </c>
      <c r="J110">
        <v>7</v>
      </c>
    </row>
    <row r="111" spans="6:10" customFormat="1" ht="14.3" x14ac:dyDescent="0.25">
      <c r="F111" s="21" t="s">
        <v>403</v>
      </c>
      <c r="G111" s="21" t="s">
        <v>83</v>
      </c>
      <c r="H111" s="379">
        <v>8706.6</v>
      </c>
      <c r="J111" s="20">
        <v>64</v>
      </c>
    </row>
    <row r="112" spans="6:10" customFormat="1" ht="14.3" x14ac:dyDescent="0.25">
      <c r="F112" s="21" t="s">
        <v>455</v>
      </c>
      <c r="G112" s="21" t="s">
        <v>83</v>
      </c>
      <c r="H112" s="379">
        <v>147.36000000000001</v>
      </c>
      <c r="J112" s="20">
        <v>32</v>
      </c>
    </row>
    <row r="113" spans="6:10" customFormat="1" ht="14.3" x14ac:dyDescent="0.25">
      <c r="F113" s="21" t="s">
        <v>401</v>
      </c>
      <c r="G113" s="21" t="s">
        <v>83</v>
      </c>
      <c r="H113" s="379">
        <v>21337.800000000003</v>
      </c>
      <c r="J113" s="20">
        <v>63</v>
      </c>
    </row>
    <row r="114" spans="6:10" customFormat="1" ht="14.3" x14ac:dyDescent="0.25">
      <c r="F114" s="21" t="s">
        <v>408</v>
      </c>
      <c r="G114" s="21" t="s">
        <v>83</v>
      </c>
      <c r="H114" s="379">
        <v>919.28800000000001</v>
      </c>
      <c r="J114" s="20">
        <v>8</v>
      </c>
    </row>
    <row r="115" spans="6:10" customFormat="1" ht="14.3" x14ac:dyDescent="0.25">
      <c r="F115" s="21" t="s">
        <v>391</v>
      </c>
      <c r="G115" s="21" t="s">
        <v>83</v>
      </c>
      <c r="H115" s="379">
        <v>1098.5</v>
      </c>
      <c r="J115" s="20">
        <v>29</v>
      </c>
    </row>
    <row r="116" spans="6:10" customFormat="1" ht="14.3" x14ac:dyDescent="0.25">
      <c r="F116" s="21" t="s">
        <v>409</v>
      </c>
      <c r="G116" s="21" t="s">
        <v>83</v>
      </c>
      <c r="H116" s="379">
        <v>485.64499999999998</v>
      </c>
      <c r="J116" s="20">
        <v>73</v>
      </c>
    </row>
    <row r="117" spans="6:10" customFormat="1" ht="14.3" x14ac:dyDescent="0.25">
      <c r="F117" s="21" t="s">
        <v>404</v>
      </c>
      <c r="G117" s="21" t="s">
        <v>83</v>
      </c>
      <c r="H117" s="379">
        <v>126.208</v>
      </c>
      <c r="J117" s="20">
        <v>16</v>
      </c>
    </row>
    <row r="118" spans="6:10" customFormat="1" ht="14.3" x14ac:dyDescent="0.25">
      <c r="F118" s="21" t="s">
        <v>405</v>
      </c>
      <c r="G118" s="21" t="s">
        <v>83</v>
      </c>
      <c r="H118" s="379">
        <v>1177.6312</v>
      </c>
      <c r="J118" s="20">
        <v>40</v>
      </c>
    </row>
    <row r="119" spans="6:10" customFormat="1" ht="14.3" x14ac:dyDescent="0.25">
      <c r="F119" s="21" t="s">
        <v>390</v>
      </c>
      <c r="G119" s="21" t="s">
        <v>83</v>
      </c>
      <c r="H119" s="379">
        <v>41.267200000000003</v>
      </c>
      <c r="J119" s="20">
        <v>8</v>
      </c>
    </row>
    <row r="120" spans="6:10" customFormat="1" ht="14.3" x14ac:dyDescent="0.25">
      <c r="F120" s="21" t="s">
        <v>480</v>
      </c>
      <c r="G120" s="21" t="s">
        <v>83</v>
      </c>
      <c r="H120" s="379">
        <v>268.71100000000001</v>
      </c>
      <c r="J120">
        <v>2</v>
      </c>
    </row>
    <row r="121" spans="6:10" customFormat="1" ht="14.3" x14ac:dyDescent="0.25">
      <c r="F121" s="21" t="s">
        <v>481</v>
      </c>
      <c r="G121" s="21" t="s">
        <v>83</v>
      </c>
      <c r="H121" s="379">
        <v>636.12000000000012</v>
      </c>
      <c r="J121">
        <v>9</v>
      </c>
    </row>
    <row r="122" spans="6:10" customFormat="1" ht="14.3" x14ac:dyDescent="0.25"/>
    <row r="123" spans="6:10" customFormat="1" ht="14.3" x14ac:dyDescent="0.25"/>
    <row r="124" spans="6:10" customFormat="1" ht="14.3" x14ac:dyDescent="0.25"/>
    <row r="125" spans="6:10" customFormat="1" ht="14.3" x14ac:dyDescent="0.25"/>
    <row r="126" spans="6:10" customFormat="1" ht="14.3" x14ac:dyDescent="0.25"/>
    <row r="127" spans="6:10" customFormat="1" ht="14.3" x14ac:dyDescent="0.25"/>
    <row r="128" spans="6:10" customFormat="1" ht="14.3" x14ac:dyDescent="0.25"/>
    <row r="129" customFormat="1" ht="14.3" x14ac:dyDescent="0.25"/>
    <row r="130" customFormat="1" ht="14.3" x14ac:dyDescent="0.25"/>
    <row r="131" customFormat="1" ht="14.3" x14ac:dyDescent="0.25"/>
    <row r="132" customFormat="1" ht="14.3" x14ac:dyDescent="0.25"/>
    <row r="133" customFormat="1" ht="14.3" x14ac:dyDescent="0.25"/>
    <row r="134" customFormat="1" ht="14.3" x14ac:dyDescent="0.25"/>
    <row r="135" customFormat="1" ht="14.3" x14ac:dyDescent="0.25"/>
    <row r="136" customFormat="1" ht="14.3" x14ac:dyDescent="0.25"/>
    <row r="137" customFormat="1" ht="14.3" x14ac:dyDescent="0.25"/>
    <row r="138" customFormat="1" ht="14.3" x14ac:dyDescent="0.25"/>
    <row r="139" customFormat="1" ht="14.3" x14ac:dyDescent="0.25"/>
    <row r="140" customFormat="1" ht="14.3" x14ac:dyDescent="0.25"/>
    <row r="141" customFormat="1" ht="14.3" x14ac:dyDescent="0.25"/>
    <row r="142" customFormat="1" ht="14.3" x14ac:dyDescent="0.25"/>
    <row r="143" customFormat="1" ht="14.3" x14ac:dyDescent="0.25"/>
    <row r="144" customFormat="1" ht="14.3" x14ac:dyDescent="0.25"/>
    <row r="145" spans="6:7" customFormat="1" ht="14.3" x14ac:dyDescent="0.25"/>
    <row r="146" spans="6:7" customFormat="1" ht="14.3" x14ac:dyDescent="0.25"/>
    <row r="147" spans="6:7" customFormat="1" ht="14.3" x14ac:dyDescent="0.25"/>
    <row r="148" spans="6:7" customFormat="1" ht="14.3" x14ac:dyDescent="0.25"/>
    <row r="149" spans="6:7" customFormat="1" ht="14.3" x14ac:dyDescent="0.25"/>
    <row r="150" spans="6:7" customFormat="1" ht="14.3" x14ac:dyDescent="0.25"/>
    <row r="151" spans="6:7" customFormat="1" ht="14.3" x14ac:dyDescent="0.25"/>
    <row r="152" spans="6:7" customFormat="1" ht="14.3" x14ac:dyDescent="0.25"/>
    <row r="153" spans="6:7" customFormat="1" x14ac:dyDescent="0.3">
      <c r="F153" s="5"/>
      <c r="G153" s="5"/>
    </row>
    <row r="154" spans="6:7" customFormat="1" x14ac:dyDescent="0.3">
      <c r="F154" s="5"/>
      <c r="G154" s="5"/>
    </row>
    <row r="155" spans="6:7" customFormat="1" x14ac:dyDescent="0.3">
      <c r="F155" s="5"/>
      <c r="G155" s="5"/>
    </row>
    <row r="156" spans="6:7" customFormat="1" x14ac:dyDescent="0.3">
      <c r="F156" s="5"/>
      <c r="G156" s="5"/>
    </row>
    <row r="157" spans="6:7" customFormat="1" x14ac:dyDescent="0.3">
      <c r="F157" s="5"/>
      <c r="G157" s="5"/>
    </row>
    <row r="158" spans="6:7" customFormat="1" ht="14.3" x14ac:dyDescent="0.25"/>
    <row r="159" spans="6:7" customFormat="1" ht="14.3" x14ac:dyDescent="0.25"/>
    <row r="160" spans="6:7" customFormat="1" ht="14.3" x14ac:dyDescent="0.25"/>
    <row r="161" customFormat="1" ht="14.3" x14ac:dyDescent="0.25"/>
    <row r="162" customFormat="1" ht="14.3" x14ac:dyDescent="0.25"/>
    <row r="163" customFormat="1" ht="14.3" x14ac:dyDescent="0.25"/>
    <row r="164" customFormat="1" ht="14.3" x14ac:dyDescent="0.25"/>
    <row r="165" customFormat="1" ht="14.3" x14ac:dyDescent="0.25"/>
    <row r="166" customFormat="1" ht="14.3" x14ac:dyDescent="0.25"/>
    <row r="167" customFormat="1" ht="14.3" x14ac:dyDescent="0.25"/>
    <row r="168" customFormat="1" ht="14.3" x14ac:dyDescent="0.25"/>
    <row r="169" customFormat="1" ht="14.3" x14ac:dyDescent="0.25"/>
    <row r="170" customFormat="1" ht="14.3" x14ac:dyDescent="0.25"/>
    <row r="171" customFormat="1" ht="14.3" x14ac:dyDescent="0.25"/>
    <row r="172" customFormat="1" ht="14.3" x14ac:dyDescent="0.25"/>
    <row r="173" customFormat="1" ht="14.3" x14ac:dyDescent="0.25"/>
    <row r="174" customFormat="1" ht="14.3" x14ac:dyDescent="0.25"/>
    <row r="175" customFormat="1" ht="14.3" x14ac:dyDescent="0.25"/>
    <row r="176" customFormat="1" ht="14.3" x14ac:dyDescent="0.25"/>
    <row r="177" customFormat="1" ht="14.3" x14ac:dyDescent="0.25"/>
    <row r="178" customFormat="1" ht="14.3" x14ac:dyDescent="0.25"/>
    <row r="179" customFormat="1" ht="14.3" x14ac:dyDescent="0.25"/>
    <row r="180" customFormat="1" ht="14.3" x14ac:dyDescent="0.25"/>
    <row r="181" customFormat="1" ht="14.3" x14ac:dyDescent="0.25"/>
    <row r="182" customFormat="1" ht="14.3" x14ac:dyDescent="0.25"/>
    <row r="183" customFormat="1" ht="14.3" x14ac:dyDescent="0.25"/>
    <row r="184" customFormat="1" ht="14.3" x14ac:dyDescent="0.25"/>
    <row r="185" customFormat="1" ht="14.3" x14ac:dyDescent="0.25"/>
    <row r="186" customFormat="1" ht="14.3" x14ac:dyDescent="0.25"/>
    <row r="187" customFormat="1" ht="14.3" x14ac:dyDescent="0.25"/>
    <row r="188" customFormat="1" ht="14.3" x14ac:dyDescent="0.25"/>
    <row r="189" customFormat="1" ht="14.3" x14ac:dyDescent="0.25"/>
    <row r="190" customFormat="1" ht="14.3" x14ac:dyDescent="0.25"/>
    <row r="191" customFormat="1" ht="14.3" x14ac:dyDescent="0.25"/>
    <row r="192" customFormat="1" ht="14.3" x14ac:dyDescent="0.25"/>
    <row r="193" customFormat="1" ht="14.3" x14ac:dyDescent="0.25"/>
    <row r="194" customFormat="1" ht="14.3" x14ac:dyDescent="0.25"/>
    <row r="195" customFormat="1" ht="14.3" x14ac:dyDescent="0.25"/>
    <row r="196" customFormat="1" ht="14.3" x14ac:dyDescent="0.25"/>
    <row r="197" customFormat="1" ht="14.3" x14ac:dyDescent="0.25"/>
    <row r="198" customFormat="1" ht="14.3" x14ac:dyDescent="0.25"/>
    <row r="199" customFormat="1" ht="14.3" x14ac:dyDescent="0.25"/>
    <row r="200" customFormat="1" ht="14.3" x14ac:dyDescent="0.25"/>
    <row r="201" customFormat="1" ht="14.3" x14ac:dyDescent="0.25"/>
    <row r="202" customFormat="1" ht="14.3" x14ac:dyDescent="0.25"/>
    <row r="203" customFormat="1" ht="14.3" x14ac:dyDescent="0.25"/>
    <row r="204" customFormat="1" ht="14.3" x14ac:dyDescent="0.25"/>
    <row r="205" customFormat="1" ht="14.3" x14ac:dyDescent="0.25"/>
    <row r="206" customFormat="1" ht="14.3" x14ac:dyDescent="0.25"/>
    <row r="207" customFormat="1" ht="14.3" x14ac:dyDescent="0.25"/>
    <row r="208" customFormat="1" ht="14.3" x14ac:dyDescent="0.25"/>
    <row r="209" customFormat="1" ht="14.3" x14ac:dyDescent="0.25"/>
    <row r="210" customFormat="1" ht="14.3" x14ac:dyDescent="0.25"/>
    <row r="211" customFormat="1" ht="14.3" x14ac:dyDescent="0.25"/>
    <row r="212" customFormat="1" ht="14.3" x14ac:dyDescent="0.25"/>
    <row r="213" customFormat="1" ht="14.3" x14ac:dyDescent="0.25"/>
    <row r="214" customFormat="1" ht="14.3" x14ac:dyDescent="0.25"/>
    <row r="215" customFormat="1" ht="14.3" x14ac:dyDescent="0.25"/>
    <row r="216" customFormat="1" ht="14.3" x14ac:dyDescent="0.25"/>
    <row r="217" customFormat="1" ht="14.3" x14ac:dyDescent="0.25"/>
    <row r="218" customFormat="1" ht="14.3" x14ac:dyDescent="0.25"/>
    <row r="219" customFormat="1" ht="14.3" x14ac:dyDescent="0.25"/>
    <row r="220" customFormat="1" ht="14.3" x14ac:dyDescent="0.25"/>
    <row r="221" customFormat="1" ht="14.3" x14ac:dyDescent="0.25"/>
    <row r="222" customFormat="1" ht="14.3" x14ac:dyDescent="0.25"/>
    <row r="223" customFormat="1" ht="14.3" x14ac:dyDescent="0.25"/>
    <row r="224" customFormat="1" ht="14.3" x14ac:dyDescent="0.25"/>
    <row r="225" customFormat="1" ht="14.3" x14ac:dyDescent="0.25"/>
    <row r="226" customFormat="1" ht="14.3" x14ac:dyDescent="0.25"/>
    <row r="227" customFormat="1" ht="14.3" x14ac:dyDescent="0.25"/>
    <row r="228" customFormat="1" ht="14.3" x14ac:dyDescent="0.25"/>
    <row r="229" customFormat="1" ht="14.3" x14ac:dyDescent="0.25"/>
    <row r="230" customFormat="1" ht="14.3" x14ac:dyDescent="0.25"/>
    <row r="231" customFormat="1" ht="14.3" x14ac:dyDescent="0.25"/>
    <row r="232" customFormat="1" ht="14.3" x14ac:dyDescent="0.25"/>
    <row r="233" customFormat="1" ht="14.3" x14ac:dyDescent="0.25"/>
    <row r="234" customFormat="1" ht="14.3" x14ac:dyDescent="0.25"/>
    <row r="235" customFormat="1" ht="14.3" x14ac:dyDescent="0.25"/>
    <row r="236" customFormat="1" ht="14.3" x14ac:dyDescent="0.25"/>
    <row r="237" customFormat="1" ht="14.3" x14ac:dyDescent="0.25"/>
    <row r="238" customFormat="1" ht="14.3" x14ac:dyDescent="0.25"/>
    <row r="239" customFormat="1" ht="14.3" x14ac:dyDescent="0.25"/>
    <row r="240" customFormat="1" ht="14.3" x14ac:dyDescent="0.25"/>
    <row r="241" customFormat="1" ht="14.3" x14ac:dyDescent="0.25"/>
    <row r="242" customFormat="1" ht="14.3" x14ac:dyDescent="0.25"/>
    <row r="243" customFormat="1" ht="14.3" x14ac:dyDescent="0.25"/>
    <row r="244" customFormat="1" ht="14.3" x14ac:dyDescent="0.25"/>
    <row r="245" customFormat="1" ht="14.3" x14ac:dyDescent="0.25"/>
    <row r="246" customFormat="1" ht="14.3" x14ac:dyDescent="0.25"/>
    <row r="247" customFormat="1" ht="14.3" x14ac:dyDescent="0.25"/>
    <row r="248" customFormat="1" ht="14.3" x14ac:dyDescent="0.25"/>
    <row r="249" customFormat="1" ht="14.3" x14ac:dyDescent="0.25"/>
    <row r="250" customFormat="1" ht="14.3" x14ac:dyDescent="0.25"/>
    <row r="251" customFormat="1" ht="14.3" x14ac:dyDescent="0.25"/>
    <row r="252" customFormat="1" ht="14.3" x14ac:dyDescent="0.25"/>
    <row r="253" customFormat="1" ht="14.3" x14ac:dyDescent="0.25"/>
    <row r="254" customFormat="1" ht="14.3" x14ac:dyDescent="0.25"/>
    <row r="255" customFormat="1" ht="14.3" x14ac:dyDescent="0.25"/>
    <row r="256" customFormat="1" ht="14.3" x14ac:dyDescent="0.25"/>
    <row r="257" customFormat="1" ht="14.3" x14ac:dyDescent="0.25"/>
    <row r="258" customFormat="1" ht="14.3" x14ac:dyDescent="0.25"/>
    <row r="259" customFormat="1" ht="14.3" x14ac:dyDescent="0.25"/>
    <row r="260" customFormat="1" ht="14.3" x14ac:dyDescent="0.25"/>
    <row r="261" customFormat="1" ht="14.3" x14ac:dyDescent="0.25"/>
    <row r="262" customFormat="1" ht="14.3" x14ac:dyDescent="0.25"/>
    <row r="263" customFormat="1" ht="14.3" x14ac:dyDescent="0.25"/>
    <row r="264" customFormat="1" ht="14.3" x14ac:dyDescent="0.25"/>
    <row r="265" customFormat="1" ht="14.3" x14ac:dyDescent="0.25"/>
    <row r="266" customFormat="1" ht="14.3" x14ac:dyDescent="0.25"/>
    <row r="267" customFormat="1" ht="14.3" x14ac:dyDescent="0.25"/>
    <row r="268" customFormat="1" ht="14.3" x14ac:dyDescent="0.25"/>
    <row r="269" customFormat="1" ht="14.3" x14ac:dyDescent="0.25"/>
    <row r="270" customFormat="1" ht="14.3" x14ac:dyDescent="0.25"/>
    <row r="271" customFormat="1" ht="14.3" x14ac:dyDescent="0.25"/>
    <row r="272" customFormat="1" ht="14.3" x14ac:dyDescent="0.25"/>
    <row r="273" customFormat="1" ht="14.3" x14ac:dyDescent="0.25"/>
    <row r="274" customFormat="1" ht="14.3" x14ac:dyDescent="0.25"/>
    <row r="275" customFormat="1" ht="14.3" x14ac:dyDescent="0.25"/>
    <row r="276" customFormat="1" ht="14.3" x14ac:dyDescent="0.25"/>
    <row r="277" customFormat="1" ht="14.3" x14ac:dyDescent="0.25"/>
    <row r="278" customFormat="1" ht="14.3" x14ac:dyDescent="0.25"/>
    <row r="279" customFormat="1" ht="14.3" x14ac:dyDescent="0.25"/>
    <row r="280" customFormat="1" ht="14.3" x14ac:dyDescent="0.25"/>
    <row r="281" customFormat="1" ht="14.3" x14ac:dyDescent="0.25"/>
    <row r="282" customFormat="1" ht="14.3" x14ac:dyDescent="0.25"/>
    <row r="283" customFormat="1" ht="14.3" x14ac:dyDescent="0.25"/>
    <row r="284" customFormat="1" ht="14.3" x14ac:dyDescent="0.25"/>
    <row r="285" customFormat="1" ht="14.3" x14ac:dyDescent="0.25"/>
    <row r="286" customFormat="1" ht="14.3" x14ac:dyDescent="0.25"/>
    <row r="287" customFormat="1" ht="14.3" x14ac:dyDescent="0.25"/>
    <row r="288" customFormat="1" ht="14.3" x14ac:dyDescent="0.25"/>
    <row r="289" spans="1:22" customFormat="1" ht="14.3" x14ac:dyDescent="0.25"/>
    <row r="290" spans="1:22" customFormat="1" ht="14.3" x14ac:dyDescent="0.25"/>
    <row r="291" spans="1:22" customFormat="1" ht="14.3" x14ac:dyDescent="0.25"/>
    <row r="292" spans="1:22" customFormat="1" ht="14.3" x14ac:dyDescent="0.25"/>
    <row r="293" spans="1:22" customFormat="1" ht="14.3" x14ac:dyDescent="0.25"/>
    <row r="294" spans="1:22" customFormat="1" ht="14.3" x14ac:dyDescent="0.25"/>
    <row r="295" spans="1:22" customFormat="1" ht="14.3" x14ac:dyDescent="0.25"/>
    <row r="296" spans="1:22" customFormat="1" ht="14.3" x14ac:dyDescent="0.25"/>
    <row r="297" spans="1:22" customFormat="1" ht="14.3" x14ac:dyDescent="0.25"/>
    <row r="298" spans="1:22" customFormat="1" ht="14.3" x14ac:dyDescent="0.25"/>
    <row r="299" spans="1:22" customFormat="1" ht="14.3" x14ac:dyDescent="0.25"/>
    <row r="300" spans="1:22" customFormat="1" ht="14.3" x14ac:dyDescent="0.25"/>
    <row r="301" spans="1:22" x14ac:dyDescent="0.3">
      <c r="A301"/>
      <c r="B301"/>
      <c r="C301"/>
      <c r="D301"/>
      <c r="E301"/>
      <c r="F301"/>
      <c r="G301"/>
      <c r="H301"/>
      <c r="I301"/>
      <c r="J301"/>
      <c r="K301"/>
      <c r="L301"/>
      <c r="M301"/>
      <c r="N301"/>
      <c r="O301"/>
      <c r="P301"/>
      <c r="Q301"/>
      <c r="R301"/>
      <c r="S301"/>
      <c r="T301"/>
      <c r="U301"/>
      <c r="V301"/>
    </row>
    <row r="302" spans="1:22" x14ac:dyDescent="0.3">
      <c r="A302"/>
      <c r="B302"/>
      <c r="C302"/>
      <c r="D302"/>
      <c r="E302"/>
      <c r="F302"/>
      <c r="G302"/>
      <c r="H302"/>
      <c r="I302"/>
      <c r="J302"/>
      <c r="K302"/>
      <c r="L302"/>
      <c r="M302"/>
      <c r="N302"/>
      <c r="O302"/>
      <c r="P302"/>
      <c r="Q302"/>
      <c r="R302"/>
      <c r="S302"/>
      <c r="T302"/>
      <c r="U302"/>
      <c r="V302"/>
    </row>
    <row r="303" spans="1:22" x14ac:dyDescent="0.3">
      <c r="A303"/>
      <c r="B303"/>
      <c r="C303"/>
      <c r="D303"/>
      <c r="E303"/>
      <c r="F303"/>
      <c r="G303"/>
      <c r="H303"/>
      <c r="I303"/>
      <c r="J303"/>
      <c r="K303"/>
      <c r="L303"/>
      <c r="M303"/>
      <c r="N303"/>
      <c r="O303"/>
      <c r="P303"/>
      <c r="Q303"/>
      <c r="R303"/>
      <c r="S303"/>
      <c r="T303"/>
      <c r="U303"/>
      <c r="V303"/>
    </row>
    <row r="304" spans="1:22" x14ac:dyDescent="0.3">
      <c r="A304"/>
      <c r="B304"/>
      <c r="C304"/>
      <c r="D304"/>
      <c r="E304"/>
      <c r="F304"/>
      <c r="G304"/>
      <c r="H304"/>
      <c r="I304"/>
      <c r="J304"/>
      <c r="K304"/>
      <c r="L304"/>
      <c r="M304"/>
      <c r="N304"/>
      <c r="O304"/>
      <c r="P304"/>
      <c r="Q304"/>
      <c r="R304"/>
      <c r="S304"/>
      <c r="T304"/>
      <c r="U304"/>
      <c r="V304"/>
    </row>
    <row r="305" spans="1:22" x14ac:dyDescent="0.3">
      <c r="A305"/>
      <c r="B305"/>
      <c r="C305"/>
      <c r="D305"/>
      <c r="E305"/>
      <c r="F305"/>
      <c r="G305"/>
      <c r="H305"/>
      <c r="I305"/>
      <c r="J305"/>
      <c r="K305"/>
      <c r="L305"/>
      <c r="M305"/>
      <c r="N305"/>
      <c r="O305"/>
      <c r="P305"/>
      <c r="Q305"/>
      <c r="R305"/>
      <c r="S305"/>
      <c r="T305"/>
      <c r="U305"/>
      <c r="V305"/>
    </row>
    <row r="306" spans="1:22" x14ac:dyDescent="0.3">
      <c r="A306"/>
      <c r="B306"/>
      <c r="C306"/>
      <c r="D306"/>
      <c r="E306"/>
      <c r="F306"/>
      <c r="G306"/>
      <c r="H306"/>
      <c r="I306"/>
      <c r="J306"/>
      <c r="K306"/>
      <c r="L306"/>
      <c r="M306"/>
      <c r="N306"/>
      <c r="O306"/>
      <c r="P306"/>
      <c r="Q306"/>
      <c r="R306"/>
      <c r="S306"/>
      <c r="T306"/>
      <c r="U306"/>
      <c r="V306"/>
    </row>
    <row r="307" spans="1:22" x14ac:dyDescent="0.3">
      <c r="A307"/>
      <c r="B307"/>
      <c r="C307"/>
      <c r="D307"/>
      <c r="E307"/>
      <c r="F307"/>
      <c r="G307"/>
      <c r="H307"/>
      <c r="I307"/>
      <c r="J307"/>
      <c r="K307"/>
      <c r="L307"/>
      <c r="M307"/>
      <c r="N307"/>
      <c r="O307"/>
      <c r="P307"/>
      <c r="Q307"/>
      <c r="R307"/>
      <c r="S307"/>
      <c r="T307"/>
      <c r="U307"/>
      <c r="V307"/>
    </row>
    <row r="308" spans="1:22" x14ac:dyDescent="0.3">
      <c r="A308"/>
      <c r="B308"/>
      <c r="C308"/>
      <c r="D308"/>
      <c r="E308"/>
      <c r="F308"/>
      <c r="G308"/>
      <c r="H308"/>
      <c r="I308"/>
      <c r="J308"/>
      <c r="K308"/>
      <c r="L308"/>
      <c r="M308"/>
      <c r="N308"/>
      <c r="O308"/>
      <c r="P308"/>
      <c r="Q308"/>
      <c r="R308"/>
      <c r="S308"/>
      <c r="T308"/>
      <c r="U308"/>
      <c r="V308"/>
    </row>
    <row r="309" spans="1:22" x14ac:dyDescent="0.3">
      <c r="A309"/>
      <c r="B309"/>
      <c r="C309"/>
      <c r="D309"/>
      <c r="E309"/>
      <c r="F309"/>
      <c r="G309"/>
      <c r="H309"/>
      <c r="I309"/>
      <c r="J309"/>
      <c r="K309"/>
      <c r="L309"/>
      <c r="M309"/>
      <c r="N309"/>
      <c r="O309"/>
      <c r="P309"/>
      <c r="Q309"/>
      <c r="R309"/>
      <c r="S309"/>
      <c r="T309"/>
      <c r="U309"/>
      <c r="V309"/>
    </row>
    <row r="310" spans="1:22" x14ac:dyDescent="0.3">
      <c r="A310"/>
      <c r="B310"/>
      <c r="C310"/>
      <c r="D310"/>
      <c r="E310"/>
      <c r="F310"/>
      <c r="G310"/>
      <c r="H310"/>
      <c r="I310"/>
      <c r="J310"/>
      <c r="K310"/>
      <c r="L310"/>
      <c r="M310"/>
      <c r="N310"/>
      <c r="O310"/>
      <c r="P310"/>
      <c r="Q310"/>
      <c r="R310"/>
      <c r="S310"/>
      <c r="T310"/>
      <c r="U310"/>
      <c r="V310"/>
    </row>
    <row r="311" spans="1:22" x14ac:dyDescent="0.3">
      <c r="A311"/>
      <c r="B311"/>
      <c r="C311"/>
      <c r="D311"/>
      <c r="E311"/>
      <c r="F311"/>
      <c r="G311"/>
      <c r="H311"/>
      <c r="I311"/>
      <c r="J311"/>
      <c r="K311"/>
      <c r="L311"/>
      <c r="M311"/>
      <c r="N311"/>
      <c r="O311"/>
      <c r="P311"/>
      <c r="Q311"/>
      <c r="R311"/>
      <c r="S311"/>
      <c r="T311"/>
      <c r="U311"/>
      <c r="V311"/>
    </row>
    <row r="312" spans="1:22" x14ac:dyDescent="0.3">
      <c r="A312"/>
      <c r="B312"/>
      <c r="C312"/>
      <c r="D312"/>
      <c r="E312"/>
      <c r="F312"/>
      <c r="G312"/>
      <c r="H312"/>
      <c r="I312"/>
      <c r="J312"/>
      <c r="K312"/>
      <c r="L312"/>
      <c r="M312"/>
      <c r="N312"/>
      <c r="O312"/>
      <c r="P312"/>
      <c r="Q312"/>
      <c r="R312"/>
      <c r="S312"/>
      <c r="T312"/>
      <c r="U312"/>
      <c r="V312"/>
    </row>
    <row r="313" spans="1:22" x14ac:dyDescent="0.3">
      <c r="A313"/>
      <c r="B313"/>
      <c r="C313"/>
      <c r="D313"/>
      <c r="E313"/>
      <c r="F313"/>
      <c r="G313"/>
      <c r="H313"/>
      <c r="I313"/>
      <c r="J313"/>
      <c r="K313"/>
      <c r="L313"/>
      <c r="M313"/>
      <c r="N313"/>
      <c r="O313"/>
      <c r="P313"/>
      <c r="Q313"/>
      <c r="R313"/>
      <c r="S313"/>
      <c r="T313"/>
      <c r="U313"/>
      <c r="V313"/>
    </row>
    <row r="314" spans="1:22" x14ac:dyDescent="0.3">
      <c r="A314"/>
      <c r="B314"/>
      <c r="C314"/>
      <c r="D314"/>
      <c r="E314"/>
      <c r="F314"/>
      <c r="G314"/>
      <c r="H314"/>
      <c r="I314"/>
      <c r="J314"/>
      <c r="K314"/>
      <c r="L314"/>
      <c r="M314"/>
      <c r="N314"/>
      <c r="O314"/>
      <c r="P314"/>
      <c r="Q314"/>
      <c r="R314"/>
      <c r="S314"/>
      <c r="T314"/>
      <c r="U314"/>
      <c r="V314"/>
    </row>
    <row r="315" spans="1:22" x14ac:dyDescent="0.3">
      <c r="A315"/>
      <c r="B315"/>
      <c r="C315"/>
      <c r="D315"/>
      <c r="E315"/>
      <c r="F315"/>
      <c r="G315"/>
      <c r="H315"/>
      <c r="I315"/>
      <c r="J315"/>
      <c r="K315"/>
      <c r="L315"/>
      <c r="M315"/>
      <c r="N315"/>
      <c r="O315"/>
      <c r="P315"/>
      <c r="Q315"/>
      <c r="R315"/>
      <c r="S315"/>
      <c r="T315"/>
      <c r="U315"/>
      <c r="V315"/>
    </row>
    <row r="316" spans="1:22" x14ac:dyDescent="0.3">
      <c r="A316"/>
      <c r="B316"/>
      <c r="C316"/>
      <c r="D316"/>
      <c r="E316"/>
      <c r="F316"/>
      <c r="G316"/>
      <c r="H316"/>
      <c r="I316"/>
      <c r="J316"/>
      <c r="K316"/>
      <c r="L316"/>
      <c r="M316"/>
      <c r="N316"/>
      <c r="O316"/>
      <c r="P316"/>
      <c r="Q316"/>
      <c r="R316"/>
      <c r="S316"/>
      <c r="T316"/>
      <c r="U316"/>
      <c r="V316"/>
    </row>
    <row r="317" spans="1:22" x14ac:dyDescent="0.3">
      <c r="A317"/>
      <c r="B317"/>
      <c r="C317"/>
      <c r="D317"/>
      <c r="E317"/>
      <c r="F317"/>
      <c r="G317"/>
      <c r="H317"/>
      <c r="I317"/>
      <c r="J317"/>
      <c r="K317"/>
      <c r="L317"/>
      <c r="M317"/>
      <c r="N317"/>
      <c r="O317"/>
      <c r="P317"/>
      <c r="Q317"/>
      <c r="R317"/>
      <c r="S317"/>
      <c r="T317"/>
      <c r="U317"/>
      <c r="V317"/>
    </row>
    <row r="318" spans="1:22" x14ac:dyDescent="0.3">
      <c r="A318"/>
      <c r="B318"/>
      <c r="C318"/>
      <c r="D318"/>
      <c r="E318"/>
      <c r="F318"/>
      <c r="G318"/>
      <c r="H318"/>
      <c r="I318"/>
      <c r="J318"/>
      <c r="K318"/>
      <c r="L318"/>
      <c r="M318"/>
      <c r="N318"/>
      <c r="O318"/>
      <c r="P318"/>
      <c r="Q318"/>
      <c r="R318"/>
      <c r="S318"/>
      <c r="T318"/>
      <c r="U318"/>
      <c r="V318"/>
    </row>
    <row r="319" spans="1:22" x14ac:dyDescent="0.3">
      <c r="A319"/>
      <c r="B319"/>
      <c r="C319"/>
      <c r="D319"/>
      <c r="E319"/>
      <c r="F319"/>
      <c r="G319"/>
      <c r="H319"/>
      <c r="I319"/>
      <c r="J319"/>
      <c r="K319"/>
      <c r="L319"/>
      <c r="M319"/>
      <c r="N319"/>
      <c r="O319"/>
      <c r="P319"/>
      <c r="Q319"/>
      <c r="R319"/>
      <c r="S319"/>
      <c r="T319"/>
      <c r="U319"/>
      <c r="V319"/>
    </row>
    <row r="320" spans="1:22" x14ac:dyDescent="0.3">
      <c r="A320"/>
      <c r="B320"/>
      <c r="C320"/>
      <c r="D320"/>
      <c r="E320"/>
      <c r="F320"/>
      <c r="G320"/>
      <c r="H320"/>
      <c r="I320"/>
      <c r="J320"/>
      <c r="K320"/>
      <c r="L320"/>
      <c r="M320"/>
      <c r="N320"/>
      <c r="O320"/>
      <c r="P320"/>
      <c r="Q320"/>
      <c r="R320"/>
      <c r="S320"/>
      <c r="T320"/>
      <c r="U320"/>
      <c r="V320"/>
    </row>
    <row r="321" spans="1:22" x14ac:dyDescent="0.3">
      <c r="A321"/>
      <c r="B321"/>
      <c r="C321"/>
      <c r="D321"/>
      <c r="E321"/>
      <c r="F321"/>
      <c r="G321"/>
      <c r="H321"/>
      <c r="I321"/>
      <c r="J321"/>
      <c r="K321"/>
      <c r="L321"/>
      <c r="M321"/>
      <c r="N321"/>
      <c r="O321"/>
      <c r="P321"/>
      <c r="Q321"/>
      <c r="R321"/>
      <c r="S321"/>
      <c r="T321"/>
      <c r="U321"/>
      <c r="V321"/>
    </row>
    <row r="322" spans="1:22" x14ac:dyDescent="0.3">
      <c r="A322"/>
      <c r="B322"/>
      <c r="C322"/>
      <c r="D322"/>
      <c r="E322"/>
      <c r="F322"/>
      <c r="G322"/>
      <c r="H322"/>
      <c r="I322"/>
      <c r="J322"/>
      <c r="K322"/>
      <c r="L322"/>
      <c r="M322"/>
      <c r="N322"/>
      <c r="O322"/>
      <c r="P322"/>
      <c r="Q322"/>
      <c r="R322"/>
      <c r="S322"/>
      <c r="T322"/>
      <c r="U322"/>
      <c r="V322"/>
    </row>
    <row r="323" spans="1:22" x14ac:dyDescent="0.3">
      <c r="A323"/>
      <c r="B323"/>
      <c r="C323"/>
      <c r="D323"/>
      <c r="E323"/>
      <c r="F323"/>
      <c r="G323"/>
      <c r="H323"/>
      <c r="I323"/>
      <c r="J323"/>
      <c r="K323"/>
      <c r="L323"/>
      <c r="M323"/>
      <c r="N323"/>
      <c r="O323"/>
      <c r="P323"/>
      <c r="Q323"/>
      <c r="R323"/>
      <c r="S323"/>
      <c r="T323"/>
      <c r="U323"/>
      <c r="V323"/>
    </row>
    <row r="324" spans="1:22" x14ac:dyDescent="0.3">
      <c r="A324"/>
      <c r="B324"/>
      <c r="C324"/>
      <c r="D324"/>
      <c r="E324"/>
      <c r="F324"/>
      <c r="G324"/>
      <c r="H324"/>
      <c r="I324"/>
      <c r="J324"/>
      <c r="K324"/>
      <c r="L324"/>
      <c r="M324"/>
      <c r="N324"/>
      <c r="O324"/>
      <c r="P324"/>
      <c r="Q324"/>
      <c r="R324"/>
      <c r="S324"/>
      <c r="T324"/>
      <c r="U324"/>
      <c r="V324"/>
    </row>
    <row r="325" spans="1:22" x14ac:dyDescent="0.3">
      <c r="A325"/>
      <c r="B325"/>
      <c r="C325"/>
      <c r="D325"/>
      <c r="E325"/>
      <c r="F325"/>
      <c r="G325"/>
      <c r="H325"/>
      <c r="I325"/>
      <c r="J325"/>
      <c r="K325"/>
      <c r="L325"/>
      <c r="M325"/>
      <c r="N325"/>
      <c r="O325"/>
      <c r="P325"/>
      <c r="Q325"/>
      <c r="R325"/>
      <c r="S325"/>
      <c r="T325"/>
      <c r="U325"/>
      <c r="V325"/>
    </row>
    <row r="326" spans="1:22" x14ac:dyDescent="0.3">
      <c r="A326"/>
      <c r="B326"/>
      <c r="C326"/>
      <c r="D326"/>
      <c r="E326"/>
      <c r="F326"/>
      <c r="G326"/>
      <c r="H326"/>
      <c r="I326"/>
      <c r="J326"/>
      <c r="K326"/>
      <c r="L326"/>
      <c r="M326"/>
      <c r="N326"/>
      <c r="O326"/>
      <c r="P326"/>
      <c r="Q326"/>
      <c r="R326"/>
      <c r="S326"/>
      <c r="T326"/>
      <c r="U326"/>
      <c r="V326"/>
    </row>
    <row r="327" spans="1:22" x14ac:dyDescent="0.3">
      <c r="A327"/>
      <c r="B327"/>
      <c r="C327"/>
      <c r="D327"/>
      <c r="E327"/>
      <c r="F327"/>
      <c r="G327"/>
      <c r="H327"/>
      <c r="I327"/>
      <c r="J327"/>
      <c r="K327"/>
      <c r="L327"/>
      <c r="M327"/>
      <c r="N327"/>
      <c r="O327"/>
      <c r="P327"/>
      <c r="Q327"/>
      <c r="R327"/>
      <c r="S327"/>
      <c r="T327"/>
      <c r="U327"/>
      <c r="V327"/>
    </row>
    <row r="328" spans="1:22" x14ac:dyDescent="0.3">
      <c r="A328"/>
      <c r="B328"/>
      <c r="C328"/>
      <c r="D328"/>
      <c r="E328"/>
      <c r="F328"/>
      <c r="G328"/>
      <c r="H328"/>
      <c r="I328"/>
      <c r="J328"/>
      <c r="K328"/>
      <c r="L328"/>
      <c r="M328"/>
      <c r="N328"/>
      <c r="O328"/>
      <c r="P328"/>
      <c r="Q328"/>
      <c r="R328"/>
      <c r="S328"/>
      <c r="T328"/>
      <c r="U328"/>
      <c r="V328"/>
    </row>
    <row r="329" spans="1:22" x14ac:dyDescent="0.3">
      <c r="A329"/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Q329"/>
      <c r="R329"/>
      <c r="S329"/>
      <c r="T329"/>
      <c r="U329"/>
      <c r="V329"/>
    </row>
    <row r="330" spans="1:22" x14ac:dyDescent="0.3">
      <c r="A330"/>
      <c r="B330"/>
      <c r="C330"/>
      <c r="D330"/>
      <c r="E330"/>
      <c r="F330"/>
      <c r="G330"/>
      <c r="H330"/>
      <c r="I330"/>
      <c r="J330"/>
      <c r="K330"/>
      <c r="L330"/>
      <c r="M330"/>
      <c r="N330"/>
      <c r="O330"/>
      <c r="P330"/>
      <c r="Q330"/>
      <c r="R330"/>
      <c r="S330"/>
      <c r="T330"/>
      <c r="U330"/>
      <c r="V330"/>
    </row>
    <row r="331" spans="1:22" x14ac:dyDescent="0.3">
      <c r="A331"/>
      <c r="B331"/>
      <c r="C331"/>
      <c r="D331"/>
      <c r="E331"/>
      <c r="F331"/>
      <c r="G331"/>
      <c r="H331"/>
      <c r="I331"/>
      <c r="J331"/>
      <c r="K331"/>
      <c r="L331"/>
      <c r="M331"/>
      <c r="N331"/>
      <c r="O331"/>
      <c r="P331"/>
      <c r="Q331"/>
      <c r="R331"/>
      <c r="S331"/>
      <c r="T331"/>
      <c r="U331"/>
      <c r="V331"/>
    </row>
    <row r="332" spans="1:22" x14ac:dyDescent="0.3">
      <c r="A332"/>
      <c r="B332"/>
      <c r="C332"/>
      <c r="D332"/>
      <c r="E332"/>
      <c r="F332"/>
      <c r="G332"/>
      <c r="H332"/>
      <c r="I332"/>
      <c r="J332"/>
      <c r="K332"/>
      <c r="L332"/>
      <c r="M332"/>
      <c r="N332"/>
      <c r="O332"/>
      <c r="P332"/>
      <c r="Q332"/>
      <c r="R332"/>
      <c r="S332"/>
      <c r="T332"/>
      <c r="U332"/>
      <c r="V332"/>
    </row>
    <row r="333" spans="1:22" x14ac:dyDescent="0.3">
      <c r="A333"/>
      <c r="B333"/>
      <c r="C333"/>
      <c r="D333"/>
      <c r="E333"/>
      <c r="F333"/>
      <c r="G333"/>
      <c r="H333"/>
      <c r="I333"/>
      <c r="J333"/>
      <c r="K333"/>
      <c r="L333"/>
      <c r="M333"/>
      <c r="N333"/>
      <c r="O333"/>
      <c r="P333"/>
      <c r="Q333"/>
      <c r="R333"/>
      <c r="S333"/>
      <c r="T333"/>
      <c r="U333"/>
      <c r="V333"/>
    </row>
    <row r="334" spans="1:22" x14ac:dyDescent="0.3">
      <c r="A334"/>
      <c r="B334"/>
      <c r="C334"/>
      <c r="D334"/>
      <c r="E334"/>
      <c r="F334"/>
      <c r="G334"/>
      <c r="H334"/>
      <c r="I334"/>
      <c r="J334"/>
      <c r="K334"/>
      <c r="L334"/>
      <c r="M334"/>
      <c r="N334"/>
      <c r="O334"/>
      <c r="P334"/>
      <c r="Q334"/>
      <c r="R334"/>
      <c r="S334"/>
      <c r="T334"/>
      <c r="U334"/>
      <c r="V334"/>
    </row>
    <row r="335" spans="1:22" x14ac:dyDescent="0.3">
      <c r="A335"/>
      <c r="B335"/>
      <c r="C335"/>
      <c r="D335"/>
      <c r="E335"/>
      <c r="F335"/>
      <c r="G335"/>
      <c r="H335"/>
      <c r="I335"/>
      <c r="J335"/>
      <c r="K335"/>
      <c r="L335"/>
      <c r="M335"/>
      <c r="N335"/>
      <c r="O335"/>
      <c r="P335"/>
      <c r="Q335"/>
      <c r="R335"/>
      <c r="S335"/>
      <c r="T335"/>
      <c r="U335"/>
      <c r="V335"/>
    </row>
    <row r="336" spans="1:22" x14ac:dyDescent="0.3">
      <c r="A336"/>
      <c r="B336"/>
      <c r="C336"/>
      <c r="D336"/>
      <c r="E336"/>
      <c r="F336"/>
      <c r="G336"/>
      <c r="H336"/>
      <c r="I336"/>
      <c r="J336"/>
      <c r="K336"/>
      <c r="L336"/>
      <c r="M336"/>
      <c r="N336"/>
      <c r="O336"/>
      <c r="P336"/>
      <c r="Q336"/>
      <c r="R336"/>
      <c r="S336"/>
      <c r="T336"/>
      <c r="U336"/>
      <c r="V336"/>
    </row>
    <row r="337" spans="1:22" x14ac:dyDescent="0.3">
      <c r="A337"/>
      <c r="B337"/>
      <c r="C337"/>
      <c r="D337"/>
      <c r="E337"/>
      <c r="F337"/>
      <c r="G337"/>
      <c r="H337"/>
      <c r="I337"/>
      <c r="J337"/>
      <c r="K337"/>
      <c r="L337"/>
      <c r="M337"/>
      <c r="N337"/>
      <c r="O337"/>
      <c r="P337"/>
      <c r="Q337"/>
      <c r="R337"/>
      <c r="S337"/>
      <c r="T337"/>
      <c r="U337"/>
      <c r="V337"/>
    </row>
    <row r="338" spans="1:22" x14ac:dyDescent="0.3">
      <c r="A338"/>
      <c r="B338"/>
      <c r="C338"/>
      <c r="D338"/>
      <c r="E338"/>
      <c r="F338"/>
      <c r="G338"/>
      <c r="H338"/>
      <c r="I338"/>
      <c r="J338"/>
      <c r="K338"/>
      <c r="L338"/>
      <c r="M338"/>
      <c r="N338"/>
      <c r="O338"/>
      <c r="P338"/>
      <c r="Q338"/>
      <c r="R338"/>
      <c r="S338"/>
      <c r="T338"/>
      <c r="U338"/>
      <c r="V338"/>
    </row>
    <row r="339" spans="1:22" x14ac:dyDescent="0.3">
      <c r="A339"/>
      <c r="B339"/>
      <c r="C339"/>
      <c r="D339"/>
      <c r="E339"/>
      <c r="F339"/>
      <c r="G339"/>
      <c r="H339"/>
      <c r="I339"/>
      <c r="J339"/>
      <c r="K339"/>
      <c r="L339"/>
      <c r="M339"/>
      <c r="N339"/>
      <c r="O339"/>
      <c r="P339"/>
      <c r="Q339"/>
      <c r="R339"/>
      <c r="S339"/>
      <c r="T339"/>
      <c r="U339"/>
      <c r="V339"/>
    </row>
    <row r="340" spans="1:22" x14ac:dyDescent="0.3">
      <c r="A340"/>
      <c r="B340"/>
      <c r="C340"/>
      <c r="D340"/>
      <c r="E340"/>
      <c r="F340"/>
      <c r="G340"/>
      <c r="H340"/>
      <c r="I340"/>
      <c r="J340"/>
      <c r="K340"/>
      <c r="L340"/>
      <c r="M340"/>
      <c r="N340"/>
      <c r="O340"/>
      <c r="P340"/>
      <c r="Q340"/>
      <c r="R340"/>
      <c r="S340"/>
      <c r="T340"/>
      <c r="U340"/>
      <c r="V340"/>
    </row>
    <row r="341" spans="1:22" x14ac:dyDescent="0.3">
      <c r="A341"/>
      <c r="B341"/>
      <c r="C341"/>
      <c r="D341"/>
      <c r="E341"/>
      <c r="F341"/>
      <c r="G341"/>
      <c r="H341"/>
      <c r="I341"/>
      <c r="J341"/>
      <c r="K341"/>
      <c r="L341"/>
      <c r="M341"/>
      <c r="N341"/>
      <c r="O341"/>
      <c r="P341"/>
      <c r="Q341"/>
      <c r="R341"/>
      <c r="S341"/>
      <c r="T341"/>
      <c r="U341"/>
      <c r="V341"/>
    </row>
    <row r="342" spans="1:22" x14ac:dyDescent="0.3">
      <c r="A342"/>
      <c r="B342"/>
      <c r="C342"/>
      <c r="D342"/>
      <c r="E342"/>
      <c r="F342"/>
      <c r="G342"/>
      <c r="H342"/>
      <c r="I342"/>
      <c r="J342"/>
      <c r="K342"/>
      <c r="L342"/>
      <c r="M342"/>
      <c r="N342"/>
      <c r="O342"/>
      <c r="P342"/>
      <c r="Q342"/>
      <c r="R342"/>
      <c r="S342"/>
      <c r="T342"/>
      <c r="U342"/>
      <c r="V342"/>
    </row>
    <row r="343" spans="1:22" x14ac:dyDescent="0.3">
      <c r="A343"/>
      <c r="B343"/>
      <c r="C343"/>
      <c r="D343"/>
      <c r="E343"/>
      <c r="F343"/>
      <c r="G343"/>
      <c r="H343"/>
      <c r="I343"/>
      <c r="J343"/>
      <c r="K343"/>
      <c r="L343"/>
      <c r="M343"/>
      <c r="N343"/>
      <c r="O343"/>
      <c r="P343"/>
      <c r="Q343"/>
      <c r="R343"/>
      <c r="S343"/>
      <c r="T343"/>
      <c r="U343"/>
      <c r="V343"/>
    </row>
    <row r="344" spans="1:22" x14ac:dyDescent="0.3">
      <c r="A344"/>
      <c r="B344"/>
      <c r="C344"/>
      <c r="D344"/>
      <c r="E344"/>
      <c r="F344"/>
      <c r="G344"/>
      <c r="H344"/>
      <c r="I344"/>
      <c r="J344"/>
      <c r="K344"/>
      <c r="L344"/>
      <c r="M344"/>
      <c r="N344"/>
      <c r="O344"/>
      <c r="P344"/>
      <c r="Q344"/>
      <c r="R344"/>
      <c r="S344"/>
      <c r="T344"/>
      <c r="U344"/>
      <c r="V344"/>
    </row>
    <row r="345" spans="1:22" x14ac:dyDescent="0.3">
      <c r="A345"/>
      <c r="B345"/>
      <c r="C345"/>
      <c r="D345"/>
      <c r="E345"/>
      <c r="F345"/>
      <c r="G345"/>
      <c r="H345"/>
      <c r="I345"/>
      <c r="J345"/>
      <c r="K345"/>
      <c r="L345"/>
      <c r="M345"/>
      <c r="N345"/>
      <c r="O345"/>
      <c r="P345"/>
      <c r="Q345"/>
      <c r="R345"/>
      <c r="S345"/>
      <c r="T345"/>
      <c r="U345"/>
      <c r="V345"/>
    </row>
    <row r="346" spans="1:22" x14ac:dyDescent="0.3">
      <c r="A346"/>
      <c r="B346"/>
      <c r="C346"/>
      <c r="D346"/>
      <c r="E346"/>
      <c r="F346"/>
      <c r="G346"/>
      <c r="H346"/>
      <c r="I346"/>
      <c r="J346"/>
      <c r="K346"/>
      <c r="L346"/>
      <c r="M346"/>
      <c r="N346"/>
      <c r="O346"/>
      <c r="P346"/>
      <c r="Q346"/>
      <c r="R346"/>
      <c r="S346"/>
      <c r="T346"/>
      <c r="U346"/>
      <c r="V346"/>
    </row>
    <row r="347" spans="1:22" x14ac:dyDescent="0.3">
      <c r="A347"/>
      <c r="B347"/>
      <c r="C347"/>
      <c r="D347"/>
      <c r="E347"/>
      <c r="F347"/>
      <c r="G347"/>
      <c r="H347"/>
      <c r="I347"/>
      <c r="J347"/>
      <c r="K347"/>
      <c r="L347"/>
      <c r="M347"/>
      <c r="N347"/>
      <c r="O347"/>
      <c r="P347"/>
      <c r="Q347"/>
      <c r="R347"/>
      <c r="S347"/>
      <c r="T347"/>
      <c r="U347"/>
      <c r="V347"/>
    </row>
    <row r="348" spans="1:22" x14ac:dyDescent="0.3">
      <c r="A348"/>
      <c r="B348"/>
      <c r="C348"/>
      <c r="D348"/>
      <c r="E348"/>
      <c r="F348"/>
      <c r="G348"/>
      <c r="H348"/>
      <c r="I348"/>
      <c r="J348"/>
      <c r="K348"/>
      <c r="L348"/>
      <c r="M348"/>
      <c r="N348"/>
      <c r="O348"/>
      <c r="P348"/>
      <c r="Q348"/>
      <c r="R348"/>
      <c r="S348"/>
      <c r="T348"/>
      <c r="U348"/>
      <c r="V348"/>
    </row>
    <row r="349" spans="1:22" x14ac:dyDescent="0.3">
      <c r="A349"/>
      <c r="B349"/>
      <c r="C349"/>
      <c r="D349"/>
      <c r="E349"/>
      <c r="F349"/>
      <c r="G349"/>
      <c r="H349"/>
      <c r="I349"/>
      <c r="J349"/>
      <c r="K349"/>
      <c r="L349"/>
      <c r="M349"/>
      <c r="N349"/>
      <c r="O349"/>
      <c r="P349"/>
      <c r="Q349"/>
      <c r="R349"/>
      <c r="S349"/>
      <c r="T349"/>
      <c r="U349"/>
      <c r="V349"/>
    </row>
    <row r="350" spans="1:22" x14ac:dyDescent="0.3">
      <c r="A350"/>
      <c r="B350"/>
      <c r="C350"/>
      <c r="D350"/>
      <c r="E350"/>
      <c r="F350"/>
      <c r="G350"/>
      <c r="H350"/>
      <c r="I350"/>
      <c r="J350"/>
      <c r="K350"/>
      <c r="L350"/>
      <c r="M350"/>
      <c r="N350"/>
      <c r="O350"/>
      <c r="P350"/>
      <c r="Q350"/>
      <c r="R350"/>
      <c r="S350"/>
      <c r="T350"/>
      <c r="U350"/>
      <c r="V350"/>
    </row>
    <row r="351" spans="1:22" x14ac:dyDescent="0.3">
      <c r="A351"/>
      <c r="B351"/>
      <c r="C351"/>
      <c r="D351"/>
      <c r="E351"/>
      <c r="F351"/>
      <c r="G351"/>
      <c r="H351"/>
      <c r="I351"/>
      <c r="J351"/>
      <c r="K351"/>
      <c r="L351"/>
      <c r="M351"/>
      <c r="N351"/>
      <c r="O351"/>
      <c r="P351"/>
      <c r="Q351"/>
      <c r="R351"/>
      <c r="S351"/>
      <c r="T351"/>
      <c r="U351"/>
      <c r="V351"/>
    </row>
    <row r="352" spans="1:22" x14ac:dyDescent="0.3">
      <c r="A352"/>
      <c r="B352"/>
      <c r="C352"/>
      <c r="D352"/>
      <c r="E352"/>
      <c r="F352"/>
      <c r="G352"/>
      <c r="H352"/>
      <c r="I352"/>
      <c r="J352"/>
      <c r="K352"/>
      <c r="L352"/>
      <c r="M352"/>
      <c r="N352"/>
      <c r="O352"/>
      <c r="P352"/>
      <c r="Q352"/>
      <c r="R352"/>
      <c r="S352"/>
      <c r="T352"/>
      <c r="U352"/>
      <c r="V352"/>
    </row>
    <row r="353" spans="1:22" x14ac:dyDescent="0.3">
      <c r="A353"/>
      <c r="B353"/>
      <c r="C353"/>
      <c r="D353"/>
      <c r="E353"/>
      <c r="F353"/>
      <c r="G353"/>
      <c r="H353"/>
      <c r="I353"/>
      <c r="J353"/>
      <c r="K353"/>
      <c r="L353"/>
      <c r="M353"/>
      <c r="N353"/>
      <c r="O353"/>
      <c r="P353"/>
      <c r="Q353"/>
      <c r="R353"/>
      <c r="S353"/>
      <c r="T353"/>
      <c r="U353"/>
      <c r="V353"/>
    </row>
    <row r="354" spans="1:22" x14ac:dyDescent="0.3">
      <c r="A354"/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</row>
    <row r="355" spans="1:22" x14ac:dyDescent="0.3">
      <c r="A355"/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</row>
    <row r="356" spans="1:22" x14ac:dyDescent="0.3">
      <c r="A356"/>
      <c r="B356"/>
      <c r="C356"/>
      <c r="D356"/>
      <c r="E356"/>
      <c r="F356"/>
      <c r="G356"/>
      <c r="H356"/>
      <c r="I356"/>
      <c r="J356"/>
      <c r="K356"/>
      <c r="L356"/>
      <c r="M356"/>
      <c r="N356"/>
      <c r="O356"/>
      <c r="P356"/>
      <c r="Q356"/>
      <c r="R356"/>
      <c r="S356"/>
      <c r="T356"/>
      <c r="U356"/>
      <c r="V356"/>
    </row>
    <row r="357" spans="1:22" x14ac:dyDescent="0.3">
      <c r="A357"/>
      <c r="B357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Q357"/>
      <c r="R357"/>
      <c r="S357"/>
      <c r="T357"/>
      <c r="U357"/>
      <c r="V357"/>
    </row>
    <row r="358" spans="1:22" x14ac:dyDescent="0.3">
      <c r="A358"/>
      <c r="B358"/>
      <c r="C358"/>
      <c r="D358"/>
      <c r="E358"/>
      <c r="F358"/>
      <c r="G358"/>
      <c r="H358"/>
      <c r="I358"/>
      <c r="J358"/>
      <c r="K358"/>
      <c r="L358"/>
      <c r="M358"/>
      <c r="N358"/>
      <c r="O358"/>
      <c r="P358"/>
      <c r="Q358"/>
      <c r="R358"/>
      <c r="S358"/>
      <c r="T358"/>
      <c r="U358"/>
      <c r="V358"/>
    </row>
    <row r="359" spans="1:22" x14ac:dyDescent="0.3">
      <c r="A359"/>
      <c r="B359"/>
      <c r="C359"/>
      <c r="D359"/>
      <c r="E359"/>
      <c r="F359"/>
      <c r="G359"/>
      <c r="H359"/>
      <c r="I359"/>
      <c r="J359"/>
      <c r="K359"/>
      <c r="L359"/>
      <c r="M359"/>
      <c r="N359"/>
      <c r="O359"/>
      <c r="P359"/>
      <c r="Q359"/>
      <c r="R359"/>
      <c r="S359"/>
      <c r="T359"/>
      <c r="U359"/>
      <c r="V359"/>
    </row>
    <row r="360" spans="1:22" x14ac:dyDescent="0.3">
      <c r="A360"/>
      <c r="B360"/>
      <c r="C360"/>
      <c r="D360"/>
      <c r="E360"/>
      <c r="F360"/>
      <c r="G360"/>
      <c r="H360"/>
      <c r="I360"/>
      <c r="J360"/>
      <c r="K360"/>
      <c r="L360"/>
      <c r="M360"/>
      <c r="N360"/>
      <c r="O360"/>
      <c r="P360"/>
      <c r="Q360"/>
      <c r="R360"/>
      <c r="S360"/>
      <c r="T360"/>
      <c r="U360"/>
      <c r="V360"/>
    </row>
    <row r="361" spans="1:22" x14ac:dyDescent="0.3">
      <c r="A361"/>
      <c r="B361"/>
      <c r="C361"/>
      <c r="D361"/>
      <c r="E361"/>
      <c r="F361"/>
      <c r="G361"/>
      <c r="H361"/>
      <c r="I361"/>
      <c r="J361"/>
      <c r="K361"/>
      <c r="L361"/>
      <c r="M361"/>
      <c r="N361"/>
      <c r="O361"/>
      <c r="P361"/>
      <c r="Q361"/>
      <c r="R361"/>
      <c r="S361"/>
      <c r="T361"/>
      <c r="U361"/>
      <c r="V361"/>
    </row>
    <row r="362" spans="1:22" x14ac:dyDescent="0.3">
      <c r="A362"/>
      <c r="B362"/>
      <c r="C362"/>
      <c r="D362"/>
      <c r="E362"/>
      <c r="F362"/>
      <c r="G362"/>
      <c r="H362"/>
      <c r="I362"/>
      <c r="J362"/>
      <c r="K362"/>
      <c r="L362"/>
      <c r="M362"/>
      <c r="N362"/>
      <c r="O362"/>
      <c r="P362"/>
      <c r="Q362"/>
      <c r="R362"/>
      <c r="S362"/>
      <c r="T362"/>
      <c r="U362"/>
      <c r="V362"/>
    </row>
    <row r="363" spans="1:22" x14ac:dyDescent="0.3">
      <c r="A363"/>
      <c r="B363"/>
      <c r="C363"/>
      <c r="D363"/>
      <c r="E363"/>
      <c r="F363"/>
      <c r="G363"/>
      <c r="H363"/>
      <c r="I363"/>
      <c r="J363"/>
      <c r="K363"/>
      <c r="L363"/>
      <c r="M363"/>
      <c r="N363"/>
      <c r="O363"/>
      <c r="P363"/>
      <c r="Q363"/>
      <c r="R363"/>
      <c r="S363"/>
      <c r="T363"/>
      <c r="U363"/>
      <c r="V363"/>
    </row>
    <row r="364" spans="1:22" x14ac:dyDescent="0.3">
      <c r="A364"/>
      <c r="B364"/>
      <c r="C364"/>
      <c r="D364"/>
      <c r="E364"/>
      <c r="F364"/>
      <c r="G364"/>
      <c r="H364"/>
      <c r="I364"/>
      <c r="J364"/>
      <c r="K364"/>
      <c r="L364"/>
      <c r="M364"/>
      <c r="N364"/>
      <c r="O364"/>
      <c r="P364"/>
      <c r="Q364"/>
      <c r="R364"/>
      <c r="S364"/>
      <c r="T364"/>
      <c r="U364"/>
      <c r="V364"/>
    </row>
    <row r="365" spans="1:22" x14ac:dyDescent="0.3">
      <c r="A365"/>
      <c r="B365"/>
      <c r="C365"/>
      <c r="D365"/>
      <c r="E365"/>
      <c r="F365"/>
      <c r="G365"/>
      <c r="H365"/>
      <c r="I365"/>
      <c r="J365"/>
      <c r="K365"/>
      <c r="L365"/>
      <c r="M365"/>
      <c r="N365"/>
      <c r="O365"/>
      <c r="P365"/>
      <c r="Q365"/>
      <c r="R365"/>
      <c r="S365"/>
      <c r="T365"/>
      <c r="U365"/>
      <c r="V365"/>
    </row>
    <row r="366" spans="1:22" x14ac:dyDescent="0.3">
      <c r="A366"/>
      <c r="B366"/>
      <c r="C366"/>
      <c r="D366"/>
      <c r="E366"/>
      <c r="F366"/>
      <c r="G366"/>
      <c r="H366"/>
      <c r="I366"/>
      <c r="J366"/>
      <c r="K366"/>
      <c r="L366"/>
      <c r="M366"/>
      <c r="N366"/>
      <c r="O366"/>
      <c r="P366"/>
      <c r="Q366"/>
      <c r="R366"/>
      <c r="S366"/>
      <c r="T366"/>
      <c r="U366"/>
      <c r="V366"/>
    </row>
    <row r="367" spans="1:22" x14ac:dyDescent="0.3">
      <c r="A367"/>
      <c r="B367"/>
      <c r="C367"/>
      <c r="D367"/>
      <c r="E367"/>
      <c r="F367"/>
      <c r="G367"/>
      <c r="H367"/>
      <c r="I367"/>
      <c r="J367"/>
      <c r="K367"/>
      <c r="L367"/>
      <c r="M367"/>
      <c r="N367"/>
      <c r="O367"/>
      <c r="P367"/>
      <c r="Q367"/>
      <c r="R367"/>
      <c r="S367"/>
      <c r="T367"/>
      <c r="U367"/>
      <c r="V367"/>
    </row>
    <row r="368" spans="1:22" x14ac:dyDescent="0.3">
      <c r="A368"/>
      <c r="B368"/>
      <c r="C368"/>
      <c r="D368"/>
      <c r="E368"/>
      <c r="F368"/>
      <c r="G368"/>
      <c r="H368"/>
      <c r="I368"/>
      <c r="J368"/>
      <c r="K368"/>
      <c r="L368"/>
      <c r="M368"/>
      <c r="N368"/>
      <c r="O368"/>
      <c r="P368"/>
      <c r="Q368"/>
      <c r="R368"/>
      <c r="S368"/>
      <c r="T368"/>
      <c r="U368"/>
      <c r="V368"/>
    </row>
    <row r="369" spans="1:22" x14ac:dyDescent="0.3">
      <c r="A369"/>
      <c r="B369"/>
      <c r="C369"/>
      <c r="D369"/>
      <c r="E369"/>
      <c r="F369"/>
      <c r="G369"/>
      <c r="H369"/>
      <c r="I369"/>
      <c r="J369"/>
      <c r="K369"/>
      <c r="L369"/>
      <c r="M369"/>
      <c r="N369"/>
      <c r="O369"/>
      <c r="P369"/>
      <c r="Q369"/>
      <c r="R369"/>
      <c r="S369"/>
      <c r="T369"/>
      <c r="U369"/>
      <c r="V369"/>
    </row>
    <row r="370" spans="1:22" x14ac:dyDescent="0.3">
      <c r="A370"/>
      <c r="B370"/>
      <c r="C370"/>
      <c r="D370"/>
      <c r="E370"/>
      <c r="F370"/>
      <c r="G370"/>
      <c r="H370"/>
      <c r="I370"/>
      <c r="J370"/>
      <c r="K370"/>
      <c r="L370"/>
      <c r="M370"/>
      <c r="N370"/>
      <c r="O370"/>
      <c r="P370"/>
      <c r="Q370"/>
      <c r="R370"/>
      <c r="S370"/>
      <c r="T370"/>
      <c r="U370"/>
      <c r="V370"/>
    </row>
    <row r="371" spans="1:22" x14ac:dyDescent="0.3">
      <c r="A371"/>
      <c r="B371"/>
      <c r="C371"/>
      <c r="D371"/>
      <c r="E371"/>
      <c r="F371"/>
      <c r="G371"/>
      <c r="H371"/>
      <c r="I371"/>
      <c r="J371"/>
      <c r="K371"/>
      <c r="L371"/>
      <c r="M371"/>
      <c r="N371"/>
      <c r="O371"/>
      <c r="P371"/>
      <c r="Q371"/>
      <c r="R371"/>
      <c r="S371"/>
      <c r="T371"/>
      <c r="U371"/>
      <c r="V371"/>
    </row>
    <row r="372" spans="1:22" x14ac:dyDescent="0.3">
      <c r="A372"/>
      <c r="B372"/>
      <c r="C372"/>
      <c r="D372"/>
      <c r="E372"/>
      <c r="F372"/>
      <c r="G372"/>
      <c r="H372"/>
      <c r="I372"/>
      <c r="J372"/>
      <c r="K372"/>
      <c r="L372"/>
      <c r="M372"/>
      <c r="N372"/>
      <c r="O372"/>
      <c r="P372"/>
      <c r="Q372"/>
      <c r="R372"/>
      <c r="S372"/>
      <c r="T372"/>
      <c r="U372"/>
      <c r="V372"/>
    </row>
    <row r="373" spans="1:22" x14ac:dyDescent="0.3">
      <c r="A373"/>
      <c r="B373"/>
      <c r="C373"/>
      <c r="D373"/>
      <c r="E373"/>
      <c r="F373"/>
      <c r="G373"/>
      <c r="H373"/>
      <c r="I373"/>
      <c r="J373"/>
      <c r="K373"/>
      <c r="L373"/>
      <c r="M373"/>
      <c r="N373"/>
      <c r="O373"/>
      <c r="P373"/>
      <c r="Q373"/>
      <c r="R373"/>
      <c r="S373"/>
      <c r="T373"/>
      <c r="U373"/>
      <c r="V373"/>
    </row>
    <row r="374" spans="1:22" x14ac:dyDescent="0.3">
      <c r="A374"/>
      <c r="B374"/>
      <c r="C374"/>
      <c r="D374"/>
      <c r="E374"/>
      <c r="F374"/>
      <c r="G374"/>
      <c r="H374"/>
      <c r="I374"/>
      <c r="J374"/>
      <c r="K374"/>
      <c r="L374"/>
      <c r="M374"/>
      <c r="N374"/>
      <c r="O374"/>
      <c r="P374"/>
      <c r="Q374"/>
      <c r="R374"/>
      <c r="S374"/>
      <c r="T374"/>
      <c r="U374"/>
      <c r="V374"/>
    </row>
    <row r="375" spans="1:22" x14ac:dyDescent="0.3">
      <c r="A375"/>
      <c r="B375"/>
      <c r="C375"/>
      <c r="D375"/>
      <c r="E375"/>
      <c r="F375"/>
      <c r="G375"/>
      <c r="H375"/>
      <c r="I375"/>
      <c r="J375"/>
      <c r="K375"/>
      <c r="L375"/>
      <c r="M375"/>
      <c r="N375"/>
      <c r="O375"/>
      <c r="P375"/>
      <c r="Q375"/>
      <c r="R375"/>
      <c r="S375"/>
      <c r="T375"/>
      <c r="U375"/>
      <c r="V375"/>
    </row>
    <row r="376" spans="1:22" x14ac:dyDescent="0.3">
      <c r="A376"/>
      <c r="B376"/>
      <c r="C376"/>
      <c r="D376"/>
      <c r="E376"/>
      <c r="F376"/>
      <c r="G376"/>
      <c r="H376"/>
      <c r="I376"/>
      <c r="J376"/>
      <c r="K376"/>
      <c r="L376"/>
      <c r="M376"/>
      <c r="N376"/>
      <c r="O376"/>
      <c r="P376"/>
      <c r="Q376"/>
      <c r="R376"/>
      <c r="S376"/>
      <c r="T376"/>
      <c r="U376"/>
      <c r="V376"/>
    </row>
    <row r="377" spans="1:22" x14ac:dyDescent="0.3">
      <c r="A377"/>
      <c r="B377"/>
      <c r="C377"/>
      <c r="D377"/>
      <c r="E377"/>
      <c r="F377"/>
      <c r="G377"/>
      <c r="H377"/>
      <c r="I377"/>
      <c r="J377"/>
      <c r="K377"/>
      <c r="L377"/>
      <c r="M377"/>
      <c r="N377"/>
      <c r="O377"/>
      <c r="P377"/>
      <c r="Q377"/>
      <c r="R377"/>
      <c r="S377"/>
      <c r="T377"/>
      <c r="U377"/>
      <c r="V377"/>
    </row>
    <row r="378" spans="1:22" x14ac:dyDescent="0.3">
      <c r="A378"/>
      <c r="B378"/>
      <c r="C378"/>
      <c r="D378"/>
      <c r="E378"/>
      <c r="F378"/>
      <c r="G378"/>
      <c r="H378"/>
      <c r="I378"/>
      <c r="J378"/>
      <c r="K378"/>
      <c r="L378"/>
      <c r="M378"/>
      <c r="N378"/>
      <c r="O378"/>
      <c r="P378"/>
      <c r="Q378"/>
      <c r="R378"/>
      <c r="S378"/>
      <c r="T378"/>
      <c r="U378"/>
      <c r="V378"/>
    </row>
    <row r="379" spans="1:22" x14ac:dyDescent="0.3">
      <c r="A379"/>
      <c r="B379"/>
      <c r="C379"/>
      <c r="D379"/>
      <c r="E379"/>
      <c r="F379"/>
      <c r="G379"/>
      <c r="H379"/>
      <c r="I379"/>
      <c r="J379"/>
      <c r="K379"/>
      <c r="L379"/>
      <c r="M379"/>
      <c r="N379"/>
      <c r="O379"/>
      <c r="P379"/>
      <c r="Q379"/>
      <c r="R379"/>
      <c r="S379"/>
      <c r="T379"/>
      <c r="U379"/>
      <c r="V379"/>
    </row>
    <row r="380" spans="1:22" x14ac:dyDescent="0.3">
      <c r="A380"/>
      <c r="B380"/>
      <c r="C380"/>
      <c r="D380"/>
      <c r="E380"/>
      <c r="F380"/>
      <c r="G380"/>
      <c r="H380"/>
      <c r="I380"/>
      <c r="J380"/>
      <c r="K380"/>
      <c r="L380"/>
      <c r="M380"/>
      <c r="N380"/>
      <c r="O380"/>
      <c r="P380"/>
      <c r="Q380"/>
      <c r="R380"/>
      <c r="S380"/>
      <c r="T380"/>
      <c r="U380"/>
      <c r="V380"/>
    </row>
    <row r="381" spans="1:22" x14ac:dyDescent="0.3">
      <c r="A381"/>
      <c r="B381"/>
      <c r="C381"/>
      <c r="D381"/>
      <c r="E381"/>
      <c r="F381"/>
      <c r="G381"/>
      <c r="H381"/>
      <c r="I381"/>
      <c r="J381"/>
      <c r="K381"/>
      <c r="L381"/>
      <c r="M381"/>
      <c r="N381"/>
      <c r="O381"/>
      <c r="P381"/>
      <c r="Q381"/>
      <c r="R381"/>
      <c r="S381"/>
      <c r="T381"/>
      <c r="U381"/>
      <c r="V381"/>
    </row>
    <row r="382" spans="1:22" x14ac:dyDescent="0.3">
      <c r="A382"/>
      <c r="B382"/>
      <c r="C382"/>
      <c r="D382"/>
      <c r="E382"/>
      <c r="F382"/>
      <c r="G382"/>
      <c r="H382"/>
      <c r="I382"/>
      <c r="J382"/>
      <c r="K382"/>
      <c r="L382"/>
      <c r="M382"/>
      <c r="N382"/>
      <c r="O382"/>
      <c r="P382"/>
      <c r="Q382"/>
      <c r="R382"/>
      <c r="S382"/>
      <c r="T382"/>
      <c r="U382"/>
      <c r="V382"/>
    </row>
    <row r="383" spans="1:22" x14ac:dyDescent="0.3">
      <c r="A383"/>
      <c r="B383"/>
      <c r="C383"/>
      <c r="D383"/>
      <c r="E383"/>
      <c r="F383"/>
      <c r="G383"/>
      <c r="H383"/>
      <c r="I383"/>
      <c r="J383"/>
      <c r="K383"/>
      <c r="L383"/>
      <c r="M383"/>
      <c r="N383"/>
      <c r="O383"/>
      <c r="P383"/>
      <c r="Q383"/>
      <c r="R383"/>
      <c r="S383"/>
      <c r="T383"/>
      <c r="U383"/>
      <c r="V383"/>
    </row>
    <row r="384" spans="1:22" x14ac:dyDescent="0.3">
      <c r="A384"/>
      <c r="B384"/>
      <c r="C384"/>
      <c r="D384"/>
      <c r="E384"/>
      <c r="F384"/>
      <c r="G384"/>
      <c r="H384"/>
      <c r="I384"/>
      <c r="J384"/>
      <c r="K384"/>
      <c r="L384"/>
      <c r="M384"/>
      <c r="N384"/>
      <c r="O384"/>
      <c r="P384"/>
      <c r="Q384"/>
      <c r="R384"/>
      <c r="S384"/>
      <c r="T384"/>
      <c r="U384"/>
      <c r="V384"/>
    </row>
    <row r="385" spans="1:22" x14ac:dyDescent="0.3">
      <c r="A385"/>
      <c r="B385"/>
      <c r="C385"/>
      <c r="D385"/>
      <c r="E385"/>
      <c r="F385"/>
      <c r="G385"/>
      <c r="H385"/>
      <c r="I385"/>
      <c r="J385"/>
      <c r="K385"/>
      <c r="L385"/>
      <c r="M385"/>
      <c r="N385"/>
      <c r="O385"/>
      <c r="P385"/>
      <c r="Q385"/>
      <c r="R385"/>
      <c r="S385"/>
      <c r="T385"/>
      <c r="U385"/>
      <c r="V385"/>
    </row>
    <row r="386" spans="1:22" x14ac:dyDescent="0.3">
      <c r="A386"/>
      <c r="B386"/>
      <c r="C386"/>
      <c r="D386"/>
      <c r="E386"/>
      <c r="F386"/>
      <c r="G386"/>
      <c r="H386"/>
      <c r="I386"/>
      <c r="J386"/>
      <c r="K386"/>
      <c r="L386"/>
      <c r="M386"/>
      <c r="N386"/>
      <c r="O386"/>
      <c r="P386"/>
      <c r="Q386"/>
      <c r="R386"/>
      <c r="S386"/>
      <c r="T386"/>
      <c r="U386"/>
      <c r="V386"/>
    </row>
    <row r="387" spans="1:22" x14ac:dyDescent="0.3">
      <c r="A387"/>
      <c r="B387"/>
      <c r="C387"/>
      <c r="D387"/>
      <c r="E387"/>
      <c r="F387"/>
      <c r="G387"/>
      <c r="H387"/>
      <c r="I387"/>
      <c r="J387"/>
      <c r="K387"/>
      <c r="L387"/>
      <c r="M387"/>
      <c r="N387"/>
      <c r="O387"/>
      <c r="P387"/>
      <c r="Q387"/>
      <c r="R387"/>
      <c r="S387"/>
      <c r="T387"/>
      <c r="U387"/>
      <c r="V387"/>
    </row>
    <row r="388" spans="1:22" x14ac:dyDescent="0.3">
      <c r="A388"/>
      <c r="B388"/>
      <c r="C388"/>
      <c r="D388"/>
      <c r="E388"/>
      <c r="F388"/>
      <c r="G388"/>
      <c r="H388"/>
      <c r="I388"/>
      <c r="J388"/>
      <c r="K388"/>
      <c r="L388"/>
      <c r="M388"/>
      <c r="N388"/>
      <c r="O388"/>
      <c r="P388"/>
      <c r="Q388"/>
      <c r="R388"/>
      <c r="S388"/>
      <c r="T388"/>
      <c r="U388"/>
      <c r="V388"/>
    </row>
    <row r="389" spans="1:22" x14ac:dyDescent="0.3">
      <c r="A389"/>
      <c r="B389"/>
      <c r="C389"/>
      <c r="D389"/>
      <c r="E389"/>
      <c r="F389"/>
      <c r="G389"/>
      <c r="H389"/>
      <c r="I389"/>
      <c r="J389"/>
      <c r="K389"/>
      <c r="L389"/>
      <c r="M389"/>
      <c r="N389"/>
      <c r="O389"/>
      <c r="P389"/>
      <c r="Q389"/>
      <c r="R389"/>
      <c r="S389"/>
      <c r="T389"/>
      <c r="U389"/>
      <c r="V389"/>
    </row>
    <row r="390" spans="1:22" x14ac:dyDescent="0.3">
      <c r="A390"/>
      <c r="B390"/>
      <c r="C390"/>
      <c r="D390"/>
      <c r="E390"/>
      <c r="F390"/>
      <c r="G390"/>
      <c r="H390"/>
      <c r="I390"/>
      <c r="J390"/>
      <c r="K390"/>
      <c r="L390"/>
      <c r="M390"/>
      <c r="N390"/>
      <c r="O390"/>
      <c r="P390"/>
      <c r="Q390"/>
      <c r="R390"/>
      <c r="S390"/>
      <c r="T390"/>
      <c r="U390"/>
      <c r="V390"/>
    </row>
    <row r="391" spans="1:22" x14ac:dyDescent="0.3">
      <c r="A391"/>
      <c r="B391"/>
      <c r="C391"/>
      <c r="D391"/>
      <c r="E391"/>
      <c r="F391"/>
      <c r="G391"/>
      <c r="H391"/>
      <c r="I391"/>
      <c r="J391"/>
      <c r="K391"/>
      <c r="L391"/>
      <c r="M391"/>
      <c r="N391"/>
      <c r="O391"/>
      <c r="P391"/>
      <c r="Q391"/>
      <c r="R391"/>
      <c r="S391"/>
      <c r="T391"/>
      <c r="U391"/>
      <c r="V391"/>
    </row>
    <row r="392" spans="1:22" x14ac:dyDescent="0.3">
      <c r="A392"/>
      <c r="B392"/>
      <c r="C392"/>
      <c r="D392"/>
      <c r="E392"/>
      <c r="F392"/>
      <c r="G392"/>
      <c r="H392"/>
      <c r="I392"/>
      <c r="J392"/>
      <c r="K392"/>
      <c r="L392"/>
      <c r="M392"/>
      <c r="N392"/>
      <c r="O392"/>
      <c r="P392"/>
      <c r="Q392"/>
      <c r="R392"/>
      <c r="S392"/>
      <c r="T392"/>
      <c r="U392"/>
      <c r="V392"/>
    </row>
    <row r="393" spans="1:22" x14ac:dyDescent="0.3">
      <c r="A393"/>
      <c r="B393"/>
      <c r="C393"/>
      <c r="D393"/>
      <c r="E393"/>
      <c r="F393"/>
      <c r="G393"/>
      <c r="H393"/>
      <c r="I393"/>
      <c r="J393"/>
      <c r="K393"/>
      <c r="L393"/>
      <c r="M393"/>
      <c r="N393"/>
      <c r="O393"/>
      <c r="P393"/>
      <c r="Q393"/>
      <c r="R393"/>
      <c r="S393"/>
      <c r="T393"/>
      <c r="U393"/>
      <c r="V393"/>
    </row>
    <row r="394" spans="1:22" x14ac:dyDescent="0.3">
      <c r="A394"/>
      <c r="B394"/>
      <c r="C394"/>
      <c r="D394"/>
      <c r="E394"/>
      <c r="F394"/>
      <c r="G394"/>
      <c r="H394"/>
      <c r="I394"/>
      <c r="J394"/>
      <c r="K394"/>
      <c r="L394"/>
      <c r="M394"/>
      <c r="N394"/>
      <c r="O394"/>
      <c r="P394"/>
      <c r="Q394"/>
      <c r="R394"/>
      <c r="S394"/>
      <c r="T394"/>
      <c r="U394"/>
      <c r="V394"/>
    </row>
    <row r="395" spans="1:22" x14ac:dyDescent="0.3">
      <c r="A395"/>
      <c r="B395"/>
      <c r="C395"/>
      <c r="D395"/>
      <c r="E395"/>
      <c r="F395"/>
      <c r="G395"/>
      <c r="H395"/>
      <c r="I395"/>
      <c r="J395"/>
      <c r="K395"/>
      <c r="L395"/>
      <c r="M395"/>
      <c r="N395"/>
      <c r="O395"/>
      <c r="P395"/>
      <c r="Q395"/>
      <c r="R395"/>
      <c r="S395"/>
      <c r="T395"/>
      <c r="U395"/>
      <c r="V395"/>
    </row>
    <row r="396" spans="1:22" x14ac:dyDescent="0.3">
      <c r="A396"/>
      <c r="B396"/>
      <c r="C396"/>
      <c r="D396"/>
      <c r="E396"/>
      <c r="F396"/>
      <c r="G396"/>
      <c r="H396"/>
      <c r="I396"/>
      <c r="J396"/>
      <c r="K396"/>
      <c r="L396"/>
      <c r="M396"/>
      <c r="N396"/>
      <c r="O396"/>
      <c r="P396"/>
      <c r="Q396"/>
      <c r="R396"/>
      <c r="S396"/>
      <c r="T396"/>
      <c r="U396"/>
      <c r="V396"/>
    </row>
    <row r="397" spans="1:22" x14ac:dyDescent="0.3">
      <c r="A397"/>
      <c r="B397"/>
      <c r="C397"/>
      <c r="D397"/>
      <c r="E397"/>
      <c r="F397"/>
      <c r="G397"/>
      <c r="H397"/>
      <c r="I397"/>
      <c r="J397"/>
      <c r="K397"/>
      <c r="L397"/>
      <c r="M397"/>
      <c r="N397"/>
      <c r="O397"/>
      <c r="P397"/>
      <c r="Q397"/>
      <c r="R397"/>
      <c r="S397"/>
      <c r="T397"/>
      <c r="U397"/>
      <c r="V397"/>
    </row>
    <row r="398" spans="1:22" x14ac:dyDescent="0.3">
      <c r="A398"/>
      <c r="B398"/>
      <c r="C398"/>
      <c r="D398"/>
      <c r="E398"/>
      <c r="F398"/>
      <c r="G398"/>
      <c r="H398"/>
      <c r="I398"/>
      <c r="J398"/>
      <c r="K398"/>
      <c r="L398"/>
      <c r="M398"/>
      <c r="N398"/>
      <c r="O398"/>
      <c r="P398"/>
      <c r="Q398"/>
      <c r="R398"/>
      <c r="S398"/>
      <c r="T398"/>
      <c r="U398"/>
      <c r="V398"/>
    </row>
    <row r="399" spans="1:22" x14ac:dyDescent="0.3">
      <c r="A399"/>
      <c r="B399"/>
      <c r="C399"/>
      <c r="D399"/>
      <c r="E399"/>
      <c r="F399"/>
      <c r="G399"/>
      <c r="H399"/>
      <c r="I399"/>
      <c r="J399"/>
      <c r="K399"/>
      <c r="L399"/>
      <c r="M399"/>
      <c r="N399"/>
      <c r="O399"/>
      <c r="P399"/>
      <c r="Q399"/>
      <c r="R399"/>
      <c r="S399"/>
      <c r="T399"/>
      <c r="U399"/>
      <c r="V399"/>
    </row>
    <row r="400" spans="1:22" x14ac:dyDescent="0.3">
      <c r="A400"/>
      <c r="B400"/>
      <c r="C400"/>
      <c r="D400"/>
      <c r="E400"/>
      <c r="F400"/>
      <c r="G400"/>
      <c r="H400"/>
      <c r="I400"/>
      <c r="J400"/>
      <c r="K400"/>
      <c r="L400"/>
      <c r="M400"/>
      <c r="N400"/>
      <c r="O400"/>
      <c r="P400"/>
      <c r="Q400"/>
      <c r="R400"/>
      <c r="S400"/>
      <c r="T400"/>
      <c r="U400"/>
      <c r="V400"/>
    </row>
    <row r="401" spans="1:22" x14ac:dyDescent="0.3">
      <c r="A401"/>
      <c r="B401"/>
      <c r="C401"/>
      <c r="D401"/>
      <c r="E401"/>
      <c r="F401"/>
      <c r="G401"/>
      <c r="H401"/>
      <c r="I401"/>
      <c r="J401"/>
      <c r="K401"/>
      <c r="L401"/>
      <c r="M401"/>
      <c r="N401"/>
      <c r="O401"/>
      <c r="P401"/>
      <c r="Q401"/>
      <c r="R401"/>
      <c r="S401"/>
      <c r="T401"/>
      <c r="U401"/>
      <c r="V401"/>
    </row>
    <row r="402" spans="1:22" x14ac:dyDescent="0.3">
      <c r="A402"/>
      <c r="B402"/>
      <c r="C402"/>
      <c r="D402"/>
      <c r="E402"/>
      <c r="F402"/>
      <c r="G402"/>
      <c r="H402"/>
      <c r="I402"/>
      <c r="J402"/>
      <c r="K402"/>
      <c r="L402"/>
      <c r="M402"/>
      <c r="N402"/>
      <c r="O402"/>
      <c r="P402"/>
      <c r="Q402"/>
      <c r="R402"/>
      <c r="S402"/>
      <c r="T402"/>
      <c r="U402"/>
      <c r="V402"/>
    </row>
    <row r="403" spans="1:22" x14ac:dyDescent="0.3">
      <c r="A403"/>
      <c r="B403"/>
      <c r="C403"/>
      <c r="D403"/>
      <c r="E403"/>
      <c r="F403"/>
      <c r="G403"/>
      <c r="H403"/>
      <c r="I403"/>
      <c r="J403"/>
      <c r="K403"/>
      <c r="L403"/>
      <c r="M403"/>
      <c r="N403"/>
      <c r="O403"/>
      <c r="P403"/>
      <c r="Q403"/>
      <c r="R403"/>
      <c r="S403"/>
      <c r="T403"/>
      <c r="U403"/>
      <c r="V403"/>
    </row>
    <row r="404" spans="1:22" x14ac:dyDescent="0.3">
      <c r="A404"/>
      <c r="B404"/>
      <c r="C404"/>
      <c r="D404"/>
      <c r="E404"/>
      <c r="F404"/>
      <c r="G404"/>
      <c r="H404"/>
      <c r="I404"/>
      <c r="J404"/>
      <c r="K404"/>
      <c r="L404"/>
      <c r="M404"/>
      <c r="N404"/>
      <c r="O404"/>
      <c r="P404"/>
      <c r="Q404"/>
      <c r="R404"/>
      <c r="S404"/>
      <c r="T404"/>
      <c r="U404"/>
      <c r="V404"/>
    </row>
    <row r="405" spans="1:22" x14ac:dyDescent="0.3">
      <c r="A405"/>
      <c r="B405"/>
      <c r="C405"/>
      <c r="D405"/>
      <c r="E405"/>
      <c r="F405"/>
      <c r="G405"/>
      <c r="H405"/>
      <c r="I405"/>
      <c r="J405"/>
      <c r="K405"/>
      <c r="L405"/>
      <c r="M405"/>
      <c r="N405"/>
      <c r="O405"/>
      <c r="P405"/>
      <c r="Q405"/>
      <c r="R405"/>
      <c r="S405"/>
      <c r="T405"/>
      <c r="U405"/>
      <c r="V405"/>
    </row>
    <row r="406" spans="1:22" x14ac:dyDescent="0.3">
      <c r="A406"/>
      <c r="B406"/>
      <c r="C406"/>
      <c r="D406"/>
      <c r="E406"/>
      <c r="F406"/>
      <c r="G406"/>
      <c r="H406"/>
      <c r="I406"/>
      <c r="J406"/>
      <c r="K406"/>
      <c r="L406"/>
      <c r="M406"/>
      <c r="N406"/>
      <c r="O406"/>
      <c r="P406"/>
      <c r="Q406"/>
      <c r="R406"/>
      <c r="S406"/>
      <c r="T406"/>
      <c r="U406"/>
      <c r="V406"/>
    </row>
    <row r="407" spans="1:22" x14ac:dyDescent="0.3">
      <c r="A407"/>
      <c r="B407"/>
      <c r="C407"/>
      <c r="D407"/>
      <c r="E407"/>
      <c r="F407"/>
      <c r="G407"/>
      <c r="H407"/>
      <c r="I407"/>
      <c r="J407"/>
      <c r="K407"/>
      <c r="L407"/>
      <c r="M407"/>
      <c r="N407"/>
      <c r="O407"/>
      <c r="P407"/>
      <c r="Q407"/>
      <c r="R407"/>
      <c r="S407"/>
      <c r="T407"/>
      <c r="U407"/>
      <c r="V407"/>
    </row>
    <row r="408" spans="1:22" x14ac:dyDescent="0.3">
      <c r="A408"/>
      <c r="B408"/>
      <c r="C408"/>
      <c r="D408"/>
      <c r="E408"/>
      <c r="F408"/>
      <c r="G408"/>
      <c r="H408"/>
      <c r="I408"/>
      <c r="J408"/>
      <c r="K408"/>
      <c r="L408"/>
      <c r="M408"/>
      <c r="N408"/>
      <c r="O408"/>
      <c r="P408"/>
      <c r="Q408"/>
      <c r="R408"/>
      <c r="S408"/>
      <c r="T408"/>
      <c r="U408"/>
      <c r="V408"/>
    </row>
    <row r="409" spans="1:22" x14ac:dyDescent="0.3">
      <c r="A409"/>
      <c r="B409"/>
      <c r="C409"/>
      <c r="D409"/>
      <c r="E409"/>
      <c r="F409"/>
      <c r="G409"/>
      <c r="H409"/>
      <c r="I409"/>
      <c r="J409"/>
      <c r="K409"/>
      <c r="L409"/>
      <c r="M409"/>
      <c r="N409"/>
      <c r="O409"/>
      <c r="P409"/>
      <c r="Q409"/>
      <c r="R409"/>
      <c r="S409"/>
      <c r="T409"/>
      <c r="U409"/>
      <c r="V409"/>
    </row>
    <row r="410" spans="1:22" x14ac:dyDescent="0.3">
      <c r="A410"/>
      <c r="B410"/>
      <c r="C410"/>
      <c r="D410"/>
      <c r="E410"/>
      <c r="F410"/>
      <c r="G410"/>
      <c r="H410"/>
      <c r="I410"/>
      <c r="J410"/>
      <c r="K410"/>
      <c r="L410"/>
      <c r="M410"/>
      <c r="N410"/>
      <c r="O410"/>
      <c r="P410"/>
      <c r="Q410"/>
      <c r="R410"/>
      <c r="S410"/>
      <c r="T410"/>
      <c r="U410"/>
      <c r="V410"/>
    </row>
    <row r="411" spans="1:22" x14ac:dyDescent="0.3">
      <c r="A411"/>
      <c r="B411"/>
      <c r="C411"/>
      <c r="D411"/>
      <c r="E411"/>
      <c r="F411"/>
      <c r="G411"/>
      <c r="H411"/>
      <c r="I411"/>
      <c r="J411"/>
      <c r="K411"/>
      <c r="L411"/>
      <c r="M411"/>
      <c r="N411"/>
      <c r="O411"/>
      <c r="P411"/>
      <c r="Q411"/>
      <c r="R411"/>
      <c r="S411"/>
      <c r="T411"/>
      <c r="U411"/>
      <c r="V411"/>
    </row>
    <row r="412" spans="1:22" x14ac:dyDescent="0.3">
      <c r="A412"/>
      <c r="B412"/>
      <c r="C412"/>
      <c r="D412"/>
      <c r="E412"/>
      <c r="F412"/>
      <c r="G412"/>
      <c r="H412"/>
      <c r="I412"/>
      <c r="J412"/>
      <c r="K412"/>
      <c r="L412"/>
      <c r="M412"/>
      <c r="N412"/>
      <c r="O412"/>
      <c r="P412"/>
      <c r="Q412"/>
      <c r="R412"/>
      <c r="S412"/>
      <c r="T412"/>
      <c r="U412"/>
      <c r="V412"/>
    </row>
    <row r="413" spans="1:22" x14ac:dyDescent="0.3">
      <c r="A413"/>
      <c r="B413"/>
      <c r="C413"/>
      <c r="D413"/>
      <c r="E413"/>
      <c r="F413"/>
      <c r="G413"/>
      <c r="H413"/>
      <c r="I413"/>
      <c r="J413"/>
      <c r="K413"/>
      <c r="L413"/>
      <c r="M413"/>
      <c r="N413"/>
      <c r="O413"/>
      <c r="P413"/>
      <c r="Q413"/>
      <c r="R413"/>
      <c r="S413"/>
      <c r="T413"/>
      <c r="U413"/>
      <c r="V413"/>
    </row>
    <row r="414" spans="1:22" x14ac:dyDescent="0.3">
      <c r="A414"/>
      <c r="B414"/>
      <c r="C414"/>
      <c r="D414"/>
      <c r="E414"/>
      <c r="F414"/>
      <c r="G414"/>
      <c r="H414"/>
      <c r="I414"/>
      <c r="J414"/>
      <c r="K414"/>
      <c r="L414"/>
      <c r="M414"/>
      <c r="N414"/>
      <c r="O414"/>
      <c r="P414"/>
      <c r="Q414"/>
      <c r="R414"/>
      <c r="S414"/>
      <c r="T414"/>
      <c r="U414"/>
      <c r="V414"/>
    </row>
    <row r="415" spans="1:22" x14ac:dyDescent="0.3">
      <c r="A415"/>
      <c r="B415"/>
      <c r="C415"/>
      <c r="D415"/>
      <c r="E415"/>
      <c r="F415"/>
      <c r="G415"/>
      <c r="H415"/>
      <c r="I415"/>
      <c r="J415"/>
      <c r="K415"/>
      <c r="L415"/>
      <c r="M415"/>
      <c r="N415"/>
      <c r="O415"/>
      <c r="P415"/>
      <c r="Q415"/>
      <c r="R415"/>
      <c r="S415"/>
      <c r="T415"/>
      <c r="U415"/>
      <c r="V415"/>
    </row>
    <row r="416" spans="1:22" x14ac:dyDescent="0.3">
      <c r="A416"/>
      <c r="B416"/>
      <c r="C416"/>
      <c r="D416"/>
      <c r="E416"/>
      <c r="F416"/>
      <c r="G416"/>
      <c r="H416"/>
      <c r="I416"/>
      <c r="J416"/>
      <c r="K416"/>
      <c r="L416"/>
      <c r="M416"/>
      <c r="N416"/>
      <c r="O416"/>
      <c r="P416"/>
      <c r="Q416"/>
      <c r="R416"/>
      <c r="S416"/>
      <c r="T416"/>
      <c r="U416"/>
      <c r="V416"/>
    </row>
    <row r="417" spans="1:22" x14ac:dyDescent="0.3">
      <c r="A417"/>
      <c r="B417"/>
      <c r="C417"/>
      <c r="D417"/>
      <c r="E417"/>
      <c r="F417"/>
      <c r="G417"/>
      <c r="H417"/>
      <c r="I417"/>
      <c r="J417"/>
      <c r="K417"/>
      <c r="L417"/>
      <c r="M417"/>
      <c r="N417"/>
      <c r="O417"/>
      <c r="P417"/>
      <c r="Q417"/>
      <c r="R417"/>
      <c r="S417"/>
      <c r="T417"/>
      <c r="U417"/>
      <c r="V417"/>
    </row>
    <row r="418" spans="1:22" x14ac:dyDescent="0.3">
      <c r="A418"/>
      <c r="B418"/>
      <c r="C418"/>
      <c r="D418"/>
      <c r="E418"/>
      <c r="F418"/>
      <c r="G418"/>
      <c r="H418"/>
      <c r="I418"/>
      <c r="J418"/>
      <c r="K418"/>
      <c r="L418"/>
      <c r="M418"/>
      <c r="N418"/>
      <c r="O418"/>
      <c r="P418"/>
      <c r="Q418"/>
      <c r="R418"/>
      <c r="S418"/>
      <c r="T418"/>
      <c r="U418"/>
      <c r="V418"/>
    </row>
    <row r="419" spans="1:22" x14ac:dyDescent="0.3">
      <c r="A419"/>
      <c r="B419"/>
      <c r="C419"/>
      <c r="D419"/>
      <c r="E419"/>
      <c r="F419"/>
      <c r="G419"/>
      <c r="H419"/>
      <c r="I419"/>
      <c r="J419"/>
      <c r="K419"/>
      <c r="L419"/>
      <c r="M419"/>
      <c r="N419"/>
      <c r="O419"/>
      <c r="P419"/>
      <c r="Q419"/>
      <c r="R419"/>
      <c r="S419"/>
      <c r="T419"/>
      <c r="U419"/>
      <c r="V419"/>
    </row>
    <row r="420" spans="1:22" x14ac:dyDescent="0.3">
      <c r="A420"/>
      <c r="B420"/>
      <c r="C420"/>
      <c r="D420"/>
      <c r="E420"/>
      <c r="F420"/>
      <c r="G420"/>
      <c r="H420"/>
      <c r="I420"/>
      <c r="J420"/>
      <c r="K420"/>
      <c r="L420"/>
      <c r="M420"/>
      <c r="N420"/>
      <c r="O420"/>
      <c r="P420"/>
      <c r="Q420"/>
      <c r="R420"/>
      <c r="S420"/>
      <c r="T420"/>
      <c r="U420"/>
      <c r="V420"/>
    </row>
    <row r="421" spans="1:22" x14ac:dyDescent="0.3">
      <c r="A421"/>
      <c r="B421"/>
      <c r="C421"/>
      <c r="D421"/>
      <c r="E421"/>
      <c r="F421"/>
      <c r="G421"/>
      <c r="H421"/>
      <c r="I421"/>
      <c r="J421"/>
      <c r="K421"/>
      <c r="L421"/>
      <c r="M421"/>
      <c r="N421"/>
      <c r="O421"/>
      <c r="P421"/>
      <c r="Q421"/>
      <c r="R421"/>
      <c r="S421"/>
      <c r="T421"/>
      <c r="U421"/>
      <c r="V421"/>
    </row>
    <row r="422" spans="1:22" x14ac:dyDescent="0.3">
      <c r="A422"/>
      <c r="B422"/>
      <c r="C422"/>
      <c r="D422"/>
      <c r="E422"/>
      <c r="F422"/>
      <c r="G422"/>
      <c r="H422"/>
      <c r="I422"/>
      <c r="J422"/>
      <c r="K422"/>
      <c r="L422"/>
      <c r="M422"/>
      <c r="N422"/>
      <c r="O422"/>
      <c r="P422"/>
      <c r="Q422"/>
      <c r="R422"/>
      <c r="S422"/>
      <c r="T422"/>
      <c r="U422"/>
      <c r="V422"/>
    </row>
    <row r="423" spans="1:22" x14ac:dyDescent="0.3">
      <c r="A423"/>
      <c r="B423"/>
      <c r="C423"/>
      <c r="D423"/>
      <c r="E423"/>
      <c r="F423"/>
      <c r="G423"/>
      <c r="H423"/>
      <c r="I423"/>
      <c r="J423"/>
      <c r="K423"/>
      <c r="L423"/>
      <c r="M423"/>
      <c r="N423"/>
      <c r="O423"/>
      <c r="P423"/>
      <c r="Q423"/>
      <c r="R423"/>
      <c r="S423"/>
      <c r="T423"/>
      <c r="U423"/>
      <c r="V423"/>
    </row>
    <row r="424" spans="1:22" x14ac:dyDescent="0.3">
      <c r="A424"/>
      <c r="B424"/>
      <c r="C424"/>
      <c r="D424"/>
      <c r="E424"/>
      <c r="F424"/>
      <c r="G424"/>
      <c r="H424"/>
      <c r="I424"/>
      <c r="J424"/>
      <c r="K424"/>
      <c r="L424"/>
      <c r="M424"/>
      <c r="N424"/>
      <c r="O424"/>
      <c r="P424"/>
      <c r="Q424"/>
      <c r="R424"/>
      <c r="S424"/>
      <c r="T424"/>
      <c r="U424"/>
      <c r="V424"/>
    </row>
    <row r="425" spans="1:22" x14ac:dyDescent="0.3">
      <c r="A425"/>
      <c r="B425"/>
      <c r="C425"/>
      <c r="D425"/>
      <c r="E425"/>
      <c r="F425"/>
      <c r="G425"/>
      <c r="H425"/>
      <c r="I425"/>
      <c r="J425"/>
      <c r="K425"/>
      <c r="L425"/>
      <c r="M425"/>
      <c r="N425"/>
      <c r="O425"/>
      <c r="P425"/>
      <c r="Q425"/>
      <c r="R425"/>
      <c r="S425"/>
      <c r="T425"/>
      <c r="U425"/>
      <c r="V425"/>
    </row>
    <row r="426" spans="1:22" x14ac:dyDescent="0.3">
      <c r="A426"/>
      <c r="B426"/>
      <c r="C426"/>
      <c r="D426"/>
      <c r="E426"/>
      <c r="F426"/>
      <c r="G426"/>
      <c r="H426"/>
      <c r="I426"/>
      <c r="J426"/>
      <c r="K426"/>
      <c r="L426"/>
      <c r="M426"/>
      <c r="N426"/>
      <c r="O426"/>
      <c r="P426"/>
      <c r="Q426"/>
      <c r="R426"/>
      <c r="S426"/>
      <c r="T426"/>
      <c r="U426"/>
      <c r="V426"/>
    </row>
    <row r="427" spans="1:22" x14ac:dyDescent="0.3">
      <c r="A427"/>
      <c r="B427"/>
      <c r="C427"/>
      <c r="D427"/>
      <c r="E427"/>
      <c r="F427"/>
      <c r="G427"/>
      <c r="H427"/>
      <c r="I427"/>
      <c r="J427"/>
      <c r="K427"/>
      <c r="L427"/>
      <c r="M427"/>
      <c r="N427"/>
      <c r="O427"/>
      <c r="P427"/>
      <c r="Q427"/>
      <c r="R427"/>
      <c r="S427"/>
      <c r="T427"/>
      <c r="U427"/>
      <c r="V427"/>
    </row>
    <row r="428" spans="1:22" x14ac:dyDescent="0.3">
      <c r="A428"/>
      <c r="B428"/>
      <c r="C428"/>
      <c r="D428"/>
      <c r="E428"/>
      <c r="F428"/>
      <c r="G428"/>
      <c r="H428"/>
      <c r="I428"/>
      <c r="J428"/>
      <c r="K428"/>
      <c r="L428"/>
      <c r="M428"/>
      <c r="N428"/>
      <c r="O428"/>
      <c r="P428"/>
      <c r="Q428"/>
      <c r="R428"/>
      <c r="S428"/>
      <c r="T428"/>
      <c r="U428"/>
      <c r="V428"/>
    </row>
    <row r="429" spans="1:22" x14ac:dyDescent="0.3">
      <c r="A429"/>
      <c r="B429"/>
      <c r="C429"/>
      <c r="D429"/>
      <c r="E429"/>
      <c r="F429"/>
      <c r="G429"/>
      <c r="H429"/>
      <c r="I429"/>
      <c r="J429"/>
      <c r="K429"/>
      <c r="L429"/>
      <c r="M429"/>
      <c r="N429"/>
      <c r="O429"/>
      <c r="P429"/>
      <c r="Q429"/>
      <c r="R429"/>
      <c r="S429"/>
      <c r="T429"/>
      <c r="U429"/>
      <c r="V429"/>
    </row>
    <row r="430" spans="1:22" x14ac:dyDescent="0.3">
      <c r="A430"/>
      <c r="B430"/>
      <c r="C430"/>
      <c r="D430"/>
      <c r="E430"/>
      <c r="F430"/>
      <c r="G430"/>
      <c r="H430"/>
      <c r="I430"/>
      <c r="J430"/>
      <c r="K430"/>
      <c r="L430"/>
      <c r="M430"/>
      <c r="N430"/>
      <c r="O430"/>
      <c r="P430"/>
      <c r="Q430"/>
      <c r="R430"/>
      <c r="S430"/>
      <c r="T430"/>
      <c r="U430"/>
      <c r="V430"/>
    </row>
    <row r="431" spans="1:22" x14ac:dyDescent="0.3">
      <c r="A431"/>
      <c r="B431"/>
      <c r="C431"/>
      <c r="D431"/>
      <c r="E431"/>
      <c r="F431"/>
      <c r="G431"/>
      <c r="H431"/>
      <c r="I431"/>
      <c r="J431"/>
      <c r="K431"/>
      <c r="L431"/>
      <c r="M431"/>
      <c r="N431"/>
      <c r="O431"/>
      <c r="P431"/>
      <c r="Q431"/>
      <c r="R431"/>
      <c r="S431"/>
      <c r="T431"/>
      <c r="U431"/>
      <c r="V431"/>
    </row>
    <row r="432" spans="1:22" x14ac:dyDescent="0.3">
      <c r="A432"/>
      <c r="B432"/>
      <c r="C432"/>
      <c r="D432"/>
      <c r="E432"/>
      <c r="F432"/>
      <c r="G432"/>
      <c r="H432"/>
      <c r="I432"/>
      <c r="J432"/>
      <c r="K432"/>
      <c r="L432"/>
      <c r="M432"/>
      <c r="N432"/>
      <c r="O432"/>
      <c r="P432"/>
      <c r="Q432"/>
      <c r="R432"/>
      <c r="S432"/>
      <c r="T432"/>
      <c r="U432"/>
      <c r="V432"/>
    </row>
    <row r="433" spans="1:22" x14ac:dyDescent="0.3">
      <c r="A433"/>
      <c r="B433"/>
      <c r="C433"/>
      <c r="D433"/>
      <c r="E433"/>
      <c r="F433"/>
      <c r="G433"/>
      <c r="H433"/>
      <c r="I433"/>
      <c r="J433"/>
      <c r="K433"/>
      <c r="L433"/>
      <c r="M433"/>
      <c r="N433"/>
      <c r="O433"/>
      <c r="P433"/>
      <c r="Q433"/>
      <c r="R433"/>
      <c r="S433"/>
      <c r="T433"/>
      <c r="U433"/>
      <c r="V433"/>
    </row>
    <row r="434" spans="1:22" x14ac:dyDescent="0.3">
      <c r="A434"/>
      <c r="B434"/>
      <c r="C434"/>
      <c r="D434"/>
      <c r="E434"/>
      <c r="F434"/>
      <c r="G434"/>
      <c r="H434"/>
      <c r="I434"/>
      <c r="J434"/>
      <c r="K434"/>
      <c r="L434"/>
      <c r="M434"/>
      <c r="N434"/>
      <c r="O434"/>
      <c r="P434"/>
      <c r="Q434"/>
      <c r="R434"/>
      <c r="S434"/>
      <c r="T434"/>
      <c r="U434"/>
      <c r="V434"/>
    </row>
    <row r="435" spans="1:22" x14ac:dyDescent="0.3">
      <c r="A435"/>
      <c r="B435"/>
      <c r="C435"/>
      <c r="D435"/>
      <c r="E435"/>
      <c r="F435"/>
      <c r="G435"/>
      <c r="H435"/>
      <c r="I435"/>
      <c r="J435"/>
      <c r="K435"/>
      <c r="L435"/>
      <c r="M435"/>
      <c r="N435"/>
      <c r="O435"/>
      <c r="P435"/>
      <c r="Q435"/>
      <c r="R435"/>
      <c r="S435"/>
      <c r="T435"/>
      <c r="U435"/>
      <c r="V435"/>
    </row>
    <row r="436" spans="1:22" x14ac:dyDescent="0.3">
      <c r="A436"/>
      <c r="B436"/>
      <c r="C436"/>
      <c r="D436"/>
      <c r="E436"/>
      <c r="F436"/>
      <c r="G436"/>
      <c r="H436"/>
      <c r="I436"/>
      <c r="J436"/>
      <c r="K436"/>
      <c r="L436"/>
      <c r="M436"/>
      <c r="N436"/>
      <c r="O436"/>
      <c r="P436"/>
      <c r="Q436"/>
      <c r="R436"/>
      <c r="S436"/>
      <c r="T436"/>
      <c r="U436"/>
      <c r="V436"/>
    </row>
    <row r="437" spans="1:22" x14ac:dyDescent="0.3">
      <c r="A437"/>
      <c r="B437"/>
      <c r="C437"/>
      <c r="D437"/>
      <c r="E437"/>
      <c r="F437"/>
      <c r="G437"/>
      <c r="H437"/>
      <c r="I437"/>
      <c r="J437"/>
      <c r="K437"/>
      <c r="L437"/>
      <c r="M437"/>
      <c r="N437"/>
      <c r="O437"/>
      <c r="P437"/>
      <c r="Q437"/>
      <c r="R437"/>
      <c r="S437"/>
      <c r="T437"/>
      <c r="U437"/>
      <c r="V437"/>
    </row>
    <row r="438" spans="1:22" x14ac:dyDescent="0.3">
      <c r="A438"/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</row>
    <row r="439" spans="1:22" x14ac:dyDescent="0.3">
      <c r="A439"/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</row>
    <row r="440" spans="1:22" x14ac:dyDescent="0.3">
      <c r="A440"/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</row>
    <row r="441" spans="1:22" x14ac:dyDescent="0.3">
      <c r="A441"/>
      <c r="B441"/>
      <c r="C441"/>
      <c r="D441"/>
      <c r="E441"/>
      <c r="F441"/>
      <c r="G441"/>
      <c r="H441"/>
      <c r="I441"/>
      <c r="J441"/>
      <c r="K441"/>
      <c r="L441"/>
      <c r="M441"/>
      <c r="N441"/>
      <c r="O441"/>
      <c r="P441"/>
      <c r="Q441"/>
      <c r="R441"/>
      <c r="S441"/>
      <c r="T441"/>
      <c r="U441"/>
      <c r="V441"/>
    </row>
    <row r="442" spans="1:22" x14ac:dyDescent="0.3">
      <c r="A442"/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  <c r="R442"/>
      <c r="S442"/>
      <c r="T442"/>
      <c r="U442"/>
      <c r="V442"/>
    </row>
    <row r="443" spans="1:22" x14ac:dyDescent="0.3">
      <c r="A443"/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</row>
    <row r="444" spans="1:22" x14ac:dyDescent="0.3">
      <c r="A444"/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</row>
    <row r="445" spans="1:22" x14ac:dyDescent="0.3">
      <c r="A445"/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</row>
    <row r="446" spans="1:22" x14ac:dyDescent="0.3">
      <c r="A446"/>
      <c r="B446"/>
      <c r="C446"/>
      <c r="D446"/>
      <c r="E446"/>
      <c r="F446"/>
      <c r="G446"/>
      <c r="H446"/>
      <c r="I446"/>
      <c r="J446"/>
      <c r="K446"/>
      <c r="L446"/>
      <c r="M446"/>
      <c r="N446"/>
      <c r="O446"/>
      <c r="P446"/>
      <c r="Q446"/>
      <c r="R446"/>
      <c r="S446"/>
      <c r="T446"/>
      <c r="U446"/>
      <c r="V446"/>
    </row>
    <row r="447" spans="1:22" x14ac:dyDescent="0.3">
      <c r="A447"/>
      <c r="B447"/>
      <c r="C447"/>
      <c r="D447"/>
      <c r="E447"/>
      <c r="F447"/>
      <c r="G447"/>
      <c r="H447"/>
      <c r="I447"/>
      <c r="J447"/>
      <c r="K447"/>
      <c r="L447"/>
      <c r="M447"/>
      <c r="N447"/>
      <c r="O447"/>
      <c r="P447"/>
      <c r="Q447"/>
      <c r="R447"/>
      <c r="S447"/>
      <c r="T447"/>
      <c r="U447"/>
      <c r="V447"/>
    </row>
    <row r="448" spans="1:22" x14ac:dyDescent="0.3">
      <c r="A448"/>
      <c r="B448"/>
      <c r="C448"/>
      <c r="D448"/>
      <c r="E448"/>
      <c r="F448"/>
      <c r="G448"/>
      <c r="H448"/>
      <c r="I448"/>
      <c r="J448"/>
      <c r="K448"/>
      <c r="L448"/>
      <c r="M448"/>
      <c r="N448"/>
      <c r="O448"/>
      <c r="P448"/>
      <c r="Q448"/>
      <c r="R448"/>
      <c r="S448"/>
      <c r="T448"/>
      <c r="U448"/>
      <c r="V448"/>
    </row>
    <row r="449" spans="1:22" x14ac:dyDescent="0.3">
      <c r="A449"/>
      <c r="B449"/>
      <c r="C449"/>
      <c r="D449"/>
      <c r="E449"/>
      <c r="F449"/>
      <c r="G449"/>
      <c r="H449"/>
      <c r="I449"/>
      <c r="J449"/>
      <c r="K449"/>
      <c r="L449"/>
      <c r="M449"/>
      <c r="N449"/>
      <c r="O449"/>
      <c r="P449"/>
      <c r="Q449"/>
      <c r="R449"/>
      <c r="S449"/>
      <c r="T449"/>
      <c r="U449"/>
      <c r="V449"/>
    </row>
    <row r="450" spans="1:22" x14ac:dyDescent="0.3">
      <c r="A450"/>
      <c r="B450"/>
      <c r="C450"/>
      <c r="D450"/>
      <c r="E450"/>
      <c r="F450"/>
      <c r="G450"/>
      <c r="H450"/>
      <c r="I450"/>
      <c r="J450"/>
      <c r="K450"/>
      <c r="L450"/>
      <c r="M450"/>
      <c r="N450"/>
      <c r="O450"/>
      <c r="P450"/>
      <c r="Q450"/>
      <c r="R450"/>
      <c r="S450"/>
      <c r="T450"/>
      <c r="U450"/>
      <c r="V450"/>
    </row>
    <row r="451" spans="1:22" x14ac:dyDescent="0.3">
      <c r="A451"/>
      <c r="B451"/>
      <c r="C451"/>
      <c r="D451"/>
      <c r="E451"/>
      <c r="F451"/>
      <c r="G451"/>
      <c r="H451"/>
      <c r="I451"/>
      <c r="J451"/>
      <c r="K451"/>
      <c r="L451"/>
      <c r="M451"/>
      <c r="N451"/>
      <c r="O451"/>
      <c r="P451"/>
      <c r="Q451"/>
      <c r="R451"/>
      <c r="S451"/>
      <c r="T451"/>
      <c r="U451"/>
      <c r="V451"/>
    </row>
    <row r="452" spans="1:22" x14ac:dyDescent="0.3">
      <c r="A452"/>
      <c r="B452"/>
      <c r="C452"/>
      <c r="D452"/>
      <c r="E452"/>
      <c r="F452"/>
      <c r="G452"/>
      <c r="H452"/>
      <c r="I452"/>
      <c r="J452"/>
      <c r="K452"/>
      <c r="L452"/>
      <c r="M452"/>
      <c r="N452"/>
      <c r="O452"/>
      <c r="P452"/>
      <c r="Q452"/>
      <c r="R452"/>
      <c r="S452"/>
      <c r="T452"/>
      <c r="U452"/>
      <c r="V452"/>
    </row>
    <row r="453" spans="1:22" x14ac:dyDescent="0.3">
      <c r="A453"/>
      <c r="B453"/>
      <c r="C453"/>
      <c r="D453"/>
      <c r="E453"/>
      <c r="F453"/>
      <c r="G453"/>
      <c r="H453"/>
      <c r="I453"/>
      <c r="J453"/>
      <c r="K453"/>
      <c r="L453"/>
      <c r="M453"/>
      <c r="N453"/>
      <c r="O453"/>
      <c r="P453"/>
      <c r="Q453"/>
      <c r="R453"/>
      <c r="S453"/>
      <c r="T453"/>
      <c r="U453"/>
      <c r="V453"/>
    </row>
    <row r="454" spans="1:22" x14ac:dyDescent="0.3">
      <c r="A454"/>
      <c r="B454"/>
      <c r="C454"/>
      <c r="D454"/>
      <c r="E454"/>
      <c r="F454"/>
      <c r="G454"/>
      <c r="H454"/>
      <c r="I454"/>
      <c r="J454"/>
      <c r="K454"/>
      <c r="L454"/>
      <c r="M454"/>
      <c r="N454"/>
      <c r="O454"/>
      <c r="P454"/>
      <c r="Q454"/>
      <c r="R454"/>
      <c r="S454"/>
      <c r="T454"/>
      <c r="U454"/>
      <c r="V454"/>
    </row>
    <row r="455" spans="1:22" x14ac:dyDescent="0.3">
      <c r="A455"/>
      <c r="B455"/>
      <c r="C455"/>
      <c r="D455"/>
      <c r="E455"/>
      <c r="F455"/>
      <c r="G455"/>
      <c r="H455"/>
      <c r="I455"/>
      <c r="J455"/>
      <c r="K455"/>
      <c r="L455"/>
      <c r="M455"/>
      <c r="N455"/>
      <c r="O455"/>
      <c r="P455"/>
      <c r="Q455"/>
      <c r="R455"/>
      <c r="S455"/>
      <c r="T455"/>
      <c r="U455"/>
      <c r="V455"/>
    </row>
    <row r="456" spans="1:22" x14ac:dyDescent="0.3">
      <c r="A456"/>
      <c r="B456"/>
      <c r="C456"/>
      <c r="D456"/>
      <c r="E456"/>
      <c r="F456"/>
      <c r="G456"/>
      <c r="H456"/>
      <c r="I456"/>
      <c r="J456"/>
      <c r="K456"/>
      <c r="L456"/>
      <c r="M456"/>
      <c r="N456"/>
      <c r="O456"/>
      <c r="P456"/>
      <c r="Q456"/>
      <c r="R456"/>
      <c r="S456"/>
      <c r="T456"/>
      <c r="U456"/>
      <c r="V456"/>
    </row>
    <row r="457" spans="1:22" x14ac:dyDescent="0.3">
      <c r="A457"/>
      <c r="B457"/>
      <c r="C457"/>
      <c r="D457"/>
      <c r="E457"/>
      <c r="F457"/>
      <c r="G457"/>
      <c r="H457"/>
      <c r="I457"/>
      <c r="J457"/>
      <c r="K457"/>
      <c r="L457"/>
      <c r="M457"/>
      <c r="N457"/>
      <c r="O457"/>
      <c r="P457"/>
      <c r="Q457"/>
      <c r="R457"/>
      <c r="S457"/>
      <c r="T457"/>
      <c r="U457"/>
      <c r="V457"/>
    </row>
    <row r="458" spans="1:22" x14ac:dyDescent="0.3">
      <c r="A458"/>
      <c r="B458"/>
      <c r="C458"/>
      <c r="D458"/>
      <c r="E458"/>
      <c r="F458"/>
      <c r="G458"/>
      <c r="H458"/>
      <c r="I458"/>
      <c r="J458"/>
      <c r="K458"/>
      <c r="L458"/>
      <c r="M458"/>
      <c r="N458"/>
      <c r="O458"/>
      <c r="P458"/>
      <c r="Q458"/>
      <c r="R458"/>
      <c r="S458"/>
      <c r="T458"/>
      <c r="U458"/>
      <c r="V458"/>
    </row>
    <row r="459" spans="1:22" x14ac:dyDescent="0.3">
      <c r="A459"/>
      <c r="B459"/>
      <c r="C459"/>
      <c r="D459"/>
      <c r="E459"/>
      <c r="F459"/>
      <c r="G459"/>
      <c r="H459"/>
      <c r="I459"/>
      <c r="J459"/>
      <c r="K459"/>
      <c r="L459"/>
      <c r="M459"/>
      <c r="N459"/>
      <c r="O459"/>
      <c r="P459"/>
      <c r="Q459"/>
      <c r="R459"/>
      <c r="S459"/>
      <c r="T459"/>
      <c r="U459"/>
      <c r="V459"/>
    </row>
    <row r="460" spans="1:22" x14ac:dyDescent="0.3">
      <c r="A460"/>
      <c r="B460"/>
      <c r="C460"/>
      <c r="D460"/>
      <c r="E460"/>
      <c r="F460"/>
      <c r="G460"/>
      <c r="H460"/>
      <c r="I460"/>
      <c r="J460"/>
      <c r="K460"/>
      <c r="L460"/>
      <c r="M460"/>
      <c r="N460"/>
      <c r="O460"/>
      <c r="P460"/>
      <c r="Q460"/>
      <c r="R460"/>
      <c r="S460"/>
      <c r="T460"/>
      <c r="U460"/>
      <c r="V460"/>
    </row>
    <row r="461" spans="1:22" x14ac:dyDescent="0.3">
      <c r="A461"/>
      <c r="B461"/>
      <c r="C461"/>
      <c r="D461"/>
      <c r="E461"/>
      <c r="F461"/>
      <c r="G461"/>
      <c r="H461"/>
      <c r="I461"/>
      <c r="J461"/>
      <c r="K461"/>
      <c r="L461"/>
      <c r="M461"/>
      <c r="N461"/>
      <c r="O461"/>
      <c r="P461"/>
      <c r="Q461"/>
      <c r="R461"/>
      <c r="S461"/>
      <c r="T461"/>
      <c r="U461"/>
      <c r="V461"/>
    </row>
    <row r="462" spans="1:22" x14ac:dyDescent="0.3">
      <c r="A462"/>
      <c r="B462"/>
      <c r="C462"/>
      <c r="D462"/>
      <c r="E462"/>
      <c r="F462"/>
      <c r="G462"/>
      <c r="H462"/>
      <c r="I462"/>
      <c r="J462"/>
      <c r="K462"/>
      <c r="L462"/>
      <c r="M462"/>
      <c r="N462"/>
      <c r="O462"/>
      <c r="P462"/>
      <c r="Q462"/>
      <c r="R462"/>
      <c r="S462"/>
      <c r="T462"/>
      <c r="U462"/>
      <c r="V462"/>
    </row>
    <row r="463" spans="1:22" x14ac:dyDescent="0.3">
      <c r="A463"/>
      <c r="B463"/>
      <c r="C463"/>
      <c r="D463"/>
      <c r="E463"/>
      <c r="F463"/>
      <c r="G463"/>
      <c r="H463"/>
      <c r="I463"/>
      <c r="J463"/>
      <c r="K463"/>
      <c r="L463"/>
      <c r="M463"/>
      <c r="N463"/>
      <c r="O463"/>
      <c r="P463"/>
      <c r="Q463"/>
      <c r="R463"/>
      <c r="S463"/>
      <c r="T463"/>
      <c r="U463"/>
      <c r="V463"/>
    </row>
    <row r="464" spans="1:22" x14ac:dyDescent="0.3">
      <c r="A464"/>
      <c r="B464"/>
      <c r="C464"/>
      <c r="D464"/>
      <c r="E464"/>
      <c r="F464"/>
      <c r="G464"/>
      <c r="H464"/>
      <c r="I464"/>
      <c r="J464"/>
      <c r="K464"/>
      <c r="L464"/>
      <c r="M464"/>
      <c r="N464"/>
      <c r="O464"/>
      <c r="P464"/>
      <c r="Q464"/>
      <c r="R464"/>
      <c r="S464"/>
      <c r="T464"/>
      <c r="U464"/>
      <c r="V464"/>
    </row>
    <row r="465" spans="1:22" x14ac:dyDescent="0.3">
      <c r="A465"/>
      <c r="B465"/>
      <c r="C465"/>
      <c r="D465"/>
      <c r="E465"/>
      <c r="F465"/>
      <c r="G465"/>
      <c r="H465"/>
      <c r="I465"/>
      <c r="J465"/>
      <c r="K465"/>
      <c r="L465"/>
      <c r="M465"/>
      <c r="N465"/>
      <c r="O465"/>
      <c r="P465"/>
      <c r="Q465"/>
      <c r="R465"/>
      <c r="S465"/>
      <c r="T465"/>
      <c r="U465"/>
      <c r="V465"/>
    </row>
    <row r="466" spans="1:22" x14ac:dyDescent="0.3">
      <c r="A466"/>
      <c r="B466"/>
      <c r="C466"/>
      <c r="D466"/>
      <c r="E466"/>
      <c r="F466"/>
      <c r="G466"/>
      <c r="H466"/>
      <c r="I466"/>
      <c r="J466"/>
      <c r="K466"/>
      <c r="L466"/>
      <c r="M466"/>
      <c r="N466"/>
      <c r="O466"/>
      <c r="P466"/>
      <c r="Q466"/>
      <c r="R466"/>
      <c r="S466"/>
      <c r="T466"/>
      <c r="U466"/>
      <c r="V466"/>
    </row>
    <row r="467" spans="1:22" x14ac:dyDescent="0.3">
      <c r="A467"/>
      <c r="B467"/>
      <c r="C467"/>
      <c r="D467"/>
      <c r="E467"/>
      <c r="F467"/>
      <c r="G467"/>
      <c r="H467"/>
      <c r="I467"/>
      <c r="J467"/>
      <c r="K467"/>
      <c r="L467"/>
      <c r="M467"/>
      <c r="N467"/>
      <c r="O467"/>
      <c r="P467"/>
      <c r="Q467"/>
      <c r="R467"/>
      <c r="S467"/>
      <c r="T467"/>
      <c r="U467"/>
      <c r="V467"/>
    </row>
    <row r="468" spans="1:22" x14ac:dyDescent="0.3">
      <c r="A468"/>
      <c r="B468"/>
      <c r="C468"/>
      <c r="D468"/>
      <c r="E468"/>
      <c r="F468"/>
      <c r="G468"/>
      <c r="H468"/>
      <c r="I468"/>
      <c r="J468"/>
      <c r="K468"/>
      <c r="L468"/>
      <c r="M468"/>
      <c r="N468"/>
      <c r="O468"/>
      <c r="P468"/>
      <c r="Q468"/>
      <c r="R468"/>
      <c r="S468"/>
      <c r="T468"/>
      <c r="U468"/>
      <c r="V468"/>
    </row>
    <row r="469" spans="1:22" x14ac:dyDescent="0.3">
      <c r="A469"/>
      <c r="B469"/>
      <c r="C469"/>
      <c r="D469"/>
      <c r="E469"/>
      <c r="F469"/>
      <c r="G469"/>
      <c r="H469"/>
      <c r="I469"/>
      <c r="J469"/>
      <c r="K469"/>
      <c r="L469"/>
      <c r="M469"/>
      <c r="N469"/>
      <c r="O469"/>
      <c r="P469"/>
      <c r="Q469"/>
      <c r="R469"/>
      <c r="S469"/>
      <c r="T469"/>
      <c r="U469"/>
      <c r="V469"/>
    </row>
    <row r="470" spans="1:22" x14ac:dyDescent="0.3">
      <c r="A470"/>
      <c r="B470"/>
      <c r="C470"/>
      <c r="D470"/>
      <c r="E470"/>
      <c r="F470"/>
      <c r="G470"/>
      <c r="H470"/>
      <c r="I470"/>
      <c r="J470"/>
      <c r="K470"/>
      <c r="L470"/>
      <c r="M470"/>
      <c r="N470"/>
      <c r="O470"/>
      <c r="P470"/>
      <c r="Q470"/>
      <c r="R470"/>
      <c r="S470"/>
      <c r="T470"/>
      <c r="U470"/>
      <c r="V470"/>
    </row>
    <row r="471" spans="1:22" x14ac:dyDescent="0.3">
      <c r="A471"/>
      <c r="B471"/>
      <c r="C471"/>
      <c r="D471"/>
      <c r="E471"/>
      <c r="F471"/>
      <c r="G471"/>
      <c r="H471"/>
      <c r="I471"/>
      <c r="J471"/>
      <c r="K471"/>
      <c r="L471"/>
      <c r="M471"/>
      <c r="N471"/>
      <c r="O471"/>
      <c r="P471"/>
      <c r="Q471"/>
      <c r="R471"/>
      <c r="S471"/>
      <c r="T471"/>
      <c r="U471"/>
      <c r="V471"/>
    </row>
    <row r="472" spans="1:22" x14ac:dyDescent="0.3">
      <c r="A472"/>
      <c r="B472"/>
      <c r="C472"/>
      <c r="D472"/>
      <c r="E472"/>
      <c r="F472"/>
      <c r="G472"/>
      <c r="H472"/>
      <c r="I472"/>
      <c r="J472"/>
      <c r="K472"/>
      <c r="L472"/>
      <c r="M472"/>
      <c r="N472"/>
      <c r="O472"/>
      <c r="P472"/>
      <c r="Q472"/>
      <c r="R472"/>
      <c r="S472"/>
      <c r="T472"/>
      <c r="U472"/>
      <c r="V472"/>
    </row>
    <row r="473" spans="1:22" x14ac:dyDescent="0.3">
      <c r="A473"/>
      <c r="B473"/>
      <c r="C473"/>
      <c r="D473"/>
      <c r="E473"/>
      <c r="F473"/>
      <c r="G473"/>
      <c r="H473"/>
      <c r="I473"/>
      <c r="J473"/>
      <c r="K473"/>
      <c r="L473"/>
      <c r="M473"/>
      <c r="N473"/>
      <c r="O473"/>
      <c r="P473"/>
      <c r="Q473"/>
      <c r="R473"/>
      <c r="S473"/>
      <c r="T473"/>
      <c r="U473"/>
      <c r="V473"/>
    </row>
    <row r="474" spans="1:22" x14ac:dyDescent="0.3">
      <c r="A474"/>
      <c r="B474"/>
      <c r="C474"/>
      <c r="D474"/>
      <c r="E474"/>
      <c r="F474"/>
      <c r="G474"/>
      <c r="H474"/>
      <c r="I474"/>
      <c r="J474"/>
      <c r="K474"/>
      <c r="L474"/>
      <c r="M474"/>
      <c r="N474"/>
      <c r="O474"/>
      <c r="P474"/>
      <c r="Q474"/>
      <c r="R474"/>
      <c r="S474"/>
      <c r="T474"/>
      <c r="U474"/>
      <c r="V474"/>
    </row>
    <row r="475" spans="1:22" x14ac:dyDescent="0.3">
      <c r="A475"/>
      <c r="B475"/>
      <c r="C475"/>
      <c r="D475"/>
      <c r="E475"/>
      <c r="F475"/>
      <c r="G475"/>
      <c r="H475"/>
      <c r="I475"/>
      <c r="J475"/>
      <c r="K475"/>
      <c r="L475"/>
      <c r="M475"/>
      <c r="N475"/>
      <c r="O475"/>
      <c r="P475"/>
      <c r="Q475"/>
      <c r="R475"/>
      <c r="S475"/>
      <c r="T475"/>
      <c r="U475"/>
      <c r="V475"/>
    </row>
    <row r="476" spans="1:22" x14ac:dyDescent="0.3">
      <c r="A476"/>
      <c r="B476"/>
      <c r="C476"/>
      <c r="D476"/>
      <c r="E476"/>
      <c r="F476"/>
      <c r="G476"/>
      <c r="H476"/>
      <c r="I476"/>
      <c r="J476"/>
      <c r="K476"/>
      <c r="L476"/>
      <c r="M476"/>
      <c r="N476"/>
      <c r="O476"/>
      <c r="P476"/>
      <c r="Q476"/>
      <c r="R476"/>
      <c r="S476"/>
      <c r="T476"/>
      <c r="U476"/>
      <c r="V476"/>
    </row>
    <row r="477" spans="1:22" x14ac:dyDescent="0.3">
      <c r="A477"/>
      <c r="B477"/>
      <c r="C477"/>
      <c r="D477"/>
      <c r="E477"/>
      <c r="F477"/>
      <c r="G477"/>
      <c r="H477"/>
      <c r="I477"/>
      <c r="J477"/>
      <c r="K477"/>
      <c r="L477"/>
      <c r="M477"/>
      <c r="N477"/>
      <c r="O477"/>
      <c r="P477"/>
      <c r="Q477"/>
      <c r="R477"/>
      <c r="S477"/>
      <c r="T477"/>
      <c r="U477"/>
      <c r="V477"/>
    </row>
    <row r="478" spans="1:22" x14ac:dyDescent="0.3">
      <c r="A478"/>
      <c r="B478"/>
      <c r="C478"/>
      <c r="D478"/>
      <c r="E478"/>
      <c r="F478"/>
      <c r="G478"/>
      <c r="H478"/>
      <c r="I478"/>
      <c r="J478"/>
      <c r="K478"/>
      <c r="L478"/>
      <c r="M478"/>
      <c r="N478"/>
      <c r="O478"/>
      <c r="P478"/>
      <c r="Q478"/>
      <c r="R478"/>
      <c r="S478"/>
      <c r="T478"/>
      <c r="U478"/>
      <c r="V478"/>
    </row>
    <row r="479" spans="1:22" x14ac:dyDescent="0.3">
      <c r="A479"/>
      <c r="B479"/>
      <c r="C479"/>
      <c r="D479"/>
      <c r="E479"/>
      <c r="F479"/>
      <c r="G479"/>
      <c r="H479"/>
      <c r="I479"/>
      <c r="J479"/>
      <c r="K479"/>
      <c r="L479"/>
      <c r="M479"/>
      <c r="N479"/>
      <c r="O479"/>
      <c r="P479"/>
      <c r="Q479"/>
      <c r="R479"/>
      <c r="S479"/>
      <c r="T479"/>
      <c r="U479"/>
      <c r="V479"/>
    </row>
    <row r="480" spans="1:22" x14ac:dyDescent="0.3">
      <c r="A480"/>
      <c r="B480"/>
      <c r="C480"/>
      <c r="D480"/>
      <c r="E480"/>
      <c r="F480"/>
      <c r="G480"/>
      <c r="H480"/>
      <c r="I480"/>
      <c r="J480"/>
      <c r="K480"/>
      <c r="L480"/>
      <c r="M480"/>
      <c r="N480"/>
      <c r="O480"/>
      <c r="P480"/>
      <c r="Q480"/>
      <c r="R480"/>
      <c r="S480"/>
      <c r="T480"/>
      <c r="U480"/>
      <c r="V480"/>
    </row>
    <row r="481" spans="1:22" x14ac:dyDescent="0.3">
      <c r="A481"/>
      <c r="B481"/>
      <c r="C481"/>
      <c r="D481"/>
      <c r="E481"/>
      <c r="F481"/>
      <c r="G481"/>
      <c r="H481"/>
      <c r="I481"/>
      <c r="J481"/>
      <c r="K481"/>
      <c r="L481"/>
      <c r="M481"/>
      <c r="N481"/>
      <c r="O481"/>
      <c r="P481"/>
      <c r="Q481"/>
      <c r="R481"/>
      <c r="S481"/>
      <c r="T481"/>
      <c r="U481"/>
      <c r="V481"/>
    </row>
    <row r="482" spans="1:22" x14ac:dyDescent="0.3">
      <c r="A482"/>
      <c r="B482"/>
      <c r="C482"/>
      <c r="D482"/>
      <c r="E482"/>
      <c r="F482"/>
      <c r="G482"/>
      <c r="H482"/>
      <c r="I482"/>
      <c r="J482"/>
      <c r="K482"/>
      <c r="L482"/>
      <c r="M482"/>
      <c r="N482"/>
      <c r="O482"/>
      <c r="P482"/>
      <c r="Q482"/>
      <c r="R482"/>
      <c r="S482"/>
      <c r="T482"/>
      <c r="U482"/>
      <c r="V482"/>
    </row>
    <row r="483" spans="1:22" x14ac:dyDescent="0.3">
      <c r="A483"/>
      <c r="B483"/>
      <c r="C483"/>
      <c r="D483"/>
      <c r="E483"/>
      <c r="F483"/>
      <c r="G483"/>
      <c r="H483"/>
      <c r="I483"/>
      <c r="J483"/>
      <c r="K483"/>
      <c r="L483"/>
      <c r="M483"/>
      <c r="N483"/>
      <c r="O483"/>
      <c r="P483"/>
      <c r="Q483"/>
      <c r="R483"/>
      <c r="S483"/>
      <c r="T483"/>
      <c r="U483"/>
      <c r="V483"/>
    </row>
    <row r="484" spans="1:22" x14ac:dyDescent="0.3">
      <c r="A484"/>
      <c r="B484"/>
      <c r="C484"/>
      <c r="D484"/>
      <c r="E484"/>
      <c r="F484"/>
      <c r="G484"/>
      <c r="H484"/>
      <c r="I484"/>
      <c r="J484"/>
      <c r="K484"/>
      <c r="L484"/>
      <c r="M484"/>
      <c r="N484"/>
      <c r="O484"/>
      <c r="P484"/>
      <c r="Q484"/>
      <c r="R484"/>
      <c r="S484"/>
      <c r="T484"/>
      <c r="U484"/>
      <c r="V484"/>
    </row>
    <row r="485" spans="1:22" x14ac:dyDescent="0.3">
      <c r="A485"/>
      <c r="B485"/>
      <c r="C485"/>
      <c r="D485"/>
      <c r="E485"/>
      <c r="F485"/>
      <c r="G485"/>
      <c r="H485"/>
      <c r="I485"/>
      <c r="J485"/>
      <c r="K485"/>
      <c r="L485"/>
      <c r="M485"/>
      <c r="N485"/>
      <c r="O485"/>
      <c r="P485"/>
      <c r="Q485"/>
      <c r="R485"/>
      <c r="S485"/>
      <c r="T485"/>
      <c r="U485"/>
      <c r="V485"/>
    </row>
    <row r="486" spans="1:22" x14ac:dyDescent="0.3">
      <c r="A486"/>
      <c r="B486"/>
      <c r="C486"/>
      <c r="D486"/>
      <c r="E486"/>
      <c r="F486"/>
      <c r="G486"/>
      <c r="H486"/>
      <c r="I486"/>
      <c r="J486"/>
      <c r="K486"/>
      <c r="L486"/>
      <c r="M486"/>
      <c r="N486"/>
      <c r="O486"/>
      <c r="P486"/>
      <c r="Q486"/>
      <c r="R486"/>
      <c r="S486"/>
      <c r="T486"/>
      <c r="U486"/>
      <c r="V486"/>
    </row>
    <row r="487" spans="1:22" x14ac:dyDescent="0.3">
      <c r="A487"/>
      <c r="B487"/>
      <c r="C487"/>
      <c r="D487"/>
      <c r="E487"/>
      <c r="F487"/>
      <c r="G487"/>
      <c r="H487"/>
      <c r="I487"/>
      <c r="J487"/>
      <c r="K487"/>
      <c r="L487"/>
      <c r="M487"/>
      <c r="N487"/>
      <c r="O487"/>
      <c r="P487"/>
      <c r="Q487"/>
      <c r="R487"/>
      <c r="S487"/>
      <c r="T487"/>
      <c r="U487"/>
      <c r="V487"/>
    </row>
    <row r="488" spans="1:22" x14ac:dyDescent="0.3">
      <c r="A488"/>
      <c r="B488"/>
      <c r="C488"/>
      <c r="D488"/>
      <c r="E488"/>
      <c r="F488"/>
      <c r="G488"/>
      <c r="H488"/>
      <c r="I488"/>
      <c r="J488"/>
      <c r="K488"/>
      <c r="L488"/>
      <c r="M488"/>
      <c r="N488"/>
      <c r="O488"/>
      <c r="P488"/>
      <c r="Q488"/>
      <c r="R488"/>
      <c r="S488"/>
      <c r="T488"/>
      <c r="U488"/>
      <c r="V488"/>
    </row>
    <row r="489" spans="1:22" x14ac:dyDescent="0.3">
      <c r="A489"/>
      <c r="B489"/>
      <c r="C489"/>
      <c r="D489"/>
      <c r="E489"/>
      <c r="F489"/>
      <c r="G489"/>
      <c r="H489"/>
      <c r="I489"/>
      <c r="J489"/>
      <c r="K489"/>
      <c r="L489"/>
      <c r="M489"/>
      <c r="N489"/>
      <c r="O489"/>
      <c r="P489"/>
      <c r="Q489"/>
      <c r="R489"/>
      <c r="S489"/>
      <c r="T489"/>
      <c r="U489"/>
      <c r="V489"/>
    </row>
    <row r="490" spans="1:22" x14ac:dyDescent="0.3">
      <c r="A490"/>
      <c r="B490"/>
      <c r="C490"/>
      <c r="D490"/>
      <c r="E490"/>
      <c r="F490"/>
      <c r="G490"/>
      <c r="H490"/>
      <c r="I490"/>
      <c r="J490"/>
      <c r="K490"/>
      <c r="L490"/>
      <c r="M490"/>
      <c r="N490"/>
      <c r="O490"/>
      <c r="P490"/>
      <c r="Q490"/>
      <c r="R490"/>
      <c r="S490"/>
      <c r="T490"/>
      <c r="U490"/>
      <c r="V490"/>
    </row>
    <row r="491" spans="1:22" x14ac:dyDescent="0.3">
      <c r="A491"/>
      <c r="B491"/>
      <c r="C491"/>
      <c r="D491"/>
      <c r="E491"/>
      <c r="F491"/>
      <c r="G491"/>
      <c r="H491"/>
      <c r="I491"/>
      <c r="J491"/>
      <c r="K491"/>
      <c r="L491"/>
      <c r="M491"/>
      <c r="N491"/>
      <c r="O491"/>
      <c r="P491"/>
      <c r="Q491"/>
      <c r="R491"/>
      <c r="S491"/>
      <c r="T491"/>
      <c r="U491"/>
      <c r="V491"/>
    </row>
    <row r="492" spans="1:22" x14ac:dyDescent="0.3">
      <c r="A492"/>
      <c r="B492"/>
      <c r="C492"/>
      <c r="D492"/>
      <c r="E492"/>
      <c r="F492"/>
      <c r="G492"/>
      <c r="H492"/>
      <c r="I492"/>
      <c r="J492"/>
      <c r="K492"/>
      <c r="L492"/>
      <c r="M492"/>
      <c r="N492"/>
      <c r="O492"/>
      <c r="P492"/>
      <c r="Q492"/>
      <c r="R492"/>
      <c r="S492"/>
      <c r="T492"/>
      <c r="U492"/>
      <c r="V492"/>
    </row>
    <row r="493" spans="1:22" x14ac:dyDescent="0.3">
      <c r="A493"/>
      <c r="B493"/>
      <c r="C493"/>
      <c r="D493"/>
      <c r="E493"/>
      <c r="F493"/>
      <c r="G493"/>
      <c r="H493"/>
      <c r="I493"/>
      <c r="J493"/>
      <c r="K493"/>
      <c r="L493"/>
      <c r="M493"/>
      <c r="N493"/>
      <c r="O493"/>
      <c r="P493"/>
      <c r="Q493"/>
      <c r="R493"/>
      <c r="S493"/>
      <c r="T493"/>
      <c r="U493"/>
      <c r="V493"/>
    </row>
    <row r="494" spans="1:22" x14ac:dyDescent="0.3">
      <c r="A494"/>
      <c r="B494"/>
      <c r="C494"/>
      <c r="D494"/>
      <c r="E494"/>
      <c r="F494"/>
      <c r="G494"/>
      <c r="H494"/>
      <c r="I494"/>
      <c r="J494"/>
      <c r="K494"/>
      <c r="L494"/>
      <c r="M494"/>
      <c r="N494"/>
      <c r="O494"/>
      <c r="P494"/>
      <c r="Q494"/>
      <c r="R494"/>
      <c r="S494"/>
      <c r="T494"/>
      <c r="U494"/>
      <c r="V494"/>
    </row>
    <row r="495" spans="1:22" x14ac:dyDescent="0.3">
      <c r="A495"/>
      <c r="B495"/>
      <c r="C495"/>
      <c r="D495"/>
      <c r="E495"/>
      <c r="F495"/>
      <c r="G495"/>
      <c r="H495"/>
      <c r="I495"/>
      <c r="J495"/>
      <c r="K495"/>
      <c r="L495"/>
      <c r="M495"/>
      <c r="N495"/>
      <c r="O495"/>
      <c r="P495"/>
      <c r="Q495"/>
      <c r="R495"/>
      <c r="S495"/>
      <c r="T495"/>
      <c r="U495"/>
      <c r="V495"/>
    </row>
    <row r="496" spans="1:22" x14ac:dyDescent="0.3">
      <c r="A496"/>
      <c r="B496"/>
      <c r="C496"/>
      <c r="D496"/>
      <c r="E496"/>
      <c r="F496"/>
      <c r="G496"/>
      <c r="H496"/>
      <c r="I496"/>
      <c r="J496"/>
      <c r="K496"/>
      <c r="L496"/>
      <c r="M496"/>
      <c r="N496"/>
      <c r="O496"/>
      <c r="P496"/>
      <c r="Q496"/>
      <c r="R496"/>
      <c r="S496"/>
      <c r="T496"/>
      <c r="U496"/>
      <c r="V496"/>
    </row>
    <row r="497" spans="1:22" x14ac:dyDescent="0.3">
      <c r="A497"/>
      <c r="B497"/>
      <c r="C497"/>
      <c r="D497"/>
      <c r="E497"/>
      <c r="F497"/>
      <c r="G497"/>
      <c r="H497"/>
      <c r="I497"/>
      <c r="J497"/>
      <c r="K497"/>
      <c r="L497"/>
      <c r="M497"/>
      <c r="N497"/>
      <c r="O497"/>
      <c r="P497"/>
      <c r="Q497"/>
      <c r="R497"/>
      <c r="S497"/>
      <c r="T497"/>
      <c r="U497"/>
      <c r="V497"/>
    </row>
    <row r="498" spans="1:22" x14ac:dyDescent="0.3">
      <c r="A498"/>
      <c r="B498"/>
      <c r="C498"/>
      <c r="D498"/>
      <c r="E498"/>
      <c r="F498"/>
      <c r="G498"/>
      <c r="H498"/>
      <c r="I498"/>
      <c r="J498"/>
      <c r="K498"/>
      <c r="L498"/>
      <c r="M498"/>
      <c r="N498"/>
      <c r="O498"/>
      <c r="P498"/>
      <c r="Q498"/>
      <c r="R498"/>
      <c r="S498"/>
      <c r="T498"/>
      <c r="U498"/>
      <c r="V498"/>
    </row>
    <row r="499" spans="1:22" x14ac:dyDescent="0.3">
      <c r="A499"/>
      <c r="B499"/>
      <c r="C499"/>
      <c r="D499"/>
      <c r="E499"/>
      <c r="F499"/>
      <c r="G499"/>
      <c r="H499"/>
      <c r="I499"/>
      <c r="J499"/>
      <c r="K499"/>
      <c r="L499"/>
      <c r="M499"/>
      <c r="N499"/>
      <c r="O499"/>
      <c r="P499"/>
      <c r="Q499"/>
      <c r="R499"/>
      <c r="S499"/>
      <c r="T499"/>
      <c r="U499"/>
      <c r="V499"/>
    </row>
    <row r="500" spans="1:22" x14ac:dyDescent="0.3">
      <c r="A500"/>
      <c r="B500"/>
      <c r="C500"/>
      <c r="D500"/>
      <c r="E500"/>
      <c r="F500"/>
      <c r="G500"/>
      <c r="H500"/>
      <c r="I500"/>
      <c r="J500"/>
      <c r="K500"/>
      <c r="L500"/>
      <c r="M500"/>
      <c r="N500"/>
      <c r="O500"/>
      <c r="P500"/>
      <c r="Q500"/>
      <c r="R500"/>
      <c r="S500"/>
      <c r="T500"/>
      <c r="U500"/>
      <c r="V500"/>
    </row>
    <row r="501" spans="1:22" x14ac:dyDescent="0.3">
      <c r="A501"/>
      <c r="B501"/>
      <c r="C501"/>
      <c r="D501"/>
      <c r="E501"/>
      <c r="F501"/>
      <c r="G501"/>
      <c r="H501"/>
      <c r="I501"/>
      <c r="J501"/>
      <c r="K501"/>
      <c r="L501"/>
      <c r="M501"/>
      <c r="N501"/>
      <c r="O501"/>
      <c r="P501"/>
      <c r="Q501"/>
      <c r="R501"/>
      <c r="S501"/>
      <c r="T501"/>
      <c r="U501"/>
      <c r="V501"/>
    </row>
    <row r="502" spans="1:22" x14ac:dyDescent="0.3">
      <c r="A502"/>
      <c r="B502"/>
      <c r="C502"/>
      <c r="D502"/>
      <c r="E502"/>
      <c r="F502"/>
      <c r="G502"/>
      <c r="H502"/>
      <c r="I502"/>
      <c r="J502"/>
      <c r="K502"/>
      <c r="L502"/>
      <c r="M502"/>
      <c r="N502"/>
      <c r="O502"/>
      <c r="P502"/>
      <c r="Q502"/>
      <c r="R502"/>
      <c r="S502"/>
      <c r="T502"/>
      <c r="U502"/>
      <c r="V502"/>
    </row>
    <row r="503" spans="1:22" x14ac:dyDescent="0.3">
      <c r="A503"/>
      <c r="B503"/>
      <c r="C503"/>
      <c r="D503"/>
      <c r="E503"/>
      <c r="F503"/>
      <c r="G503"/>
      <c r="H503"/>
      <c r="I503"/>
      <c r="J503"/>
      <c r="K503"/>
      <c r="L503"/>
      <c r="M503"/>
      <c r="N503"/>
      <c r="O503"/>
      <c r="P503"/>
      <c r="Q503"/>
      <c r="R503"/>
      <c r="S503"/>
      <c r="T503"/>
      <c r="U503"/>
      <c r="V503"/>
    </row>
    <row r="504" spans="1:22" x14ac:dyDescent="0.3">
      <c r="A504"/>
      <c r="B504"/>
      <c r="C504"/>
      <c r="D504"/>
      <c r="E504"/>
      <c r="F504"/>
      <c r="G504"/>
      <c r="H504"/>
      <c r="I504"/>
      <c r="J504"/>
      <c r="K504"/>
      <c r="L504"/>
      <c r="M504"/>
      <c r="N504"/>
      <c r="O504"/>
      <c r="P504"/>
      <c r="Q504"/>
      <c r="R504"/>
      <c r="S504"/>
      <c r="T504"/>
      <c r="U504"/>
      <c r="V504"/>
    </row>
    <row r="505" spans="1:22" x14ac:dyDescent="0.3">
      <c r="A505"/>
      <c r="B505"/>
      <c r="C505"/>
      <c r="D505"/>
      <c r="E505"/>
      <c r="F505"/>
      <c r="G505"/>
      <c r="H505"/>
      <c r="I505"/>
      <c r="J505"/>
      <c r="K505"/>
      <c r="L505"/>
      <c r="M505"/>
      <c r="N505"/>
      <c r="O505"/>
      <c r="P505"/>
      <c r="Q505"/>
      <c r="R505"/>
      <c r="S505"/>
      <c r="T505"/>
      <c r="U505"/>
      <c r="V505"/>
    </row>
    <row r="506" spans="1:22" x14ac:dyDescent="0.3">
      <c r="A506"/>
      <c r="B506"/>
      <c r="C506"/>
      <c r="D506"/>
      <c r="E506"/>
      <c r="F506"/>
      <c r="G506"/>
      <c r="H506"/>
      <c r="I506"/>
      <c r="J506"/>
      <c r="K506"/>
      <c r="L506"/>
      <c r="M506"/>
      <c r="N506"/>
      <c r="O506"/>
      <c r="P506"/>
      <c r="Q506"/>
      <c r="R506"/>
      <c r="S506"/>
      <c r="T506"/>
      <c r="U506"/>
      <c r="V506"/>
    </row>
    <row r="507" spans="1:22" x14ac:dyDescent="0.3">
      <c r="A507"/>
      <c r="B507"/>
      <c r="C507"/>
      <c r="D507"/>
      <c r="E507"/>
      <c r="F507"/>
      <c r="G507"/>
      <c r="H507"/>
      <c r="I507"/>
      <c r="J507"/>
      <c r="K507"/>
      <c r="L507"/>
      <c r="M507"/>
      <c r="N507"/>
      <c r="O507"/>
      <c r="P507"/>
      <c r="Q507"/>
      <c r="R507"/>
      <c r="S507"/>
      <c r="T507"/>
      <c r="U507"/>
      <c r="V507"/>
    </row>
    <row r="508" spans="1:22" x14ac:dyDescent="0.3">
      <c r="A508"/>
      <c r="B508"/>
      <c r="C508"/>
      <c r="D508"/>
      <c r="E508"/>
      <c r="F508"/>
      <c r="G508"/>
      <c r="H508"/>
      <c r="I508"/>
      <c r="J508"/>
      <c r="K508"/>
      <c r="L508"/>
      <c r="M508"/>
      <c r="N508"/>
      <c r="O508"/>
      <c r="P508"/>
      <c r="Q508"/>
      <c r="R508"/>
      <c r="S508"/>
      <c r="T508"/>
      <c r="U508"/>
      <c r="V508"/>
    </row>
    <row r="509" spans="1:22" x14ac:dyDescent="0.3">
      <c r="A509"/>
      <c r="B509"/>
      <c r="C509"/>
      <c r="D509"/>
      <c r="E509"/>
      <c r="F509"/>
      <c r="G509"/>
      <c r="H509"/>
      <c r="I509"/>
      <c r="J509"/>
      <c r="K509"/>
      <c r="L509"/>
      <c r="M509"/>
      <c r="N509"/>
      <c r="O509"/>
      <c r="P509"/>
      <c r="Q509"/>
      <c r="R509"/>
      <c r="S509"/>
      <c r="T509"/>
      <c r="U509"/>
      <c r="V509"/>
    </row>
    <row r="510" spans="1:22" x14ac:dyDescent="0.3">
      <c r="A510"/>
      <c r="B510"/>
      <c r="C510"/>
      <c r="D510"/>
      <c r="E510"/>
      <c r="F510"/>
      <c r="G510"/>
      <c r="H510"/>
      <c r="I510"/>
      <c r="J510"/>
      <c r="K510"/>
      <c r="L510"/>
      <c r="M510"/>
      <c r="N510"/>
      <c r="O510"/>
      <c r="P510"/>
      <c r="Q510"/>
      <c r="R510"/>
      <c r="S510"/>
      <c r="T510"/>
      <c r="U510"/>
      <c r="V510"/>
    </row>
    <row r="511" spans="1:22" x14ac:dyDescent="0.3">
      <c r="A511"/>
      <c r="B511"/>
      <c r="C511"/>
      <c r="D511"/>
      <c r="E511"/>
      <c r="F511"/>
      <c r="G511"/>
      <c r="H511"/>
      <c r="I511"/>
      <c r="J511"/>
      <c r="K511"/>
      <c r="L511"/>
      <c r="M511"/>
      <c r="N511"/>
      <c r="O511"/>
      <c r="P511"/>
      <c r="Q511"/>
      <c r="R511"/>
      <c r="S511"/>
      <c r="T511"/>
      <c r="U511"/>
      <c r="V511"/>
    </row>
    <row r="512" spans="1:22" x14ac:dyDescent="0.3">
      <c r="A512"/>
      <c r="B512"/>
      <c r="C512"/>
      <c r="D512"/>
      <c r="E512"/>
      <c r="F512"/>
      <c r="G512"/>
      <c r="H512"/>
      <c r="I512"/>
      <c r="J512"/>
      <c r="K512"/>
      <c r="L512"/>
      <c r="M512"/>
      <c r="N512"/>
      <c r="O512"/>
      <c r="P512"/>
      <c r="Q512"/>
      <c r="R512"/>
      <c r="S512"/>
      <c r="T512"/>
      <c r="U512"/>
      <c r="V512"/>
    </row>
    <row r="513" spans="1:22" x14ac:dyDescent="0.3">
      <c r="A513"/>
      <c r="B513"/>
      <c r="C513"/>
      <c r="D513"/>
      <c r="E513"/>
      <c r="F513"/>
      <c r="G513"/>
      <c r="H513"/>
      <c r="I513"/>
      <c r="J513"/>
      <c r="K513"/>
      <c r="L513"/>
      <c r="M513"/>
      <c r="N513"/>
      <c r="O513"/>
      <c r="P513"/>
      <c r="Q513"/>
      <c r="R513"/>
      <c r="S513"/>
      <c r="T513"/>
      <c r="U513"/>
      <c r="V513"/>
    </row>
    <row r="514" spans="1:22" x14ac:dyDescent="0.3">
      <c r="A514"/>
      <c r="B514"/>
      <c r="C514"/>
      <c r="D514"/>
      <c r="E514"/>
      <c r="F514"/>
      <c r="G514"/>
      <c r="H514"/>
      <c r="I514"/>
      <c r="J514"/>
      <c r="K514"/>
      <c r="L514"/>
      <c r="M514"/>
      <c r="N514"/>
      <c r="O514"/>
      <c r="P514"/>
      <c r="Q514"/>
      <c r="R514"/>
      <c r="S514"/>
      <c r="T514"/>
      <c r="U514"/>
      <c r="V514"/>
    </row>
    <row r="515" spans="1:22" x14ac:dyDescent="0.3">
      <c r="A515"/>
      <c r="B515"/>
      <c r="C515"/>
      <c r="D515"/>
      <c r="E515"/>
      <c r="F515"/>
      <c r="G515"/>
      <c r="H515"/>
      <c r="I515"/>
      <c r="J515"/>
      <c r="K515"/>
      <c r="L515"/>
      <c r="M515"/>
      <c r="N515"/>
      <c r="O515"/>
      <c r="P515"/>
      <c r="Q515"/>
      <c r="R515"/>
      <c r="S515"/>
      <c r="T515"/>
      <c r="U515"/>
      <c r="V515"/>
    </row>
    <row r="516" spans="1:22" x14ac:dyDescent="0.3">
      <c r="A516"/>
      <c r="B516"/>
      <c r="C516"/>
      <c r="D516"/>
      <c r="E516"/>
      <c r="F516"/>
      <c r="G516"/>
      <c r="H516"/>
      <c r="I516"/>
      <c r="J516"/>
      <c r="K516"/>
      <c r="L516"/>
      <c r="M516"/>
      <c r="N516"/>
      <c r="O516"/>
      <c r="P516"/>
      <c r="Q516"/>
      <c r="R516"/>
      <c r="S516"/>
      <c r="T516"/>
      <c r="U516"/>
      <c r="V516"/>
    </row>
    <row r="517" spans="1:22" x14ac:dyDescent="0.3">
      <c r="A517"/>
      <c r="B517"/>
      <c r="C517"/>
      <c r="D517"/>
      <c r="E517"/>
      <c r="F517"/>
      <c r="G517"/>
      <c r="H517"/>
      <c r="I517"/>
      <c r="J517"/>
      <c r="K517"/>
      <c r="L517"/>
      <c r="M517"/>
      <c r="N517"/>
      <c r="O517"/>
      <c r="P517"/>
      <c r="Q517"/>
      <c r="R517"/>
      <c r="S517"/>
      <c r="T517"/>
      <c r="U517"/>
      <c r="V517"/>
    </row>
    <row r="518" spans="1:22" x14ac:dyDescent="0.3">
      <c r="A518"/>
      <c r="B518"/>
      <c r="C518"/>
      <c r="D518"/>
      <c r="E518"/>
      <c r="F518"/>
      <c r="G518"/>
      <c r="H518"/>
      <c r="I518"/>
      <c r="J518"/>
      <c r="K518"/>
      <c r="L518"/>
      <c r="M518"/>
      <c r="N518"/>
      <c r="O518"/>
      <c r="P518"/>
      <c r="Q518"/>
      <c r="R518"/>
      <c r="S518"/>
      <c r="T518"/>
      <c r="U518"/>
      <c r="V518"/>
    </row>
    <row r="519" spans="1:22" x14ac:dyDescent="0.3">
      <c r="A519"/>
      <c r="B519"/>
      <c r="C519"/>
      <c r="D519"/>
      <c r="E519"/>
      <c r="F519"/>
      <c r="G519"/>
      <c r="H519"/>
      <c r="I519"/>
      <c r="J519"/>
      <c r="K519"/>
      <c r="L519"/>
      <c r="M519"/>
      <c r="N519"/>
      <c r="O519"/>
      <c r="P519"/>
      <c r="Q519"/>
      <c r="R519"/>
      <c r="S519"/>
      <c r="T519"/>
      <c r="U519"/>
      <c r="V519"/>
    </row>
    <row r="520" spans="1:22" x14ac:dyDescent="0.3">
      <c r="A520"/>
      <c r="B520"/>
      <c r="C520"/>
      <c r="D520"/>
      <c r="E520"/>
      <c r="F520"/>
      <c r="G520"/>
      <c r="H520"/>
      <c r="I520"/>
      <c r="J520"/>
      <c r="K520"/>
      <c r="L520"/>
      <c r="M520"/>
      <c r="N520"/>
      <c r="O520"/>
      <c r="P520"/>
      <c r="Q520"/>
      <c r="R520"/>
      <c r="S520"/>
      <c r="T520"/>
      <c r="U520"/>
      <c r="V520"/>
    </row>
    <row r="521" spans="1:22" x14ac:dyDescent="0.3">
      <c r="A521"/>
      <c r="B521"/>
      <c r="C521"/>
      <c r="D521"/>
      <c r="E521"/>
      <c r="F521"/>
      <c r="G521"/>
      <c r="H521"/>
      <c r="I521"/>
      <c r="J521"/>
      <c r="K521"/>
      <c r="L521"/>
      <c r="M521"/>
      <c r="N521"/>
      <c r="O521"/>
      <c r="P521"/>
      <c r="Q521"/>
      <c r="R521"/>
      <c r="S521"/>
      <c r="T521"/>
      <c r="U521"/>
      <c r="V521"/>
    </row>
    <row r="522" spans="1:22" x14ac:dyDescent="0.3">
      <c r="A522"/>
      <c r="B522"/>
      <c r="C522"/>
      <c r="D522"/>
      <c r="E522"/>
      <c r="F522"/>
      <c r="G522"/>
      <c r="H522"/>
      <c r="I522"/>
      <c r="J522"/>
      <c r="K522"/>
      <c r="L522"/>
      <c r="M522"/>
      <c r="N522"/>
      <c r="O522"/>
      <c r="P522"/>
      <c r="Q522"/>
      <c r="R522"/>
      <c r="S522"/>
      <c r="T522"/>
      <c r="U522"/>
      <c r="V522"/>
    </row>
    <row r="523" spans="1:22" x14ac:dyDescent="0.3">
      <c r="A523"/>
      <c r="B523"/>
      <c r="C523"/>
      <c r="D523"/>
      <c r="E523"/>
      <c r="F523"/>
      <c r="G523"/>
      <c r="H523"/>
      <c r="I523"/>
      <c r="J523"/>
      <c r="K523"/>
      <c r="L523"/>
      <c r="M523"/>
      <c r="N523"/>
      <c r="O523"/>
      <c r="P523"/>
      <c r="Q523"/>
      <c r="R523"/>
      <c r="S523"/>
      <c r="T523"/>
      <c r="U523"/>
      <c r="V523"/>
    </row>
    <row r="524" spans="1:22" x14ac:dyDescent="0.3">
      <c r="A524"/>
      <c r="B524"/>
      <c r="C524"/>
      <c r="D524"/>
      <c r="E524"/>
      <c r="F524"/>
      <c r="G524"/>
      <c r="H524"/>
      <c r="I524"/>
      <c r="J524"/>
      <c r="K524"/>
      <c r="L524"/>
      <c r="M524"/>
      <c r="N524"/>
      <c r="O524"/>
      <c r="P524"/>
      <c r="Q524"/>
      <c r="R524"/>
      <c r="S524"/>
      <c r="T524"/>
      <c r="U524"/>
      <c r="V524"/>
    </row>
    <row r="525" spans="1:22" x14ac:dyDescent="0.3">
      <c r="A525"/>
      <c r="B525"/>
      <c r="C525"/>
      <c r="D525"/>
      <c r="E525"/>
      <c r="F525"/>
      <c r="G525"/>
      <c r="H525"/>
      <c r="I525"/>
      <c r="J525"/>
      <c r="K525"/>
      <c r="L525"/>
      <c r="M525"/>
      <c r="N525"/>
      <c r="O525"/>
      <c r="P525"/>
      <c r="Q525"/>
      <c r="R525"/>
      <c r="S525"/>
      <c r="T525"/>
      <c r="U525"/>
      <c r="V525"/>
    </row>
    <row r="526" spans="1:22" x14ac:dyDescent="0.3">
      <c r="A526"/>
      <c r="B526"/>
      <c r="C526"/>
      <c r="D526"/>
      <c r="E526"/>
      <c r="F526"/>
      <c r="G526"/>
      <c r="H526"/>
      <c r="I526"/>
      <c r="J526"/>
      <c r="K526"/>
      <c r="L526"/>
      <c r="M526"/>
      <c r="N526"/>
      <c r="O526"/>
      <c r="P526"/>
      <c r="Q526"/>
      <c r="R526"/>
      <c r="S526"/>
      <c r="T526"/>
      <c r="U526"/>
      <c r="V526"/>
    </row>
    <row r="527" spans="1:22" x14ac:dyDescent="0.3">
      <c r="A527"/>
      <c r="B527"/>
      <c r="C527"/>
      <c r="D527"/>
      <c r="E527"/>
      <c r="F527"/>
      <c r="G527"/>
      <c r="H527"/>
      <c r="I527"/>
      <c r="J527"/>
      <c r="K527"/>
      <c r="L527"/>
      <c r="M527"/>
      <c r="N527"/>
      <c r="O527"/>
      <c r="P527"/>
      <c r="Q527"/>
      <c r="R527"/>
      <c r="S527"/>
      <c r="T527"/>
      <c r="U527"/>
      <c r="V527"/>
    </row>
    <row r="528" spans="1:22" x14ac:dyDescent="0.3">
      <c r="A528"/>
      <c r="B528"/>
      <c r="C528"/>
      <c r="D528"/>
      <c r="E528"/>
      <c r="F528"/>
      <c r="G528"/>
      <c r="H528"/>
      <c r="I528"/>
      <c r="J528"/>
      <c r="K528"/>
      <c r="L528"/>
      <c r="M528"/>
      <c r="N528"/>
      <c r="O528"/>
      <c r="P528"/>
      <c r="Q528"/>
      <c r="R528"/>
      <c r="S528"/>
      <c r="T528"/>
      <c r="U528"/>
      <c r="V528"/>
    </row>
    <row r="529" spans="1:22" x14ac:dyDescent="0.3">
      <c r="A529"/>
      <c r="B529"/>
      <c r="C529"/>
      <c r="D529"/>
      <c r="E529"/>
      <c r="F529"/>
      <c r="G529"/>
      <c r="H529"/>
      <c r="I529"/>
      <c r="J529"/>
      <c r="K529"/>
      <c r="L529"/>
      <c r="M529"/>
      <c r="N529"/>
      <c r="O529"/>
      <c r="P529"/>
      <c r="Q529"/>
      <c r="R529"/>
      <c r="S529"/>
      <c r="T529"/>
      <c r="U529"/>
      <c r="V529"/>
    </row>
    <row r="530" spans="1:22" x14ac:dyDescent="0.3">
      <c r="A530"/>
      <c r="B530"/>
      <c r="C530"/>
      <c r="D530"/>
      <c r="E530"/>
      <c r="F530"/>
      <c r="G530"/>
      <c r="H530"/>
      <c r="I530"/>
      <c r="J530"/>
      <c r="K530"/>
      <c r="L530"/>
      <c r="M530"/>
      <c r="N530"/>
      <c r="O530"/>
      <c r="P530"/>
      <c r="Q530"/>
      <c r="R530"/>
      <c r="S530"/>
      <c r="T530"/>
      <c r="U530"/>
      <c r="V530"/>
    </row>
    <row r="531" spans="1:22" x14ac:dyDescent="0.3">
      <c r="A531"/>
      <c r="B531"/>
      <c r="C531"/>
      <c r="D531"/>
      <c r="E531"/>
      <c r="F531"/>
      <c r="G531"/>
      <c r="H531"/>
      <c r="I531"/>
      <c r="J531"/>
      <c r="K531"/>
      <c r="L531"/>
      <c r="M531"/>
      <c r="N531"/>
      <c r="O531"/>
      <c r="P531"/>
      <c r="Q531"/>
      <c r="R531"/>
      <c r="S531"/>
      <c r="T531"/>
      <c r="U531"/>
      <c r="V531"/>
    </row>
    <row r="532" spans="1:22" x14ac:dyDescent="0.3">
      <c r="A532"/>
      <c r="B532"/>
      <c r="C532"/>
      <c r="D532"/>
      <c r="E532"/>
      <c r="F532"/>
      <c r="G532"/>
      <c r="H532"/>
      <c r="I532"/>
      <c r="J532"/>
      <c r="K532"/>
      <c r="L532"/>
      <c r="M532"/>
      <c r="N532"/>
      <c r="O532"/>
      <c r="P532"/>
      <c r="Q532"/>
      <c r="R532"/>
      <c r="S532"/>
      <c r="T532"/>
      <c r="U532"/>
      <c r="V532"/>
    </row>
    <row r="533" spans="1:22" x14ac:dyDescent="0.3">
      <c r="A533"/>
      <c r="B533"/>
      <c r="C533"/>
      <c r="D533"/>
      <c r="E533"/>
      <c r="F533"/>
      <c r="G533"/>
      <c r="H533"/>
      <c r="I533"/>
      <c r="J533"/>
      <c r="K533"/>
      <c r="L533"/>
      <c r="M533"/>
      <c r="N533"/>
      <c r="O533"/>
      <c r="P533"/>
      <c r="Q533"/>
      <c r="R533"/>
      <c r="S533"/>
      <c r="T533"/>
      <c r="U533"/>
      <c r="V533"/>
    </row>
    <row r="534" spans="1:22" x14ac:dyDescent="0.3">
      <c r="A534"/>
      <c r="B534"/>
      <c r="C534"/>
      <c r="D534"/>
      <c r="E534"/>
      <c r="F534"/>
      <c r="G534"/>
      <c r="H534"/>
      <c r="I534"/>
      <c r="J534"/>
      <c r="K534"/>
      <c r="L534"/>
      <c r="M534"/>
      <c r="N534"/>
      <c r="O534"/>
      <c r="P534"/>
      <c r="Q534"/>
      <c r="R534"/>
      <c r="S534"/>
      <c r="T534"/>
      <c r="U534"/>
      <c r="V534"/>
    </row>
    <row r="535" spans="1:22" x14ac:dyDescent="0.3">
      <c r="A535"/>
      <c r="B535"/>
      <c r="C535"/>
      <c r="D535"/>
      <c r="E535"/>
      <c r="F535"/>
      <c r="G535"/>
      <c r="H535"/>
      <c r="I535"/>
      <c r="J535"/>
      <c r="K535"/>
      <c r="L535"/>
      <c r="M535"/>
      <c r="N535"/>
      <c r="O535"/>
      <c r="P535"/>
      <c r="Q535"/>
      <c r="R535"/>
      <c r="S535"/>
      <c r="T535"/>
      <c r="U535"/>
      <c r="V535"/>
    </row>
    <row r="536" spans="1:22" x14ac:dyDescent="0.3">
      <c r="A536"/>
      <c r="B536"/>
      <c r="C536"/>
      <c r="D536"/>
      <c r="E536"/>
      <c r="F536"/>
      <c r="G536"/>
      <c r="H536"/>
      <c r="I536"/>
      <c r="J536"/>
      <c r="K536"/>
      <c r="L536"/>
      <c r="M536"/>
      <c r="N536"/>
      <c r="O536"/>
      <c r="P536"/>
      <c r="Q536"/>
      <c r="R536"/>
      <c r="S536"/>
      <c r="T536"/>
      <c r="U536"/>
      <c r="V536"/>
    </row>
    <row r="537" spans="1:22" x14ac:dyDescent="0.3">
      <c r="A537"/>
      <c r="B537"/>
      <c r="C537"/>
      <c r="D537"/>
      <c r="E537"/>
      <c r="F537"/>
      <c r="G537"/>
      <c r="H537"/>
      <c r="I537"/>
      <c r="J537"/>
      <c r="K537"/>
      <c r="L537"/>
      <c r="M537"/>
      <c r="N537"/>
      <c r="O537"/>
      <c r="P537"/>
      <c r="Q537"/>
      <c r="R537"/>
      <c r="S537"/>
      <c r="T537"/>
      <c r="U537"/>
      <c r="V537"/>
    </row>
    <row r="538" spans="1:22" x14ac:dyDescent="0.3">
      <c r="A538"/>
      <c r="B538"/>
      <c r="C538"/>
      <c r="D538"/>
      <c r="E538"/>
      <c r="F538"/>
      <c r="G538"/>
      <c r="H538"/>
      <c r="I538"/>
      <c r="J538"/>
      <c r="K538"/>
      <c r="L538"/>
      <c r="M538"/>
      <c r="N538"/>
      <c r="O538"/>
      <c r="P538"/>
      <c r="Q538"/>
      <c r="R538"/>
      <c r="S538"/>
      <c r="T538"/>
      <c r="U538"/>
      <c r="V538"/>
    </row>
    <row r="539" spans="1:22" x14ac:dyDescent="0.3">
      <c r="A539"/>
      <c r="B539"/>
      <c r="C539"/>
      <c r="D539"/>
      <c r="E539"/>
      <c r="F539"/>
      <c r="G539"/>
      <c r="H539"/>
      <c r="I539"/>
      <c r="J539"/>
      <c r="K539"/>
      <c r="L539"/>
      <c r="M539"/>
      <c r="N539"/>
      <c r="O539"/>
      <c r="P539"/>
      <c r="Q539"/>
      <c r="R539"/>
      <c r="S539"/>
      <c r="T539"/>
      <c r="U539"/>
      <c r="V539"/>
    </row>
    <row r="540" spans="1:22" x14ac:dyDescent="0.3">
      <c r="A540"/>
      <c r="B540"/>
      <c r="C540"/>
      <c r="D540"/>
      <c r="E540"/>
      <c r="F540"/>
      <c r="G540"/>
      <c r="H540"/>
      <c r="I540"/>
      <c r="J540"/>
      <c r="K540"/>
      <c r="L540"/>
      <c r="M540"/>
      <c r="N540"/>
      <c r="O540"/>
      <c r="P540"/>
      <c r="Q540"/>
      <c r="R540"/>
      <c r="S540"/>
      <c r="T540"/>
      <c r="U540"/>
      <c r="V540"/>
    </row>
    <row r="541" spans="1:22" x14ac:dyDescent="0.3">
      <c r="A541"/>
      <c r="B541"/>
      <c r="C541"/>
      <c r="D541"/>
      <c r="E541"/>
      <c r="F541"/>
      <c r="G541"/>
      <c r="H541"/>
      <c r="I541"/>
      <c r="J541"/>
      <c r="K541"/>
      <c r="L541"/>
      <c r="M541"/>
      <c r="N541"/>
      <c r="O541"/>
      <c r="P541"/>
      <c r="Q541"/>
      <c r="R541"/>
      <c r="S541"/>
      <c r="T541"/>
      <c r="U541"/>
      <c r="V541"/>
    </row>
    <row r="542" spans="1:22" x14ac:dyDescent="0.3">
      <c r="A542"/>
      <c r="B542"/>
      <c r="C542"/>
      <c r="D542"/>
      <c r="E542"/>
      <c r="F542"/>
      <c r="G542"/>
      <c r="H542"/>
      <c r="I542"/>
      <c r="J542"/>
      <c r="K542"/>
      <c r="L542"/>
      <c r="M542"/>
      <c r="N542"/>
      <c r="O542"/>
      <c r="P542"/>
      <c r="Q542"/>
      <c r="R542"/>
      <c r="S542"/>
      <c r="T542"/>
      <c r="U542"/>
      <c r="V542"/>
    </row>
    <row r="543" spans="1:22" x14ac:dyDescent="0.3">
      <c r="A543"/>
      <c r="B543"/>
      <c r="C543"/>
      <c r="D543"/>
      <c r="E543"/>
      <c r="F543"/>
      <c r="G543"/>
      <c r="H543"/>
      <c r="I543"/>
      <c r="J543"/>
      <c r="K543"/>
      <c r="L543"/>
      <c r="M543"/>
      <c r="N543"/>
      <c r="O543"/>
      <c r="P543"/>
      <c r="Q543"/>
      <c r="R543"/>
      <c r="S543"/>
      <c r="T543"/>
      <c r="U543"/>
      <c r="V543"/>
    </row>
    <row r="544" spans="1:22" x14ac:dyDescent="0.3">
      <c r="A544"/>
      <c r="B544"/>
      <c r="C544"/>
      <c r="D544"/>
      <c r="E544"/>
      <c r="F544"/>
      <c r="G544"/>
      <c r="H544"/>
      <c r="I544"/>
      <c r="J544"/>
      <c r="K544"/>
      <c r="L544"/>
      <c r="M544"/>
      <c r="N544"/>
      <c r="O544"/>
      <c r="P544"/>
      <c r="Q544"/>
      <c r="R544"/>
      <c r="S544"/>
      <c r="T544"/>
      <c r="U544"/>
      <c r="V544"/>
    </row>
    <row r="545" spans="1:22" x14ac:dyDescent="0.3">
      <c r="A545"/>
      <c r="B545"/>
      <c r="C545"/>
      <c r="D545"/>
      <c r="E545"/>
      <c r="F545"/>
      <c r="G545"/>
      <c r="H545"/>
      <c r="I545"/>
      <c r="J545"/>
      <c r="K545"/>
      <c r="L545"/>
      <c r="M545"/>
      <c r="N545"/>
      <c r="O545"/>
      <c r="P545"/>
      <c r="Q545"/>
      <c r="R545"/>
      <c r="S545"/>
      <c r="T545"/>
      <c r="U545"/>
      <c r="V545"/>
    </row>
    <row r="546" spans="1:22" x14ac:dyDescent="0.3">
      <c r="A546"/>
      <c r="B546"/>
      <c r="C546"/>
      <c r="D546"/>
      <c r="E546"/>
      <c r="F546"/>
      <c r="G546"/>
      <c r="H546"/>
      <c r="I546"/>
      <c r="J546"/>
      <c r="K546"/>
      <c r="L546"/>
      <c r="M546"/>
      <c r="N546"/>
      <c r="O546"/>
      <c r="P546"/>
      <c r="Q546"/>
      <c r="R546"/>
      <c r="S546"/>
      <c r="T546"/>
      <c r="U546"/>
      <c r="V546"/>
    </row>
    <row r="547" spans="1:22" x14ac:dyDescent="0.3">
      <c r="A547"/>
      <c r="B547"/>
      <c r="C547"/>
      <c r="D547"/>
      <c r="E547"/>
      <c r="F547"/>
      <c r="G547"/>
      <c r="H547"/>
      <c r="I547"/>
      <c r="J547"/>
      <c r="K547"/>
      <c r="L547"/>
      <c r="M547"/>
      <c r="N547"/>
      <c r="O547"/>
      <c r="P547"/>
      <c r="Q547"/>
      <c r="R547"/>
      <c r="S547"/>
      <c r="T547"/>
      <c r="U547"/>
      <c r="V547"/>
    </row>
    <row r="548" spans="1:22" x14ac:dyDescent="0.3">
      <c r="A548"/>
      <c r="B548"/>
      <c r="C548"/>
      <c r="D548"/>
      <c r="E548"/>
      <c r="F548"/>
      <c r="G548"/>
      <c r="H548"/>
      <c r="I548"/>
      <c r="J548"/>
      <c r="K548"/>
      <c r="L548"/>
      <c r="M548"/>
      <c r="N548"/>
      <c r="O548"/>
      <c r="P548"/>
      <c r="Q548"/>
      <c r="R548"/>
      <c r="S548"/>
      <c r="T548"/>
      <c r="U548"/>
      <c r="V548"/>
    </row>
    <row r="549" spans="1:22" x14ac:dyDescent="0.3">
      <c r="A549"/>
      <c r="B549"/>
      <c r="C549"/>
      <c r="D549"/>
      <c r="E549"/>
      <c r="F549"/>
      <c r="G549"/>
      <c r="H549"/>
      <c r="I549"/>
      <c r="J549"/>
      <c r="K549"/>
      <c r="L549"/>
      <c r="M549"/>
      <c r="N549"/>
      <c r="O549"/>
      <c r="P549"/>
      <c r="Q549"/>
      <c r="R549"/>
      <c r="S549"/>
      <c r="T549"/>
      <c r="U549"/>
      <c r="V549"/>
    </row>
    <row r="550" spans="1:22" x14ac:dyDescent="0.3">
      <c r="A550"/>
      <c r="B550"/>
      <c r="C550"/>
      <c r="D550"/>
      <c r="E550"/>
      <c r="F550"/>
      <c r="G550"/>
      <c r="H550"/>
      <c r="I550"/>
      <c r="J550"/>
      <c r="K550"/>
      <c r="L550"/>
      <c r="M550"/>
      <c r="N550"/>
      <c r="O550"/>
      <c r="P550"/>
      <c r="Q550"/>
      <c r="R550"/>
      <c r="S550"/>
      <c r="T550"/>
      <c r="U550"/>
      <c r="V550"/>
    </row>
    <row r="551" spans="1:22" x14ac:dyDescent="0.3">
      <c r="A551"/>
      <c r="B551"/>
      <c r="C551"/>
      <c r="D551"/>
      <c r="E551"/>
      <c r="F551"/>
      <c r="G551"/>
      <c r="H551"/>
      <c r="I551"/>
      <c r="J551"/>
      <c r="K551"/>
      <c r="L551"/>
      <c r="M551"/>
      <c r="N551"/>
      <c r="O551"/>
      <c r="P551"/>
      <c r="Q551"/>
      <c r="R551"/>
      <c r="S551"/>
      <c r="T551"/>
      <c r="U551"/>
      <c r="V551"/>
    </row>
    <row r="552" spans="1:22" x14ac:dyDescent="0.3">
      <c r="A552"/>
      <c r="B552"/>
      <c r="C552"/>
      <c r="D552"/>
      <c r="E552"/>
      <c r="F552"/>
      <c r="G552"/>
      <c r="H552"/>
      <c r="I552"/>
      <c r="J552"/>
      <c r="K552"/>
      <c r="L552"/>
      <c r="M552"/>
      <c r="N552"/>
      <c r="O552"/>
      <c r="P552"/>
      <c r="Q552"/>
      <c r="R552"/>
      <c r="S552"/>
      <c r="T552"/>
      <c r="U552"/>
      <c r="V552"/>
    </row>
    <row r="553" spans="1:22" x14ac:dyDescent="0.3">
      <c r="A553"/>
      <c r="B553"/>
      <c r="C553"/>
      <c r="D553"/>
      <c r="E553"/>
      <c r="F553"/>
      <c r="G553"/>
      <c r="H553"/>
      <c r="I553"/>
      <c r="J553"/>
      <c r="K553"/>
      <c r="L553"/>
      <c r="M553"/>
      <c r="N553"/>
      <c r="O553"/>
      <c r="P553"/>
      <c r="Q553"/>
      <c r="R553"/>
      <c r="S553"/>
      <c r="T553"/>
      <c r="U553"/>
      <c r="V553"/>
    </row>
    <row r="554" spans="1:22" x14ac:dyDescent="0.3">
      <c r="A554"/>
      <c r="B554"/>
      <c r="C554"/>
      <c r="D554"/>
      <c r="E554"/>
      <c r="F554"/>
      <c r="G554"/>
      <c r="H554"/>
      <c r="I554"/>
      <c r="J554"/>
      <c r="K554"/>
      <c r="L554"/>
      <c r="M554"/>
      <c r="N554"/>
      <c r="O554"/>
      <c r="P554"/>
      <c r="Q554"/>
      <c r="R554"/>
      <c r="S554"/>
      <c r="T554"/>
      <c r="U554"/>
      <c r="V554"/>
    </row>
    <row r="555" spans="1:22" x14ac:dyDescent="0.3">
      <c r="A555"/>
      <c r="B555"/>
      <c r="C555"/>
      <c r="D555"/>
      <c r="E555"/>
      <c r="F555"/>
      <c r="G555"/>
      <c r="H555"/>
      <c r="I555"/>
      <c r="J555"/>
      <c r="K555"/>
      <c r="L555"/>
      <c r="M555"/>
      <c r="N555"/>
      <c r="O555"/>
      <c r="P555"/>
      <c r="Q555"/>
      <c r="R555"/>
      <c r="S555"/>
      <c r="T555"/>
      <c r="U555"/>
      <c r="V555"/>
    </row>
    <row r="556" spans="1:22" x14ac:dyDescent="0.3">
      <c r="A556"/>
      <c r="B556"/>
      <c r="C556"/>
      <c r="D556"/>
      <c r="E556"/>
      <c r="F556"/>
      <c r="G556"/>
      <c r="H556"/>
      <c r="I556"/>
      <c r="J556"/>
      <c r="K556"/>
      <c r="L556"/>
      <c r="M556"/>
      <c r="N556"/>
      <c r="O556"/>
      <c r="P556"/>
      <c r="Q556"/>
      <c r="R556"/>
      <c r="S556"/>
      <c r="T556"/>
      <c r="U556"/>
      <c r="V556"/>
    </row>
    <row r="557" spans="1:22" x14ac:dyDescent="0.3">
      <c r="A557"/>
      <c r="B557"/>
      <c r="C557"/>
      <c r="D557"/>
      <c r="E557"/>
      <c r="F557"/>
      <c r="G557"/>
      <c r="H557"/>
      <c r="I557"/>
      <c r="J557"/>
      <c r="K557"/>
      <c r="L557"/>
      <c r="M557"/>
      <c r="N557"/>
      <c r="O557"/>
      <c r="P557"/>
      <c r="Q557"/>
      <c r="R557"/>
      <c r="S557"/>
      <c r="T557"/>
      <c r="U557"/>
      <c r="V557"/>
    </row>
    <row r="558" spans="1:22" x14ac:dyDescent="0.3">
      <c r="A558"/>
      <c r="B558"/>
      <c r="C558"/>
      <c r="D558"/>
      <c r="E558"/>
      <c r="F558"/>
      <c r="G558"/>
      <c r="H558"/>
      <c r="I558"/>
      <c r="J558"/>
      <c r="K558"/>
      <c r="L558"/>
      <c r="M558"/>
      <c r="N558"/>
      <c r="O558"/>
      <c r="P558"/>
      <c r="Q558"/>
      <c r="R558"/>
      <c r="S558"/>
      <c r="T558"/>
      <c r="U558"/>
      <c r="V558"/>
    </row>
    <row r="559" spans="1:22" x14ac:dyDescent="0.3">
      <c r="A559"/>
      <c r="B559"/>
      <c r="C559"/>
      <c r="D559"/>
      <c r="E559"/>
      <c r="F559"/>
      <c r="G559"/>
      <c r="H559"/>
      <c r="I559"/>
      <c r="J559"/>
      <c r="K559"/>
      <c r="L559"/>
      <c r="M559"/>
      <c r="N559"/>
      <c r="O559"/>
      <c r="P559"/>
      <c r="Q559"/>
      <c r="R559"/>
      <c r="S559"/>
      <c r="T559"/>
      <c r="U559"/>
      <c r="V559"/>
    </row>
    <row r="560" spans="1:22" x14ac:dyDescent="0.3">
      <c r="A560"/>
      <c r="B560"/>
      <c r="C560"/>
      <c r="D560"/>
      <c r="E560"/>
      <c r="F560"/>
      <c r="G560"/>
      <c r="H560"/>
      <c r="I560"/>
      <c r="J560"/>
      <c r="K560"/>
      <c r="L560"/>
      <c r="M560"/>
      <c r="N560"/>
      <c r="O560"/>
      <c r="P560"/>
      <c r="Q560"/>
      <c r="R560"/>
      <c r="S560"/>
      <c r="T560"/>
      <c r="U560"/>
      <c r="V560"/>
    </row>
    <row r="561" spans="1:22" x14ac:dyDescent="0.3">
      <c r="A561"/>
      <c r="B561"/>
      <c r="C561"/>
      <c r="D561"/>
      <c r="E561"/>
      <c r="F561"/>
      <c r="G561"/>
      <c r="H561"/>
      <c r="I561"/>
      <c r="J561"/>
      <c r="K561"/>
      <c r="L561"/>
      <c r="M561"/>
      <c r="N561"/>
      <c r="O561"/>
      <c r="P561"/>
      <c r="Q561"/>
      <c r="R561"/>
      <c r="S561"/>
      <c r="T561"/>
      <c r="U561"/>
      <c r="V561"/>
    </row>
    <row r="562" spans="1:22" x14ac:dyDescent="0.3">
      <c r="A562"/>
      <c r="B562"/>
      <c r="C562"/>
      <c r="D562"/>
      <c r="E562"/>
      <c r="F562"/>
      <c r="G562"/>
      <c r="H562"/>
      <c r="I562"/>
      <c r="J562"/>
      <c r="K562"/>
      <c r="L562"/>
      <c r="M562"/>
      <c r="N562"/>
      <c r="O562"/>
      <c r="P562"/>
      <c r="Q562"/>
      <c r="R562"/>
      <c r="S562"/>
      <c r="T562"/>
      <c r="U562"/>
      <c r="V562"/>
    </row>
    <row r="563" spans="1:22" x14ac:dyDescent="0.3">
      <c r="A563"/>
      <c r="B563"/>
      <c r="C563"/>
      <c r="D563"/>
      <c r="E563"/>
      <c r="F563"/>
      <c r="G563"/>
      <c r="H563"/>
      <c r="I563"/>
      <c r="J563"/>
      <c r="K563"/>
      <c r="L563"/>
      <c r="M563"/>
      <c r="N563"/>
      <c r="O563"/>
      <c r="P563"/>
      <c r="Q563"/>
      <c r="R563"/>
      <c r="S563"/>
      <c r="T563"/>
      <c r="U563"/>
      <c r="V563"/>
    </row>
    <row r="564" spans="1:22" x14ac:dyDescent="0.3">
      <c r="A564"/>
      <c r="B564"/>
      <c r="C564"/>
      <c r="D564"/>
      <c r="E564"/>
      <c r="F564"/>
      <c r="G564"/>
      <c r="H564"/>
      <c r="I564"/>
      <c r="J564"/>
      <c r="K564"/>
      <c r="L564"/>
      <c r="M564"/>
      <c r="N564"/>
      <c r="O564"/>
      <c r="P564"/>
      <c r="Q564"/>
      <c r="R564"/>
      <c r="S564"/>
      <c r="T564"/>
      <c r="U564"/>
      <c r="V564"/>
    </row>
    <row r="565" spans="1:22" x14ac:dyDescent="0.3">
      <c r="A565"/>
      <c r="B565"/>
      <c r="C565"/>
      <c r="D565"/>
      <c r="E565"/>
      <c r="F565"/>
      <c r="G565"/>
      <c r="H565"/>
      <c r="I565"/>
      <c r="J565"/>
      <c r="K565"/>
      <c r="L565"/>
      <c r="M565"/>
      <c r="N565"/>
      <c r="O565"/>
      <c r="P565"/>
      <c r="Q565"/>
      <c r="R565"/>
      <c r="S565"/>
      <c r="T565"/>
      <c r="U565"/>
      <c r="V565"/>
    </row>
    <row r="566" spans="1:22" x14ac:dyDescent="0.3">
      <c r="A566"/>
      <c r="B566"/>
      <c r="C566"/>
      <c r="D566"/>
      <c r="E566"/>
      <c r="F566"/>
      <c r="G566"/>
      <c r="H566"/>
      <c r="I566"/>
      <c r="J566"/>
      <c r="K566"/>
      <c r="L566"/>
      <c r="M566"/>
      <c r="N566"/>
      <c r="O566"/>
      <c r="P566"/>
      <c r="Q566"/>
      <c r="R566"/>
      <c r="S566"/>
      <c r="T566"/>
      <c r="U566"/>
      <c r="V566"/>
    </row>
    <row r="567" spans="1:22" x14ac:dyDescent="0.3">
      <c r="A567"/>
      <c r="B567"/>
      <c r="C567"/>
      <c r="D567"/>
      <c r="E567"/>
      <c r="F567"/>
      <c r="G567"/>
      <c r="H567"/>
      <c r="I567"/>
      <c r="J567"/>
      <c r="K567"/>
      <c r="L567"/>
      <c r="M567"/>
      <c r="N567"/>
      <c r="O567"/>
      <c r="P567"/>
      <c r="Q567"/>
      <c r="R567"/>
      <c r="S567"/>
      <c r="T567"/>
      <c r="U567"/>
      <c r="V567"/>
    </row>
    <row r="568" spans="1:22" x14ac:dyDescent="0.3">
      <c r="A568"/>
      <c r="B568"/>
      <c r="C568"/>
      <c r="D568"/>
      <c r="E568"/>
      <c r="F568"/>
      <c r="G568"/>
      <c r="H568"/>
      <c r="I568"/>
      <c r="J568"/>
      <c r="K568"/>
      <c r="L568"/>
      <c r="M568"/>
      <c r="N568"/>
      <c r="O568"/>
      <c r="P568"/>
      <c r="Q568"/>
      <c r="R568"/>
      <c r="S568"/>
      <c r="T568"/>
      <c r="U568"/>
      <c r="V568"/>
    </row>
    <row r="569" spans="1:22" x14ac:dyDescent="0.3">
      <c r="A569"/>
      <c r="B569"/>
      <c r="C569"/>
      <c r="D569"/>
      <c r="E569"/>
      <c r="F569"/>
      <c r="G569"/>
      <c r="H569"/>
      <c r="I569"/>
      <c r="J569"/>
      <c r="K569"/>
      <c r="L569"/>
      <c r="M569"/>
      <c r="N569"/>
      <c r="O569"/>
      <c r="P569"/>
      <c r="Q569"/>
      <c r="R569"/>
      <c r="S569"/>
      <c r="T569"/>
      <c r="U569"/>
      <c r="V569"/>
    </row>
    <row r="570" spans="1:22" x14ac:dyDescent="0.3">
      <c r="A570"/>
      <c r="B570"/>
      <c r="C570"/>
      <c r="D570"/>
      <c r="E570"/>
      <c r="F570"/>
      <c r="G570"/>
      <c r="H570"/>
      <c r="I570"/>
      <c r="J570"/>
      <c r="K570"/>
      <c r="L570"/>
      <c r="M570"/>
      <c r="N570"/>
      <c r="O570"/>
      <c r="P570"/>
      <c r="Q570"/>
      <c r="R570"/>
      <c r="S570"/>
      <c r="T570"/>
      <c r="U570"/>
      <c r="V570"/>
    </row>
    <row r="571" spans="1:22" x14ac:dyDescent="0.3">
      <c r="A571"/>
      <c r="B571"/>
      <c r="C571"/>
      <c r="D571"/>
      <c r="E571"/>
      <c r="F571"/>
      <c r="G571"/>
      <c r="H571"/>
      <c r="I571"/>
      <c r="J571"/>
      <c r="K571"/>
      <c r="L571"/>
      <c r="M571"/>
      <c r="N571"/>
      <c r="O571"/>
      <c r="P571"/>
      <c r="Q571"/>
      <c r="R571"/>
      <c r="S571"/>
      <c r="T571"/>
      <c r="U571"/>
      <c r="V571"/>
    </row>
    <row r="572" spans="1:22" x14ac:dyDescent="0.3">
      <c r="A572"/>
      <c r="B572"/>
      <c r="C572"/>
      <c r="D572"/>
      <c r="E572"/>
      <c r="F572"/>
      <c r="G572"/>
      <c r="H572"/>
      <c r="I572"/>
      <c r="J572"/>
      <c r="K572"/>
      <c r="L572"/>
      <c r="M572"/>
      <c r="N572"/>
      <c r="O572"/>
      <c r="P572"/>
      <c r="Q572"/>
      <c r="R572"/>
      <c r="S572"/>
      <c r="T572"/>
      <c r="U572"/>
      <c r="V572"/>
    </row>
    <row r="573" spans="1:22" x14ac:dyDescent="0.3">
      <c r="A573"/>
      <c r="B573"/>
      <c r="C573"/>
      <c r="D573"/>
      <c r="E573"/>
      <c r="F573"/>
      <c r="G573"/>
      <c r="H573"/>
      <c r="I573"/>
      <c r="J573"/>
      <c r="K573"/>
      <c r="L573"/>
      <c r="M573"/>
      <c r="N573"/>
      <c r="O573"/>
      <c r="P573"/>
      <c r="Q573"/>
      <c r="R573"/>
      <c r="S573"/>
      <c r="T573"/>
      <c r="U573"/>
      <c r="V573"/>
    </row>
    <row r="574" spans="1:22" x14ac:dyDescent="0.3">
      <c r="A574"/>
      <c r="B574"/>
      <c r="C574"/>
      <c r="D574"/>
      <c r="E574"/>
      <c r="F574"/>
      <c r="G574"/>
      <c r="H574"/>
      <c r="I574"/>
      <c r="J574"/>
      <c r="K574"/>
      <c r="L574"/>
      <c r="M574"/>
      <c r="N574"/>
      <c r="O574"/>
      <c r="P574"/>
      <c r="Q574"/>
      <c r="R574"/>
      <c r="S574"/>
      <c r="T574"/>
      <c r="U574"/>
      <c r="V574"/>
    </row>
    <row r="575" spans="1:22" x14ac:dyDescent="0.3">
      <c r="A575"/>
      <c r="B575"/>
      <c r="C575"/>
      <c r="D575"/>
      <c r="E575"/>
      <c r="F575"/>
      <c r="G575"/>
      <c r="H575"/>
      <c r="I575"/>
      <c r="J575"/>
      <c r="K575"/>
      <c r="L575"/>
      <c r="M575"/>
      <c r="N575"/>
      <c r="O575"/>
      <c r="P575"/>
      <c r="Q575"/>
      <c r="R575"/>
      <c r="S575"/>
      <c r="T575"/>
      <c r="U575"/>
      <c r="V575"/>
    </row>
    <row r="576" spans="1:22" x14ac:dyDescent="0.3">
      <c r="A576"/>
      <c r="B576"/>
      <c r="C576"/>
      <c r="D576"/>
      <c r="E576"/>
      <c r="F576"/>
      <c r="G576"/>
      <c r="H576"/>
      <c r="I576"/>
      <c r="J576"/>
      <c r="K576"/>
      <c r="L576"/>
      <c r="M576"/>
      <c r="N576"/>
      <c r="O576"/>
      <c r="P576"/>
      <c r="Q576"/>
      <c r="R576"/>
      <c r="S576"/>
      <c r="T576"/>
      <c r="U576"/>
      <c r="V576"/>
    </row>
    <row r="577" spans="1:22" x14ac:dyDescent="0.3">
      <c r="A577"/>
      <c r="B577"/>
      <c r="C577"/>
      <c r="D577"/>
      <c r="E577"/>
      <c r="F577"/>
      <c r="G577"/>
      <c r="H577"/>
      <c r="I577"/>
      <c r="J577"/>
      <c r="K577"/>
      <c r="L577"/>
      <c r="M577"/>
      <c r="N577"/>
      <c r="O577"/>
      <c r="P577"/>
      <c r="Q577"/>
      <c r="R577"/>
      <c r="S577"/>
      <c r="T577"/>
      <c r="U577"/>
      <c r="V577"/>
    </row>
    <row r="578" spans="1:22" x14ac:dyDescent="0.3">
      <c r="A578"/>
      <c r="B578"/>
      <c r="C578"/>
      <c r="D578"/>
      <c r="E578"/>
      <c r="F578"/>
      <c r="G578"/>
      <c r="H578"/>
      <c r="I578"/>
      <c r="J578"/>
      <c r="K578"/>
      <c r="L578"/>
      <c r="M578"/>
      <c r="N578"/>
      <c r="O578"/>
      <c r="P578"/>
      <c r="Q578"/>
      <c r="R578"/>
      <c r="S578"/>
      <c r="T578"/>
      <c r="U578"/>
      <c r="V578"/>
    </row>
    <row r="579" spans="1:22" x14ac:dyDescent="0.3">
      <c r="A579"/>
      <c r="B579"/>
      <c r="C579"/>
      <c r="D579"/>
      <c r="E579"/>
      <c r="F579"/>
      <c r="G579"/>
      <c r="H579"/>
      <c r="I579"/>
      <c r="J579"/>
      <c r="K579"/>
      <c r="L579"/>
      <c r="M579"/>
      <c r="N579"/>
      <c r="O579"/>
      <c r="P579"/>
      <c r="Q579"/>
      <c r="R579"/>
      <c r="S579"/>
      <c r="T579"/>
      <c r="U579"/>
      <c r="V579"/>
    </row>
    <row r="580" spans="1:22" x14ac:dyDescent="0.3">
      <c r="A580"/>
      <c r="B580"/>
      <c r="C580"/>
      <c r="D580"/>
      <c r="E580"/>
      <c r="F580"/>
      <c r="G580"/>
      <c r="H580"/>
      <c r="I580"/>
      <c r="J580"/>
      <c r="K580"/>
      <c r="L580"/>
      <c r="M580"/>
      <c r="N580"/>
      <c r="O580"/>
      <c r="P580"/>
      <c r="Q580"/>
      <c r="R580"/>
      <c r="S580"/>
      <c r="T580"/>
      <c r="U580"/>
      <c r="V580"/>
    </row>
    <row r="581" spans="1:22" x14ac:dyDescent="0.3">
      <c r="A581"/>
      <c r="B581"/>
      <c r="C581"/>
      <c r="D581"/>
      <c r="E581"/>
      <c r="F581"/>
      <c r="G581"/>
      <c r="H581"/>
      <c r="I581"/>
      <c r="J581"/>
      <c r="K581"/>
      <c r="L581"/>
      <c r="M581"/>
      <c r="N581"/>
      <c r="O581"/>
      <c r="P581"/>
      <c r="Q581"/>
      <c r="R581"/>
      <c r="S581"/>
      <c r="T581"/>
      <c r="U581"/>
      <c r="V581"/>
    </row>
    <row r="582" spans="1:22" x14ac:dyDescent="0.3">
      <c r="A582"/>
      <c r="B582"/>
      <c r="C582"/>
      <c r="D582"/>
      <c r="E582"/>
      <c r="F582"/>
      <c r="G582"/>
      <c r="H582"/>
      <c r="I582"/>
      <c r="J582"/>
      <c r="K582"/>
      <c r="L582"/>
      <c r="M582"/>
      <c r="N582"/>
      <c r="O582"/>
      <c r="P582"/>
      <c r="Q582"/>
      <c r="R582"/>
      <c r="S582"/>
      <c r="T582"/>
      <c r="U582"/>
      <c r="V582"/>
    </row>
    <row r="583" spans="1:22" x14ac:dyDescent="0.3">
      <c r="A583"/>
      <c r="B583"/>
      <c r="C583"/>
      <c r="D583"/>
      <c r="E583"/>
      <c r="F583"/>
      <c r="G583"/>
      <c r="H583"/>
      <c r="I583"/>
      <c r="J583"/>
      <c r="K583"/>
      <c r="L583"/>
      <c r="M583"/>
      <c r="N583"/>
      <c r="O583"/>
      <c r="P583"/>
      <c r="Q583"/>
      <c r="R583"/>
      <c r="S583"/>
      <c r="T583"/>
      <c r="U583"/>
      <c r="V583"/>
    </row>
    <row r="584" spans="1:22" x14ac:dyDescent="0.3">
      <c r="A584"/>
      <c r="B584"/>
      <c r="C584"/>
      <c r="D584"/>
      <c r="E584"/>
      <c r="F584"/>
      <c r="G584"/>
      <c r="H584"/>
      <c r="I584"/>
      <c r="J584"/>
      <c r="K584"/>
      <c r="L584"/>
      <c r="M584"/>
      <c r="N584"/>
      <c r="O584"/>
      <c r="P584"/>
      <c r="Q584"/>
      <c r="R584"/>
      <c r="S584"/>
      <c r="T584"/>
      <c r="U584"/>
      <c r="V584"/>
    </row>
    <row r="585" spans="1:22" x14ac:dyDescent="0.3">
      <c r="A585"/>
      <c r="B585"/>
      <c r="C585"/>
      <c r="D585"/>
      <c r="E585"/>
      <c r="F585"/>
      <c r="G585"/>
      <c r="H585"/>
      <c r="I585"/>
      <c r="J585"/>
      <c r="K585"/>
      <c r="L585"/>
      <c r="M585"/>
      <c r="N585"/>
      <c r="O585"/>
      <c r="P585"/>
      <c r="Q585"/>
      <c r="R585"/>
      <c r="S585"/>
      <c r="T585"/>
      <c r="U585"/>
      <c r="V585"/>
    </row>
    <row r="586" spans="1:22" x14ac:dyDescent="0.3">
      <c r="A586"/>
      <c r="B586"/>
      <c r="C586"/>
      <c r="D586"/>
      <c r="E586"/>
      <c r="F586"/>
      <c r="G586"/>
      <c r="H586"/>
      <c r="I586"/>
      <c r="J586"/>
      <c r="K586"/>
      <c r="L586"/>
      <c r="M586"/>
      <c r="N586"/>
      <c r="O586"/>
      <c r="P586"/>
      <c r="Q586"/>
      <c r="R586"/>
      <c r="S586"/>
      <c r="T586"/>
      <c r="U586"/>
      <c r="V586"/>
    </row>
    <row r="587" spans="1:22" x14ac:dyDescent="0.3">
      <c r="A587"/>
      <c r="B587"/>
      <c r="C587"/>
      <c r="D587"/>
      <c r="E587"/>
      <c r="F587"/>
      <c r="G587"/>
      <c r="H587"/>
      <c r="I587"/>
      <c r="J587"/>
      <c r="K587"/>
      <c r="L587"/>
      <c r="M587"/>
      <c r="N587"/>
      <c r="O587"/>
      <c r="P587"/>
      <c r="Q587"/>
      <c r="R587"/>
      <c r="S587"/>
      <c r="T587"/>
      <c r="U587"/>
      <c r="V587"/>
    </row>
    <row r="588" spans="1:22" x14ac:dyDescent="0.3">
      <c r="A588"/>
      <c r="B588"/>
      <c r="C588"/>
      <c r="D588"/>
      <c r="E588"/>
      <c r="F588"/>
      <c r="G588"/>
      <c r="H588"/>
      <c r="I588"/>
      <c r="J588"/>
      <c r="K588"/>
      <c r="L588"/>
      <c r="M588"/>
      <c r="N588"/>
      <c r="O588"/>
      <c r="P588"/>
      <c r="Q588"/>
      <c r="R588"/>
      <c r="S588"/>
      <c r="T588"/>
      <c r="U588"/>
      <c r="V588"/>
    </row>
    <row r="589" spans="1:22" x14ac:dyDescent="0.3">
      <c r="A589"/>
      <c r="B589"/>
      <c r="C589"/>
      <c r="D589"/>
      <c r="E589"/>
      <c r="F589"/>
      <c r="G589"/>
      <c r="H589"/>
      <c r="I589"/>
      <c r="J589"/>
      <c r="K589"/>
      <c r="L589"/>
      <c r="M589"/>
      <c r="N589"/>
      <c r="O589"/>
      <c r="P589"/>
      <c r="Q589"/>
      <c r="R589"/>
      <c r="S589"/>
      <c r="T589"/>
      <c r="U589"/>
      <c r="V589"/>
    </row>
    <row r="590" spans="1:22" x14ac:dyDescent="0.3">
      <c r="A590"/>
      <c r="B590"/>
      <c r="C590"/>
      <c r="D590"/>
      <c r="E590"/>
      <c r="F590"/>
      <c r="G590"/>
      <c r="H590"/>
      <c r="I590"/>
      <c r="J590"/>
      <c r="K590"/>
      <c r="L590"/>
      <c r="M590"/>
      <c r="N590"/>
      <c r="O590"/>
      <c r="P590"/>
      <c r="Q590"/>
      <c r="R590"/>
      <c r="S590"/>
      <c r="T590"/>
      <c r="U590"/>
      <c r="V590"/>
    </row>
    <row r="591" spans="1:22" x14ac:dyDescent="0.3">
      <c r="A591"/>
      <c r="B591"/>
      <c r="C591"/>
      <c r="D591"/>
      <c r="E591"/>
      <c r="F591"/>
      <c r="G591"/>
      <c r="H591"/>
      <c r="I591"/>
      <c r="J591"/>
      <c r="K591"/>
      <c r="L591"/>
      <c r="M591"/>
      <c r="N591"/>
      <c r="O591"/>
      <c r="P591"/>
      <c r="Q591"/>
      <c r="R591"/>
      <c r="S591"/>
      <c r="T591"/>
      <c r="U591"/>
      <c r="V591"/>
    </row>
    <row r="592" spans="1:22" x14ac:dyDescent="0.3">
      <c r="A592"/>
      <c r="B592"/>
      <c r="C592"/>
      <c r="D592"/>
      <c r="E592"/>
      <c r="F592"/>
      <c r="G592"/>
      <c r="H592"/>
      <c r="I592"/>
      <c r="J592"/>
      <c r="K592"/>
      <c r="L592"/>
      <c r="M592"/>
      <c r="N592"/>
      <c r="O592"/>
      <c r="P592"/>
      <c r="Q592"/>
      <c r="R592"/>
      <c r="S592"/>
      <c r="T592"/>
      <c r="U592"/>
      <c r="V592"/>
    </row>
    <row r="593" spans="1:22" x14ac:dyDescent="0.3">
      <c r="A593"/>
      <c r="B593"/>
      <c r="C593"/>
      <c r="D593"/>
      <c r="E593"/>
      <c r="F593"/>
      <c r="G593"/>
      <c r="H593"/>
      <c r="I593"/>
      <c r="J593"/>
      <c r="K593"/>
      <c r="L593"/>
      <c r="M593"/>
      <c r="N593"/>
      <c r="O593"/>
      <c r="P593"/>
      <c r="Q593"/>
      <c r="R593"/>
      <c r="S593"/>
      <c r="T593"/>
      <c r="U593"/>
      <c r="V593"/>
    </row>
    <row r="594" spans="1:22" x14ac:dyDescent="0.3">
      <c r="A594"/>
      <c r="B594"/>
      <c r="C594"/>
      <c r="D594"/>
      <c r="E594"/>
      <c r="F594"/>
      <c r="G594"/>
      <c r="H594"/>
      <c r="I594"/>
      <c r="J594"/>
      <c r="K594"/>
      <c r="L594"/>
      <c r="M594"/>
      <c r="N594"/>
      <c r="O594"/>
      <c r="P594"/>
      <c r="Q594"/>
      <c r="R594"/>
      <c r="S594"/>
      <c r="T594"/>
      <c r="U594"/>
      <c r="V594"/>
    </row>
    <row r="595" spans="1:22" x14ac:dyDescent="0.3">
      <c r="A595"/>
      <c r="B595"/>
      <c r="C595"/>
      <c r="D595"/>
      <c r="E595"/>
      <c r="F595"/>
      <c r="G595"/>
      <c r="H595"/>
      <c r="I595"/>
      <c r="J595"/>
      <c r="K595"/>
      <c r="L595"/>
      <c r="M595"/>
      <c r="N595"/>
      <c r="O595"/>
      <c r="P595"/>
      <c r="Q595"/>
      <c r="R595"/>
      <c r="S595"/>
      <c r="T595"/>
      <c r="U595"/>
      <c r="V595"/>
    </row>
    <row r="596" spans="1:22" x14ac:dyDescent="0.3">
      <c r="A596"/>
      <c r="B596"/>
      <c r="C596"/>
      <c r="D596"/>
      <c r="E596"/>
      <c r="F596"/>
      <c r="G596"/>
      <c r="H596"/>
      <c r="I596"/>
      <c r="J596"/>
      <c r="K596"/>
      <c r="L596"/>
      <c r="M596"/>
      <c r="N596"/>
      <c r="O596"/>
      <c r="P596"/>
      <c r="Q596"/>
      <c r="R596"/>
      <c r="S596"/>
      <c r="T596"/>
      <c r="U596"/>
      <c r="V596"/>
    </row>
    <row r="597" spans="1:22" x14ac:dyDescent="0.3">
      <c r="A597"/>
      <c r="B597"/>
      <c r="C597"/>
      <c r="D597"/>
      <c r="E597"/>
      <c r="F597"/>
      <c r="G597"/>
      <c r="H597"/>
      <c r="I597"/>
      <c r="J597"/>
      <c r="K597"/>
      <c r="L597"/>
      <c r="M597"/>
      <c r="N597"/>
      <c r="O597"/>
      <c r="P597"/>
      <c r="Q597"/>
      <c r="R597"/>
      <c r="S597"/>
      <c r="T597"/>
      <c r="U597"/>
      <c r="V597"/>
    </row>
    <row r="598" spans="1:22" x14ac:dyDescent="0.3">
      <c r="A598"/>
      <c r="B598"/>
      <c r="C598"/>
      <c r="D598"/>
      <c r="E598"/>
      <c r="F598"/>
      <c r="G598"/>
      <c r="H598"/>
      <c r="I598"/>
      <c r="J598"/>
      <c r="K598"/>
      <c r="L598"/>
      <c r="M598"/>
      <c r="N598"/>
      <c r="O598"/>
      <c r="P598"/>
      <c r="Q598"/>
      <c r="R598"/>
      <c r="S598"/>
      <c r="T598"/>
      <c r="U598"/>
      <c r="V598"/>
    </row>
    <row r="599" spans="1:22" x14ac:dyDescent="0.3">
      <c r="A599"/>
      <c r="B599"/>
      <c r="C599"/>
      <c r="D599"/>
      <c r="E599"/>
      <c r="F599"/>
      <c r="G599"/>
      <c r="H599"/>
      <c r="I599"/>
      <c r="J599"/>
      <c r="K599"/>
      <c r="L599"/>
      <c r="M599"/>
      <c r="N599"/>
      <c r="O599"/>
      <c r="P599"/>
      <c r="Q599"/>
      <c r="R599"/>
      <c r="S599"/>
      <c r="T599"/>
      <c r="U599"/>
      <c r="V599"/>
    </row>
    <row r="600" spans="1:22" x14ac:dyDescent="0.3">
      <c r="A600"/>
      <c r="B600"/>
      <c r="C600"/>
      <c r="D600"/>
      <c r="E600"/>
      <c r="F600"/>
      <c r="G600"/>
      <c r="H600"/>
      <c r="I600"/>
      <c r="J600"/>
      <c r="K600"/>
      <c r="L600"/>
      <c r="M600"/>
      <c r="N600"/>
      <c r="O600"/>
      <c r="P600"/>
      <c r="Q600"/>
      <c r="R600"/>
      <c r="S600"/>
      <c r="T600"/>
      <c r="U600"/>
      <c r="V600"/>
    </row>
    <row r="601" spans="1:22" x14ac:dyDescent="0.3">
      <c r="A601"/>
      <c r="B601"/>
      <c r="C601"/>
      <c r="D601"/>
      <c r="E601"/>
      <c r="F601"/>
      <c r="G601"/>
      <c r="H601"/>
      <c r="I601"/>
      <c r="J601"/>
      <c r="K601"/>
      <c r="L601"/>
      <c r="M601"/>
      <c r="N601"/>
      <c r="O601"/>
      <c r="P601"/>
      <c r="Q601"/>
      <c r="R601"/>
      <c r="S601"/>
      <c r="T601"/>
      <c r="U601"/>
      <c r="V601"/>
    </row>
    <row r="602" spans="1:22" x14ac:dyDescent="0.3">
      <c r="A602"/>
      <c r="B602"/>
      <c r="C602"/>
      <c r="D602"/>
      <c r="E602"/>
      <c r="F602"/>
      <c r="G602"/>
      <c r="H602"/>
      <c r="I602"/>
      <c r="J602"/>
      <c r="K602"/>
      <c r="L602"/>
      <c r="M602"/>
      <c r="N602"/>
      <c r="O602"/>
      <c r="P602"/>
      <c r="Q602"/>
      <c r="R602"/>
      <c r="S602"/>
      <c r="T602"/>
      <c r="U602"/>
      <c r="V602"/>
    </row>
    <row r="603" spans="1:22" x14ac:dyDescent="0.3">
      <c r="A603"/>
      <c r="B603"/>
      <c r="C603"/>
      <c r="D603"/>
      <c r="E603"/>
      <c r="F603"/>
      <c r="G603"/>
      <c r="H603"/>
      <c r="I603"/>
      <c r="J603"/>
      <c r="K603"/>
      <c r="L603"/>
      <c r="M603"/>
      <c r="N603"/>
      <c r="O603"/>
      <c r="P603"/>
      <c r="Q603"/>
      <c r="R603"/>
      <c r="S603"/>
      <c r="T603"/>
      <c r="U603"/>
      <c r="V603"/>
    </row>
    <row r="604" spans="1:22" x14ac:dyDescent="0.3">
      <c r="A604"/>
      <c r="B604"/>
      <c r="C604"/>
      <c r="D604"/>
      <c r="E604"/>
      <c r="F604"/>
      <c r="G604"/>
      <c r="H604"/>
      <c r="I604"/>
      <c r="J604"/>
      <c r="K604"/>
      <c r="L604"/>
      <c r="M604"/>
      <c r="N604"/>
      <c r="O604"/>
      <c r="P604"/>
      <c r="Q604"/>
      <c r="R604"/>
      <c r="S604"/>
      <c r="T604"/>
      <c r="U604"/>
      <c r="V604"/>
    </row>
    <row r="605" spans="1:22" x14ac:dyDescent="0.3">
      <c r="A605"/>
      <c r="B605"/>
      <c r="C605"/>
      <c r="D605"/>
      <c r="E605"/>
      <c r="F605"/>
      <c r="G605"/>
      <c r="H605"/>
      <c r="I605"/>
      <c r="J605"/>
      <c r="K605"/>
      <c r="L605"/>
      <c r="M605"/>
      <c r="N605"/>
      <c r="O605"/>
      <c r="P605"/>
      <c r="Q605"/>
      <c r="R605"/>
      <c r="S605"/>
      <c r="T605"/>
      <c r="U605"/>
      <c r="V605"/>
    </row>
    <row r="606" spans="1:22" x14ac:dyDescent="0.3">
      <c r="A606"/>
      <c r="B606"/>
      <c r="C606"/>
      <c r="D606"/>
      <c r="E606"/>
      <c r="F606"/>
      <c r="G606"/>
      <c r="H606"/>
      <c r="I606"/>
      <c r="J606"/>
      <c r="K606"/>
      <c r="L606"/>
      <c r="M606"/>
      <c r="N606"/>
      <c r="O606"/>
      <c r="P606"/>
      <c r="Q606"/>
      <c r="R606"/>
      <c r="S606"/>
      <c r="T606"/>
      <c r="U606"/>
      <c r="V606"/>
    </row>
    <row r="607" spans="1:22" x14ac:dyDescent="0.3">
      <c r="A607"/>
      <c r="B607"/>
      <c r="C607"/>
      <c r="D607"/>
      <c r="E607"/>
      <c r="F607"/>
      <c r="G607"/>
      <c r="H607"/>
      <c r="I607"/>
      <c r="J607"/>
      <c r="K607"/>
      <c r="L607"/>
      <c r="M607"/>
      <c r="N607"/>
      <c r="O607"/>
      <c r="P607"/>
      <c r="Q607"/>
      <c r="R607"/>
      <c r="S607"/>
      <c r="T607"/>
      <c r="U607"/>
      <c r="V607"/>
    </row>
    <row r="608" spans="1:22" x14ac:dyDescent="0.3">
      <c r="A608"/>
      <c r="B608"/>
      <c r="C608"/>
      <c r="D608"/>
      <c r="E608"/>
      <c r="F608"/>
      <c r="G608"/>
      <c r="H608"/>
      <c r="I608"/>
      <c r="J608"/>
      <c r="K608"/>
      <c r="L608"/>
      <c r="M608"/>
      <c r="N608"/>
      <c r="O608"/>
      <c r="P608"/>
      <c r="Q608"/>
      <c r="R608"/>
      <c r="S608"/>
      <c r="T608"/>
      <c r="U608"/>
      <c r="V608"/>
    </row>
    <row r="609" spans="1:22" x14ac:dyDescent="0.3">
      <c r="A609"/>
      <c r="B609"/>
      <c r="C609"/>
      <c r="D609"/>
      <c r="E609"/>
      <c r="F609"/>
      <c r="G609"/>
      <c r="H609"/>
      <c r="I609"/>
      <c r="J609"/>
      <c r="K609"/>
      <c r="L609"/>
      <c r="M609"/>
      <c r="N609"/>
      <c r="O609"/>
      <c r="P609"/>
      <c r="Q609"/>
      <c r="R609"/>
      <c r="S609"/>
      <c r="T609"/>
      <c r="U609"/>
      <c r="V609"/>
    </row>
    <row r="610" spans="1:22" x14ac:dyDescent="0.3">
      <c r="A610"/>
      <c r="B610"/>
      <c r="C610"/>
      <c r="D610"/>
      <c r="E610"/>
      <c r="F610"/>
      <c r="G610"/>
      <c r="H610"/>
      <c r="I610"/>
      <c r="J610"/>
      <c r="K610"/>
      <c r="L610"/>
      <c r="M610"/>
      <c r="N610"/>
      <c r="O610"/>
      <c r="P610"/>
      <c r="Q610"/>
      <c r="R610"/>
      <c r="S610"/>
      <c r="T610"/>
      <c r="U610"/>
      <c r="V610"/>
    </row>
    <row r="611" spans="1:22" x14ac:dyDescent="0.3">
      <c r="A611"/>
      <c r="B611"/>
      <c r="C611"/>
      <c r="D611"/>
      <c r="E611"/>
      <c r="F611"/>
      <c r="G611"/>
      <c r="H611"/>
      <c r="I611"/>
      <c r="J611"/>
      <c r="K611"/>
      <c r="L611"/>
      <c r="M611"/>
      <c r="N611"/>
      <c r="O611"/>
      <c r="P611"/>
      <c r="Q611"/>
      <c r="R611"/>
      <c r="S611"/>
      <c r="T611"/>
      <c r="U611"/>
      <c r="V611"/>
    </row>
    <row r="612" spans="1:22" x14ac:dyDescent="0.3">
      <c r="A612"/>
      <c r="B612"/>
      <c r="C612"/>
      <c r="D612"/>
      <c r="E612"/>
      <c r="F612"/>
      <c r="G612"/>
      <c r="H612"/>
      <c r="I612"/>
      <c r="J612"/>
      <c r="K612"/>
      <c r="L612"/>
      <c r="M612"/>
      <c r="N612"/>
      <c r="O612"/>
      <c r="P612"/>
      <c r="Q612"/>
      <c r="R612"/>
      <c r="S612"/>
      <c r="T612"/>
      <c r="U612"/>
      <c r="V612"/>
    </row>
    <row r="613" spans="1:22" x14ac:dyDescent="0.3">
      <c r="A613"/>
      <c r="B613"/>
      <c r="C613"/>
      <c r="D613"/>
      <c r="E613"/>
      <c r="F613"/>
      <c r="G613"/>
      <c r="H613"/>
      <c r="I613"/>
      <c r="J613"/>
      <c r="K613"/>
      <c r="L613"/>
      <c r="M613"/>
      <c r="N613"/>
      <c r="O613"/>
      <c r="P613"/>
      <c r="Q613"/>
      <c r="R613"/>
      <c r="S613"/>
      <c r="T613"/>
      <c r="U613"/>
      <c r="V613"/>
    </row>
    <row r="614" spans="1:22" x14ac:dyDescent="0.3">
      <c r="A614"/>
      <c r="B614"/>
      <c r="C614"/>
      <c r="D614"/>
      <c r="E614"/>
      <c r="F614"/>
      <c r="G614"/>
      <c r="H614"/>
      <c r="I614"/>
      <c r="J614"/>
      <c r="K614"/>
      <c r="L614"/>
      <c r="M614"/>
      <c r="N614"/>
      <c r="O614"/>
      <c r="P614"/>
      <c r="Q614"/>
      <c r="R614"/>
      <c r="S614"/>
      <c r="T614"/>
      <c r="U614"/>
      <c r="V614"/>
    </row>
    <row r="615" spans="1:22" x14ac:dyDescent="0.3">
      <c r="A615"/>
      <c r="B615"/>
      <c r="C615"/>
      <c r="D615"/>
      <c r="E615"/>
      <c r="F615"/>
      <c r="G615"/>
      <c r="H615"/>
      <c r="I615"/>
      <c r="J615"/>
      <c r="K615"/>
      <c r="L615"/>
      <c r="M615"/>
      <c r="N615"/>
      <c r="O615"/>
      <c r="P615"/>
      <c r="Q615"/>
      <c r="R615"/>
      <c r="S615"/>
      <c r="T615"/>
      <c r="U615"/>
      <c r="V615"/>
    </row>
    <row r="616" spans="1:22" x14ac:dyDescent="0.3">
      <c r="A616"/>
      <c r="B616"/>
      <c r="C616"/>
      <c r="D616"/>
      <c r="E616"/>
      <c r="F616"/>
      <c r="G616"/>
      <c r="H616"/>
      <c r="I616"/>
      <c r="J616"/>
      <c r="K616"/>
      <c r="L616"/>
      <c r="M616"/>
      <c r="N616"/>
      <c r="O616"/>
      <c r="P616"/>
      <c r="Q616"/>
      <c r="R616"/>
      <c r="S616"/>
      <c r="T616"/>
      <c r="U616"/>
      <c r="V616"/>
    </row>
    <row r="617" spans="1:22" x14ac:dyDescent="0.3">
      <c r="A617"/>
      <c r="B617"/>
      <c r="C617"/>
      <c r="D617"/>
      <c r="E617"/>
      <c r="F617"/>
      <c r="G617"/>
      <c r="H617"/>
      <c r="I617"/>
      <c r="J617"/>
      <c r="K617"/>
      <c r="L617"/>
      <c r="M617"/>
      <c r="N617"/>
      <c r="O617"/>
      <c r="P617"/>
      <c r="Q617"/>
      <c r="R617"/>
      <c r="S617"/>
      <c r="T617"/>
      <c r="U617"/>
      <c r="V617"/>
    </row>
    <row r="618" spans="1:22" x14ac:dyDescent="0.3">
      <c r="A618"/>
      <c r="B618"/>
      <c r="C618"/>
      <c r="D618"/>
      <c r="E618"/>
      <c r="F618"/>
      <c r="G618"/>
      <c r="H618"/>
      <c r="I618"/>
      <c r="J618"/>
      <c r="K618"/>
      <c r="L618"/>
      <c r="M618"/>
      <c r="N618"/>
      <c r="O618"/>
      <c r="P618"/>
      <c r="Q618"/>
      <c r="R618"/>
      <c r="S618"/>
      <c r="T618"/>
      <c r="U618"/>
      <c r="V618"/>
    </row>
    <row r="619" spans="1:22" x14ac:dyDescent="0.3">
      <c r="A619"/>
      <c r="B619"/>
      <c r="C619"/>
      <c r="D619"/>
      <c r="E619"/>
      <c r="F619"/>
      <c r="G619"/>
      <c r="H619"/>
      <c r="I619"/>
      <c r="J619"/>
      <c r="K619"/>
      <c r="L619"/>
      <c r="M619"/>
      <c r="N619"/>
      <c r="O619"/>
      <c r="P619"/>
      <c r="Q619"/>
      <c r="R619"/>
      <c r="S619"/>
      <c r="T619"/>
      <c r="U619"/>
      <c r="V619"/>
    </row>
    <row r="620" spans="1:22" x14ac:dyDescent="0.3">
      <c r="A620"/>
      <c r="B620"/>
      <c r="C620"/>
      <c r="D620"/>
      <c r="E620"/>
      <c r="F620"/>
      <c r="G620"/>
      <c r="H620"/>
      <c r="I620"/>
      <c r="J620"/>
      <c r="K620"/>
      <c r="L620"/>
      <c r="M620"/>
      <c r="N620"/>
      <c r="O620"/>
      <c r="P620"/>
      <c r="Q620"/>
      <c r="R620"/>
      <c r="S620"/>
      <c r="T620"/>
      <c r="U620"/>
      <c r="V620"/>
    </row>
    <row r="621" spans="1:22" x14ac:dyDescent="0.3">
      <c r="A621"/>
      <c r="B621"/>
      <c r="C621"/>
      <c r="D621"/>
      <c r="E621"/>
      <c r="F621"/>
      <c r="G621"/>
      <c r="H621"/>
      <c r="I621"/>
      <c r="J621"/>
      <c r="K621"/>
      <c r="L621"/>
      <c r="M621"/>
      <c r="N621"/>
      <c r="O621"/>
      <c r="P621"/>
      <c r="Q621"/>
      <c r="R621"/>
      <c r="S621"/>
      <c r="T621"/>
      <c r="U621"/>
      <c r="V621"/>
    </row>
    <row r="622" spans="1:22" x14ac:dyDescent="0.3">
      <c r="A622"/>
      <c r="B622"/>
      <c r="C622"/>
      <c r="D622"/>
      <c r="E622"/>
      <c r="F622"/>
      <c r="G622"/>
      <c r="H622"/>
      <c r="I622"/>
      <c r="J622"/>
      <c r="K622"/>
      <c r="L622"/>
      <c r="M622"/>
      <c r="N622"/>
      <c r="O622"/>
      <c r="P622"/>
      <c r="Q622"/>
      <c r="R622"/>
      <c r="S622"/>
      <c r="T622"/>
      <c r="U622"/>
      <c r="V622"/>
    </row>
    <row r="623" spans="1:22" x14ac:dyDescent="0.3">
      <c r="A623"/>
      <c r="B623"/>
      <c r="C623"/>
      <c r="D623"/>
      <c r="E623"/>
      <c r="F623"/>
      <c r="G623"/>
      <c r="H623"/>
      <c r="I623"/>
      <c r="J623"/>
      <c r="K623"/>
      <c r="L623"/>
      <c r="M623"/>
      <c r="N623"/>
      <c r="O623"/>
      <c r="P623"/>
      <c r="Q623"/>
      <c r="R623"/>
      <c r="S623"/>
      <c r="T623"/>
      <c r="U623"/>
      <c r="V623"/>
    </row>
    <row r="624" spans="1:22" x14ac:dyDescent="0.3">
      <c r="A624"/>
      <c r="B624"/>
      <c r="C624"/>
      <c r="D624"/>
      <c r="E624"/>
      <c r="F624"/>
      <c r="G624"/>
      <c r="H624"/>
      <c r="I624"/>
      <c r="J624"/>
      <c r="K624"/>
      <c r="L624"/>
      <c r="M624"/>
      <c r="N624"/>
      <c r="O624"/>
      <c r="P624"/>
      <c r="Q624"/>
      <c r="R624"/>
      <c r="S624"/>
      <c r="T624"/>
      <c r="U624"/>
      <c r="V624"/>
    </row>
    <row r="625" spans="1:22" x14ac:dyDescent="0.3">
      <c r="A625"/>
      <c r="B625"/>
      <c r="C625"/>
      <c r="D625"/>
      <c r="E625"/>
      <c r="F625"/>
      <c r="G625"/>
      <c r="H625"/>
      <c r="I625"/>
      <c r="J625"/>
      <c r="K625"/>
      <c r="L625"/>
      <c r="M625"/>
      <c r="N625"/>
      <c r="O625"/>
      <c r="P625"/>
      <c r="Q625"/>
      <c r="R625"/>
      <c r="S625"/>
      <c r="T625"/>
      <c r="U625"/>
      <c r="V625"/>
    </row>
    <row r="626" spans="1:22" x14ac:dyDescent="0.3">
      <c r="A626"/>
      <c r="B626"/>
      <c r="C626"/>
      <c r="D626"/>
      <c r="E626"/>
      <c r="F626"/>
      <c r="G626"/>
      <c r="H626"/>
      <c r="I626"/>
      <c r="J626"/>
      <c r="K626"/>
      <c r="L626"/>
      <c r="M626"/>
      <c r="N626"/>
      <c r="O626"/>
      <c r="P626"/>
      <c r="Q626"/>
      <c r="R626"/>
      <c r="S626"/>
      <c r="T626"/>
      <c r="U626"/>
      <c r="V626"/>
    </row>
    <row r="627" spans="1:22" x14ac:dyDescent="0.3">
      <c r="A627"/>
      <c r="B627"/>
      <c r="C627"/>
      <c r="D627"/>
      <c r="E627"/>
      <c r="F627"/>
      <c r="G627"/>
      <c r="H627"/>
      <c r="I627"/>
      <c r="J627"/>
      <c r="K627"/>
      <c r="L627"/>
      <c r="M627"/>
      <c r="N627"/>
      <c r="O627"/>
      <c r="P627"/>
      <c r="Q627"/>
      <c r="R627"/>
      <c r="S627"/>
      <c r="T627"/>
      <c r="U627"/>
      <c r="V627"/>
    </row>
    <row r="628" spans="1:22" x14ac:dyDescent="0.3">
      <c r="A628"/>
      <c r="B628"/>
      <c r="C628"/>
      <c r="D628"/>
      <c r="E628"/>
      <c r="F628"/>
      <c r="G628"/>
      <c r="H628"/>
      <c r="I628"/>
      <c r="J628"/>
      <c r="K628"/>
      <c r="L628"/>
      <c r="M628"/>
      <c r="N628"/>
      <c r="O628"/>
      <c r="P628"/>
      <c r="Q628"/>
      <c r="R628"/>
      <c r="S628"/>
      <c r="T628"/>
      <c r="U628"/>
      <c r="V628"/>
    </row>
    <row r="629" spans="1:22" x14ac:dyDescent="0.3">
      <c r="A629"/>
      <c r="B629"/>
      <c r="C629"/>
      <c r="D629"/>
      <c r="E629"/>
      <c r="F629"/>
      <c r="G629"/>
      <c r="H629"/>
      <c r="I629"/>
      <c r="J629"/>
      <c r="K629"/>
      <c r="L629"/>
      <c r="M629"/>
      <c r="N629"/>
      <c r="O629"/>
      <c r="P629"/>
      <c r="Q629"/>
      <c r="R629"/>
      <c r="S629"/>
      <c r="T629"/>
      <c r="U629"/>
      <c r="V629"/>
    </row>
    <row r="630" spans="1:22" x14ac:dyDescent="0.3">
      <c r="A630"/>
      <c r="B630"/>
      <c r="C630"/>
      <c r="D630"/>
      <c r="E630"/>
      <c r="F630"/>
      <c r="G630"/>
      <c r="H630"/>
      <c r="I630"/>
      <c r="J630"/>
      <c r="K630"/>
      <c r="L630"/>
      <c r="M630"/>
      <c r="N630"/>
      <c r="O630"/>
      <c r="P630"/>
      <c r="Q630"/>
      <c r="R630"/>
      <c r="S630"/>
      <c r="T630"/>
      <c r="U630"/>
      <c r="V630"/>
    </row>
    <row r="631" spans="1:22" x14ac:dyDescent="0.3">
      <c r="A631"/>
      <c r="B631"/>
      <c r="C631"/>
      <c r="D631"/>
      <c r="E631"/>
      <c r="F631"/>
      <c r="G631"/>
      <c r="H631"/>
      <c r="I631"/>
      <c r="J631"/>
      <c r="K631"/>
      <c r="L631"/>
      <c r="M631"/>
      <c r="N631"/>
      <c r="O631"/>
      <c r="P631"/>
      <c r="Q631"/>
      <c r="R631"/>
      <c r="S631"/>
      <c r="T631"/>
      <c r="U631"/>
      <c r="V631"/>
    </row>
    <row r="632" spans="1:22" x14ac:dyDescent="0.3">
      <c r="A632"/>
      <c r="B632"/>
      <c r="C632"/>
      <c r="D632"/>
      <c r="E632"/>
      <c r="F632"/>
      <c r="G632"/>
      <c r="H632"/>
      <c r="I632"/>
      <c r="J632"/>
      <c r="K632"/>
      <c r="L632"/>
      <c r="M632"/>
      <c r="N632"/>
      <c r="O632"/>
      <c r="P632"/>
      <c r="Q632"/>
      <c r="R632"/>
      <c r="S632"/>
      <c r="T632"/>
      <c r="U632"/>
      <c r="V632"/>
    </row>
    <row r="633" spans="1:22" x14ac:dyDescent="0.3">
      <c r="A633"/>
      <c r="B633"/>
      <c r="C633"/>
      <c r="D633"/>
      <c r="E633"/>
      <c r="F633"/>
      <c r="G633"/>
      <c r="H633"/>
      <c r="I633"/>
      <c r="J633"/>
      <c r="K633"/>
      <c r="L633"/>
      <c r="M633"/>
      <c r="N633"/>
      <c r="O633"/>
      <c r="P633"/>
      <c r="Q633"/>
      <c r="R633"/>
      <c r="S633"/>
      <c r="T633"/>
      <c r="U633"/>
      <c r="V633"/>
    </row>
    <row r="634" spans="1:22" x14ac:dyDescent="0.3">
      <c r="A634"/>
      <c r="B634"/>
      <c r="C634"/>
      <c r="D634"/>
      <c r="E634"/>
      <c r="F634"/>
      <c r="G634"/>
      <c r="H634"/>
      <c r="I634"/>
      <c r="J634"/>
      <c r="K634"/>
      <c r="L634"/>
      <c r="M634"/>
      <c r="N634"/>
      <c r="O634"/>
      <c r="P634"/>
      <c r="Q634"/>
      <c r="R634"/>
      <c r="S634"/>
      <c r="T634"/>
      <c r="U634"/>
      <c r="V634"/>
    </row>
    <row r="635" spans="1:22" x14ac:dyDescent="0.3">
      <c r="A635"/>
      <c r="B635"/>
      <c r="C635"/>
      <c r="D635"/>
      <c r="E635"/>
      <c r="F635"/>
      <c r="G635"/>
      <c r="H635"/>
      <c r="I635"/>
      <c r="J635"/>
      <c r="K635"/>
      <c r="L635"/>
      <c r="M635"/>
      <c r="N635"/>
      <c r="O635"/>
      <c r="P635"/>
      <c r="Q635"/>
      <c r="R635"/>
      <c r="S635"/>
      <c r="T635"/>
      <c r="U635"/>
      <c r="V635"/>
    </row>
    <row r="636" spans="1:22" x14ac:dyDescent="0.3">
      <c r="A636"/>
      <c r="B636"/>
      <c r="C636"/>
      <c r="D636"/>
      <c r="E636"/>
      <c r="F636"/>
      <c r="G636"/>
      <c r="H636"/>
      <c r="I636"/>
      <c r="J636"/>
      <c r="K636"/>
      <c r="L636"/>
      <c r="M636"/>
      <c r="N636"/>
      <c r="O636"/>
      <c r="P636"/>
      <c r="Q636"/>
      <c r="R636"/>
      <c r="S636"/>
      <c r="T636"/>
      <c r="U636"/>
      <c r="V636"/>
    </row>
    <row r="637" spans="1:22" x14ac:dyDescent="0.3">
      <c r="A637"/>
      <c r="B637"/>
      <c r="C637"/>
      <c r="D637"/>
      <c r="E637"/>
      <c r="F637"/>
      <c r="G637"/>
      <c r="H637"/>
      <c r="I637"/>
      <c r="J637"/>
      <c r="K637"/>
      <c r="L637"/>
      <c r="M637"/>
      <c r="N637"/>
      <c r="O637"/>
      <c r="P637"/>
      <c r="Q637"/>
      <c r="R637"/>
      <c r="S637"/>
      <c r="T637"/>
      <c r="U637"/>
      <c r="V637"/>
    </row>
    <row r="638" spans="1:22" x14ac:dyDescent="0.3">
      <c r="A638"/>
      <c r="B638"/>
      <c r="C638"/>
      <c r="D638"/>
      <c r="E638"/>
      <c r="F638"/>
      <c r="G638"/>
      <c r="H638"/>
      <c r="I638"/>
      <c r="J638"/>
      <c r="K638"/>
      <c r="L638"/>
      <c r="M638"/>
      <c r="N638"/>
      <c r="O638"/>
      <c r="P638"/>
      <c r="Q638"/>
      <c r="R638"/>
      <c r="S638"/>
      <c r="T638"/>
      <c r="U638"/>
      <c r="V638"/>
    </row>
    <row r="639" spans="1:22" x14ac:dyDescent="0.3">
      <c r="A639"/>
      <c r="B639"/>
      <c r="C639"/>
      <c r="D639"/>
      <c r="E639"/>
      <c r="F639"/>
      <c r="G639"/>
      <c r="H639"/>
      <c r="I639"/>
      <c r="J639"/>
      <c r="K639"/>
      <c r="L639"/>
      <c r="M639"/>
      <c r="N639"/>
      <c r="O639"/>
      <c r="P639"/>
      <c r="Q639"/>
      <c r="R639"/>
      <c r="S639"/>
      <c r="T639"/>
      <c r="U639"/>
      <c r="V639"/>
    </row>
    <row r="640" spans="1:22" x14ac:dyDescent="0.3">
      <c r="A640"/>
      <c r="B640"/>
      <c r="C640"/>
      <c r="D640"/>
      <c r="E640"/>
      <c r="F640"/>
      <c r="G640"/>
      <c r="H640"/>
      <c r="I640"/>
      <c r="J640"/>
      <c r="K640"/>
      <c r="L640"/>
      <c r="M640"/>
      <c r="N640"/>
      <c r="O640"/>
      <c r="P640"/>
      <c r="Q640"/>
      <c r="R640"/>
      <c r="S640"/>
      <c r="T640"/>
      <c r="U640"/>
      <c r="V640"/>
    </row>
    <row r="641" spans="1:22" x14ac:dyDescent="0.3">
      <c r="A641"/>
      <c r="B641"/>
      <c r="C641"/>
      <c r="D641"/>
      <c r="E641"/>
      <c r="F641"/>
      <c r="G641"/>
      <c r="H641"/>
      <c r="I641"/>
      <c r="J641"/>
      <c r="K641"/>
      <c r="L641"/>
      <c r="M641"/>
      <c r="N641"/>
      <c r="O641"/>
      <c r="P641"/>
      <c r="Q641"/>
      <c r="R641"/>
      <c r="S641"/>
      <c r="T641"/>
      <c r="U641"/>
      <c r="V641"/>
    </row>
    <row r="642" spans="1:22" x14ac:dyDescent="0.3">
      <c r="A642"/>
      <c r="B642"/>
      <c r="C642"/>
      <c r="D642"/>
      <c r="E642"/>
      <c r="F642"/>
      <c r="G642"/>
      <c r="H642"/>
      <c r="I642"/>
      <c r="J642"/>
      <c r="K642"/>
      <c r="L642"/>
      <c r="M642"/>
      <c r="N642"/>
      <c r="O642"/>
      <c r="P642"/>
      <c r="Q642"/>
      <c r="R642"/>
      <c r="S642"/>
      <c r="T642"/>
      <c r="U642"/>
      <c r="V642"/>
    </row>
    <row r="643" spans="1:22" x14ac:dyDescent="0.3">
      <c r="A643"/>
      <c r="B643"/>
      <c r="C643"/>
      <c r="D643"/>
      <c r="E643"/>
      <c r="F643"/>
      <c r="G643"/>
      <c r="H643"/>
      <c r="I643"/>
      <c r="J643"/>
      <c r="K643"/>
      <c r="L643"/>
      <c r="M643"/>
      <c r="N643"/>
      <c r="O643"/>
      <c r="P643"/>
      <c r="Q643"/>
      <c r="R643"/>
      <c r="S643"/>
      <c r="T643"/>
      <c r="U643"/>
      <c r="V643"/>
    </row>
    <row r="644" spans="1:22" x14ac:dyDescent="0.3">
      <c r="A644"/>
      <c r="B644"/>
      <c r="C644"/>
      <c r="D644"/>
      <c r="E644"/>
      <c r="F644"/>
      <c r="G644"/>
      <c r="H644"/>
      <c r="I644"/>
      <c r="J644"/>
      <c r="K644"/>
      <c r="L644"/>
      <c r="M644"/>
      <c r="N644"/>
      <c r="O644"/>
      <c r="P644"/>
      <c r="Q644"/>
      <c r="R644"/>
      <c r="S644"/>
      <c r="T644"/>
      <c r="U644"/>
      <c r="V644"/>
    </row>
    <row r="645" spans="1:22" x14ac:dyDescent="0.3">
      <c r="A645"/>
      <c r="B645"/>
      <c r="C645"/>
      <c r="D645"/>
      <c r="E645"/>
      <c r="F645"/>
      <c r="G645"/>
      <c r="H645"/>
      <c r="I645"/>
      <c r="J645"/>
      <c r="K645"/>
      <c r="L645"/>
      <c r="M645"/>
      <c r="N645"/>
      <c r="O645"/>
      <c r="P645"/>
      <c r="Q645"/>
      <c r="R645"/>
      <c r="S645"/>
      <c r="T645"/>
      <c r="U645"/>
      <c r="V645"/>
    </row>
    <row r="646" spans="1:22" x14ac:dyDescent="0.3">
      <c r="A646"/>
      <c r="B646"/>
      <c r="C646"/>
      <c r="D646"/>
      <c r="E646"/>
      <c r="F646"/>
      <c r="G646"/>
      <c r="H646"/>
      <c r="I646"/>
      <c r="J646"/>
      <c r="K646"/>
      <c r="L646"/>
      <c r="M646"/>
      <c r="N646"/>
      <c r="O646"/>
      <c r="P646"/>
      <c r="Q646"/>
      <c r="R646"/>
      <c r="S646"/>
      <c r="T646"/>
      <c r="U646"/>
      <c r="V646"/>
    </row>
    <row r="647" spans="1:22" x14ac:dyDescent="0.3">
      <c r="A647" s="235"/>
      <c r="B647" s="235"/>
      <c r="C647" s="233"/>
      <c r="D647" s="236"/>
      <c r="E647" s="237"/>
      <c r="F647"/>
      <c r="G647"/>
      <c r="H647"/>
      <c r="I647"/>
      <c r="J647"/>
      <c r="K647" s="238"/>
      <c r="L647" s="235"/>
      <c r="M647" s="233"/>
      <c r="N647" s="233"/>
      <c r="O647" s="233"/>
      <c r="P647" s="233"/>
      <c r="Q647" s="233"/>
      <c r="R647" s="233"/>
      <c r="S647" s="233"/>
      <c r="T647" s="233"/>
      <c r="U647" s="233"/>
      <c r="V647" s="233"/>
    </row>
    <row r="648" spans="1:22" x14ac:dyDescent="0.3">
      <c r="A648" s="235"/>
      <c r="B648" s="235"/>
      <c r="C648" s="233"/>
      <c r="D648" s="236"/>
      <c r="E648" s="237"/>
      <c r="F648"/>
      <c r="G648"/>
      <c r="H648"/>
      <c r="I648"/>
      <c r="J648"/>
      <c r="K648" s="238"/>
      <c r="L648" s="235"/>
      <c r="M648" s="233"/>
      <c r="N648" s="233"/>
      <c r="O648" s="233"/>
      <c r="P648" s="233"/>
      <c r="Q648" s="233"/>
      <c r="R648" s="233"/>
      <c r="S648" s="233"/>
      <c r="T648" s="233"/>
      <c r="U648" s="233"/>
      <c r="V648" s="233"/>
    </row>
    <row r="649" spans="1:22" x14ac:dyDescent="0.3">
      <c r="A649" s="235"/>
      <c r="B649" s="235"/>
      <c r="C649" s="233"/>
      <c r="D649" s="236"/>
      <c r="E649" s="237"/>
      <c r="F649"/>
      <c r="G649"/>
      <c r="H649"/>
      <c r="I649"/>
      <c r="J649"/>
      <c r="K649" s="238"/>
      <c r="L649" s="235"/>
      <c r="M649" s="233"/>
      <c r="N649" s="233"/>
      <c r="O649" s="233"/>
      <c r="P649" s="233"/>
      <c r="Q649" s="233"/>
      <c r="R649" s="233"/>
      <c r="S649" s="233"/>
      <c r="T649" s="233"/>
      <c r="U649" s="233"/>
      <c r="V649" s="233"/>
    </row>
  </sheetData>
  <sortState xmlns:xlrd2="http://schemas.microsoft.com/office/spreadsheetml/2017/richdata2" ref="A7:W82">
    <sortCondition ref="F7"/>
    <sortCondition ref="G7"/>
    <sortCondition ref="J7"/>
  </sortState>
  <mergeCells count="38">
    <mergeCell ref="H4:J4"/>
    <mergeCell ref="K4:L5"/>
    <mergeCell ref="N1:N3"/>
    <mergeCell ref="G3:L3"/>
    <mergeCell ref="G1:J1"/>
    <mergeCell ref="K1:M1"/>
    <mergeCell ref="R1:R3"/>
    <mergeCell ref="S1:S3"/>
    <mergeCell ref="A4:B4"/>
    <mergeCell ref="C4:C5"/>
    <mergeCell ref="D4:D5"/>
    <mergeCell ref="E4:E5"/>
    <mergeCell ref="A1:B3"/>
    <mergeCell ref="C1:F1"/>
    <mergeCell ref="M4:M5"/>
    <mergeCell ref="N4:N5"/>
    <mergeCell ref="C2:E2"/>
    <mergeCell ref="G2:L2"/>
    <mergeCell ref="M2:M3"/>
    <mergeCell ref="D3:E3"/>
    <mergeCell ref="F4:F5"/>
    <mergeCell ref="G4:G5"/>
    <mergeCell ref="P1:P3"/>
    <mergeCell ref="Q1:Q3"/>
    <mergeCell ref="O4:O5"/>
    <mergeCell ref="V1:V3"/>
    <mergeCell ref="W1:W3"/>
    <mergeCell ref="T1:T3"/>
    <mergeCell ref="U1:U3"/>
    <mergeCell ref="U4:U5"/>
    <mergeCell ref="V4:V5"/>
    <mergeCell ref="W4:W5"/>
    <mergeCell ref="P4:P5"/>
    <mergeCell ref="Q4:Q5"/>
    <mergeCell ref="R4:R5"/>
    <mergeCell ref="S4:S5"/>
    <mergeCell ref="T4:T5"/>
    <mergeCell ref="O1:O3"/>
  </mergeCells>
  <phoneticPr fontId="10" type="noConversion"/>
  <printOptions horizontalCentered="1" gridLines="1"/>
  <pageMargins left="0.19685039370078741" right="0.19685039370078741" top="0.39370078740157483" bottom="0.35433070866141736" header="0.19685039370078741" footer="0.19685039370078741"/>
  <pageSetup paperSize="9" scale="32" orientation="portrait" blackAndWhite="1" r:id="rId1"/>
  <headerFooter alignWithMargins="0">
    <oddHeader>&amp;RLeht &amp;P / Lehti &amp;N</oddHeader>
    <oddFooter>&amp;L&amp;F&amp;R&amp;T - &amp;D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Leht10"/>
  <dimension ref="A1:V169"/>
  <sheetViews>
    <sheetView workbookViewId="0"/>
  </sheetViews>
  <sheetFormatPr defaultColWidth="9.125" defaultRowHeight="16.3" x14ac:dyDescent="0.3"/>
  <cols>
    <col min="1" max="1" width="6" style="3" bestFit="1" customWidth="1"/>
    <col min="2" max="2" width="17.25" style="13" bestFit="1" customWidth="1"/>
    <col min="3" max="3" width="8" style="5" bestFit="1" customWidth="1"/>
    <col min="4" max="4" width="9" style="14" bestFit="1" customWidth="1"/>
    <col min="5" max="5" width="8.125" style="14" bestFit="1" customWidth="1"/>
    <col min="6" max="6" width="11.625" style="14" bestFit="1" customWidth="1"/>
    <col min="7" max="7" width="14.875" style="14" customWidth="1"/>
    <col min="8" max="8" width="12.125" style="12" bestFit="1" customWidth="1"/>
    <col min="9" max="9" width="9.125" style="7"/>
    <col min="10" max="10" width="13.375" style="7" customWidth="1"/>
    <col min="11" max="11" width="14.375" style="7" bestFit="1" customWidth="1"/>
    <col min="12" max="17" width="9.125" style="7"/>
    <col min="18" max="18" width="10.75" style="7" bestFit="1" customWidth="1"/>
    <col min="19" max="16384" width="9.125" style="7"/>
  </cols>
  <sheetData>
    <row r="1" spans="1:11" ht="39.25" customHeight="1" x14ac:dyDescent="0.3">
      <c r="A1" s="24" t="s">
        <v>130</v>
      </c>
      <c r="B1" s="9" t="s">
        <v>131</v>
      </c>
      <c r="C1" s="10"/>
      <c r="D1" s="10"/>
      <c r="E1" s="435" t="s">
        <v>132</v>
      </c>
      <c r="F1" s="435"/>
      <c r="G1" s="435"/>
      <c r="H1" s="11"/>
      <c r="I1" s="434" t="s">
        <v>133</v>
      </c>
      <c r="J1" s="25"/>
      <c r="K1" s="25"/>
    </row>
    <row r="2" spans="1:11" x14ac:dyDescent="0.3">
      <c r="A2" s="436" t="s">
        <v>134</v>
      </c>
      <c r="B2" s="438" t="s">
        <v>106</v>
      </c>
      <c r="C2" s="438" t="s">
        <v>107</v>
      </c>
      <c r="D2" s="440" t="s">
        <v>135</v>
      </c>
      <c r="E2" s="440" t="s">
        <v>136</v>
      </c>
      <c r="F2" s="442" t="s">
        <v>137</v>
      </c>
      <c r="G2" s="443"/>
      <c r="H2" s="438" t="s">
        <v>138</v>
      </c>
      <c r="I2" s="434"/>
      <c r="J2" s="28" t="s">
        <v>139</v>
      </c>
      <c r="K2" s="25"/>
    </row>
    <row r="3" spans="1:11" ht="15.8" customHeight="1" x14ac:dyDescent="0.3">
      <c r="A3" s="437"/>
      <c r="B3" s="439"/>
      <c r="C3" s="439"/>
      <c r="D3" s="441"/>
      <c r="E3" s="441"/>
      <c r="F3" s="27" t="s">
        <v>140</v>
      </c>
      <c r="G3" s="27" t="s">
        <v>141</v>
      </c>
      <c r="H3" s="439"/>
      <c r="I3" s="434"/>
      <c r="J3" s="25"/>
      <c r="K3" s="25"/>
    </row>
    <row r="4" spans="1:11" customFormat="1" ht="14.3" x14ac:dyDescent="0.25"/>
    <row r="5" spans="1:11" customFormat="1" ht="14.3" x14ac:dyDescent="0.25"/>
    <row r="6" spans="1:11" customFormat="1" ht="14.3" x14ac:dyDescent="0.25"/>
    <row r="7" spans="1:11" customFormat="1" ht="14.3" x14ac:dyDescent="0.25">
      <c r="A7">
        <v>9</v>
      </c>
      <c r="B7" s="21" t="s">
        <v>406</v>
      </c>
      <c r="C7" s="21" t="s">
        <v>79</v>
      </c>
      <c r="D7">
        <v>1389.9</v>
      </c>
      <c r="E7" s="22">
        <v>155.1</v>
      </c>
      <c r="F7" s="19">
        <f t="shared" ref="F7:F38" si="0">D7*K7</f>
        <v>1528.8900000000003</v>
      </c>
      <c r="G7" s="19">
        <f t="shared" ref="G7:G38" si="1">E7*K7</f>
        <v>170.61</v>
      </c>
      <c r="H7" s="19">
        <f t="shared" ref="H7:H38" si="2">E7*K7/12</f>
        <v>14.217500000000001</v>
      </c>
      <c r="I7" s="19">
        <v>0.39</v>
      </c>
      <c r="J7" s="19">
        <v>60.5</v>
      </c>
      <c r="K7">
        <v>1.1000000000000001</v>
      </c>
    </row>
    <row r="8" spans="1:11" customFormat="1" ht="14.3" x14ac:dyDescent="0.25">
      <c r="A8">
        <v>11.7</v>
      </c>
      <c r="B8" s="21" t="s">
        <v>423</v>
      </c>
      <c r="C8" s="21" t="s">
        <v>79</v>
      </c>
      <c r="D8">
        <v>258.60000000000002</v>
      </c>
      <c r="E8" s="22">
        <v>22.1</v>
      </c>
      <c r="F8" s="19">
        <f t="shared" si="0"/>
        <v>284.46000000000004</v>
      </c>
      <c r="G8" s="19">
        <f t="shared" si="1"/>
        <v>24.310000000000002</v>
      </c>
      <c r="H8" s="19">
        <f t="shared" si="2"/>
        <v>2.0258333333333334</v>
      </c>
      <c r="I8" s="19">
        <v>0.38600000000000001</v>
      </c>
      <c r="J8" s="19">
        <v>8.5399999999999991</v>
      </c>
      <c r="K8">
        <v>1.1000000000000001</v>
      </c>
    </row>
    <row r="9" spans="1:11" customFormat="1" ht="14.3" x14ac:dyDescent="0.25">
      <c r="A9">
        <v>6.1</v>
      </c>
      <c r="B9" s="21" t="s">
        <v>459</v>
      </c>
      <c r="C9" s="21" t="s">
        <v>79</v>
      </c>
      <c r="D9">
        <v>1247.7</v>
      </c>
      <c r="E9" s="22">
        <v>203.5</v>
      </c>
      <c r="F9" s="19">
        <f t="shared" si="0"/>
        <v>1372.4700000000003</v>
      </c>
      <c r="G9" s="19">
        <f t="shared" si="1"/>
        <v>223.85000000000002</v>
      </c>
      <c r="H9" s="19">
        <f t="shared" si="2"/>
        <v>18.654166666666669</v>
      </c>
      <c r="I9" s="19">
        <v>0.27</v>
      </c>
      <c r="J9" s="19">
        <v>54.95</v>
      </c>
      <c r="K9">
        <v>1.1000000000000001</v>
      </c>
    </row>
    <row r="10" spans="1:11" customFormat="1" ht="14.3" x14ac:dyDescent="0.25">
      <c r="A10">
        <v>10.5</v>
      </c>
      <c r="B10" s="21" t="s">
        <v>485</v>
      </c>
      <c r="C10" s="21" t="s">
        <v>79</v>
      </c>
      <c r="D10">
        <v>176.4</v>
      </c>
      <c r="E10" s="22">
        <v>16.8</v>
      </c>
      <c r="F10" s="19">
        <f t="shared" si="0"/>
        <v>194.04000000000002</v>
      </c>
      <c r="G10" s="19">
        <f t="shared" si="1"/>
        <v>18.480000000000004</v>
      </c>
      <c r="H10" s="19">
        <f t="shared" si="2"/>
        <v>1.5400000000000003</v>
      </c>
      <c r="I10" s="19">
        <v>0.28299999999999997</v>
      </c>
      <c r="J10" s="19">
        <v>4.75</v>
      </c>
      <c r="K10">
        <v>1.1000000000000001</v>
      </c>
    </row>
    <row r="11" spans="1:11" customFormat="1" ht="14.3" x14ac:dyDescent="0.25">
      <c r="A11">
        <v>8</v>
      </c>
      <c r="B11" s="21" t="s">
        <v>407</v>
      </c>
      <c r="C11" s="21" t="s">
        <v>79</v>
      </c>
      <c r="D11">
        <v>14.3</v>
      </c>
      <c r="E11" s="22">
        <v>1.7849999999999999</v>
      </c>
      <c r="F11" s="19">
        <f t="shared" si="0"/>
        <v>15.730000000000002</v>
      </c>
      <c r="G11" s="19">
        <f t="shared" si="1"/>
        <v>1.9635</v>
      </c>
      <c r="H11" s="19">
        <f t="shared" si="2"/>
        <v>0.16362499999999999</v>
      </c>
      <c r="I11" s="19">
        <v>0.35</v>
      </c>
      <c r="J11" s="19">
        <v>0.62</v>
      </c>
      <c r="K11">
        <v>1.1000000000000001</v>
      </c>
    </row>
    <row r="12" spans="1:11" customFormat="1" ht="14.3" x14ac:dyDescent="0.25">
      <c r="A12">
        <v>14.3</v>
      </c>
      <c r="B12" s="21" t="s">
        <v>424</v>
      </c>
      <c r="C12" s="21" t="s">
        <v>79</v>
      </c>
      <c r="D12">
        <v>750.3</v>
      </c>
      <c r="E12" s="22">
        <v>52.5</v>
      </c>
      <c r="F12" s="19">
        <f t="shared" si="0"/>
        <v>825.33</v>
      </c>
      <c r="G12" s="19">
        <f t="shared" si="1"/>
        <v>57.750000000000007</v>
      </c>
      <c r="H12" s="19">
        <f t="shared" si="2"/>
        <v>4.8125000000000009</v>
      </c>
      <c r="I12" s="19">
        <v>0.46600000000000003</v>
      </c>
      <c r="J12" s="19">
        <v>24.45</v>
      </c>
      <c r="K12">
        <v>1.1000000000000001</v>
      </c>
    </row>
    <row r="13" spans="1:11" customFormat="1" ht="14.3" x14ac:dyDescent="0.25">
      <c r="A13">
        <v>17.600000000000001</v>
      </c>
      <c r="B13" s="21" t="s">
        <v>482</v>
      </c>
      <c r="C13" s="21" t="s">
        <v>79</v>
      </c>
      <c r="D13">
        <v>1098.2</v>
      </c>
      <c r="E13" s="22">
        <v>62.4</v>
      </c>
      <c r="F13" s="19">
        <f t="shared" si="0"/>
        <v>1208.0200000000002</v>
      </c>
      <c r="G13" s="19">
        <f t="shared" si="1"/>
        <v>68.64</v>
      </c>
      <c r="H13" s="19">
        <f t="shared" si="2"/>
        <v>5.72</v>
      </c>
      <c r="I13" s="19">
        <v>0.46300000000000002</v>
      </c>
      <c r="J13" s="19">
        <v>28.89</v>
      </c>
      <c r="K13">
        <v>1.1000000000000001</v>
      </c>
    </row>
    <row r="14" spans="1:11" customFormat="1" ht="14.3" x14ac:dyDescent="0.25">
      <c r="A14">
        <v>20.7</v>
      </c>
      <c r="B14" s="21" t="s">
        <v>483</v>
      </c>
      <c r="C14" s="21" t="s">
        <v>79</v>
      </c>
      <c r="D14">
        <v>1046.2</v>
      </c>
      <c r="E14" s="22">
        <v>50.54</v>
      </c>
      <c r="F14" s="19">
        <f t="shared" si="0"/>
        <v>1150.8200000000002</v>
      </c>
      <c r="G14" s="19">
        <f t="shared" si="1"/>
        <v>55.594000000000001</v>
      </c>
      <c r="H14" s="19">
        <f t="shared" si="2"/>
        <v>4.6328333333333331</v>
      </c>
      <c r="I14" s="19">
        <v>0.54300000000000004</v>
      </c>
      <c r="J14" s="19">
        <v>27.44</v>
      </c>
      <c r="K14">
        <v>1.1000000000000001</v>
      </c>
    </row>
    <row r="15" spans="1:11" customFormat="1" ht="14.3" x14ac:dyDescent="0.25">
      <c r="A15">
        <v>11.3</v>
      </c>
      <c r="B15" s="21" t="s">
        <v>461</v>
      </c>
      <c r="C15" s="21" t="s">
        <v>79</v>
      </c>
      <c r="D15">
        <v>1218.4000000000001</v>
      </c>
      <c r="E15" s="22">
        <v>107.8</v>
      </c>
      <c r="F15" s="19">
        <f t="shared" si="0"/>
        <v>1340.2400000000002</v>
      </c>
      <c r="G15" s="19">
        <f t="shared" si="1"/>
        <v>118.58000000000001</v>
      </c>
      <c r="H15" s="19">
        <f t="shared" si="2"/>
        <v>9.8816666666666677</v>
      </c>
      <c r="I15" s="19">
        <v>0.49</v>
      </c>
      <c r="J15" s="19">
        <v>52.83</v>
      </c>
      <c r="K15">
        <v>1.1000000000000001</v>
      </c>
    </row>
    <row r="16" spans="1:11" customFormat="1" ht="14.3" x14ac:dyDescent="0.25">
      <c r="A16">
        <v>22.3</v>
      </c>
      <c r="B16" s="21" t="s">
        <v>425</v>
      </c>
      <c r="C16" s="21" t="s">
        <v>79</v>
      </c>
      <c r="D16">
        <v>2165.4</v>
      </c>
      <c r="E16" s="22">
        <v>97.1</v>
      </c>
      <c r="F16" s="19">
        <f t="shared" si="0"/>
        <v>2381.9400000000005</v>
      </c>
      <c r="G16" s="19">
        <f t="shared" si="1"/>
        <v>106.81</v>
      </c>
      <c r="H16" s="19">
        <f t="shared" si="2"/>
        <v>8.9008333333333329</v>
      </c>
      <c r="I16" s="19">
        <v>0.58299999999999996</v>
      </c>
      <c r="J16" s="19">
        <v>56.61</v>
      </c>
      <c r="K16">
        <v>1.1000000000000001</v>
      </c>
    </row>
    <row r="17" spans="1:11" customFormat="1" ht="14.3" x14ac:dyDescent="0.25">
      <c r="A17">
        <v>9</v>
      </c>
      <c r="B17" s="21" t="s">
        <v>460</v>
      </c>
      <c r="C17" s="21" t="s">
        <v>79</v>
      </c>
      <c r="D17">
        <v>1129</v>
      </c>
      <c r="E17" s="22">
        <v>126</v>
      </c>
      <c r="F17" s="19">
        <f t="shared" si="0"/>
        <v>1241.9000000000001</v>
      </c>
      <c r="G17" s="19">
        <f t="shared" si="1"/>
        <v>138.60000000000002</v>
      </c>
      <c r="H17" s="19">
        <f t="shared" si="2"/>
        <v>11.550000000000002</v>
      </c>
      <c r="I17" s="19">
        <v>0.39</v>
      </c>
      <c r="J17" s="19">
        <v>49.14</v>
      </c>
      <c r="K17">
        <v>1.1000000000000001</v>
      </c>
    </row>
    <row r="18" spans="1:11" customFormat="1" ht="14.3" x14ac:dyDescent="0.25">
      <c r="A18">
        <v>28.3</v>
      </c>
      <c r="B18" s="21" t="s">
        <v>484</v>
      </c>
      <c r="C18" s="21" t="s">
        <v>79</v>
      </c>
      <c r="D18">
        <v>2880.1</v>
      </c>
      <c r="E18" s="22">
        <v>101.8</v>
      </c>
      <c r="F18" s="19">
        <f t="shared" si="0"/>
        <v>3168.11</v>
      </c>
      <c r="G18" s="19">
        <f t="shared" si="1"/>
        <v>111.98</v>
      </c>
      <c r="H18" s="19">
        <f t="shared" si="2"/>
        <v>9.331666666666667</v>
      </c>
      <c r="I18" s="19">
        <v>0.61899999999999999</v>
      </c>
      <c r="J18" s="19">
        <v>63</v>
      </c>
      <c r="K18">
        <v>1.1000000000000001</v>
      </c>
    </row>
    <row r="19" spans="1:11" customFormat="1" ht="14.3" x14ac:dyDescent="0.25">
      <c r="A19">
        <v>36.5</v>
      </c>
      <c r="B19" s="21" t="s">
        <v>426</v>
      </c>
      <c r="C19" s="21" t="s">
        <v>79</v>
      </c>
      <c r="D19">
        <v>1241</v>
      </c>
      <c r="E19" s="22">
        <v>34</v>
      </c>
      <c r="F19" s="19">
        <f t="shared" si="0"/>
        <v>1365.1000000000001</v>
      </c>
      <c r="G19" s="19">
        <f t="shared" si="1"/>
        <v>37.400000000000006</v>
      </c>
      <c r="H19" s="19">
        <f t="shared" si="2"/>
        <v>3.1166666666666671</v>
      </c>
      <c r="I19" s="19">
        <v>0.60599999999999998</v>
      </c>
      <c r="J19" s="19">
        <v>20.6</v>
      </c>
      <c r="K19">
        <v>1.1000000000000001</v>
      </c>
    </row>
    <row r="20" spans="1:11" customFormat="1" ht="14.3" x14ac:dyDescent="0.25">
      <c r="A20">
        <v>41.5</v>
      </c>
      <c r="B20" s="21" t="s">
        <v>385</v>
      </c>
      <c r="C20" s="21" t="s">
        <v>79</v>
      </c>
      <c r="D20">
        <v>2539</v>
      </c>
      <c r="E20" s="22">
        <v>61.2</v>
      </c>
      <c r="F20" s="19">
        <f t="shared" si="0"/>
        <v>2792.9</v>
      </c>
      <c r="G20" s="19">
        <f t="shared" si="1"/>
        <v>67.320000000000007</v>
      </c>
      <c r="H20" s="19">
        <f t="shared" si="2"/>
        <v>5.61</v>
      </c>
      <c r="I20" s="19">
        <v>0.68600000000000005</v>
      </c>
      <c r="J20" s="19">
        <v>41.97</v>
      </c>
      <c r="K20">
        <v>1.1000000000000001</v>
      </c>
    </row>
    <row r="21" spans="1:11" customFormat="1" ht="14.3" x14ac:dyDescent="0.25">
      <c r="A21">
        <v>22.3</v>
      </c>
      <c r="B21" s="21" t="s">
        <v>462</v>
      </c>
      <c r="C21" s="21" t="s">
        <v>79</v>
      </c>
      <c r="D21">
        <v>1165</v>
      </c>
      <c r="E21" s="22">
        <v>52.24</v>
      </c>
      <c r="F21" s="19">
        <f t="shared" si="0"/>
        <v>1281.5</v>
      </c>
      <c r="G21" s="19">
        <f t="shared" si="1"/>
        <v>57.464000000000006</v>
      </c>
      <c r="H21" s="19">
        <f t="shared" si="2"/>
        <v>4.7886666666666668</v>
      </c>
      <c r="I21" s="19">
        <v>0.58299999999999996</v>
      </c>
      <c r="J21" s="19">
        <v>30.46</v>
      </c>
      <c r="K21">
        <v>1.1000000000000001</v>
      </c>
    </row>
    <row r="22" spans="1:11" customFormat="1" ht="14.3" x14ac:dyDescent="0.25">
      <c r="A22">
        <v>30.1</v>
      </c>
      <c r="B22" s="21" t="s">
        <v>458</v>
      </c>
      <c r="C22" s="21" t="s">
        <v>79</v>
      </c>
      <c r="D22">
        <v>2738.5</v>
      </c>
      <c r="E22" s="22">
        <v>91</v>
      </c>
      <c r="F22" s="19">
        <f t="shared" si="0"/>
        <v>3012.3500000000004</v>
      </c>
      <c r="G22" s="19">
        <f t="shared" si="1"/>
        <v>100.10000000000001</v>
      </c>
      <c r="H22" s="19">
        <f t="shared" si="2"/>
        <v>8.3416666666666668</v>
      </c>
      <c r="I22" s="19">
        <v>0.78300000000000003</v>
      </c>
      <c r="J22" s="19">
        <v>71.239999999999995</v>
      </c>
      <c r="K22">
        <v>1.1000000000000001</v>
      </c>
    </row>
    <row r="23" spans="1:11" customFormat="1" ht="14.3" x14ac:dyDescent="0.25">
      <c r="A23">
        <v>35.799999999999997</v>
      </c>
      <c r="B23" s="21" t="s">
        <v>427</v>
      </c>
      <c r="C23" s="21" t="s">
        <v>79</v>
      </c>
      <c r="D23">
        <v>2090.6999999999998</v>
      </c>
      <c r="E23" s="22">
        <v>58.4</v>
      </c>
      <c r="F23" s="19">
        <f t="shared" si="0"/>
        <v>2299.77</v>
      </c>
      <c r="G23" s="19">
        <f t="shared" si="1"/>
        <v>64.240000000000009</v>
      </c>
      <c r="H23" s="19">
        <f t="shared" si="2"/>
        <v>5.3533333333333344</v>
      </c>
      <c r="I23" s="19">
        <v>0.77900000000000003</v>
      </c>
      <c r="J23" s="19">
        <v>45.49</v>
      </c>
      <c r="K23">
        <v>1.1000000000000001</v>
      </c>
    </row>
    <row r="24" spans="1:11" customFormat="1" ht="14.3" x14ac:dyDescent="0.25">
      <c r="A24">
        <v>46.5</v>
      </c>
      <c r="B24" s="21" t="s">
        <v>428</v>
      </c>
      <c r="C24" s="21" t="s">
        <v>79</v>
      </c>
      <c r="D24">
        <v>524.5</v>
      </c>
      <c r="E24" s="22">
        <v>11.28</v>
      </c>
      <c r="F24" s="19">
        <f t="shared" si="0"/>
        <v>576.95000000000005</v>
      </c>
      <c r="G24" s="19">
        <f t="shared" si="1"/>
        <v>12.407999999999999</v>
      </c>
      <c r="H24" s="19">
        <f t="shared" si="2"/>
        <v>1.034</v>
      </c>
      <c r="I24" s="19">
        <v>0.76600000000000001</v>
      </c>
      <c r="J24" s="19">
        <v>8.64</v>
      </c>
      <c r="K24">
        <v>1.1000000000000001</v>
      </c>
    </row>
    <row r="25" spans="1:11" customFormat="1" ht="14.3" x14ac:dyDescent="0.25">
      <c r="A25">
        <v>30.1</v>
      </c>
      <c r="B25" s="21" t="s">
        <v>486</v>
      </c>
      <c r="C25" s="21" t="s">
        <v>79</v>
      </c>
      <c r="D25">
        <v>857.8</v>
      </c>
      <c r="E25" s="22">
        <v>28.5</v>
      </c>
      <c r="F25" s="19">
        <f t="shared" si="0"/>
        <v>943.58</v>
      </c>
      <c r="G25" s="19">
        <f t="shared" si="1"/>
        <v>31.35</v>
      </c>
      <c r="H25" s="19">
        <f t="shared" si="2"/>
        <v>2.6125000000000003</v>
      </c>
      <c r="I25" s="19">
        <v>0.78300000000000003</v>
      </c>
      <c r="J25" s="19">
        <v>22.32</v>
      </c>
      <c r="K25">
        <v>1.1000000000000001</v>
      </c>
    </row>
    <row r="26" spans="1:11" customFormat="1" ht="14.3" x14ac:dyDescent="0.25">
      <c r="A26">
        <v>59.1</v>
      </c>
      <c r="B26" s="21" t="s">
        <v>429</v>
      </c>
      <c r="C26" s="21" t="s">
        <v>79</v>
      </c>
      <c r="D26">
        <v>3332</v>
      </c>
      <c r="E26" s="22">
        <v>56.4</v>
      </c>
      <c r="F26" s="19">
        <f t="shared" si="0"/>
        <v>3665.2000000000003</v>
      </c>
      <c r="G26" s="19">
        <f t="shared" si="1"/>
        <v>62.040000000000006</v>
      </c>
      <c r="H26" s="19">
        <f t="shared" si="2"/>
        <v>5.1700000000000008</v>
      </c>
      <c r="I26" s="19">
        <v>0.96599999999999997</v>
      </c>
      <c r="J26" s="19">
        <v>54.46</v>
      </c>
      <c r="K26">
        <v>1.1000000000000001</v>
      </c>
    </row>
    <row r="27" spans="1:11" customFormat="1" ht="14.3" x14ac:dyDescent="0.25">
      <c r="A27">
        <v>88.4</v>
      </c>
      <c r="B27" s="21" t="s">
        <v>430</v>
      </c>
      <c r="C27" s="21" t="s">
        <v>79</v>
      </c>
      <c r="D27">
        <v>2751</v>
      </c>
      <c r="E27" s="22">
        <v>31.12</v>
      </c>
      <c r="F27" s="19">
        <f t="shared" si="0"/>
        <v>3026.1000000000004</v>
      </c>
      <c r="G27" s="19">
        <f t="shared" si="1"/>
        <v>34.232000000000006</v>
      </c>
      <c r="H27" s="19">
        <f t="shared" si="2"/>
        <v>2.8526666666666673</v>
      </c>
      <c r="I27" s="19">
        <v>1.157</v>
      </c>
      <c r="J27" s="19">
        <v>36.01</v>
      </c>
      <c r="K27">
        <v>1.1000000000000001</v>
      </c>
    </row>
    <row r="28" spans="1:11" customFormat="1" ht="14.3" x14ac:dyDescent="0.25">
      <c r="A28">
        <v>42.3</v>
      </c>
      <c r="B28" s="21" t="s">
        <v>456</v>
      </c>
      <c r="C28" s="21" t="s">
        <v>83</v>
      </c>
      <c r="D28">
        <v>744.5</v>
      </c>
      <c r="E28" s="22">
        <v>17.600000000000001</v>
      </c>
      <c r="F28" s="19">
        <f t="shared" si="0"/>
        <v>818.95</v>
      </c>
      <c r="G28" s="19">
        <f t="shared" si="1"/>
        <v>19.360000000000003</v>
      </c>
      <c r="H28" s="19">
        <f t="shared" si="2"/>
        <v>1.6133333333333335</v>
      </c>
      <c r="I28" s="19">
        <v>1.1399999999999999</v>
      </c>
      <c r="J28" s="19">
        <v>20.059999999999999</v>
      </c>
      <c r="K28">
        <v>1.1000000000000001</v>
      </c>
    </row>
    <row r="29" spans="1:11" customFormat="1" ht="14.3" x14ac:dyDescent="0.25">
      <c r="A29">
        <v>60.3</v>
      </c>
      <c r="B29" s="21" t="s">
        <v>457</v>
      </c>
      <c r="C29" s="21" t="s">
        <v>83</v>
      </c>
      <c r="D29">
        <v>144.69999999999999</v>
      </c>
      <c r="E29" s="22">
        <v>2.4</v>
      </c>
      <c r="F29" s="19">
        <f t="shared" si="0"/>
        <v>159.16999999999999</v>
      </c>
      <c r="G29" s="19">
        <f t="shared" si="1"/>
        <v>2.64</v>
      </c>
      <c r="H29" s="19">
        <f t="shared" si="2"/>
        <v>0.22</v>
      </c>
      <c r="I29" s="19">
        <v>1.37</v>
      </c>
      <c r="J29" s="19">
        <v>3.29</v>
      </c>
      <c r="K29">
        <v>1.1000000000000001</v>
      </c>
    </row>
    <row r="30" spans="1:11" customFormat="1" ht="14.3" x14ac:dyDescent="0.25">
      <c r="A30">
        <v>68.2</v>
      </c>
      <c r="B30" s="21" t="s">
        <v>384</v>
      </c>
      <c r="C30" s="21" t="s">
        <v>83</v>
      </c>
      <c r="D30">
        <v>8469.5</v>
      </c>
      <c r="E30" s="22">
        <v>124.2</v>
      </c>
      <c r="F30" s="19">
        <f t="shared" si="0"/>
        <v>9316.4500000000007</v>
      </c>
      <c r="G30" s="19">
        <f t="shared" si="1"/>
        <v>136.62</v>
      </c>
      <c r="H30" s="19">
        <f t="shared" si="2"/>
        <v>11.385</v>
      </c>
      <c r="I30" s="19">
        <v>1.48</v>
      </c>
      <c r="J30" s="19">
        <v>183.8</v>
      </c>
      <c r="K30">
        <v>1.1000000000000001</v>
      </c>
    </row>
    <row r="31" spans="1:11" customFormat="1" ht="14.3" x14ac:dyDescent="0.25">
      <c r="A31">
        <v>97.6</v>
      </c>
      <c r="B31" s="21" t="s">
        <v>402</v>
      </c>
      <c r="C31" s="21" t="s">
        <v>83</v>
      </c>
      <c r="D31">
        <v>6032.7</v>
      </c>
      <c r="E31" s="22">
        <v>61.81</v>
      </c>
      <c r="F31" s="19">
        <f t="shared" si="0"/>
        <v>6635.97</v>
      </c>
      <c r="G31" s="19">
        <f t="shared" si="1"/>
        <v>67.991000000000014</v>
      </c>
      <c r="H31" s="19">
        <f t="shared" si="2"/>
        <v>5.6659166666666678</v>
      </c>
      <c r="I31" s="19">
        <v>1.76</v>
      </c>
      <c r="J31" s="19">
        <v>108.79</v>
      </c>
      <c r="K31">
        <v>1.1000000000000001</v>
      </c>
    </row>
    <row r="32" spans="1:11" customFormat="1" ht="14.3" x14ac:dyDescent="0.25">
      <c r="A32">
        <v>105</v>
      </c>
      <c r="B32" s="21" t="s">
        <v>403</v>
      </c>
      <c r="C32" s="21" t="s">
        <v>83</v>
      </c>
      <c r="D32">
        <v>7345.8</v>
      </c>
      <c r="E32" s="22">
        <v>69.900000000000006</v>
      </c>
      <c r="F32" s="19">
        <f t="shared" si="0"/>
        <v>8080.380000000001</v>
      </c>
      <c r="G32" s="19">
        <f t="shared" si="1"/>
        <v>76.890000000000015</v>
      </c>
      <c r="H32" s="19">
        <f t="shared" si="2"/>
        <v>6.4075000000000015</v>
      </c>
      <c r="I32" s="19">
        <v>1.79</v>
      </c>
      <c r="J32" s="19">
        <v>125.23</v>
      </c>
      <c r="K32">
        <v>1.1000000000000001</v>
      </c>
    </row>
    <row r="33" spans="1:22" customFormat="1" ht="14.3" x14ac:dyDescent="0.25">
      <c r="A33">
        <v>30.7</v>
      </c>
      <c r="B33" s="21" t="s">
        <v>455</v>
      </c>
      <c r="C33" s="21" t="s">
        <v>83</v>
      </c>
      <c r="D33">
        <v>73.599999999999994</v>
      </c>
      <c r="E33" s="22">
        <v>2.4</v>
      </c>
      <c r="F33" s="19">
        <f t="shared" si="0"/>
        <v>80.959999999999994</v>
      </c>
      <c r="G33" s="19">
        <f t="shared" si="1"/>
        <v>2.64</v>
      </c>
      <c r="H33" s="19">
        <f t="shared" si="2"/>
        <v>0.22</v>
      </c>
      <c r="I33" s="19">
        <v>0.9</v>
      </c>
      <c r="J33" s="19">
        <v>2.16</v>
      </c>
      <c r="K33">
        <v>1.1000000000000001</v>
      </c>
    </row>
    <row r="34" spans="1:22" customFormat="1" ht="14.3" x14ac:dyDescent="0.25">
      <c r="A34">
        <v>106</v>
      </c>
      <c r="B34" s="21" t="s">
        <v>401</v>
      </c>
      <c r="C34" s="21" t="s">
        <v>83</v>
      </c>
      <c r="D34">
        <v>21337.8</v>
      </c>
      <c r="E34" s="22">
        <v>201.3</v>
      </c>
      <c r="F34" s="19">
        <f t="shared" si="0"/>
        <v>23471.58</v>
      </c>
      <c r="G34" s="19">
        <f t="shared" si="1"/>
        <v>221.43000000000004</v>
      </c>
      <c r="H34" s="19">
        <f t="shared" si="2"/>
        <v>18.452500000000004</v>
      </c>
      <c r="I34" s="19">
        <v>1.9</v>
      </c>
      <c r="J34" s="19">
        <v>382.47</v>
      </c>
      <c r="K34">
        <v>1.1000000000000001</v>
      </c>
    </row>
    <row r="35" spans="1:22" customFormat="1" ht="14.3" x14ac:dyDescent="0.25">
      <c r="A35">
        <v>15.1</v>
      </c>
      <c r="B35" s="21" t="s">
        <v>408</v>
      </c>
      <c r="C35" s="21" t="s">
        <v>83</v>
      </c>
      <c r="D35">
        <v>919.2</v>
      </c>
      <c r="E35" s="22">
        <v>60.9</v>
      </c>
      <c r="F35" s="19">
        <f t="shared" si="0"/>
        <v>1011.1200000000001</v>
      </c>
      <c r="G35" s="19">
        <f t="shared" si="1"/>
        <v>66.990000000000009</v>
      </c>
      <c r="H35" s="19">
        <f t="shared" si="2"/>
        <v>5.5825000000000005</v>
      </c>
      <c r="I35" s="19">
        <v>0.39</v>
      </c>
      <c r="J35" s="19">
        <v>23.74</v>
      </c>
      <c r="K35">
        <v>1.1000000000000001</v>
      </c>
    </row>
    <row r="36" spans="1:22" customFormat="1" ht="14.3" x14ac:dyDescent="0.25">
      <c r="A36">
        <v>33.799999999999997</v>
      </c>
      <c r="B36" s="21" t="s">
        <v>391</v>
      </c>
      <c r="C36" s="21" t="s">
        <v>83</v>
      </c>
      <c r="D36">
        <v>1098.5</v>
      </c>
      <c r="E36" s="22">
        <v>32.5</v>
      </c>
      <c r="F36" s="19">
        <f t="shared" si="0"/>
        <v>1208.3500000000001</v>
      </c>
      <c r="G36" s="19">
        <f t="shared" si="1"/>
        <v>35.75</v>
      </c>
      <c r="H36" s="19">
        <f t="shared" si="2"/>
        <v>2.9791666666666665</v>
      </c>
      <c r="I36" s="19">
        <v>0.58599999999999997</v>
      </c>
      <c r="J36" s="19">
        <v>19.04</v>
      </c>
      <c r="K36">
        <v>1.1000000000000001</v>
      </c>
    </row>
    <row r="37" spans="1:22" customFormat="1" ht="14.3" x14ac:dyDescent="0.25">
      <c r="A37">
        <v>23</v>
      </c>
      <c r="B37" s="21" t="s">
        <v>409</v>
      </c>
      <c r="C37" s="21" t="s">
        <v>83</v>
      </c>
      <c r="D37">
        <v>485.6</v>
      </c>
      <c r="E37" s="22">
        <v>21.1</v>
      </c>
      <c r="F37" s="19">
        <f t="shared" si="0"/>
        <v>534.16000000000008</v>
      </c>
      <c r="G37" s="19">
        <f t="shared" si="1"/>
        <v>23.210000000000004</v>
      </c>
      <c r="H37" s="19">
        <f t="shared" si="2"/>
        <v>1.934166666666667</v>
      </c>
      <c r="I37" s="19">
        <v>0.58699999999999997</v>
      </c>
      <c r="J37" s="19">
        <v>12.4</v>
      </c>
      <c r="K37">
        <v>1.1000000000000001</v>
      </c>
    </row>
    <row r="38" spans="1:22" x14ac:dyDescent="0.3">
      <c r="A38">
        <v>18.8</v>
      </c>
      <c r="B38" s="21" t="s">
        <v>82</v>
      </c>
      <c r="C38" s="21" t="s">
        <v>83</v>
      </c>
      <c r="D38">
        <v>16728.7</v>
      </c>
      <c r="E38" s="22">
        <v>705.5</v>
      </c>
      <c r="F38" s="19">
        <f t="shared" si="0"/>
        <v>18401.570000000003</v>
      </c>
      <c r="G38" s="19">
        <f t="shared" si="1"/>
        <v>776.05000000000007</v>
      </c>
      <c r="H38" s="19">
        <f t="shared" si="2"/>
        <v>64.670833333333334</v>
      </c>
      <c r="I38" s="19">
        <v>0.48</v>
      </c>
      <c r="J38" s="19">
        <v>328.85</v>
      </c>
      <c r="K38">
        <v>1.1000000000000001</v>
      </c>
      <c r="L38"/>
      <c r="M38"/>
      <c r="N38"/>
      <c r="O38"/>
      <c r="P38"/>
      <c r="Q38"/>
      <c r="R38"/>
      <c r="S38"/>
      <c r="T38"/>
      <c r="U38"/>
      <c r="V38"/>
    </row>
    <row r="39" spans="1:22" x14ac:dyDescent="0.3">
      <c r="A39">
        <v>18.8</v>
      </c>
      <c r="B39" s="21" t="s">
        <v>339</v>
      </c>
      <c r="C39" s="21" t="s">
        <v>83</v>
      </c>
      <c r="D39">
        <v>1077.8</v>
      </c>
      <c r="E39" s="22">
        <v>40.1</v>
      </c>
      <c r="F39" s="19">
        <f t="shared" ref="F39:F58" si="3">D39*K39</f>
        <v>1185.5800000000002</v>
      </c>
      <c r="G39" s="19">
        <f t="shared" ref="G39:G58" si="4">E39*K39</f>
        <v>44.110000000000007</v>
      </c>
      <c r="H39" s="19">
        <f t="shared" ref="H39:H58" si="5">E39*K39/12</f>
        <v>3.6758333333333337</v>
      </c>
      <c r="I39" s="19">
        <v>0.4</v>
      </c>
      <c r="J39" s="19">
        <v>22.89</v>
      </c>
      <c r="K39">
        <v>1.1000000000000001</v>
      </c>
      <c r="L39"/>
      <c r="M39"/>
      <c r="N39"/>
      <c r="O39"/>
      <c r="P39"/>
      <c r="Q39"/>
      <c r="R39"/>
      <c r="S39"/>
      <c r="T39"/>
      <c r="U39"/>
      <c r="V39"/>
    </row>
    <row r="40" spans="1:22" x14ac:dyDescent="0.3">
      <c r="A40">
        <v>11.2</v>
      </c>
      <c r="B40" s="21" t="s">
        <v>87</v>
      </c>
      <c r="C40" s="21" t="s">
        <v>83</v>
      </c>
      <c r="D40">
        <v>14023</v>
      </c>
      <c r="E40" s="22">
        <v>378.7</v>
      </c>
      <c r="F40" s="19">
        <f t="shared" si="3"/>
        <v>15425.300000000001</v>
      </c>
      <c r="G40" s="19">
        <f t="shared" si="4"/>
        <v>416.57</v>
      </c>
      <c r="H40" s="19">
        <f t="shared" si="5"/>
        <v>34.714166666666664</v>
      </c>
      <c r="I40" s="19">
        <v>0.19</v>
      </c>
      <c r="J40" s="19">
        <v>216.84</v>
      </c>
      <c r="K40">
        <v>1.1000000000000001</v>
      </c>
      <c r="L40"/>
      <c r="M40"/>
      <c r="N40"/>
      <c r="O40"/>
      <c r="P40"/>
      <c r="Q40"/>
      <c r="R40"/>
      <c r="S40"/>
      <c r="T40"/>
      <c r="U40"/>
      <c r="V40"/>
    </row>
    <row r="41" spans="1:22" x14ac:dyDescent="0.3">
      <c r="A41">
        <v>46.5</v>
      </c>
      <c r="B41" s="21" t="s">
        <v>167</v>
      </c>
      <c r="C41" s="21" t="s">
        <v>83</v>
      </c>
      <c r="D41">
        <v>158</v>
      </c>
      <c r="E41" s="22">
        <v>3.4</v>
      </c>
      <c r="F41" s="19">
        <f t="shared" si="3"/>
        <v>173.8</v>
      </c>
      <c r="G41" s="19">
        <f t="shared" si="4"/>
        <v>3.74</v>
      </c>
      <c r="H41" s="19">
        <f t="shared" si="5"/>
        <v>0.3116666666666667</v>
      </c>
      <c r="I41" s="19">
        <v>0.74</v>
      </c>
      <c r="J41" s="19">
        <v>2.52</v>
      </c>
      <c r="K41">
        <v>1.1000000000000001</v>
      </c>
      <c r="L41"/>
      <c r="M41"/>
      <c r="N41"/>
      <c r="O41"/>
      <c r="P41"/>
      <c r="Q41"/>
      <c r="R41"/>
      <c r="S41"/>
      <c r="T41"/>
      <c r="U41"/>
      <c r="V41"/>
    </row>
    <row r="42" spans="1:22" x14ac:dyDescent="0.3">
      <c r="A42">
        <v>15.7</v>
      </c>
      <c r="B42" s="21" t="s">
        <v>86</v>
      </c>
      <c r="C42" s="21" t="s">
        <v>83</v>
      </c>
      <c r="D42">
        <v>19959.7</v>
      </c>
      <c r="E42" s="22">
        <v>473.7</v>
      </c>
      <c r="F42" s="19">
        <f t="shared" si="3"/>
        <v>21955.670000000002</v>
      </c>
      <c r="G42" s="19">
        <f t="shared" si="4"/>
        <v>521.07000000000005</v>
      </c>
      <c r="H42" s="19">
        <f t="shared" si="5"/>
        <v>43.422500000000007</v>
      </c>
      <c r="I42" s="19">
        <v>0.2</v>
      </c>
      <c r="J42" s="19">
        <v>203.01</v>
      </c>
      <c r="K42">
        <v>1.1000000000000001</v>
      </c>
      <c r="L42"/>
      <c r="M42"/>
      <c r="N42"/>
      <c r="O42"/>
      <c r="P42"/>
      <c r="Q42"/>
      <c r="R42"/>
      <c r="S42"/>
      <c r="T42"/>
      <c r="U42"/>
      <c r="V42"/>
    </row>
    <row r="43" spans="1:22" x14ac:dyDescent="0.3">
      <c r="A43">
        <v>143.30000000000001</v>
      </c>
      <c r="B43" s="21" t="s">
        <v>90</v>
      </c>
      <c r="C43" s="21" t="s">
        <v>83</v>
      </c>
      <c r="D43">
        <v>4993.8</v>
      </c>
      <c r="E43" s="22">
        <v>47.2</v>
      </c>
      <c r="F43" s="19">
        <f t="shared" si="3"/>
        <v>5493.18</v>
      </c>
      <c r="G43" s="19">
        <f t="shared" si="4"/>
        <v>51.920000000000009</v>
      </c>
      <c r="H43" s="19">
        <f t="shared" si="5"/>
        <v>4.3266666666666671</v>
      </c>
      <c r="I43" s="19">
        <v>1.46</v>
      </c>
      <c r="J43" s="19">
        <v>50.88</v>
      </c>
      <c r="K43">
        <v>1.1000000000000001</v>
      </c>
      <c r="L43"/>
      <c r="M43"/>
      <c r="N43"/>
      <c r="O43"/>
      <c r="P43"/>
      <c r="Q43"/>
      <c r="R43"/>
      <c r="S43"/>
      <c r="T43"/>
      <c r="U43"/>
      <c r="V43"/>
    </row>
    <row r="44" spans="1:22" x14ac:dyDescent="0.3">
      <c r="A44">
        <v>11.8</v>
      </c>
      <c r="B44" s="21" t="s">
        <v>448</v>
      </c>
      <c r="C44" s="21" t="s">
        <v>83</v>
      </c>
      <c r="D44">
        <v>755</v>
      </c>
      <c r="E44" s="22">
        <v>64.099999999999994</v>
      </c>
      <c r="F44" s="19">
        <f t="shared" si="3"/>
        <v>830.50000000000011</v>
      </c>
      <c r="G44" s="19">
        <f t="shared" si="4"/>
        <v>70.510000000000005</v>
      </c>
      <c r="H44" s="19">
        <f t="shared" si="5"/>
        <v>5.8758333333333335</v>
      </c>
      <c r="I44" s="19">
        <v>1</v>
      </c>
      <c r="J44" s="19">
        <v>64.12</v>
      </c>
      <c r="K44">
        <v>1.1000000000000001</v>
      </c>
      <c r="L44"/>
      <c r="M44"/>
      <c r="N44"/>
      <c r="O44"/>
      <c r="P44"/>
      <c r="Q44"/>
      <c r="R44"/>
      <c r="S44"/>
      <c r="T44"/>
      <c r="U44"/>
      <c r="V44"/>
    </row>
    <row r="45" spans="1:22" x14ac:dyDescent="0.3">
      <c r="A45">
        <v>157.30000000000001</v>
      </c>
      <c r="B45" s="21" t="s">
        <v>89</v>
      </c>
      <c r="C45" s="21" t="s">
        <v>83</v>
      </c>
      <c r="D45">
        <v>23553</v>
      </c>
      <c r="E45" s="22">
        <v>203.8</v>
      </c>
      <c r="F45" s="19">
        <f t="shared" si="3"/>
        <v>25908.300000000003</v>
      </c>
      <c r="G45" s="19">
        <f t="shared" si="4"/>
        <v>224.18000000000004</v>
      </c>
      <c r="H45" s="19">
        <f t="shared" si="5"/>
        <v>18.681666666666668</v>
      </c>
      <c r="I45" s="19">
        <v>1.3360000000000001</v>
      </c>
      <c r="J45" s="19">
        <v>135.08000000000001</v>
      </c>
      <c r="K45">
        <v>1.1000000000000001</v>
      </c>
      <c r="L45"/>
      <c r="M45"/>
      <c r="N45"/>
      <c r="O45"/>
      <c r="P45"/>
      <c r="Q45"/>
      <c r="R45"/>
      <c r="S45"/>
      <c r="T45"/>
      <c r="U45"/>
      <c r="V45"/>
    </row>
    <row r="46" spans="1:22" x14ac:dyDescent="0.3">
      <c r="A46">
        <v>200.6</v>
      </c>
      <c r="B46" s="21" t="s">
        <v>91</v>
      </c>
      <c r="C46" s="21" t="s">
        <v>83</v>
      </c>
      <c r="D46">
        <v>28277.5</v>
      </c>
      <c r="E46" s="22">
        <v>179.9</v>
      </c>
      <c r="F46" s="19">
        <f t="shared" si="3"/>
        <v>31105.250000000004</v>
      </c>
      <c r="G46" s="19">
        <f t="shared" si="4"/>
        <v>197.89000000000001</v>
      </c>
      <c r="H46" s="19">
        <f t="shared" si="5"/>
        <v>16.490833333333335</v>
      </c>
      <c r="I46" s="19">
        <v>1.46</v>
      </c>
      <c r="J46" s="19">
        <v>205.84</v>
      </c>
      <c r="K46">
        <v>1.1000000000000001</v>
      </c>
      <c r="L46"/>
      <c r="M46"/>
      <c r="N46"/>
      <c r="O46"/>
      <c r="P46"/>
      <c r="Q46"/>
      <c r="R46"/>
      <c r="S46"/>
      <c r="T46"/>
      <c r="U46"/>
      <c r="V46"/>
    </row>
    <row r="47" spans="1:22" x14ac:dyDescent="0.3">
      <c r="A47">
        <v>1.3</v>
      </c>
      <c r="B47" s="21" t="s">
        <v>487</v>
      </c>
      <c r="C47" s="21" t="s">
        <v>83</v>
      </c>
      <c r="D47">
        <v>83.5</v>
      </c>
      <c r="E47" s="22">
        <v>30.4</v>
      </c>
      <c r="F47" s="19">
        <f t="shared" si="3"/>
        <v>91.850000000000009</v>
      </c>
      <c r="G47" s="19">
        <f t="shared" si="4"/>
        <v>33.44</v>
      </c>
      <c r="H47" s="19">
        <f t="shared" si="5"/>
        <v>2.7866666666666666</v>
      </c>
      <c r="I47" s="19">
        <v>0.08</v>
      </c>
      <c r="J47" s="19">
        <v>5.31</v>
      </c>
      <c r="K47">
        <v>1.1000000000000001</v>
      </c>
      <c r="L47"/>
      <c r="M47"/>
      <c r="N47"/>
      <c r="O47"/>
      <c r="P47"/>
      <c r="Q47"/>
      <c r="R47"/>
      <c r="S47"/>
      <c r="T47"/>
      <c r="U47"/>
      <c r="V47"/>
    </row>
    <row r="48" spans="1:22" x14ac:dyDescent="0.3">
      <c r="A48">
        <v>141.30000000000001</v>
      </c>
      <c r="B48" s="21" t="s">
        <v>92</v>
      </c>
      <c r="C48" s="21" t="s">
        <v>83</v>
      </c>
      <c r="D48">
        <v>9063.2999999999993</v>
      </c>
      <c r="E48" s="22">
        <v>79.2</v>
      </c>
      <c r="F48" s="19">
        <f t="shared" si="3"/>
        <v>9969.6299999999992</v>
      </c>
      <c r="G48" s="19">
        <f t="shared" si="4"/>
        <v>87.12</v>
      </c>
      <c r="H48" s="19">
        <f t="shared" si="5"/>
        <v>7.2600000000000007</v>
      </c>
      <c r="I48" s="19">
        <v>0.9</v>
      </c>
      <c r="J48" s="19">
        <v>57.74</v>
      </c>
      <c r="K48">
        <v>1.1000000000000001</v>
      </c>
      <c r="L48"/>
      <c r="M48"/>
      <c r="N48"/>
      <c r="O48"/>
      <c r="P48"/>
      <c r="Q48"/>
      <c r="R48"/>
      <c r="S48"/>
      <c r="T48"/>
      <c r="U48"/>
      <c r="V48"/>
    </row>
    <row r="49" spans="1:22" x14ac:dyDescent="0.3">
      <c r="A49">
        <v>5.9</v>
      </c>
      <c r="B49" s="21" t="s">
        <v>324</v>
      </c>
      <c r="C49" s="21" t="s">
        <v>83</v>
      </c>
      <c r="D49">
        <v>2109</v>
      </c>
      <c r="E49" s="22">
        <v>212.8</v>
      </c>
      <c r="F49" s="19">
        <f t="shared" si="3"/>
        <v>2319.9</v>
      </c>
      <c r="G49" s="19">
        <f t="shared" si="4"/>
        <v>234.08000000000004</v>
      </c>
      <c r="H49" s="19">
        <f t="shared" si="5"/>
        <v>19.506666666666671</v>
      </c>
      <c r="I49" s="19">
        <v>0.3</v>
      </c>
      <c r="J49" s="19">
        <v>107.48</v>
      </c>
      <c r="K49">
        <v>1.1000000000000001</v>
      </c>
      <c r="L49"/>
      <c r="M49"/>
      <c r="N49"/>
      <c r="O49"/>
      <c r="P49"/>
      <c r="Q49"/>
      <c r="R49"/>
      <c r="S49"/>
      <c r="T49"/>
      <c r="U49"/>
      <c r="V49"/>
    </row>
    <row r="50" spans="1:22" x14ac:dyDescent="0.3">
      <c r="A50">
        <v>4.7</v>
      </c>
      <c r="B50" s="21" t="s">
        <v>488</v>
      </c>
      <c r="C50" s="21" t="s">
        <v>83</v>
      </c>
      <c r="D50">
        <v>7.5</v>
      </c>
      <c r="E50" s="22">
        <v>1.6</v>
      </c>
      <c r="F50" s="19">
        <f t="shared" si="3"/>
        <v>8.25</v>
      </c>
      <c r="G50" s="19">
        <f t="shared" si="4"/>
        <v>1.7600000000000002</v>
      </c>
      <c r="H50" s="19">
        <f t="shared" si="5"/>
        <v>0.1466666666666667</v>
      </c>
      <c r="I50" s="19">
        <v>0.2</v>
      </c>
      <c r="J50" s="19">
        <v>0.32</v>
      </c>
      <c r="K50">
        <v>1.1000000000000001</v>
      </c>
      <c r="L50"/>
      <c r="M50"/>
      <c r="N50"/>
      <c r="O50"/>
      <c r="P50"/>
      <c r="Q50"/>
      <c r="R50"/>
      <c r="S50"/>
      <c r="T50"/>
      <c r="U50"/>
      <c r="V50"/>
    </row>
    <row r="51" spans="1:22" x14ac:dyDescent="0.3">
      <c r="A51">
        <v>670.4</v>
      </c>
      <c r="B51" s="21" t="s">
        <v>387</v>
      </c>
      <c r="C51" s="21" t="s">
        <v>83</v>
      </c>
      <c r="D51">
        <v>3539.7</v>
      </c>
      <c r="E51" s="22">
        <v>5.28</v>
      </c>
      <c r="F51" s="19">
        <f t="shared" si="3"/>
        <v>3893.67</v>
      </c>
      <c r="G51" s="19">
        <f t="shared" si="4"/>
        <v>5.8080000000000007</v>
      </c>
      <c r="H51" s="19">
        <f t="shared" si="5"/>
        <v>0.48400000000000004</v>
      </c>
      <c r="I51" s="19">
        <v>2.44</v>
      </c>
      <c r="J51" s="19">
        <v>12.88</v>
      </c>
      <c r="K51">
        <v>1.1000000000000001</v>
      </c>
      <c r="L51"/>
      <c r="M51"/>
      <c r="N51"/>
      <c r="O51"/>
      <c r="P51"/>
      <c r="Q51"/>
      <c r="R51"/>
      <c r="S51"/>
      <c r="T51"/>
      <c r="U51"/>
      <c r="V51"/>
    </row>
    <row r="52" spans="1:22" x14ac:dyDescent="0.3">
      <c r="A52">
        <v>18.8</v>
      </c>
      <c r="B52" s="21" t="s">
        <v>337</v>
      </c>
      <c r="C52" s="21" t="s">
        <v>83</v>
      </c>
      <c r="D52">
        <v>7781.2</v>
      </c>
      <c r="E52" s="22">
        <v>248</v>
      </c>
      <c r="F52" s="19">
        <f t="shared" si="3"/>
        <v>8559.32</v>
      </c>
      <c r="G52" s="19">
        <f t="shared" si="4"/>
        <v>272.8</v>
      </c>
      <c r="H52" s="19">
        <f t="shared" si="5"/>
        <v>22.733333333333334</v>
      </c>
      <c r="I52" s="19">
        <v>0.6</v>
      </c>
      <c r="J52" s="19">
        <v>247.79</v>
      </c>
      <c r="K52">
        <v>1.1000000000000001</v>
      </c>
      <c r="L52"/>
      <c r="M52"/>
      <c r="N52"/>
      <c r="O52"/>
      <c r="P52"/>
      <c r="Q52"/>
      <c r="R52"/>
      <c r="S52"/>
      <c r="T52"/>
      <c r="U52"/>
      <c r="V52"/>
    </row>
    <row r="53" spans="1:22" x14ac:dyDescent="0.3">
      <c r="A53">
        <v>23.2</v>
      </c>
      <c r="B53" s="21" t="s">
        <v>404</v>
      </c>
      <c r="C53" s="21" t="s">
        <v>83</v>
      </c>
      <c r="D53">
        <v>126.3</v>
      </c>
      <c r="E53" s="22">
        <v>5.4</v>
      </c>
      <c r="F53" s="19">
        <f t="shared" si="3"/>
        <v>138.93</v>
      </c>
      <c r="G53" s="19">
        <f t="shared" si="4"/>
        <v>5.9400000000000013</v>
      </c>
      <c r="H53" s="19">
        <f t="shared" si="5"/>
        <v>0.49500000000000011</v>
      </c>
      <c r="I53" s="19">
        <v>0.48</v>
      </c>
      <c r="J53" s="19">
        <v>2.61</v>
      </c>
      <c r="K53">
        <v>1.1000000000000001</v>
      </c>
      <c r="L53"/>
      <c r="M53"/>
      <c r="N53"/>
      <c r="O53"/>
      <c r="P53"/>
      <c r="Q53"/>
      <c r="R53"/>
      <c r="S53"/>
      <c r="T53"/>
      <c r="U53"/>
      <c r="V53"/>
    </row>
    <row r="54" spans="1:22" x14ac:dyDescent="0.3">
      <c r="A54">
        <v>31.3</v>
      </c>
      <c r="B54" s="21" t="s">
        <v>405</v>
      </c>
      <c r="C54" s="21" t="s">
        <v>83</v>
      </c>
      <c r="D54">
        <v>1177.7</v>
      </c>
      <c r="E54" s="22">
        <v>37.6</v>
      </c>
      <c r="F54" s="19">
        <f t="shared" si="3"/>
        <v>1295.4700000000003</v>
      </c>
      <c r="G54" s="19">
        <f t="shared" si="4"/>
        <v>41.360000000000007</v>
      </c>
      <c r="H54" s="19">
        <f t="shared" si="5"/>
        <v>3.4466666666666672</v>
      </c>
      <c r="I54" s="19">
        <v>0.56000000000000005</v>
      </c>
      <c r="J54" s="19">
        <v>21.07</v>
      </c>
      <c r="K54">
        <v>1.1000000000000001</v>
      </c>
      <c r="L54"/>
      <c r="M54"/>
      <c r="N54"/>
      <c r="O54"/>
      <c r="P54"/>
      <c r="Q54"/>
      <c r="R54"/>
      <c r="S54"/>
      <c r="T54"/>
      <c r="U54"/>
      <c r="V54"/>
    </row>
    <row r="55" spans="1:22" x14ac:dyDescent="0.3">
      <c r="A55">
        <v>8.3000000000000007</v>
      </c>
      <c r="B55" s="21" t="s">
        <v>390</v>
      </c>
      <c r="C55" s="21" t="s">
        <v>83</v>
      </c>
      <c r="D55">
        <v>41.3</v>
      </c>
      <c r="E55" s="22">
        <v>5</v>
      </c>
      <c r="F55" s="19">
        <f t="shared" si="3"/>
        <v>45.43</v>
      </c>
      <c r="G55" s="19">
        <f t="shared" si="4"/>
        <v>5.5</v>
      </c>
      <c r="H55" s="19">
        <f t="shared" si="5"/>
        <v>0.45833333333333331</v>
      </c>
      <c r="I55" s="19">
        <v>0.28000000000000003</v>
      </c>
      <c r="J55" s="19">
        <v>1.39</v>
      </c>
      <c r="K55">
        <v>1.1000000000000001</v>
      </c>
      <c r="L55"/>
      <c r="M55"/>
      <c r="N55"/>
      <c r="O55"/>
      <c r="P55"/>
      <c r="Q55"/>
      <c r="R55"/>
      <c r="S55"/>
      <c r="T55"/>
      <c r="U55"/>
      <c r="V55"/>
    </row>
    <row r="56" spans="1:22" x14ac:dyDescent="0.3">
      <c r="A56">
        <v>37.9</v>
      </c>
      <c r="B56" s="21" t="s">
        <v>480</v>
      </c>
      <c r="C56" s="21" t="s">
        <v>83</v>
      </c>
      <c r="D56">
        <v>268.7</v>
      </c>
      <c r="E56" s="22">
        <v>7.09</v>
      </c>
      <c r="F56" s="19">
        <f t="shared" si="3"/>
        <v>295.57</v>
      </c>
      <c r="G56" s="19">
        <f t="shared" si="4"/>
        <v>7.7990000000000004</v>
      </c>
      <c r="H56" s="19">
        <f t="shared" si="5"/>
        <v>0.6499166666666667</v>
      </c>
      <c r="I56" s="19">
        <v>0.83399999999999996</v>
      </c>
      <c r="J56" s="19">
        <v>5.91</v>
      </c>
      <c r="K56">
        <v>1.1000000000000001</v>
      </c>
      <c r="L56"/>
      <c r="M56"/>
      <c r="N56"/>
      <c r="O56"/>
      <c r="P56"/>
      <c r="Q56"/>
      <c r="R56"/>
      <c r="S56"/>
      <c r="T56"/>
      <c r="U56"/>
      <c r="V56"/>
    </row>
    <row r="57" spans="1:22" x14ac:dyDescent="0.3">
      <c r="A57">
        <v>22.8</v>
      </c>
      <c r="B57" s="21" t="s">
        <v>481</v>
      </c>
      <c r="C57" s="21" t="s">
        <v>83</v>
      </c>
      <c r="D57">
        <v>636.1</v>
      </c>
      <c r="E57" s="22">
        <v>27.9</v>
      </c>
      <c r="F57" s="19">
        <f t="shared" si="3"/>
        <v>699.71</v>
      </c>
      <c r="G57" s="19">
        <f t="shared" si="4"/>
        <v>30.69</v>
      </c>
      <c r="H57" s="19">
        <f t="shared" si="5"/>
        <v>2.5575000000000001</v>
      </c>
      <c r="I57" s="19">
        <v>0.69699999999999995</v>
      </c>
      <c r="J57" s="19">
        <v>19.45</v>
      </c>
      <c r="K57">
        <v>1.1000000000000001</v>
      </c>
      <c r="L57"/>
      <c r="M57"/>
      <c r="N57"/>
      <c r="O57"/>
      <c r="P57"/>
      <c r="Q57"/>
      <c r="R57"/>
      <c r="S57"/>
      <c r="T57"/>
      <c r="U57"/>
      <c r="V57"/>
    </row>
    <row r="58" spans="1:22" x14ac:dyDescent="0.3">
      <c r="A58">
        <v>0</v>
      </c>
      <c r="B58" s="21" t="s">
        <v>421</v>
      </c>
      <c r="C58" s="21" t="s">
        <v>83</v>
      </c>
      <c r="D58">
        <v>0</v>
      </c>
      <c r="E58" s="22">
        <v>3.36</v>
      </c>
      <c r="F58" s="19">
        <f t="shared" si="3"/>
        <v>0</v>
      </c>
      <c r="G58" s="19">
        <f t="shared" si="4"/>
        <v>3.6960000000000002</v>
      </c>
      <c r="H58" s="19">
        <f t="shared" si="5"/>
        <v>0.308</v>
      </c>
      <c r="I58" s="19">
        <v>0</v>
      </c>
      <c r="J58" s="19">
        <v>0</v>
      </c>
      <c r="K58">
        <v>1.1000000000000001</v>
      </c>
      <c r="L58"/>
      <c r="M58"/>
      <c r="N58"/>
      <c r="O58"/>
      <c r="P58"/>
      <c r="Q58"/>
      <c r="R58"/>
      <c r="S58"/>
      <c r="T58"/>
      <c r="U58"/>
      <c r="V58"/>
    </row>
    <row r="59" spans="1:22" x14ac:dyDescent="0.3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</row>
    <row r="60" spans="1:22" x14ac:dyDescent="0.3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</row>
    <row r="61" spans="1:22" x14ac:dyDescent="0.3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</row>
    <row r="62" spans="1:22" x14ac:dyDescent="0.3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</row>
    <row r="63" spans="1:22" x14ac:dyDescent="0.3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</row>
    <row r="64" spans="1:22" x14ac:dyDescent="0.3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</row>
    <row r="65" spans="1:22" x14ac:dyDescent="0.3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</row>
    <row r="66" spans="1:22" x14ac:dyDescent="0.3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</row>
    <row r="67" spans="1:22" x14ac:dyDescent="0.3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</row>
    <row r="68" spans="1:22" x14ac:dyDescent="0.3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</row>
    <row r="69" spans="1:22" x14ac:dyDescent="0.3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</row>
    <row r="70" spans="1:22" x14ac:dyDescent="0.3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</row>
    <row r="71" spans="1:22" x14ac:dyDescent="0.3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</row>
    <row r="72" spans="1:22" x14ac:dyDescent="0.3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</row>
    <row r="73" spans="1:22" x14ac:dyDescent="0.3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</row>
    <row r="74" spans="1:22" x14ac:dyDescent="0.3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</row>
    <row r="75" spans="1:22" x14ac:dyDescent="0.3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</row>
    <row r="76" spans="1:22" x14ac:dyDescent="0.3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</row>
    <row r="77" spans="1:22" x14ac:dyDescent="0.3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</row>
    <row r="78" spans="1:22" x14ac:dyDescent="0.3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</row>
    <row r="79" spans="1:22" x14ac:dyDescent="0.3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</row>
    <row r="80" spans="1:22" x14ac:dyDescent="0.3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</row>
    <row r="81" spans="1:22" x14ac:dyDescent="0.3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</row>
    <row r="82" spans="1:22" x14ac:dyDescent="0.3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</row>
    <row r="83" spans="1:22" x14ac:dyDescent="0.3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</row>
    <row r="84" spans="1:22" x14ac:dyDescent="0.3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</row>
    <row r="85" spans="1:22" x14ac:dyDescent="0.3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</row>
    <row r="86" spans="1:22" x14ac:dyDescent="0.3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</row>
    <row r="87" spans="1:22" x14ac:dyDescent="0.3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</row>
    <row r="88" spans="1:22" x14ac:dyDescent="0.3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</row>
    <row r="89" spans="1:22" x14ac:dyDescent="0.3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</row>
    <row r="90" spans="1:22" x14ac:dyDescent="0.3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</row>
    <row r="91" spans="1:22" x14ac:dyDescent="0.3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</row>
    <row r="92" spans="1:22" x14ac:dyDescent="0.3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</row>
    <row r="93" spans="1:22" x14ac:dyDescent="0.3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</row>
    <row r="94" spans="1:22" x14ac:dyDescent="0.3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</row>
    <row r="95" spans="1:22" x14ac:dyDescent="0.3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</row>
    <row r="96" spans="1:22" x14ac:dyDescent="0.3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</row>
    <row r="97" spans="1:22" x14ac:dyDescent="0.3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</row>
    <row r="98" spans="1:22" x14ac:dyDescent="0.3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</row>
    <row r="99" spans="1:22" x14ac:dyDescent="0.3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</row>
    <row r="100" spans="1:22" x14ac:dyDescent="0.3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</row>
    <row r="101" spans="1:22" x14ac:dyDescent="0.3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</row>
    <row r="102" spans="1:22" x14ac:dyDescent="0.3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</row>
    <row r="103" spans="1:22" x14ac:dyDescent="0.3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</row>
    <row r="104" spans="1:22" x14ac:dyDescent="0.3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</row>
    <row r="105" spans="1:22" x14ac:dyDescent="0.3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</row>
    <row r="106" spans="1:22" x14ac:dyDescent="0.3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</row>
    <row r="107" spans="1:22" x14ac:dyDescent="0.3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</row>
    <row r="108" spans="1:22" x14ac:dyDescent="0.3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</row>
    <row r="109" spans="1:22" x14ac:dyDescent="0.3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</row>
    <row r="110" spans="1:22" x14ac:dyDescent="0.3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</row>
    <row r="111" spans="1:22" x14ac:dyDescent="0.3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</row>
    <row r="112" spans="1:22" x14ac:dyDescent="0.3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</row>
    <row r="113" spans="1:22" x14ac:dyDescent="0.3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</row>
    <row r="114" spans="1:22" x14ac:dyDescent="0.3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</row>
    <row r="115" spans="1:22" x14ac:dyDescent="0.3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</row>
    <row r="116" spans="1:22" x14ac:dyDescent="0.3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</row>
    <row r="117" spans="1:22" x14ac:dyDescent="0.3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</row>
    <row r="118" spans="1:22" x14ac:dyDescent="0.3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</row>
    <row r="119" spans="1:22" x14ac:dyDescent="0.3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</row>
    <row r="120" spans="1:22" x14ac:dyDescent="0.3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</row>
    <row r="121" spans="1:22" x14ac:dyDescent="0.3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</row>
    <row r="122" spans="1:22" x14ac:dyDescent="0.3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</row>
    <row r="123" spans="1:22" x14ac:dyDescent="0.3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</row>
    <row r="124" spans="1:22" x14ac:dyDescent="0.3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</row>
    <row r="125" spans="1:22" x14ac:dyDescent="0.3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</row>
    <row r="126" spans="1:22" x14ac:dyDescent="0.3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</row>
    <row r="127" spans="1:22" x14ac:dyDescent="0.3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</row>
    <row r="128" spans="1:22" x14ac:dyDescent="0.3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</row>
    <row r="129" spans="1:22" x14ac:dyDescent="0.3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</row>
    <row r="130" spans="1:22" x14ac:dyDescent="0.3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</row>
    <row r="131" spans="1:22" x14ac:dyDescent="0.3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</row>
    <row r="132" spans="1:22" x14ac:dyDescent="0.3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</row>
    <row r="133" spans="1:22" x14ac:dyDescent="0.3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</row>
    <row r="134" spans="1:22" x14ac:dyDescent="0.3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</row>
    <row r="135" spans="1:22" x14ac:dyDescent="0.3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</row>
    <row r="136" spans="1:22" x14ac:dyDescent="0.3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</row>
    <row r="137" spans="1:22" x14ac:dyDescent="0.3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</row>
    <row r="138" spans="1:22" x14ac:dyDescent="0.3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</row>
    <row r="139" spans="1:22" x14ac:dyDescent="0.3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</row>
    <row r="140" spans="1:22" x14ac:dyDescent="0.3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</row>
    <row r="141" spans="1:22" x14ac:dyDescent="0.3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</row>
    <row r="142" spans="1:22" x14ac:dyDescent="0.3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</row>
    <row r="143" spans="1:22" x14ac:dyDescent="0.3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</row>
    <row r="144" spans="1:22" x14ac:dyDescent="0.3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</row>
    <row r="145" spans="1:22" x14ac:dyDescent="0.3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</row>
    <row r="146" spans="1:22" x14ac:dyDescent="0.3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</row>
    <row r="147" spans="1:22" x14ac:dyDescent="0.3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</row>
    <row r="148" spans="1:22" x14ac:dyDescent="0.3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</row>
    <row r="149" spans="1:22" x14ac:dyDescent="0.3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</row>
    <row r="150" spans="1:22" x14ac:dyDescent="0.3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</row>
    <row r="151" spans="1:22" x14ac:dyDescent="0.3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</row>
    <row r="152" spans="1:22" x14ac:dyDescent="0.3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</row>
    <row r="153" spans="1:22" x14ac:dyDescent="0.3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</row>
    <row r="154" spans="1:22" x14ac:dyDescent="0.3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</row>
    <row r="155" spans="1:22" x14ac:dyDescent="0.3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</row>
    <row r="156" spans="1:22" x14ac:dyDescent="0.3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</row>
    <row r="157" spans="1:22" x14ac:dyDescent="0.3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</row>
    <row r="158" spans="1:22" x14ac:dyDescent="0.3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</row>
    <row r="159" spans="1:22" x14ac:dyDescent="0.3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</row>
    <row r="160" spans="1:22" x14ac:dyDescent="0.3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</row>
    <row r="161" spans="1:22" x14ac:dyDescent="0.3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</row>
    <row r="162" spans="1:22" x14ac:dyDescent="0.3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</row>
    <row r="163" spans="1:22" x14ac:dyDescent="0.3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</row>
    <row r="164" spans="1:22" x14ac:dyDescent="0.3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</row>
    <row r="165" spans="1:22" x14ac:dyDescent="0.3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</row>
    <row r="166" spans="1:22" x14ac:dyDescent="0.3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</row>
    <row r="167" spans="1:22" x14ac:dyDescent="0.3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</row>
    <row r="168" spans="1:22" x14ac:dyDescent="0.3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</row>
    <row r="169" spans="1:22" x14ac:dyDescent="0.3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</row>
  </sheetData>
  <sortState xmlns:xlrd2="http://schemas.microsoft.com/office/spreadsheetml/2017/richdata2" ref="A7:K59">
    <sortCondition ref="B7"/>
    <sortCondition ref="C7"/>
  </sortState>
  <dataConsolidate link="1"/>
  <mergeCells count="9">
    <mergeCell ref="I1:I3"/>
    <mergeCell ref="E1:G1"/>
    <mergeCell ref="A2:A3"/>
    <mergeCell ref="B2:B3"/>
    <mergeCell ref="C2:C3"/>
    <mergeCell ref="D2:D3"/>
    <mergeCell ref="E2:E3"/>
    <mergeCell ref="F2:G2"/>
    <mergeCell ref="H2:H3"/>
  </mergeCells>
  <phoneticPr fontId="10" type="noConversion"/>
  <printOptions horizontalCentered="1" gridLines="1"/>
  <pageMargins left="0.19685039370078741" right="0.19685039370078741" top="0.39370078740157483" bottom="0.35433070866141736" header="0.19685039370078741" footer="0.19685039370078741"/>
  <pageSetup paperSize="9" orientation="landscape" blackAndWhite="1" horizontalDpi="360" verticalDpi="360" r:id="rId1"/>
  <headerFooter alignWithMargins="0">
    <oddHeader>&amp;RLeht &amp;P / Lehti &amp;N</oddHeader>
    <oddFooter>&amp;L&amp;F&amp;R&amp;T - &amp;D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Leht11"/>
  <dimension ref="A1:V484"/>
  <sheetViews>
    <sheetView workbookViewId="0">
      <selection sqref="A1:B1"/>
    </sheetView>
  </sheetViews>
  <sheetFormatPr defaultColWidth="9.125" defaultRowHeight="16.3" x14ac:dyDescent="0.3"/>
  <cols>
    <col min="1" max="1" width="8.375" style="8" bestFit="1" customWidth="1"/>
    <col min="2" max="2" width="29.75" style="5" bestFit="1" customWidth="1"/>
    <col min="3" max="3" width="12.125" style="12" customWidth="1"/>
    <col min="4" max="4" width="8.125" style="12" customWidth="1"/>
    <col min="5" max="5" width="10.75" style="13" customWidth="1"/>
    <col min="6" max="6" width="10.875" style="8" bestFit="1" customWidth="1"/>
    <col min="7" max="7" width="21.25" style="12" customWidth="1"/>
    <col min="8" max="8" width="21.25" style="15" customWidth="1"/>
    <col min="9" max="9" width="9.125" style="15" bestFit="1" customWidth="1"/>
    <col min="10" max="10" width="15" style="16" customWidth="1"/>
    <col min="11" max="11" width="13.875" style="16" customWidth="1"/>
    <col min="12" max="16384" width="9.125" style="7"/>
  </cols>
  <sheetData>
    <row r="1" spans="1:22" ht="39.25" customHeight="1" x14ac:dyDescent="0.3">
      <c r="A1" s="447" t="s">
        <v>142</v>
      </c>
      <c r="B1" s="448"/>
      <c r="C1" s="449"/>
      <c r="D1" s="449"/>
      <c r="E1" s="450"/>
      <c r="F1" s="239"/>
      <c r="G1" s="240"/>
      <c r="H1" s="241"/>
      <c r="I1" s="241"/>
      <c r="J1" s="451" t="s">
        <v>143</v>
      </c>
      <c r="K1" s="451"/>
      <c r="L1" s="25"/>
      <c r="M1" s="25"/>
      <c r="N1" s="25"/>
      <c r="O1" s="25"/>
      <c r="P1" s="25"/>
      <c r="Q1" s="25"/>
      <c r="R1" s="25"/>
      <c r="S1" s="25"/>
      <c r="T1" s="25"/>
      <c r="U1" s="25"/>
      <c r="V1" s="25"/>
    </row>
    <row r="2" spans="1:22" ht="19.05" x14ac:dyDescent="0.3">
      <c r="A2" s="451" t="s">
        <v>143</v>
      </c>
      <c r="B2" s="451"/>
      <c r="C2" s="452"/>
      <c r="D2" s="452"/>
      <c r="E2" s="242"/>
      <c r="F2" s="239"/>
      <c r="G2" s="240"/>
      <c r="H2" s="241"/>
      <c r="I2" s="241"/>
      <c r="J2" s="243"/>
      <c r="K2" s="243"/>
      <c r="L2" s="25"/>
      <c r="M2" s="25"/>
      <c r="N2" s="25"/>
      <c r="O2" s="25"/>
      <c r="P2" s="25"/>
      <c r="Q2" s="25"/>
      <c r="R2" s="25"/>
      <c r="S2" s="25"/>
      <c r="T2" s="25"/>
      <c r="U2" s="25"/>
      <c r="V2" s="25"/>
    </row>
    <row r="3" spans="1:22" x14ac:dyDescent="0.3">
      <c r="A3" s="453" t="s">
        <v>144</v>
      </c>
      <c r="B3" s="453"/>
      <c r="C3" s="452"/>
      <c r="D3" s="452"/>
      <c r="E3" s="242"/>
      <c r="F3" s="239"/>
      <c r="G3" s="240"/>
      <c r="H3" s="241"/>
      <c r="I3" s="241"/>
      <c r="J3" s="243"/>
      <c r="K3" s="243"/>
      <c r="L3" s="25"/>
      <c r="M3" s="25"/>
      <c r="N3" s="25"/>
      <c r="O3" s="25"/>
      <c r="P3" s="25"/>
      <c r="Q3" s="25"/>
      <c r="R3" s="25"/>
      <c r="S3" s="25"/>
      <c r="T3" s="25"/>
      <c r="U3" s="25"/>
      <c r="V3" s="25"/>
    </row>
    <row r="4" spans="1:22" x14ac:dyDescent="0.3">
      <c r="A4" s="444" t="s">
        <v>20</v>
      </c>
      <c r="B4" s="444"/>
      <c r="C4" s="445" t="s">
        <v>145</v>
      </c>
      <c r="D4" s="446"/>
      <c r="E4" s="446"/>
      <c r="F4" s="446"/>
      <c r="G4" s="446"/>
      <c r="H4" s="241"/>
      <c r="I4" s="241"/>
      <c r="J4" s="243"/>
      <c r="K4" s="243"/>
      <c r="L4" s="25"/>
      <c r="M4" s="25"/>
      <c r="N4" s="25"/>
      <c r="O4" s="25"/>
      <c r="P4" s="25"/>
      <c r="Q4" s="25"/>
      <c r="R4" s="25"/>
      <c r="S4" s="25"/>
      <c r="T4" s="25"/>
      <c r="U4" s="25"/>
      <c r="V4" s="25"/>
    </row>
    <row r="5" spans="1:22" s="15" customFormat="1" x14ac:dyDescent="0.3">
      <c r="A5" s="232" t="s">
        <v>146</v>
      </c>
      <c r="B5" s="244" t="s">
        <v>124</v>
      </c>
      <c r="C5" s="231" t="s">
        <v>147</v>
      </c>
      <c r="D5" s="231" t="s">
        <v>109</v>
      </c>
      <c r="E5" s="231" t="s">
        <v>148</v>
      </c>
      <c r="F5" s="245" t="s">
        <v>149</v>
      </c>
      <c r="G5" s="231" t="s">
        <v>150</v>
      </c>
      <c r="H5" s="231" t="s">
        <v>151</v>
      </c>
      <c r="I5" s="231" t="s">
        <v>152</v>
      </c>
      <c r="J5" s="231" t="s">
        <v>103</v>
      </c>
      <c r="K5" s="231" t="s">
        <v>153</v>
      </c>
      <c r="L5" s="241"/>
      <c r="M5" s="241"/>
      <c r="N5" s="241"/>
      <c r="O5" s="241"/>
      <c r="P5" s="241"/>
      <c r="Q5" s="241"/>
      <c r="R5" s="241"/>
      <c r="S5" s="241"/>
      <c r="T5" s="241"/>
      <c r="U5" s="241"/>
      <c r="V5" s="241"/>
    </row>
    <row r="6" spans="1:22" x14ac:dyDescent="0.3">
      <c r="A6"/>
      <c r="B6"/>
      <c r="C6"/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</row>
    <row r="7" spans="1:22" x14ac:dyDescent="0.3">
      <c r="A7">
        <f t="shared" ref="A7:A36" si="0">ROW()-6</f>
        <v>1</v>
      </c>
      <c r="B7" t="s">
        <v>447</v>
      </c>
      <c r="C7" s="21" t="s">
        <v>76</v>
      </c>
      <c r="D7">
        <v>1</v>
      </c>
      <c r="E7">
        <v>755</v>
      </c>
      <c r="F7">
        <v>755</v>
      </c>
      <c r="G7" t="s">
        <v>445</v>
      </c>
      <c r="H7"/>
      <c r="I7"/>
      <c r="J7" s="21" t="s">
        <v>97</v>
      </c>
      <c r="K7"/>
      <c r="L7"/>
      <c r="M7"/>
      <c r="N7"/>
      <c r="O7"/>
      <c r="P7"/>
      <c r="Q7"/>
      <c r="R7"/>
      <c r="S7"/>
      <c r="T7"/>
      <c r="U7"/>
      <c r="V7"/>
    </row>
    <row r="8" spans="1:22" x14ac:dyDescent="0.3">
      <c r="A8">
        <f t="shared" si="0"/>
        <v>2</v>
      </c>
      <c r="B8" t="s">
        <v>496</v>
      </c>
      <c r="C8" s="21" t="s">
        <v>85</v>
      </c>
      <c r="D8">
        <v>1</v>
      </c>
      <c r="E8">
        <v>2440</v>
      </c>
      <c r="F8">
        <v>2440</v>
      </c>
      <c r="G8" t="s">
        <v>534</v>
      </c>
      <c r="H8"/>
      <c r="I8"/>
      <c r="J8" s="21" t="s">
        <v>97</v>
      </c>
      <c r="K8"/>
      <c r="L8"/>
      <c r="M8"/>
      <c r="N8"/>
      <c r="O8"/>
      <c r="P8"/>
      <c r="Q8"/>
      <c r="R8"/>
      <c r="S8"/>
      <c r="T8"/>
      <c r="U8"/>
      <c r="V8"/>
    </row>
    <row r="9" spans="1:22" x14ac:dyDescent="0.3">
      <c r="A9">
        <f t="shared" si="0"/>
        <v>3</v>
      </c>
      <c r="B9" t="s">
        <v>378</v>
      </c>
      <c r="C9" s="21" t="s">
        <v>76</v>
      </c>
      <c r="D9">
        <v>8</v>
      </c>
      <c r="E9">
        <v>120</v>
      </c>
      <c r="F9">
        <v>958</v>
      </c>
      <c r="G9" t="s">
        <v>440</v>
      </c>
      <c r="H9"/>
      <c r="I9"/>
      <c r="J9" s="21" t="s">
        <v>97</v>
      </c>
      <c r="K9"/>
      <c r="L9"/>
      <c r="M9"/>
      <c r="N9"/>
      <c r="O9"/>
      <c r="P9"/>
      <c r="Q9"/>
      <c r="R9"/>
      <c r="S9"/>
      <c r="T9"/>
      <c r="U9"/>
      <c r="V9"/>
    </row>
    <row r="10" spans="1:22" x14ac:dyDescent="0.3">
      <c r="A10">
        <f t="shared" si="0"/>
        <v>4</v>
      </c>
      <c r="B10" t="s">
        <v>378</v>
      </c>
      <c r="C10" s="21" t="s">
        <v>76</v>
      </c>
      <c r="D10">
        <v>4</v>
      </c>
      <c r="E10">
        <v>199</v>
      </c>
      <c r="F10">
        <v>797</v>
      </c>
      <c r="G10" t="s">
        <v>441</v>
      </c>
      <c r="H10"/>
      <c r="I10"/>
      <c r="J10" s="21" t="s">
        <v>97</v>
      </c>
      <c r="K10"/>
      <c r="L10"/>
      <c r="M10"/>
      <c r="N10"/>
      <c r="O10"/>
      <c r="P10"/>
      <c r="Q10"/>
      <c r="R10"/>
      <c r="S10"/>
      <c r="T10"/>
      <c r="U10"/>
      <c r="V10"/>
    </row>
    <row r="11" spans="1:22" x14ac:dyDescent="0.3">
      <c r="A11">
        <f t="shared" si="0"/>
        <v>5</v>
      </c>
      <c r="B11" t="s">
        <v>378</v>
      </c>
      <c r="C11" s="21" t="s">
        <v>76</v>
      </c>
      <c r="D11">
        <v>16</v>
      </c>
      <c r="E11">
        <v>155</v>
      </c>
      <c r="F11">
        <v>2482</v>
      </c>
      <c r="G11" t="s">
        <v>523</v>
      </c>
      <c r="H11"/>
      <c r="I11"/>
      <c r="J11" s="21" t="s">
        <v>97</v>
      </c>
      <c r="K11"/>
      <c r="L11"/>
      <c r="M11"/>
      <c r="N11"/>
      <c r="O11"/>
      <c r="P11"/>
      <c r="Q11"/>
      <c r="R11"/>
      <c r="S11"/>
      <c r="T11"/>
      <c r="U11"/>
      <c r="V11"/>
    </row>
    <row r="12" spans="1:22" x14ac:dyDescent="0.3">
      <c r="A12">
        <f t="shared" si="0"/>
        <v>6</v>
      </c>
      <c r="B12" t="s">
        <v>378</v>
      </c>
      <c r="C12" s="21" t="s">
        <v>76</v>
      </c>
      <c r="D12">
        <v>2</v>
      </c>
      <c r="E12">
        <v>288</v>
      </c>
      <c r="F12">
        <v>577</v>
      </c>
      <c r="G12" t="s">
        <v>443</v>
      </c>
      <c r="H12"/>
      <c r="I12"/>
      <c r="J12" s="21" t="s">
        <v>97</v>
      </c>
      <c r="K12"/>
      <c r="L12"/>
      <c r="M12"/>
      <c r="N12"/>
      <c r="O12"/>
      <c r="P12"/>
      <c r="Q12"/>
      <c r="R12"/>
      <c r="S12"/>
      <c r="T12"/>
      <c r="U12"/>
      <c r="V12"/>
    </row>
    <row r="13" spans="1:22" x14ac:dyDescent="0.3">
      <c r="A13">
        <f t="shared" si="0"/>
        <v>7</v>
      </c>
      <c r="B13" t="s">
        <v>378</v>
      </c>
      <c r="C13" s="21" t="s">
        <v>76</v>
      </c>
      <c r="D13">
        <v>8</v>
      </c>
      <c r="E13">
        <v>183</v>
      </c>
      <c r="F13">
        <v>1462</v>
      </c>
      <c r="G13" t="s">
        <v>442</v>
      </c>
      <c r="H13"/>
      <c r="I13"/>
      <c r="J13" s="21" t="s">
        <v>97</v>
      </c>
      <c r="K13"/>
      <c r="L13"/>
      <c r="M13"/>
      <c r="N13"/>
      <c r="O13"/>
      <c r="P13"/>
      <c r="Q13"/>
      <c r="R13"/>
      <c r="S13"/>
      <c r="T13"/>
      <c r="U13"/>
      <c r="V13"/>
    </row>
    <row r="14" spans="1:22" x14ac:dyDescent="0.3">
      <c r="A14">
        <f t="shared" si="0"/>
        <v>8</v>
      </c>
      <c r="B14" t="s">
        <v>378</v>
      </c>
      <c r="C14" s="21" t="s">
        <v>76</v>
      </c>
      <c r="D14">
        <v>12</v>
      </c>
      <c r="E14">
        <v>230</v>
      </c>
      <c r="F14">
        <v>2757</v>
      </c>
      <c r="G14" t="s">
        <v>442</v>
      </c>
      <c r="H14"/>
      <c r="I14"/>
      <c r="J14" s="21" t="s">
        <v>97</v>
      </c>
      <c r="K14"/>
      <c r="L14"/>
      <c r="M14"/>
      <c r="N14"/>
      <c r="O14"/>
      <c r="P14"/>
      <c r="Q14"/>
      <c r="R14"/>
      <c r="S14"/>
      <c r="T14"/>
      <c r="U14"/>
      <c r="V14"/>
    </row>
    <row r="15" spans="1:22" x14ac:dyDescent="0.3">
      <c r="A15">
        <f t="shared" si="0"/>
        <v>9</v>
      </c>
      <c r="B15" t="s">
        <v>378</v>
      </c>
      <c r="C15" s="21" t="s">
        <v>76</v>
      </c>
      <c r="D15">
        <v>12</v>
      </c>
      <c r="E15">
        <v>355</v>
      </c>
      <c r="F15">
        <v>4264</v>
      </c>
      <c r="G15" t="s">
        <v>444</v>
      </c>
      <c r="H15"/>
      <c r="I15"/>
      <c r="J15" s="21" t="s">
        <v>97</v>
      </c>
      <c r="K15"/>
      <c r="L15"/>
      <c r="M15"/>
      <c r="N15"/>
      <c r="O15"/>
      <c r="P15"/>
      <c r="Q15"/>
      <c r="R15"/>
      <c r="S15"/>
      <c r="T15"/>
      <c r="U15"/>
      <c r="V15"/>
    </row>
    <row r="16" spans="1:22" x14ac:dyDescent="0.3">
      <c r="A16">
        <f t="shared" si="0"/>
        <v>10</v>
      </c>
      <c r="B16" t="s">
        <v>378</v>
      </c>
      <c r="C16" s="21" t="s">
        <v>76</v>
      </c>
      <c r="D16">
        <v>8</v>
      </c>
      <c r="E16">
        <v>480</v>
      </c>
      <c r="F16">
        <v>3843</v>
      </c>
      <c r="G16" t="s">
        <v>524</v>
      </c>
      <c r="H16"/>
      <c r="I16"/>
      <c r="J16" s="21" t="s">
        <v>97</v>
      </c>
      <c r="K16"/>
      <c r="L16"/>
      <c r="M16"/>
      <c r="N16"/>
      <c r="O16"/>
      <c r="P16"/>
      <c r="Q16"/>
      <c r="R16"/>
      <c r="S16"/>
      <c r="T16"/>
      <c r="U16"/>
      <c r="V16"/>
    </row>
    <row r="17" spans="1:22" x14ac:dyDescent="0.3">
      <c r="A17">
        <f t="shared" si="0"/>
        <v>11</v>
      </c>
      <c r="B17" t="s">
        <v>378</v>
      </c>
      <c r="C17" s="21" t="s">
        <v>76</v>
      </c>
      <c r="D17">
        <v>3</v>
      </c>
      <c r="E17">
        <v>94</v>
      </c>
      <c r="F17">
        <v>281</v>
      </c>
      <c r="G17" t="s">
        <v>525</v>
      </c>
      <c r="H17"/>
      <c r="I17"/>
      <c r="J17" s="21" t="s">
        <v>97</v>
      </c>
      <c r="K17"/>
      <c r="L17"/>
      <c r="M17"/>
      <c r="N17"/>
      <c r="O17"/>
      <c r="P17"/>
      <c r="Q17"/>
      <c r="R17"/>
      <c r="S17"/>
      <c r="T17"/>
      <c r="U17"/>
      <c r="V17"/>
    </row>
    <row r="18" spans="1:22" x14ac:dyDescent="0.3">
      <c r="A18">
        <f t="shared" si="0"/>
        <v>12</v>
      </c>
      <c r="B18" t="s">
        <v>378</v>
      </c>
      <c r="C18" s="21" t="s">
        <v>76</v>
      </c>
      <c r="D18">
        <v>9</v>
      </c>
      <c r="E18">
        <v>65</v>
      </c>
      <c r="F18">
        <v>581</v>
      </c>
      <c r="G18" t="s">
        <v>526</v>
      </c>
      <c r="H18"/>
      <c r="I18"/>
      <c r="J18" s="21" t="s">
        <v>97</v>
      </c>
      <c r="K18"/>
      <c r="L18"/>
      <c r="M18"/>
      <c r="N18"/>
      <c r="O18"/>
      <c r="P18"/>
      <c r="Q18"/>
      <c r="R18"/>
      <c r="S18"/>
      <c r="T18"/>
      <c r="U18"/>
      <c r="V18"/>
    </row>
    <row r="19" spans="1:22" x14ac:dyDescent="0.3">
      <c r="A19">
        <f t="shared" si="0"/>
        <v>13</v>
      </c>
      <c r="B19" t="s">
        <v>378</v>
      </c>
      <c r="C19" s="21" t="s">
        <v>76</v>
      </c>
      <c r="D19">
        <v>24</v>
      </c>
      <c r="E19">
        <v>65</v>
      </c>
      <c r="F19">
        <v>1552</v>
      </c>
      <c r="G19" t="s">
        <v>527</v>
      </c>
      <c r="H19"/>
      <c r="I19"/>
      <c r="J19" s="21" t="s">
        <v>97</v>
      </c>
      <c r="K19"/>
      <c r="L19"/>
      <c r="M19"/>
      <c r="N19"/>
      <c r="O19"/>
      <c r="P19"/>
      <c r="Q19"/>
      <c r="R19"/>
      <c r="S19"/>
      <c r="T19"/>
      <c r="U19"/>
      <c r="V19"/>
    </row>
    <row r="20" spans="1:22" x14ac:dyDescent="0.3">
      <c r="A20">
        <f t="shared" si="0"/>
        <v>14</v>
      </c>
      <c r="B20" t="s">
        <v>378</v>
      </c>
      <c r="C20" s="21" t="s">
        <v>76</v>
      </c>
      <c r="D20">
        <v>3</v>
      </c>
      <c r="E20">
        <v>302</v>
      </c>
      <c r="F20">
        <v>906</v>
      </c>
      <c r="G20" t="s">
        <v>528</v>
      </c>
      <c r="H20"/>
      <c r="I20"/>
      <c r="J20" s="21" t="s">
        <v>97</v>
      </c>
      <c r="K20"/>
      <c r="L20"/>
      <c r="M20"/>
      <c r="N20"/>
      <c r="O20"/>
      <c r="P20"/>
      <c r="Q20"/>
      <c r="R20"/>
      <c r="S20"/>
      <c r="T20"/>
      <c r="U20"/>
      <c r="V20"/>
    </row>
    <row r="21" spans="1:22" x14ac:dyDescent="0.3">
      <c r="A21">
        <f t="shared" si="0"/>
        <v>15</v>
      </c>
      <c r="B21" t="s">
        <v>491</v>
      </c>
      <c r="C21" s="21" t="s">
        <v>85</v>
      </c>
      <c r="D21">
        <v>4</v>
      </c>
      <c r="E21">
        <v>96</v>
      </c>
      <c r="F21">
        <v>383</v>
      </c>
      <c r="G21" t="s">
        <v>529</v>
      </c>
      <c r="H21"/>
      <c r="I21"/>
      <c r="J21" s="21" t="s">
        <v>435</v>
      </c>
      <c r="K21"/>
      <c r="L21"/>
      <c r="M21"/>
      <c r="N21"/>
      <c r="O21"/>
      <c r="P21"/>
      <c r="Q21"/>
      <c r="R21"/>
      <c r="S21"/>
      <c r="T21"/>
      <c r="U21"/>
      <c r="V21"/>
    </row>
    <row r="22" spans="1:22" x14ac:dyDescent="0.3">
      <c r="A22">
        <f t="shared" si="0"/>
        <v>16</v>
      </c>
      <c r="B22" t="s">
        <v>491</v>
      </c>
      <c r="C22" s="21" t="s">
        <v>85</v>
      </c>
      <c r="D22">
        <v>4</v>
      </c>
      <c r="E22">
        <v>33</v>
      </c>
      <c r="F22">
        <v>133</v>
      </c>
      <c r="G22" t="s">
        <v>529</v>
      </c>
      <c r="H22"/>
      <c r="I22"/>
      <c r="J22" s="21" t="s">
        <v>530</v>
      </c>
      <c r="K22"/>
      <c r="L22"/>
      <c r="M22"/>
      <c r="N22"/>
      <c r="O22"/>
      <c r="P22"/>
      <c r="Q22"/>
      <c r="R22"/>
      <c r="S22"/>
      <c r="T22"/>
      <c r="U22"/>
      <c r="V22"/>
    </row>
    <row r="23" spans="1:22" x14ac:dyDescent="0.3">
      <c r="A23">
        <f t="shared" si="0"/>
        <v>17</v>
      </c>
      <c r="B23" t="s">
        <v>491</v>
      </c>
      <c r="C23" s="21" t="s">
        <v>85</v>
      </c>
      <c r="D23">
        <v>4</v>
      </c>
      <c r="E23">
        <v>71</v>
      </c>
      <c r="F23">
        <v>282</v>
      </c>
      <c r="G23" t="s">
        <v>529</v>
      </c>
      <c r="H23"/>
      <c r="I23"/>
      <c r="J23" s="21" t="s">
        <v>531</v>
      </c>
      <c r="K23"/>
      <c r="L23"/>
      <c r="M23"/>
      <c r="N23"/>
      <c r="O23"/>
      <c r="P23"/>
      <c r="Q23"/>
      <c r="R23"/>
      <c r="S23"/>
      <c r="T23"/>
      <c r="U23"/>
      <c r="V23"/>
    </row>
    <row r="24" spans="1:22" x14ac:dyDescent="0.3">
      <c r="A24">
        <f t="shared" si="0"/>
        <v>18</v>
      </c>
      <c r="B24" t="s">
        <v>420</v>
      </c>
      <c r="C24" s="21" t="s">
        <v>85</v>
      </c>
      <c r="D24">
        <v>1</v>
      </c>
      <c r="E24">
        <v>114</v>
      </c>
      <c r="F24">
        <v>114</v>
      </c>
      <c r="G24" t="s">
        <v>532</v>
      </c>
      <c r="H24"/>
      <c r="I24"/>
      <c r="J24" s="21" t="s">
        <v>533</v>
      </c>
      <c r="K24"/>
      <c r="L24"/>
      <c r="M24"/>
      <c r="N24"/>
      <c r="O24"/>
      <c r="P24"/>
      <c r="Q24"/>
      <c r="R24"/>
      <c r="S24"/>
      <c r="T24"/>
      <c r="U24"/>
      <c r="V24"/>
    </row>
    <row r="25" spans="1:22" x14ac:dyDescent="0.3">
      <c r="A25">
        <f t="shared" si="0"/>
        <v>19</v>
      </c>
      <c r="B25" t="s">
        <v>477</v>
      </c>
      <c r="C25" s="21" t="s">
        <v>85</v>
      </c>
      <c r="D25">
        <v>4</v>
      </c>
      <c r="E25">
        <v>38</v>
      </c>
      <c r="F25">
        <v>150</v>
      </c>
      <c r="G25" t="s">
        <v>520</v>
      </c>
      <c r="H25"/>
      <c r="I25"/>
      <c r="J25" s="21" t="s">
        <v>97</v>
      </c>
      <c r="K25"/>
      <c r="L25"/>
      <c r="M25"/>
      <c r="N25"/>
      <c r="O25"/>
      <c r="P25"/>
      <c r="Q25"/>
      <c r="R25"/>
      <c r="S25"/>
      <c r="T25"/>
      <c r="U25"/>
      <c r="V25"/>
    </row>
    <row r="26" spans="1:22" x14ac:dyDescent="0.3">
      <c r="A26">
        <f t="shared" si="0"/>
        <v>20</v>
      </c>
      <c r="B26" t="s">
        <v>500</v>
      </c>
      <c r="C26" s="21" t="s">
        <v>85</v>
      </c>
      <c r="D26">
        <v>4</v>
      </c>
      <c r="E26">
        <v>26</v>
      </c>
      <c r="F26">
        <v>103</v>
      </c>
      <c r="G26" t="s">
        <v>529</v>
      </c>
      <c r="H26"/>
      <c r="I26"/>
      <c r="J26" s="21" t="s">
        <v>97</v>
      </c>
      <c r="K26"/>
      <c r="L26"/>
      <c r="M26"/>
      <c r="N26"/>
      <c r="O26"/>
      <c r="P26"/>
      <c r="Q26"/>
      <c r="R26"/>
      <c r="S26"/>
      <c r="T26"/>
      <c r="U26"/>
      <c r="V26"/>
    </row>
    <row r="27" spans="1:22" x14ac:dyDescent="0.3">
      <c r="A27">
        <f t="shared" si="0"/>
        <v>21</v>
      </c>
      <c r="B27" t="s">
        <v>433</v>
      </c>
      <c r="C27" s="21" t="s">
        <v>76</v>
      </c>
      <c r="D27">
        <v>60</v>
      </c>
      <c r="E27">
        <v>15</v>
      </c>
      <c r="F27">
        <v>897</v>
      </c>
      <c r="G27" t="s">
        <v>445</v>
      </c>
      <c r="H27"/>
      <c r="I27"/>
      <c r="J27" s="21" t="s">
        <v>97</v>
      </c>
      <c r="K27"/>
      <c r="L27"/>
      <c r="M27"/>
      <c r="N27"/>
      <c r="O27"/>
      <c r="P27"/>
      <c r="Q27"/>
      <c r="R27"/>
      <c r="S27"/>
      <c r="T27"/>
      <c r="U27"/>
      <c r="V27"/>
    </row>
    <row r="28" spans="1:22" x14ac:dyDescent="0.3">
      <c r="A28">
        <f t="shared" si="0"/>
        <v>22</v>
      </c>
      <c r="B28" t="s">
        <v>416</v>
      </c>
      <c r="C28" s="21" t="s">
        <v>76</v>
      </c>
      <c r="D28">
        <v>2</v>
      </c>
      <c r="E28">
        <v>2855</v>
      </c>
      <c r="F28">
        <v>5711</v>
      </c>
      <c r="G28" t="s">
        <v>437</v>
      </c>
      <c r="H28"/>
      <c r="I28"/>
      <c r="J28" s="21" t="s">
        <v>438</v>
      </c>
      <c r="K28"/>
      <c r="L28"/>
      <c r="M28"/>
      <c r="N28"/>
      <c r="O28"/>
      <c r="P28"/>
      <c r="Q28"/>
      <c r="R28"/>
      <c r="S28"/>
      <c r="T28"/>
      <c r="U28"/>
      <c r="V28"/>
    </row>
    <row r="29" spans="1:22" x14ac:dyDescent="0.3">
      <c r="A29">
        <f t="shared" si="0"/>
        <v>23</v>
      </c>
      <c r="B29" t="s">
        <v>417</v>
      </c>
      <c r="C29" s="21" t="s">
        <v>76</v>
      </c>
      <c r="D29">
        <v>2</v>
      </c>
      <c r="E29">
        <v>4056</v>
      </c>
      <c r="F29">
        <v>8112</v>
      </c>
      <c r="G29" t="s">
        <v>439</v>
      </c>
      <c r="H29"/>
      <c r="I29"/>
      <c r="J29" s="21" t="s">
        <v>522</v>
      </c>
      <c r="K29"/>
      <c r="L29"/>
      <c r="M29"/>
      <c r="N29"/>
      <c r="O29"/>
      <c r="P29"/>
      <c r="Q29"/>
      <c r="R29"/>
      <c r="S29"/>
      <c r="T29"/>
      <c r="U29"/>
      <c r="V29"/>
    </row>
    <row r="30" spans="1:22" x14ac:dyDescent="0.3">
      <c r="A30">
        <f t="shared" si="0"/>
        <v>24</v>
      </c>
      <c r="B30" t="s">
        <v>410</v>
      </c>
      <c r="C30" s="21" t="s">
        <v>76</v>
      </c>
      <c r="D30">
        <v>4</v>
      </c>
      <c r="E30">
        <v>1371</v>
      </c>
      <c r="F30">
        <v>5486</v>
      </c>
      <c r="G30" t="s">
        <v>511</v>
      </c>
      <c r="H30"/>
      <c r="I30"/>
      <c r="J30" s="21" t="s">
        <v>512</v>
      </c>
      <c r="K30"/>
      <c r="L30"/>
      <c r="M30"/>
      <c r="N30"/>
      <c r="O30"/>
      <c r="P30"/>
      <c r="Q30"/>
      <c r="R30"/>
      <c r="S30"/>
      <c r="T30"/>
      <c r="U30"/>
      <c r="V30"/>
    </row>
    <row r="31" spans="1:22" x14ac:dyDescent="0.3">
      <c r="A31">
        <f t="shared" si="0"/>
        <v>25</v>
      </c>
      <c r="B31" t="s">
        <v>468</v>
      </c>
      <c r="C31" s="21" t="s">
        <v>81</v>
      </c>
      <c r="D31">
        <v>4</v>
      </c>
      <c r="E31">
        <v>2126</v>
      </c>
      <c r="F31">
        <v>8505</v>
      </c>
      <c r="G31" t="s">
        <v>515</v>
      </c>
      <c r="H31"/>
      <c r="I31"/>
      <c r="J31" s="21" t="s">
        <v>516</v>
      </c>
      <c r="K31"/>
      <c r="L31"/>
      <c r="M31"/>
      <c r="N31"/>
      <c r="O31"/>
      <c r="P31"/>
      <c r="Q31"/>
      <c r="R31"/>
      <c r="S31"/>
      <c r="T31"/>
      <c r="U31"/>
      <c r="V31"/>
    </row>
    <row r="32" spans="1:22" x14ac:dyDescent="0.3">
      <c r="A32">
        <f t="shared" si="0"/>
        <v>26</v>
      </c>
      <c r="B32" t="s">
        <v>468</v>
      </c>
      <c r="C32" s="21" t="s">
        <v>81</v>
      </c>
      <c r="D32">
        <v>4</v>
      </c>
      <c r="E32">
        <v>1070</v>
      </c>
      <c r="F32">
        <v>4281</v>
      </c>
      <c r="G32" t="s">
        <v>517</v>
      </c>
      <c r="H32"/>
      <c r="I32"/>
      <c r="J32" s="21" t="s">
        <v>518</v>
      </c>
      <c r="K32"/>
      <c r="L32"/>
      <c r="M32"/>
      <c r="N32"/>
      <c r="O32"/>
      <c r="P32"/>
      <c r="Q32"/>
      <c r="R32"/>
      <c r="S32"/>
      <c r="T32"/>
      <c r="U32"/>
      <c r="V32"/>
    </row>
    <row r="33" spans="1:22" x14ac:dyDescent="0.3">
      <c r="A33">
        <f t="shared" si="0"/>
        <v>27</v>
      </c>
      <c r="B33" t="s">
        <v>413</v>
      </c>
      <c r="C33" s="21" t="s">
        <v>76</v>
      </c>
      <c r="D33">
        <v>6</v>
      </c>
      <c r="E33">
        <v>1332</v>
      </c>
      <c r="F33">
        <v>7991</v>
      </c>
      <c r="G33" t="s">
        <v>513</v>
      </c>
      <c r="H33"/>
      <c r="I33"/>
      <c r="J33" s="21" t="s">
        <v>514</v>
      </c>
      <c r="K33"/>
      <c r="L33"/>
      <c r="M33"/>
      <c r="N33"/>
      <c r="O33"/>
      <c r="P33"/>
      <c r="Q33"/>
      <c r="R33"/>
      <c r="S33"/>
      <c r="T33"/>
      <c r="U33"/>
      <c r="V33"/>
    </row>
    <row r="34" spans="1:22" x14ac:dyDescent="0.3">
      <c r="A34">
        <f t="shared" si="0"/>
        <v>28</v>
      </c>
      <c r="B34" t="s">
        <v>473</v>
      </c>
      <c r="C34" s="21" t="s">
        <v>76</v>
      </c>
      <c r="D34">
        <v>6</v>
      </c>
      <c r="E34">
        <v>2623</v>
      </c>
      <c r="F34">
        <v>15737</v>
      </c>
      <c r="G34" t="s">
        <v>513</v>
      </c>
      <c r="H34"/>
      <c r="I34"/>
      <c r="J34" s="21" t="s">
        <v>519</v>
      </c>
      <c r="K34"/>
      <c r="L34"/>
      <c r="M34"/>
      <c r="N34"/>
      <c r="O34"/>
      <c r="P34"/>
      <c r="Q34"/>
      <c r="R34"/>
      <c r="S34"/>
      <c r="T34"/>
      <c r="U34"/>
      <c r="V34"/>
    </row>
    <row r="35" spans="1:22" x14ac:dyDescent="0.3">
      <c r="A35">
        <f t="shared" si="0"/>
        <v>29</v>
      </c>
      <c r="B35" t="s">
        <v>450</v>
      </c>
      <c r="C35" s="21" t="s">
        <v>76</v>
      </c>
      <c r="D35">
        <v>4</v>
      </c>
      <c r="E35">
        <v>8998</v>
      </c>
      <c r="F35">
        <v>35991</v>
      </c>
      <c r="G35" t="s">
        <v>509</v>
      </c>
      <c r="H35"/>
      <c r="I35"/>
      <c r="J35" s="21" t="s">
        <v>510</v>
      </c>
      <c r="K35"/>
      <c r="L35"/>
      <c r="M35"/>
      <c r="N35"/>
      <c r="O35"/>
      <c r="P35"/>
      <c r="Q35"/>
      <c r="R35"/>
      <c r="S35"/>
      <c r="T35"/>
      <c r="U35"/>
      <c r="V35"/>
    </row>
    <row r="36" spans="1:22" x14ac:dyDescent="0.3">
      <c r="A36">
        <f t="shared" si="0"/>
        <v>30</v>
      </c>
      <c r="B36" t="s">
        <v>415</v>
      </c>
      <c r="C36" s="21" t="s">
        <v>76</v>
      </c>
      <c r="D36">
        <v>17</v>
      </c>
      <c r="E36">
        <v>1466</v>
      </c>
      <c r="F36">
        <v>24919</v>
      </c>
      <c r="G36" t="s">
        <v>436</v>
      </c>
      <c r="H36"/>
      <c r="I36"/>
      <c r="J36" s="21" t="s">
        <v>521</v>
      </c>
      <c r="K36"/>
      <c r="L36"/>
      <c r="M36"/>
      <c r="N36"/>
      <c r="O36"/>
      <c r="P36"/>
      <c r="Q36"/>
      <c r="R36"/>
      <c r="S36"/>
      <c r="T36"/>
      <c r="U36"/>
      <c r="V36"/>
    </row>
    <row r="37" spans="1:22" x14ac:dyDescent="0.3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</row>
    <row r="38" spans="1:22" x14ac:dyDescent="0.3">
      <c r="A38"/>
      <c r="B38"/>
      <c r="C38" t="s">
        <v>154</v>
      </c>
      <c r="D38">
        <f>SUM(D7:D37)</f>
        <v>241</v>
      </c>
      <c r="E38"/>
      <c r="F38">
        <f>SUM(F7:F37)</f>
        <v>142450</v>
      </c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</row>
    <row r="39" spans="1:22" x14ac:dyDescent="0.3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</row>
    <row r="40" spans="1:22" x14ac:dyDescent="0.3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</row>
    <row r="41" spans="1:22" x14ac:dyDescent="0.3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</row>
    <row r="42" spans="1:22" x14ac:dyDescent="0.3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</row>
    <row r="43" spans="1:22" x14ac:dyDescent="0.3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</row>
    <row r="44" spans="1:22" x14ac:dyDescent="0.3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</row>
    <row r="45" spans="1:22" x14ac:dyDescent="0.3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</row>
    <row r="46" spans="1:22" x14ac:dyDescent="0.3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</row>
    <row r="47" spans="1:22" x14ac:dyDescent="0.3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</row>
    <row r="48" spans="1:22" x14ac:dyDescent="0.3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</row>
    <row r="49" spans="1:22" x14ac:dyDescent="0.3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</row>
    <row r="50" spans="1:22" x14ac:dyDescent="0.3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</row>
    <row r="51" spans="1:22" x14ac:dyDescent="0.3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</row>
    <row r="52" spans="1:22" x14ac:dyDescent="0.3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</row>
    <row r="53" spans="1:22" x14ac:dyDescent="0.3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</row>
    <row r="54" spans="1:22" x14ac:dyDescent="0.3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</row>
    <row r="55" spans="1:22" x14ac:dyDescent="0.3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</row>
    <row r="56" spans="1:22" x14ac:dyDescent="0.3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</row>
    <row r="57" spans="1:22" x14ac:dyDescent="0.3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</row>
    <row r="58" spans="1:22" x14ac:dyDescent="0.3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</row>
    <row r="59" spans="1:22" x14ac:dyDescent="0.3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</row>
    <row r="60" spans="1:22" x14ac:dyDescent="0.3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</row>
    <row r="61" spans="1:22" x14ac:dyDescent="0.3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</row>
    <row r="62" spans="1:22" x14ac:dyDescent="0.3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</row>
    <row r="63" spans="1:22" x14ac:dyDescent="0.3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</row>
    <row r="64" spans="1:22" x14ac:dyDescent="0.3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</row>
    <row r="65" spans="1:22" x14ac:dyDescent="0.3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</row>
    <row r="66" spans="1:22" x14ac:dyDescent="0.3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</row>
    <row r="67" spans="1:22" x14ac:dyDescent="0.3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</row>
    <row r="68" spans="1:22" x14ac:dyDescent="0.3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</row>
    <row r="69" spans="1:22" x14ac:dyDescent="0.3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</row>
    <row r="70" spans="1:22" x14ac:dyDescent="0.3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</row>
    <row r="71" spans="1:22" x14ac:dyDescent="0.3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</row>
    <row r="72" spans="1:22" x14ac:dyDescent="0.3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</row>
    <row r="73" spans="1:22" x14ac:dyDescent="0.3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</row>
    <row r="74" spans="1:22" x14ac:dyDescent="0.3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</row>
    <row r="75" spans="1:22" x14ac:dyDescent="0.3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</row>
    <row r="76" spans="1:22" x14ac:dyDescent="0.3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</row>
    <row r="77" spans="1:22" x14ac:dyDescent="0.3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</row>
    <row r="78" spans="1:22" x14ac:dyDescent="0.3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</row>
    <row r="79" spans="1:22" x14ac:dyDescent="0.3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</row>
    <row r="80" spans="1:22" x14ac:dyDescent="0.3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</row>
    <row r="81" spans="1:22" x14ac:dyDescent="0.3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</row>
    <row r="82" spans="1:22" x14ac:dyDescent="0.3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</row>
    <row r="83" spans="1:22" x14ac:dyDescent="0.3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</row>
    <row r="84" spans="1:22" x14ac:dyDescent="0.3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</row>
    <row r="85" spans="1:22" x14ac:dyDescent="0.3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</row>
    <row r="86" spans="1:22" x14ac:dyDescent="0.3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</row>
    <row r="87" spans="1:22" x14ac:dyDescent="0.3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</row>
    <row r="88" spans="1:22" x14ac:dyDescent="0.3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</row>
    <row r="89" spans="1:22" x14ac:dyDescent="0.3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</row>
    <row r="90" spans="1:22" x14ac:dyDescent="0.3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</row>
    <row r="91" spans="1:22" x14ac:dyDescent="0.3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</row>
    <row r="92" spans="1:22" x14ac:dyDescent="0.3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</row>
    <row r="93" spans="1:22" x14ac:dyDescent="0.3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</row>
    <row r="94" spans="1:22" x14ac:dyDescent="0.3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</row>
    <row r="95" spans="1:22" x14ac:dyDescent="0.3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</row>
    <row r="96" spans="1:22" x14ac:dyDescent="0.3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</row>
    <row r="97" spans="1:22" x14ac:dyDescent="0.3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</row>
    <row r="98" spans="1:22" x14ac:dyDescent="0.3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</row>
    <row r="99" spans="1:22" x14ac:dyDescent="0.3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</row>
    <row r="100" spans="1:22" x14ac:dyDescent="0.3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</row>
    <row r="101" spans="1:22" x14ac:dyDescent="0.3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</row>
    <row r="102" spans="1:22" x14ac:dyDescent="0.3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</row>
    <row r="103" spans="1:22" x14ac:dyDescent="0.3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</row>
    <row r="104" spans="1:22" x14ac:dyDescent="0.3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</row>
    <row r="105" spans="1:22" x14ac:dyDescent="0.3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</row>
    <row r="106" spans="1:22" x14ac:dyDescent="0.3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</row>
    <row r="107" spans="1:22" x14ac:dyDescent="0.3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</row>
    <row r="108" spans="1:22" x14ac:dyDescent="0.3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</row>
    <row r="109" spans="1:22" x14ac:dyDescent="0.3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</row>
    <row r="110" spans="1:22" x14ac:dyDescent="0.3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</row>
    <row r="111" spans="1:22" x14ac:dyDescent="0.3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</row>
    <row r="112" spans="1:22" x14ac:dyDescent="0.3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</row>
    <row r="113" spans="1:22" x14ac:dyDescent="0.3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</row>
    <row r="114" spans="1:22" x14ac:dyDescent="0.3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</row>
    <row r="115" spans="1:22" x14ac:dyDescent="0.3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</row>
    <row r="116" spans="1:22" x14ac:dyDescent="0.3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</row>
    <row r="117" spans="1:22" x14ac:dyDescent="0.3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</row>
    <row r="118" spans="1:22" x14ac:dyDescent="0.3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</row>
    <row r="119" spans="1:22" x14ac:dyDescent="0.3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</row>
    <row r="120" spans="1:22" x14ac:dyDescent="0.3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</row>
    <row r="121" spans="1:22" x14ac:dyDescent="0.3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</row>
    <row r="122" spans="1:22" x14ac:dyDescent="0.3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</row>
    <row r="123" spans="1:22" x14ac:dyDescent="0.3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</row>
    <row r="124" spans="1:22" x14ac:dyDescent="0.3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</row>
    <row r="125" spans="1:22" x14ac:dyDescent="0.3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</row>
    <row r="126" spans="1:22" x14ac:dyDescent="0.3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</row>
    <row r="127" spans="1:22" x14ac:dyDescent="0.3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</row>
    <row r="128" spans="1:22" x14ac:dyDescent="0.3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</row>
    <row r="129" spans="1:22" x14ac:dyDescent="0.3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</row>
    <row r="130" spans="1:22" x14ac:dyDescent="0.3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</row>
    <row r="131" spans="1:22" x14ac:dyDescent="0.3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</row>
    <row r="132" spans="1:22" x14ac:dyDescent="0.3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</row>
    <row r="133" spans="1:22" x14ac:dyDescent="0.3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</row>
    <row r="134" spans="1:22" x14ac:dyDescent="0.3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</row>
    <row r="135" spans="1:22" x14ac:dyDescent="0.3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</row>
    <row r="136" spans="1:22" x14ac:dyDescent="0.3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</row>
    <row r="137" spans="1:22" x14ac:dyDescent="0.3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</row>
    <row r="138" spans="1:22" x14ac:dyDescent="0.3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</row>
    <row r="139" spans="1:22" x14ac:dyDescent="0.3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</row>
    <row r="140" spans="1:22" x14ac:dyDescent="0.3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</row>
    <row r="141" spans="1:22" x14ac:dyDescent="0.3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</row>
    <row r="142" spans="1:22" x14ac:dyDescent="0.3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</row>
    <row r="143" spans="1:22" x14ac:dyDescent="0.3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</row>
    <row r="144" spans="1:22" x14ac:dyDescent="0.3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</row>
    <row r="145" spans="1:22" x14ac:dyDescent="0.3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</row>
    <row r="146" spans="1:22" x14ac:dyDescent="0.3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</row>
    <row r="147" spans="1:22" x14ac:dyDescent="0.3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</row>
    <row r="148" spans="1:22" x14ac:dyDescent="0.3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</row>
    <row r="149" spans="1:22" x14ac:dyDescent="0.3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</row>
    <row r="150" spans="1:22" x14ac:dyDescent="0.3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</row>
    <row r="151" spans="1:22" x14ac:dyDescent="0.3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</row>
    <row r="152" spans="1:22" x14ac:dyDescent="0.3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</row>
    <row r="153" spans="1:22" x14ac:dyDescent="0.3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</row>
    <row r="154" spans="1:22" x14ac:dyDescent="0.3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</row>
    <row r="155" spans="1:22" x14ac:dyDescent="0.3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</row>
    <row r="156" spans="1:22" x14ac:dyDescent="0.3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</row>
    <row r="157" spans="1:22" x14ac:dyDescent="0.3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</row>
    <row r="158" spans="1:22" x14ac:dyDescent="0.3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</row>
    <row r="159" spans="1:22" x14ac:dyDescent="0.3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</row>
    <row r="160" spans="1:22" x14ac:dyDescent="0.3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</row>
    <row r="161" spans="1:22" x14ac:dyDescent="0.3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</row>
    <row r="162" spans="1:22" x14ac:dyDescent="0.3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</row>
    <row r="163" spans="1:22" x14ac:dyDescent="0.3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</row>
    <row r="164" spans="1:22" x14ac:dyDescent="0.3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</row>
    <row r="165" spans="1:22" x14ac:dyDescent="0.3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</row>
    <row r="166" spans="1:22" x14ac:dyDescent="0.3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</row>
    <row r="167" spans="1:22" x14ac:dyDescent="0.3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</row>
    <row r="168" spans="1:22" x14ac:dyDescent="0.3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</row>
    <row r="169" spans="1:22" x14ac:dyDescent="0.3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</row>
    <row r="170" spans="1:22" x14ac:dyDescent="0.3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</row>
    <row r="171" spans="1:22" x14ac:dyDescent="0.3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</row>
    <row r="172" spans="1:22" x14ac:dyDescent="0.3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</row>
    <row r="173" spans="1:22" x14ac:dyDescent="0.3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</row>
    <row r="174" spans="1:22" x14ac:dyDescent="0.3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</row>
    <row r="175" spans="1:22" x14ac:dyDescent="0.3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</row>
    <row r="176" spans="1:22" x14ac:dyDescent="0.3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</row>
    <row r="177" spans="1:22" x14ac:dyDescent="0.3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</row>
    <row r="178" spans="1:22" x14ac:dyDescent="0.3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</row>
    <row r="179" spans="1:22" x14ac:dyDescent="0.3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</row>
    <row r="180" spans="1:22" x14ac:dyDescent="0.3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</row>
    <row r="181" spans="1:22" x14ac:dyDescent="0.3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</row>
    <row r="182" spans="1:22" x14ac:dyDescent="0.3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</row>
    <row r="183" spans="1:22" x14ac:dyDescent="0.3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</row>
    <row r="184" spans="1:22" x14ac:dyDescent="0.3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</row>
    <row r="185" spans="1:22" x14ac:dyDescent="0.3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</row>
    <row r="186" spans="1:22" x14ac:dyDescent="0.3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</row>
    <row r="187" spans="1:22" x14ac:dyDescent="0.3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</row>
    <row r="188" spans="1:22" x14ac:dyDescent="0.3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</row>
    <row r="189" spans="1:22" x14ac:dyDescent="0.3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</row>
    <row r="190" spans="1:22" x14ac:dyDescent="0.3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</row>
    <row r="191" spans="1:22" x14ac:dyDescent="0.3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</row>
    <row r="192" spans="1:22" x14ac:dyDescent="0.3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</row>
    <row r="193" spans="1:22" x14ac:dyDescent="0.3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</row>
    <row r="194" spans="1:22" x14ac:dyDescent="0.3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</row>
    <row r="195" spans="1:22" x14ac:dyDescent="0.3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</row>
    <row r="196" spans="1:22" x14ac:dyDescent="0.3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</row>
    <row r="197" spans="1:22" x14ac:dyDescent="0.3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</row>
    <row r="198" spans="1:22" x14ac:dyDescent="0.3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</row>
    <row r="199" spans="1:22" x14ac:dyDescent="0.3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</row>
    <row r="200" spans="1:22" x14ac:dyDescent="0.3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</row>
    <row r="201" spans="1:22" x14ac:dyDescent="0.3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</row>
    <row r="202" spans="1:22" x14ac:dyDescent="0.3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</row>
    <row r="203" spans="1:22" x14ac:dyDescent="0.3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</row>
    <row r="204" spans="1:22" x14ac:dyDescent="0.3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</row>
    <row r="205" spans="1:22" x14ac:dyDescent="0.3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</row>
    <row r="206" spans="1:22" x14ac:dyDescent="0.3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</row>
    <row r="207" spans="1:22" x14ac:dyDescent="0.3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  <c r="V207"/>
    </row>
    <row r="208" spans="1:22" x14ac:dyDescent="0.3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  <c r="V208"/>
    </row>
    <row r="209" spans="1:22" x14ac:dyDescent="0.3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</row>
    <row r="210" spans="1:22" x14ac:dyDescent="0.3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</row>
    <row r="211" spans="1:22" x14ac:dyDescent="0.3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  <c r="U211"/>
      <c r="V211"/>
    </row>
    <row r="212" spans="1:22" x14ac:dyDescent="0.3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  <c r="U212"/>
      <c r="V212"/>
    </row>
    <row r="213" spans="1:22" x14ac:dyDescent="0.3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  <c r="U213"/>
      <c r="V213"/>
    </row>
    <row r="214" spans="1:22" x14ac:dyDescent="0.3">
      <c r="A214"/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  <c r="U214"/>
      <c r="V214"/>
    </row>
    <row r="215" spans="1:22" x14ac:dyDescent="0.3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  <c r="U215"/>
      <c r="V215"/>
    </row>
    <row r="216" spans="1:22" x14ac:dyDescent="0.3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  <c r="U216"/>
      <c r="V216"/>
    </row>
    <row r="217" spans="1:22" x14ac:dyDescent="0.3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  <c r="U217"/>
      <c r="V217"/>
    </row>
    <row r="218" spans="1:22" x14ac:dyDescent="0.3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T218"/>
      <c r="U218"/>
      <c r="V218"/>
    </row>
    <row r="219" spans="1:22" x14ac:dyDescent="0.3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  <c r="T219"/>
      <c r="U219"/>
      <c r="V219"/>
    </row>
    <row r="220" spans="1:22" x14ac:dyDescent="0.3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  <c r="T220"/>
      <c r="U220"/>
      <c r="V220"/>
    </row>
    <row r="221" spans="1:22" x14ac:dyDescent="0.3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  <c r="R221"/>
      <c r="S221"/>
      <c r="T221"/>
      <c r="U221"/>
      <c r="V221"/>
    </row>
    <row r="222" spans="1:22" x14ac:dyDescent="0.3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  <c r="R222"/>
      <c r="S222"/>
      <c r="T222"/>
      <c r="U222"/>
      <c r="V222"/>
    </row>
    <row r="223" spans="1:22" x14ac:dyDescent="0.3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  <c r="R223"/>
      <c r="S223"/>
      <c r="T223"/>
      <c r="U223"/>
      <c r="V223"/>
    </row>
    <row r="224" spans="1:22" x14ac:dyDescent="0.3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  <c r="T224"/>
      <c r="U224"/>
      <c r="V224"/>
    </row>
    <row r="225" spans="1:22" x14ac:dyDescent="0.3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  <c r="R225"/>
      <c r="S225"/>
      <c r="T225"/>
      <c r="U225"/>
      <c r="V225"/>
    </row>
    <row r="226" spans="1:22" x14ac:dyDescent="0.3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  <c r="R226"/>
      <c r="S226"/>
      <c r="T226"/>
      <c r="U226"/>
      <c r="V226"/>
    </row>
    <row r="227" spans="1:22" x14ac:dyDescent="0.3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  <c r="R227"/>
      <c r="S227"/>
      <c r="T227"/>
      <c r="U227"/>
      <c r="V227"/>
    </row>
    <row r="228" spans="1:22" x14ac:dyDescent="0.3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  <c r="R228"/>
      <c r="S228"/>
      <c r="T228"/>
      <c r="U228"/>
      <c r="V228"/>
    </row>
    <row r="229" spans="1:22" x14ac:dyDescent="0.3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  <c r="R229"/>
      <c r="S229"/>
      <c r="T229"/>
      <c r="U229"/>
      <c r="V229"/>
    </row>
    <row r="230" spans="1:22" x14ac:dyDescent="0.3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  <c r="R230"/>
      <c r="S230"/>
      <c r="T230"/>
      <c r="U230"/>
      <c r="V230"/>
    </row>
    <row r="231" spans="1:22" x14ac:dyDescent="0.3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  <c r="R231"/>
      <c r="S231"/>
      <c r="T231"/>
      <c r="U231"/>
      <c r="V231"/>
    </row>
    <row r="232" spans="1:22" x14ac:dyDescent="0.3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  <c r="R232"/>
      <c r="S232"/>
      <c r="T232"/>
      <c r="U232"/>
      <c r="V232"/>
    </row>
    <row r="233" spans="1:22" x14ac:dyDescent="0.3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  <c r="R233"/>
      <c r="S233"/>
      <c r="T233"/>
      <c r="U233"/>
      <c r="V233"/>
    </row>
    <row r="234" spans="1:22" x14ac:dyDescent="0.3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  <c r="R234"/>
      <c r="S234"/>
      <c r="T234"/>
      <c r="U234"/>
      <c r="V234"/>
    </row>
    <row r="235" spans="1:22" x14ac:dyDescent="0.3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  <c r="R235"/>
      <c r="S235"/>
      <c r="T235"/>
      <c r="U235"/>
      <c r="V235"/>
    </row>
    <row r="236" spans="1:22" x14ac:dyDescent="0.3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  <c r="R236"/>
      <c r="S236"/>
      <c r="T236"/>
      <c r="U236"/>
      <c r="V236"/>
    </row>
    <row r="237" spans="1:22" x14ac:dyDescent="0.3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  <c r="R237"/>
      <c r="S237"/>
      <c r="T237"/>
      <c r="U237"/>
      <c r="V237"/>
    </row>
    <row r="238" spans="1:22" x14ac:dyDescent="0.3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  <c r="R238"/>
      <c r="S238"/>
      <c r="T238"/>
      <c r="U238"/>
      <c r="V238"/>
    </row>
    <row r="239" spans="1:22" x14ac:dyDescent="0.3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  <c r="R239"/>
      <c r="S239"/>
      <c r="T239"/>
      <c r="U239"/>
      <c r="V239"/>
    </row>
    <row r="240" spans="1:22" x14ac:dyDescent="0.3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  <c r="R240"/>
      <c r="S240"/>
      <c r="T240"/>
      <c r="U240"/>
      <c r="V240"/>
    </row>
    <row r="241" spans="1:22" x14ac:dyDescent="0.3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  <c r="R241"/>
      <c r="S241"/>
      <c r="T241"/>
      <c r="U241"/>
      <c r="V241"/>
    </row>
    <row r="242" spans="1:22" x14ac:dyDescent="0.3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  <c r="R242"/>
      <c r="S242"/>
      <c r="T242"/>
      <c r="U242"/>
      <c r="V242"/>
    </row>
    <row r="243" spans="1:22" x14ac:dyDescent="0.3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  <c r="R243"/>
      <c r="S243"/>
      <c r="T243"/>
      <c r="U243"/>
      <c r="V243"/>
    </row>
    <row r="244" spans="1:22" x14ac:dyDescent="0.3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  <c r="S244"/>
      <c r="T244"/>
      <c r="U244"/>
      <c r="V244"/>
    </row>
    <row r="245" spans="1:22" x14ac:dyDescent="0.3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  <c r="S245"/>
      <c r="T245"/>
      <c r="U245"/>
      <c r="V245"/>
    </row>
    <row r="246" spans="1:22" x14ac:dyDescent="0.3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  <c r="S246"/>
      <c r="T246"/>
      <c r="U246"/>
      <c r="V246"/>
    </row>
    <row r="247" spans="1:22" x14ac:dyDescent="0.3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  <c r="S247"/>
      <c r="T247"/>
      <c r="U247"/>
      <c r="V247"/>
    </row>
    <row r="248" spans="1:22" x14ac:dyDescent="0.3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  <c r="S248"/>
      <c r="T248"/>
      <c r="U248"/>
      <c r="V248"/>
    </row>
    <row r="249" spans="1:22" x14ac:dyDescent="0.3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  <c r="S249"/>
      <c r="T249"/>
      <c r="U249"/>
      <c r="V249"/>
    </row>
    <row r="250" spans="1:22" x14ac:dyDescent="0.3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  <c r="T250"/>
      <c r="U250"/>
      <c r="V250"/>
    </row>
    <row r="251" spans="1:22" x14ac:dyDescent="0.3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  <c r="S251"/>
      <c r="T251"/>
      <c r="U251"/>
      <c r="V251"/>
    </row>
    <row r="252" spans="1:22" x14ac:dyDescent="0.3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  <c r="S252"/>
      <c r="T252"/>
      <c r="U252"/>
      <c r="V252"/>
    </row>
    <row r="253" spans="1:22" x14ac:dyDescent="0.3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  <c r="R253"/>
      <c r="S253"/>
      <c r="T253"/>
      <c r="U253"/>
      <c r="V253"/>
    </row>
    <row r="254" spans="1:22" x14ac:dyDescent="0.3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  <c r="S254"/>
      <c r="T254"/>
      <c r="U254"/>
      <c r="V254"/>
    </row>
    <row r="255" spans="1:22" x14ac:dyDescent="0.3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  <c r="S255"/>
      <c r="T255"/>
      <c r="U255"/>
      <c r="V255"/>
    </row>
    <row r="256" spans="1:22" x14ac:dyDescent="0.3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  <c r="S256"/>
      <c r="T256"/>
      <c r="U256"/>
      <c r="V256"/>
    </row>
    <row r="257" spans="1:22" x14ac:dyDescent="0.3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  <c r="R257"/>
      <c r="S257"/>
      <c r="T257"/>
      <c r="U257"/>
      <c r="V257"/>
    </row>
    <row r="258" spans="1:22" x14ac:dyDescent="0.3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  <c r="R258"/>
      <c r="S258"/>
      <c r="T258"/>
      <c r="U258"/>
      <c r="V258"/>
    </row>
    <row r="259" spans="1:22" x14ac:dyDescent="0.3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  <c r="R259"/>
      <c r="S259"/>
      <c r="T259"/>
      <c r="U259"/>
      <c r="V259"/>
    </row>
    <row r="260" spans="1:22" x14ac:dyDescent="0.3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  <c r="R260"/>
      <c r="S260"/>
      <c r="T260"/>
      <c r="U260"/>
      <c r="V260"/>
    </row>
    <row r="261" spans="1:22" x14ac:dyDescent="0.3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Q261"/>
      <c r="R261"/>
      <c r="S261"/>
      <c r="T261"/>
      <c r="U261"/>
      <c r="V261"/>
    </row>
    <row r="262" spans="1:22" x14ac:dyDescent="0.3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Q262"/>
      <c r="R262"/>
      <c r="S262"/>
      <c r="T262"/>
      <c r="U262"/>
      <c r="V262"/>
    </row>
    <row r="263" spans="1:22" x14ac:dyDescent="0.3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Q263"/>
      <c r="R263"/>
      <c r="S263"/>
      <c r="T263"/>
      <c r="U263"/>
      <c r="V263"/>
    </row>
    <row r="264" spans="1:22" x14ac:dyDescent="0.3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Q264"/>
      <c r="R264"/>
      <c r="S264"/>
      <c r="T264"/>
      <c r="U264"/>
      <c r="V264"/>
    </row>
    <row r="265" spans="1:22" x14ac:dyDescent="0.3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Q265"/>
      <c r="R265"/>
      <c r="S265"/>
      <c r="T265"/>
      <c r="U265"/>
      <c r="V265"/>
    </row>
    <row r="266" spans="1:22" x14ac:dyDescent="0.3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Q266"/>
      <c r="R266"/>
      <c r="S266"/>
      <c r="T266"/>
      <c r="U266"/>
      <c r="V266"/>
    </row>
    <row r="267" spans="1:22" x14ac:dyDescent="0.3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Q267"/>
      <c r="R267"/>
      <c r="S267"/>
      <c r="T267"/>
      <c r="U267"/>
      <c r="V267"/>
    </row>
    <row r="268" spans="1:22" x14ac:dyDescent="0.3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Q268"/>
      <c r="R268"/>
      <c r="S268"/>
      <c r="T268"/>
      <c r="U268"/>
      <c r="V268"/>
    </row>
    <row r="269" spans="1:22" x14ac:dyDescent="0.3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Q269"/>
      <c r="R269"/>
      <c r="S269"/>
      <c r="T269"/>
      <c r="U269"/>
      <c r="V269"/>
    </row>
    <row r="270" spans="1:22" x14ac:dyDescent="0.3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Q270"/>
      <c r="R270"/>
      <c r="S270"/>
      <c r="T270"/>
      <c r="U270"/>
      <c r="V270"/>
    </row>
    <row r="271" spans="1:22" x14ac:dyDescent="0.3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Q271"/>
      <c r="R271"/>
      <c r="S271"/>
      <c r="T271"/>
      <c r="U271"/>
      <c r="V271"/>
    </row>
    <row r="272" spans="1:22" x14ac:dyDescent="0.3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Q272"/>
      <c r="R272"/>
      <c r="S272"/>
      <c r="T272"/>
      <c r="U272"/>
      <c r="V272"/>
    </row>
    <row r="273" spans="1:22" x14ac:dyDescent="0.3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Q273"/>
      <c r="R273"/>
      <c r="S273"/>
      <c r="T273"/>
      <c r="U273"/>
      <c r="V273"/>
    </row>
    <row r="274" spans="1:22" x14ac:dyDescent="0.3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Q274"/>
      <c r="R274"/>
      <c r="S274"/>
      <c r="T274"/>
      <c r="U274"/>
      <c r="V274"/>
    </row>
    <row r="275" spans="1:22" x14ac:dyDescent="0.3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Q275"/>
      <c r="R275"/>
      <c r="S275"/>
      <c r="T275"/>
      <c r="U275"/>
      <c r="V275"/>
    </row>
    <row r="276" spans="1:22" x14ac:dyDescent="0.3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Q276"/>
      <c r="R276"/>
      <c r="S276"/>
      <c r="T276"/>
      <c r="U276"/>
      <c r="V276"/>
    </row>
    <row r="277" spans="1:22" x14ac:dyDescent="0.3">
      <c r="A27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Q277"/>
      <c r="R277"/>
      <c r="S277"/>
      <c r="T277"/>
      <c r="U277"/>
      <c r="V277"/>
    </row>
    <row r="278" spans="1:22" x14ac:dyDescent="0.3">
      <c r="A278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Q278"/>
      <c r="R278"/>
      <c r="S278"/>
      <c r="T278"/>
      <c r="U278"/>
      <c r="V278"/>
    </row>
    <row r="279" spans="1:22" x14ac:dyDescent="0.3">
      <c r="A279"/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Q279"/>
      <c r="R279"/>
      <c r="S279"/>
      <c r="T279"/>
      <c r="U279"/>
      <c r="V279"/>
    </row>
    <row r="280" spans="1:22" x14ac:dyDescent="0.3">
      <c r="A280"/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Q280"/>
      <c r="R280"/>
      <c r="S280"/>
      <c r="T280"/>
      <c r="U280"/>
      <c r="V280"/>
    </row>
    <row r="281" spans="1:22" x14ac:dyDescent="0.3">
      <c r="A281"/>
      <c r="B28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  <c r="Q281"/>
      <c r="R281"/>
      <c r="S281"/>
      <c r="T281"/>
      <c r="U281"/>
      <c r="V281"/>
    </row>
    <row r="282" spans="1:22" x14ac:dyDescent="0.3">
      <c r="A282"/>
      <c r="B282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  <c r="Q282"/>
      <c r="R282"/>
      <c r="S282"/>
      <c r="T282"/>
      <c r="U282"/>
      <c r="V282"/>
    </row>
    <row r="283" spans="1:22" x14ac:dyDescent="0.3">
      <c r="A283"/>
      <c r="B283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  <c r="Q283"/>
      <c r="R283"/>
      <c r="S283"/>
      <c r="T283"/>
      <c r="U283"/>
      <c r="V283"/>
    </row>
    <row r="284" spans="1:22" x14ac:dyDescent="0.3">
      <c r="A284"/>
      <c r="B284"/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  <c r="Q284"/>
      <c r="R284"/>
      <c r="S284"/>
      <c r="T284"/>
      <c r="U284"/>
      <c r="V284"/>
    </row>
    <row r="285" spans="1:22" x14ac:dyDescent="0.3">
      <c r="A285"/>
      <c r="B285"/>
      <c r="C285"/>
      <c r="D285"/>
      <c r="E285"/>
      <c r="F285"/>
      <c r="G285"/>
      <c r="H285"/>
      <c r="I285"/>
      <c r="J285"/>
      <c r="K285"/>
      <c r="L285"/>
      <c r="M285"/>
      <c r="N285"/>
      <c r="O285"/>
      <c r="P285"/>
      <c r="Q285"/>
      <c r="R285"/>
      <c r="S285"/>
      <c r="T285"/>
      <c r="U285"/>
      <c r="V285"/>
    </row>
    <row r="286" spans="1:22" x14ac:dyDescent="0.3">
      <c r="A286"/>
      <c r="B286"/>
      <c r="C286"/>
      <c r="D286"/>
      <c r="E286"/>
      <c r="F286"/>
      <c r="G286"/>
      <c r="H286"/>
      <c r="I286"/>
      <c r="J286"/>
      <c r="K286"/>
      <c r="L286"/>
      <c r="M286"/>
      <c r="N286"/>
      <c r="O286"/>
      <c r="P286"/>
      <c r="Q286"/>
      <c r="R286"/>
      <c r="S286"/>
      <c r="T286"/>
      <c r="U286"/>
      <c r="V286"/>
    </row>
    <row r="287" spans="1:22" x14ac:dyDescent="0.3">
      <c r="A287"/>
      <c r="B287"/>
      <c r="C287"/>
      <c r="D287"/>
      <c r="E287"/>
      <c r="F287"/>
      <c r="G287"/>
      <c r="H287"/>
      <c r="I287"/>
      <c r="J287"/>
      <c r="K287"/>
      <c r="L287"/>
      <c r="M287"/>
      <c r="N287"/>
      <c r="O287"/>
      <c r="P287"/>
      <c r="Q287"/>
      <c r="R287"/>
      <c r="S287"/>
      <c r="T287"/>
      <c r="U287"/>
      <c r="V287"/>
    </row>
    <row r="288" spans="1:22" x14ac:dyDescent="0.3">
      <c r="A288"/>
      <c r="B288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  <c r="Q288"/>
      <c r="R288"/>
      <c r="S288"/>
      <c r="T288"/>
      <c r="U288"/>
      <c r="V288"/>
    </row>
    <row r="289" spans="1:22" x14ac:dyDescent="0.3">
      <c r="A289"/>
      <c r="B289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  <c r="Q289"/>
      <c r="R289"/>
      <c r="S289"/>
      <c r="T289"/>
      <c r="U289"/>
      <c r="V289"/>
    </row>
    <row r="290" spans="1:22" x14ac:dyDescent="0.3">
      <c r="A290"/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  <c r="Q290"/>
      <c r="R290"/>
      <c r="S290"/>
      <c r="T290"/>
      <c r="U290"/>
      <c r="V290"/>
    </row>
    <row r="291" spans="1:22" x14ac:dyDescent="0.3">
      <c r="A291"/>
      <c r="B29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  <c r="Q291"/>
      <c r="R291"/>
      <c r="S291"/>
      <c r="T291"/>
      <c r="U291"/>
      <c r="V291"/>
    </row>
    <row r="292" spans="1:22" x14ac:dyDescent="0.3">
      <c r="A292"/>
      <c r="B29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  <c r="Q292"/>
      <c r="R292"/>
      <c r="S292"/>
      <c r="T292"/>
      <c r="U292"/>
      <c r="V292"/>
    </row>
    <row r="293" spans="1:22" x14ac:dyDescent="0.3">
      <c r="A293"/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</row>
    <row r="294" spans="1:22" x14ac:dyDescent="0.3">
      <c r="A294"/>
      <c r="B294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  <c r="Q294"/>
      <c r="R294"/>
      <c r="S294"/>
      <c r="T294"/>
      <c r="U294"/>
      <c r="V294"/>
    </row>
    <row r="295" spans="1:22" x14ac:dyDescent="0.3">
      <c r="A295"/>
      <c r="B295"/>
      <c r="C295"/>
      <c r="D295"/>
      <c r="E295"/>
      <c r="F295"/>
      <c r="G295"/>
      <c r="H295"/>
      <c r="I295"/>
      <c r="J295"/>
      <c r="K295"/>
      <c r="L295"/>
      <c r="M295"/>
      <c r="N295"/>
      <c r="O295"/>
      <c r="P295"/>
      <c r="Q295"/>
      <c r="R295"/>
      <c r="S295"/>
      <c r="T295"/>
      <c r="U295"/>
      <c r="V295"/>
    </row>
    <row r="296" spans="1:22" x14ac:dyDescent="0.3">
      <c r="A296"/>
      <c r="B296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  <c r="Q296"/>
      <c r="R296"/>
      <c r="S296"/>
      <c r="T296"/>
      <c r="U296"/>
      <c r="V296"/>
    </row>
    <row r="297" spans="1:22" x14ac:dyDescent="0.3">
      <c r="A297"/>
      <c r="B297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  <c r="Q297"/>
      <c r="R297"/>
      <c r="S297"/>
      <c r="T297"/>
      <c r="U297"/>
      <c r="V297"/>
    </row>
    <row r="298" spans="1:22" x14ac:dyDescent="0.3">
      <c r="A298"/>
      <c r="B298"/>
      <c r="C298"/>
      <c r="D298"/>
      <c r="E298"/>
      <c r="F298"/>
      <c r="G298"/>
      <c r="H298"/>
      <c r="I298"/>
      <c r="J298"/>
      <c r="K298"/>
      <c r="L298"/>
      <c r="M298"/>
      <c r="N298"/>
      <c r="O298"/>
      <c r="P298"/>
      <c r="Q298"/>
      <c r="R298"/>
      <c r="S298"/>
      <c r="T298"/>
      <c r="U298"/>
      <c r="V298"/>
    </row>
    <row r="299" spans="1:22" x14ac:dyDescent="0.3">
      <c r="A299"/>
      <c r="B299"/>
      <c r="C299"/>
      <c r="D299"/>
      <c r="E299"/>
      <c r="F299"/>
      <c r="G299"/>
      <c r="H299"/>
      <c r="I299"/>
      <c r="J299"/>
      <c r="K299"/>
      <c r="L299"/>
      <c r="M299"/>
      <c r="N299"/>
      <c r="O299"/>
      <c r="P299"/>
      <c r="Q299"/>
      <c r="R299"/>
      <c r="S299"/>
      <c r="T299"/>
      <c r="U299"/>
      <c r="V299"/>
    </row>
    <row r="300" spans="1:22" x14ac:dyDescent="0.3">
      <c r="A300"/>
      <c r="B300"/>
      <c r="C300"/>
      <c r="D300"/>
      <c r="E300"/>
      <c r="F300"/>
      <c r="G300"/>
      <c r="H300"/>
      <c r="I300"/>
      <c r="J300"/>
      <c r="K300"/>
      <c r="L300"/>
      <c r="M300"/>
      <c r="N300"/>
      <c r="O300"/>
      <c r="P300"/>
      <c r="Q300"/>
      <c r="R300"/>
      <c r="S300"/>
      <c r="T300"/>
      <c r="U300"/>
      <c r="V300"/>
    </row>
    <row r="301" spans="1:22" x14ac:dyDescent="0.3">
      <c r="A301"/>
      <c r="B301"/>
      <c r="C301"/>
      <c r="D301"/>
      <c r="E301"/>
      <c r="F301"/>
      <c r="G301"/>
      <c r="H301"/>
      <c r="I301"/>
      <c r="J301"/>
      <c r="K301"/>
      <c r="L301"/>
      <c r="M301"/>
      <c r="N301"/>
      <c r="O301"/>
      <c r="P301"/>
      <c r="Q301"/>
      <c r="R301"/>
      <c r="S301"/>
      <c r="T301"/>
      <c r="U301"/>
      <c r="V301"/>
    </row>
    <row r="302" spans="1:22" x14ac:dyDescent="0.3">
      <c r="A302"/>
      <c r="B302"/>
      <c r="C302"/>
      <c r="D302"/>
      <c r="E302"/>
      <c r="F302"/>
      <c r="G302"/>
      <c r="H302"/>
      <c r="I302"/>
      <c r="J302"/>
      <c r="K302"/>
      <c r="L302"/>
      <c r="M302"/>
      <c r="N302"/>
      <c r="O302"/>
      <c r="P302"/>
      <c r="Q302"/>
      <c r="R302"/>
      <c r="S302"/>
      <c r="T302"/>
      <c r="U302"/>
      <c r="V302"/>
    </row>
    <row r="303" spans="1:22" x14ac:dyDescent="0.3">
      <c r="A303"/>
      <c r="B303"/>
      <c r="C303"/>
      <c r="D303"/>
      <c r="E303"/>
      <c r="F303"/>
      <c r="G303"/>
      <c r="H303"/>
      <c r="I303"/>
      <c r="J303"/>
      <c r="K303"/>
      <c r="L303"/>
      <c r="M303"/>
      <c r="N303"/>
      <c r="O303"/>
      <c r="P303"/>
      <c r="Q303"/>
      <c r="R303"/>
      <c r="S303"/>
      <c r="T303"/>
      <c r="U303"/>
      <c r="V303"/>
    </row>
    <row r="304" spans="1:22" x14ac:dyDescent="0.3">
      <c r="A304"/>
      <c r="B304"/>
      <c r="C304"/>
      <c r="D304"/>
      <c r="E304"/>
      <c r="F304"/>
      <c r="G304"/>
      <c r="H304"/>
      <c r="I304"/>
      <c r="J304"/>
      <c r="K304"/>
      <c r="L304"/>
      <c r="M304"/>
      <c r="N304"/>
      <c r="O304"/>
      <c r="P304"/>
      <c r="Q304"/>
      <c r="R304"/>
      <c r="S304"/>
      <c r="T304"/>
      <c r="U304"/>
      <c r="V304"/>
    </row>
    <row r="305" spans="1:22" x14ac:dyDescent="0.3">
      <c r="A305"/>
      <c r="B305"/>
      <c r="C305"/>
      <c r="D305"/>
      <c r="E305"/>
      <c r="F305"/>
      <c r="G305"/>
      <c r="H305"/>
      <c r="I305"/>
      <c r="J305"/>
      <c r="K305"/>
      <c r="L305"/>
      <c r="M305"/>
      <c r="N305"/>
      <c r="O305"/>
      <c r="P305"/>
      <c r="Q305"/>
      <c r="R305"/>
      <c r="S305"/>
      <c r="T305"/>
      <c r="U305"/>
      <c r="V305"/>
    </row>
    <row r="306" spans="1:22" x14ac:dyDescent="0.3">
      <c r="A306"/>
      <c r="B306"/>
      <c r="C306"/>
      <c r="D306"/>
      <c r="E306"/>
      <c r="F306"/>
      <c r="G306"/>
      <c r="H306"/>
      <c r="I306"/>
      <c r="J306"/>
      <c r="K306"/>
      <c r="L306"/>
      <c r="M306"/>
      <c r="N306"/>
      <c r="O306"/>
      <c r="P306"/>
      <c r="Q306"/>
      <c r="R306"/>
      <c r="S306"/>
      <c r="T306"/>
      <c r="U306"/>
      <c r="V306"/>
    </row>
    <row r="307" spans="1:22" x14ac:dyDescent="0.3">
      <c r="A307"/>
      <c r="B307"/>
      <c r="C307"/>
      <c r="D307"/>
      <c r="E307"/>
      <c r="F307"/>
      <c r="G307"/>
      <c r="H307"/>
      <c r="I307"/>
      <c r="J307"/>
      <c r="K307"/>
      <c r="L307"/>
      <c r="M307"/>
      <c r="N307"/>
      <c r="O307"/>
      <c r="P307"/>
      <c r="Q307"/>
      <c r="R307"/>
      <c r="S307"/>
      <c r="T307"/>
      <c r="U307"/>
      <c r="V307"/>
    </row>
    <row r="308" spans="1:22" x14ac:dyDescent="0.3">
      <c r="A308"/>
      <c r="B308"/>
      <c r="C308"/>
      <c r="D308"/>
      <c r="E308"/>
      <c r="F308"/>
      <c r="G308"/>
      <c r="H308"/>
      <c r="I308"/>
      <c r="J308"/>
      <c r="K308"/>
      <c r="L308"/>
      <c r="M308"/>
      <c r="N308"/>
      <c r="O308"/>
      <c r="P308"/>
      <c r="Q308"/>
      <c r="R308"/>
      <c r="S308"/>
      <c r="T308"/>
      <c r="U308"/>
      <c r="V308"/>
    </row>
    <row r="309" spans="1:22" x14ac:dyDescent="0.3">
      <c r="A309"/>
      <c r="B309"/>
      <c r="C309"/>
      <c r="D309"/>
      <c r="E309"/>
      <c r="F309"/>
      <c r="G309"/>
      <c r="H309"/>
      <c r="I309"/>
      <c r="J309"/>
      <c r="K309"/>
      <c r="L309"/>
      <c r="M309"/>
      <c r="N309"/>
      <c r="O309"/>
      <c r="P309"/>
      <c r="Q309"/>
      <c r="R309"/>
      <c r="S309"/>
      <c r="T309"/>
      <c r="U309"/>
      <c r="V309"/>
    </row>
    <row r="310" spans="1:22" x14ac:dyDescent="0.3">
      <c r="A310"/>
      <c r="B310"/>
      <c r="C310"/>
      <c r="D310"/>
      <c r="E310"/>
      <c r="F310"/>
      <c r="G310"/>
      <c r="H310"/>
      <c r="I310"/>
      <c r="J310"/>
      <c r="K310"/>
      <c r="L310"/>
      <c r="M310"/>
      <c r="N310"/>
      <c r="O310"/>
      <c r="P310"/>
      <c r="Q310"/>
      <c r="R310"/>
      <c r="S310"/>
      <c r="T310"/>
      <c r="U310"/>
      <c r="V310"/>
    </row>
    <row r="311" spans="1:22" x14ac:dyDescent="0.3">
      <c r="A311"/>
      <c r="B311"/>
      <c r="C311"/>
      <c r="D311"/>
      <c r="E311"/>
      <c r="F311"/>
      <c r="G311"/>
      <c r="H311"/>
      <c r="I311"/>
      <c r="J311"/>
      <c r="K311"/>
      <c r="L311"/>
      <c r="M311"/>
      <c r="N311"/>
      <c r="O311"/>
      <c r="P311"/>
      <c r="Q311"/>
      <c r="R311"/>
      <c r="S311"/>
      <c r="T311"/>
      <c r="U311"/>
      <c r="V311"/>
    </row>
    <row r="312" spans="1:22" x14ac:dyDescent="0.3">
      <c r="A312"/>
      <c r="B312"/>
      <c r="C312"/>
      <c r="D312"/>
      <c r="E312"/>
      <c r="F312"/>
      <c r="G312"/>
      <c r="H312"/>
      <c r="I312"/>
      <c r="J312"/>
      <c r="K312"/>
      <c r="L312"/>
      <c r="M312"/>
      <c r="N312"/>
      <c r="O312"/>
      <c r="P312"/>
      <c r="Q312"/>
      <c r="R312"/>
      <c r="S312"/>
      <c r="T312"/>
      <c r="U312"/>
      <c r="V312"/>
    </row>
    <row r="313" spans="1:22" x14ac:dyDescent="0.3">
      <c r="A313"/>
      <c r="B313"/>
      <c r="C313"/>
      <c r="D313"/>
      <c r="E313"/>
      <c r="F313"/>
      <c r="G313"/>
      <c r="H313"/>
      <c r="I313"/>
      <c r="J313"/>
      <c r="K313"/>
      <c r="L313"/>
      <c r="M313"/>
      <c r="N313"/>
      <c r="O313"/>
      <c r="P313"/>
      <c r="Q313"/>
      <c r="R313"/>
      <c r="S313"/>
      <c r="T313"/>
      <c r="U313"/>
      <c r="V313"/>
    </row>
    <row r="314" spans="1:22" x14ac:dyDescent="0.3">
      <c r="A314"/>
      <c r="B314"/>
      <c r="C314"/>
      <c r="D314"/>
      <c r="E314"/>
      <c r="F314"/>
      <c r="G314"/>
      <c r="H314"/>
      <c r="I314"/>
      <c r="J314"/>
      <c r="K314"/>
      <c r="L314"/>
      <c r="M314"/>
      <c r="N314"/>
      <c r="O314"/>
      <c r="P314"/>
      <c r="Q314"/>
      <c r="R314"/>
      <c r="S314"/>
      <c r="T314"/>
      <c r="U314"/>
      <c r="V314"/>
    </row>
    <row r="315" spans="1:22" x14ac:dyDescent="0.3">
      <c r="A315"/>
      <c r="B315"/>
      <c r="C315"/>
      <c r="D315"/>
      <c r="E315"/>
      <c r="F315"/>
      <c r="G315"/>
      <c r="H315"/>
      <c r="I315"/>
      <c r="J315"/>
      <c r="K315"/>
      <c r="L315"/>
      <c r="M315"/>
      <c r="N315"/>
      <c r="O315"/>
      <c r="P315"/>
      <c r="Q315"/>
      <c r="R315"/>
      <c r="S315"/>
      <c r="T315"/>
      <c r="U315"/>
      <c r="V315"/>
    </row>
    <row r="316" spans="1:22" x14ac:dyDescent="0.3">
      <c r="A316"/>
      <c r="B316"/>
      <c r="C316"/>
      <c r="D316"/>
      <c r="E316"/>
      <c r="F316"/>
      <c r="G316"/>
      <c r="H316"/>
      <c r="I316"/>
      <c r="J316"/>
      <c r="K316"/>
      <c r="L316"/>
      <c r="M316"/>
      <c r="N316"/>
      <c r="O316"/>
      <c r="P316"/>
      <c r="Q316"/>
      <c r="R316"/>
      <c r="S316"/>
      <c r="T316"/>
      <c r="U316"/>
      <c r="V316"/>
    </row>
    <row r="317" spans="1:22" x14ac:dyDescent="0.3">
      <c r="A317"/>
      <c r="B317"/>
      <c r="C317"/>
      <c r="D317"/>
      <c r="E317"/>
      <c r="F317"/>
      <c r="G317"/>
      <c r="H317"/>
      <c r="I317"/>
      <c r="J317"/>
      <c r="K317"/>
      <c r="L317"/>
      <c r="M317"/>
      <c r="N317"/>
      <c r="O317"/>
      <c r="P317"/>
      <c r="Q317"/>
      <c r="R317"/>
      <c r="S317"/>
      <c r="T317"/>
      <c r="U317"/>
      <c r="V317"/>
    </row>
    <row r="318" spans="1:22" x14ac:dyDescent="0.3">
      <c r="A318"/>
      <c r="B318"/>
      <c r="C318"/>
      <c r="D318"/>
      <c r="E318"/>
      <c r="F318"/>
      <c r="G318"/>
      <c r="H318"/>
      <c r="I318"/>
      <c r="J318"/>
      <c r="K318"/>
      <c r="L318"/>
      <c r="M318"/>
      <c r="N318"/>
      <c r="O318"/>
      <c r="P318"/>
      <c r="Q318"/>
      <c r="R318"/>
      <c r="S318"/>
      <c r="T318"/>
      <c r="U318"/>
      <c r="V318"/>
    </row>
    <row r="319" spans="1:22" x14ac:dyDescent="0.3">
      <c r="A319"/>
      <c r="B319"/>
      <c r="C319"/>
      <c r="D319"/>
      <c r="E319"/>
      <c r="F319"/>
      <c r="G319"/>
      <c r="H319"/>
      <c r="I319"/>
      <c r="J319"/>
      <c r="K319"/>
      <c r="L319"/>
      <c r="M319"/>
      <c r="N319"/>
      <c r="O319"/>
      <c r="P319"/>
      <c r="Q319"/>
      <c r="R319"/>
      <c r="S319"/>
      <c r="T319"/>
      <c r="U319"/>
      <c r="V319"/>
    </row>
    <row r="320" spans="1:22" x14ac:dyDescent="0.3">
      <c r="A320"/>
      <c r="B320"/>
      <c r="C320"/>
      <c r="D320"/>
      <c r="E320"/>
      <c r="F320"/>
      <c r="G320"/>
      <c r="H320"/>
      <c r="I320"/>
      <c r="J320"/>
      <c r="K320"/>
      <c r="L320"/>
      <c r="M320"/>
      <c r="N320"/>
      <c r="O320"/>
      <c r="P320"/>
      <c r="Q320"/>
      <c r="R320"/>
      <c r="S320"/>
      <c r="T320"/>
      <c r="U320"/>
      <c r="V320"/>
    </row>
    <row r="321" spans="1:22" x14ac:dyDescent="0.3">
      <c r="A321"/>
      <c r="B321"/>
      <c r="C321"/>
      <c r="D321"/>
      <c r="E321"/>
      <c r="F321"/>
      <c r="G321"/>
      <c r="H321"/>
      <c r="I321"/>
      <c r="J321"/>
      <c r="K321"/>
      <c r="L321"/>
      <c r="M321"/>
      <c r="N321"/>
      <c r="O321"/>
      <c r="P321"/>
      <c r="Q321"/>
      <c r="R321"/>
      <c r="S321"/>
      <c r="T321"/>
      <c r="U321"/>
      <c r="V321"/>
    </row>
    <row r="322" spans="1:22" x14ac:dyDescent="0.3">
      <c r="A322"/>
      <c r="B322"/>
      <c r="C322"/>
      <c r="D322"/>
      <c r="E322"/>
      <c r="F322"/>
      <c r="G322"/>
      <c r="H322"/>
      <c r="I322"/>
      <c r="J322"/>
      <c r="K322"/>
      <c r="L322"/>
      <c r="M322"/>
      <c r="N322"/>
      <c r="O322"/>
      <c r="P322"/>
      <c r="Q322"/>
      <c r="R322"/>
      <c r="S322"/>
      <c r="T322"/>
      <c r="U322"/>
      <c r="V322"/>
    </row>
    <row r="323" spans="1:22" x14ac:dyDescent="0.3">
      <c r="A323"/>
      <c r="B323"/>
      <c r="C323"/>
      <c r="D323"/>
      <c r="E323"/>
      <c r="F323"/>
      <c r="G323"/>
      <c r="H323"/>
      <c r="I323"/>
      <c r="J323"/>
      <c r="K323"/>
      <c r="L323"/>
      <c r="M323"/>
      <c r="N323"/>
      <c r="O323"/>
      <c r="P323"/>
      <c r="Q323"/>
      <c r="R323"/>
      <c r="S323"/>
      <c r="T323"/>
      <c r="U323"/>
      <c r="V323"/>
    </row>
    <row r="324" spans="1:22" x14ac:dyDescent="0.3">
      <c r="A324"/>
      <c r="B324"/>
      <c r="C324"/>
      <c r="D324"/>
      <c r="E324"/>
      <c r="F324"/>
      <c r="G324"/>
      <c r="H324"/>
      <c r="I324"/>
      <c r="J324"/>
      <c r="K324"/>
      <c r="L324"/>
      <c r="M324"/>
      <c r="N324"/>
      <c r="O324"/>
      <c r="P324"/>
      <c r="Q324"/>
      <c r="R324"/>
      <c r="S324"/>
      <c r="T324"/>
      <c r="U324"/>
      <c r="V324"/>
    </row>
    <row r="325" spans="1:22" x14ac:dyDescent="0.3">
      <c r="A325"/>
      <c r="B325"/>
      <c r="C325"/>
      <c r="D325"/>
      <c r="E325"/>
      <c r="F325"/>
      <c r="G325"/>
      <c r="H325"/>
      <c r="I325"/>
      <c r="J325"/>
      <c r="K325"/>
      <c r="L325"/>
      <c r="M325"/>
      <c r="N325"/>
      <c r="O325"/>
      <c r="P325"/>
      <c r="Q325"/>
      <c r="R325"/>
      <c r="S325"/>
      <c r="T325"/>
      <c r="U325"/>
      <c r="V325"/>
    </row>
    <row r="326" spans="1:22" x14ac:dyDescent="0.3">
      <c r="A326"/>
      <c r="B326"/>
      <c r="C326"/>
      <c r="D326"/>
      <c r="E326"/>
      <c r="F326"/>
      <c r="G326"/>
      <c r="H326"/>
      <c r="I326"/>
      <c r="J326"/>
      <c r="K326"/>
      <c r="L326"/>
      <c r="M326"/>
      <c r="N326"/>
      <c r="O326"/>
      <c r="P326"/>
      <c r="Q326"/>
      <c r="R326"/>
      <c r="S326"/>
      <c r="T326"/>
      <c r="U326"/>
      <c r="V326"/>
    </row>
    <row r="327" spans="1:22" x14ac:dyDescent="0.3">
      <c r="A327"/>
      <c r="B327"/>
      <c r="C327"/>
      <c r="D327"/>
      <c r="E327"/>
      <c r="F327"/>
      <c r="G327"/>
      <c r="H327"/>
      <c r="I327"/>
      <c r="J327"/>
      <c r="K327"/>
      <c r="L327"/>
      <c r="M327"/>
      <c r="N327"/>
      <c r="O327"/>
      <c r="P327"/>
      <c r="Q327"/>
      <c r="R327"/>
      <c r="S327"/>
      <c r="T327"/>
      <c r="U327"/>
      <c r="V327"/>
    </row>
    <row r="328" spans="1:22" x14ac:dyDescent="0.3">
      <c r="A328"/>
      <c r="B328"/>
      <c r="C328"/>
      <c r="D328"/>
      <c r="E328"/>
      <c r="F328"/>
      <c r="G328"/>
      <c r="H328"/>
      <c r="I328"/>
      <c r="J328"/>
      <c r="K328"/>
      <c r="L328"/>
      <c r="M328"/>
      <c r="N328"/>
      <c r="O328"/>
      <c r="P328"/>
      <c r="Q328"/>
      <c r="R328"/>
      <c r="S328"/>
      <c r="T328"/>
      <c r="U328"/>
      <c r="V328"/>
    </row>
    <row r="329" spans="1:22" x14ac:dyDescent="0.3">
      <c r="A329"/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Q329"/>
      <c r="R329"/>
      <c r="S329"/>
      <c r="T329"/>
      <c r="U329"/>
      <c r="V329"/>
    </row>
    <row r="330" spans="1:22" x14ac:dyDescent="0.3">
      <c r="A330"/>
      <c r="B330"/>
      <c r="C330"/>
      <c r="D330"/>
      <c r="E330"/>
      <c r="F330"/>
      <c r="G330"/>
      <c r="H330"/>
      <c r="I330"/>
      <c r="J330"/>
      <c r="K330"/>
      <c r="L330"/>
      <c r="M330"/>
      <c r="N330"/>
      <c r="O330"/>
      <c r="P330"/>
      <c r="Q330"/>
      <c r="R330"/>
      <c r="S330"/>
      <c r="T330"/>
      <c r="U330"/>
      <c r="V330"/>
    </row>
    <row r="331" spans="1:22" x14ac:dyDescent="0.3">
      <c r="A331"/>
      <c r="B331"/>
      <c r="C331"/>
      <c r="D331"/>
      <c r="E331"/>
      <c r="F331"/>
      <c r="G331"/>
      <c r="H331"/>
      <c r="I331"/>
      <c r="J331"/>
      <c r="K331"/>
      <c r="L331"/>
      <c r="M331"/>
      <c r="N331"/>
      <c r="O331"/>
      <c r="P331"/>
      <c r="Q331"/>
      <c r="R331"/>
      <c r="S331"/>
      <c r="T331"/>
      <c r="U331"/>
      <c r="V331"/>
    </row>
    <row r="332" spans="1:22" x14ac:dyDescent="0.3">
      <c r="A332"/>
      <c r="B332"/>
      <c r="C332"/>
      <c r="D332"/>
      <c r="E332"/>
      <c r="F332"/>
      <c r="G332"/>
      <c r="H332"/>
      <c r="I332"/>
      <c r="J332"/>
      <c r="K332"/>
      <c r="L332"/>
      <c r="M332"/>
      <c r="N332"/>
      <c r="O332"/>
      <c r="P332"/>
      <c r="Q332"/>
      <c r="R332"/>
      <c r="S332"/>
      <c r="T332"/>
      <c r="U332"/>
      <c r="V332"/>
    </row>
    <row r="333" spans="1:22" x14ac:dyDescent="0.3">
      <c r="A333"/>
      <c r="B333"/>
      <c r="C333"/>
      <c r="D333"/>
      <c r="E333"/>
      <c r="F333"/>
      <c r="G333"/>
      <c r="H333"/>
      <c r="I333"/>
      <c r="J333"/>
      <c r="K333"/>
      <c r="L333"/>
      <c r="M333"/>
      <c r="N333"/>
      <c r="O333"/>
      <c r="P333"/>
      <c r="Q333"/>
      <c r="R333"/>
      <c r="S333"/>
      <c r="T333"/>
      <c r="U333"/>
      <c r="V333"/>
    </row>
    <row r="334" spans="1:22" x14ac:dyDescent="0.3">
      <c r="A334"/>
      <c r="B334"/>
      <c r="C334"/>
      <c r="D334"/>
      <c r="E334"/>
      <c r="F334"/>
      <c r="G334"/>
      <c r="H334"/>
      <c r="I334"/>
      <c r="J334"/>
      <c r="K334"/>
      <c r="L334"/>
      <c r="M334"/>
      <c r="N334"/>
      <c r="O334"/>
      <c r="P334"/>
      <c r="Q334"/>
      <c r="R334"/>
      <c r="S334"/>
      <c r="T334"/>
      <c r="U334"/>
      <c r="V334"/>
    </row>
    <row r="335" spans="1:22" x14ac:dyDescent="0.3">
      <c r="A335"/>
      <c r="B335"/>
      <c r="C335"/>
      <c r="D335"/>
      <c r="E335"/>
      <c r="F335"/>
      <c r="G335"/>
      <c r="H335"/>
      <c r="I335"/>
      <c r="J335"/>
      <c r="K335"/>
      <c r="L335"/>
      <c r="M335"/>
      <c r="N335"/>
      <c r="O335"/>
      <c r="P335"/>
      <c r="Q335"/>
      <c r="R335"/>
      <c r="S335"/>
      <c r="T335"/>
      <c r="U335"/>
      <c r="V335"/>
    </row>
    <row r="336" spans="1:22" x14ac:dyDescent="0.3">
      <c r="A336"/>
      <c r="B336"/>
      <c r="C336"/>
      <c r="D336"/>
      <c r="E336"/>
      <c r="F336"/>
      <c r="G336"/>
      <c r="H336"/>
      <c r="I336"/>
      <c r="J336"/>
      <c r="K336"/>
      <c r="L336"/>
      <c r="M336"/>
      <c r="N336"/>
      <c r="O336"/>
      <c r="P336"/>
      <c r="Q336"/>
      <c r="R336"/>
      <c r="S336"/>
      <c r="T336"/>
      <c r="U336"/>
      <c r="V336"/>
    </row>
    <row r="337" spans="1:22" x14ac:dyDescent="0.3">
      <c r="A337"/>
      <c r="B337"/>
      <c r="C337"/>
      <c r="D337"/>
      <c r="E337"/>
      <c r="F337"/>
      <c r="G337"/>
      <c r="H337"/>
      <c r="I337"/>
      <c r="J337"/>
      <c r="K337"/>
      <c r="L337"/>
      <c r="M337"/>
      <c r="N337"/>
      <c r="O337"/>
      <c r="P337"/>
      <c r="Q337"/>
      <c r="R337"/>
      <c r="S337"/>
      <c r="T337"/>
      <c r="U337"/>
      <c r="V337"/>
    </row>
    <row r="338" spans="1:22" x14ac:dyDescent="0.3">
      <c r="A338"/>
      <c r="B338"/>
      <c r="C338"/>
      <c r="D338"/>
      <c r="E338"/>
      <c r="F338"/>
      <c r="G338"/>
      <c r="H338"/>
      <c r="I338"/>
      <c r="J338"/>
      <c r="K338"/>
      <c r="L338"/>
      <c r="M338"/>
      <c r="N338"/>
      <c r="O338"/>
      <c r="P338"/>
      <c r="Q338"/>
      <c r="R338"/>
      <c r="S338"/>
      <c r="T338"/>
      <c r="U338"/>
      <c r="V338"/>
    </row>
    <row r="339" spans="1:22" x14ac:dyDescent="0.3">
      <c r="A339"/>
      <c r="B339"/>
      <c r="C339"/>
      <c r="D339"/>
      <c r="E339"/>
      <c r="F339"/>
      <c r="G339"/>
      <c r="H339"/>
      <c r="I339"/>
      <c r="J339"/>
      <c r="K339"/>
      <c r="L339"/>
      <c r="M339"/>
      <c r="N339"/>
      <c r="O339"/>
      <c r="P339"/>
      <c r="Q339"/>
      <c r="R339"/>
      <c r="S339"/>
      <c r="T339"/>
      <c r="U339"/>
      <c r="V339"/>
    </row>
    <row r="340" spans="1:22" x14ac:dyDescent="0.3">
      <c r="A340"/>
      <c r="B340"/>
      <c r="C340"/>
      <c r="D340"/>
      <c r="E340"/>
      <c r="F340"/>
      <c r="G340"/>
      <c r="H340"/>
      <c r="I340"/>
      <c r="J340"/>
      <c r="K340"/>
      <c r="L340"/>
      <c r="M340"/>
      <c r="N340"/>
      <c r="O340"/>
      <c r="P340"/>
      <c r="Q340"/>
      <c r="R340"/>
      <c r="S340"/>
      <c r="T340"/>
      <c r="U340"/>
      <c r="V340"/>
    </row>
    <row r="341" spans="1:22" x14ac:dyDescent="0.3">
      <c r="A341"/>
      <c r="B341"/>
      <c r="C341"/>
      <c r="D341"/>
      <c r="E341"/>
      <c r="F341"/>
      <c r="G341"/>
      <c r="H341"/>
      <c r="I341"/>
      <c r="J341"/>
      <c r="K341"/>
      <c r="L341"/>
      <c r="M341"/>
      <c r="N341"/>
      <c r="O341"/>
      <c r="P341"/>
      <c r="Q341"/>
      <c r="R341"/>
      <c r="S341"/>
      <c r="T341"/>
      <c r="U341"/>
      <c r="V341"/>
    </row>
    <row r="342" spans="1:22" x14ac:dyDescent="0.3">
      <c r="A342"/>
      <c r="B342"/>
      <c r="C342"/>
      <c r="D342"/>
      <c r="E342"/>
      <c r="F342"/>
      <c r="G342"/>
      <c r="H342"/>
      <c r="I342"/>
      <c r="J342"/>
      <c r="K342"/>
      <c r="L342"/>
      <c r="M342"/>
      <c r="N342"/>
      <c r="O342"/>
      <c r="P342"/>
      <c r="Q342"/>
      <c r="R342"/>
      <c r="S342"/>
      <c r="T342"/>
      <c r="U342"/>
      <c r="V342"/>
    </row>
    <row r="343" spans="1:22" x14ac:dyDescent="0.3">
      <c r="A343"/>
      <c r="B343"/>
      <c r="C343"/>
      <c r="D343"/>
      <c r="E343"/>
      <c r="F343"/>
      <c r="G343"/>
      <c r="H343"/>
      <c r="I343"/>
      <c r="J343"/>
      <c r="K343"/>
      <c r="L343"/>
      <c r="M343"/>
      <c r="N343"/>
      <c r="O343"/>
      <c r="P343"/>
      <c r="Q343"/>
      <c r="R343"/>
      <c r="S343"/>
      <c r="T343"/>
      <c r="U343"/>
      <c r="V343"/>
    </row>
    <row r="344" spans="1:22" x14ac:dyDescent="0.3">
      <c r="A344"/>
      <c r="B344"/>
      <c r="C344"/>
      <c r="D344"/>
      <c r="E344"/>
      <c r="F344"/>
      <c r="G344"/>
      <c r="H344"/>
      <c r="I344"/>
      <c r="J344"/>
      <c r="K344"/>
      <c r="L344"/>
      <c r="M344"/>
      <c r="N344"/>
      <c r="O344"/>
      <c r="P344"/>
      <c r="Q344"/>
      <c r="R344"/>
      <c r="S344"/>
      <c r="T344"/>
      <c r="U344"/>
      <c r="V344"/>
    </row>
    <row r="345" spans="1:22" x14ac:dyDescent="0.3">
      <c r="A345"/>
      <c r="B345"/>
      <c r="C345"/>
      <c r="D345"/>
      <c r="E345"/>
      <c r="F345"/>
      <c r="G345"/>
      <c r="H345"/>
      <c r="I345"/>
      <c r="J345"/>
      <c r="K345"/>
      <c r="L345"/>
      <c r="M345"/>
      <c r="N345"/>
      <c r="O345"/>
      <c r="P345"/>
      <c r="Q345"/>
      <c r="R345"/>
      <c r="S345"/>
      <c r="T345"/>
      <c r="U345"/>
      <c r="V345"/>
    </row>
    <row r="346" spans="1:22" x14ac:dyDescent="0.3">
      <c r="A346"/>
      <c r="B346"/>
      <c r="C346"/>
      <c r="D346"/>
      <c r="E346"/>
      <c r="F346"/>
      <c r="G346"/>
      <c r="H346"/>
      <c r="I346"/>
      <c r="J346"/>
      <c r="K346"/>
      <c r="L346"/>
      <c r="M346"/>
      <c r="N346"/>
      <c r="O346"/>
      <c r="P346"/>
      <c r="Q346"/>
      <c r="R346"/>
      <c r="S346"/>
      <c r="T346"/>
      <c r="U346"/>
      <c r="V346"/>
    </row>
    <row r="347" spans="1:22" x14ac:dyDescent="0.3">
      <c r="A347"/>
      <c r="B347"/>
      <c r="C347"/>
      <c r="D347"/>
      <c r="E347"/>
      <c r="F347"/>
      <c r="G347"/>
      <c r="H347"/>
      <c r="I347"/>
      <c r="J347"/>
      <c r="K347"/>
      <c r="L347"/>
      <c r="M347"/>
      <c r="N347"/>
      <c r="O347"/>
      <c r="P347"/>
      <c r="Q347"/>
      <c r="R347"/>
      <c r="S347"/>
      <c r="T347"/>
      <c r="U347"/>
      <c r="V347"/>
    </row>
    <row r="348" spans="1:22" x14ac:dyDescent="0.3">
      <c r="A348"/>
      <c r="B348"/>
      <c r="C348"/>
      <c r="D348"/>
      <c r="E348"/>
      <c r="F348"/>
      <c r="G348"/>
      <c r="H348"/>
      <c r="I348"/>
      <c r="J348"/>
      <c r="K348"/>
      <c r="L348"/>
      <c r="M348"/>
      <c r="N348"/>
      <c r="O348"/>
      <c r="P348"/>
      <c r="Q348"/>
      <c r="R348"/>
      <c r="S348"/>
      <c r="T348"/>
      <c r="U348"/>
      <c r="V348"/>
    </row>
    <row r="349" spans="1:22" x14ac:dyDescent="0.3">
      <c r="A349"/>
      <c r="B349"/>
      <c r="C349"/>
      <c r="D349"/>
      <c r="E349"/>
      <c r="F349"/>
      <c r="G349"/>
      <c r="H349"/>
      <c r="I349"/>
      <c r="J349"/>
      <c r="K349"/>
      <c r="L349"/>
      <c r="M349"/>
      <c r="N349"/>
      <c r="O349"/>
      <c r="P349"/>
      <c r="Q349"/>
      <c r="R349"/>
      <c r="S349"/>
      <c r="T349"/>
      <c r="U349"/>
      <c r="V349"/>
    </row>
    <row r="350" spans="1:22" x14ac:dyDescent="0.3">
      <c r="A350"/>
      <c r="B350"/>
      <c r="C350"/>
      <c r="D350"/>
      <c r="E350"/>
      <c r="F350"/>
      <c r="G350"/>
      <c r="H350"/>
      <c r="I350"/>
      <c r="J350"/>
      <c r="K350"/>
      <c r="L350"/>
      <c r="M350"/>
      <c r="N350"/>
      <c r="O350"/>
      <c r="P350"/>
      <c r="Q350"/>
      <c r="R350"/>
      <c r="S350"/>
      <c r="T350"/>
      <c r="U350"/>
      <c r="V350"/>
    </row>
    <row r="351" spans="1:22" x14ac:dyDescent="0.3">
      <c r="A351"/>
      <c r="B351"/>
      <c r="C351"/>
      <c r="D351"/>
      <c r="E351"/>
      <c r="F351"/>
      <c r="G351"/>
      <c r="H351"/>
      <c r="I351"/>
      <c r="J351"/>
      <c r="K351"/>
      <c r="L351"/>
      <c r="M351"/>
      <c r="N351"/>
      <c r="O351"/>
      <c r="P351"/>
      <c r="Q351"/>
      <c r="R351"/>
      <c r="S351"/>
      <c r="T351"/>
      <c r="U351"/>
      <c r="V351"/>
    </row>
    <row r="352" spans="1:22" x14ac:dyDescent="0.3">
      <c r="A352"/>
      <c r="B352"/>
      <c r="C352"/>
      <c r="D352"/>
      <c r="E352"/>
      <c r="F352"/>
      <c r="G352"/>
      <c r="H352"/>
      <c r="I352"/>
      <c r="J352"/>
      <c r="K352"/>
      <c r="L352"/>
      <c r="M352"/>
      <c r="N352"/>
      <c r="O352"/>
      <c r="P352"/>
      <c r="Q352"/>
      <c r="R352"/>
      <c r="S352"/>
      <c r="T352"/>
      <c r="U352"/>
      <c r="V352"/>
    </row>
    <row r="353" spans="1:22" x14ac:dyDescent="0.3">
      <c r="A353"/>
      <c r="B353"/>
      <c r="C353"/>
      <c r="D353"/>
      <c r="E353"/>
      <c r="F353"/>
      <c r="G353"/>
      <c r="H353"/>
      <c r="I353"/>
      <c r="J353"/>
      <c r="K353"/>
      <c r="L353"/>
      <c r="M353"/>
      <c r="N353"/>
      <c r="O353"/>
      <c r="P353"/>
      <c r="Q353"/>
      <c r="R353"/>
      <c r="S353"/>
      <c r="T353"/>
      <c r="U353"/>
      <c r="V353"/>
    </row>
    <row r="354" spans="1:22" x14ac:dyDescent="0.3">
      <c r="A354"/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</row>
    <row r="355" spans="1:22" x14ac:dyDescent="0.3">
      <c r="A355"/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</row>
    <row r="356" spans="1:22" x14ac:dyDescent="0.3">
      <c r="A356"/>
      <c r="B356"/>
      <c r="C356"/>
      <c r="D356"/>
      <c r="E356"/>
      <c r="F356"/>
      <c r="G356"/>
      <c r="H356"/>
      <c r="I356"/>
      <c r="J356"/>
      <c r="K356"/>
      <c r="L356"/>
      <c r="M356"/>
      <c r="N356"/>
      <c r="O356"/>
      <c r="P356"/>
      <c r="Q356"/>
      <c r="R356"/>
      <c r="S356"/>
      <c r="T356"/>
      <c r="U356"/>
      <c r="V356"/>
    </row>
    <row r="357" spans="1:22" x14ac:dyDescent="0.3">
      <c r="A357"/>
      <c r="B357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Q357"/>
      <c r="R357"/>
      <c r="S357"/>
      <c r="T357"/>
      <c r="U357"/>
      <c r="V357"/>
    </row>
    <row r="358" spans="1:22" x14ac:dyDescent="0.3">
      <c r="A358"/>
      <c r="B358"/>
      <c r="C358"/>
      <c r="D358"/>
      <c r="E358"/>
      <c r="F358"/>
      <c r="G358"/>
      <c r="H358"/>
      <c r="I358"/>
      <c r="J358"/>
      <c r="K358"/>
      <c r="L358"/>
      <c r="M358"/>
      <c r="N358"/>
      <c r="O358"/>
      <c r="P358"/>
      <c r="Q358"/>
      <c r="R358"/>
      <c r="S358"/>
      <c r="T358"/>
      <c r="U358"/>
      <c r="V358"/>
    </row>
    <row r="359" spans="1:22" x14ac:dyDescent="0.3">
      <c r="A359"/>
      <c r="B359"/>
      <c r="C359"/>
      <c r="D359"/>
      <c r="E359"/>
      <c r="F359"/>
      <c r="G359"/>
      <c r="H359"/>
      <c r="I359"/>
      <c r="J359"/>
      <c r="K359"/>
      <c r="L359"/>
      <c r="M359"/>
      <c r="N359"/>
      <c r="O359"/>
      <c r="P359"/>
      <c r="Q359"/>
      <c r="R359"/>
      <c r="S359"/>
      <c r="T359"/>
      <c r="U359"/>
      <c r="V359"/>
    </row>
    <row r="360" spans="1:22" x14ac:dyDescent="0.3">
      <c r="A360"/>
      <c r="B360"/>
      <c r="C360"/>
      <c r="D360"/>
      <c r="E360"/>
      <c r="F360"/>
      <c r="G360"/>
      <c r="H360"/>
      <c r="I360"/>
      <c r="J360"/>
      <c r="K360"/>
      <c r="L360"/>
      <c r="M360"/>
      <c r="N360"/>
      <c r="O360"/>
      <c r="P360"/>
      <c r="Q360"/>
      <c r="R360"/>
      <c r="S360"/>
      <c r="T360"/>
      <c r="U360"/>
      <c r="V360"/>
    </row>
    <row r="361" spans="1:22" x14ac:dyDescent="0.3">
      <c r="A361"/>
      <c r="B361"/>
      <c r="C361"/>
      <c r="D361"/>
      <c r="E361"/>
      <c r="F361"/>
      <c r="G361"/>
      <c r="H361"/>
      <c r="I361"/>
      <c r="J361"/>
      <c r="K361"/>
      <c r="L361"/>
      <c r="M361"/>
      <c r="N361"/>
      <c r="O361"/>
      <c r="P361"/>
      <c r="Q361"/>
      <c r="R361"/>
      <c r="S361"/>
      <c r="T361"/>
      <c r="U361"/>
      <c r="V361"/>
    </row>
    <row r="362" spans="1:22" x14ac:dyDescent="0.3">
      <c r="A362"/>
      <c r="B362"/>
      <c r="C362"/>
      <c r="D362"/>
      <c r="E362"/>
      <c r="F362"/>
      <c r="G362"/>
      <c r="H362"/>
      <c r="I362"/>
      <c r="J362"/>
      <c r="K362"/>
      <c r="L362"/>
      <c r="M362"/>
      <c r="N362"/>
      <c r="O362"/>
      <c r="P362"/>
      <c r="Q362"/>
      <c r="R362"/>
      <c r="S362"/>
      <c r="T362"/>
      <c r="U362"/>
      <c r="V362"/>
    </row>
    <row r="363" spans="1:22" x14ac:dyDescent="0.3">
      <c r="A363"/>
      <c r="B363"/>
      <c r="C363"/>
      <c r="D363"/>
      <c r="E363"/>
      <c r="F363"/>
      <c r="G363"/>
      <c r="H363"/>
      <c r="I363"/>
      <c r="J363"/>
      <c r="K363"/>
      <c r="L363"/>
      <c r="M363"/>
      <c r="N363"/>
      <c r="O363"/>
      <c r="P363"/>
      <c r="Q363"/>
      <c r="R363"/>
      <c r="S363"/>
      <c r="T363"/>
      <c r="U363"/>
      <c r="V363"/>
    </row>
    <row r="364" spans="1:22" x14ac:dyDescent="0.3">
      <c r="A364"/>
      <c r="B364"/>
      <c r="C364"/>
      <c r="D364"/>
      <c r="E364"/>
      <c r="F364"/>
      <c r="G364"/>
      <c r="H364"/>
      <c r="I364"/>
      <c r="J364"/>
      <c r="K364"/>
      <c r="L364"/>
      <c r="M364"/>
      <c r="N364"/>
      <c r="O364"/>
      <c r="P364"/>
      <c r="Q364"/>
      <c r="R364"/>
      <c r="S364"/>
      <c r="T364"/>
      <c r="U364"/>
      <c r="V364"/>
    </row>
    <row r="365" spans="1:22" x14ac:dyDescent="0.3">
      <c r="A365"/>
      <c r="B365"/>
      <c r="C365"/>
      <c r="D365"/>
      <c r="E365"/>
      <c r="F365"/>
      <c r="G365"/>
      <c r="H365"/>
      <c r="I365"/>
      <c r="J365"/>
      <c r="K365"/>
      <c r="L365"/>
      <c r="M365"/>
      <c r="N365"/>
      <c r="O365"/>
      <c r="P365"/>
      <c r="Q365"/>
      <c r="R365"/>
      <c r="S365"/>
      <c r="T365"/>
      <c r="U365"/>
      <c r="V365"/>
    </row>
    <row r="366" spans="1:22" x14ac:dyDescent="0.3">
      <c r="A366"/>
      <c r="B366"/>
      <c r="C366"/>
      <c r="D366"/>
      <c r="E366"/>
      <c r="F366"/>
      <c r="G366"/>
      <c r="H366"/>
      <c r="I366"/>
      <c r="J366"/>
      <c r="K366"/>
      <c r="L366"/>
      <c r="M366"/>
      <c r="N366"/>
      <c r="O366"/>
      <c r="P366"/>
      <c r="Q366"/>
      <c r="R366"/>
      <c r="S366"/>
      <c r="T366"/>
      <c r="U366"/>
      <c r="V366"/>
    </row>
    <row r="367" spans="1:22" x14ac:dyDescent="0.3">
      <c r="A367"/>
      <c r="B367"/>
      <c r="C367"/>
      <c r="D367"/>
      <c r="E367"/>
      <c r="F367"/>
      <c r="G367"/>
      <c r="H367"/>
      <c r="I367"/>
      <c r="J367"/>
      <c r="K367"/>
      <c r="L367"/>
      <c r="M367"/>
      <c r="N367"/>
      <c r="O367"/>
      <c r="P367"/>
      <c r="Q367"/>
      <c r="R367"/>
      <c r="S367"/>
      <c r="T367"/>
      <c r="U367"/>
      <c r="V367"/>
    </row>
    <row r="368" spans="1:22" x14ac:dyDescent="0.3">
      <c r="A368"/>
      <c r="B368"/>
      <c r="C368"/>
      <c r="D368"/>
      <c r="E368"/>
      <c r="F368"/>
      <c r="G368"/>
      <c r="H368"/>
      <c r="I368"/>
      <c r="J368"/>
      <c r="K368"/>
      <c r="L368"/>
      <c r="M368"/>
      <c r="N368"/>
      <c r="O368"/>
      <c r="P368"/>
      <c r="Q368"/>
      <c r="R368"/>
      <c r="S368"/>
      <c r="T368"/>
      <c r="U368"/>
      <c r="V368"/>
    </row>
    <row r="369" spans="1:22" x14ac:dyDescent="0.3">
      <c r="A369"/>
      <c r="B369"/>
      <c r="C369"/>
      <c r="D369"/>
      <c r="E369"/>
      <c r="F369"/>
      <c r="G369"/>
      <c r="H369"/>
      <c r="I369"/>
      <c r="J369"/>
      <c r="K369"/>
      <c r="L369"/>
      <c r="M369"/>
      <c r="N369"/>
      <c r="O369"/>
      <c r="P369"/>
      <c r="Q369"/>
      <c r="R369"/>
      <c r="S369"/>
      <c r="T369"/>
      <c r="U369"/>
      <c r="V369"/>
    </row>
    <row r="370" spans="1:22" x14ac:dyDescent="0.3">
      <c r="A370"/>
      <c r="B370"/>
      <c r="C370"/>
      <c r="D370"/>
      <c r="E370"/>
      <c r="F370"/>
      <c r="G370"/>
      <c r="H370"/>
      <c r="I370"/>
      <c r="J370"/>
      <c r="K370"/>
      <c r="L370"/>
      <c r="M370"/>
      <c r="N370"/>
      <c r="O370"/>
      <c r="P370"/>
      <c r="Q370"/>
      <c r="R370"/>
      <c r="S370"/>
      <c r="T370"/>
      <c r="U370"/>
      <c r="V370"/>
    </row>
    <row r="371" spans="1:22" x14ac:dyDescent="0.3">
      <c r="A371"/>
      <c r="B371"/>
      <c r="C371"/>
      <c r="D371"/>
      <c r="E371"/>
      <c r="F371"/>
      <c r="G371"/>
      <c r="H371"/>
      <c r="I371"/>
      <c r="J371"/>
      <c r="K371"/>
      <c r="L371"/>
      <c r="M371"/>
      <c r="N371"/>
      <c r="O371"/>
      <c r="P371"/>
      <c r="Q371"/>
      <c r="R371"/>
      <c r="S371"/>
      <c r="T371"/>
      <c r="U371"/>
      <c r="V371"/>
    </row>
    <row r="372" spans="1:22" x14ac:dyDescent="0.3">
      <c r="A372"/>
      <c r="B372"/>
      <c r="C372"/>
      <c r="D372"/>
      <c r="E372"/>
      <c r="F372"/>
      <c r="G372"/>
      <c r="H372"/>
      <c r="I372"/>
      <c r="J372"/>
      <c r="K372"/>
      <c r="L372"/>
      <c r="M372"/>
      <c r="N372"/>
      <c r="O372"/>
      <c r="P372"/>
      <c r="Q372"/>
      <c r="R372"/>
      <c r="S372"/>
      <c r="T372"/>
      <c r="U372"/>
      <c r="V372"/>
    </row>
    <row r="373" spans="1:22" x14ac:dyDescent="0.3">
      <c r="A373"/>
      <c r="B373"/>
      <c r="C373"/>
      <c r="D373"/>
      <c r="E373"/>
      <c r="F373"/>
      <c r="G373"/>
      <c r="H373"/>
      <c r="I373"/>
      <c r="J373"/>
      <c r="K373"/>
      <c r="L373"/>
      <c r="M373"/>
      <c r="N373"/>
      <c r="O373"/>
      <c r="P373"/>
      <c r="Q373"/>
      <c r="R373"/>
      <c r="S373"/>
      <c r="T373"/>
      <c r="U373"/>
      <c r="V373"/>
    </row>
    <row r="374" spans="1:22" x14ac:dyDescent="0.3">
      <c r="A374"/>
      <c r="B374"/>
      <c r="C374"/>
      <c r="D374"/>
      <c r="E374"/>
      <c r="F374"/>
      <c r="G374"/>
      <c r="H374"/>
      <c r="I374"/>
      <c r="J374"/>
      <c r="K374"/>
      <c r="L374"/>
      <c r="M374"/>
      <c r="N374"/>
      <c r="O374"/>
      <c r="P374"/>
      <c r="Q374"/>
      <c r="R374"/>
      <c r="S374"/>
      <c r="T374"/>
      <c r="U374"/>
      <c r="V374"/>
    </row>
    <row r="375" spans="1:22" x14ac:dyDescent="0.3">
      <c r="A375"/>
      <c r="B375"/>
      <c r="C375"/>
      <c r="D375"/>
      <c r="E375"/>
      <c r="F375"/>
      <c r="G375"/>
      <c r="H375"/>
      <c r="I375"/>
      <c r="J375"/>
      <c r="K375"/>
      <c r="L375"/>
      <c r="M375"/>
      <c r="N375"/>
      <c r="O375"/>
      <c r="P375"/>
      <c r="Q375"/>
      <c r="R375"/>
      <c r="S375"/>
      <c r="T375"/>
      <c r="U375"/>
      <c r="V375"/>
    </row>
    <row r="376" spans="1:22" x14ac:dyDescent="0.3">
      <c r="A376"/>
      <c r="B376"/>
      <c r="C376"/>
      <c r="D376"/>
      <c r="E376"/>
      <c r="F376"/>
      <c r="G376"/>
      <c r="H376"/>
      <c r="I376"/>
      <c r="J376"/>
      <c r="K376"/>
      <c r="L376"/>
      <c r="M376"/>
      <c r="N376"/>
      <c r="O376"/>
      <c r="P376"/>
      <c r="Q376"/>
      <c r="R376"/>
      <c r="S376"/>
      <c r="T376"/>
      <c r="U376"/>
      <c r="V376"/>
    </row>
    <row r="377" spans="1:22" x14ac:dyDescent="0.3">
      <c r="A377"/>
      <c r="B377"/>
      <c r="C377"/>
      <c r="D377"/>
      <c r="E377"/>
      <c r="F377"/>
      <c r="G377"/>
      <c r="H377"/>
      <c r="I377"/>
      <c r="J377"/>
      <c r="K377"/>
      <c r="L377"/>
      <c r="M377"/>
      <c r="N377"/>
      <c r="O377"/>
      <c r="P377"/>
      <c r="Q377"/>
      <c r="R377"/>
      <c r="S377"/>
      <c r="T377"/>
      <c r="U377"/>
      <c r="V377"/>
    </row>
    <row r="378" spans="1:22" x14ac:dyDescent="0.3">
      <c r="A378"/>
      <c r="B378"/>
      <c r="C378"/>
      <c r="D378"/>
      <c r="E378"/>
      <c r="F378"/>
      <c r="G378"/>
      <c r="H378"/>
      <c r="I378"/>
      <c r="J378"/>
      <c r="K378"/>
      <c r="L378"/>
      <c r="M378"/>
      <c r="N378"/>
      <c r="O378"/>
      <c r="P378"/>
      <c r="Q378"/>
      <c r="R378"/>
      <c r="S378"/>
      <c r="T378"/>
      <c r="U378"/>
      <c r="V378"/>
    </row>
    <row r="379" spans="1:22" x14ac:dyDescent="0.3">
      <c r="A379"/>
      <c r="B379"/>
      <c r="C379"/>
      <c r="D379"/>
      <c r="E379"/>
      <c r="F379"/>
      <c r="G379"/>
      <c r="H379"/>
      <c r="I379"/>
      <c r="J379"/>
      <c r="K379"/>
      <c r="L379"/>
      <c r="M379"/>
      <c r="N379"/>
      <c r="O379"/>
      <c r="P379"/>
      <c r="Q379"/>
      <c r="R379"/>
      <c r="S379"/>
      <c r="T379"/>
      <c r="U379"/>
      <c r="V379"/>
    </row>
    <row r="380" spans="1:22" x14ac:dyDescent="0.3">
      <c r="A380"/>
      <c r="B380"/>
      <c r="C380"/>
      <c r="D380"/>
      <c r="E380"/>
      <c r="F380"/>
      <c r="G380"/>
      <c r="H380"/>
      <c r="I380"/>
      <c r="J380"/>
      <c r="K380"/>
      <c r="L380"/>
      <c r="M380"/>
      <c r="N380"/>
      <c r="O380"/>
      <c r="P380"/>
      <c r="Q380"/>
      <c r="R380"/>
      <c r="S380"/>
      <c r="T380"/>
      <c r="U380"/>
      <c r="V380"/>
    </row>
    <row r="381" spans="1:22" x14ac:dyDescent="0.3">
      <c r="A381"/>
      <c r="B381"/>
      <c r="C381"/>
      <c r="D381"/>
      <c r="E381"/>
      <c r="F381"/>
      <c r="G381"/>
      <c r="H381"/>
      <c r="I381"/>
      <c r="J381"/>
      <c r="K381"/>
      <c r="L381"/>
      <c r="M381"/>
      <c r="N381"/>
      <c r="O381"/>
      <c r="P381"/>
      <c r="Q381"/>
      <c r="R381"/>
      <c r="S381"/>
      <c r="T381"/>
      <c r="U381"/>
      <c r="V381"/>
    </row>
    <row r="382" spans="1:22" x14ac:dyDescent="0.3">
      <c r="A382"/>
      <c r="B382"/>
      <c r="C382"/>
      <c r="D382"/>
      <c r="E382"/>
      <c r="F382"/>
      <c r="G382"/>
      <c r="H382"/>
      <c r="I382"/>
      <c r="J382"/>
      <c r="K382"/>
      <c r="L382"/>
      <c r="M382"/>
      <c r="N382"/>
      <c r="O382"/>
      <c r="P382"/>
      <c r="Q382"/>
      <c r="R382"/>
      <c r="S382"/>
      <c r="T382"/>
      <c r="U382"/>
      <c r="V382"/>
    </row>
    <row r="383" spans="1:22" x14ac:dyDescent="0.3">
      <c r="A383"/>
      <c r="B383"/>
      <c r="C383"/>
      <c r="D383"/>
      <c r="E383"/>
      <c r="F383"/>
      <c r="G383"/>
      <c r="H383"/>
      <c r="I383"/>
      <c r="J383"/>
      <c r="K383"/>
      <c r="L383"/>
      <c r="M383"/>
      <c r="N383"/>
      <c r="O383"/>
      <c r="P383"/>
      <c r="Q383"/>
      <c r="R383"/>
      <c r="S383"/>
      <c r="T383"/>
      <c r="U383"/>
      <c r="V383"/>
    </row>
    <row r="384" spans="1:22" x14ac:dyDescent="0.3">
      <c r="A384"/>
      <c r="B384"/>
      <c r="C384"/>
      <c r="D384"/>
      <c r="E384"/>
      <c r="F384"/>
      <c r="G384"/>
      <c r="H384"/>
      <c r="I384"/>
      <c r="J384"/>
      <c r="K384"/>
      <c r="L384"/>
      <c r="M384"/>
      <c r="N384"/>
      <c r="O384"/>
      <c r="P384"/>
      <c r="Q384"/>
      <c r="R384"/>
      <c r="S384"/>
      <c r="T384"/>
      <c r="U384"/>
      <c r="V384"/>
    </row>
    <row r="385" spans="1:22" x14ac:dyDescent="0.3">
      <c r="A385"/>
      <c r="B385"/>
      <c r="C385"/>
      <c r="D385"/>
      <c r="E385"/>
      <c r="F385"/>
      <c r="G385"/>
      <c r="H385"/>
      <c r="I385"/>
      <c r="J385"/>
      <c r="K385"/>
      <c r="L385"/>
      <c r="M385"/>
      <c r="N385"/>
      <c r="O385"/>
      <c r="P385"/>
      <c r="Q385"/>
      <c r="R385"/>
      <c r="S385"/>
      <c r="T385"/>
      <c r="U385"/>
      <c r="V385"/>
    </row>
    <row r="386" spans="1:22" x14ac:dyDescent="0.3">
      <c r="A386"/>
      <c r="B386"/>
      <c r="C386"/>
      <c r="D386"/>
      <c r="E386"/>
      <c r="F386"/>
      <c r="G386"/>
      <c r="H386"/>
      <c r="I386"/>
      <c r="J386"/>
      <c r="K386"/>
      <c r="L386"/>
      <c r="M386"/>
      <c r="N386"/>
      <c r="O386"/>
      <c r="P386"/>
      <c r="Q386"/>
      <c r="R386"/>
      <c r="S386"/>
      <c r="T386"/>
      <c r="U386"/>
      <c r="V386"/>
    </row>
    <row r="387" spans="1:22" x14ac:dyDescent="0.3">
      <c r="A387"/>
      <c r="B387"/>
      <c r="C387"/>
      <c r="D387"/>
      <c r="E387"/>
      <c r="F387"/>
      <c r="G387"/>
      <c r="H387"/>
      <c r="I387"/>
      <c r="J387"/>
      <c r="K387"/>
      <c r="L387"/>
      <c r="M387"/>
      <c r="N387"/>
      <c r="O387"/>
      <c r="P387"/>
      <c r="Q387"/>
      <c r="R387"/>
      <c r="S387"/>
      <c r="T387"/>
      <c r="U387"/>
      <c r="V387"/>
    </row>
    <row r="388" spans="1:22" x14ac:dyDescent="0.3">
      <c r="A388"/>
      <c r="B388"/>
      <c r="C388"/>
      <c r="D388"/>
      <c r="E388"/>
      <c r="F388"/>
      <c r="G388"/>
      <c r="H388"/>
      <c r="I388"/>
      <c r="J388"/>
      <c r="K388"/>
      <c r="L388"/>
      <c r="M388"/>
      <c r="N388"/>
      <c r="O388"/>
      <c r="P388"/>
      <c r="Q388"/>
      <c r="R388"/>
      <c r="S388"/>
      <c r="T388"/>
      <c r="U388"/>
      <c r="V388"/>
    </row>
    <row r="389" spans="1:22" x14ac:dyDescent="0.3">
      <c r="A389"/>
      <c r="B389"/>
      <c r="C389"/>
      <c r="D389"/>
      <c r="E389"/>
      <c r="F389"/>
      <c r="G389"/>
      <c r="H389"/>
      <c r="I389"/>
      <c r="J389"/>
      <c r="K389"/>
      <c r="L389"/>
      <c r="M389"/>
      <c r="N389"/>
      <c r="O389"/>
      <c r="P389"/>
      <c r="Q389"/>
      <c r="R389"/>
      <c r="S389"/>
      <c r="T389"/>
      <c r="U389"/>
      <c r="V389"/>
    </row>
    <row r="390" spans="1:22" x14ac:dyDescent="0.3">
      <c r="A390"/>
      <c r="B390"/>
      <c r="C390"/>
      <c r="D390"/>
      <c r="E390"/>
      <c r="F390"/>
      <c r="G390"/>
      <c r="H390"/>
      <c r="I390"/>
      <c r="J390"/>
      <c r="K390"/>
      <c r="L390"/>
      <c r="M390"/>
      <c r="N390"/>
      <c r="O390"/>
      <c r="P390"/>
      <c r="Q390"/>
      <c r="R390"/>
      <c r="S390"/>
      <c r="T390"/>
      <c r="U390"/>
      <c r="V390"/>
    </row>
    <row r="391" spans="1:22" x14ac:dyDescent="0.3">
      <c r="A391"/>
      <c r="B391"/>
      <c r="C391"/>
      <c r="D391"/>
      <c r="E391"/>
      <c r="F391"/>
      <c r="G391"/>
      <c r="H391"/>
      <c r="I391"/>
      <c r="J391"/>
      <c r="K391"/>
      <c r="L391"/>
      <c r="M391"/>
      <c r="N391"/>
      <c r="O391"/>
      <c r="P391"/>
      <c r="Q391"/>
      <c r="R391"/>
      <c r="S391"/>
      <c r="T391"/>
      <c r="U391"/>
      <c r="V391"/>
    </row>
    <row r="392" spans="1:22" x14ac:dyDescent="0.3">
      <c r="A392"/>
      <c r="B392"/>
      <c r="C392"/>
      <c r="D392"/>
      <c r="E392"/>
      <c r="F392"/>
      <c r="G392"/>
      <c r="H392"/>
      <c r="I392"/>
      <c r="J392"/>
      <c r="K392"/>
      <c r="L392"/>
      <c r="M392"/>
      <c r="N392"/>
      <c r="O392"/>
      <c r="P392"/>
      <c r="Q392"/>
      <c r="R392"/>
      <c r="S392"/>
      <c r="T392"/>
      <c r="U392"/>
      <c r="V392"/>
    </row>
    <row r="393" spans="1:22" x14ac:dyDescent="0.3">
      <c r="A393"/>
      <c r="B393"/>
      <c r="C393"/>
      <c r="D393"/>
      <c r="E393"/>
      <c r="F393"/>
      <c r="G393"/>
      <c r="H393"/>
      <c r="I393"/>
      <c r="J393"/>
      <c r="K393"/>
      <c r="L393"/>
      <c r="M393"/>
      <c r="N393"/>
      <c r="O393"/>
      <c r="P393"/>
      <c r="Q393"/>
      <c r="R393"/>
      <c r="S393"/>
      <c r="T393"/>
      <c r="U393"/>
      <c r="V393"/>
    </row>
    <row r="394" spans="1:22" x14ac:dyDescent="0.3">
      <c r="A394"/>
      <c r="B394"/>
      <c r="C394"/>
      <c r="D394"/>
      <c r="E394"/>
      <c r="F394"/>
      <c r="G394"/>
      <c r="H394"/>
      <c r="I394"/>
      <c r="J394"/>
      <c r="K394"/>
      <c r="L394"/>
      <c r="M394"/>
      <c r="N394"/>
      <c r="O394"/>
      <c r="P394"/>
      <c r="Q394"/>
      <c r="R394"/>
      <c r="S394"/>
      <c r="T394"/>
      <c r="U394"/>
      <c r="V394"/>
    </row>
    <row r="395" spans="1:22" x14ac:dyDescent="0.3">
      <c r="A395"/>
      <c r="B395"/>
      <c r="C395"/>
      <c r="D395"/>
      <c r="E395"/>
      <c r="F395"/>
      <c r="G395"/>
      <c r="H395"/>
      <c r="I395"/>
      <c r="J395"/>
      <c r="K395"/>
      <c r="L395"/>
      <c r="M395"/>
      <c r="N395"/>
      <c r="O395"/>
      <c r="P395"/>
      <c r="Q395"/>
      <c r="R395"/>
      <c r="S395"/>
      <c r="T395"/>
      <c r="U395"/>
      <c r="V395"/>
    </row>
    <row r="396" spans="1:22" x14ac:dyDescent="0.3">
      <c r="A396"/>
      <c r="B396"/>
      <c r="C396"/>
      <c r="D396"/>
      <c r="E396"/>
      <c r="F396"/>
      <c r="G396"/>
      <c r="H396"/>
      <c r="I396"/>
      <c r="J396"/>
      <c r="K396"/>
      <c r="L396"/>
      <c r="M396"/>
      <c r="N396"/>
      <c r="O396"/>
      <c r="P396"/>
      <c r="Q396"/>
      <c r="R396"/>
      <c r="S396"/>
      <c r="T396"/>
      <c r="U396"/>
      <c r="V396"/>
    </row>
    <row r="397" spans="1:22" x14ac:dyDescent="0.3">
      <c r="A397"/>
      <c r="B397"/>
      <c r="C397"/>
      <c r="D397"/>
      <c r="E397"/>
      <c r="F397"/>
      <c r="G397"/>
      <c r="H397"/>
      <c r="I397"/>
      <c r="J397"/>
      <c r="K397"/>
      <c r="L397"/>
      <c r="M397"/>
      <c r="N397"/>
      <c r="O397"/>
      <c r="P397"/>
      <c r="Q397"/>
      <c r="R397"/>
      <c r="S397"/>
      <c r="T397"/>
      <c r="U397"/>
      <c r="V397"/>
    </row>
    <row r="398" spans="1:22" x14ac:dyDescent="0.3">
      <c r="A398"/>
      <c r="B398"/>
      <c r="C398"/>
      <c r="D398"/>
      <c r="E398"/>
      <c r="F398"/>
      <c r="G398"/>
      <c r="H398"/>
      <c r="I398"/>
      <c r="J398"/>
      <c r="K398"/>
      <c r="L398"/>
      <c r="M398"/>
      <c r="N398"/>
      <c r="O398"/>
      <c r="P398"/>
      <c r="Q398"/>
      <c r="R398"/>
      <c r="S398"/>
      <c r="T398"/>
      <c r="U398"/>
      <c r="V398"/>
    </row>
    <row r="399" spans="1:22" x14ac:dyDescent="0.3">
      <c r="A399"/>
      <c r="B399"/>
      <c r="C399"/>
      <c r="D399"/>
      <c r="E399"/>
      <c r="F399"/>
      <c r="G399"/>
      <c r="H399"/>
      <c r="I399"/>
      <c r="J399"/>
      <c r="K399"/>
      <c r="L399"/>
      <c r="M399"/>
      <c r="N399"/>
      <c r="O399"/>
      <c r="P399"/>
      <c r="Q399"/>
      <c r="R399"/>
      <c r="S399"/>
      <c r="T399"/>
      <c r="U399"/>
      <c r="V399"/>
    </row>
    <row r="400" spans="1:22" x14ac:dyDescent="0.3">
      <c r="A400"/>
      <c r="B400"/>
      <c r="C400"/>
      <c r="D400"/>
      <c r="E400"/>
      <c r="F400"/>
      <c r="G400"/>
      <c r="H400"/>
      <c r="I400"/>
      <c r="J400"/>
      <c r="K400"/>
      <c r="L400"/>
      <c r="M400"/>
      <c r="N400"/>
      <c r="O400"/>
      <c r="P400"/>
      <c r="Q400"/>
      <c r="R400"/>
      <c r="S400"/>
      <c r="T400"/>
      <c r="U400"/>
      <c r="V400"/>
    </row>
    <row r="401" spans="1:22" x14ac:dyDescent="0.3">
      <c r="A401"/>
      <c r="B401"/>
      <c r="C401"/>
      <c r="D401"/>
      <c r="E401"/>
      <c r="F401"/>
      <c r="G401"/>
      <c r="H401"/>
      <c r="I401"/>
      <c r="J401"/>
      <c r="K401"/>
      <c r="L401"/>
      <c r="M401"/>
      <c r="N401"/>
      <c r="O401"/>
      <c r="P401"/>
      <c r="Q401"/>
      <c r="R401"/>
      <c r="S401"/>
      <c r="T401"/>
      <c r="U401"/>
      <c r="V401"/>
    </row>
    <row r="402" spans="1:22" x14ac:dyDescent="0.3">
      <c r="A402"/>
      <c r="B402"/>
      <c r="C402"/>
      <c r="D402"/>
      <c r="E402"/>
      <c r="F402"/>
      <c r="G402"/>
      <c r="H402"/>
      <c r="I402"/>
      <c r="J402"/>
      <c r="K402"/>
      <c r="L402"/>
      <c r="M402"/>
      <c r="N402"/>
      <c r="O402"/>
      <c r="P402"/>
      <c r="Q402"/>
      <c r="R402"/>
      <c r="S402"/>
      <c r="T402"/>
      <c r="U402"/>
      <c r="V402"/>
    </row>
    <row r="403" spans="1:22" x14ac:dyDescent="0.3">
      <c r="A403"/>
      <c r="B403"/>
      <c r="C403"/>
      <c r="D403"/>
      <c r="E403"/>
      <c r="F403"/>
      <c r="G403"/>
      <c r="H403"/>
      <c r="I403"/>
      <c r="J403"/>
      <c r="K403"/>
      <c r="L403"/>
      <c r="M403"/>
      <c r="N403"/>
      <c r="O403"/>
      <c r="P403"/>
      <c r="Q403"/>
      <c r="R403"/>
      <c r="S403"/>
      <c r="T403"/>
      <c r="U403"/>
      <c r="V403"/>
    </row>
    <row r="404" spans="1:22" x14ac:dyDescent="0.3">
      <c r="A404"/>
      <c r="B404"/>
      <c r="C404"/>
      <c r="D404"/>
      <c r="E404"/>
      <c r="F404"/>
      <c r="G404"/>
      <c r="H404"/>
      <c r="I404"/>
      <c r="J404"/>
      <c r="K404"/>
      <c r="L404"/>
      <c r="M404"/>
      <c r="N404"/>
      <c r="O404"/>
      <c r="P404"/>
      <c r="Q404"/>
      <c r="R404"/>
      <c r="S404"/>
      <c r="T404"/>
      <c r="U404"/>
      <c r="V404"/>
    </row>
    <row r="405" spans="1:22" x14ac:dyDescent="0.3">
      <c r="A405"/>
      <c r="B405"/>
      <c r="C405"/>
      <c r="D405"/>
      <c r="E405"/>
      <c r="F405"/>
      <c r="G405"/>
      <c r="H405"/>
      <c r="I405"/>
      <c r="J405"/>
      <c r="K405"/>
      <c r="L405"/>
      <c r="M405"/>
      <c r="N405"/>
      <c r="O405"/>
      <c r="P405"/>
      <c r="Q405"/>
      <c r="R405"/>
      <c r="S405"/>
      <c r="T405"/>
      <c r="U405"/>
      <c r="V405"/>
    </row>
    <row r="406" spans="1:22" x14ac:dyDescent="0.3">
      <c r="A406"/>
      <c r="B406"/>
      <c r="C406"/>
      <c r="D406"/>
      <c r="E406"/>
      <c r="F406"/>
      <c r="G406"/>
      <c r="H406"/>
      <c r="I406"/>
      <c r="J406"/>
      <c r="K406"/>
      <c r="L406"/>
      <c r="M406"/>
      <c r="N406"/>
      <c r="O406"/>
      <c r="P406"/>
      <c r="Q406"/>
      <c r="R406"/>
      <c r="S406"/>
      <c r="T406"/>
      <c r="U406"/>
      <c r="V406"/>
    </row>
    <row r="407" spans="1:22" x14ac:dyDescent="0.3">
      <c r="A407"/>
      <c r="B407"/>
      <c r="C407"/>
      <c r="D407"/>
      <c r="E407"/>
      <c r="F407"/>
      <c r="G407"/>
      <c r="H407"/>
      <c r="I407"/>
      <c r="J407"/>
      <c r="K407"/>
      <c r="L407"/>
      <c r="M407"/>
      <c r="N407"/>
      <c r="O407"/>
      <c r="P407"/>
      <c r="Q407"/>
      <c r="R407"/>
      <c r="S407"/>
      <c r="T407"/>
      <c r="U407"/>
      <c r="V407"/>
    </row>
    <row r="408" spans="1:22" x14ac:dyDescent="0.3">
      <c r="A408"/>
      <c r="B408"/>
      <c r="C408"/>
      <c r="D408"/>
      <c r="E408"/>
      <c r="F408"/>
      <c r="G408"/>
      <c r="H408"/>
      <c r="I408"/>
      <c r="J408"/>
      <c r="K408"/>
      <c r="L408"/>
      <c r="M408"/>
      <c r="N408"/>
      <c r="O408"/>
      <c r="P408"/>
      <c r="Q408"/>
      <c r="R408"/>
      <c r="S408"/>
      <c r="T408"/>
      <c r="U408"/>
      <c r="V408"/>
    </row>
    <row r="409" spans="1:22" x14ac:dyDescent="0.3">
      <c r="A409"/>
      <c r="B409"/>
      <c r="C409"/>
      <c r="D409"/>
      <c r="E409"/>
      <c r="F409"/>
      <c r="G409"/>
      <c r="H409"/>
      <c r="I409"/>
      <c r="J409"/>
      <c r="K409"/>
      <c r="L409"/>
      <c r="M409"/>
      <c r="N409"/>
      <c r="O409"/>
      <c r="P409"/>
      <c r="Q409"/>
      <c r="R409"/>
      <c r="S409"/>
      <c r="T409"/>
      <c r="U409"/>
      <c r="V409"/>
    </row>
    <row r="410" spans="1:22" x14ac:dyDescent="0.3">
      <c r="A410"/>
      <c r="B410"/>
      <c r="C410"/>
      <c r="D410"/>
      <c r="E410"/>
      <c r="F410"/>
      <c r="G410"/>
      <c r="H410"/>
      <c r="I410"/>
      <c r="J410"/>
      <c r="K410"/>
      <c r="L410"/>
      <c r="M410"/>
      <c r="N410"/>
      <c r="O410"/>
      <c r="P410"/>
      <c r="Q410"/>
      <c r="R410"/>
      <c r="S410"/>
      <c r="T410"/>
      <c r="U410"/>
      <c r="V410"/>
    </row>
    <row r="411" spans="1:22" x14ac:dyDescent="0.3">
      <c r="A411"/>
      <c r="B411"/>
      <c r="C411"/>
      <c r="D411"/>
      <c r="E411"/>
      <c r="F411"/>
      <c r="G411"/>
      <c r="H411"/>
      <c r="I411"/>
      <c r="J411"/>
      <c r="K411"/>
      <c r="L411"/>
      <c r="M411"/>
      <c r="N411"/>
      <c r="O411"/>
      <c r="P411"/>
      <c r="Q411"/>
      <c r="R411"/>
      <c r="S411"/>
      <c r="T411"/>
      <c r="U411"/>
      <c r="V411"/>
    </row>
    <row r="412" spans="1:22" x14ac:dyDescent="0.3">
      <c r="A412"/>
      <c r="B412"/>
      <c r="C412"/>
      <c r="D412"/>
      <c r="E412"/>
      <c r="F412"/>
      <c r="G412"/>
      <c r="H412"/>
      <c r="I412"/>
      <c r="J412"/>
      <c r="K412"/>
      <c r="L412"/>
      <c r="M412"/>
      <c r="N412"/>
      <c r="O412"/>
      <c r="P412"/>
      <c r="Q412"/>
      <c r="R412"/>
      <c r="S412"/>
      <c r="T412"/>
      <c r="U412"/>
      <c r="V412"/>
    </row>
    <row r="413" spans="1:22" x14ac:dyDescent="0.3">
      <c r="A413"/>
      <c r="B413"/>
      <c r="C413"/>
      <c r="D413"/>
      <c r="E413"/>
      <c r="F413"/>
      <c r="G413"/>
      <c r="H413"/>
      <c r="I413"/>
      <c r="J413"/>
      <c r="K413"/>
      <c r="L413"/>
      <c r="M413"/>
      <c r="N413"/>
      <c r="O413"/>
      <c r="P413"/>
      <c r="Q413"/>
      <c r="R413"/>
      <c r="S413"/>
      <c r="T413"/>
      <c r="U413"/>
      <c r="V413"/>
    </row>
    <row r="414" spans="1:22" x14ac:dyDescent="0.3">
      <c r="A414"/>
      <c r="B414"/>
      <c r="C414"/>
      <c r="D414"/>
      <c r="E414"/>
      <c r="F414"/>
      <c r="G414"/>
      <c r="H414"/>
      <c r="I414"/>
      <c r="J414"/>
      <c r="K414"/>
      <c r="L414"/>
      <c r="M414"/>
      <c r="N414"/>
      <c r="O414"/>
      <c r="P414"/>
      <c r="Q414"/>
      <c r="R414"/>
      <c r="S414"/>
      <c r="T414"/>
      <c r="U414"/>
      <c r="V414"/>
    </row>
    <row r="415" spans="1:22" x14ac:dyDescent="0.3">
      <c r="A415"/>
      <c r="B415"/>
      <c r="C415"/>
      <c r="D415"/>
      <c r="E415"/>
      <c r="F415"/>
      <c r="G415"/>
      <c r="H415"/>
      <c r="I415"/>
      <c r="J415"/>
      <c r="K415"/>
      <c r="L415"/>
      <c r="M415"/>
      <c r="N415"/>
      <c r="O415"/>
      <c r="P415"/>
      <c r="Q415"/>
      <c r="R415"/>
      <c r="S415"/>
      <c r="T415"/>
      <c r="U415"/>
      <c r="V415"/>
    </row>
    <row r="416" spans="1:22" x14ac:dyDescent="0.3">
      <c r="A416"/>
      <c r="B416"/>
      <c r="C416"/>
      <c r="D416"/>
      <c r="E416"/>
      <c r="F416"/>
      <c r="G416"/>
      <c r="H416"/>
      <c r="I416"/>
      <c r="J416"/>
      <c r="K416"/>
      <c r="L416"/>
      <c r="M416"/>
      <c r="N416"/>
      <c r="O416"/>
      <c r="P416"/>
      <c r="Q416"/>
      <c r="R416"/>
      <c r="S416"/>
      <c r="T416"/>
      <c r="U416"/>
      <c r="V416"/>
    </row>
    <row r="417" spans="1:22" x14ac:dyDescent="0.3">
      <c r="A417"/>
      <c r="B417"/>
      <c r="C417"/>
      <c r="D417"/>
      <c r="E417"/>
      <c r="F417"/>
      <c r="G417"/>
      <c r="H417"/>
      <c r="I417"/>
      <c r="J417"/>
      <c r="K417"/>
      <c r="L417"/>
      <c r="M417"/>
      <c r="N417"/>
      <c r="O417"/>
      <c r="P417"/>
      <c r="Q417"/>
      <c r="R417"/>
      <c r="S417"/>
      <c r="T417"/>
      <c r="U417"/>
      <c r="V417"/>
    </row>
    <row r="418" spans="1:22" x14ac:dyDescent="0.3">
      <c r="A418"/>
      <c r="B418"/>
      <c r="C418"/>
      <c r="D418"/>
      <c r="E418"/>
      <c r="F418"/>
      <c r="G418"/>
      <c r="H418"/>
      <c r="I418"/>
      <c r="J418"/>
      <c r="K418"/>
      <c r="L418"/>
      <c r="M418"/>
      <c r="N418"/>
      <c r="O418"/>
      <c r="P418"/>
      <c r="Q418"/>
      <c r="R418"/>
      <c r="S418"/>
      <c r="T418"/>
      <c r="U418"/>
      <c r="V418"/>
    </row>
    <row r="419" spans="1:22" x14ac:dyDescent="0.3">
      <c r="A419"/>
      <c r="B419"/>
      <c r="C419"/>
      <c r="D419"/>
      <c r="E419"/>
      <c r="F419"/>
      <c r="G419"/>
      <c r="H419"/>
      <c r="I419"/>
      <c r="J419"/>
      <c r="K419"/>
      <c r="L419"/>
      <c r="M419"/>
      <c r="N419"/>
      <c r="O419"/>
      <c r="P419"/>
      <c r="Q419"/>
      <c r="R419"/>
      <c r="S419"/>
      <c r="T419"/>
      <c r="U419"/>
      <c r="V419"/>
    </row>
    <row r="420" spans="1:22" x14ac:dyDescent="0.3">
      <c r="A420"/>
      <c r="B420"/>
      <c r="C420"/>
      <c r="D420"/>
      <c r="E420"/>
      <c r="F420"/>
      <c r="G420"/>
      <c r="H420"/>
      <c r="I420"/>
      <c r="J420"/>
      <c r="K420"/>
      <c r="L420"/>
      <c r="M420"/>
      <c r="N420"/>
      <c r="O420"/>
      <c r="P420"/>
      <c r="Q420"/>
      <c r="R420"/>
      <c r="S420"/>
      <c r="T420"/>
      <c r="U420"/>
      <c r="V420"/>
    </row>
    <row r="421" spans="1:22" x14ac:dyDescent="0.3">
      <c r="A421"/>
      <c r="B421"/>
      <c r="C421"/>
      <c r="D421"/>
      <c r="E421"/>
      <c r="F421"/>
      <c r="G421"/>
      <c r="H421"/>
      <c r="I421"/>
      <c r="J421"/>
      <c r="K421"/>
      <c r="L421"/>
      <c r="M421"/>
      <c r="N421"/>
      <c r="O421"/>
      <c r="P421"/>
      <c r="Q421"/>
      <c r="R421"/>
      <c r="S421"/>
      <c r="T421"/>
      <c r="U421"/>
      <c r="V421"/>
    </row>
    <row r="422" spans="1:22" x14ac:dyDescent="0.3">
      <c r="A422"/>
      <c r="B422"/>
      <c r="C422"/>
      <c r="D422"/>
      <c r="E422"/>
      <c r="F422"/>
      <c r="G422"/>
      <c r="H422"/>
      <c r="I422"/>
      <c r="J422"/>
      <c r="K422"/>
      <c r="L422"/>
      <c r="M422"/>
      <c r="N422"/>
      <c r="O422"/>
      <c r="P422"/>
      <c r="Q422"/>
      <c r="R422"/>
      <c r="S422"/>
      <c r="T422"/>
      <c r="U422"/>
      <c r="V422"/>
    </row>
    <row r="423" spans="1:22" x14ac:dyDescent="0.3">
      <c r="A423"/>
      <c r="B423"/>
      <c r="C423"/>
      <c r="D423"/>
      <c r="E423"/>
      <c r="F423"/>
      <c r="G423"/>
      <c r="H423"/>
      <c r="I423"/>
      <c r="J423"/>
      <c r="K423"/>
      <c r="L423"/>
      <c r="M423"/>
      <c r="N423"/>
      <c r="O423"/>
      <c r="P423"/>
      <c r="Q423"/>
      <c r="R423"/>
      <c r="S423"/>
      <c r="T423"/>
      <c r="U423"/>
      <c r="V423"/>
    </row>
    <row r="424" spans="1:22" x14ac:dyDescent="0.3">
      <c r="A424"/>
      <c r="B424"/>
      <c r="C424"/>
      <c r="D424"/>
      <c r="E424"/>
      <c r="F424"/>
      <c r="G424"/>
      <c r="H424"/>
      <c r="I424"/>
      <c r="J424"/>
      <c r="K424"/>
      <c r="L424"/>
      <c r="M424"/>
      <c r="N424"/>
      <c r="O424"/>
      <c r="P424"/>
      <c r="Q424"/>
      <c r="R424"/>
      <c r="S424"/>
      <c r="T424"/>
      <c r="U424"/>
      <c r="V424"/>
    </row>
    <row r="425" spans="1:22" x14ac:dyDescent="0.3">
      <c r="A425"/>
      <c r="B425"/>
      <c r="C425"/>
      <c r="D425"/>
      <c r="E425"/>
      <c r="F425"/>
      <c r="G425"/>
      <c r="H425"/>
      <c r="I425"/>
      <c r="J425"/>
      <c r="K425"/>
      <c r="L425"/>
      <c r="M425"/>
      <c r="N425"/>
      <c r="O425"/>
      <c r="P425"/>
      <c r="Q425"/>
      <c r="R425"/>
      <c r="S425"/>
      <c r="T425"/>
      <c r="U425"/>
      <c r="V425"/>
    </row>
    <row r="426" spans="1:22" x14ac:dyDescent="0.3">
      <c r="A426"/>
      <c r="B426"/>
      <c r="C426"/>
      <c r="D426"/>
      <c r="E426"/>
      <c r="F426"/>
      <c r="G426"/>
      <c r="H426"/>
      <c r="I426"/>
      <c r="J426"/>
      <c r="K426"/>
      <c r="L426"/>
      <c r="M426"/>
      <c r="N426"/>
      <c r="O426"/>
      <c r="P426"/>
      <c r="Q426"/>
      <c r="R426"/>
      <c r="S426"/>
      <c r="T426"/>
      <c r="U426"/>
      <c r="V426"/>
    </row>
    <row r="427" spans="1:22" x14ac:dyDescent="0.3">
      <c r="A427"/>
      <c r="B427"/>
      <c r="C427"/>
      <c r="D427"/>
      <c r="E427"/>
      <c r="F427"/>
      <c r="G427"/>
      <c r="H427"/>
      <c r="I427"/>
      <c r="J427"/>
      <c r="K427"/>
      <c r="L427"/>
      <c r="M427"/>
      <c r="N427"/>
      <c r="O427"/>
      <c r="P427"/>
      <c r="Q427"/>
      <c r="R427"/>
      <c r="S427"/>
      <c r="T427"/>
      <c r="U427"/>
      <c r="V427"/>
    </row>
    <row r="428" spans="1:22" x14ac:dyDescent="0.3">
      <c r="A428"/>
      <c r="B428"/>
      <c r="C428"/>
      <c r="D428"/>
      <c r="E428"/>
      <c r="F428"/>
      <c r="G428"/>
      <c r="H428"/>
      <c r="I428"/>
      <c r="J428"/>
      <c r="K428"/>
      <c r="L428"/>
      <c r="M428"/>
      <c r="N428"/>
      <c r="O428"/>
      <c r="P428"/>
      <c r="Q428"/>
      <c r="R428"/>
      <c r="S428"/>
      <c r="T428"/>
      <c r="U428"/>
      <c r="V428"/>
    </row>
    <row r="429" spans="1:22" x14ac:dyDescent="0.3">
      <c r="A429"/>
      <c r="B429"/>
      <c r="C429"/>
      <c r="D429"/>
      <c r="E429"/>
      <c r="F429"/>
      <c r="G429"/>
      <c r="H429"/>
      <c r="I429"/>
      <c r="J429"/>
      <c r="K429"/>
      <c r="L429"/>
      <c r="M429"/>
      <c r="N429"/>
      <c r="O429"/>
      <c r="P429"/>
      <c r="Q429"/>
      <c r="R429"/>
      <c r="S429"/>
      <c r="T429"/>
      <c r="U429"/>
      <c r="V429"/>
    </row>
    <row r="430" spans="1:22" x14ac:dyDescent="0.3">
      <c r="A430"/>
      <c r="B430"/>
      <c r="C430"/>
      <c r="D430"/>
      <c r="E430"/>
      <c r="F430"/>
      <c r="G430"/>
      <c r="H430"/>
      <c r="I430"/>
      <c r="J430"/>
      <c r="K430"/>
      <c r="L430"/>
      <c r="M430"/>
      <c r="N430"/>
      <c r="O430"/>
      <c r="P430"/>
      <c r="Q430"/>
      <c r="R430"/>
      <c r="S430"/>
      <c r="T430"/>
      <c r="U430"/>
      <c r="V430"/>
    </row>
    <row r="431" spans="1:22" x14ac:dyDescent="0.3">
      <c r="A431"/>
      <c r="B431"/>
      <c r="C431"/>
      <c r="D431"/>
      <c r="E431"/>
      <c r="F431"/>
      <c r="G431"/>
      <c r="H431"/>
      <c r="I431"/>
      <c r="J431"/>
      <c r="K431"/>
      <c r="L431"/>
      <c r="M431"/>
      <c r="N431"/>
      <c r="O431"/>
      <c r="P431"/>
      <c r="Q431"/>
      <c r="R431"/>
      <c r="S431"/>
      <c r="T431"/>
      <c r="U431"/>
      <c r="V431"/>
    </row>
    <row r="432" spans="1:22" x14ac:dyDescent="0.3">
      <c r="A432"/>
      <c r="B432"/>
      <c r="C432"/>
      <c r="D432"/>
      <c r="E432"/>
      <c r="F432"/>
      <c r="G432"/>
      <c r="H432"/>
      <c r="I432"/>
      <c r="J432"/>
      <c r="K432"/>
      <c r="L432"/>
      <c r="M432"/>
      <c r="N432"/>
      <c r="O432"/>
      <c r="P432"/>
      <c r="Q432"/>
      <c r="R432"/>
      <c r="S432"/>
      <c r="T432"/>
      <c r="U432"/>
      <c r="V432"/>
    </row>
    <row r="433" spans="1:22" x14ac:dyDescent="0.3">
      <c r="A433"/>
      <c r="B433"/>
      <c r="C433"/>
      <c r="D433"/>
      <c r="E433"/>
      <c r="F433"/>
      <c r="G433"/>
      <c r="H433"/>
      <c r="I433"/>
      <c r="J433"/>
      <c r="K433"/>
      <c r="L433"/>
      <c r="M433"/>
      <c r="N433"/>
      <c r="O433"/>
      <c r="P433"/>
      <c r="Q433"/>
      <c r="R433"/>
      <c r="S433"/>
      <c r="T433"/>
      <c r="U433"/>
      <c r="V433"/>
    </row>
    <row r="434" spans="1:22" x14ac:dyDescent="0.3">
      <c r="A434"/>
      <c r="B434"/>
      <c r="C434"/>
      <c r="D434"/>
      <c r="E434"/>
      <c r="F434"/>
      <c r="G434"/>
      <c r="H434"/>
      <c r="I434"/>
      <c r="J434"/>
      <c r="K434"/>
      <c r="L434"/>
      <c r="M434"/>
      <c r="N434"/>
      <c r="O434"/>
      <c r="P434"/>
      <c r="Q434"/>
      <c r="R434"/>
      <c r="S434"/>
      <c r="T434"/>
      <c r="U434"/>
      <c r="V434"/>
    </row>
    <row r="435" spans="1:22" x14ac:dyDescent="0.3">
      <c r="A435"/>
      <c r="B435"/>
      <c r="C435"/>
      <c r="D435"/>
      <c r="E435"/>
      <c r="F435"/>
      <c r="G435"/>
      <c r="H435"/>
      <c r="I435"/>
      <c r="J435"/>
      <c r="K435"/>
      <c r="L435"/>
      <c r="M435"/>
      <c r="N435"/>
      <c r="O435"/>
      <c r="P435"/>
      <c r="Q435"/>
      <c r="R435"/>
      <c r="S435"/>
      <c r="T435"/>
      <c r="U435"/>
      <c r="V435"/>
    </row>
    <row r="436" spans="1:22" x14ac:dyDescent="0.3">
      <c r="A436"/>
      <c r="B436"/>
      <c r="C436"/>
      <c r="D436"/>
      <c r="E436"/>
      <c r="F436"/>
      <c r="G436"/>
      <c r="H436"/>
      <c r="I436"/>
      <c r="J436"/>
      <c r="K436"/>
      <c r="L436"/>
      <c r="M436"/>
      <c r="N436"/>
      <c r="O436"/>
      <c r="P436"/>
      <c r="Q436"/>
      <c r="R436"/>
      <c r="S436"/>
      <c r="T436"/>
      <c r="U436"/>
      <c r="V436"/>
    </row>
    <row r="437" spans="1:22" x14ac:dyDescent="0.3">
      <c r="A437"/>
      <c r="B437"/>
      <c r="C437"/>
      <c r="D437"/>
      <c r="E437"/>
      <c r="F437"/>
      <c r="G437"/>
      <c r="H437"/>
      <c r="I437"/>
      <c r="J437"/>
      <c r="K437"/>
      <c r="L437"/>
      <c r="M437"/>
      <c r="N437"/>
      <c r="O437"/>
      <c r="P437"/>
      <c r="Q437"/>
      <c r="R437"/>
      <c r="S437"/>
      <c r="T437"/>
      <c r="U437"/>
      <c r="V437"/>
    </row>
    <row r="438" spans="1:22" x14ac:dyDescent="0.3">
      <c r="A438"/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</row>
    <row r="439" spans="1:22" x14ac:dyDescent="0.3">
      <c r="A439"/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</row>
    <row r="440" spans="1:22" x14ac:dyDescent="0.3">
      <c r="A440"/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</row>
    <row r="441" spans="1:22" x14ac:dyDescent="0.3">
      <c r="A441"/>
      <c r="B441"/>
      <c r="C441"/>
      <c r="D441"/>
      <c r="E441"/>
      <c r="F441"/>
      <c r="G441"/>
      <c r="H441"/>
      <c r="I441"/>
      <c r="J441"/>
      <c r="K441"/>
      <c r="L441"/>
      <c r="M441"/>
      <c r="N441"/>
      <c r="O441"/>
      <c r="P441"/>
      <c r="Q441"/>
      <c r="R441"/>
      <c r="S441"/>
      <c r="T441"/>
      <c r="U441"/>
      <c r="V441"/>
    </row>
    <row r="442" spans="1:22" x14ac:dyDescent="0.3">
      <c r="A442"/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  <c r="R442"/>
      <c r="S442"/>
      <c r="T442"/>
      <c r="U442"/>
      <c r="V442"/>
    </row>
    <row r="443" spans="1:22" x14ac:dyDescent="0.3">
      <c r="A443"/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</row>
    <row r="444" spans="1:22" x14ac:dyDescent="0.3">
      <c r="A444"/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</row>
    <row r="445" spans="1:22" x14ac:dyDescent="0.3">
      <c r="A445"/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</row>
    <row r="446" spans="1:22" x14ac:dyDescent="0.3">
      <c r="A446"/>
      <c r="B446"/>
      <c r="C446"/>
      <c r="D446"/>
      <c r="E446"/>
      <c r="F446"/>
      <c r="G446"/>
      <c r="H446"/>
      <c r="I446"/>
      <c r="J446"/>
      <c r="K446"/>
      <c r="L446"/>
      <c r="M446"/>
      <c r="N446"/>
      <c r="O446"/>
      <c r="P446"/>
      <c r="Q446"/>
      <c r="R446"/>
      <c r="S446"/>
      <c r="T446"/>
      <c r="U446"/>
      <c r="V446"/>
    </row>
    <row r="447" spans="1:22" x14ac:dyDescent="0.3">
      <c r="A447"/>
      <c r="B447"/>
      <c r="C447"/>
      <c r="D447"/>
      <c r="E447"/>
      <c r="F447"/>
      <c r="G447"/>
      <c r="H447"/>
      <c r="I447"/>
      <c r="J447"/>
      <c r="K447"/>
      <c r="L447"/>
      <c r="M447"/>
      <c r="N447"/>
      <c r="O447"/>
      <c r="P447"/>
      <c r="Q447"/>
      <c r="R447"/>
      <c r="S447"/>
      <c r="T447"/>
      <c r="U447"/>
      <c r="V447"/>
    </row>
    <row r="448" spans="1:22" x14ac:dyDescent="0.3">
      <c r="A448"/>
      <c r="B448"/>
      <c r="C448"/>
      <c r="D448"/>
      <c r="E448"/>
      <c r="F448"/>
      <c r="G448"/>
      <c r="H448"/>
      <c r="I448"/>
      <c r="J448"/>
      <c r="K448"/>
      <c r="L448"/>
      <c r="M448"/>
      <c r="N448"/>
      <c r="O448"/>
      <c r="P448"/>
      <c r="Q448"/>
      <c r="R448"/>
      <c r="S448"/>
      <c r="T448"/>
      <c r="U448"/>
      <c r="V448"/>
    </row>
    <row r="449" spans="1:22" x14ac:dyDescent="0.3">
      <c r="A449"/>
      <c r="B449"/>
      <c r="C449"/>
      <c r="D449"/>
      <c r="E449"/>
      <c r="F449"/>
      <c r="G449"/>
      <c r="H449"/>
      <c r="I449"/>
      <c r="J449"/>
      <c r="K449"/>
      <c r="L449"/>
      <c r="M449"/>
      <c r="N449"/>
      <c r="O449"/>
      <c r="P449"/>
      <c r="Q449"/>
      <c r="R449"/>
      <c r="S449"/>
      <c r="T449"/>
      <c r="U449"/>
      <c r="V449"/>
    </row>
    <row r="450" spans="1:22" x14ac:dyDescent="0.3">
      <c r="A450"/>
      <c r="B450"/>
      <c r="C450"/>
      <c r="D450"/>
      <c r="E450"/>
      <c r="F450"/>
      <c r="G450"/>
      <c r="H450"/>
      <c r="I450"/>
      <c r="J450"/>
      <c r="K450"/>
      <c r="L450"/>
      <c r="M450"/>
      <c r="N450"/>
      <c r="O450"/>
      <c r="P450"/>
      <c r="Q450"/>
      <c r="R450"/>
      <c r="S450"/>
      <c r="T450"/>
      <c r="U450"/>
      <c r="V450"/>
    </row>
    <row r="451" spans="1:22" x14ac:dyDescent="0.3">
      <c r="A451"/>
      <c r="B451"/>
      <c r="C451"/>
      <c r="D451"/>
      <c r="E451"/>
      <c r="F451"/>
      <c r="G451"/>
      <c r="H451"/>
      <c r="I451"/>
      <c r="J451"/>
      <c r="K451"/>
      <c r="L451"/>
      <c r="M451"/>
      <c r="N451"/>
      <c r="O451"/>
      <c r="P451"/>
      <c r="Q451"/>
      <c r="R451"/>
      <c r="S451"/>
      <c r="T451"/>
      <c r="U451"/>
      <c r="V451"/>
    </row>
    <row r="452" spans="1:22" x14ac:dyDescent="0.3">
      <c r="A452"/>
      <c r="B452"/>
      <c r="C452"/>
      <c r="D452"/>
      <c r="E452"/>
      <c r="F452"/>
      <c r="G452"/>
      <c r="H452"/>
      <c r="I452"/>
      <c r="J452"/>
      <c r="K452"/>
      <c r="L452"/>
      <c r="M452"/>
      <c r="N452"/>
      <c r="O452"/>
      <c r="P452"/>
      <c r="Q452"/>
      <c r="R452"/>
      <c r="S452"/>
      <c r="T452"/>
      <c r="U452"/>
      <c r="V452"/>
    </row>
    <row r="453" spans="1:22" x14ac:dyDescent="0.3">
      <c r="A453"/>
      <c r="B453"/>
      <c r="C453"/>
      <c r="D453"/>
      <c r="E453"/>
      <c r="F453"/>
      <c r="G453"/>
      <c r="H453"/>
      <c r="I453"/>
      <c r="J453"/>
      <c r="K453"/>
      <c r="L453"/>
      <c r="M453"/>
      <c r="N453"/>
      <c r="O453"/>
      <c r="P453"/>
      <c r="Q453"/>
      <c r="R453"/>
      <c r="S453"/>
      <c r="T453"/>
      <c r="U453"/>
      <c r="V453"/>
    </row>
    <row r="454" spans="1:22" x14ac:dyDescent="0.3">
      <c r="A454"/>
      <c r="B454"/>
      <c r="C454"/>
      <c r="D454"/>
      <c r="E454"/>
      <c r="F454"/>
      <c r="G454"/>
      <c r="H454"/>
      <c r="I454"/>
      <c r="J454"/>
      <c r="K454"/>
      <c r="L454"/>
      <c r="M454"/>
      <c r="N454"/>
      <c r="O454"/>
      <c r="P454"/>
      <c r="Q454"/>
      <c r="R454"/>
      <c r="S454"/>
      <c r="T454"/>
      <c r="U454"/>
      <c r="V454"/>
    </row>
    <row r="455" spans="1:22" x14ac:dyDescent="0.3">
      <c r="A455"/>
      <c r="B455"/>
      <c r="C455"/>
      <c r="D455"/>
      <c r="E455"/>
      <c r="F455"/>
      <c r="G455"/>
      <c r="H455"/>
      <c r="I455"/>
      <c r="J455"/>
      <c r="K455"/>
      <c r="L455"/>
      <c r="M455"/>
      <c r="N455"/>
      <c r="O455"/>
      <c r="P455"/>
      <c r="Q455"/>
      <c r="R455"/>
      <c r="S455"/>
      <c r="T455"/>
      <c r="U455"/>
      <c r="V455"/>
    </row>
    <row r="456" spans="1:22" x14ac:dyDescent="0.3">
      <c r="A456"/>
      <c r="B456"/>
      <c r="C456"/>
      <c r="D456"/>
      <c r="E456"/>
      <c r="F456"/>
      <c r="G456"/>
      <c r="H456"/>
      <c r="I456"/>
      <c r="J456"/>
      <c r="K456"/>
      <c r="L456"/>
      <c r="M456"/>
      <c r="N456"/>
      <c r="O456"/>
      <c r="P456"/>
      <c r="Q456"/>
      <c r="R456"/>
      <c r="S456"/>
      <c r="T456"/>
      <c r="U456"/>
      <c r="V456"/>
    </row>
    <row r="457" spans="1:22" x14ac:dyDescent="0.3">
      <c r="A457"/>
      <c r="B457"/>
      <c r="C457"/>
      <c r="D457"/>
      <c r="E457"/>
      <c r="F457"/>
      <c r="G457"/>
      <c r="H457"/>
      <c r="I457"/>
      <c r="J457"/>
      <c r="K457"/>
      <c r="L457"/>
      <c r="M457"/>
      <c r="N457"/>
      <c r="O457"/>
      <c r="P457"/>
      <c r="Q457"/>
      <c r="R457"/>
      <c r="S457"/>
      <c r="T457"/>
      <c r="U457"/>
      <c r="V457"/>
    </row>
    <row r="458" spans="1:22" x14ac:dyDescent="0.3">
      <c r="A458"/>
      <c r="B458"/>
      <c r="C458"/>
      <c r="D458"/>
      <c r="E458"/>
      <c r="F458"/>
      <c r="G458"/>
      <c r="H458"/>
      <c r="I458"/>
      <c r="J458"/>
      <c r="K458"/>
      <c r="L458"/>
      <c r="M458"/>
      <c r="N458"/>
      <c r="O458"/>
      <c r="P458"/>
      <c r="Q458"/>
      <c r="R458"/>
      <c r="S458"/>
      <c r="T458"/>
      <c r="U458"/>
      <c r="V458"/>
    </row>
    <row r="459" spans="1:22" x14ac:dyDescent="0.3">
      <c r="A459"/>
      <c r="B459"/>
      <c r="C459"/>
      <c r="D459"/>
      <c r="E459"/>
      <c r="F459"/>
      <c r="G459"/>
      <c r="H459"/>
      <c r="I459"/>
      <c r="J459"/>
      <c r="K459"/>
      <c r="L459"/>
      <c r="M459"/>
      <c r="N459"/>
      <c r="O459"/>
      <c r="P459"/>
      <c r="Q459"/>
      <c r="R459"/>
      <c r="S459"/>
      <c r="T459"/>
      <c r="U459"/>
      <c r="V459"/>
    </row>
    <row r="460" spans="1:22" x14ac:dyDescent="0.3">
      <c r="A460"/>
      <c r="B460"/>
      <c r="C460"/>
      <c r="D460"/>
      <c r="E460"/>
      <c r="F460"/>
      <c r="G460"/>
      <c r="H460"/>
      <c r="I460"/>
      <c r="J460"/>
      <c r="K460"/>
      <c r="L460"/>
      <c r="M460"/>
      <c r="N460"/>
      <c r="O460"/>
      <c r="P460"/>
      <c r="Q460"/>
      <c r="R460"/>
      <c r="S460"/>
      <c r="T460"/>
      <c r="U460"/>
      <c r="V460"/>
    </row>
    <row r="461" spans="1:22" x14ac:dyDescent="0.3">
      <c r="A461"/>
      <c r="B461"/>
      <c r="C461"/>
      <c r="D461"/>
      <c r="E461"/>
      <c r="F461"/>
      <c r="G461"/>
      <c r="H461"/>
      <c r="I461"/>
      <c r="J461"/>
      <c r="K461"/>
      <c r="L461"/>
      <c r="M461"/>
      <c r="N461"/>
      <c r="O461"/>
      <c r="P461"/>
      <c r="Q461"/>
      <c r="R461"/>
      <c r="S461"/>
      <c r="T461"/>
      <c r="U461"/>
      <c r="V461"/>
    </row>
    <row r="462" spans="1:22" x14ac:dyDescent="0.3">
      <c r="A462"/>
      <c r="B462"/>
      <c r="C462"/>
      <c r="D462"/>
      <c r="E462"/>
      <c r="F462"/>
      <c r="G462"/>
      <c r="H462"/>
      <c r="I462"/>
      <c r="J462"/>
      <c r="K462"/>
      <c r="L462"/>
      <c r="M462"/>
      <c r="N462"/>
      <c r="O462"/>
      <c r="P462"/>
      <c r="Q462"/>
      <c r="R462"/>
      <c r="S462"/>
      <c r="T462"/>
      <c r="U462"/>
      <c r="V462"/>
    </row>
    <row r="463" spans="1:22" x14ac:dyDescent="0.3">
      <c r="A463"/>
      <c r="B463"/>
      <c r="C463"/>
      <c r="D463"/>
      <c r="E463"/>
      <c r="F463"/>
      <c r="G463"/>
      <c r="H463"/>
      <c r="I463"/>
      <c r="J463"/>
      <c r="K463"/>
      <c r="L463"/>
      <c r="M463"/>
      <c r="N463"/>
      <c r="O463"/>
      <c r="P463"/>
      <c r="Q463"/>
      <c r="R463"/>
      <c r="S463"/>
      <c r="T463"/>
      <c r="U463"/>
      <c r="V463"/>
    </row>
    <row r="464" spans="1:22" x14ac:dyDescent="0.3">
      <c r="A464"/>
      <c r="B464"/>
      <c r="C464"/>
      <c r="D464"/>
      <c r="E464"/>
      <c r="F464"/>
      <c r="G464"/>
      <c r="H464"/>
      <c r="I464"/>
      <c r="J464"/>
      <c r="K464"/>
      <c r="L464"/>
      <c r="M464"/>
      <c r="N464"/>
      <c r="O464"/>
      <c r="P464"/>
      <c r="Q464"/>
      <c r="R464"/>
      <c r="S464"/>
      <c r="T464"/>
      <c r="U464"/>
      <c r="V464"/>
    </row>
    <row r="465" spans="1:22" x14ac:dyDescent="0.3">
      <c r="A465"/>
      <c r="B465"/>
      <c r="C465"/>
      <c r="D465"/>
      <c r="E465"/>
      <c r="F465"/>
      <c r="G465"/>
      <c r="H465"/>
      <c r="I465"/>
      <c r="J465"/>
      <c r="K465"/>
      <c r="L465"/>
      <c r="M465"/>
      <c r="N465"/>
      <c r="O465"/>
      <c r="P465"/>
      <c r="Q465"/>
      <c r="R465"/>
      <c r="S465"/>
      <c r="T465"/>
      <c r="U465"/>
      <c r="V465"/>
    </row>
    <row r="466" spans="1:22" x14ac:dyDescent="0.3">
      <c r="A466"/>
      <c r="B466"/>
      <c r="C466"/>
      <c r="D466"/>
      <c r="E466"/>
      <c r="F466"/>
      <c r="G466"/>
      <c r="H466"/>
      <c r="I466"/>
      <c r="J466"/>
      <c r="K466"/>
      <c r="L466"/>
      <c r="M466"/>
      <c r="N466"/>
      <c r="O466"/>
      <c r="P466"/>
      <c r="Q466"/>
      <c r="R466"/>
      <c r="S466"/>
      <c r="T466"/>
      <c r="U466"/>
      <c r="V466"/>
    </row>
    <row r="467" spans="1:22" x14ac:dyDescent="0.3">
      <c r="A467"/>
      <c r="B467"/>
      <c r="C467"/>
      <c r="D467"/>
      <c r="E467"/>
      <c r="F467"/>
      <c r="G467"/>
      <c r="H467"/>
      <c r="I467"/>
      <c r="J467"/>
      <c r="K467"/>
      <c r="L467"/>
      <c r="M467"/>
      <c r="N467"/>
      <c r="O467"/>
      <c r="P467"/>
      <c r="Q467"/>
      <c r="R467"/>
      <c r="S467"/>
      <c r="T467"/>
      <c r="U467"/>
      <c r="V467"/>
    </row>
    <row r="468" spans="1:22" x14ac:dyDescent="0.3">
      <c r="A468"/>
      <c r="B468"/>
      <c r="C468"/>
      <c r="D468"/>
      <c r="E468"/>
      <c r="F468"/>
      <c r="G468"/>
      <c r="H468"/>
      <c r="I468"/>
      <c r="J468"/>
      <c r="K468"/>
      <c r="L468"/>
      <c r="M468"/>
      <c r="N468"/>
      <c r="O468"/>
      <c r="P468"/>
      <c r="Q468"/>
      <c r="R468"/>
      <c r="S468"/>
      <c r="T468"/>
      <c r="U468"/>
      <c r="V468"/>
    </row>
    <row r="469" spans="1:22" x14ac:dyDescent="0.3">
      <c r="A469"/>
      <c r="B469"/>
      <c r="C469"/>
      <c r="D469"/>
      <c r="E469"/>
      <c r="F469"/>
      <c r="G469"/>
      <c r="H469"/>
      <c r="I469"/>
      <c r="J469"/>
      <c r="K469"/>
      <c r="L469"/>
      <c r="M469"/>
      <c r="N469"/>
      <c r="O469"/>
      <c r="P469"/>
      <c r="Q469"/>
      <c r="R469"/>
      <c r="S469"/>
      <c r="T469"/>
      <c r="U469"/>
      <c r="V469"/>
    </row>
    <row r="470" spans="1:22" x14ac:dyDescent="0.3">
      <c r="A470"/>
      <c r="B470"/>
      <c r="C470"/>
      <c r="D470"/>
      <c r="E470"/>
      <c r="F470"/>
      <c r="G470"/>
      <c r="H470"/>
      <c r="I470"/>
      <c r="J470"/>
      <c r="K470"/>
      <c r="L470"/>
      <c r="M470"/>
      <c r="N470"/>
      <c r="O470"/>
      <c r="P470"/>
      <c r="Q470"/>
      <c r="R470"/>
      <c r="S470"/>
      <c r="T470"/>
      <c r="U470"/>
      <c r="V470"/>
    </row>
    <row r="471" spans="1:22" x14ac:dyDescent="0.3">
      <c r="A471"/>
      <c r="B471"/>
      <c r="C471"/>
      <c r="D471"/>
      <c r="E471"/>
      <c r="F471"/>
      <c r="G471"/>
      <c r="H471"/>
      <c r="I471"/>
      <c r="J471"/>
      <c r="K471"/>
      <c r="L471"/>
      <c r="M471"/>
      <c r="N471"/>
      <c r="O471"/>
      <c r="P471"/>
      <c r="Q471"/>
      <c r="R471"/>
      <c r="S471"/>
      <c r="T471"/>
      <c r="U471"/>
      <c r="V471"/>
    </row>
    <row r="472" spans="1:22" x14ac:dyDescent="0.3">
      <c r="A472"/>
      <c r="B472"/>
      <c r="C472"/>
      <c r="D472"/>
      <c r="E472"/>
      <c r="F472"/>
      <c r="G472"/>
      <c r="H472"/>
      <c r="I472"/>
      <c r="J472"/>
      <c r="K472"/>
      <c r="L472"/>
      <c r="M472"/>
      <c r="N472"/>
      <c r="O472"/>
      <c r="P472"/>
      <c r="Q472"/>
      <c r="R472"/>
      <c r="S472"/>
      <c r="T472"/>
      <c r="U472"/>
      <c r="V472"/>
    </row>
    <row r="473" spans="1:22" x14ac:dyDescent="0.3">
      <c r="A473"/>
      <c r="B473"/>
      <c r="C473"/>
      <c r="D473"/>
      <c r="E473"/>
      <c r="F473"/>
      <c r="G473"/>
      <c r="H473"/>
      <c r="I473"/>
      <c r="J473"/>
      <c r="K473"/>
      <c r="L473"/>
      <c r="M473"/>
      <c r="N473"/>
      <c r="O473"/>
      <c r="P473"/>
      <c r="Q473"/>
      <c r="R473"/>
      <c r="S473"/>
      <c r="T473"/>
      <c r="U473"/>
      <c r="V473"/>
    </row>
    <row r="474" spans="1:22" x14ac:dyDescent="0.3">
      <c r="A474"/>
      <c r="B474"/>
      <c r="C474"/>
      <c r="D474"/>
      <c r="E474"/>
      <c r="F474"/>
      <c r="G474"/>
      <c r="H474"/>
      <c r="I474"/>
      <c r="J474"/>
      <c r="K474"/>
      <c r="L474"/>
      <c r="M474"/>
      <c r="N474"/>
      <c r="O474"/>
      <c r="P474"/>
      <c r="Q474"/>
      <c r="R474"/>
      <c r="S474"/>
      <c r="T474"/>
      <c r="U474"/>
      <c r="V474"/>
    </row>
    <row r="475" spans="1:22" x14ac:dyDescent="0.3">
      <c r="A475"/>
      <c r="B475"/>
      <c r="C475"/>
      <c r="D475"/>
      <c r="E475"/>
      <c r="F475"/>
      <c r="G475"/>
      <c r="H475"/>
      <c r="I475"/>
      <c r="J475"/>
      <c r="K475"/>
      <c r="L475"/>
      <c r="M475"/>
      <c r="N475"/>
      <c r="O475"/>
      <c r="P475"/>
      <c r="Q475"/>
      <c r="R475"/>
      <c r="S475"/>
      <c r="T475"/>
      <c r="U475"/>
      <c r="V475"/>
    </row>
    <row r="476" spans="1:22" x14ac:dyDescent="0.3">
      <c r="A476"/>
      <c r="B476"/>
      <c r="C476"/>
      <c r="D476"/>
      <c r="E476"/>
      <c r="F476"/>
      <c r="G476"/>
      <c r="H476"/>
      <c r="I476"/>
      <c r="J476"/>
      <c r="K476"/>
      <c r="L476"/>
      <c r="M476"/>
      <c r="N476"/>
      <c r="O476"/>
      <c r="P476"/>
      <c r="Q476"/>
      <c r="R476"/>
      <c r="S476"/>
      <c r="T476"/>
      <c r="U476"/>
      <c r="V476"/>
    </row>
    <row r="477" spans="1:22" x14ac:dyDescent="0.3">
      <c r="A477"/>
      <c r="B477"/>
      <c r="C477"/>
      <c r="D477"/>
      <c r="E477"/>
      <c r="F477"/>
      <c r="G477"/>
      <c r="H477"/>
      <c r="I477"/>
      <c r="J477"/>
      <c r="K477"/>
      <c r="L477"/>
      <c r="M477"/>
      <c r="N477"/>
      <c r="O477"/>
      <c r="P477"/>
      <c r="Q477"/>
      <c r="R477"/>
      <c r="S477"/>
      <c r="T477"/>
      <c r="U477"/>
      <c r="V477"/>
    </row>
    <row r="478" spans="1:22" x14ac:dyDescent="0.3">
      <c r="A478"/>
      <c r="B478"/>
      <c r="C478"/>
      <c r="D478"/>
      <c r="E478"/>
      <c r="F478"/>
      <c r="G478"/>
      <c r="H478"/>
      <c r="I478"/>
      <c r="J478"/>
      <c r="K478"/>
      <c r="L478"/>
      <c r="M478"/>
      <c r="N478"/>
      <c r="O478"/>
      <c r="P478"/>
      <c r="Q478"/>
      <c r="R478"/>
      <c r="S478"/>
      <c r="T478"/>
      <c r="U478"/>
      <c r="V478"/>
    </row>
    <row r="479" spans="1:22" x14ac:dyDescent="0.3">
      <c r="A479"/>
      <c r="B479"/>
      <c r="C479"/>
      <c r="D479"/>
      <c r="E479"/>
      <c r="F479"/>
      <c r="G479"/>
      <c r="H479"/>
      <c r="I479"/>
      <c r="J479"/>
      <c r="K479"/>
      <c r="L479"/>
      <c r="M479"/>
      <c r="N479"/>
      <c r="O479"/>
      <c r="P479"/>
      <c r="Q479"/>
      <c r="R479"/>
      <c r="S479"/>
      <c r="T479"/>
      <c r="U479"/>
      <c r="V479"/>
    </row>
    <row r="480" spans="1:22" x14ac:dyDescent="0.3">
      <c r="A480"/>
      <c r="B480"/>
      <c r="C480"/>
      <c r="D480"/>
      <c r="E480"/>
      <c r="F480"/>
      <c r="G480"/>
      <c r="H480"/>
      <c r="I480"/>
      <c r="J480"/>
      <c r="K480"/>
      <c r="L480"/>
      <c r="M480"/>
      <c r="N480"/>
      <c r="O480"/>
      <c r="P480"/>
      <c r="Q480"/>
      <c r="R480"/>
      <c r="S480"/>
      <c r="T480"/>
      <c r="U480"/>
      <c r="V480"/>
    </row>
    <row r="481" spans="1:22" x14ac:dyDescent="0.3">
      <c r="A481"/>
      <c r="B481"/>
      <c r="C481"/>
      <c r="D481"/>
      <c r="E481"/>
      <c r="F481"/>
      <c r="G481"/>
      <c r="H481"/>
      <c r="I481"/>
      <c r="J481"/>
      <c r="K481"/>
      <c r="L481"/>
      <c r="M481"/>
      <c r="N481"/>
      <c r="O481"/>
      <c r="P481"/>
      <c r="Q481"/>
      <c r="R481"/>
      <c r="S481"/>
      <c r="T481"/>
      <c r="U481"/>
      <c r="V481"/>
    </row>
    <row r="482" spans="1:22" x14ac:dyDescent="0.3">
      <c r="A482"/>
      <c r="B482"/>
      <c r="C482"/>
      <c r="D482"/>
      <c r="E482"/>
      <c r="F482"/>
      <c r="G482"/>
      <c r="H482"/>
      <c r="I482"/>
      <c r="J482"/>
      <c r="K482"/>
      <c r="L482"/>
      <c r="M482"/>
      <c r="N482"/>
      <c r="O482"/>
      <c r="P482"/>
      <c r="Q482"/>
      <c r="R482"/>
      <c r="S482"/>
      <c r="T482"/>
      <c r="U482"/>
      <c r="V482"/>
    </row>
    <row r="483" spans="1:22" x14ac:dyDescent="0.3">
      <c r="A483"/>
      <c r="B483"/>
      <c r="C483"/>
      <c r="D483"/>
      <c r="E483"/>
      <c r="F483"/>
      <c r="G483"/>
      <c r="H483"/>
      <c r="I483"/>
      <c r="J483"/>
      <c r="K483"/>
      <c r="L483"/>
      <c r="M483"/>
      <c r="N483"/>
      <c r="O483"/>
      <c r="P483"/>
      <c r="Q483"/>
      <c r="R483"/>
      <c r="S483"/>
      <c r="T483"/>
      <c r="U483"/>
      <c r="V483"/>
    </row>
    <row r="484" spans="1:22" x14ac:dyDescent="0.3">
      <c r="A484"/>
      <c r="B484"/>
      <c r="C484"/>
      <c r="D484"/>
      <c r="E484"/>
      <c r="F484"/>
      <c r="G484"/>
      <c r="H484"/>
      <c r="I484"/>
      <c r="J484"/>
      <c r="K484"/>
      <c r="L484"/>
      <c r="M484"/>
      <c r="N484"/>
      <c r="O484"/>
      <c r="P484"/>
      <c r="Q484"/>
      <c r="R484"/>
      <c r="S484"/>
      <c r="T484"/>
      <c r="U484"/>
      <c r="V484"/>
    </row>
  </sheetData>
  <sortState xmlns:xlrd2="http://schemas.microsoft.com/office/spreadsheetml/2017/richdata2" ref="A7:V37">
    <sortCondition ref="B7"/>
  </sortState>
  <mergeCells count="9">
    <mergeCell ref="A4:B4"/>
    <mergeCell ref="C4:G4"/>
    <mergeCell ref="A1:B1"/>
    <mergeCell ref="C1:E1"/>
    <mergeCell ref="J1:K1"/>
    <mergeCell ref="A2:B2"/>
    <mergeCell ref="C2:D2"/>
    <mergeCell ref="A3:B3"/>
    <mergeCell ref="C3:D3"/>
  </mergeCells>
  <phoneticPr fontId="10" type="noConversion"/>
  <printOptions horizontalCentered="1" gridLines="1"/>
  <pageMargins left="0.19685039370078741" right="0.19685039370078741" top="0.39370078740157483" bottom="0.39370078740157483" header="0.19685039370078741" footer="0.19685039370078741"/>
  <pageSetup paperSize="9" scale="99" orientation="portrait" blackAndWhite="1" r:id="rId1"/>
  <headerFooter alignWithMargins="0">
    <oddHeader>&amp;RLeht &amp;P / Lehti &amp;N</oddHeader>
    <oddFooter>&amp;L&amp;F&amp;R&amp;T - &amp;D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2">
    <tabColor rgb="FFFFC000"/>
    <outlinePr summaryBelow="0"/>
    <pageSetUpPr fitToPage="1"/>
  </sheetPr>
  <dimension ref="A1:M1048510"/>
  <sheetViews>
    <sheetView workbookViewId="0">
      <selection activeCell="H4" sqref="H4"/>
    </sheetView>
  </sheetViews>
  <sheetFormatPr defaultRowHeight="16.3" x14ac:dyDescent="0.3"/>
  <cols>
    <col min="1" max="1" width="9.125" style="212"/>
    <col min="2" max="2" width="5.875" style="216" customWidth="1"/>
    <col min="3" max="3" width="32.625" style="256" customWidth="1"/>
    <col min="4" max="4" width="11.625" style="215" customWidth="1"/>
    <col min="5" max="5" width="10.875" style="215" customWidth="1"/>
    <col min="6" max="6" width="7.25" style="215" customWidth="1"/>
    <col min="7" max="7" width="8.375" style="215" bestFit="1" customWidth="1"/>
    <col min="8" max="8" width="8.25" style="212" customWidth="1"/>
    <col min="9" max="9" width="9.625" style="212" bestFit="1" customWidth="1"/>
    <col min="10" max="10" width="9.125" style="212"/>
    <col min="11" max="11" width="21.75" style="212" customWidth="1"/>
    <col min="12" max="12" width="24.875" style="212" customWidth="1"/>
    <col min="13" max="163" width="9.125" style="212"/>
    <col min="164" max="164" width="9" style="212" customWidth="1"/>
    <col min="165" max="165" width="71" style="212" customWidth="1"/>
    <col min="166" max="166" width="8.75" style="212" customWidth="1"/>
    <col min="167" max="167" width="7.75" style="212" customWidth="1"/>
    <col min="168" max="168" width="29.75" style="212" customWidth="1"/>
    <col min="169" max="419" width="9.125" style="212"/>
    <col min="420" max="420" width="9" style="212" customWidth="1"/>
    <col min="421" max="421" width="71" style="212" customWidth="1"/>
    <col min="422" max="422" width="8.75" style="212" customWidth="1"/>
    <col min="423" max="423" width="7.75" style="212" customWidth="1"/>
    <col min="424" max="424" width="29.75" style="212" customWidth="1"/>
    <col min="425" max="675" width="9.125" style="212"/>
    <col min="676" max="676" width="9" style="212" customWidth="1"/>
    <col min="677" max="677" width="71" style="212" customWidth="1"/>
    <col min="678" max="678" width="8.75" style="212" customWidth="1"/>
    <col min="679" max="679" width="7.75" style="212" customWidth="1"/>
    <col min="680" max="680" width="29.75" style="212" customWidth="1"/>
    <col min="681" max="931" width="9.125" style="212"/>
    <col min="932" max="932" width="9" style="212" customWidth="1"/>
    <col min="933" max="933" width="71" style="212" customWidth="1"/>
    <col min="934" max="934" width="8.75" style="212" customWidth="1"/>
    <col min="935" max="935" width="7.75" style="212" customWidth="1"/>
    <col min="936" max="936" width="29.75" style="212" customWidth="1"/>
    <col min="937" max="1187" width="9.125" style="212"/>
    <col min="1188" max="1188" width="9" style="212" customWidth="1"/>
    <col min="1189" max="1189" width="71" style="212" customWidth="1"/>
    <col min="1190" max="1190" width="8.75" style="212" customWidth="1"/>
    <col min="1191" max="1191" width="7.75" style="212" customWidth="1"/>
    <col min="1192" max="1192" width="29.75" style="212" customWidth="1"/>
    <col min="1193" max="1443" width="9.125" style="212"/>
    <col min="1444" max="1444" width="9" style="212" customWidth="1"/>
    <col min="1445" max="1445" width="71" style="212" customWidth="1"/>
    <col min="1446" max="1446" width="8.75" style="212" customWidth="1"/>
    <col min="1447" max="1447" width="7.75" style="212" customWidth="1"/>
    <col min="1448" max="1448" width="29.75" style="212" customWidth="1"/>
    <col min="1449" max="1699" width="9.125" style="212"/>
    <col min="1700" max="1700" width="9" style="212" customWidth="1"/>
    <col min="1701" max="1701" width="71" style="212" customWidth="1"/>
    <col min="1702" max="1702" width="8.75" style="212" customWidth="1"/>
    <col min="1703" max="1703" width="7.75" style="212" customWidth="1"/>
    <col min="1704" max="1704" width="29.75" style="212" customWidth="1"/>
    <col min="1705" max="1955" width="9.125" style="212"/>
    <col min="1956" max="1956" width="9" style="212" customWidth="1"/>
    <col min="1957" max="1957" width="71" style="212" customWidth="1"/>
    <col min="1958" max="1958" width="8.75" style="212" customWidth="1"/>
    <col min="1959" max="1959" width="7.75" style="212" customWidth="1"/>
    <col min="1960" max="1960" width="29.75" style="212" customWidth="1"/>
    <col min="1961" max="2211" width="9.125" style="212"/>
    <col min="2212" max="2212" width="9" style="212" customWidth="1"/>
    <col min="2213" max="2213" width="71" style="212" customWidth="1"/>
    <col min="2214" max="2214" width="8.75" style="212" customWidth="1"/>
    <col min="2215" max="2215" width="7.75" style="212" customWidth="1"/>
    <col min="2216" max="2216" width="29.75" style="212" customWidth="1"/>
    <col min="2217" max="2467" width="9.125" style="212"/>
    <col min="2468" max="2468" width="9" style="212" customWidth="1"/>
    <col min="2469" max="2469" width="71" style="212" customWidth="1"/>
    <col min="2470" max="2470" width="8.75" style="212" customWidth="1"/>
    <col min="2471" max="2471" width="7.75" style="212" customWidth="1"/>
    <col min="2472" max="2472" width="29.75" style="212" customWidth="1"/>
    <col min="2473" max="2723" width="9.125" style="212"/>
    <col min="2724" max="2724" width="9" style="212" customWidth="1"/>
    <col min="2725" max="2725" width="71" style="212" customWidth="1"/>
    <col min="2726" max="2726" width="8.75" style="212" customWidth="1"/>
    <col min="2727" max="2727" width="7.75" style="212" customWidth="1"/>
    <col min="2728" max="2728" width="29.75" style="212" customWidth="1"/>
    <col min="2729" max="2979" width="9.125" style="212"/>
    <col min="2980" max="2980" width="9" style="212" customWidth="1"/>
    <col min="2981" max="2981" width="71" style="212" customWidth="1"/>
    <col min="2982" max="2982" width="8.75" style="212" customWidth="1"/>
    <col min="2983" max="2983" width="7.75" style="212" customWidth="1"/>
    <col min="2984" max="2984" width="29.75" style="212" customWidth="1"/>
    <col min="2985" max="3235" width="9.125" style="212"/>
    <col min="3236" max="3236" width="9" style="212" customWidth="1"/>
    <col min="3237" max="3237" width="71" style="212" customWidth="1"/>
    <col min="3238" max="3238" width="8.75" style="212" customWidth="1"/>
    <col min="3239" max="3239" width="7.75" style="212" customWidth="1"/>
    <col min="3240" max="3240" width="29.75" style="212" customWidth="1"/>
    <col min="3241" max="3491" width="9.125" style="212"/>
    <col min="3492" max="3492" width="9" style="212" customWidth="1"/>
    <col min="3493" max="3493" width="71" style="212" customWidth="1"/>
    <col min="3494" max="3494" width="8.75" style="212" customWidth="1"/>
    <col min="3495" max="3495" width="7.75" style="212" customWidth="1"/>
    <col min="3496" max="3496" width="29.75" style="212" customWidth="1"/>
    <col min="3497" max="3747" width="9.125" style="212"/>
    <col min="3748" max="3748" width="9" style="212" customWidth="1"/>
    <col min="3749" max="3749" width="71" style="212" customWidth="1"/>
    <col min="3750" max="3750" width="8.75" style="212" customWidth="1"/>
    <col min="3751" max="3751" width="7.75" style="212" customWidth="1"/>
    <col min="3752" max="3752" width="29.75" style="212" customWidth="1"/>
    <col min="3753" max="4003" width="9.125" style="212"/>
    <col min="4004" max="4004" width="9" style="212" customWidth="1"/>
    <col min="4005" max="4005" width="71" style="212" customWidth="1"/>
    <col min="4006" max="4006" width="8.75" style="212" customWidth="1"/>
    <col min="4007" max="4007" width="7.75" style="212" customWidth="1"/>
    <col min="4008" max="4008" width="29.75" style="212" customWidth="1"/>
    <col min="4009" max="4259" width="9.125" style="212"/>
    <col min="4260" max="4260" width="9" style="212" customWidth="1"/>
    <col min="4261" max="4261" width="71" style="212" customWidth="1"/>
    <col min="4262" max="4262" width="8.75" style="212" customWidth="1"/>
    <col min="4263" max="4263" width="7.75" style="212" customWidth="1"/>
    <col min="4264" max="4264" width="29.75" style="212" customWidth="1"/>
    <col min="4265" max="4515" width="9.125" style="212"/>
    <col min="4516" max="4516" width="9" style="212" customWidth="1"/>
    <col min="4517" max="4517" width="71" style="212" customWidth="1"/>
    <col min="4518" max="4518" width="8.75" style="212" customWidth="1"/>
    <col min="4519" max="4519" width="7.75" style="212" customWidth="1"/>
    <col min="4520" max="4520" width="29.75" style="212" customWidth="1"/>
    <col min="4521" max="4771" width="9.125" style="212"/>
    <col min="4772" max="4772" width="9" style="212" customWidth="1"/>
    <col min="4773" max="4773" width="71" style="212" customWidth="1"/>
    <col min="4774" max="4774" width="8.75" style="212" customWidth="1"/>
    <col min="4775" max="4775" width="7.75" style="212" customWidth="1"/>
    <col min="4776" max="4776" width="29.75" style="212" customWidth="1"/>
    <col min="4777" max="5027" width="9.125" style="212"/>
    <col min="5028" max="5028" width="9" style="212" customWidth="1"/>
    <col min="5029" max="5029" width="71" style="212" customWidth="1"/>
    <col min="5030" max="5030" width="8.75" style="212" customWidth="1"/>
    <col min="5031" max="5031" width="7.75" style="212" customWidth="1"/>
    <col min="5032" max="5032" width="29.75" style="212" customWidth="1"/>
    <col min="5033" max="5283" width="9.125" style="212"/>
    <col min="5284" max="5284" width="9" style="212" customWidth="1"/>
    <col min="5285" max="5285" width="71" style="212" customWidth="1"/>
    <col min="5286" max="5286" width="8.75" style="212" customWidth="1"/>
    <col min="5287" max="5287" width="7.75" style="212" customWidth="1"/>
    <col min="5288" max="5288" width="29.75" style="212" customWidth="1"/>
    <col min="5289" max="5539" width="9.125" style="212"/>
    <col min="5540" max="5540" width="9" style="212" customWidth="1"/>
    <col min="5541" max="5541" width="71" style="212" customWidth="1"/>
    <col min="5542" max="5542" width="8.75" style="212" customWidth="1"/>
    <col min="5543" max="5543" width="7.75" style="212" customWidth="1"/>
    <col min="5544" max="5544" width="29.75" style="212" customWidth="1"/>
    <col min="5545" max="5795" width="9.125" style="212"/>
    <col min="5796" max="5796" width="9" style="212" customWidth="1"/>
    <col min="5797" max="5797" width="71" style="212" customWidth="1"/>
    <col min="5798" max="5798" width="8.75" style="212" customWidth="1"/>
    <col min="5799" max="5799" width="7.75" style="212" customWidth="1"/>
    <col min="5800" max="5800" width="29.75" style="212" customWidth="1"/>
    <col min="5801" max="6051" width="9.125" style="212"/>
    <col min="6052" max="6052" width="9" style="212" customWidth="1"/>
    <col min="6053" max="6053" width="71" style="212" customWidth="1"/>
    <col min="6054" max="6054" width="8.75" style="212" customWidth="1"/>
    <col min="6055" max="6055" width="7.75" style="212" customWidth="1"/>
    <col min="6056" max="6056" width="29.75" style="212" customWidth="1"/>
    <col min="6057" max="6307" width="9.125" style="212"/>
    <col min="6308" max="6308" width="9" style="212" customWidth="1"/>
    <col min="6309" max="6309" width="71" style="212" customWidth="1"/>
    <col min="6310" max="6310" width="8.75" style="212" customWidth="1"/>
    <col min="6311" max="6311" width="7.75" style="212" customWidth="1"/>
    <col min="6312" max="6312" width="29.75" style="212" customWidth="1"/>
    <col min="6313" max="6563" width="9.125" style="212"/>
    <col min="6564" max="6564" width="9" style="212" customWidth="1"/>
    <col min="6565" max="6565" width="71" style="212" customWidth="1"/>
    <col min="6566" max="6566" width="8.75" style="212" customWidth="1"/>
    <col min="6567" max="6567" width="7.75" style="212" customWidth="1"/>
    <col min="6568" max="6568" width="29.75" style="212" customWidth="1"/>
    <col min="6569" max="6819" width="9.125" style="212"/>
    <col min="6820" max="6820" width="9" style="212" customWidth="1"/>
    <col min="6821" max="6821" width="71" style="212" customWidth="1"/>
    <col min="6822" max="6822" width="8.75" style="212" customWidth="1"/>
    <col min="6823" max="6823" width="7.75" style="212" customWidth="1"/>
    <col min="6824" max="6824" width="29.75" style="212" customWidth="1"/>
    <col min="6825" max="7075" width="9.125" style="212"/>
    <col min="7076" max="7076" width="9" style="212" customWidth="1"/>
    <col min="7077" max="7077" width="71" style="212" customWidth="1"/>
    <col min="7078" max="7078" width="8.75" style="212" customWidth="1"/>
    <col min="7079" max="7079" width="7.75" style="212" customWidth="1"/>
    <col min="7080" max="7080" width="29.75" style="212" customWidth="1"/>
    <col min="7081" max="7331" width="9.125" style="212"/>
    <col min="7332" max="7332" width="9" style="212" customWidth="1"/>
    <col min="7333" max="7333" width="71" style="212" customWidth="1"/>
    <col min="7334" max="7334" width="8.75" style="212" customWidth="1"/>
    <col min="7335" max="7335" width="7.75" style="212" customWidth="1"/>
    <col min="7336" max="7336" width="29.75" style="212" customWidth="1"/>
    <col min="7337" max="7587" width="9.125" style="212"/>
    <col min="7588" max="7588" width="9" style="212" customWidth="1"/>
    <col min="7589" max="7589" width="71" style="212" customWidth="1"/>
    <col min="7590" max="7590" width="8.75" style="212" customWidth="1"/>
    <col min="7591" max="7591" width="7.75" style="212" customWidth="1"/>
    <col min="7592" max="7592" width="29.75" style="212" customWidth="1"/>
    <col min="7593" max="7843" width="9.125" style="212"/>
    <col min="7844" max="7844" width="9" style="212" customWidth="1"/>
    <col min="7845" max="7845" width="71" style="212" customWidth="1"/>
    <col min="7846" max="7846" width="8.75" style="212" customWidth="1"/>
    <col min="7847" max="7847" width="7.75" style="212" customWidth="1"/>
    <col min="7848" max="7848" width="29.75" style="212" customWidth="1"/>
    <col min="7849" max="8099" width="9.125" style="212"/>
    <col min="8100" max="8100" width="9" style="212" customWidth="1"/>
    <col min="8101" max="8101" width="71" style="212" customWidth="1"/>
    <col min="8102" max="8102" width="8.75" style="212" customWidth="1"/>
    <col min="8103" max="8103" width="7.75" style="212" customWidth="1"/>
    <col min="8104" max="8104" width="29.75" style="212" customWidth="1"/>
    <col min="8105" max="8355" width="9.125" style="212"/>
    <col min="8356" max="8356" width="9" style="212" customWidth="1"/>
    <col min="8357" max="8357" width="71" style="212" customWidth="1"/>
    <col min="8358" max="8358" width="8.75" style="212" customWidth="1"/>
    <col min="8359" max="8359" width="7.75" style="212" customWidth="1"/>
    <col min="8360" max="8360" width="29.75" style="212" customWidth="1"/>
    <col min="8361" max="8611" width="9.125" style="212"/>
    <col min="8612" max="8612" width="9" style="212" customWidth="1"/>
    <col min="8613" max="8613" width="71" style="212" customWidth="1"/>
    <col min="8614" max="8614" width="8.75" style="212" customWidth="1"/>
    <col min="8615" max="8615" width="7.75" style="212" customWidth="1"/>
    <col min="8616" max="8616" width="29.75" style="212" customWidth="1"/>
    <col min="8617" max="8867" width="9.125" style="212"/>
    <col min="8868" max="8868" width="9" style="212" customWidth="1"/>
    <col min="8869" max="8869" width="71" style="212" customWidth="1"/>
    <col min="8870" max="8870" width="8.75" style="212" customWidth="1"/>
    <col min="8871" max="8871" width="7.75" style="212" customWidth="1"/>
    <col min="8872" max="8872" width="29.75" style="212" customWidth="1"/>
    <col min="8873" max="9123" width="9.125" style="212"/>
    <col min="9124" max="9124" width="9" style="212" customWidth="1"/>
    <col min="9125" max="9125" width="71" style="212" customWidth="1"/>
    <col min="9126" max="9126" width="8.75" style="212" customWidth="1"/>
    <col min="9127" max="9127" width="7.75" style="212" customWidth="1"/>
    <col min="9128" max="9128" width="29.75" style="212" customWidth="1"/>
    <col min="9129" max="9379" width="9.125" style="212"/>
    <col min="9380" max="9380" width="9" style="212" customWidth="1"/>
    <col min="9381" max="9381" width="71" style="212" customWidth="1"/>
    <col min="9382" max="9382" width="8.75" style="212" customWidth="1"/>
    <col min="9383" max="9383" width="7.75" style="212" customWidth="1"/>
    <col min="9384" max="9384" width="29.75" style="212" customWidth="1"/>
    <col min="9385" max="9635" width="9.125" style="212"/>
    <col min="9636" max="9636" width="9" style="212" customWidth="1"/>
    <col min="9637" max="9637" width="71" style="212" customWidth="1"/>
    <col min="9638" max="9638" width="8.75" style="212" customWidth="1"/>
    <col min="9639" max="9639" width="7.75" style="212" customWidth="1"/>
    <col min="9640" max="9640" width="29.75" style="212" customWidth="1"/>
    <col min="9641" max="9891" width="9.125" style="212"/>
    <col min="9892" max="9892" width="9" style="212" customWidth="1"/>
    <col min="9893" max="9893" width="71" style="212" customWidth="1"/>
    <col min="9894" max="9894" width="8.75" style="212" customWidth="1"/>
    <col min="9895" max="9895" width="7.75" style="212" customWidth="1"/>
    <col min="9896" max="9896" width="29.75" style="212" customWidth="1"/>
    <col min="9897" max="10147" width="9.125" style="212"/>
    <col min="10148" max="10148" width="9" style="212" customWidth="1"/>
    <col min="10149" max="10149" width="71" style="212" customWidth="1"/>
    <col min="10150" max="10150" width="8.75" style="212" customWidth="1"/>
    <col min="10151" max="10151" width="7.75" style="212" customWidth="1"/>
    <col min="10152" max="10152" width="29.75" style="212" customWidth="1"/>
    <col min="10153" max="10403" width="9.125" style="212"/>
    <col min="10404" max="10404" width="9" style="212" customWidth="1"/>
    <col min="10405" max="10405" width="71" style="212" customWidth="1"/>
    <col min="10406" max="10406" width="8.75" style="212" customWidth="1"/>
    <col min="10407" max="10407" width="7.75" style="212" customWidth="1"/>
    <col min="10408" max="10408" width="29.75" style="212" customWidth="1"/>
    <col min="10409" max="10659" width="9.125" style="212"/>
    <col min="10660" max="10660" width="9" style="212" customWidth="1"/>
    <col min="10661" max="10661" width="71" style="212" customWidth="1"/>
    <col min="10662" max="10662" width="8.75" style="212" customWidth="1"/>
    <col min="10663" max="10663" width="7.75" style="212" customWidth="1"/>
    <col min="10664" max="10664" width="29.75" style="212" customWidth="1"/>
    <col min="10665" max="10915" width="9.125" style="212"/>
    <col min="10916" max="10916" width="9" style="212" customWidth="1"/>
    <col min="10917" max="10917" width="71" style="212" customWidth="1"/>
    <col min="10918" max="10918" width="8.75" style="212" customWidth="1"/>
    <col min="10919" max="10919" width="7.75" style="212" customWidth="1"/>
    <col min="10920" max="10920" width="29.75" style="212" customWidth="1"/>
    <col min="10921" max="11171" width="9.125" style="212"/>
    <col min="11172" max="11172" width="9" style="212" customWidth="1"/>
    <col min="11173" max="11173" width="71" style="212" customWidth="1"/>
    <col min="11174" max="11174" width="8.75" style="212" customWidth="1"/>
    <col min="11175" max="11175" width="7.75" style="212" customWidth="1"/>
    <col min="11176" max="11176" width="29.75" style="212" customWidth="1"/>
    <col min="11177" max="11427" width="9.125" style="212"/>
    <col min="11428" max="11428" width="9" style="212" customWidth="1"/>
    <col min="11429" max="11429" width="71" style="212" customWidth="1"/>
    <col min="11430" max="11430" width="8.75" style="212" customWidth="1"/>
    <col min="11431" max="11431" width="7.75" style="212" customWidth="1"/>
    <col min="11432" max="11432" width="29.75" style="212" customWidth="1"/>
    <col min="11433" max="11683" width="9.125" style="212"/>
    <col min="11684" max="11684" width="9" style="212" customWidth="1"/>
    <col min="11685" max="11685" width="71" style="212" customWidth="1"/>
    <col min="11686" max="11686" width="8.75" style="212" customWidth="1"/>
    <col min="11687" max="11687" width="7.75" style="212" customWidth="1"/>
    <col min="11688" max="11688" width="29.75" style="212" customWidth="1"/>
    <col min="11689" max="11939" width="9.125" style="212"/>
    <col min="11940" max="11940" width="9" style="212" customWidth="1"/>
    <col min="11941" max="11941" width="71" style="212" customWidth="1"/>
    <col min="11942" max="11942" width="8.75" style="212" customWidth="1"/>
    <col min="11943" max="11943" width="7.75" style="212" customWidth="1"/>
    <col min="11944" max="11944" width="29.75" style="212" customWidth="1"/>
    <col min="11945" max="12195" width="9.125" style="212"/>
    <col min="12196" max="12196" width="9" style="212" customWidth="1"/>
    <col min="12197" max="12197" width="71" style="212" customWidth="1"/>
    <col min="12198" max="12198" width="8.75" style="212" customWidth="1"/>
    <col min="12199" max="12199" width="7.75" style="212" customWidth="1"/>
    <col min="12200" max="12200" width="29.75" style="212" customWidth="1"/>
    <col min="12201" max="12451" width="9.125" style="212"/>
    <col min="12452" max="12452" width="9" style="212" customWidth="1"/>
    <col min="12453" max="12453" width="71" style="212" customWidth="1"/>
    <col min="12454" max="12454" width="8.75" style="212" customWidth="1"/>
    <col min="12455" max="12455" width="7.75" style="212" customWidth="1"/>
    <col min="12456" max="12456" width="29.75" style="212" customWidth="1"/>
    <col min="12457" max="12707" width="9.125" style="212"/>
    <col min="12708" max="12708" width="9" style="212" customWidth="1"/>
    <col min="12709" max="12709" width="71" style="212" customWidth="1"/>
    <col min="12710" max="12710" width="8.75" style="212" customWidth="1"/>
    <col min="12711" max="12711" width="7.75" style="212" customWidth="1"/>
    <col min="12712" max="12712" width="29.75" style="212" customWidth="1"/>
    <col min="12713" max="12963" width="9.125" style="212"/>
    <col min="12964" max="12964" width="9" style="212" customWidth="1"/>
    <col min="12965" max="12965" width="71" style="212" customWidth="1"/>
    <col min="12966" max="12966" width="8.75" style="212" customWidth="1"/>
    <col min="12967" max="12967" width="7.75" style="212" customWidth="1"/>
    <col min="12968" max="12968" width="29.75" style="212" customWidth="1"/>
    <col min="12969" max="13219" width="9.125" style="212"/>
    <col min="13220" max="13220" width="9" style="212" customWidth="1"/>
    <col min="13221" max="13221" width="71" style="212" customWidth="1"/>
    <col min="13222" max="13222" width="8.75" style="212" customWidth="1"/>
    <col min="13223" max="13223" width="7.75" style="212" customWidth="1"/>
    <col min="13224" max="13224" width="29.75" style="212" customWidth="1"/>
    <col min="13225" max="13475" width="9.125" style="212"/>
    <col min="13476" max="13476" width="9" style="212" customWidth="1"/>
    <col min="13477" max="13477" width="71" style="212" customWidth="1"/>
    <col min="13478" max="13478" width="8.75" style="212" customWidth="1"/>
    <col min="13479" max="13479" width="7.75" style="212" customWidth="1"/>
    <col min="13480" max="13480" width="29.75" style="212" customWidth="1"/>
    <col min="13481" max="13731" width="9.125" style="212"/>
    <col min="13732" max="13732" width="9" style="212" customWidth="1"/>
    <col min="13733" max="13733" width="71" style="212" customWidth="1"/>
    <col min="13734" max="13734" width="8.75" style="212" customWidth="1"/>
    <col min="13735" max="13735" width="7.75" style="212" customWidth="1"/>
    <col min="13736" max="13736" width="29.75" style="212" customWidth="1"/>
    <col min="13737" max="13987" width="9.125" style="212"/>
    <col min="13988" max="13988" width="9" style="212" customWidth="1"/>
    <col min="13989" max="13989" width="71" style="212" customWidth="1"/>
    <col min="13990" max="13990" width="8.75" style="212" customWidth="1"/>
    <col min="13991" max="13991" width="7.75" style="212" customWidth="1"/>
    <col min="13992" max="13992" width="29.75" style="212" customWidth="1"/>
    <col min="13993" max="14243" width="9.125" style="212"/>
    <col min="14244" max="14244" width="9" style="212" customWidth="1"/>
    <col min="14245" max="14245" width="71" style="212" customWidth="1"/>
    <col min="14246" max="14246" width="8.75" style="212" customWidth="1"/>
    <col min="14247" max="14247" width="7.75" style="212" customWidth="1"/>
    <col min="14248" max="14248" width="29.75" style="212" customWidth="1"/>
    <col min="14249" max="14499" width="9.125" style="212"/>
    <col min="14500" max="14500" width="9" style="212" customWidth="1"/>
    <col min="14501" max="14501" width="71" style="212" customWidth="1"/>
    <col min="14502" max="14502" width="8.75" style="212" customWidth="1"/>
    <col min="14503" max="14503" width="7.75" style="212" customWidth="1"/>
    <col min="14504" max="14504" width="29.75" style="212" customWidth="1"/>
    <col min="14505" max="14755" width="9.125" style="212"/>
    <col min="14756" max="14756" width="9" style="212" customWidth="1"/>
    <col min="14757" max="14757" width="71" style="212" customWidth="1"/>
    <col min="14758" max="14758" width="8.75" style="212" customWidth="1"/>
    <col min="14759" max="14759" width="7.75" style="212" customWidth="1"/>
    <col min="14760" max="14760" width="29.75" style="212" customWidth="1"/>
    <col min="14761" max="15011" width="9.125" style="212"/>
    <col min="15012" max="15012" width="9" style="212" customWidth="1"/>
    <col min="15013" max="15013" width="71" style="212" customWidth="1"/>
    <col min="15014" max="15014" width="8.75" style="212" customWidth="1"/>
    <col min="15015" max="15015" width="7.75" style="212" customWidth="1"/>
    <col min="15016" max="15016" width="29.75" style="212" customWidth="1"/>
    <col min="15017" max="15267" width="9.125" style="212"/>
    <col min="15268" max="15268" width="9" style="212" customWidth="1"/>
    <col min="15269" max="15269" width="71" style="212" customWidth="1"/>
    <col min="15270" max="15270" width="8.75" style="212" customWidth="1"/>
    <col min="15271" max="15271" width="7.75" style="212" customWidth="1"/>
    <col min="15272" max="15272" width="29.75" style="212" customWidth="1"/>
    <col min="15273" max="15523" width="9.125" style="212"/>
    <col min="15524" max="15524" width="9" style="212" customWidth="1"/>
    <col min="15525" max="15525" width="71" style="212" customWidth="1"/>
    <col min="15526" max="15526" width="8.75" style="212" customWidth="1"/>
    <col min="15527" max="15527" width="7.75" style="212" customWidth="1"/>
    <col min="15528" max="15528" width="29.75" style="212" customWidth="1"/>
    <col min="15529" max="15779" width="9.125" style="212"/>
    <col min="15780" max="15780" width="9" style="212" customWidth="1"/>
    <col min="15781" max="15781" width="71" style="212" customWidth="1"/>
    <col min="15782" max="15782" width="8.75" style="212" customWidth="1"/>
    <col min="15783" max="15783" width="7.75" style="212" customWidth="1"/>
    <col min="15784" max="15784" width="29.75" style="212" customWidth="1"/>
    <col min="15785" max="16035" width="9.125" style="212"/>
    <col min="16036" max="16036" width="9" style="212" customWidth="1"/>
    <col min="16037" max="16037" width="71" style="212" customWidth="1"/>
    <col min="16038" max="16038" width="8.75" style="212" customWidth="1"/>
    <col min="16039" max="16039" width="7.75" style="212" customWidth="1"/>
    <col min="16040" max="16040" width="29.75" style="212" customWidth="1"/>
    <col min="16041" max="16384" width="9.125" style="212"/>
  </cols>
  <sheetData>
    <row r="1" spans="1:13" ht="17" thickBot="1" x14ac:dyDescent="0.35">
      <c r="B1" s="214"/>
      <c r="C1" s="257"/>
      <c r="D1" s="208"/>
      <c r="E1" s="208"/>
      <c r="F1" s="209"/>
      <c r="G1" s="210"/>
      <c r="H1" s="211"/>
    </row>
    <row r="2" spans="1:13" ht="36.700000000000003" customHeight="1" thickBot="1" x14ac:dyDescent="0.35">
      <c r="B2" s="458" t="s">
        <v>540</v>
      </c>
      <c r="C2" s="459" t="s">
        <v>394</v>
      </c>
      <c r="D2" s="460" t="s">
        <v>395</v>
      </c>
      <c r="E2" s="461" t="s">
        <v>396</v>
      </c>
      <c r="F2" s="459" t="s">
        <v>397</v>
      </c>
      <c r="G2" s="460" t="s">
        <v>398</v>
      </c>
      <c r="H2" s="462" t="s">
        <v>399</v>
      </c>
    </row>
    <row r="3" spans="1:13" ht="31.25" x14ac:dyDescent="0.3">
      <c r="B3" s="463" t="s">
        <v>155</v>
      </c>
      <c r="C3" s="278" t="s">
        <v>400</v>
      </c>
      <c r="D3" s="279"/>
      <c r="E3" s="280">
        <f>SUBTOTAL(9,E4:E10)</f>
        <v>206414.01300000001</v>
      </c>
      <c r="F3" s="281" t="s">
        <v>140</v>
      </c>
      <c r="G3" s="280">
        <f>SUBTOTAL(9,G4:G10)</f>
        <v>576885.1030040331</v>
      </c>
      <c r="H3" s="464"/>
      <c r="I3" s="350">
        <f>G3/E3</f>
        <v>2.7947962186270421</v>
      </c>
      <c r="K3" s="348" t="s">
        <v>502</v>
      </c>
    </row>
    <row r="4" spans="1:13" x14ac:dyDescent="0.3">
      <c r="B4" s="465" t="s">
        <v>322</v>
      </c>
      <c r="C4" s="297" t="str">
        <f>Koostamine!F16</f>
        <v>WI columns</v>
      </c>
      <c r="D4" s="272" t="s">
        <v>538</v>
      </c>
      <c r="E4" s="273">
        <f>Koostamine!B16*I4</f>
        <v>72143</v>
      </c>
      <c r="F4" s="298" t="s">
        <v>140</v>
      </c>
      <c r="G4" s="273">
        <f>E4*H4</f>
        <v>222073.48878019705</v>
      </c>
      <c r="H4" s="466">
        <f>Koostamine!AZ15</f>
        <v>3.0782402836061302</v>
      </c>
      <c r="I4" s="270">
        <v>0.923250014023692</v>
      </c>
      <c r="K4" s="212">
        <f>72143</f>
        <v>72143</v>
      </c>
      <c r="L4" s="212">
        <f>K4/E4</f>
        <v>1</v>
      </c>
    </row>
    <row r="5" spans="1:13" x14ac:dyDescent="0.3">
      <c r="A5" s="270"/>
      <c r="B5" s="465" t="s">
        <v>323</v>
      </c>
      <c r="C5" s="271" t="str">
        <f>Koostamine!F129</f>
        <v>WI beams</v>
      </c>
      <c r="D5" s="272" t="s">
        <v>538</v>
      </c>
      <c r="E5" s="273">
        <f>Koostamine!B129*I5</f>
        <v>40264</v>
      </c>
      <c r="F5" s="274" t="s">
        <v>140</v>
      </c>
      <c r="G5" s="273">
        <f t="shared" ref="G5:G10" si="0">E5*H5</f>
        <v>99130.338492361698</v>
      </c>
      <c r="H5" s="466">
        <f>Koostamine!AZ128</f>
        <v>2.4620092015786237</v>
      </c>
      <c r="I5" s="270">
        <v>1.0393009214522657</v>
      </c>
      <c r="K5" s="212">
        <v>40264</v>
      </c>
      <c r="L5" s="212">
        <f t="shared" ref="L5:L10" si="1">K5/E5</f>
        <v>1</v>
      </c>
    </row>
    <row r="6" spans="1:13" x14ac:dyDescent="0.3">
      <c r="A6" s="270"/>
      <c r="B6" s="465" t="s">
        <v>325</v>
      </c>
      <c r="C6" s="271" t="str">
        <f>Koostamine!F163</f>
        <v>Beams</v>
      </c>
      <c r="D6" s="272" t="s">
        <v>538</v>
      </c>
      <c r="E6" s="273">
        <f>Koostamine!B163*I6</f>
        <v>60473</v>
      </c>
      <c r="F6" s="274" t="s">
        <v>140</v>
      </c>
      <c r="G6" s="273">
        <f t="shared" si="0"/>
        <v>154948.70951407071</v>
      </c>
      <c r="H6" s="466">
        <f>Koostamine!AZ162</f>
        <v>2.5622791909458886</v>
      </c>
      <c r="I6" s="270">
        <v>1.022802419638331</v>
      </c>
      <c r="K6" s="212">
        <v>60473</v>
      </c>
      <c r="L6" s="212">
        <f t="shared" si="1"/>
        <v>1</v>
      </c>
    </row>
    <row r="7" spans="1:13" x14ac:dyDescent="0.3">
      <c r="A7" s="270"/>
      <c r="B7" s="465" t="s">
        <v>380</v>
      </c>
      <c r="C7" s="315" t="s">
        <v>542</v>
      </c>
      <c r="D7" s="272" t="s">
        <v>538</v>
      </c>
      <c r="E7" s="316">
        <f>Koostamine!B270*I7</f>
        <v>22389</v>
      </c>
      <c r="F7" s="317" t="s">
        <v>140</v>
      </c>
      <c r="G7" s="273">
        <f t="shared" si="0"/>
        <v>59522.667656392361</v>
      </c>
      <c r="H7" s="467">
        <f>Koostamine!AZ269</f>
        <v>2.6585674954840486</v>
      </c>
      <c r="I7" s="270">
        <v>0.92238777232704872</v>
      </c>
      <c r="K7" s="212">
        <f>14831+7558</f>
        <v>22389</v>
      </c>
      <c r="L7" s="212">
        <f t="shared" si="1"/>
        <v>1</v>
      </c>
    </row>
    <row r="8" spans="1:13" x14ac:dyDescent="0.3">
      <c r="A8" s="270"/>
      <c r="B8" s="465" t="s">
        <v>381</v>
      </c>
      <c r="C8" s="315" t="str">
        <f>Koostamine!F379</f>
        <v xml:space="preserve">Frame </v>
      </c>
      <c r="D8" s="272" t="s">
        <v>538</v>
      </c>
      <c r="E8" s="316">
        <f>Koostamine!B379*I8</f>
        <v>4357</v>
      </c>
      <c r="F8" s="317" t="s">
        <v>140</v>
      </c>
      <c r="G8" s="273">
        <f t="shared" si="0"/>
        <v>12820.034944662028</v>
      </c>
      <c r="H8" s="467">
        <f>Koostamine!AZ378</f>
        <v>2.942399574170766</v>
      </c>
      <c r="I8" s="270">
        <v>0.87694986050242629</v>
      </c>
      <c r="K8" s="212">
        <v>4357</v>
      </c>
      <c r="L8" s="212">
        <f t="shared" si="1"/>
        <v>1</v>
      </c>
    </row>
    <row r="9" spans="1:13" x14ac:dyDescent="0.3">
      <c r="A9" s="270"/>
      <c r="B9" s="468" t="s">
        <v>446</v>
      </c>
      <c r="C9" s="271" t="str">
        <f>Koostamine!F416</f>
        <v>CFJ parts (delivered separatly)</v>
      </c>
      <c r="D9" s="272" t="s">
        <v>538</v>
      </c>
      <c r="E9" s="273">
        <f>Koostamine!B416</f>
        <v>755.01300000000003</v>
      </c>
      <c r="F9" s="274" t="s">
        <v>140</v>
      </c>
      <c r="G9" s="273">
        <f t="shared" si="0"/>
        <v>3604.4320620000003</v>
      </c>
      <c r="H9" s="469">
        <f>Koostamine!AZ416</f>
        <v>4.774</v>
      </c>
      <c r="I9" s="270"/>
      <c r="K9" s="212">
        <v>755</v>
      </c>
    </row>
    <row r="10" spans="1:13" x14ac:dyDescent="0.3">
      <c r="A10" s="270"/>
      <c r="B10" s="468" t="s">
        <v>497</v>
      </c>
      <c r="C10" s="271" t="str">
        <f>Koostamine!F428</f>
        <v>Erection plates and support plates</v>
      </c>
      <c r="D10" s="272" t="s">
        <v>538</v>
      </c>
      <c r="E10" s="273">
        <f>Koostamine!B428*I10</f>
        <v>6033</v>
      </c>
      <c r="F10" s="274" t="s">
        <v>140</v>
      </c>
      <c r="G10" s="273">
        <f t="shared" si="0"/>
        <v>24785.431554349223</v>
      </c>
      <c r="H10" s="469">
        <f>Koostamine!AZ427</f>
        <v>4.1083095564974679</v>
      </c>
      <c r="I10" s="270">
        <v>1.0726869268452659</v>
      </c>
      <c r="K10" s="212">
        <v>6033</v>
      </c>
      <c r="L10" s="212">
        <f t="shared" si="1"/>
        <v>1</v>
      </c>
      <c r="M10" s="212" t="s">
        <v>495</v>
      </c>
    </row>
    <row r="11" spans="1:13" ht="78.150000000000006" x14ac:dyDescent="0.3">
      <c r="A11" s="270"/>
      <c r="B11" s="463" t="s">
        <v>503</v>
      </c>
      <c r="C11" s="278" t="s">
        <v>541</v>
      </c>
      <c r="D11" s="279"/>
      <c r="E11" s="280">
        <v>1</v>
      </c>
      <c r="F11" s="281" t="s">
        <v>504</v>
      </c>
      <c r="G11" s="280">
        <f>12100+2000*1.15</f>
        <v>14400</v>
      </c>
      <c r="H11" s="464"/>
      <c r="I11" s="270"/>
    </row>
    <row r="12" spans="1:13" ht="17" thickBot="1" x14ac:dyDescent="0.35">
      <c r="A12" s="270"/>
      <c r="B12" s="470"/>
      <c r="C12" s="471" t="s">
        <v>318</v>
      </c>
      <c r="D12" s="472"/>
      <c r="E12" s="472"/>
      <c r="F12" s="472"/>
      <c r="G12" s="473">
        <f>SUBTOTAL(9,G3:G11)</f>
        <v>591285.1030040331</v>
      </c>
      <c r="H12" s="474"/>
    </row>
    <row r="13" spans="1:13" x14ac:dyDescent="0.3">
      <c r="A13" s="270"/>
      <c r="K13" s="212">
        <f>SUM(K4:K12)</f>
        <v>206414</v>
      </c>
      <c r="L13" s="212" t="s">
        <v>505</v>
      </c>
    </row>
    <row r="14" spans="1:13" x14ac:dyDescent="0.3">
      <c r="L14" s="212" t="s">
        <v>506</v>
      </c>
    </row>
    <row r="15" spans="1:13" x14ac:dyDescent="0.3">
      <c r="B15" s="263"/>
      <c r="C15" s="264"/>
      <c r="D15" s="265"/>
      <c r="E15" s="266"/>
      <c r="F15" s="267"/>
      <c r="G15" s="266"/>
      <c r="H15" s="268"/>
      <c r="K15" s="378">
        <f>E3/11</f>
        <v>18764.910272727273</v>
      </c>
      <c r="L15" s="212" t="s">
        <v>507</v>
      </c>
    </row>
    <row r="16" spans="1:13" ht="17" thickBot="1" x14ac:dyDescent="0.35">
      <c r="B16" s="263"/>
      <c r="C16" s="264"/>
      <c r="D16" s="265"/>
      <c r="E16" s="266"/>
      <c r="F16" s="267"/>
      <c r="G16" s="266"/>
      <c r="H16" s="268"/>
      <c r="K16" s="377">
        <f>G11/E3</f>
        <v>6.9762705500037922E-2</v>
      </c>
      <c r="L16" s="212" t="s">
        <v>508</v>
      </c>
    </row>
    <row r="17" spans="2:8" x14ac:dyDescent="0.3">
      <c r="B17" s="217" t="s">
        <v>156</v>
      </c>
      <c r="C17" s="258"/>
      <c r="D17" s="219"/>
      <c r="E17" s="218"/>
      <c r="F17" s="218"/>
      <c r="G17" s="220">
        <f>G12/E3</f>
        <v>2.8645589241270799</v>
      </c>
      <c r="H17" s="221" t="s">
        <v>157</v>
      </c>
    </row>
    <row r="18" spans="2:8" ht="17" thickBot="1" x14ac:dyDescent="0.35">
      <c r="B18" s="222"/>
      <c r="C18" s="259"/>
      <c r="D18" s="224"/>
      <c r="E18" s="223"/>
      <c r="F18" s="223"/>
      <c r="G18" s="225">
        <f>G17*E3</f>
        <v>591285.1030040331</v>
      </c>
      <c r="H18" s="226" t="s">
        <v>31</v>
      </c>
    </row>
    <row r="19" spans="2:8" x14ac:dyDescent="0.3">
      <c r="B19" s="227"/>
      <c r="C19" s="260"/>
      <c r="D19" s="228"/>
      <c r="E19" s="209"/>
      <c r="F19" s="209"/>
      <c r="G19" s="229"/>
      <c r="H19" s="213"/>
    </row>
    <row r="22" spans="2:8" x14ac:dyDescent="0.3">
      <c r="D22" s="215" t="s">
        <v>140</v>
      </c>
      <c r="E22" s="215" t="s">
        <v>536</v>
      </c>
    </row>
    <row r="23" spans="2:8" x14ac:dyDescent="0.3">
      <c r="C23" s="256" t="s">
        <v>535</v>
      </c>
      <c r="D23" s="384">
        <f>[1]Pakkumistabel!$E$6</f>
        <v>190093</v>
      </c>
      <c r="E23" s="384">
        <f>[1]Pakkumistabel!$G$6</f>
        <v>473707.02362459805</v>
      </c>
      <c r="F23" s="215">
        <f>E23/D23</f>
        <v>2.491975104946516</v>
      </c>
    </row>
    <row r="24" spans="2:8" x14ac:dyDescent="0.3">
      <c r="C24" s="256" t="s">
        <v>537</v>
      </c>
      <c r="D24" s="384">
        <f>E3-D23</f>
        <v>16321.013000000006</v>
      </c>
    </row>
    <row r="1048510" spans="4:4" x14ac:dyDescent="0.3">
      <c r="D1048510" s="215" t="s">
        <v>326</v>
      </c>
    </row>
  </sheetData>
  <phoneticPr fontId="17" type="noConversion"/>
  <pageMargins left="0.74803149606299213" right="0.74803149606299213" top="0.98425196850393704" bottom="0.98425196850393704" header="0.51181102362204722" footer="0.51181102362204722"/>
  <pageSetup paperSize="9" scale="69" orientation="landscape" r:id="rId1"/>
  <headerFooter alignWithMargins="0"/>
  <ignoredErrors>
    <ignoredError sqref="F5" formula="1"/>
  </ignoredError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AFC3DE-E19D-4949-A629-3FF3A21A2E70}">
  <sheetPr codeName="Sheet5">
    <tabColor rgb="FFFFFF00"/>
  </sheetPr>
  <dimension ref="A1:D61"/>
  <sheetViews>
    <sheetView workbookViewId="0">
      <selection activeCell="D32" sqref="D32"/>
    </sheetView>
  </sheetViews>
  <sheetFormatPr defaultRowHeight="14.3" x14ac:dyDescent="0.25"/>
  <cols>
    <col min="1" max="1" width="23" customWidth="1"/>
    <col min="2" max="2" width="16.875" customWidth="1"/>
    <col min="3" max="3" width="11.375" customWidth="1"/>
    <col min="4" max="4" width="15.125" bestFit="1" customWidth="1"/>
  </cols>
  <sheetData>
    <row r="1" spans="1:4" ht="15.65" thickTop="1" thickBot="1" x14ac:dyDescent="0.3">
      <c r="A1" s="262" t="s">
        <v>124</v>
      </c>
      <c r="B1" s="31" t="s">
        <v>158</v>
      </c>
      <c r="C1" s="26" t="s">
        <v>159</v>
      </c>
    </row>
    <row r="2" spans="1:4" ht="15.8" thickTop="1" x14ac:dyDescent="0.25">
      <c r="A2" s="21" t="s">
        <v>406</v>
      </c>
      <c r="B2" s="26">
        <v>0.92</v>
      </c>
      <c r="C2" s="26">
        <v>1.1000000000000001</v>
      </c>
    </row>
    <row r="3" spans="1:4" ht="14.95" x14ac:dyDescent="0.25">
      <c r="A3" s="21" t="s">
        <v>423</v>
      </c>
      <c r="B3" s="26">
        <v>0.92</v>
      </c>
      <c r="C3" s="26">
        <v>1.1000000000000001</v>
      </c>
    </row>
    <row r="4" spans="1:4" ht="14.95" x14ac:dyDescent="0.25">
      <c r="A4" s="21" t="s">
        <v>459</v>
      </c>
      <c r="B4" s="26">
        <v>0.92</v>
      </c>
      <c r="C4" s="26">
        <v>1.1000000000000001</v>
      </c>
    </row>
    <row r="5" spans="1:4" ht="14.95" x14ac:dyDescent="0.25">
      <c r="A5" s="21" t="s">
        <v>485</v>
      </c>
      <c r="B5" s="26">
        <v>0.92</v>
      </c>
      <c r="C5" s="26">
        <v>1.1000000000000001</v>
      </c>
      <c r="D5" s="30"/>
    </row>
    <row r="6" spans="1:4" ht="14.95" x14ac:dyDescent="0.25">
      <c r="A6" s="21" t="s">
        <v>407</v>
      </c>
      <c r="B6" s="26">
        <v>0.92</v>
      </c>
      <c r="C6" s="26">
        <v>1.1000000000000001</v>
      </c>
      <c r="D6" s="30"/>
    </row>
    <row r="7" spans="1:4" ht="14.95" x14ac:dyDescent="0.25">
      <c r="A7" s="21" t="s">
        <v>424</v>
      </c>
      <c r="B7" s="26">
        <v>0.92</v>
      </c>
      <c r="C7" s="26">
        <v>1.1000000000000001</v>
      </c>
    </row>
    <row r="8" spans="1:4" ht="14.95" x14ac:dyDescent="0.25">
      <c r="A8" s="21" t="s">
        <v>482</v>
      </c>
      <c r="B8" s="26">
        <v>0.92</v>
      </c>
      <c r="C8" s="26">
        <v>1.1000000000000001</v>
      </c>
    </row>
    <row r="9" spans="1:4" ht="14.95" x14ac:dyDescent="0.25">
      <c r="A9" s="21" t="s">
        <v>483</v>
      </c>
      <c r="B9" s="26">
        <v>0.92</v>
      </c>
      <c r="C9" s="26">
        <v>1.1000000000000001</v>
      </c>
    </row>
    <row r="10" spans="1:4" ht="14.95" x14ac:dyDescent="0.25">
      <c r="A10" s="21" t="s">
        <v>461</v>
      </c>
      <c r="B10" s="26">
        <v>0.92</v>
      </c>
      <c r="C10" s="26">
        <v>1.1000000000000001</v>
      </c>
    </row>
    <row r="11" spans="1:4" ht="14.95" x14ac:dyDescent="0.25">
      <c r="A11" s="21" t="s">
        <v>425</v>
      </c>
      <c r="B11" s="26">
        <v>0.92</v>
      </c>
      <c r="C11" s="26">
        <v>1.1000000000000001</v>
      </c>
    </row>
    <row r="12" spans="1:4" ht="14.95" x14ac:dyDescent="0.25">
      <c r="A12" s="21" t="s">
        <v>460</v>
      </c>
      <c r="B12" s="26">
        <v>0.92</v>
      </c>
      <c r="C12" s="26">
        <v>1.1000000000000001</v>
      </c>
    </row>
    <row r="13" spans="1:4" ht="14.95" x14ac:dyDescent="0.25">
      <c r="A13" s="21" t="s">
        <v>484</v>
      </c>
      <c r="B13" s="26">
        <v>0.94</v>
      </c>
      <c r="C13" s="26">
        <v>1.1000000000000001</v>
      </c>
    </row>
    <row r="14" spans="1:4" ht="14.95" x14ac:dyDescent="0.25">
      <c r="A14" s="21" t="s">
        <v>426</v>
      </c>
      <c r="B14" s="26">
        <v>0.98</v>
      </c>
      <c r="C14" s="26">
        <v>1.1000000000000001</v>
      </c>
    </row>
    <row r="15" spans="1:4" ht="14.95" x14ac:dyDescent="0.25">
      <c r="A15" s="21" t="s">
        <v>385</v>
      </c>
      <c r="B15" s="26">
        <v>0.98</v>
      </c>
      <c r="C15" s="26">
        <v>1.1000000000000001</v>
      </c>
    </row>
    <row r="16" spans="1:4" ht="14.95" x14ac:dyDescent="0.25">
      <c r="A16" s="21" t="s">
        <v>462</v>
      </c>
      <c r="B16" s="26">
        <v>0.94</v>
      </c>
      <c r="C16" s="26">
        <v>1.1000000000000001</v>
      </c>
    </row>
    <row r="17" spans="1:4" ht="14.95" x14ac:dyDescent="0.25">
      <c r="A17" s="21" t="s">
        <v>458</v>
      </c>
      <c r="B17" s="26">
        <v>0.94</v>
      </c>
      <c r="C17" s="26">
        <v>1.1000000000000001</v>
      </c>
    </row>
    <row r="18" spans="1:4" ht="14.95" x14ac:dyDescent="0.25">
      <c r="A18" s="21" t="s">
        <v>427</v>
      </c>
      <c r="B18" s="26">
        <v>0.98</v>
      </c>
      <c r="C18" s="26">
        <v>1.1000000000000001</v>
      </c>
    </row>
    <row r="19" spans="1:4" ht="14.95" x14ac:dyDescent="0.25">
      <c r="A19" s="21" t="s">
        <v>428</v>
      </c>
      <c r="B19" s="26">
        <v>0.98</v>
      </c>
      <c r="C19" s="26">
        <v>1.1000000000000001</v>
      </c>
    </row>
    <row r="20" spans="1:4" ht="14.95" x14ac:dyDescent="0.25">
      <c r="A20" s="21" t="s">
        <v>486</v>
      </c>
      <c r="B20" s="26">
        <v>0.94</v>
      </c>
      <c r="C20" s="26">
        <v>1.1000000000000001</v>
      </c>
    </row>
    <row r="21" spans="1:4" ht="14.95" x14ac:dyDescent="0.25">
      <c r="A21" s="21" t="s">
        <v>429</v>
      </c>
      <c r="B21" s="26">
        <v>0.98</v>
      </c>
      <c r="C21" s="26">
        <v>1.1000000000000001</v>
      </c>
    </row>
    <row r="22" spans="1:4" ht="14.95" x14ac:dyDescent="0.25">
      <c r="A22" s="21" t="s">
        <v>430</v>
      </c>
      <c r="B22" s="26">
        <v>1.08</v>
      </c>
      <c r="C22" s="26">
        <v>1.1000000000000001</v>
      </c>
      <c r="D22" s="261"/>
    </row>
    <row r="23" spans="1:4" ht="14.95" x14ac:dyDescent="0.25">
      <c r="A23" s="21" t="s">
        <v>456</v>
      </c>
      <c r="B23" s="26">
        <v>0.88</v>
      </c>
      <c r="C23" s="26">
        <v>1.1000000000000001</v>
      </c>
      <c r="D23" s="261"/>
    </row>
    <row r="24" spans="1:4" ht="14.95" x14ac:dyDescent="0.25">
      <c r="A24" s="21" t="s">
        <v>457</v>
      </c>
      <c r="B24" s="26">
        <v>0.88</v>
      </c>
      <c r="C24" s="26">
        <v>1.1000000000000001</v>
      </c>
      <c r="D24" s="261"/>
    </row>
    <row r="25" spans="1:4" ht="14.95" x14ac:dyDescent="0.25">
      <c r="A25" s="21" t="s">
        <v>384</v>
      </c>
      <c r="B25" s="26">
        <v>0.88</v>
      </c>
      <c r="C25" s="26">
        <v>1.1000000000000001</v>
      </c>
      <c r="D25" s="261"/>
    </row>
    <row r="26" spans="1:4" ht="14.95" x14ac:dyDescent="0.25">
      <c r="A26" s="21" t="s">
        <v>402</v>
      </c>
      <c r="B26" s="26">
        <v>0.9</v>
      </c>
      <c r="C26" s="26">
        <v>1.1000000000000001</v>
      </c>
      <c r="D26" s="261"/>
    </row>
    <row r="27" spans="1:4" ht="14.95" x14ac:dyDescent="0.25">
      <c r="A27" s="21" t="s">
        <v>403</v>
      </c>
      <c r="B27" s="26">
        <v>0.9</v>
      </c>
      <c r="C27" s="26">
        <v>1.1000000000000001</v>
      </c>
      <c r="D27" s="261"/>
    </row>
    <row r="28" spans="1:4" ht="14.95" x14ac:dyDescent="0.25">
      <c r="A28" s="21" t="s">
        <v>455</v>
      </c>
      <c r="B28" s="26">
        <v>0.88</v>
      </c>
      <c r="C28" s="26">
        <v>1.1000000000000001</v>
      </c>
      <c r="D28" s="261"/>
    </row>
    <row r="29" spans="1:4" ht="14.95" x14ac:dyDescent="0.25">
      <c r="A29" s="21" t="s">
        <v>401</v>
      </c>
      <c r="B29" s="26">
        <v>0.95</v>
      </c>
      <c r="C29" s="383">
        <v>1.1299999999999999</v>
      </c>
      <c r="D29" s="261"/>
    </row>
    <row r="30" spans="1:4" ht="14.95" x14ac:dyDescent="0.25">
      <c r="A30" s="21" t="s">
        <v>408</v>
      </c>
      <c r="B30" s="26">
        <v>1</v>
      </c>
      <c r="C30" s="26">
        <v>1.1000000000000001</v>
      </c>
      <c r="D30" s="261"/>
    </row>
    <row r="31" spans="1:4" ht="14.95" x14ac:dyDescent="0.25">
      <c r="A31" s="21" t="s">
        <v>391</v>
      </c>
      <c r="B31" s="26">
        <v>1</v>
      </c>
      <c r="C31" s="26">
        <v>1.1000000000000001</v>
      </c>
      <c r="D31" s="261"/>
    </row>
    <row r="32" spans="1:4" ht="14.95" x14ac:dyDescent="0.25">
      <c r="A32" s="21" t="s">
        <v>409</v>
      </c>
      <c r="B32" s="26">
        <v>1</v>
      </c>
      <c r="C32" s="26">
        <v>1.1000000000000001</v>
      </c>
      <c r="D32" s="261"/>
    </row>
    <row r="33" spans="1:4" ht="14.95" x14ac:dyDescent="0.25">
      <c r="A33" s="21" t="s">
        <v>404</v>
      </c>
      <c r="B33" s="26">
        <v>1.4</v>
      </c>
      <c r="C33" s="26">
        <v>1.1000000000000001</v>
      </c>
      <c r="D33" s="261"/>
    </row>
    <row r="34" spans="1:4" ht="14.95" x14ac:dyDescent="0.25">
      <c r="A34" s="21" t="s">
        <v>405</v>
      </c>
      <c r="B34" s="26">
        <v>1.4</v>
      </c>
      <c r="C34" s="26">
        <v>1.1000000000000001</v>
      </c>
      <c r="D34" s="261"/>
    </row>
    <row r="35" spans="1:4" ht="14.95" x14ac:dyDescent="0.25">
      <c r="A35" s="21" t="s">
        <v>390</v>
      </c>
      <c r="B35" s="26">
        <v>1.4</v>
      </c>
      <c r="C35" s="26">
        <v>1.1000000000000001</v>
      </c>
      <c r="D35" s="261"/>
    </row>
    <row r="36" spans="1:4" ht="14.95" x14ac:dyDescent="0.25">
      <c r="A36" s="21" t="s">
        <v>480</v>
      </c>
      <c r="B36" s="26">
        <v>0.95</v>
      </c>
      <c r="C36" s="26">
        <v>1.1000000000000001</v>
      </c>
      <c r="D36" s="261"/>
    </row>
    <row r="37" spans="1:4" ht="14.95" x14ac:dyDescent="0.25">
      <c r="A37" s="21" t="s">
        <v>481</v>
      </c>
      <c r="B37" s="26">
        <v>0.95</v>
      </c>
      <c r="C37" s="26">
        <v>1.1000000000000001</v>
      </c>
      <c r="D37" s="261"/>
    </row>
    <row r="38" spans="1:4" ht="14.95" x14ac:dyDescent="0.25">
      <c r="A38" s="355"/>
      <c r="B38" s="26"/>
      <c r="C38" s="26"/>
      <c r="D38" s="261"/>
    </row>
    <row r="39" spans="1:4" ht="14.95" x14ac:dyDescent="0.25">
      <c r="A39" s="355"/>
      <c r="B39" s="26"/>
      <c r="C39" s="26"/>
      <c r="D39" s="261"/>
    </row>
    <row r="40" spans="1:4" ht="14.95" x14ac:dyDescent="0.25">
      <c r="A40" s="355"/>
      <c r="B40" s="26"/>
      <c r="C40" s="26"/>
      <c r="D40" s="261"/>
    </row>
    <row r="41" spans="1:4" ht="14.95" x14ac:dyDescent="0.25">
      <c r="A41" s="355"/>
      <c r="B41" s="26"/>
      <c r="C41" s="26"/>
      <c r="D41" s="261"/>
    </row>
    <row r="42" spans="1:4" ht="14.95" x14ac:dyDescent="0.25">
      <c r="A42" s="355"/>
      <c r="B42" s="29"/>
      <c r="C42" s="26"/>
      <c r="D42" s="261"/>
    </row>
    <row r="43" spans="1:4" ht="14.95" x14ac:dyDescent="0.25">
      <c r="A43" s="118"/>
      <c r="B43" s="29"/>
      <c r="C43" s="26"/>
      <c r="D43" s="261"/>
    </row>
    <row r="44" spans="1:4" ht="14.95" x14ac:dyDescent="0.25">
      <c r="A44" s="26" t="s">
        <v>160</v>
      </c>
      <c r="B44" s="29">
        <v>0.92</v>
      </c>
      <c r="C44" s="26">
        <v>1.1000000000000001</v>
      </c>
      <c r="D44" s="261"/>
    </row>
    <row r="45" spans="1:4" ht="14.95" x14ac:dyDescent="0.25">
      <c r="A45" s="26" t="s">
        <v>161</v>
      </c>
      <c r="B45" s="29">
        <v>0.92</v>
      </c>
      <c r="C45" s="26">
        <v>1.1000000000000001</v>
      </c>
      <c r="D45" s="261"/>
    </row>
    <row r="46" spans="1:4" ht="14.95" x14ac:dyDescent="0.25">
      <c r="A46" s="26" t="s">
        <v>162</v>
      </c>
      <c r="B46" s="29">
        <v>0.92</v>
      </c>
      <c r="C46" s="26">
        <v>1.1000000000000001</v>
      </c>
      <c r="D46" s="261"/>
    </row>
    <row r="47" spans="1:4" ht="14.95" x14ac:dyDescent="0.25">
      <c r="A47" s="26" t="s">
        <v>163</v>
      </c>
      <c r="B47" s="29">
        <v>0.92</v>
      </c>
      <c r="C47" s="26">
        <v>1.1000000000000001</v>
      </c>
      <c r="D47" s="261"/>
    </row>
    <row r="48" spans="1:4" ht="14.95" x14ac:dyDescent="0.25">
      <c r="A48" s="26" t="s">
        <v>164</v>
      </c>
      <c r="B48" s="29">
        <v>0.92</v>
      </c>
      <c r="C48" s="26">
        <v>1.1000000000000001</v>
      </c>
      <c r="D48" s="261"/>
    </row>
    <row r="49" spans="1:4" ht="14.95" x14ac:dyDescent="0.25">
      <c r="A49" s="26" t="s">
        <v>165</v>
      </c>
      <c r="B49" s="29">
        <v>0.92</v>
      </c>
      <c r="C49" s="26">
        <v>1.1000000000000001</v>
      </c>
      <c r="D49" s="261"/>
    </row>
    <row r="50" spans="1:4" x14ac:dyDescent="0.25">
      <c r="A50" s="26" t="s">
        <v>166</v>
      </c>
      <c r="B50" s="29">
        <v>0.92</v>
      </c>
      <c r="C50" s="26">
        <v>1.1000000000000001</v>
      </c>
      <c r="D50" s="261"/>
    </row>
    <row r="51" spans="1:4" x14ac:dyDescent="0.25">
      <c r="A51" s="26" t="s">
        <v>167</v>
      </c>
      <c r="B51" s="29">
        <v>0.92</v>
      </c>
      <c r="C51" s="26">
        <v>1.1000000000000001</v>
      </c>
      <c r="D51" s="261"/>
    </row>
    <row r="52" spans="1:4" x14ac:dyDescent="0.25">
      <c r="A52" s="26" t="s">
        <v>86</v>
      </c>
      <c r="B52" s="29">
        <v>0.92</v>
      </c>
      <c r="C52" s="26">
        <v>1.1000000000000001</v>
      </c>
      <c r="D52" s="261"/>
    </row>
    <row r="53" spans="1:4" x14ac:dyDescent="0.25">
      <c r="A53" s="26" t="s">
        <v>168</v>
      </c>
      <c r="B53" s="29">
        <v>0.92</v>
      </c>
      <c r="C53" s="26">
        <v>1.1000000000000001</v>
      </c>
      <c r="D53" s="261"/>
    </row>
    <row r="54" spans="1:4" x14ac:dyDescent="0.25">
      <c r="A54" s="26" t="s">
        <v>90</v>
      </c>
      <c r="B54" s="29">
        <v>0.92</v>
      </c>
      <c r="C54" s="26">
        <v>1.1000000000000001</v>
      </c>
    </row>
    <row r="55" spans="1:4" x14ac:dyDescent="0.25">
      <c r="A55" s="26" t="s">
        <v>89</v>
      </c>
      <c r="B55" s="29">
        <v>0.92</v>
      </c>
      <c r="C55" s="26">
        <v>1.1000000000000001</v>
      </c>
      <c r="D55" s="261"/>
    </row>
    <row r="56" spans="1:4" x14ac:dyDescent="0.25">
      <c r="A56" s="26" t="s">
        <v>91</v>
      </c>
      <c r="B56" s="29">
        <f>$B$54+0.45</f>
        <v>1.37</v>
      </c>
      <c r="C56" s="26">
        <v>1.1000000000000001</v>
      </c>
    </row>
    <row r="57" spans="1:4" x14ac:dyDescent="0.25">
      <c r="A57" s="26" t="s">
        <v>92</v>
      </c>
      <c r="B57" s="29">
        <f>$B$54+0.45</f>
        <v>1.37</v>
      </c>
      <c r="C57" s="26">
        <v>1.1000000000000001</v>
      </c>
    </row>
    <row r="58" spans="1:4" x14ac:dyDescent="0.25">
      <c r="A58" s="26" t="s">
        <v>169</v>
      </c>
      <c r="B58" s="29">
        <f>$B$54+0.45</f>
        <v>1.37</v>
      </c>
      <c r="C58" s="26">
        <v>1.1000000000000001</v>
      </c>
    </row>
    <row r="59" spans="1:4" x14ac:dyDescent="0.25">
      <c r="A59" s="26" t="s">
        <v>170</v>
      </c>
      <c r="B59" s="29">
        <f>$B$54+0.45</f>
        <v>1.37</v>
      </c>
      <c r="C59" s="26">
        <v>1.1000000000000001</v>
      </c>
    </row>
    <row r="60" spans="1:4" x14ac:dyDescent="0.25">
      <c r="A60" s="26" t="s">
        <v>389</v>
      </c>
      <c r="B60" s="29">
        <f t="shared" ref="B60:B61" si="0">$B$54+0.45</f>
        <v>1.37</v>
      </c>
      <c r="C60" s="26">
        <v>2.1</v>
      </c>
    </row>
    <row r="61" spans="1:4" x14ac:dyDescent="0.25">
      <c r="A61" s="26" t="s">
        <v>387</v>
      </c>
      <c r="B61" s="29">
        <f t="shared" si="0"/>
        <v>1.37</v>
      </c>
      <c r="C61" s="26">
        <v>3.1</v>
      </c>
    </row>
  </sheetData>
  <sortState xmlns:xlrd2="http://schemas.microsoft.com/office/spreadsheetml/2017/richdata2" ref="A2:C32">
    <sortCondition ref="A2:A32"/>
  </sortState>
  <phoneticPr fontId="17" type="noConversion"/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638186-7D8A-4E79-9CFC-D3E295FFC13C}">
  <sheetPr codeName="Sheet3"/>
  <dimension ref="B1:P27"/>
  <sheetViews>
    <sheetView workbookViewId="0"/>
  </sheetViews>
  <sheetFormatPr defaultRowHeight="14.3" x14ac:dyDescent="0.25"/>
  <cols>
    <col min="2" max="2" width="25.125" customWidth="1"/>
    <col min="3" max="3" width="11.25" customWidth="1"/>
    <col min="7" max="7" width="12.875" customWidth="1"/>
    <col min="9" max="9" width="13" customWidth="1"/>
    <col min="10" max="10" width="14.75" customWidth="1"/>
    <col min="12" max="12" width="14.125" customWidth="1"/>
  </cols>
  <sheetData>
    <row r="1" spans="2:16" x14ac:dyDescent="0.25">
      <c r="C1" s="300" t="s">
        <v>356</v>
      </c>
      <c r="D1" s="301" t="s">
        <v>375</v>
      </c>
      <c r="E1" s="454" t="s">
        <v>357</v>
      </c>
    </row>
    <row r="2" spans="2:16" x14ac:dyDescent="0.25">
      <c r="C2" s="302" t="s">
        <v>330</v>
      </c>
      <c r="D2" s="301" t="s">
        <v>376</v>
      </c>
      <c r="E2" s="454"/>
    </row>
    <row r="3" spans="2:16" x14ac:dyDescent="0.25">
      <c r="C3" s="300" t="s">
        <v>358</v>
      </c>
      <c r="D3" s="303">
        <v>15.51</v>
      </c>
      <c r="E3" s="454"/>
    </row>
    <row r="4" spans="2:16" x14ac:dyDescent="0.25">
      <c r="C4" s="300" t="s">
        <v>359</v>
      </c>
      <c r="D4" s="303">
        <v>3.15</v>
      </c>
      <c r="E4" s="454"/>
    </row>
    <row r="5" spans="2:16" x14ac:dyDescent="0.25">
      <c r="C5" s="300" t="s">
        <v>360</v>
      </c>
      <c r="D5" s="303">
        <v>550</v>
      </c>
      <c r="E5" s="454"/>
    </row>
    <row r="6" spans="2:16" x14ac:dyDescent="0.25">
      <c r="C6" s="300" t="s">
        <v>361</v>
      </c>
      <c r="D6" s="303">
        <v>5.3</v>
      </c>
      <c r="E6" s="454"/>
    </row>
    <row r="7" spans="2:16" x14ac:dyDescent="0.25">
      <c r="C7" s="300" t="s">
        <v>362</v>
      </c>
      <c r="D7" s="303">
        <v>1.1000000000000001</v>
      </c>
      <c r="E7" s="454"/>
    </row>
    <row r="9" spans="2:16" ht="38.75" x14ac:dyDescent="0.25">
      <c r="B9" s="304" t="s">
        <v>363</v>
      </c>
      <c r="C9" s="305" t="s">
        <v>364</v>
      </c>
      <c r="D9" s="306"/>
      <c r="E9" s="307" t="s">
        <v>365</v>
      </c>
      <c r="F9" s="308" t="s">
        <v>366</v>
      </c>
      <c r="G9" s="308" t="s">
        <v>359</v>
      </c>
      <c r="H9" s="308" t="s">
        <v>367</v>
      </c>
      <c r="I9" s="308" t="s">
        <v>368</v>
      </c>
      <c r="J9" s="308" t="s">
        <v>369</v>
      </c>
      <c r="K9" s="309" t="s">
        <v>370</v>
      </c>
      <c r="L9" s="309" t="s">
        <v>371</v>
      </c>
      <c r="M9" s="310"/>
      <c r="N9" s="311" t="s">
        <v>372</v>
      </c>
      <c r="O9" s="308" t="s">
        <v>373</v>
      </c>
      <c r="P9" s="308" t="s">
        <v>374</v>
      </c>
    </row>
    <row r="10" spans="2:16" ht="14.95" x14ac:dyDescent="0.25">
      <c r="B10" s="155" t="s">
        <v>352</v>
      </c>
      <c r="C10" s="153"/>
    </row>
    <row r="11" spans="2:16" ht="14.95" x14ac:dyDescent="0.25">
      <c r="B11" s="118" t="s">
        <v>347</v>
      </c>
      <c r="C11" s="131">
        <v>8.5118399999999994</v>
      </c>
      <c r="E11">
        <v>480</v>
      </c>
      <c r="F11">
        <f>ROUNDUP(E11/$D$5,0)</f>
        <v>1</v>
      </c>
      <c r="G11">
        <f>F11*$D$4</f>
        <v>3.15</v>
      </c>
      <c r="H11" s="312">
        <f>($D$3*E11)/$D$5</f>
        <v>13.536</v>
      </c>
      <c r="I11" s="312">
        <f>$D$6</f>
        <v>5.3</v>
      </c>
      <c r="J11">
        <f>(G11+H11+I11)</f>
        <v>21.986000000000001</v>
      </c>
      <c r="K11" s="313">
        <f>(J11*C11)</f>
        <v>187.14131423999999</v>
      </c>
      <c r="L11" s="19">
        <f>K11*$D$7</f>
        <v>205.855445664</v>
      </c>
      <c r="M11" s="310"/>
      <c r="N11" s="19">
        <f>G11*C11</f>
        <v>26.812295999999996</v>
      </c>
      <c r="O11" s="22">
        <f>H11*C11</f>
        <v>115.21626623999998</v>
      </c>
      <c r="P11" s="22">
        <f>I11*C11</f>
        <v>45.112751999999993</v>
      </c>
    </row>
    <row r="12" spans="2:16" ht="14.95" x14ac:dyDescent="0.25">
      <c r="B12" s="118" t="s">
        <v>349</v>
      </c>
      <c r="C12" s="131">
        <v>56.407097999999998</v>
      </c>
      <c r="E12">
        <v>625</v>
      </c>
      <c r="F12">
        <f t="shared" ref="F12:F13" si="0">ROUNDUP(E12/$D$5,0)</f>
        <v>2</v>
      </c>
      <c r="G12">
        <f t="shared" ref="G12:G13" si="1">F12*$D$4</f>
        <v>6.3</v>
      </c>
      <c r="H12" s="312">
        <f t="shared" ref="H12:H13" si="2">($D$3*E12)/$D$5</f>
        <v>17.625</v>
      </c>
      <c r="I12" s="312">
        <f t="shared" ref="I12:I13" si="3">$D$6</f>
        <v>5.3</v>
      </c>
      <c r="J12">
        <f t="shared" ref="J12:J13" si="4">(G12+H12+I12)</f>
        <v>29.225000000000001</v>
      </c>
      <c r="K12" s="313">
        <f t="shared" ref="K12:K13" si="5">(J12*C12)</f>
        <v>1648.4974390499999</v>
      </c>
      <c r="L12" s="19">
        <f t="shared" ref="L12:L13" si="6">K12*$D$7</f>
        <v>1813.3471829550001</v>
      </c>
      <c r="M12" s="310"/>
      <c r="N12" s="19">
        <f t="shared" ref="N12:N13" si="7">G12*C12</f>
        <v>355.36471739999996</v>
      </c>
      <c r="O12" s="22">
        <f t="shared" ref="O12:O13" si="8">H12*C12</f>
        <v>994.17510225000001</v>
      </c>
      <c r="P12" s="22">
        <f t="shared" ref="P12:P13" si="9">I12*C12</f>
        <v>298.9576194</v>
      </c>
    </row>
    <row r="13" spans="2:16" ht="14.95" x14ac:dyDescent="0.25">
      <c r="B13" s="118" t="s">
        <v>351</v>
      </c>
      <c r="C13" s="131">
        <v>11.35017</v>
      </c>
      <c r="E13">
        <v>625</v>
      </c>
      <c r="F13">
        <f t="shared" si="0"/>
        <v>2</v>
      </c>
      <c r="G13">
        <f t="shared" si="1"/>
        <v>6.3</v>
      </c>
      <c r="H13" s="312">
        <f t="shared" si="2"/>
        <v>17.625</v>
      </c>
      <c r="I13" s="312">
        <f t="shared" si="3"/>
        <v>5.3</v>
      </c>
      <c r="J13">
        <f t="shared" si="4"/>
        <v>29.225000000000001</v>
      </c>
      <c r="K13" s="313">
        <f t="shared" si="5"/>
        <v>331.70871825</v>
      </c>
      <c r="L13" s="19">
        <f t="shared" si="6"/>
        <v>364.87959007500001</v>
      </c>
      <c r="M13" s="310"/>
      <c r="N13" s="19">
        <f t="shared" si="7"/>
        <v>71.506071000000006</v>
      </c>
      <c r="O13" s="22">
        <f t="shared" si="8"/>
        <v>200.04674625000001</v>
      </c>
      <c r="P13" s="22">
        <f t="shared" si="9"/>
        <v>60.155901</v>
      </c>
    </row>
    <row r="14" spans="2:16" ht="14.95" x14ac:dyDescent="0.25">
      <c r="B14" s="118"/>
      <c r="C14" s="131">
        <f>SUM(C11:C13)</f>
        <v>76.269108000000003</v>
      </c>
      <c r="L14" s="19">
        <f>SUM(L11:L13)</f>
        <v>2384.0822186939999</v>
      </c>
    </row>
    <row r="16" spans="2:16" ht="14.95" x14ac:dyDescent="0.25">
      <c r="L16" s="314">
        <f>L27/C27</f>
        <v>16.403942319474837</v>
      </c>
      <c r="M16" t="s">
        <v>377</v>
      </c>
    </row>
    <row r="17" spans="2:16" ht="14.95" x14ac:dyDescent="0.25">
      <c r="B17" s="155" t="s">
        <v>355</v>
      </c>
      <c r="C17" s="153"/>
    </row>
    <row r="18" spans="2:16" ht="14.95" x14ac:dyDescent="0.25">
      <c r="B18" s="118" t="s">
        <v>351</v>
      </c>
      <c r="C18" s="131">
        <v>23.834199999999999</v>
      </c>
      <c r="D18" s="119"/>
      <c r="E18">
        <v>625</v>
      </c>
      <c r="F18">
        <f t="shared" ref="F18:F20" si="10">ROUNDUP(E18/$D$5,0)</f>
        <v>2</v>
      </c>
      <c r="G18">
        <f t="shared" ref="G18:G20" si="11">F18*$D$4</f>
        <v>6.3</v>
      </c>
      <c r="H18" s="312">
        <f t="shared" ref="H18" si="12">($D$3*E18)/$D$5</f>
        <v>17.625</v>
      </c>
      <c r="I18" s="312">
        <f t="shared" ref="I18:I20" si="13">$D$6</f>
        <v>5.3</v>
      </c>
      <c r="J18">
        <f t="shared" ref="J18" si="14">(G18+H18+I18)</f>
        <v>29.225000000000001</v>
      </c>
      <c r="K18" s="313">
        <f t="shared" ref="K18" si="15">(J18*C18)</f>
        <v>696.55449499999997</v>
      </c>
      <c r="L18" s="19">
        <f t="shared" ref="L18:L20" si="16">K18*$D$7</f>
        <v>766.20994450000001</v>
      </c>
      <c r="M18" s="310"/>
      <c r="N18" s="19">
        <f t="shared" ref="N18" si="17">G18*C18</f>
        <v>150.15545999999998</v>
      </c>
      <c r="O18" s="22">
        <f t="shared" ref="O18" si="18">H18*C18</f>
        <v>420.07777499999997</v>
      </c>
      <c r="P18" s="22">
        <f t="shared" ref="P18" si="19">I18*C18</f>
        <v>126.32126</v>
      </c>
    </row>
    <row r="19" spans="2:16" ht="14.95" x14ac:dyDescent="0.25">
      <c r="B19" s="118" t="s">
        <v>350</v>
      </c>
      <c r="C19" s="131">
        <v>7.58</v>
      </c>
      <c r="D19" s="119"/>
      <c r="E19">
        <v>976</v>
      </c>
      <c r="F19">
        <f t="shared" si="10"/>
        <v>2</v>
      </c>
      <c r="G19">
        <f t="shared" si="11"/>
        <v>6.3</v>
      </c>
      <c r="H19" s="312">
        <f t="shared" ref="H19:H20" si="20">($D$3*E19)/$D$5</f>
        <v>27.523199999999999</v>
      </c>
      <c r="I19" s="312">
        <f t="shared" si="13"/>
        <v>5.3</v>
      </c>
      <c r="J19">
        <f t="shared" ref="J19:J20" si="21">(G19+H19+I19)</f>
        <v>39.123199999999997</v>
      </c>
      <c r="K19" s="313">
        <f t="shared" ref="K19:K20" si="22">(J19*C19)</f>
        <v>296.553856</v>
      </c>
      <c r="L19" s="19">
        <f t="shared" si="16"/>
        <v>326.20924160000004</v>
      </c>
      <c r="M19" s="310"/>
      <c r="N19" s="19">
        <f t="shared" ref="N19:N20" si="23">G19*C19</f>
        <v>47.753999999999998</v>
      </c>
      <c r="O19" s="22">
        <f t="shared" ref="O19:O20" si="24">H19*C19</f>
        <v>208.625856</v>
      </c>
      <c r="P19" s="22">
        <f t="shared" ref="P19:P20" si="25">I19*C19</f>
        <v>40.173999999999999</v>
      </c>
    </row>
    <row r="20" spans="2:16" ht="14.95" x14ac:dyDescent="0.25">
      <c r="B20" s="118" t="s">
        <v>348</v>
      </c>
      <c r="C20" s="131">
        <v>0.43960000000000005</v>
      </c>
      <c r="D20" s="119"/>
      <c r="E20">
        <v>590</v>
      </c>
      <c r="F20">
        <f t="shared" si="10"/>
        <v>2</v>
      </c>
      <c r="G20">
        <f t="shared" si="11"/>
        <v>6.3</v>
      </c>
      <c r="H20" s="312">
        <f t="shared" si="20"/>
        <v>16.637999999999998</v>
      </c>
      <c r="I20" s="312">
        <f t="shared" si="13"/>
        <v>5.3</v>
      </c>
      <c r="J20">
        <f t="shared" si="21"/>
        <v>28.238</v>
      </c>
      <c r="K20" s="313">
        <f t="shared" si="22"/>
        <v>12.413424800000001</v>
      </c>
      <c r="L20" s="19">
        <f t="shared" si="16"/>
        <v>13.654767280000003</v>
      </c>
      <c r="M20" s="310"/>
      <c r="N20" s="19">
        <f t="shared" si="23"/>
        <v>2.7694800000000002</v>
      </c>
      <c r="O20" s="22">
        <f t="shared" si="24"/>
        <v>7.3140647999999997</v>
      </c>
      <c r="P20" s="22">
        <f t="shared" si="25"/>
        <v>2.3298800000000002</v>
      </c>
    </row>
    <row r="21" spans="2:16" ht="14.95" x14ac:dyDescent="0.25">
      <c r="C21" s="19">
        <f>SUM(C18:C20)</f>
        <v>31.8538</v>
      </c>
      <c r="L21" s="19">
        <f>SUM(L18:L20)</f>
        <v>1106.0739533799999</v>
      </c>
    </row>
    <row r="22" spans="2:16" ht="14.95" x14ac:dyDescent="0.25">
      <c r="L22" s="314">
        <f>L21/C21</f>
        <v>34.723453822777813</v>
      </c>
      <c r="M22" t="s">
        <v>377</v>
      </c>
    </row>
    <row r="23" spans="2:16" ht="14.95" x14ac:dyDescent="0.25">
      <c r="L23" s="314">
        <f>L14/C14</f>
        <v>31.258818690969871</v>
      </c>
      <c r="M23" t="s">
        <v>377</v>
      </c>
    </row>
    <row r="24" spans="2:16" ht="14.95" x14ac:dyDescent="0.25">
      <c r="B24" s="155" t="s">
        <v>353</v>
      </c>
      <c r="C24" s="153"/>
      <c r="L24" s="19"/>
    </row>
    <row r="25" spans="2:16" ht="15.8" x14ac:dyDescent="0.25">
      <c r="B25" s="291" t="s">
        <v>86</v>
      </c>
      <c r="C25" s="282">
        <v>78</v>
      </c>
      <c r="E25">
        <v>228</v>
      </c>
      <c r="F25">
        <f t="shared" ref="F25:F26" si="26">ROUNDUP(E25/$D$5,0)</f>
        <v>1</v>
      </c>
      <c r="G25">
        <f t="shared" ref="G25:G26" si="27">F25*$D$4</f>
        <v>3.15</v>
      </c>
      <c r="H25" s="312">
        <f t="shared" ref="H25:H26" si="28">($D$3*E25)/$D$5</f>
        <v>6.4295999999999998</v>
      </c>
      <c r="I25" s="312">
        <f t="shared" ref="I25:I26" si="29">$D$6</f>
        <v>5.3</v>
      </c>
      <c r="J25">
        <f t="shared" ref="J25:J26" si="30">(G25+H25+I25)</f>
        <v>14.8796</v>
      </c>
      <c r="K25" s="313">
        <f t="shared" ref="K25:K26" si="31">(J25*C25)</f>
        <v>1160.6088</v>
      </c>
      <c r="L25" s="19">
        <f t="shared" ref="L25:L26" si="32">K25*$D$7</f>
        <v>1276.66968</v>
      </c>
      <c r="M25" s="310"/>
      <c r="N25" s="19">
        <f t="shared" ref="N25:N26" si="33">G25*C25</f>
        <v>245.7</v>
      </c>
      <c r="O25" s="22">
        <f t="shared" ref="O25:O26" si="34">H25*C25</f>
        <v>501.50880000000001</v>
      </c>
      <c r="P25" s="22">
        <f t="shared" ref="P25:P26" si="35">I25*C25</f>
        <v>413.4</v>
      </c>
    </row>
    <row r="26" spans="2:16" ht="15.8" x14ac:dyDescent="0.25">
      <c r="B26" s="291" t="s">
        <v>87</v>
      </c>
      <c r="C26" s="282">
        <v>13.4</v>
      </c>
      <c r="E26">
        <v>236</v>
      </c>
      <c r="F26">
        <f t="shared" si="26"/>
        <v>1</v>
      </c>
      <c r="G26">
        <f t="shared" si="27"/>
        <v>3.15</v>
      </c>
      <c r="H26" s="312">
        <f t="shared" si="28"/>
        <v>6.6552000000000007</v>
      </c>
      <c r="I26" s="312">
        <f t="shared" si="29"/>
        <v>5.3</v>
      </c>
      <c r="J26">
        <f t="shared" si="30"/>
        <v>15.1052</v>
      </c>
      <c r="K26" s="313">
        <f t="shared" si="31"/>
        <v>202.40968000000001</v>
      </c>
      <c r="L26" s="19">
        <f t="shared" si="32"/>
        <v>222.65064800000002</v>
      </c>
      <c r="M26" s="310"/>
      <c r="N26" s="19">
        <f t="shared" si="33"/>
        <v>42.21</v>
      </c>
      <c r="O26" s="22">
        <f t="shared" si="34"/>
        <v>89.179680000000005</v>
      </c>
      <c r="P26" s="22">
        <f t="shared" si="35"/>
        <v>71.02</v>
      </c>
    </row>
    <row r="27" spans="2:16" ht="14.95" x14ac:dyDescent="0.25">
      <c r="C27" s="19">
        <f>SUM(C25:C26)</f>
        <v>91.4</v>
      </c>
      <c r="L27" s="314">
        <f>SUM(L25:L26)</f>
        <v>1499.320328</v>
      </c>
    </row>
  </sheetData>
  <mergeCells count="1">
    <mergeCell ref="E1:E7"/>
  </mergeCell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4F8F21-9AC4-4444-829E-48B98FBB19B2}">
  <sheetPr codeName="Sheet7"/>
  <dimension ref="A1:T152"/>
  <sheetViews>
    <sheetView workbookViewId="0">
      <selection sqref="A1:N1"/>
    </sheetView>
  </sheetViews>
  <sheetFormatPr defaultRowHeight="14.3" x14ac:dyDescent="0.25"/>
  <cols>
    <col min="1" max="1" width="13.625" customWidth="1"/>
    <col min="3" max="3" width="19.75" customWidth="1"/>
    <col min="18" max="18" width="10.625" customWidth="1"/>
  </cols>
  <sheetData>
    <row r="1" spans="1:20" ht="27" thickBot="1" x14ac:dyDescent="0.3">
      <c r="A1" s="455" t="s">
        <v>174</v>
      </c>
      <c r="B1" s="456"/>
      <c r="C1" s="456"/>
      <c r="D1" s="456"/>
      <c r="E1" s="456"/>
      <c r="F1" s="456"/>
      <c r="G1" s="456"/>
      <c r="H1" s="456"/>
      <c r="I1" s="456"/>
      <c r="J1" s="456"/>
      <c r="K1" s="456"/>
      <c r="L1" s="456"/>
      <c r="M1" s="456"/>
      <c r="N1" s="457"/>
    </row>
    <row r="2" spans="1:20" ht="28.55" x14ac:dyDescent="0.25">
      <c r="A2" s="42" t="s">
        <v>175</v>
      </c>
      <c r="B2" s="33" t="s">
        <v>176</v>
      </c>
      <c r="C2" s="43" t="s">
        <v>177</v>
      </c>
      <c r="D2" s="34" t="s">
        <v>178</v>
      </c>
      <c r="E2" s="34" t="s">
        <v>109</v>
      </c>
      <c r="F2" s="34" t="s">
        <v>179</v>
      </c>
      <c r="G2" s="34" t="s">
        <v>180</v>
      </c>
      <c r="H2" s="34" t="s">
        <v>181</v>
      </c>
      <c r="I2" s="34" t="s">
        <v>182</v>
      </c>
      <c r="J2" s="34" t="s">
        <v>183</v>
      </c>
      <c r="K2" s="34" t="s">
        <v>184</v>
      </c>
      <c r="L2" s="34" t="s">
        <v>185</v>
      </c>
      <c r="M2" s="34" t="s">
        <v>186</v>
      </c>
      <c r="N2" s="35" t="s">
        <v>187</v>
      </c>
      <c r="P2" s="45" t="s">
        <v>188</v>
      </c>
      <c r="Q2" s="45" t="s">
        <v>189</v>
      </c>
      <c r="R2" s="45" t="s">
        <v>190</v>
      </c>
      <c r="S2" s="46" t="s">
        <v>191</v>
      </c>
      <c r="T2" s="47">
        <v>1.2</v>
      </c>
    </row>
    <row r="3" spans="1:20" ht="14.95" x14ac:dyDescent="0.25">
      <c r="A3" s="42">
        <v>1004</v>
      </c>
      <c r="B3" s="33"/>
      <c r="C3" s="43" t="s">
        <v>173</v>
      </c>
      <c r="D3" s="34" t="s">
        <v>192</v>
      </c>
      <c r="E3" s="34">
        <v>12</v>
      </c>
      <c r="F3" s="34">
        <v>100</v>
      </c>
      <c r="G3" s="34">
        <v>10</v>
      </c>
      <c r="H3" s="34">
        <v>100</v>
      </c>
      <c r="I3" s="34">
        <v>0.8</v>
      </c>
      <c r="J3" s="34">
        <v>9.4</v>
      </c>
      <c r="K3" s="34">
        <v>0.8</v>
      </c>
      <c r="L3" s="34">
        <v>9.4</v>
      </c>
      <c r="M3" s="34">
        <v>0.28999999999999998</v>
      </c>
      <c r="N3" s="36">
        <v>750</v>
      </c>
      <c r="P3" s="23">
        <f t="shared" ref="P3:P37" si="0">(F3*H3)*2/1000000*E3</f>
        <v>0.24</v>
      </c>
      <c r="Q3">
        <v>16</v>
      </c>
      <c r="R3">
        <f>Q3*P3*$T$2</f>
        <v>4.6079999999999997</v>
      </c>
    </row>
    <row r="4" spans="1:20" ht="14.95" x14ac:dyDescent="0.25">
      <c r="A4" s="42">
        <v>1020</v>
      </c>
      <c r="B4" s="33"/>
      <c r="C4" s="43" t="s">
        <v>193</v>
      </c>
      <c r="D4" s="34" t="s">
        <v>192</v>
      </c>
      <c r="E4" s="34">
        <v>1</v>
      </c>
      <c r="F4" s="34">
        <v>100</v>
      </c>
      <c r="G4" s="34">
        <v>10</v>
      </c>
      <c r="H4" s="34">
        <v>145.5</v>
      </c>
      <c r="I4" s="34">
        <v>1.1000000000000001</v>
      </c>
      <c r="J4" s="34">
        <v>1.1000000000000001</v>
      </c>
      <c r="K4" s="34">
        <v>1.1000000000000001</v>
      </c>
      <c r="L4" s="34">
        <v>1.1000000000000001</v>
      </c>
      <c r="M4" s="34">
        <v>0.03</v>
      </c>
      <c r="N4" s="36">
        <v>750</v>
      </c>
      <c r="P4" s="23">
        <f t="shared" si="0"/>
        <v>2.9100000000000001E-2</v>
      </c>
      <c r="Q4">
        <v>16</v>
      </c>
      <c r="R4">
        <f t="shared" ref="R4:R67" si="1">Q4*P4*$T$2</f>
        <v>0.55871999999999999</v>
      </c>
    </row>
    <row r="5" spans="1:20" ht="14.95" x14ac:dyDescent="0.25">
      <c r="A5" s="42">
        <v>1020</v>
      </c>
      <c r="B5" s="33"/>
      <c r="C5" s="43" t="s">
        <v>193</v>
      </c>
      <c r="D5" s="34" t="s">
        <v>192</v>
      </c>
      <c r="E5" s="34">
        <v>2</v>
      </c>
      <c r="F5" s="34">
        <v>100</v>
      </c>
      <c r="G5" s="34">
        <v>10</v>
      </c>
      <c r="H5" s="34">
        <v>145.5</v>
      </c>
      <c r="I5" s="34">
        <v>1.1000000000000001</v>
      </c>
      <c r="J5" s="34">
        <v>2.2999999999999998</v>
      </c>
      <c r="K5" s="34">
        <v>1.1000000000000001</v>
      </c>
      <c r="L5" s="34">
        <v>2.2999999999999998</v>
      </c>
      <c r="M5" s="34">
        <v>7.0000000000000007E-2</v>
      </c>
      <c r="N5" s="36">
        <v>750</v>
      </c>
      <c r="P5" s="23">
        <f t="shared" si="0"/>
        <v>5.8200000000000002E-2</v>
      </c>
      <c r="Q5">
        <v>16</v>
      </c>
      <c r="R5">
        <f t="shared" si="1"/>
        <v>1.11744</v>
      </c>
    </row>
    <row r="6" spans="1:20" ht="14.95" x14ac:dyDescent="0.25">
      <c r="A6" s="42">
        <v>1020</v>
      </c>
      <c r="B6" s="33"/>
      <c r="C6" s="43" t="s">
        <v>193</v>
      </c>
      <c r="D6" s="34" t="s">
        <v>192</v>
      </c>
      <c r="E6" s="34">
        <v>3</v>
      </c>
      <c r="F6" s="34">
        <v>100</v>
      </c>
      <c r="G6" s="34">
        <v>10</v>
      </c>
      <c r="H6" s="34">
        <v>145.5</v>
      </c>
      <c r="I6" s="34">
        <v>1.1000000000000001</v>
      </c>
      <c r="J6" s="34">
        <v>3.4</v>
      </c>
      <c r="K6" s="34">
        <v>1.1000000000000001</v>
      </c>
      <c r="L6" s="34">
        <v>3.4</v>
      </c>
      <c r="M6" s="34">
        <v>0.1</v>
      </c>
      <c r="N6" s="36">
        <v>750</v>
      </c>
      <c r="P6" s="23">
        <f t="shared" si="0"/>
        <v>8.7300000000000003E-2</v>
      </c>
      <c r="Q6">
        <v>16</v>
      </c>
      <c r="R6">
        <f t="shared" si="1"/>
        <v>1.6761600000000001</v>
      </c>
    </row>
    <row r="7" spans="1:20" ht="14.95" x14ac:dyDescent="0.25">
      <c r="A7" s="42">
        <v>1020</v>
      </c>
      <c r="B7" s="33"/>
      <c r="C7" s="43" t="s">
        <v>194</v>
      </c>
      <c r="D7" s="34" t="s">
        <v>192</v>
      </c>
      <c r="E7" s="34">
        <v>1</v>
      </c>
      <c r="F7" s="34">
        <v>100</v>
      </c>
      <c r="G7" s="34">
        <v>10</v>
      </c>
      <c r="H7" s="34">
        <v>145.5</v>
      </c>
      <c r="I7" s="34">
        <v>1.1000000000000001</v>
      </c>
      <c r="J7" s="34">
        <v>1.1000000000000001</v>
      </c>
      <c r="K7" s="34">
        <v>1.1000000000000001</v>
      </c>
      <c r="L7" s="34">
        <v>1.1000000000000001</v>
      </c>
      <c r="M7" s="34">
        <v>0.03</v>
      </c>
      <c r="N7" s="36">
        <v>750</v>
      </c>
      <c r="P7" s="23">
        <f t="shared" si="0"/>
        <v>2.9100000000000001E-2</v>
      </c>
      <c r="Q7">
        <v>16</v>
      </c>
      <c r="R7">
        <f t="shared" si="1"/>
        <v>0.55871999999999999</v>
      </c>
    </row>
    <row r="8" spans="1:20" ht="14.95" x14ac:dyDescent="0.25">
      <c r="A8" s="42">
        <v>1020</v>
      </c>
      <c r="B8" s="33"/>
      <c r="C8" s="43" t="s">
        <v>195</v>
      </c>
      <c r="D8" s="34" t="s">
        <v>192</v>
      </c>
      <c r="E8" s="34">
        <v>1</v>
      </c>
      <c r="F8" s="34">
        <v>100</v>
      </c>
      <c r="G8" s="34">
        <v>10</v>
      </c>
      <c r="H8" s="34">
        <v>145.5</v>
      </c>
      <c r="I8" s="34">
        <v>1.1000000000000001</v>
      </c>
      <c r="J8" s="34">
        <v>1.1000000000000001</v>
      </c>
      <c r="K8" s="34">
        <v>1.1000000000000001</v>
      </c>
      <c r="L8" s="34">
        <v>1.1000000000000001</v>
      </c>
      <c r="M8" s="34">
        <v>0.03</v>
      </c>
      <c r="N8" s="36">
        <v>750</v>
      </c>
      <c r="P8" s="23">
        <f t="shared" si="0"/>
        <v>2.9100000000000001E-2</v>
      </c>
      <c r="Q8">
        <v>16</v>
      </c>
      <c r="R8">
        <f t="shared" si="1"/>
        <v>0.55871999999999999</v>
      </c>
    </row>
    <row r="9" spans="1:20" ht="14.95" x14ac:dyDescent="0.25">
      <c r="A9" s="42">
        <v>1020</v>
      </c>
      <c r="B9" s="33"/>
      <c r="C9" s="43" t="s">
        <v>196</v>
      </c>
      <c r="D9" s="34" t="s">
        <v>192</v>
      </c>
      <c r="E9" s="34">
        <v>2</v>
      </c>
      <c r="F9" s="34">
        <v>100</v>
      </c>
      <c r="G9" s="34">
        <v>10</v>
      </c>
      <c r="H9" s="34">
        <v>145.69999999999999</v>
      </c>
      <c r="I9" s="34">
        <v>1.1000000000000001</v>
      </c>
      <c r="J9" s="34">
        <v>2.2999999999999998</v>
      </c>
      <c r="K9" s="34">
        <v>1.1000000000000001</v>
      </c>
      <c r="L9" s="34">
        <v>2.2999999999999998</v>
      </c>
      <c r="M9" s="34">
        <v>7.0000000000000007E-2</v>
      </c>
      <c r="N9" s="36">
        <v>750</v>
      </c>
      <c r="P9" s="23">
        <f t="shared" si="0"/>
        <v>5.8279999999999992E-2</v>
      </c>
      <c r="Q9">
        <v>16</v>
      </c>
      <c r="R9">
        <f t="shared" si="1"/>
        <v>1.1189759999999997</v>
      </c>
    </row>
    <row r="10" spans="1:20" ht="14.95" x14ac:dyDescent="0.25">
      <c r="A10" s="42">
        <v>1020</v>
      </c>
      <c r="B10" s="33"/>
      <c r="C10" s="43" t="s">
        <v>196</v>
      </c>
      <c r="D10" s="34" t="s">
        <v>192</v>
      </c>
      <c r="E10" s="34">
        <v>2</v>
      </c>
      <c r="F10" s="34">
        <v>100</v>
      </c>
      <c r="G10" s="34">
        <v>10</v>
      </c>
      <c r="H10" s="34">
        <v>145.69999999999999</v>
      </c>
      <c r="I10" s="34">
        <v>1.1000000000000001</v>
      </c>
      <c r="J10" s="34">
        <v>2.2999999999999998</v>
      </c>
      <c r="K10" s="34">
        <v>1.1000000000000001</v>
      </c>
      <c r="L10" s="34">
        <v>2.2999999999999998</v>
      </c>
      <c r="M10" s="34">
        <v>7.0000000000000007E-2</v>
      </c>
      <c r="N10" s="36">
        <v>750</v>
      </c>
      <c r="P10" s="23">
        <f t="shared" si="0"/>
        <v>5.8279999999999992E-2</v>
      </c>
      <c r="Q10">
        <v>16</v>
      </c>
      <c r="R10">
        <f t="shared" si="1"/>
        <v>1.1189759999999997</v>
      </c>
    </row>
    <row r="11" spans="1:20" ht="14.95" x14ac:dyDescent="0.25">
      <c r="A11" s="42" t="s">
        <v>197</v>
      </c>
      <c r="B11" s="33"/>
      <c r="C11" s="43" t="s">
        <v>198</v>
      </c>
      <c r="D11" s="34" t="s">
        <v>79</v>
      </c>
      <c r="E11" s="34">
        <v>2</v>
      </c>
      <c r="F11" s="34">
        <v>300</v>
      </c>
      <c r="G11" s="34">
        <v>15</v>
      </c>
      <c r="H11" s="34">
        <v>160</v>
      </c>
      <c r="I11" s="34">
        <v>5.4</v>
      </c>
      <c r="J11" s="34">
        <v>10.7</v>
      </c>
      <c r="K11" s="34">
        <v>5.7</v>
      </c>
      <c r="L11" s="34">
        <v>11.3</v>
      </c>
      <c r="M11" s="34">
        <v>0.1</v>
      </c>
      <c r="N11" s="36">
        <v>750</v>
      </c>
      <c r="P11" s="23">
        <f t="shared" si="0"/>
        <v>0.192</v>
      </c>
      <c r="Q11">
        <v>24</v>
      </c>
      <c r="R11">
        <f t="shared" si="1"/>
        <v>5.5296000000000003</v>
      </c>
    </row>
    <row r="12" spans="1:20" ht="14.95" x14ac:dyDescent="0.25">
      <c r="A12" s="42" t="s">
        <v>199</v>
      </c>
      <c r="B12" s="33"/>
      <c r="C12" s="43" t="s">
        <v>200</v>
      </c>
      <c r="D12" s="34" t="s">
        <v>79</v>
      </c>
      <c r="E12" s="34">
        <v>2</v>
      </c>
      <c r="F12" s="34">
        <v>300</v>
      </c>
      <c r="G12" s="34">
        <v>10</v>
      </c>
      <c r="H12" s="34">
        <v>160</v>
      </c>
      <c r="I12" s="34">
        <v>3.6</v>
      </c>
      <c r="J12" s="34">
        <v>7.2</v>
      </c>
      <c r="K12" s="34">
        <v>3.8</v>
      </c>
      <c r="L12" s="34">
        <v>7.5</v>
      </c>
      <c r="M12" s="34">
        <v>0.1</v>
      </c>
      <c r="N12" s="36">
        <v>750</v>
      </c>
      <c r="P12" s="23">
        <f t="shared" si="0"/>
        <v>0.192</v>
      </c>
      <c r="Q12">
        <v>16</v>
      </c>
      <c r="R12">
        <f t="shared" si="1"/>
        <v>3.6863999999999999</v>
      </c>
    </row>
    <row r="13" spans="1:20" ht="14.95" x14ac:dyDescent="0.25">
      <c r="A13" s="42" t="s">
        <v>201</v>
      </c>
      <c r="B13" s="33"/>
      <c r="C13" s="43" t="s">
        <v>200</v>
      </c>
      <c r="D13" s="34" t="s">
        <v>79</v>
      </c>
      <c r="E13" s="34">
        <v>12</v>
      </c>
      <c r="F13" s="34">
        <v>280</v>
      </c>
      <c r="G13" s="34">
        <v>10</v>
      </c>
      <c r="H13" s="34">
        <v>160</v>
      </c>
      <c r="I13" s="34">
        <v>3.3</v>
      </c>
      <c r="J13" s="34">
        <v>40</v>
      </c>
      <c r="K13" s="34">
        <v>3.5</v>
      </c>
      <c r="L13" s="34">
        <v>42.2</v>
      </c>
      <c r="M13" s="34">
        <v>0.54</v>
      </c>
      <c r="N13" s="36">
        <v>750</v>
      </c>
      <c r="P13" s="23">
        <f t="shared" si="0"/>
        <v>1.0751999999999999</v>
      </c>
      <c r="Q13">
        <v>16</v>
      </c>
      <c r="R13">
        <f t="shared" si="1"/>
        <v>20.643839999999997</v>
      </c>
    </row>
    <row r="14" spans="1:20" ht="14.95" x14ac:dyDescent="0.25">
      <c r="A14" s="42" t="s">
        <v>202</v>
      </c>
      <c r="B14" s="33"/>
      <c r="C14" s="43" t="s">
        <v>200</v>
      </c>
      <c r="D14" s="34" t="s">
        <v>79</v>
      </c>
      <c r="E14" s="34">
        <v>1</v>
      </c>
      <c r="F14" s="34">
        <v>300</v>
      </c>
      <c r="G14" s="34">
        <v>10</v>
      </c>
      <c r="H14" s="34">
        <v>160</v>
      </c>
      <c r="I14" s="34">
        <v>3.6</v>
      </c>
      <c r="J14" s="34">
        <v>3.6</v>
      </c>
      <c r="K14" s="34">
        <v>3.8</v>
      </c>
      <c r="L14" s="34">
        <v>3.8</v>
      </c>
      <c r="M14" s="34">
        <v>0.05</v>
      </c>
      <c r="N14" s="36">
        <v>750</v>
      </c>
      <c r="P14" s="23">
        <f t="shared" si="0"/>
        <v>9.6000000000000002E-2</v>
      </c>
      <c r="Q14">
        <v>16</v>
      </c>
      <c r="R14">
        <f t="shared" si="1"/>
        <v>1.8431999999999999</v>
      </c>
    </row>
    <row r="15" spans="1:20" ht="14.95" x14ac:dyDescent="0.25">
      <c r="A15" s="42" t="s">
        <v>203</v>
      </c>
      <c r="B15" s="33"/>
      <c r="C15" s="43" t="s">
        <v>198</v>
      </c>
      <c r="D15" s="34" t="s">
        <v>79</v>
      </c>
      <c r="E15" s="34">
        <v>2</v>
      </c>
      <c r="F15" s="34">
        <v>300</v>
      </c>
      <c r="G15" s="34">
        <v>15</v>
      </c>
      <c r="H15" s="34">
        <v>160</v>
      </c>
      <c r="I15" s="34">
        <v>5.4</v>
      </c>
      <c r="J15" s="34">
        <v>10.7</v>
      </c>
      <c r="K15" s="34">
        <v>5.7</v>
      </c>
      <c r="L15" s="34">
        <v>11.3</v>
      </c>
      <c r="M15" s="34">
        <v>0.1</v>
      </c>
      <c r="N15" s="36">
        <v>750</v>
      </c>
      <c r="P15" s="23">
        <f t="shared" si="0"/>
        <v>0.192</v>
      </c>
      <c r="Q15">
        <v>24</v>
      </c>
      <c r="R15">
        <f t="shared" si="1"/>
        <v>5.5296000000000003</v>
      </c>
    </row>
    <row r="16" spans="1:20" ht="14.95" x14ac:dyDescent="0.25">
      <c r="A16" s="42" t="s">
        <v>204</v>
      </c>
      <c r="B16" s="33"/>
      <c r="C16" s="43" t="s">
        <v>200</v>
      </c>
      <c r="D16" s="34" t="s">
        <v>79</v>
      </c>
      <c r="E16" s="34">
        <v>2</v>
      </c>
      <c r="F16" s="34">
        <v>300</v>
      </c>
      <c r="G16" s="34">
        <v>10</v>
      </c>
      <c r="H16" s="34">
        <v>160</v>
      </c>
      <c r="I16" s="34">
        <v>3.6</v>
      </c>
      <c r="J16" s="34">
        <v>7.2</v>
      </c>
      <c r="K16" s="34">
        <v>3.8</v>
      </c>
      <c r="L16" s="34">
        <v>7.5</v>
      </c>
      <c r="M16" s="34">
        <v>0.1</v>
      </c>
      <c r="N16" s="36">
        <v>750</v>
      </c>
      <c r="P16" s="23">
        <f t="shared" si="0"/>
        <v>0.192</v>
      </c>
      <c r="Q16">
        <v>16</v>
      </c>
      <c r="R16">
        <f t="shared" si="1"/>
        <v>3.6863999999999999</v>
      </c>
    </row>
    <row r="17" spans="1:18" ht="14.95" x14ac:dyDescent="0.25">
      <c r="A17" s="42" t="s">
        <v>205</v>
      </c>
      <c r="B17" s="33"/>
      <c r="C17" s="43" t="s">
        <v>200</v>
      </c>
      <c r="D17" s="34" t="s">
        <v>79</v>
      </c>
      <c r="E17" s="34">
        <v>4</v>
      </c>
      <c r="F17" s="34">
        <v>300</v>
      </c>
      <c r="G17" s="34">
        <v>10</v>
      </c>
      <c r="H17" s="34">
        <v>160</v>
      </c>
      <c r="I17" s="34">
        <v>3.8</v>
      </c>
      <c r="J17" s="34">
        <v>15.1</v>
      </c>
      <c r="K17" s="34">
        <v>3.8</v>
      </c>
      <c r="L17" s="34">
        <v>15.1</v>
      </c>
      <c r="M17" s="34">
        <v>0.19</v>
      </c>
      <c r="N17" s="36">
        <v>750</v>
      </c>
      <c r="P17" s="23">
        <f t="shared" si="0"/>
        <v>0.38400000000000001</v>
      </c>
      <c r="Q17">
        <v>16</v>
      </c>
      <c r="R17">
        <f t="shared" si="1"/>
        <v>7.3727999999999998</v>
      </c>
    </row>
    <row r="18" spans="1:18" ht="14.95" x14ac:dyDescent="0.25">
      <c r="A18" s="42" t="s">
        <v>206</v>
      </c>
      <c r="B18" s="33"/>
      <c r="C18" s="43" t="s">
        <v>200</v>
      </c>
      <c r="D18" s="34" t="s">
        <v>79</v>
      </c>
      <c r="E18" s="34">
        <v>1</v>
      </c>
      <c r="F18" s="34">
        <v>300</v>
      </c>
      <c r="G18" s="34">
        <v>10</v>
      </c>
      <c r="H18" s="34">
        <v>160</v>
      </c>
      <c r="I18" s="34">
        <v>3.6</v>
      </c>
      <c r="J18" s="34">
        <v>3.6</v>
      </c>
      <c r="K18" s="34">
        <v>3.8</v>
      </c>
      <c r="L18" s="34">
        <v>3.8</v>
      </c>
      <c r="M18" s="34">
        <v>0.05</v>
      </c>
      <c r="N18" s="36">
        <v>750</v>
      </c>
      <c r="P18" s="23">
        <f t="shared" si="0"/>
        <v>9.6000000000000002E-2</v>
      </c>
      <c r="Q18">
        <v>16</v>
      </c>
      <c r="R18">
        <f t="shared" si="1"/>
        <v>1.8431999999999999</v>
      </c>
    </row>
    <row r="19" spans="1:18" ht="14.95" x14ac:dyDescent="0.25">
      <c r="A19" s="42" t="s">
        <v>207</v>
      </c>
      <c r="B19" s="33"/>
      <c r="C19" s="43" t="s">
        <v>200</v>
      </c>
      <c r="D19" s="34" t="s">
        <v>79</v>
      </c>
      <c r="E19" s="34">
        <v>4</v>
      </c>
      <c r="F19" s="34">
        <v>300</v>
      </c>
      <c r="G19" s="34">
        <v>10</v>
      </c>
      <c r="H19" s="34">
        <v>160</v>
      </c>
      <c r="I19" s="34">
        <v>3.6</v>
      </c>
      <c r="J19" s="34">
        <v>14.3</v>
      </c>
      <c r="K19" s="34">
        <v>3.8</v>
      </c>
      <c r="L19" s="34">
        <v>15.1</v>
      </c>
      <c r="M19" s="34">
        <v>0.19</v>
      </c>
      <c r="N19" s="36">
        <v>750</v>
      </c>
      <c r="P19" s="23">
        <f t="shared" si="0"/>
        <v>0.38400000000000001</v>
      </c>
      <c r="Q19">
        <v>16</v>
      </c>
      <c r="R19">
        <f t="shared" si="1"/>
        <v>7.3727999999999998</v>
      </c>
    </row>
    <row r="20" spans="1:18" ht="14.95" x14ac:dyDescent="0.25">
      <c r="A20" s="42" t="s">
        <v>208</v>
      </c>
      <c r="B20" s="33"/>
      <c r="C20" s="43" t="s">
        <v>200</v>
      </c>
      <c r="D20" s="34" t="s">
        <v>79</v>
      </c>
      <c r="E20" s="34">
        <v>2</v>
      </c>
      <c r="F20" s="34">
        <v>300</v>
      </c>
      <c r="G20" s="34">
        <v>10</v>
      </c>
      <c r="H20" s="34">
        <v>160</v>
      </c>
      <c r="I20" s="34">
        <v>3.6</v>
      </c>
      <c r="J20" s="34">
        <v>7.2</v>
      </c>
      <c r="K20" s="34">
        <v>3.8</v>
      </c>
      <c r="L20" s="34">
        <v>7.5</v>
      </c>
      <c r="M20" s="34">
        <v>0.1</v>
      </c>
      <c r="N20" s="36">
        <v>750</v>
      </c>
      <c r="P20" s="23">
        <f t="shared" si="0"/>
        <v>0.192</v>
      </c>
      <c r="Q20">
        <v>16</v>
      </c>
      <c r="R20">
        <f t="shared" si="1"/>
        <v>3.6863999999999999</v>
      </c>
    </row>
    <row r="21" spans="1:18" ht="14.95" x14ac:dyDescent="0.25">
      <c r="A21" s="42" t="s">
        <v>209</v>
      </c>
      <c r="B21" s="33"/>
      <c r="C21" s="43" t="s">
        <v>200</v>
      </c>
      <c r="D21" s="34" t="s">
        <v>79</v>
      </c>
      <c r="E21" s="34">
        <v>2</v>
      </c>
      <c r="F21" s="34">
        <v>300</v>
      </c>
      <c r="G21" s="34">
        <v>10</v>
      </c>
      <c r="H21" s="34">
        <v>160</v>
      </c>
      <c r="I21" s="34">
        <v>3.6</v>
      </c>
      <c r="J21" s="34">
        <v>7.2</v>
      </c>
      <c r="K21" s="34">
        <v>3.8</v>
      </c>
      <c r="L21" s="34">
        <v>7.5</v>
      </c>
      <c r="M21" s="34">
        <v>0.1</v>
      </c>
      <c r="N21" s="36">
        <v>750</v>
      </c>
      <c r="P21" s="23">
        <f t="shared" si="0"/>
        <v>0.192</v>
      </c>
      <c r="Q21">
        <v>16</v>
      </c>
      <c r="R21">
        <f t="shared" si="1"/>
        <v>3.6863999999999999</v>
      </c>
    </row>
    <row r="22" spans="1:18" ht="14.95" x14ac:dyDescent="0.25">
      <c r="A22" s="42" t="s">
        <v>210</v>
      </c>
      <c r="B22" s="33"/>
      <c r="C22" s="43" t="s">
        <v>198</v>
      </c>
      <c r="D22" s="34" t="s">
        <v>79</v>
      </c>
      <c r="E22" s="34">
        <v>2</v>
      </c>
      <c r="F22" s="34">
        <v>300</v>
      </c>
      <c r="G22" s="34">
        <v>15</v>
      </c>
      <c r="H22" s="34">
        <v>160</v>
      </c>
      <c r="I22" s="34">
        <v>5.3</v>
      </c>
      <c r="J22" s="34">
        <v>10.7</v>
      </c>
      <c r="K22" s="34">
        <v>5.7</v>
      </c>
      <c r="L22" s="34">
        <v>11.3</v>
      </c>
      <c r="M22" s="34">
        <v>0.1</v>
      </c>
      <c r="N22" s="36">
        <v>750</v>
      </c>
      <c r="P22" s="23">
        <f t="shared" si="0"/>
        <v>0.192</v>
      </c>
      <c r="Q22">
        <v>24</v>
      </c>
      <c r="R22">
        <f t="shared" si="1"/>
        <v>5.5296000000000003</v>
      </c>
    </row>
    <row r="23" spans="1:18" ht="14.95" x14ac:dyDescent="0.25">
      <c r="A23" s="42" t="s">
        <v>211</v>
      </c>
      <c r="B23" s="33"/>
      <c r="C23" s="43" t="s">
        <v>173</v>
      </c>
      <c r="D23" s="34" t="s">
        <v>192</v>
      </c>
      <c r="E23" s="34">
        <v>12</v>
      </c>
      <c r="F23" s="34">
        <v>100</v>
      </c>
      <c r="G23" s="34">
        <v>10</v>
      </c>
      <c r="H23" s="34">
        <v>100</v>
      </c>
      <c r="I23" s="34">
        <v>0.8</v>
      </c>
      <c r="J23" s="34">
        <v>9.4</v>
      </c>
      <c r="K23" s="34">
        <v>0.8</v>
      </c>
      <c r="L23" s="34">
        <v>9.4</v>
      </c>
      <c r="M23" s="34">
        <v>0.28999999999999998</v>
      </c>
      <c r="N23" s="36">
        <v>750</v>
      </c>
      <c r="P23" s="23">
        <f t="shared" si="0"/>
        <v>0.24</v>
      </c>
      <c r="Q23">
        <v>16</v>
      </c>
      <c r="R23">
        <f t="shared" si="1"/>
        <v>4.6079999999999997</v>
      </c>
    </row>
    <row r="24" spans="1:18" ht="14.95" x14ac:dyDescent="0.25">
      <c r="A24" s="42" t="s">
        <v>211</v>
      </c>
      <c r="B24" s="33"/>
      <c r="C24" s="43" t="s">
        <v>173</v>
      </c>
      <c r="D24" s="34" t="s">
        <v>192</v>
      </c>
      <c r="E24" s="34">
        <v>48</v>
      </c>
      <c r="F24" s="34">
        <v>100</v>
      </c>
      <c r="G24" s="34">
        <v>10</v>
      </c>
      <c r="H24" s="34">
        <v>100</v>
      </c>
      <c r="I24" s="34">
        <v>0.8</v>
      </c>
      <c r="J24" s="34">
        <v>37.700000000000003</v>
      </c>
      <c r="K24" s="34">
        <v>0.8</v>
      </c>
      <c r="L24" s="34">
        <v>37.700000000000003</v>
      </c>
      <c r="M24" s="34">
        <v>1.1499999999999999</v>
      </c>
      <c r="N24" s="36">
        <v>750</v>
      </c>
      <c r="P24" s="23">
        <f t="shared" si="0"/>
        <v>0.96</v>
      </c>
      <c r="Q24">
        <v>16</v>
      </c>
      <c r="R24">
        <f t="shared" si="1"/>
        <v>18.431999999999999</v>
      </c>
    </row>
    <row r="25" spans="1:18" ht="14.95" x14ac:dyDescent="0.25">
      <c r="A25" s="42" t="s">
        <v>212</v>
      </c>
      <c r="B25" s="33"/>
      <c r="C25" s="43" t="s">
        <v>173</v>
      </c>
      <c r="D25" s="34" t="s">
        <v>192</v>
      </c>
      <c r="E25" s="34">
        <v>48</v>
      </c>
      <c r="F25" s="34">
        <v>100</v>
      </c>
      <c r="G25" s="34">
        <v>10</v>
      </c>
      <c r="H25" s="34">
        <v>100</v>
      </c>
      <c r="I25" s="34">
        <v>0.8</v>
      </c>
      <c r="J25" s="34">
        <v>37.700000000000003</v>
      </c>
      <c r="K25" s="34">
        <v>0.8</v>
      </c>
      <c r="L25" s="34">
        <v>37.700000000000003</v>
      </c>
      <c r="M25" s="34">
        <v>1.1499999999999999</v>
      </c>
      <c r="N25" s="36">
        <v>750</v>
      </c>
      <c r="P25" s="23">
        <f t="shared" si="0"/>
        <v>0.96</v>
      </c>
      <c r="Q25">
        <v>16</v>
      </c>
      <c r="R25">
        <f t="shared" si="1"/>
        <v>18.431999999999999</v>
      </c>
    </row>
    <row r="26" spans="1:18" ht="14.95" x14ac:dyDescent="0.25">
      <c r="A26" s="42" t="s">
        <v>213</v>
      </c>
      <c r="B26" s="33"/>
      <c r="C26" s="43" t="s">
        <v>214</v>
      </c>
      <c r="D26" s="34" t="s">
        <v>192</v>
      </c>
      <c r="E26" s="34">
        <v>24</v>
      </c>
      <c r="F26" s="34">
        <v>94</v>
      </c>
      <c r="G26" s="34">
        <v>5</v>
      </c>
      <c r="H26" s="34">
        <v>194</v>
      </c>
      <c r="I26" s="34">
        <v>0.7</v>
      </c>
      <c r="J26" s="34">
        <v>17.2</v>
      </c>
      <c r="K26" s="34">
        <v>0.7</v>
      </c>
      <c r="L26" s="34">
        <v>17.2</v>
      </c>
      <c r="M26" s="34">
        <v>0.94</v>
      </c>
      <c r="N26" s="36">
        <v>750</v>
      </c>
      <c r="P26" s="23">
        <f t="shared" si="0"/>
        <v>0.87532799999999988</v>
      </c>
      <c r="Q26">
        <v>22.1</v>
      </c>
      <c r="R26">
        <f t="shared" si="1"/>
        <v>23.213698559999997</v>
      </c>
    </row>
    <row r="27" spans="1:18" ht="14.95" x14ac:dyDescent="0.25">
      <c r="A27" s="42" t="s">
        <v>215</v>
      </c>
      <c r="B27" s="33"/>
      <c r="C27" s="43" t="s">
        <v>173</v>
      </c>
      <c r="D27" s="34" t="s">
        <v>192</v>
      </c>
      <c r="E27" s="34">
        <v>1</v>
      </c>
      <c r="F27" s="34">
        <v>100</v>
      </c>
      <c r="G27" s="34">
        <v>10</v>
      </c>
      <c r="H27" s="34">
        <v>100</v>
      </c>
      <c r="I27" s="34">
        <v>0.8</v>
      </c>
      <c r="J27" s="34">
        <v>0.8</v>
      </c>
      <c r="K27" s="34">
        <v>0.8</v>
      </c>
      <c r="L27" s="34">
        <v>0.8</v>
      </c>
      <c r="M27" s="34">
        <v>0.02</v>
      </c>
      <c r="N27" s="36">
        <v>750</v>
      </c>
      <c r="P27" s="23">
        <f t="shared" si="0"/>
        <v>0.02</v>
      </c>
      <c r="Q27">
        <v>16</v>
      </c>
      <c r="R27">
        <f t="shared" si="1"/>
        <v>0.38400000000000001</v>
      </c>
    </row>
    <row r="28" spans="1:18" ht="14.95" x14ac:dyDescent="0.25">
      <c r="A28" s="42" t="s">
        <v>216</v>
      </c>
      <c r="B28" s="33"/>
      <c r="C28" s="43" t="s">
        <v>217</v>
      </c>
      <c r="D28" s="34" t="s">
        <v>192</v>
      </c>
      <c r="E28" s="34">
        <v>1</v>
      </c>
      <c r="F28" s="34">
        <v>100</v>
      </c>
      <c r="G28" s="34">
        <v>10</v>
      </c>
      <c r="H28" s="34">
        <v>136.80000000000001</v>
      </c>
      <c r="I28" s="34">
        <v>1.1000000000000001</v>
      </c>
      <c r="J28" s="34">
        <v>1.1000000000000001</v>
      </c>
      <c r="K28" s="34">
        <v>1.1000000000000001</v>
      </c>
      <c r="L28" s="34">
        <v>1.1000000000000001</v>
      </c>
      <c r="M28" s="34">
        <v>0.03</v>
      </c>
      <c r="N28" s="36">
        <v>750</v>
      </c>
      <c r="P28" s="23">
        <f t="shared" si="0"/>
        <v>2.7360000000000002E-2</v>
      </c>
      <c r="Q28">
        <v>16</v>
      </c>
      <c r="R28">
        <f t="shared" si="1"/>
        <v>0.525312</v>
      </c>
    </row>
    <row r="29" spans="1:18" ht="14.95" x14ac:dyDescent="0.25">
      <c r="A29" s="42" t="s">
        <v>216</v>
      </c>
      <c r="B29" s="33"/>
      <c r="C29" s="43" t="s">
        <v>218</v>
      </c>
      <c r="D29" s="34" t="s">
        <v>192</v>
      </c>
      <c r="E29" s="34">
        <v>1</v>
      </c>
      <c r="F29" s="34">
        <v>100</v>
      </c>
      <c r="G29" s="34">
        <v>10</v>
      </c>
      <c r="H29" s="34">
        <v>136.80000000000001</v>
      </c>
      <c r="I29" s="34">
        <v>1.1000000000000001</v>
      </c>
      <c r="J29" s="34">
        <v>1.1000000000000001</v>
      </c>
      <c r="K29" s="34">
        <v>1.1000000000000001</v>
      </c>
      <c r="L29" s="34">
        <v>1.1000000000000001</v>
      </c>
      <c r="M29" s="34">
        <v>0.03</v>
      </c>
      <c r="N29" s="36">
        <v>750</v>
      </c>
      <c r="P29" s="23">
        <f t="shared" si="0"/>
        <v>2.7360000000000002E-2</v>
      </c>
      <c r="Q29">
        <v>16</v>
      </c>
      <c r="R29">
        <f t="shared" si="1"/>
        <v>0.525312</v>
      </c>
    </row>
    <row r="30" spans="1:18" ht="14.95" x14ac:dyDescent="0.25">
      <c r="A30" s="42" t="s">
        <v>216</v>
      </c>
      <c r="B30" s="33"/>
      <c r="C30" s="43" t="s">
        <v>219</v>
      </c>
      <c r="D30" s="34" t="s">
        <v>192</v>
      </c>
      <c r="E30" s="34">
        <v>1</v>
      </c>
      <c r="F30" s="34">
        <v>100</v>
      </c>
      <c r="G30" s="34">
        <v>10</v>
      </c>
      <c r="H30" s="34">
        <v>137.4</v>
      </c>
      <c r="I30" s="34">
        <v>1.1000000000000001</v>
      </c>
      <c r="J30" s="34">
        <v>1.1000000000000001</v>
      </c>
      <c r="K30" s="34">
        <v>1.1000000000000001</v>
      </c>
      <c r="L30" s="34">
        <v>1.1000000000000001</v>
      </c>
      <c r="M30" s="34">
        <v>0.03</v>
      </c>
      <c r="N30" s="36">
        <v>750</v>
      </c>
      <c r="P30" s="23">
        <f t="shared" si="0"/>
        <v>2.7480000000000001E-2</v>
      </c>
      <c r="Q30">
        <v>16</v>
      </c>
      <c r="R30">
        <f t="shared" si="1"/>
        <v>0.52761599999999997</v>
      </c>
    </row>
    <row r="31" spans="1:18" ht="14.95" x14ac:dyDescent="0.25">
      <c r="A31" s="42" t="s">
        <v>216</v>
      </c>
      <c r="B31" s="33"/>
      <c r="C31" s="43" t="s">
        <v>219</v>
      </c>
      <c r="D31" s="34" t="s">
        <v>192</v>
      </c>
      <c r="E31" s="34">
        <v>1</v>
      </c>
      <c r="F31" s="34">
        <v>100</v>
      </c>
      <c r="G31" s="34">
        <v>10</v>
      </c>
      <c r="H31" s="34">
        <v>137.4</v>
      </c>
      <c r="I31" s="34">
        <v>1.1000000000000001</v>
      </c>
      <c r="J31" s="34">
        <v>1.1000000000000001</v>
      </c>
      <c r="K31" s="34">
        <v>1.1000000000000001</v>
      </c>
      <c r="L31" s="34">
        <v>1.1000000000000001</v>
      </c>
      <c r="M31" s="34">
        <v>0.03</v>
      </c>
      <c r="N31" s="36">
        <v>750</v>
      </c>
      <c r="P31" s="23">
        <f t="shared" si="0"/>
        <v>2.7480000000000001E-2</v>
      </c>
      <c r="Q31">
        <v>16</v>
      </c>
      <c r="R31">
        <f t="shared" si="1"/>
        <v>0.52761599999999997</v>
      </c>
    </row>
    <row r="32" spans="1:18" ht="14.95" x14ac:dyDescent="0.25">
      <c r="A32" s="42" t="s">
        <v>216</v>
      </c>
      <c r="B32" s="33"/>
      <c r="C32" s="43" t="s">
        <v>220</v>
      </c>
      <c r="D32" s="34" t="s">
        <v>192</v>
      </c>
      <c r="E32" s="34">
        <v>1</v>
      </c>
      <c r="F32" s="34">
        <v>100</v>
      </c>
      <c r="G32" s="34">
        <v>10</v>
      </c>
      <c r="H32" s="34">
        <v>137.5</v>
      </c>
      <c r="I32" s="34">
        <v>1.1000000000000001</v>
      </c>
      <c r="J32" s="34">
        <v>1.1000000000000001</v>
      </c>
      <c r="K32" s="34">
        <v>1.1000000000000001</v>
      </c>
      <c r="L32" s="34">
        <v>1.1000000000000001</v>
      </c>
      <c r="M32" s="34">
        <v>0.03</v>
      </c>
      <c r="N32" s="36">
        <v>750</v>
      </c>
      <c r="P32" s="23">
        <f t="shared" si="0"/>
        <v>2.75E-2</v>
      </c>
      <c r="Q32">
        <v>16</v>
      </c>
      <c r="R32">
        <f t="shared" si="1"/>
        <v>0.52800000000000002</v>
      </c>
    </row>
    <row r="33" spans="1:18" ht="14.95" x14ac:dyDescent="0.25">
      <c r="A33" s="42" t="s">
        <v>216</v>
      </c>
      <c r="B33" s="33"/>
      <c r="C33" s="43" t="s">
        <v>221</v>
      </c>
      <c r="D33" s="34" t="s">
        <v>192</v>
      </c>
      <c r="E33" s="34">
        <v>1</v>
      </c>
      <c r="F33" s="34">
        <v>100</v>
      </c>
      <c r="G33" s="34">
        <v>10</v>
      </c>
      <c r="H33" s="34">
        <v>137.6</v>
      </c>
      <c r="I33" s="34">
        <v>1.1000000000000001</v>
      </c>
      <c r="J33" s="34">
        <v>1.1000000000000001</v>
      </c>
      <c r="K33" s="34">
        <v>1.1000000000000001</v>
      </c>
      <c r="L33" s="34">
        <v>1.1000000000000001</v>
      </c>
      <c r="M33" s="34">
        <v>0.03</v>
      </c>
      <c r="N33" s="36">
        <v>750</v>
      </c>
      <c r="P33" s="23">
        <f t="shared" si="0"/>
        <v>2.7519999999999999E-2</v>
      </c>
      <c r="Q33">
        <v>16</v>
      </c>
      <c r="R33">
        <f t="shared" si="1"/>
        <v>0.52838399999999996</v>
      </c>
    </row>
    <row r="34" spans="1:18" ht="14.95" x14ac:dyDescent="0.25">
      <c r="A34" s="42" t="s">
        <v>216</v>
      </c>
      <c r="B34" s="33"/>
      <c r="C34" s="43" t="s">
        <v>222</v>
      </c>
      <c r="D34" s="34" t="s">
        <v>192</v>
      </c>
      <c r="E34" s="34">
        <v>1</v>
      </c>
      <c r="F34" s="34">
        <v>100</v>
      </c>
      <c r="G34" s="34">
        <v>10</v>
      </c>
      <c r="H34" s="34">
        <v>137.9</v>
      </c>
      <c r="I34" s="34">
        <v>1.1000000000000001</v>
      </c>
      <c r="J34" s="34">
        <v>1.1000000000000001</v>
      </c>
      <c r="K34" s="34">
        <v>1.1000000000000001</v>
      </c>
      <c r="L34" s="34">
        <v>1.1000000000000001</v>
      </c>
      <c r="M34" s="34">
        <v>0.03</v>
      </c>
      <c r="N34" s="36">
        <v>750</v>
      </c>
      <c r="P34" s="23">
        <f t="shared" si="0"/>
        <v>2.758E-2</v>
      </c>
      <c r="Q34">
        <v>16</v>
      </c>
      <c r="R34">
        <f t="shared" si="1"/>
        <v>0.52953600000000001</v>
      </c>
    </row>
    <row r="35" spans="1:18" ht="14.95" x14ac:dyDescent="0.25">
      <c r="A35" s="42" t="s">
        <v>216</v>
      </c>
      <c r="B35" s="33"/>
      <c r="C35" s="43" t="s">
        <v>223</v>
      </c>
      <c r="D35" s="34" t="s">
        <v>192</v>
      </c>
      <c r="E35" s="34">
        <v>1</v>
      </c>
      <c r="F35" s="34">
        <v>100</v>
      </c>
      <c r="G35" s="34">
        <v>10</v>
      </c>
      <c r="H35" s="34">
        <v>138</v>
      </c>
      <c r="I35" s="34">
        <v>1.1000000000000001</v>
      </c>
      <c r="J35" s="34">
        <v>1.1000000000000001</v>
      </c>
      <c r="K35" s="34">
        <v>1.1000000000000001</v>
      </c>
      <c r="L35" s="34">
        <v>1.1000000000000001</v>
      </c>
      <c r="M35" s="34">
        <v>0.03</v>
      </c>
      <c r="N35" s="36">
        <v>750</v>
      </c>
      <c r="P35" s="23">
        <f t="shared" si="0"/>
        <v>2.76E-2</v>
      </c>
      <c r="Q35">
        <v>16</v>
      </c>
      <c r="R35">
        <f t="shared" si="1"/>
        <v>0.52991999999999995</v>
      </c>
    </row>
    <row r="36" spans="1:18" ht="14.95" x14ac:dyDescent="0.25">
      <c r="A36" s="42" t="s">
        <v>216</v>
      </c>
      <c r="B36" s="33"/>
      <c r="C36" s="43" t="s">
        <v>224</v>
      </c>
      <c r="D36" s="34" t="s">
        <v>192</v>
      </c>
      <c r="E36" s="34">
        <v>2</v>
      </c>
      <c r="F36" s="34">
        <v>100</v>
      </c>
      <c r="G36" s="34">
        <v>10</v>
      </c>
      <c r="H36" s="34">
        <v>138.30000000000001</v>
      </c>
      <c r="I36" s="34">
        <v>1.1000000000000001</v>
      </c>
      <c r="J36" s="34">
        <v>2.2000000000000002</v>
      </c>
      <c r="K36" s="34">
        <v>1.1000000000000001</v>
      </c>
      <c r="L36" s="34">
        <v>2.2000000000000002</v>
      </c>
      <c r="M36" s="34">
        <v>0.06</v>
      </c>
      <c r="N36" s="36">
        <v>750</v>
      </c>
      <c r="P36" s="23">
        <f t="shared" si="0"/>
        <v>5.5320000000000008E-2</v>
      </c>
      <c r="Q36">
        <v>16</v>
      </c>
      <c r="R36">
        <f t="shared" si="1"/>
        <v>1.0621440000000002</v>
      </c>
    </row>
    <row r="37" spans="1:18" ht="14.95" x14ac:dyDescent="0.25">
      <c r="A37" s="42" t="s">
        <v>225</v>
      </c>
      <c r="B37" s="33"/>
      <c r="C37" s="43" t="s">
        <v>226</v>
      </c>
      <c r="D37" s="34" t="s">
        <v>192</v>
      </c>
      <c r="E37" s="34">
        <v>2</v>
      </c>
      <c r="F37" s="34">
        <v>100</v>
      </c>
      <c r="G37" s="34">
        <v>10</v>
      </c>
      <c r="H37" s="34">
        <v>138.6</v>
      </c>
      <c r="I37" s="34">
        <v>1.1000000000000001</v>
      </c>
      <c r="J37" s="34">
        <v>2.2000000000000002</v>
      </c>
      <c r="K37" s="34">
        <v>1.1000000000000001</v>
      </c>
      <c r="L37" s="34">
        <v>2.2000000000000002</v>
      </c>
      <c r="M37" s="34">
        <v>0.06</v>
      </c>
      <c r="N37" s="36">
        <v>750</v>
      </c>
      <c r="P37" s="23">
        <f t="shared" si="0"/>
        <v>5.5440000000000003E-2</v>
      </c>
      <c r="Q37">
        <v>16</v>
      </c>
      <c r="R37">
        <f t="shared" si="1"/>
        <v>1.0644480000000001</v>
      </c>
    </row>
    <row r="38" spans="1:18" ht="14.95" x14ac:dyDescent="0.25">
      <c r="A38" s="32" t="s">
        <v>227</v>
      </c>
      <c r="B38" s="33"/>
      <c r="C38" s="43" t="s">
        <v>228</v>
      </c>
      <c r="D38" s="34" t="s">
        <v>79</v>
      </c>
      <c r="E38" s="34">
        <v>1</v>
      </c>
      <c r="F38" s="34">
        <v>12110</v>
      </c>
      <c r="G38" s="34">
        <v>100</v>
      </c>
      <c r="H38" s="34">
        <v>200</v>
      </c>
      <c r="I38" s="34">
        <v>432</v>
      </c>
      <c r="J38" s="34">
        <v>432</v>
      </c>
      <c r="K38" s="34">
        <v>411.1</v>
      </c>
      <c r="L38" s="34">
        <v>411.1</v>
      </c>
      <c r="M38" s="34">
        <v>6.85</v>
      </c>
      <c r="N38" s="36">
        <v>700</v>
      </c>
      <c r="P38" s="23">
        <f xml:space="preserve"> 0.566*F38*E38/10^3</f>
        <v>6.8542599999999991</v>
      </c>
      <c r="Q38">
        <v>40.6</v>
      </c>
      <c r="R38">
        <f t="shared" si="1"/>
        <v>333.93954719999994</v>
      </c>
    </row>
    <row r="39" spans="1:18" ht="14.95" x14ac:dyDescent="0.25">
      <c r="A39" s="32" t="s">
        <v>227</v>
      </c>
      <c r="B39" s="33"/>
      <c r="C39" s="43" t="s">
        <v>228</v>
      </c>
      <c r="D39" s="34" t="s">
        <v>79</v>
      </c>
      <c r="E39" s="34">
        <v>2</v>
      </c>
      <c r="F39" s="34">
        <v>12110</v>
      </c>
      <c r="G39" s="34">
        <v>100</v>
      </c>
      <c r="H39" s="34">
        <v>200</v>
      </c>
      <c r="I39" s="34">
        <v>432</v>
      </c>
      <c r="J39" s="34">
        <v>863.9</v>
      </c>
      <c r="K39" s="34">
        <v>411.1</v>
      </c>
      <c r="L39" s="34">
        <v>822.1</v>
      </c>
      <c r="M39" s="34">
        <v>13.71</v>
      </c>
      <c r="N39" s="36">
        <v>700</v>
      </c>
      <c r="P39" s="23">
        <f xml:space="preserve"> 0.566*F39*E39/10^3</f>
        <v>13.708519999999998</v>
      </c>
      <c r="Q39">
        <v>40.6</v>
      </c>
      <c r="R39">
        <f t="shared" si="1"/>
        <v>667.87909439999987</v>
      </c>
    </row>
    <row r="40" spans="1:18" ht="14.95" x14ac:dyDescent="0.25">
      <c r="A40" s="32" t="s">
        <v>227</v>
      </c>
      <c r="B40" s="33"/>
      <c r="C40" s="43" t="s">
        <v>228</v>
      </c>
      <c r="D40" s="34" t="s">
        <v>79</v>
      </c>
      <c r="E40" s="34">
        <v>3</v>
      </c>
      <c r="F40" s="34">
        <v>12110</v>
      </c>
      <c r="G40" s="34">
        <v>100</v>
      </c>
      <c r="H40" s="34">
        <v>200</v>
      </c>
      <c r="I40" s="34">
        <v>432</v>
      </c>
      <c r="J40" s="34">
        <v>1295.9000000000001</v>
      </c>
      <c r="K40" s="34">
        <v>411.1</v>
      </c>
      <c r="L40" s="34">
        <v>1233.2</v>
      </c>
      <c r="M40" s="34">
        <v>20.56</v>
      </c>
      <c r="N40" s="36">
        <v>700</v>
      </c>
      <c r="P40" s="23">
        <f xml:space="preserve"> 0.566*F40*E40/10^3</f>
        <v>20.56278</v>
      </c>
      <c r="Q40">
        <v>40.6</v>
      </c>
      <c r="R40">
        <f t="shared" si="1"/>
        <v>1001.8186416</v>
      </c>
    </row>
    <row r="41" spans="1:18" ht="14.95" x14ac:dyDescent="0.25">
      <c r="A41" s="32" t="s">
        <v>229</v>
      </c>
      <c r="B41" s="33"/>
      <c r="C41" s="43" t="s">
        <v>230</v>
      </c>
      <c r="D41" s="34" t="s">
        <v>79</v>
      </c>
      <c r="E41" s="34">
        <v>1</v>
      </c>
      <c r="F41" s="34">
        <v>132.4</v>
      </c>
      <c r="G41" s="34">
        <v>100</v>
      </c>
      <c r="H41" s="34">
        <v>100</v>
      </c>
      <c r="I41" s="34">
        <v>1.9</v>
      </c>
      <c r="J41" s="34">
        <v>1.9</v>
      </c>
      <c r="K41" s="34">
        <v>1.9</v>
      </c>
      <c r="L41" s="34">
        <v>1.9</v>
      </c>
      <c r="M41" s="34">
        <v>0.05</v>
      </c>
      <c r="N41" s="36">
        <v>700</v>
      </c>
      <c r="P41" s="23">
        <f xml:space="preserve"> 0.383*F41*E41/10^3</f>
        <v>5.0709200000000003E-2</v>
      </c>
      <c r="Q41">
        <v>62</v>
      </c>
      <c r="R41">
        <f t="shared" si="1"/>
        <v>3.7727644800000002</v>
      </c>
    </row>
    <row r="42" spans="1:18" ht="14.95" x14ac:dyDescent="0.25">
      <c r="A42" s="32" t="s">
        <v>229</v>
      </c>
      <c r="B42" s="33"/>
      <c r="C42" s="43" t="s">
        <v>230</v>
      </c>
      <c r="D42" s="34" t="s">
        <v>79</v>
      </c>
      <c r="E42" s="34">
        <v>1</v>
      </c>
      <c r="F42" s="34">
        <v>132.4</v>
      </c>
      <c r="G42" s="34">
        <v>100</v>
      </c>
      <c r="H42" s="34">
        <v>100</v>
      </c>
      <c r="I42" s="34">
        <v>1.9</v>
      </c>
      <c r="J42" s="34">
        <v>1.9</v>
      </c>
      <c r="K42" s="34">
        <v>1.9</v>
      </c>
      <c r="L42" s="34">
        <v>1.9</v>
      </c>
      <c r="M42" s="34">
        <v>0.05</v>
      </c>
      <c r="N42" s="36">
        <v>700</v>
      </c>
      <c r="P42" s="23">
        <f xml:space="preserve"> 0.383*F42*E42/10^3</f>
        <v>5.0709200000000003E-2</v>
      </c>
      <c r="Q42">
        <v>62</v>
      </c>
      <c r="R42">
        <f t="shared" si="1"/>
        <v>3.7727644800000002</v>
      </c>
    </row>
    <row r="43" spans="1:18" ht="14.95" x14ac:dyDescent="0.25">
      <c r="A43" s="32" t="s">
        <v>229</v>
      </c>
      <c r="B43" s="33"/>
      <c r="C43" s="43" t="s">
        <v>230</v>
      </c>
      <c r="D43" s="34" t="s">
        <v>79</v>
      </c>
      <c r="E43" s="34">
        <v>2</v>
      </c>
      <c r="F43" s="34">
        <v>132.4</v>
      </c>
      <c r="G43" s="34">
        <v>100</v>
      </c>
      <c r="H43" s="34">
        <v>100</v>
      </c>
      <c r="I43" s="34">
        <v>1.9</v>
      </c>
      <c r="J43" s="34">
        <v>3.9</v>
      </c>
      <c r="K43" s="34">
        <v>1.9</v>
      </c>
      <c r="L43" s="34">
        <v>3.8</v>
      </c>
      <c r="M43" s="34">
        <v>0.1</v>
      </c>
      <c r="N43" s="36">
        <v>700</v>
      </c>
      <c r="P43" s="23">
        <f xml:space="preserve"> 0.383*F43*E43/10^3</f>
        <v>0.10141840000000001</v>
      </c>
      <c r="Q43">
        <v>62</v>
      </c>
      <c r="R43">
        <f t="shared" si="1"/>
        <v>7.5455289600000004</v>
      </c>
    </row>
    <row r="44" spans="1:18" ht="14.95" x14ac:dyDescent="0.25">
      <c r="A44" s="32" t="s">
        <v>229</v>
      </c>
      <c r="B44" s="33"/>
      <c r="C44" s="43" t="s">
        <v>230</v>
      </c>
      <c r="D44" s="34" t="s">
        <v>79</v>
      </c>
      <c r="E44" s="34">
        <v>2</v>
      </c>
      <c r="F44" s="34">
        <v>132.4</v>
      </c>
      <c r="G44" s="34">
        <v>100</v>
      </c>
      <c r="H44" s="34">
        <v>100</v>
      </c>
      <c r="I44" s="34">
        <v>1.9</v>
      </c>
      <c r="J44" s="34">
        <v>3.9</v>
      </c>
      <c r="K44" s="34">
        <v>1.9</v>
      </c>
      <c r="L44" s="34">
        <v>3.8</v>
      </c>
      <c r="M44" s="34">
        <v>0.1</v>
      </c>
      <c r="N44" s="36">
        <v>700</v>
      </c>
      <c r="P44" s="23">
        <f xml:space="preserve"> 0.383*F44*E44/10^3</f>
        <v>0.10141840000000001</v>
      </c>
      <c r="Q44">
        <v>62</v>
      </c>
      <c r="R44">
        <f t="shared" si="1"/>
        <v>7.5455289600000004</v>
      </c>
    </row>
    <row r="45" spans="1:18" ht="14.95" x14ac:dyDescent="0.25">
      <c r="A45" s="32" t="s">
        <v>231</v>
      </c>
      <c r="B45" s="33"/>
      <c r="C45" s="43" t="s">
        <v>228</v>
      </c>
      <c r="D45" s="34" t="s">
        <v>79</v>
      </c>
      <c r="E45" s="34">
        <v>1</v>
      </c>
      <c r="F45" s="34">
        <v>11960</v>
      </c>
      <c r="G45" s="34">
        <v>100</v>
      </c>
      <c r="H45" s="34">
        <v>200</v>
      </c>
      <c r="I45" s="34">
        <v>426.6</v>
      </c>
      <c r="J45" s="34">
        <v>426.6</v>
      </c>
      <c r="K45" s="34">
        <v>406</v>
      </c>
      <c r="L45" s="34">
        <v>406</v>
      </c>
      <c r="M45" s="34">
        <v>6.77</v>
      </c>
      <c r="N45" s="36">
        <v>700</v>
      </c>
      <c r="P45" s="23">
        <f xml:space="preserve"> 0.566*F45*E45/10^3</f>
        <v>6.7693599999999998</v>
      </c>
      <c r="Q45">
        <v>40.6</v>
      </c>
      <c r="R45">
        <f t="shared" si="1"/>
        <v>329.8032192</v>
      </c>
    </row>
    <row r="46" spans="1:18" ht="14.95" x14ac:dyDescent="0.25">
      <c r="A46" s="32" t="s">
        <v>231</v>
      </c>
      <c r="B46" s="33"/>
      <c r="C46" s="43" t="s">
        <v>228</v>
      </c>
      <c r="D46" s="34" t="s">
        <v>79</v>
      </c>
      <c r="E46" s="34">
        <v>2</v>
      </c>
      <c r="F46" s="34">
        <v>11960</v>
      </c>
      <c r="G46" s="34">
        <v>100</v>
      </c>
      <c r="H46" s="34">
        <v>200</v>
      </c>
      <c r="I46" s="34">
        <v>426.6</v>
      </c>
      <c r="J46" s="34">
        <v>853.2</v>
      </c>
      <c r="K46" s="34">
        <v>406</v>
      </c>
      <c r="L46" s="34">
        <v>811.9</v>
      </c>
      <c r="M46" s="34">
        <v>13.54</v>
      </c>
      <c r="N46" s="36">
        <v>700</v>
      </c>
      <c r="P46" s="23">
        <f xml:space="preserve"> 0.566*F46*E46/10^3</f>
        <v>13.53872</v>
      </c>
      <c r="Q46">
        <v>40.6</v>
      </c>
      <c r="R46">
        <f t="shared" si="1"/>
        <v>659.6064384</v>
      </c>
    </row>
    <row r="47" spans="1:18" ht="14.95" x14ac:dyDescent="0.25">
      <c r="A47" s="32" t="s">
        <v>231</v>
      </c>
      <c r="B47" s="33"/>
      <c r="C47" s="43" t="s">
        <v>228</v>
      </c>
      <c r="D47" s="34" t="s">
        <v>79</v>
      </c>
      <c r="E47" s="34">
        <v>3</v>
      </c>
      <c r="F47" s="34">
        <v>11960</v>
      </c>
      <c r="G47" s="34">
        <v>100</v>
      </c>
      <c r="H47" s="34">
        <v>200</v>
      </c>
      <c r="I47" s="34">
        <v>426.6</v>
      </c>
      <c r="J47" s="34">
        <v>1279.9000000000001</v>
      </c>
      <c r="K47" s="34">
        <v>406</v>
      </c>
      <c r="L47" s="34">
        <v>1217.9000000000001</v>
      </c>
      <c r="M47" s="34">
        <v>20.309999999999999</v>
      </c>
      <c r="N47" s="36">
        <v>700</v>
      </c>
      <c r="P47" s="23">
        <f xml:space="preserve"> 0.566*F47*E47/10^3</f>
        <v>20.308079999999997</v>
      </c>
      <c r="Q47">
        <v>40.6</v>
      </c>
      <c r="R47">
        <f t="shared" si="1"/>
        <v>989.40965759999983</v>
      </c>
    </row>
    <row r="48" spans="1:18" x14ac:dyDescent="0.25">
      <c r="A48" s="42" t="s">
        <v>232</v>
      </c>
      <c r="B48" s="33"/>
      <c r="C48" s="43" t="s">
        <v>230</v>
      </c>
      <c r="D48" s="34" t="s">
        <v>79</v>
      </c>
      <c r="E48" s="34">
        <v>1</v>
      </c>
      <c r="F48" s="34">
        <v>41.4</v>
      </c>
      <c r="G48" s="34">
        <v>100</v>
      </c>
      <c r="H48" s="34">
        <v>100</v>
      </c>
      <c r="I48" s="34">
        <v>0.6</v>
      </c>
      <c r="J48" s="34">
        <v>0.6</v>
      </c>
      <c r="K48" s="34">
        <v>0.6</v>
      </c>
      <c r="L48" s="34">
        <v>0.6</v>
      </c>
      <c r="M48" s="34">
        <v>0.02</v>
      </c>
      <c r="N48" s="36">
        <v>750</v>
      </c>
      <c r="P48" s="23">
        <f xml:space="preserve"> 0.383*F48*E48/10^3</f>
        <v>1.5856200000000001E-2</v>
      </c>
      <c r="Q48">
        <v>54.2</v>
      </c>
      <c r="R48">
        <f t="shared" si="1"/>
        <v>1.0312872480000002</v>
      </c>
    </row>
    <row r="49" spans="1:18" x14ac:dyDescent="0.25">
      <c r="A49" s="42" t="s">
        <v>232</v>
      </c>
      <c r="B49" s="33"/>
      <c r="C49" s="43" t="s">
        <v>230</v>
      </c>
      <c r="D49" s="34" t="s">
        <v>79</v>
      </c>
      <c r="E49" s="34">
        <v>1</v>
      </c>
      <c r="F49" s="34">
        <v>41.4</v>
      </c>
      <c r="G49" s="34">
        <v>100</v>
      </c>
      <c r="H49" s="34">
        <v>100</v>
      </c>
      <c r="I49" s="34">
        <v>0.6</v>
      </c>
      <c r="J49" s="34">
        <v>0.6</v>
      </c>
      <c r="K49" s="34">
        <v>0.6</v>
      </c>
      <c r="L49" s="34">
        <v>0.6</v>
      </c>
      <c r="M49" s="34">
        <v>0.02</v>
      </c>
      <c r="N49" s="36">
        <v>750</v>
      </c>
      <c r="P49" s="23">
        <f xml:space="preserve"> 0.383*F49*E49/10^3</f>
        <v>1.5856200000000001E-2</v>
      </c>
      <c r="Q49">
        <v>54.2</v>
      </c>
      <c r="R49">
        <f t="shared" si="1"/>
        <v>1.0312872480000002</v>
      </c>
    </row>
    <row r="50" spans="1:18" x14ac:dyDescent="0.25">
      <c r="A50" s="42" t="s">
        <v>232</v>
      </c>
      <c r="B50" s="33"/>
      <c r="C50" s="43" t="s">
        <v>230</v>
      </c>
      <c r="D50" s="34" t="s">
        <v>79</v>
      </c>
      <c r="E50" s="34">
        <v>2</v>
      </c>
      <c r="F50" s="34">
        <v>41.4</v>
      </c>
      <c r="G50" s="34">
        <v>100</v>
      </c>
      <c r="H50" s="34">
        <v>100</v>
      </c>
      <c r="I50" s="34">
        <v>0.6</v>
      </c>
      <c r="J50" s="34">
        <v>1.2</v>
      </c>
      <c r="K50" s="34">
        <v>0.6</v>
      </c>
      <c r="L50" s="34">
        <v>1.2</v>
      </c>
      <c r="M50" s="34">
        <v>0.03</v>
      </c>
      <c r="N50" s="36">
        <v>750</v>
      </c>
      <c r="P50" s="23">
        <f xml:space="preserve"> 0.383*F50*E50/10^3</f>
        <v>3.1712400000000002E-2</v>
      </c>
      <c r="Q50">
        <v>54.2</v>
      </c>
      <c r="R50">
        <f t="shared" si="1"/>
        <v>2.0625744960000003</v>
      </c>
    </row>
    <row r="51" spans="1:18" x14ac:dyDescent="0.25">
      <c r="A51" s="42" t="s">
        <v>232</v>
      </c>
      <c r="B51" s="33"/>
      <c r="C51" s="43" t="s">
        <v>230</v>
      </c>
      <c r="D51" s="34" t="s">
        <v>79</v>
      </c>
      <c r="E51" s="34">
        <v>2</v>
      </c>
      <c r="F51" s="34">
        <v>41.4</v>
      </c>
      <c r="G51" s="34">
        <v>100</v>
      </c>
      <c r="H51" s="34">
        <v>100</v>
      </c>
      <c r="I51" s="34">
        <v>0.6</v>
      </c>
      <c r="J51" s="34">
        <v>1.2</v>
      </c>
      <c r="K51" s="34">
        <v>0.6</v>
      </c>
      <c r="L51" s="34">
        <v>1.2</v>
      </c>
      <c r="M51" s="34">
        <v>0.03</v>
      </c>
      <c r="N51" s="36">
        <v>750</v>
      </c>
      <c r="P51" s="23">
        <f xml:space="preserve"> 0.383*F51*E51/10^3</f>
        <v>3.1712400000000002E-2</v>
      </c>
      <c r="Q51">
        <v>54.2</v>
      </c>
      <c r="R51">
        <f t="shared" si="1"/>
        <v>2.0625744960000003</v>
      </c>
    </row>
    <row r="52" spans="1:18" x14ac:dyDescent="0.25">
      <c r="A52" s="42" t="s">
        <v>233</v>
      </c>
      <c r="B52" s="33"/>
      <c r="C52" s="43" t="s">
        <v>234</v>
      </c>
      <c r="D52" s="34" t="s">
        <v>235</v>
      </c>
      <c r="E52" s="34">
        <v>1</v>
      </c>
      <c r="F52" s="34">
        <v>6946.3</v>
      </c>
      <c r="G52" s="34">
        <v>100</v>
      </c>
      <c r="H52" s="34">
        <v>100</v>
      </c>
      <c r="I52" s="34">
        <v>83.8</v>
      </c>
      <c r="J52" s="34">
        <v>83.8</v>
      </c>
      <c r="K52" s="34">
        <v>81.5</v>
      </c>
      <c r="L52" s="34">
        <v>81.5</v>
      </c>
      <c r="M52" s="34">
        <v>2.68</v>
      </c>
      <c r="N52" s="36">
        <v>750</v>
      </c>
      <c r="P52" s="23">
        <f t="shared" ref="P52:P63" si="2" xml:space="preserve"> 0.386*F52*E52/10^3</f>
        <v>2.6812718000000002</v>
      </c>
      <c r="Q52">
        <v>128.4</v>
      </c>
      <c r="R52">
        <f t="shared" si="1"/>
        <v>413.13035894400008</v>
      </c>
    </row>
    <row r="53" spans="1:18" x14ac:dyDescent="0.25">
      <c r="A53" s="42" t="s">
        <v>236</v>
      </c>
      <c r="B53" s="33"/>
      <c r="C53" s="43" t="s">
        <v>234</v>
      </c>
      <c r="D53" s="34" t="s">
        <v>235</v>
      </c>
      <c r="E53" s="34">
        <v>1</v>
      </c>
      <c r="F53" s="34">
        <v>6913.4</v>
      </c>
      <c r="G53" s="34">
        <v>100</v>
      </c>
      <c r="H53" s="34">
        <v>100</v>
      </c>
      <c r="I53" s="34">
        <v>83.4</v>
      </c>
      <c r="J53" s="34">
        <v>83.4</v>
      </c>
      <c r="K53" s="34">
        <v>81.099999999999994</v>
      </c>
      <c r="L53" s="34">
        <v>81.099999999999994</v>
      </c>
      <c r="M53" s="34">
        <v>2.67</v>
      </c>
      <c r="N53" s="36">
        <v>750</v>
      </c>
      <c r="P53" s="23">
        <f t="shared" si="2"/>
        <v>2.6685724</v>
      </c>
      <c r="Q53">
        <v>128.4</v>
      </c>
      <c r="R53">
        <f t="shared" si="1"/>
        <v>411.17363539199999</v>
      </c>
    </row>
    <row r="54" spans="1:18" x14ac:dyDescent="0.25">
      <c r="A54" s="42" t="s">
        <v>237</v>
      </c>
      <c r="B54" s="33"/>
      <c r="C54" s="43" t="s">
        <v>234</v>
      </c>
      <c r="D54" s="34" t="s">
        <v>235</v>
      </c>
      <c r="E54" s="34">
        <v>1</v>
      </c>
      <c r="F54" s="34">
        <v>6940.3</v>
      </c>
      <c r="G54" s="34">
        <v>100</v>
      </c>
      <c r="H54" s="34">
        <v>100</v>
      </c>
      <c r="I54" s="34">
        <v>83.7</v>
      </c>
      <c r="J54" s="34">
        <v>83.7</v>
      </c>
      <c r="K54" s="34">
        <v>81.400000000000006</v>
      </c>
      <c r="L54" s="34">
        <v>81.400000000000006</v>
      </c>
      <c r="M54" s="34">
        <v>2.68</v>
      </c>
      <c r="N54" s="36">
        <v>750</v>
      </c>
      <c r="P54" s="23">
        <f t="shared" si="2"/>
        <v>2.6789558000000002</v>
      </c>
      <c r="Q54">
        <v>128.4</v>
      </c>
      <c r="R54">
        <f t="shared" si="1"/>
        <v>412.77350966400002</v>
      </c>
    </row>
    <row r="55" spans="1:18" x14ac:dyDescent="0.25">
      <c r="A55" s="42" t="s">
        <v>238</v>
      </c>
      <c r="B55" s="33"/>
      <c r="C55" s="43" t="s">
        <v>234</v>
      </c>
      <c r="D55" s="34" t="s">
        <v>235</v>
      </c>
      <c r="E55" s="34">
        <v>1</v>
      </c>
      <c r="F55" s="34">
        <v>6917.5</v>
      </c>
      <c r="G55" s="34">
        <v>100</v>
      </c>
      <c r="H55" s="34">
        <v>100</v>
      </c>
      <c r="I55" s="34">
        <v>83.4</v>
      </c>
      <c r="J55" s="34">
        <v>83.4</v>
      </c>
      <c r="K55" s="34">
        <v>81.2</v>
      </c>
      <c r="L55" s="34">
        <v>81.2</v>
      </c>
      <c r="M55" s="34">
        <v>2.67</v>
      </c>
      <c r="N55" s="36">
        <v>750</v>
      </c>
      <c r="P55" s="23">
        <f t="shared" si="2"/>
        <v>2.6701550000000003</v>
      </c>
      <c r="Q55">
        <v>128.4</v>
      </c>
      <c r="R55">
        <f t="shared" si="1"/>
        <v>411.41748240000004</v>
      </c>
    </row>
    <row r="56" spans="1:18" x14ac:dyDescent="0.25">
      <c r="A56" s="42" t="s">
        <v>239</v>
      </c>
      <c r="B56" s="33"/>
      <c r="C56" s="43" t="s">
        <v>234</v>
      </c>
      <c r="D56" s="34" t="s">
        <v>235</v>
      </c>
      <c r="E56" s="34">
        <v>1</v>
      </c>
      <c r="F56" s="34">
        <v>6944.2</v>
      </c>
      <c r="G56" s="34">
        <v>100</v>
      </c>
      <c r="H56" s="34">
        <v>100</v>
      </c>
      <c r="I56" s="34">
        <v>83.7</v>
      </c>
      <c r="J56" s="34">
        <v>83.7</v>
      </c>
      <c r="K56" s="34">
        <v>81.5</v>
      </c>
      <c r="L56" s="34">
        <v>81.5</v>
      </c>
      <c r="M56" s="34">
        <v>2.68</v>
      </c>
      <c r="N56" s="36">
        <v>750</v>
      </c>
      <c r="P56" s="23">
        <f t="shared" si="2"/>
        <v>2.6804612000000003</v>
      </c>
      <c r="Q56">
        <v>128.4</v>
      </c>
      <c r="R56">
        <f t="shared" si="1"/>
        <v>413.00546169600005</v>
      </c>
    </row>
    <row r="57" spans="1:18" x14ac:dyDescent="0.25">
      <c r="A57" s="42" t="s">
        <v>239</v>
      </c>
      <c r="B57" s="33"/>
      <c r="C57" s="43" t="s">
        <v>234</v>
      </c>
      <c r="D57" s="34" t="s">
        <v>235</v>
      </c>
      <c r="E57" s="34">
        <v>1</v>
      </c>
      <c r="F57" s="34">
        <v>6944.3</v>
      </c>
      <c r="G57" s="34">
        <v>100</v>
      </c>
      <c r="H57" s="34">
        <v>100</v>
      </c>
      <c r="I57" s="34">
        <v>83.7</v>
      </c>
      <c r="J57" s="34">
        <v>83.7</v>
      </c>
      <c r="K57" s="34">
        <v>81.5</v>
      </c>
      <c r="L57" s="34">
        <v>81.5</v>
      </c>
      <c r="M57" s="34">
        <v>2.68</v>
      </c>
      <c r="N57" s="36">
        <v>750</v>
      </c>
      <c r="P57" s="23">
        <f t="shared" si="2"/>
        <v>2.6804998000000002</v>
      </c>
      <c r="Q57">
        <v>128.4</v>
      </c>
      <c r="R57">
        <f t="shared" si="1"/>
        <v>413.011409184</v>
      </c>
    </row>
    <row r="58" spans="1:18" x14ac:dyDescent="0.25">
      <c r="A58" s="42" t="s">
        <v>239</v>
      </c>
      <c r="B58" s="33"/>
      <c r="C58" s="43" t="s">
        <v>234</v>
      </c>
      <c r="D58" s="34" t="s">
        <v>235</v>
      </c>
      <c r="E58" s="34">
        <v>1</v>
      </c>
      <c r="F58" s="34">
        <v>6945</v>
      </c>
      <c r="G58" s="34">
        <v>100</v>
      </c>
      <c r="H58" s="34">
        <v>100</v>
      </c>
      <c r="I58" s="34">
        <v>83.7</v>
      </c>
      <c r="J58" s="34">
        <v>83.7</v>
      </c>
      <c r="K58" s="34">
        <v>81.5</v>
      </c>
      <c r="L58" s="34">
        <v>81.5</v>
      </c>
      <c r="M58" s="34">
        <v>2.68</v>
      </c>
      <c r="N58" s="36">
        <v>750</v>
      </c>
      <c r="P58" s="23">
        <f t="shared" si="2"/>
        <v>2.6807699999999999</v>
      </c>
      <c r="Q58">
        <v>128.4</v>
      </c>
      <c r="R58">
        <f t="shared" si="1"/>
        <v>413.05304159999997</v>
      </c>
    </row>
    <row r="59" spans="1:18" x14ac:dyDescent="0.25">
      <c r="A59" s="42" t="s">
        <v>239</v>
      </c>
      <c r="B59" s="33"/>
      <c r="C59" s="43" t="s">
        <v>234</v>
      </c>
      <c r="D59" s="34" t="s">
        <v>235</v>
      </c>
      <c r="E59" s="34">
        <v>1</v>
      </c>
      <c r="F59" s="34">
        <v>6945</v>
      </c>
      <c r="G59" s="34">
        <v>100</v>
      </c>
      <c r="H59" s="34">
        <v>100</v>
      </c>
      <c r="I59" s="34">
        <v>83.7</v>
      </c>
      <c r="J59" s="34">
        <v>83.7</v>
      </c>
      <c r="K59" s="34">
        <v>81.5</v>
      </c>
      <c r="L59" s="34">
        <v>81.5</v>
      </c>
      <c r="M59" s="34">
        <v>2.68</v>
      </c>
      <c r="N59" s="36">
        <v>750</v>
      </c>
      <c r="P59" s="23">
        <f t="shared" si="2"/>
        <v>2.6807699999999999</v>
      </c>
      <c r="Q59">
        <v>128.4</v>
      </c>
      <c r="R59">
        <f t="shared" si="1"/>
        <v>413.05304159999997</v>
      </c>
    </row>
    <row r="60" spans="1:18" x14ac:dyDescent="0.25">
      <c r="A60" s="42" t="s">
        <v>240</v>
      </c>
      <c r="B60" s="33"/>
      <c r="C60" s="43" t="s">
        <v>234</v>
      </c>
      <c r="D60" s="34" t="s">
        <v>235</v>
      </c>
      <c r="E60" s="34">
        <v>1</v>
      </c>
      <c r="F60" s="34">
        <v>6760.5</v>
      </c>
      <c r="G60" s="34">
        <v>100</v>
      </c>
      <c r="H60" s="34">
        <v>100</v>
      </c>
      <c r="I60" s="34">
        <v>81.5</v>
      </c>
      <c r="J60" s="34">
        <v>81.5</v>
      </c>
      <c r="K60" s="34">
        <v>79.3</v>
      </c>
      <c r="L60" s="34">
        <v>79.3</v>
      </c>
      <c r="M60" s="34">
        <v>2.61</v>
      </c>
      <c r="N60" s="36">
        <v>750</v>
      </c>
      <c r="P60" s="23">
        <f t="shared" si="2"/>
        <v>2.609553</v>
      </c>
      <c r="Q60">
        <v>128.4</v>
      </c>
      <c r="R60">
        <f t="shared" si="1"/>
        <v>402.07992624000002</v>
      </c>
    </row>
    <row r="61" spans="1:18" x14ac:dyDescent="0.25">
      <c r="A61" s="42" t="s">
        <v>240</v>
      </c>
      <c r="B61" s="33"/>
      <c r="C61" s="43" t="s">
        <v>234</v>
      </c>
      <c r="D61" s="34" t="s">
        <v>235</v>
      </c>
      <c r="E61" s="34">
        <v>1</v>
      </c>
      <c r="F61" s="34">
        <v>6760.5</v>
      </c>
      <c r="G61" s="34">
        <v>100</v>
      </c>
      <c r="H61" s="34">
        <v>100</v>
      </c>
      <c r="I61" s="34">
        <v>81.5</v>
      </c>
      <c r="J61" s="34">
        <v>81.5</v>
      </c>
      <c r="K61" s="34">
        <v>79.3</v>
      </c>
      <c r="L61" s="34">
        <v>79.3</v>
      </c>
      <c r="M61" s="34">
        <v>2.61</v>
      </c>
      <c r="N61" s="36">
        <v>750</v>
      </c>
      <c r="P61" s="23">
        <f t="shared" si="2"/>
        <v>2.609553</v>
      </c>
      <c r="Q61">
        <v>128.4</v>
      </c>
      <c r="R61">
        <f t="shared" si="1"/>
        <v>402.07992624000002</v>
      </c>
    </row>
    <row r="62" spans="1:18" x14ac:dyDescent="0.25">
      <c r="A62" s="42" t="s">
        <v>240</v>
      </c>
      <c r="B62" s="33"/>
      <c r="C62" s="43" t="s">
        <v>234</v>
      </c>
      <c r="D62" s="34" t="s">
        <v>235</v>
      </c>
      <c r="E62" s="34">
        <v>1</v>
      </c>
      <c r="F62" s="34">
        <v>6760.7</v>
      </c>
      <c r="G62" s="34">
        <v>100</v>
      </c>
      <c r="H62" s="34">
        <v>100</v>
      </c>
      <c r="I62" s="34">
        <v>81.5</v>
      </c>
      <c r="J62" s="34">
        <v>81.5</v>
      </c>
      <c r="K62" s="34">
        <v>79.3</v>
      </c>
      <c r="L62" s="34">
        <v>79.3</v>
      </c>
      <c r="M62" s="34">
        <v>2.61</v>
      </c>
      <c r="N62" s="36">
        <v>750</v>
      </c>
      <c r="P62" s="23">
        <f t="shared" si="2"/>
        <v>2.6096302000000002</v>
      </c>
      <c r="Q62">
        <v>128.4</v>
      </c>
      <c r="R62">
        <f t="shared" si="1"/>
        <v>402.09182121600003</v>
      </c>
    </row>
    <row r="63" spans="1:18" x14ac:dyDescent="0.25">
      <c r="A63" s="42" t="s">
        <v>240</v>
      </c>
      <c r="B63" s="33"/>
      <c r="C63" s="43" t="s">
        <v>234</v>
      </c>
      <c r="D63" s="34" t="s">
        <v>235</v>
      </c>
      <c r="E63" s="34">
        <v>1</v>
      </c>
      <c r="F63" s="34">
        <v>6760.7</v>
      </c>
      <c r="G63" s="34">
        <v>100</v>
      </c>
      <c r="H63" s="34">
        <v>100</v>
      </c>
      <c r="I63" s="34">
        <v>81.5</v>
      </c>
      <c r="J63" s="34">
        <v>81.5</v>
      </c>
      <c r="K63" s="34">
        <v>79.3</v>
      </c>
      <c r="L63" s="34">
        <v>79.3</v>
      </c>
      <c r="M63" s="34">
        <v>2.61</v>
      </c>
      <c r="N63" s="36">
        <v>750</v>
      </c>
      <c r="P63" s="23">
        <f t="shared" si="2"/>
        <v>2.6096302000000002</v>
      </c>
      <c r="Q63">
        <v>128.4</v>
      </c>
      <c r="R63">
        <f t="shared" si="1"/>
        <v>402.09182121600003</v>
      </c>
    </row>
    <row r="64" spans="1:18" x14ac:dyDescent="0.25">
      <c r="A64" s="42" t="s">
        <v>241</v>
      </c>
      <c r="B64" s="33"/>
      <c r="C64" s="43" t="s">
        <v>230</v>
      </c>
      <c r="D64" s="34" t="s">
        <v>79</v>
      </c>
      <c r="E64" s="34">
        <v>1</v>
      </c>
      <c r="F64" s="34">
        <v>137.30000000000001</v>
      </c>
      <c r="G64" s="34">
        <v>100</v>
      </c>
      <c r="H64" s="34">
        <v>100</v>
      </c>
      <c r="I64" s="34">
        <v>2</v>
      </c>
      <c r="J64" s="34">
        <v>2</v>
      </c>
      <c r="K64" s="34">
        <v>2</v>
      </c>
      <c r="L64" s="34">
        <v>2</v>
      </c>
      <c r="M64" s="34">
        <v>0.05</v>
      </c>
      <c r="N64" s="36">
        <v>750</v>
      </c>
      <c r="P64" s="23">
        <f t="shared" ref="P64:P78" si="3" xml:space="preserve"> 0.383*F64*E64/10^3</f>
        <v>5.2585900000000005E-2</v>
      </c>
      <c r="Q64">
        <v>54.2</v>
      </c>
      <c r="R64">
        <f t="shared" si="1"/>
        <v>3.4201869360000008</v>
      </c>
    </row>
    <row r="65" spans="1:18" x14ac:dyDescent="0.25">
      <c r="A65" s="42" t="s">
        <v>241</v>
      </c>
      <c r="B65" s="33"/>
      <c r="C65" s="43" t="s">
        <v>230</v>
      </c>
      <c r="D65" s="34" t="s">
        <v>79</v>
      </c>
      <c r="E65" s="34">
        <v>1</v>
      </c>
      <c r="F65" s="34">
        <v>137.30000000000001</v>
      </c>
      <c r="G65" s="34">
        <v>100</v>
      </c>
      <c r="H65" s="34">
        <v>100</v>
      </c>
      <c r="I65" s="34">
        <v>2</v>
      </c>
      <c r="J65" s="34">
        <v>2</v>
      </c>
      <c r="K65" s="34">
        <v>2</v>
      </c>
      <c r="L65" s="34">
        <v>2</v>
      </c>
      <c r="M65" s="34">
        <v>0.05</v>
      </c>
      <c r="N65" s="36">
        <v>750</v>
      </c>
      <c r="P65" s="23">
        <f t="shared" si="3"/>
        <v>5.2585900000000005E-2</v>
      </c>
      <c r="Q65">
        <v>54.2</v>
      </c>
      <c r="R65">
        <f t="shared" si="1"/>
        <v>3.4201869360000008</v>
      </c>
    </row>
    <row r="66" spans="1:18" x14ac:dyDescent="0.25">
      <c r="A66" s="42" t="s">
        <v>241</v>
      </c>
      <c r="B66" s="33"/>
      <c r="C66" s="43" t="s">
        <v>230</v>
      </c>
      <c r="D66" s="34" t="s">
        <v>79</v>
      </c>
      <c r="E66" s="34">
        <v>2</v>
      </c>
      <c r="F66" s="34">
        <v>137.30000000000001</v>
      </c>
      <c r="G66" s="34">
        <v>100</v>
      </c>
      <c r="H66" s="34">
        <v>100</v>
      </c>
      <c r="I66" s="34">
        <v>2</v>
      </c>
      <c r="J66" s="34">
        <v>4</v>
      </c>
      <c r="K66" s="34">
        <v>2</v>
      </c>
      <c r="L66" s="34">
        <v>4</v>
      </c>
      <c r="M66" s="34">
        <v>0.11</v>
      </c>
      <c r="N66" s="36">
        <v>750</v>
      </c>
      <c r="P66" s="23">
        <f t="shared" si="3"/>
        <v>0.10517180000000001</v>
      </c>
      <c r="Q66">
        <v>54.2</v>
      </c>
      <c r="R66">
        <f t="shared" si="1"/>
        <v>6.8403738720000016</v>
      </c>
    </row>
    <row r="67" spans="1:18" x14ac:dyDescent="0.25">
      <c r="A67" s="42" t="s">
        <v>241</v>
      </c>
      <c r="B67" s="33"/>
      <c r="C67" s="43" t="s">
        <v>230</v>
      </c>
      <c r="D67" s="34" t="s">
        <v>79</v>
      </c>
      <c r="E67" s="34">
        <v>2</v>
      </c>
      <c r="F67" s="34">
        <v>137.30000000000001</v>
      </c>
      <c r="G67" s="34">
        <v>100</v>
      </c>
      <c r="H67" s="34">
        <v>100</v>
      </c>
      <c r="I67" s="34">
        <v>2</v>
      </c>
      <c r="J67" s="34">
        <v>4</v>
      </c>
      <c r="K67" s="34">
        <v>2</v>
      </c>
      <c r="L67" s="34">
        <v>4</v>
      </c>
      <c r="M67" s="34">
        <v>0.11</v>
      </c>
      <c r="N67" s="36">
        <v>750</v>
      </c>
      <c r="P67" s="23">
        <f t="shared" si="3"/>
        <v>0.10517180000000001</v>
      </c>
      <c r="Q67">
        <v>54.2</v>
      </c>
      <c r="R67">
        <f t="shared" si="1"/>
        <v>6.8403738720000016</v>
      </c>
    </row>
    <row r="68" spans="1:18" x14ac:dyDescent="0.25">
      <c r="A68" s="42" t="s">
        <v>241</v>
      </c>
      <c r="B68" s="33"/>
      <c r="C68" s="43" t="s">
        <v>230</v>
      </c>
      <c r="D68" s="34" t="s">
        <v>79</v>
      </c>
      <c r="E68" s="34">
        <v>1</v>
      </c>
      <c r="F68" s="34">
        <v>137.4</v>
      </c>
      <c r="G68" s="34">
        <v>100</v>
      </c>
      <c r="H68" s="34">
        <v>100</v>
      </c>
      <c r="I68" s="34">
        <v>2</v>
      </c>
      <c r="J68" s="34">
        <v>2</v>
      </c>
      <c r="K68" s="34">
        <v>2</v>
      </c>
      <c r="L68" s="34">
        <v>2</v>
      </c>
      <c r="M68" s="34">
        <v>0.05</v>
      </c>
      <c r="N68" s="36">
        <v>750</v>
      </c>
      <c r="P68" s="23">
        <f t="shared" si="3"/>
        <v>5.2624200000000003E-2</v>
      </c>
      <c r="Q68">
        <v>54.2</v>
      </c>
      <c r="R68">
        <f t="shared" ref="R68:R131" si="4">Q68*P68*$T$2</f>
        <v>3.4226779680000003</v>
      </c>
    </row>
    <row r="69" spans="1:18" x14ac:dyDescent="0.25">
      <c r="A69" s="42" t="s">
        <v>241</v>
      </c>
      <c r="B69" s="33"/>
      <c r="C69" s="43" t="s">
        <v>230</v>
      </c>
      <c r="D69" s="34" t="s">
        <v>79</v>
      </c>
      <c r="E69" s="34">
        <v>1</v>
      </c>
      <c r="F69" s="34">
        <v>137.5</v>
      </c>
      <c r="G69" s="34">
        <v>100</v>
      </c>
      <c r="H69" s="34">
        <v>100</v>
      </c>
      <c r="I69" s="34">
        <v>2</v>
      </c>
      <c r="J69" s="34">
        <v>2</v>
      </c>
      <c r="K69" s="34">
        <v>2</v>
      </c>
      <c r="L69" s="34">
        <v>2</v>
      </c>
      <c r="M69" s="34">
        <v>0.05</v>
      </c>
      <c r="N69" s="36">
        <v>750</v>
      </c>
      <c r="P69" s="23">
        <f t="shared" si="3"/>
        <v>5.2662500000000001E-2</v>
      </c>
      <c r="Q69">
        <v>54.2</v>
      </c>
      <c r="R69">
        <f t="shared" si="4"/>
        <v>3.4251689999999999</v>
      </c>
    </row>
    <row r="70" spans="1:18" x14ac:dyDescent="0.25">
      <c r="A70" s="42" t="s">
        <v>241</v>
      </c>
      <c r="B70" s="33"/>
      <c r="C70" s="43" t="s">
        <v>230</v>
      </c>
      <c r="D70" s="34" t="s">
        <v>79</v>
      </c>
      <c r="E70" s="34">
        <v>2</v>
      </c>
      <c r="F70" s="34">
        <v>137.6</v>
      </c>
      <c r="G70" s="34">
        <v>100</v>
      </c>
      <c r="H70" s="34">
        <v>100</v>
      </c>
      <c r="I70" s="34">
        <v>2</v>
      </c>
      <c r="J70" s="34">
        <v>4</v>
      </c>
      <c r="K70" s="34">
        <v>2</v>
      </c>
      <c r="L70" s="34">
        <v>4</v>
      </c>
      <c r="M70" s="34">
        <v>0.11</v>
      </c>
      <c r="N70" s="36">
        <v>750</v>
      </c>
      <c r="P70" s="23">
        <f t="shared" si="3"/>
        <v>0.1054016</v>
      </c>
      <c r="Q70">
        <v>54.2</v>
      </c>
      <c r="R70">
        <f t="shared" si="4"/>
        <v>6.8553200639999998</v>
      </c>
    </row>
    <row r="71" spans="1:18" x14ac:dyDescent="0.25">
      <c r="A71" s="42" t="s">
        <v>241</v>
      </c>
      <c r="B71" s="33"/>
      <c r="C71" s="43" t="s">
        <v>230</v>
      </c>
      <c r="D71" s="34" t="s">
        <v>79</v>
      </c>
      <c r="E71" s="34">
        <v>2</v>
      </c>
      <c r="F71" s="34">
        <v>137.6</v>
      </c>
      <c r="G71" s="34">
        <v>100</v>
      </c>
      <c r="H71" s="34">
        <v>100</v>
      </c>
      <c r="I71" s="34">
        <v>2</v>
      </c>
      <c r="J71" s="34">
        <v>4</v>
      </c>
      <c r="K71" s="34">
        <v>2</v>
      </c>
      <c r="L71" s="34">
        <v>4</v>
      </c>
      <c r="M71" s="34">
        <v>0.11</v>
      </c>
      <c r="N71" s="36">
        <v>750</v>
      </c>
      <c r="P71" s="23">
        <f t="shared" si="3"/>
        <v>0.1054016</v>
      </c>
      <c r="Q71">
        <v>54.2</v>
      </c>
      <c r="R71">
        <f t="shared" si="4"/>
        <v>6.8553200639999998</v>
      </c>
    </row>
    <row r="72" spans="1:18" x14ac:dyDescent="0.25">
      <c r="A72" s="42" t="s">
        <v>242</v>
      </c>
      <c r="B72" s="33"/>
      <c r="C72" s="43" t="s">
        <v>230</v>
      </c>
      <c r="D72" s="34" t="s">
        <v>79</v>
      </c>
      <c r="E72" s="34">
        <v>1</v>
      </c>
      <c r="F72" s="34">
        <v>122.1</v>
      </c>
      <c r="G72" s="34">
        <v>100</v>
      </c>
      <c r="H72" s="34">
        <v>100</v>
      </c>
      <c r="I72" s="34">
        <v>1.8</v>
      </c>
      <c r="J72" s="34">
        <v>1.8</v>
      </c>
      <c r="K72" s="34">
        <v>1.8</v>
      </c>
      <c r="L72" s="34">
        <v>1.8</v>
      </c>
      <c r="M72" s="34">
        <v>0.05</v>
      </c>
      <c r="N72" s="36">
        <v>750</v>
      </c>
      <c r="P72" s="23">
        <f t="shared" si="3"/>
        <v>4.6764300000000002E-2</v>
      </c>
      <c r="Q72">
        <v>54.2</v>
      </c>
      <c r="R72">
        <f t="shared" si="4"/>
        <v>3.0415500720000002</v>
      </c>
    </row>
    <row r="73" spans="1:18" x14ac:dyDescent="0.25">
      <c r="A73" s="42" t="s">
        <v>242</v>
      </c>
      <c r="B73" s="33"/>
      <c r="C73" s="43" t="s">
        <v>230</v>
      </c>
      <c r="D73" s="34" t="s">
        <v>79</v>
      </c>
      <c r="E73" s="34">
        <v>1</v>
      </c>
      <c r="F73" s="34">
        <v>122.6</v>
      </c>
      <c r="G73" s="34">
        <v>100</v>
      </c>
      <c r="H73" s="34">
        <v>100</v>
      </c>
      <c r="I73" s="34">
        <v>1.8</v>
      </c>
      <c r="J73" s="34">
        <v>1.8</v>
      </c>
      <c r="K73" s="34">
        <v>1.8</v>
      </c>
      <c r="L73" s="34">
        <v>1.8</v>
      </c>
      <c r="M73" s="34">
        <v>0.05</v>
      </c>
      <c r="N73" s="36">
        <v>750</v>
      </c>
      <c r="P73" s="23">
        <f t="shared" si="3"/>
        <v>4.6955799999999999E-2</v>
      </c>
      <c r="Q73">
        <v>54.2</v>
      </c>
      <c r="R73">
        <f t="shared" si="4"/>
        <v>3.0540052320000002</v>
      </c>
    </row>
    <row r="74" spans="1:18" x14ac:dyDescent="0.25">
      <c r="A74" s="42" t="s">
        <v>242</v>
      </c>
      <c r="B74" s="33"/>
      <c r="C74" s="43" t="s">
        <v>230</v>
      </c>
      <c r="D74" s="34" t="s">
        <v>79</v>
      </c>
      <c r="E74" s="34">
        <v>1</v>
      </c>
      <c r="F74" s="34">
        <v>122.6</v>
      </c>
      <c r="G74" s="34">
        <v>100</v>
      </c>
      <c r="H74" s="34">
        <v>100</v>
      </c>
      <c r="I74" s="34">
        <v>1.8</v>
      </c>
      <c r="J74" s="34">
        <v>1.8</v>
      </c>
      <c r="K74" s="34">
        <v>1.8</v>
      </c>
      <c r="L74" s="34">
        <v>1.8</v>
      </c>
      <c r="M74" s="34">
        <v>0.05</v>
      </c>
      <c r="N74" s="36">
        <v>750</v>
      </c>
      <c r="P74" s="23">
        <f t="shared" si="3"/>
        <v>4.6955799999999999E-2</v>
      </c>
      <c r="Q74">
        <v>54.2</v>
      </c>
      <c r="R74">
        <f t="shared" si="4"/>
        <v>3.0540052320000002</v>
      </c>
    </row>
    <row r="75" spans="1:18" x14ac:dyDescent="0.25">
      <c r="A75" s="42" t="s">
        <v>242</v>
      </c>
      <c r="B75" s="33"/>
      <c r="C75" s="43" t="s">
        <v>230</v>
      </c>
      <c r="D75" s="34" t="s">
        <v>79</v>
      </c>
      <c r="E75" s="34">
        <v>2</v>
      </c>
      <c r="F75" s="34">
        <v>122.6</v>
      </c>
      <c r="G75" s="34">
        <v>100</v>
      </c>
      <c r="H75" s="34">
        <v>100</v>
      </c>
      <c r="I75" s="34">
        <v>1.8</v>
      </c>
      <c r="J75" s="34">
        <v>3.6</v>
      </c>
      <c r="K75" s="34">
        <v>1.8</v>
      </c>
      <c r="L75" s="34">
        <v>3.5</v>
      </c>
      <c r="M75" s="34">
        <v>0.09</v>
      </c>
      <c r="N75" s="36">
        <v>750</v>
      </c>
      <c r="P75" s="23">
        <f t="shared" si="3"/>
        <v>9.3911599999999998E-2</v>
      </c>
      <c r="Q75">
        <v>54.2</v>
      </c>
      <c r="R75">
        <f t="shared" si="4"/>
        <v>6.1080104640000004</v>
      </c>
    </row>
    <row r="76" spans="1:18" x14ac:dyDescent="0.25">
      <c r="A76" s="42" t="s">
        <v>242</v>
      </c>
      <c r="B76" s="33"/>
      <c r="C76" s="43" t="s">
        <v>230</v>
      </c>
      <c r="D76" s="34" t="s">
        <v>79</v>
      </c>
      <c r="E76" s="34">
        <v>2</v>
      </c>
      <c r="F76" s="34">
        <v>122.6</v>
      </c>
      <c r="G76" s="34">
        <v>100</v>
      </c>
      <c r="H76" s="34">
        <v>100</v>
      </c>
      <c r="I76" s="34">
        <v>1.8</v>
      </c>
      <c r="J76" s="34">
        <v>3.6</v>
      </c>
      <c r="K76" s="34">
        <v>1.8</v>
      </c>
      <c r="L76" s="34">
        <v>3.5</v>
      </c>
      <c r="M76" s="34">
        <v>0.09</v>
      </c>
      <c r="N76" s="36">
        <v>750</v>
      </c>
      <c r="P76" s="23">
        <f t="shared" si="3"/>
        <v>9.3911599999999998E-2</v>
      </c>
      <c r="Q76">
        <v>54.2</v>
      </c>
      <c r="R76">
        <f t="shared" si="4"/>
        <v>6.1080104640000004</v>
      </c>
    </row>
    <row r="77" spans="1:18" x14ac:dyDescent="0.25">
      <c r="A77" s="42" t="s">
        <v>242</v>
      </c>
      <c r="B77" s="33"/>
      <c r="C77" s="43" t="s">
        <v>230</v>
      </c>
      <c r="D77" s="34" t="s">
        <v>79</v>
      </c>
      <c r="E77" s="34">
        <v>4</v>
      </c>
      <c r="F77" s="34">
        <v>122.6</v>
      </c>
      <c r="G77" s="34">
        <v>100</v>
      </c>
      <c r="H77" s="34">
        <v>100</v>
      </c>
      <c r="I77" s="34">
        <v>1.8</v>
      </c>
      <c r="J77" s="34">
        <v>7.2</v>
      </c>
      <c r="K77" s="34">
        <v>1.8</v>
      </c>
      <c r="L77" s="34">
        <v>7.1</v>
      </c>
      <c r="M77" s="34">
        <v>0.19</v>
      </c>
      <c r="N77" s="36">
        <v>750</v>
      </c>
      <c r="P77" s="23">
        <f t="shared" si="3"/>
        <v>0.1878232</v>
      </c>
      <c r="Q77">
        <v>54.2</v>
      </c>
      <c r="R77">
        <f t="shared" si="4"/>
        <v>12.216020928000001</v>
      </c>
    </row>
    <row r="78" spans="1:18" x14ac:dyDescent="0.25">
      <c r="A78" s="42" t="s">
        <v>242</v>
      </c>
      <c r="B78" s="33"/>
      <c r="C78" s="43" t="s">
        <v>230</v>
      </c>
      <c r="D78" s="34" t="s">
        <v>79</v>
      </c>
      <c r="E78" s="34">
        <v>1</v>
      </c>
      <c r="F78" s="34">
        <v>122.7</v>
      </c>
      <c r="G78" s="34">
        <v>100</v>
      </c>
      <c r="H78" s="34">
        <v>100</v>
      </c>
      <c r="I78" s="34">
        <v>1.8</v>
      </c>
      <c r="J78" s="34">
        <v>1.8</v>
      </c>
      <c r="K78" s="34">
        <v>1.8</v>
      </c>
      <c r="L78" s="34">
        <v>1.8</v>
      </c>
      <c r="M78" s="34">
        <v>0.05</v>
      </c>
      <c r="N78" s="36">
        <v>750</v>
      </c>
      <c r="P78" s="23">
        <f t="shared" si="3"/>
        <v>4.6994100000000004E-2</v>
      </c>
      <c r="Q78">
        <v>54.2</v>
      </c>
      <c r="R78">
        <f t="shared" si="4"/>
        <v>3.0564962640000002</v>
      </c>
    </row>
    <row r="79" spans="1:18" x14ac:dyDescent="0.25">
      <c r="A79" s="42" t="s">
        <v>243</v>
      </c>
      <c r="B79" s="33"/>
      <c r="C79" s="43" t="s">
        <v>234</v>
      </c>
      <c r="D79" s="34" t="s">
        <v>235</v>
      </c>
      <c r="E79" s="34">
        <v>24</v>
      </c>
      <c r="F79" s="34">
        <v>5640</v>
      </c>
      <c r="G79" s="34">
        <v>100</v>
      </c>
      <c r="H79" s="34">
        <v>100</v>
      </c>
      <c r="I79" s="34">
        <v>68</v>
      </c>
      <c r="J79" s="34">
        <v>1632.1</v>
      </c>
      <c r="K79" s="34">
        <v>66.2</v>
      </c>
      <c r="L79" s="34">
        <v>1588.3</v>
      </c>
      <c r="M79" s="34">
        <v>52.29</v>
      </c>
      <c r="N79" s="36">
        <v>750</v>
      </c>
      <c r="P79" s="23">
        <f xml:space="preserve"> 0.386*F79*E79/10^3</f>
        <v>52.248959999999997</v>
      </c>
      <c r="Q79">
        <v>128.4</v>
      </c>
      <c r="R79">
        <f t="shared" si="4"/>
        <v>8050.5197568000003</v>
      </c>
    </row>
    <row r="80" spans="1:18" x14ac:dyDescent="0.25">
      <c r="A80" s="42" t="s">
        <v>244</v>
      </c>
      <c r="B80" s="33"/>
      <c r="C80" s="43" t="s">
        <v>245</v>
      </c>
      <c r="D80" s="34" t="s">
        <v>235</v>
      </c>
      <c r="E80" s="34">
        <v>60</v>
      </c>
      <c r="F80" s="34">
        <v>120</v>
      </c>
      <c r="G80" s="34">
        <v>120</v>
      </c>
      <c r="H80" s="34">
        <v>120</v>
      </c>
      <c r="I80" s="34">
        <v>1.7</v>
      </c>
      <c r="J80" s="34">
        <v>104.9</v>
      </c>
      <c r="K80" s="34">
        <v>1.7</v>
      </c>
      <c r="L80" s="34">
        <v>104.9</v>
      </c>
      <c r="M80" s="34">
        <v>3.68</v>
      </c>
      <c r="N80" s="36">
        <v>750</v>
      </c>
      <c r="P80" s="23">
        <f>0.292*F80*E80/10^3</f>
        <v>2.1024000000000003</v>
      </c>
      <c r="Q80">
        <v>40</v>
      </c>
      <c r="R80">
        <f t="shared" si="4"/>
        <v>100.9152</v>
      </c>
    </row>
    <row r="81" spans="1:18" x14ac:dyDescent="0.25">
      <c r="A81" s="42" t="s">
        <v>246</v>
      </c>
      <c r="B81" s="33"/>
      <c r="C81" s="43" t="s">
        <v>234</v>
      </c>
      <c r="D81" s="34" t="s">
        <v>235</v>
      </c>
      <c r="E81" s="34">
        <v>30</v>
      </c>
      <c r="F81" s="34">
        <v>5864</v>
      </c>
      <c r="G81" s="34">
        <v>100</v>
      </c>
      <c r="H81" s="34">
        <v>100</v>
      </c>
      <c r="I81" s="34">
        <v>70.7</v>
      </c>
      <c r="J81" s="34">
        <v>2121.1999999999998</v>
      </c>
      <c r="K81" s="34">
        <v>68.8</v>
      </c>
      <c r="L81" s="34">
        <v>2064.3000000000002</v>
      </c>
      <c r="M81" s="34">
        <v>67.959999999999994</v>
      </c>
      <c r="N81" s="36">
        <v>750</v>
      </c>
      <c r="P81" s="23">
        <f t="shared" ref="P81:P91" si="5" xml:space="preserve"> 0.386*F81*E81/10^3</f>
        <v>67.905119999999997</v>
      </c>
      <c r="Q81">
        <v>128.4</v>
      </c>
      <c r="R81">
        <f t="shared" si="4"/>
        <v>10462.8208896</v>
      </c>
    </row>
    <row r="82" spans="1:18" x14ac:dyDescent="0.25">
      <c r="A82" s="42" t="s">
        <v>247</v>
      </c>
      <c r="B82" s="33"/>
      <c r="C82" s="43" t="s">
        <v>234</v>
      </c>
      <c r="D82" s="34" t="s">
        <v>235</v>
      </c>
      <c r="E82" s="34">
        <v>2</v>
      </c>
      <c r="F82" s="34">
        <v>2100</v>
      </c>
      <c r="G82" s="34">
        <v>100</v>
      </c>
      <c r="H82" s="34">
        <v>100</v>
      </c>
      <c r="I82" s="34">
        <v>25.3</v>
      </c>
      <c r="J82" s="34">
        <v>50.6</v>
      </c>
      <c r="K82" s="34">
        <v>24.6</v>
      </c>
      <c r="L82" s="34">
        <v>49.3</v>
      </c>
      <c r="M82" s="34">
        <v>1.62</v>
      </c>
      <c r="N82" s="36">
        <v>750</v>
      </c>
      <c r="P82" s="23">
        <f t="shared" si="5"/>
        <v>1.6212</v>
      </c>
      <c r="Q82">
        <v>128.4</v>
      </c>
      <c r="R82">
        <f t="shared" si="4"/>
        <v>249.79449599999998</v>
      </c>
    </row>
    <row r="83" spans="1:18" x14ac:dyDescent="0.25">
      <c r="A83" s="42" t="s">
        <v>247</v>
      </c>
      <c r="B83" s="33"/>
      <c r="C83" s="43" t="s">
        <v>234</v>
      </c>
      <c r="D83" s="34" t="s">
        <v>235</v>
      </c>
      <c r="E83" s="34">
        <v>2</v>
      </c>
      <c r="F83" s="34">
        <v>2100</v>
      </c>
      <c r="G83" s="34">
        <v>100</v>
      </c>
      <c r="H83" s="34">
        <v>100</v>
      </c>
      <c r="I83" s="34">
        <v>25.3</v>
      </c>
      <c r="J83" s="34">
        <v>50.6</v>
      </c>
      <c r="K83" s="34">
        <v>24.6</v>
      </c>
      <c r="L83" s="34">
        <v>49.3</v>
      </c>
      <c r="M83" s="34">
        <v>1.62</v>
      </c>
      <c r="N83" s="36">
        <v>750</v>
      </c>
      <c r="P83" s="23">
        <f t="shared" si="5"/>
        <v>1.6212</v>
      </c>
      <c r="Q83">
        <v>128.4</v>
      </c>
      <c r="R83">
        <f t="shared" si="4"/>
        <v>249.79449599999998</v>
      </c>
    </row>
    <row r="84" spans="1:18" x14ac:dyDescent="0.25">
      <c r="A84" s="42" t="s">
        <v>247</v>
      </c>
      <c r="B84" s="33"/>
      <c r="C84" s="43" t="s">
        <v>234</v>
      </c>
      <c r="D84" s="34" t="s">
        <v>235</v>
      </c>
      <c r="E84" s="34">
        <v>12</v>
      </c>
      <c r="F84" s="34">
        <v>2100</v>
      </c>
      <c r="G84" s="34">
        <v>100</v>
      </c>
      <c r="H84" s="34">
        <v>100</v>
      </c>
      <c r="I84" s="34">
        <v>25.3</v>
      </c>
      <c r="J84" s="34">
        <v>303.89999999999998</v>
      </c>
      <c r="K84" s="34">
        <v>24.6</v>
      </c>
      <c r="L84" s="34">
        <v>295.7</v>
      </c>
      <c r="M84" s="34">
        <v>9.73</v>
      </c>
      <c r="N84" s="36">
        <v>750</v>
      </c>
      <c r="P84" s="23">
        <f t="shared" si="5"/>
        <v>9.7271999999999998</v>
      </c>
      <c r="Q84">
        <v>128.4</v>
      </c>
      <c r="R84">
        <f t="shared" si="4"/>
        <v>1498.7669760000001</v>
      </c>
    </row>
    <row r="85" spans="1:18" x14ac:dyDescent="0.25">
      <c r="A85" s="42" t="s">
        <v>247</v>
      </c>
      <c r="B85" s="33"/>
      <c r="C85" s="43" t="s">
        <v>234</v>
      </c>
      <c r="D85" s="34" t="s">
        <v>235</v>
      </c>
      <c r="E85" s="34">
        <v>2</v>
      </c>
      <c r="F85" s="34">
        <v>2100.1</v>
      </c>
      <c r="G85" s="34">
        <v>100</v>
      </c>
      <c r="H85" s="34">
        <v>100</v>
      </c>
      <c r="I85" s="34">
        <v>25.3</v>
      </c>
      <c r="J85" s="34">
        <v>50.6</v>
      </c>
      <c r="K85" s="34">
        <v>24.6</v>
      </c>
      <c r="L85" s="34">
        <v>49.3</v>
      </c>
      <c r="M85" s="34">
        <v>1.62</v>
      </c>
      <c r="N85" s="36">
        <v>750</v>
      </c>
      <c r="P85" s="23">
        <f t="shared" si="5"/>
        <v>1.6212772</v>
      </c>
      <c r="Q85">
        <v>128.4</v>
      </c>
      <c r="R85">
        <f t="shared" si="4"/>
        <v>249.80639097599999</v>
      </c>
    </row>
    <row r="86" spans="1:18" x14ac:dyDescent="0.25">
      <c r="A86" s="42" t="s">
        <v>247</v>
      </c>
      <c r="B86" s="33"/>
      <c r="C86" s="43" t="s">
        <v>234</v>
      </c>
      <c r="D86" s="34" t="s">
        <v>235</v>
      </c>
      <c r="E86" s="34">
        <v>1</v>
      </c>
      <c r="F86" s="34">
        <v>2100.1999999999998</v>
      </c>
      <c r="G86" s="34">
        <v>100</v>
      </c>
      <c r="H86" s="34">
        <v>100</v>
      </c>
      <c r="I86" s="34">
        <v>25.3</v>
      </c>
      <c r="J86" s="34">
        <v>25.3</v>
      </c>
      <c r="K86" s="34">
        <v>24.6</v>
      </c>
      <c r="L86" s="34">
        <v>24.6</v>
      </c>
      <c r="M86" s="34">
        <v>0.81</v>
      </c>
      <c r="N86" s="36">
        <v>750</v>
      </c>
      <c r="P86" s="23">
        <f t="shared" si="5"/>
        <v>0.81067719999999999</v>
      </c>
      <c r="Q86">
        <v>128.4</v>
      </c>
      <c r="R86">
        <f t="shared" si="4"/>
        <v>124.909142976</v>
      </c>
    </row>
    <row r="87" spans="1:18" x14ac:dyDescent="0.25">
      <c r="A87" s="42" t="s">
        <v>247</v>
      </c>
      <c r="B87" s="33"/>
      <c r="C87" s="43" t="s">
        <v>234</v>
      </c>
      <c r="D87" s="34" t="s">
        <v>235</v>
      </c>
      <c r="E87" s="34">
        <v>1</v>
      </c>
      <c r="F87" s="34">
        <v>2100.1999999999998</v>
      </c>
      <c r="G87" s="34">
        <v>100</v>
      </c>
      <c r="H87" s="34">
        <v>100</v>
      </c>
      <c r="I87" s="34">
        <v>25.3</v>
      </c>
      <c r="J87" s="34">
        <v>25.3</v>
      </c>
      <c r="K87" s="34">
        <v>24.6</v>
      </c>
      <c r="L87" s="34">
        <v>24.6</v>
      </c>
      <c r="M87" s="34">
        <v>0.81</v>
      </c>
      <c r="N87" s="36">
        <v>750</v>
      </c>
      <c r="P87" s="23">
        <f t="shared" si="5"/>
        <v>0.81067719999999999</v>
      </c>
      <c r="Q87">
        <v>128.4</v>
      </c>
      <c r="R87">
        <f t="shared" si="4"/>
        <v>124.909142976</v>
      </c>
    </row>
    <row r="88" spans="1:18" x14ac:dyDescent="0.25">
      <c r="A88" s="42" t="s">
        <v>247</v>
      </c>
      <c r="B88" s="33"/>
      <c r="C88" s="43" t="s">
        <v>234</v>
      </c>
      <c r="D88" s="34" t="s">
        <v>235</v>
      </c>
      <c r="E88" s="34">
        <v>4</v>
      </c>
      <c r="F88" s="34">
        <v>2100.1999999999998</v>
      </c>
      <c r="G88" s="34">
        <v>100</v>
      </c>
      <c r="H88" s="34">
        <v>100</v>
      </c>
      <c r="I88" s="34">
        <v>25.3</v>
      </c>
      <c r="J88" s="34">
        <v>101.3</v>
      </c>
      <c r="K88" s="34">
        <v>24.6</v>
      </c>
      <c r="L88" s="34">
        <v>98.6</v>
      </c>
      <c r="M88" s="34">
        <v>3.25</v>
      </c>
      <c r="N88" s="36">
        <v>750</v>
      </c>
      <c r="P88" s="23">
        <f t="shared" si="5"/>
        <v>3.2427087999999999</v>
      </c>
      <c r="Q88">
        <v>128.4</v>
      </c>
      <c r="R88">
        <f t="shared" si="4"/>
        <v>499.63657190399999</v>
      </c>
    </row>
    <row r="89" spans="1:18" x14ac:dyDescent="0.25">
      <c r="A89" s="42" t="s">
        <v>247</v>
      </c>
      <c r="B89" s="33"/>
      <c r="C89" s="43" t="s">
        <v>234</v>
      </c>
      <c r="D89" s="34" t="s">
        <v>235</v>
      </c>
      <c r="E89" s="34">
        <v>2</v>
      </c>
      <c r="F89" s="34">
        <v>2100.5</v>
      </c>
      <c r="G89" s="34">
        <v>100</v>
      </c>
      <c r="H89" s="34">
        <v>100</v>
      </c>
      <c r="I89" s="34">
        <v>25.3</v>
      </c>
      <c r="J89" s="34">
        <v>50.7</v>
      </c>
      <c r="K89" s="34">
        <v>24.6</v>
      </c>
      <c r="L89" s="34">
        <v>49.3</v>
      </c>
      <c r="M89" s="34">
        <v>1.62</v>
      </c>
      <c r="N89" s="36">
        <v>750</v>
      </c>
      <c r="P89" s="23">
        <f t="shared" si="5"/>
        <v>1.621586</v>
      </c>
      <c r="Q89">
        <v>128.4</v>
      </c>
      <c r="R89">
        <f t="shared" si="4"/>
        <v>249.85397088000002</v>
      </c>
    </row>
    <row r="90" spans="1:18" x14ac:dyDescent="0.25">
      <c r="A90" s="42" t="s">
        <v>247</v>
      </c>
      <c r="B90" s="33"/>
      <c r="C90" s="43" t="s">
        <v>234</v>
      </c>
      <c r="D90" s="34" t="s">
        <v>235</v>
      </c>
      <c r="E90" s="34">
        <v>2</v>
      </c>
      <c r="F90" s="34">
        <v>2100.6999999999998</v>
      </c>
      <c r="G90" s="34">
        <v>100</v>
      </c>
      <c r="H90" s="34">
        <v>100</v>
      </c>
      <c r="I90" s="34">
        <v>25.3</v>
      </c>
      <c r="J90" s="34">
        <v>50.7</v>
      </c>
      <c r="K90" s="34">
        <v>24.6</v>
      </c>
      <c r="L90" s="34">
        <v>49.3</v>
      </c>
      <c r="M90" s="34">
        <v>1.62</v>
      </c>
      <c r="N90" s="36">
        <v>750</v>
      </c>
      <c r="P90" s="23">
        <f t="shared" si="5"/>
        <v>1.6217404</v>
      </c>
      <c r="Q90">
        <v>128.4</v>
      </c>
      <c r="R90">
        <f t="shared" si="4"/>
        <v>249.87776083200001</v>
      </c>
    </row>
    <row r="91" spans="1:18" x14ac:dyDescent="0.25">
      <c r="A91" s="42" t="s">
        <v>248</v>
      </c>
      <c r="B91" s="33"/>
      <c r="C91" s="43" t="s">
        <v>234</v>
      </c>
      <c r="D91" s="34" t="s">
        <v>235</v>
      </c>
      <c r="E91" s="34">
        <v>2</v>
      </c>
      <c r="F91" s="34">
        <v>2098</v>
      </c>
      <c r="G91" s="34">
        <v>100</v>
      </c>
      <c r="H91" s="34">
        <v>100</v>
      </c>
      <c r="I91" s="34">
        <v>25.3</v>
      </c>
      <c r="J91" s="34">
        <v>50.6</v>
      </c>
      <c r="K91" s="34">
        <v>24.6</v>
      </c>
      <c r="L91" s="34">
        <v>49.2</v>
      </c>
      <c r="M91" s="34">
        <v>1.62</v>
      </c>
      <c r="N91" s="36">
        <v>750</v>
      </c>
      <c r="P91" s="23">
        <f t="shared" si="5"/>
        <v>1.619656</v>
      </c>
      <c r="Q91">
        <v>128.4</v>
      </c>
      <c r="R91">
        <f t="shared" si="4"/>
        <v>249.55659648</v>
      </c>
    </row>
    <row r="92" spans="1:18" x14ac:dyDescent="0.25">
      <c r="A92" s="32" t="s">
        <v>249</v>
      </c>
      <c r="B92" s="33"/>
      <c r="C92" s="43" t="s">
        <v>250</v>
      </c>
      <c r="D92" s="34" t="s">
        <v>192</v>
      </c>
      <c r="E92" s="34">
        <v>20</v>
      </c>
      <c r="F92" s="34">
        <v>170</v>
      </c>
      <c r="G92" s="34">
        <v>15</v>
      </c>
      <c r="H92" s="34">
        <v>270</v>
      </c>
      <c r="I92" s="34">
        <v>5.4</v>
      </c>
      <c r="J92" s="34">
        <v>108.1</v>
      </c>
      <c r="K92" s="34">
        <v>5.4</v>
      </c>
      <c r="L92" s="34">
        <v>108.1</v>
      </c>
      <c r="M92" s="34">
        <v>2.1</v>
      </c>
      <c r="N92" s="36">
        <v>600</v>
      </c>
      <c r="P92" s="23">
        <f t="shared" ref="P92:P113" si="6">(F92*H92)*2/1000000*E92</f>
        <v>1.8360000000000001</v>
      </c>
      <c r="Q92">
        <v>9.9</v>
      </c>
      <c r="R92">
        <f t="shared" si="4"/>
        <v>21.811679999999999</v>
      </c>
    </row>
    <row r="93" spans="1:18" x14ac:dyDescent="0.25">
      <c r="A93" s="32" t="s">
        <v>251</v>
      </c>
      <c r="B93" s="33"/>
      <c r="C93" s="43" t="s">
        <v>252</v>
      </c>
      <c r="D93" s="34" t="s">
        <v>79</v>
      </c>
      <c r="E93" s="34">
        <v>52</v>
      </c>
      <c r="F93" s="34">
        <v>200</v>
      </c>
      <c r="G93" s="34">
        <v>10</v>
      </c>
      <c r="H93" s="34">
        <v>70</v>
      </c>
      <c r="I93" s="34">
        <v>0.9</v>
      </c>
      <c r="J93" s="34">
        <v>44.9</v>
      </c>
      <c r="K93" s="34">
        <v>1.1000000000000001</v>
      </c>
      <c r="L93" s="34">
        <v>57.1</v>
      </c>
      <c r="M93" s="34">
        <v>0.73</v>
      </c>
      <c r="N93" s="36">
        <v>600</v>
      </c>
      <c r="P93" s="23">
        <f t="shared" si="6"/>
        <v>1.456</v>
      </c>
      <c r="Q93">
        <v>33.9</v>
      </c>
      <c r="R93">
        <f t="shared" si="4"/>
        <v>59.230079999999994</v>
      </c>
    </row>
    <row r="94" spans="1:18" x14ac:dyDescent="0.25">
      <c r="A94" s="32" t="s">
        <v>253</v>
      </c>
      <c r="B94" s="33"/>
      <c r="C94" s="43" t="s">
        <v>198</v>
      </c>
      <c r="D94" s="34" t="s">
        <v>79</v>
      </c>
      <c r="E94" s="34">
        <v>20</v>
      </c>
      <c r="F94" s="34">
        <v>300</v>
      </c>
      <c r="G94" s="34">
        <v>15</v>
      </c>
      <c r="H94" s="34">
        <v>160</v>
      </c>
      <c r="I94" s="34">
        <v>5.7</v>
      </c>
      <c r="J94" s="34">
        <v>113</v>
      </c>
      <c r="K94" s="34">
        <v>5.7</v>
      </c>
      <c r="L94" s="34">
        <v>113</v>
      </c>
      <c r="M94" s="34">
        <v>0.96</v>
      </c>
      <c r="N94" s="36">
        <v>600</v>
      </c>
      <c r="P94" s="23">
        <f t="shared" si="6"/>
        <v>1.92</v>
      </c>
      <c r="Q94">
        <v>9.9</v>
      </c>
      <c r="R94">
        <f t="shared" si="4"/>
        <v>22.8096</v>
      </c>
    </row>
    <row r="95" spans="1:18" x14ac:dyDescent="0.25">
      <c r="A95" s="32" t="s">
        <v>254</v>
      </c>
      <c r="B95" s="33"/>
      <c r="C95" s="43" t="s">
        <v>198</v>
      </c>
      <c r="D95" s="34" t="s">
        <v>79</v>
      </c>
      <c r="E95" s="34">
        <v>32</v>
      </c>
      <c r="F95" s="34">
        <v>300</v>
      </c>
      <c r="G95" s="34">
        <v>15</v>
      </c>
      <c r="H95" s="34">
        <v>160</v>
      </c>
      <c r="I95" s="34">
        <v>5.4</v>
      </c>
      <c r="J95" s="34">
        <v>171.9</v>
      </c>
      <c r="K95" s="34">
        <v>5.7</v>
      </c>
      <c r="L95" s="34">
        <v>180.9</v>
      </c>
      <c r="M95" s="34">
        <v>1.54</v>
      </c>
      <c r="N95" s="36">
        <v>600</v>
      </c>
      <c r="P95" s="23">
        <f t="shared" si="6"/>
        <v>3.0720000000000001</v>
      </c>
      <c r="Q95">
        <v>9.9</v>
      </c>
      <c r="R95">
        <f t="shared" si="4"/>
        <v>36.495359999999998</v>
      </c>
    </row>
    <row r="96" spans="1:18" x14ac:dyDescent="0.25">
      <c r="A96" s="32" t="s">
        <v>255</v>
      </c>
      <c r="B96" s="33"/>
      <c r="C96" s="43" t="s">
        <v>256</v>
      </c>
      <c r="D96" s="34" t="s">
        <v>79</v>
      </c>
      <c r="E96" s="34">
        <v>6</v>
      </c>
      <c r="F96" s="34">
        <v>360</v>
      </c>
      <c r="G96" s="34">
        <v>20</v>
      </c>
      <c r="H96" s="34">
        <v>300</v>
      </c>
      <c r="I96" s="34">
        <v>16.7</v>
      </c>
      <c r="J96" s="34">
        <v>100.4</v>
      </c>
      <c r="K96" s="34">
        <v>17</v>
      </c>
      <c r="L96" s="34">
        <v>101.7</v>
      </c>
      <c r="M96" s="34">
        <v>0.65</v>
      </c>
      <c r="N96" s="36">
        <v>600</v>
      </c>
      <c r="P96" s="23">
        <f t="shared" si="6"/>
        <v>1.296</v>
      </c>
      <c r="Q96">
        <v>17.899999999999999</v>
      </c>
      <c r="R96">
        <f t="shared" si="4"/>
        <v>27.838079999999998</v>
      </c>
    </row>
    <row r="97" spans="1:18" x14ac:dyDescent="0.25">
      <c r="A97" s="32" t="s">
        <v>255</v>
      </c>
      <c r="B97" s="33"/>
      <c r="C97" s="43" t="s">
        <v>256</v>
      </c>
      <c r="D97" s="34" t="s">
        <v>79</v>
      </c>
      <c r="E97" s="34">
        <v>2</v>
      </c>
      <c r="F97" s="34">
        <v>360</v>
      </c>
      <c r="G97" s="34">
        <v>20</v>
      </c>
      <c r="H97" s="34">
        <v>300</v>
      </c>
      <c r="I97" s="34">
        <v>16.7</v>
      </c>
      <c r="J97" s="34">
        <v>33.5</v>
      </c>
      <c r="K97" s="34">
        <v>17</v>
      </c>
      <c r="L97" s="34">
        <v>33.9</v>
      </c>
      <c r="M97" s="34">
        <v>0.22</v>
      </c>
      <c r="N97" s="36">
        <v>600</v>
      </c>
      <c r="P97" s="23">
        <f t="shared" si="6"/>
        <v>0.432</v>
      </c>
      <c r="Q97">
        <v>17.899999999999999</v>
      </c>
      <c r="R97">
        <f t="shared" si="4"/>
        <v>9.2793599999999987</v>
      </c>
    </row>
    <row r="98" spans="1:18" x14ac:dyDescent="0.25">
      <c r="A98" s="32" t="s">
        <v>257</v>
      </c>
      <c r="B98" s="33"/>
      <c r="C98" s="43" t="s">
        <v>258</v>
      </c>
      <c r="D98" s="34" t="s">
        <v>79</v>
      </c>
      <c r="E98" s="34">
        <v>10</v>
      </c>
      <c r="F98" s="34">
        <v>360</v>
      </c>
      <c r="G98" s="34">
        <v>20</v>
      </c>
      <c r="H98" s="34">
        <v>135</v>
      </c>
      <c r="I98" s="34">
        <v>7.5</v>
      </c>
      <c r="J98" s="34">
        <v>75.2</v>
      </c>
      <c r="K98" s="34">
        <v>7.6</v>
      </c>
      <c r="L98" s="34">
        <v>76.3</v>
      </c>
      <c r="M98" s="34">
        <v>0.49</v>
      </c>
      <c r="N98" s="36">
        <v>600</v>
      </c>
      <c r="P98" s="23">
        <f t="shared" si="6"/>
        <v>0.97199999999999998</v>
      </c>
      <c r="Q98">
        <v>17.899999999999999</v>
      </c>
      <c r="R98">
        <f t="shared" si="4"/>
        <v>20.878559999999997</v>
      </c>
    </row>
    <row r="99" spans="1:18" x14ac:dyDescent="0.25">
      <c r="A99" s="32" t="s">
        <v>259</v>
      </c>
      <c r="B99" s="33"/>
      <c r="C99" s="43" t="s">
        <v>260</v>
      </c>
      <c r="D99" s="34" t="s">
        <v>79</v>
      </c>
      <c r="E99" s="34">
        <v>12</v>
      </c>
      <c r="F99" s="34">
        <v>100</v>
      </c>
      <c r="G99" s="34">
        <v>5</v>
      </c>
      <c r="H99" s="34">
        <v>50</v>
      </c>
      <c r="I99" s="34">
        <v>0.2</v>
      </c>
      <c r="J99" s="34">
        <v>2.2000000000000002</v>
      </c>
      <c r="K99" s="34">
        <v>0.2</v>
      </c>
      <c r="L99" s="34">
        <v>2.4</v>
      </c>
      <c r="M99" s="34">
        <v>0.06</v>
      </c>
      <c r="N99" s="36">
        <v>600</v>
      </c>
      <c r="P99" s="23">
        <f t="shared" si="6"/>
        <v>0.12</v>
      </c>
      <c r="Q99">
        <v>54.1</v>
      </c>
      <c r="R99">
        <f t="shared" si="4"/>
        <v>7.7904</v>
      </c>
    </row>
    <row r="100" spans="1:18" x14ac:dyDescent="0.25">
      <c r="A100" s="32" t="s">
        <v>261</v>
      </c>
      <c r="B100" s="33"/>
      <c r="C100" s="43" t="s">
        <v>262</v>
      </c>
      <c r="D100" s="34" t="s">
        <v>192</v>
      </c>
      <c r="E100" s="34">
        <v>12</v>
      </c>
      <c r="F100" s="34">
        <v>144</v>
      </c>
      <c r="G100" s="34">
        <v>5</v>
      </c>
      <c r="H100" s="34">
        <v>144</v>
      </c>
      <c r="I100" s="34">
        <v>0.8</v>
      </c>
      <c r="J100" s="34">
        <v>9.8000000000000007</v>
      </c>
      <c r="K100" s="34">
        <v>0.8</v>
      </c>
      <c r="L100" s="34">
        <v>9.8000000000000007</v>
      </c>
      <c r="M100" s="34">
        <v>0.53</v>
      </c>
      <c r="N100" s="36">
        <v>600</v>
      </c>
      <c r="P100" s="23">
        <f t="shared" si="6"/>
        <v>0.497664</v>
      </c>
      <c r="Q100">
        <v>54.1</v>
      </c>
      <c r="R100">
        <f t="shared" si="4"/>
        <v>32.308346879999995</v>
      </c>
    </row>
    <row r="101" spans="1:18" x14ac:dyDescent="0.25">
      <c r="A101" s="32" t="s">
        <v>263</v>
      </c>
      <c r="B101" s="33"/>
      <c r="C101" s="43" t="s">
        <v>171</v>
      </c>
      <c r="D101" s="34" t="s">
        <v>192</v>
      </c>
      <c r="E101" s="34">
        <v>40</v>
      </c>
      <c r="F101" s="34">
        <v>400</v>
      </c>
      <c r="G101" s="34">
        <v>10</v>
      </c>
      <c r="H101" s="34">
        <v>120</v>
      </c>
      <c r="I101" s="34">
        <v>3.8</v>
      </c>
      <c r="J101" s="34">
        <v>150.69999999999999</v>
      </c>
      <c r="K101" s="34">
        <v>3.8</v>
      </c>
      <c r="L101" s="34">
        <v>150.69999999999999</v>
      </c>
      <c r="M101" s="34">
        <v>1.92</v>
      </c>
      <c r="N101" s="36">
        <v>600</v>
      </c>
      <c r="P101" s="23">
        <f t="shared" si="6"/>
        <v>3.84</v>
      </c>
      <c r="Q101">
        <v>33.9</v>
      </c>
      <c r="R101">
        <f t="shared" si="4"/>
        <v>156.21119999999999</v>
      </c>
    </row>
    <row r="102" spans="1:18" x14ac:dyDescent="0.25">
      <c r="A102" s="32" t="s">
        <v>264</v>
      </c>
      <c r="B102" s="33"/>
      <c r="C102" s="43" t="s">
        <v>265</v>
      </c>
      <c r="D102" s="34" t="s">
        <v>192</v>
      </c>
      <c r="E102" s="34">
        <v>40</v>
      </c>
      <c r="F102" s="34">
        <v>114</v>
      </c>
      <c r="G102" s="34">
        <v>5</v>
      </c>
      <c r="H102" s="34">
        <v>114</v>
      </c>
      <c r="I102" s="34">
        <v>0.5</v>
      </c>
      <c r="J102" s="34">
        <v>20.399999999999999</v>
      </c>
      <c r="K102" s="34">
        <v>0.5</v>
      </c>
      <c r="L102" s="34">
        <v>20.399999999999999</v>
      </c>
      <c r="M102" s="34">
        <v>1.1299999999999999</v>
      </c>
      <c r="N102" s="36">
        <v>600</v>
      </c>
      <c r="P102" s="23">
        <f t="shared" si="6"/>
        <v>1.0396800000000002</v>
      </c>
      <c r="Q102">
        <v>54.1</v>
      </c>
      <c r="R102">
        <f t="shared" si="4"/>
        <v>67.49602560000001</v>
      </c>
    </row>
    <row r="103" spans="1:18" x14ac:dyDescent="0.25">
      <c r="A103" s="32" t="s">
        <v>266</v>
      </c>
      <c r="B103" s="33"/>
      <c r="C103" s="43" t="s">
        <v>267</v>
      </c>
      <c r="D103" s="34" t="s">
        <v>192</v>
      </c>
      <c r="E103" s="34">
        <v>80</v>
      </c>
      <c r="F103" s="34">
        <v>110</v>
      </c>
      <c r="G103" s="34">
        <v>5</v>
      </c>
      <c r="H103" s="34">
        <v>45</v>
      </c>
      <c r="I103" s="34">
        <v>0.2</v>
      </c>
      <c r="J103" s="34">
        <v>15.5</v>
      </c>
      <c r="K103" s="34">
        <v>0.2</v>
      </c>
      <c r="L103" s="34">
        <v>15.5</v>
      </c>
      <c r="M103" s="34">
        <v>0.4</v>
      </c>
      <c r="N103" s="36">
        <v>600</v>
      </c>
      <c r="P103" s="23">
        <f t="shared" si="6"/>
        <v>0.79200000000000004</v>
      </c>
      <c r="Q103">
        <v>54.1</v>
      </c>
      <c r="R103">
        <f t="shared" si="4"/>
        <v>51.416640000000001</v>
      </c>
    </row>
    <row r="104" spans="1:18" x14ac:dyDescent="0.25">
      <c r="A104" s="32" t="s">
        <v>268</v>
      </c>
      <c r="B104" s="33"/>
      <c r="C104" s="43" t="s">
        <v>269</v>
      </c>
      <c r="D104" s="34" t="s">
        <v>192</v>
      </c>
      <c r="E104" s="34">
        <v>40</v>
      </c>
      <c r="F104" s="34">
        <v>450</v>
      </c>
      <c r="G104" s="34">
        <v>20</v>
      </c>
      <c r="H104" s="34">
        <v>160</v>
      </c>
      <c r="I104" s="34">
        <v>11.3</v>
      </c>
      <c r="J104" s="34">
        <v>452.2</v>
      </c>
      <c r="K104" s="34">
        <v>11.3</v>
      </c>
      <c r="L104" s="34">
        <v>452.2</v>
      </c>
      <c r="M104" s="34">
        <v>6.74</v>
      </c>
      <c r="N104" s="36">
        <v>600</v>
      </c>
      <c r="P104" s="23">
        <f t="shared" si="6"/>
        <v>5.76</v>
      </c>
      <c r="Q104">
        <v>17.899999999999999</v>
      </c>
      <c r="R104">
        <f t="shared" si="4"/>
        <v>123.72479999999997</v>
      </c>
    </row>
    <row r="105" spans="1:18" x14ac:dyDescent="0.25">
      <c r="A105" s="32" t="s">
        <v>270</v>
      </c>
      <c r="B105" s="33"/>
      <c r="C105" s="43" t="s">
        <v>173</v>
      </c>
      <c r="D105" s="34" t="s">
        <v>192</v>
      </c>
      <c r="E105" s="34">
        <v>7</v>
      </c>
      <c r="F105" s="34">
        <v>100</v>
      </c>
      <c r="G105" s="34">
        <v>10</v>
      </c>
      <c r="H105" s="34">
        <v>100</v>
      </c>
      <c r="I105" s="34">
        <v>0.8</v>
      </c>
      <c r="J105" s="34">
        <v>5.5</v>
      </c>
      <c r="K105" s="34">
        <v>0.8</v>
      </c>
      <c r="L105" s="34">
        <v>5.5</v>
      </c>
      <c r="M105" s="34">
        <v>0.17</v>
      </c>
      <c r="N105" s="36">
        <v>600</v>
      </c>
      <c r="P105" s="23">
        <f t="shared" si="6"/>
        <v>0.14000000000000001</v>
      </c>
      <c r="Q105">
        <v>33.9</v>
      </c>
      <c r="R105">
        <f t="shared" si="4"/>
        <v>5.6952000000000007</v>
      </c>
    </row>
    <row r="106" spans="1:18" x14ac:dyDescent="0.25">
      <c r="A106" s="32" t="s">
        <v>270</v>
      </c>
      <c r="B106" s="33"/>
      <c r="C106" s="43" t="s">
        <v>173</v>
      </c>
      <c r="D106" s="34" t="s">
        <v>192</v>
      </c>
      <c r="E106" s="34">
        <v>40</v>
      </c>
      <c r="F106" s="34">
        <v>100</v>
      </c>
      <c r="G106" s="34">
        <v>10</v>
      </c>
      <c r="H106" s="34">
        <v>100</v>
      </c>
      <c r="I106" s="34">
        <v>0.8</v>
      </c>
      <c r="J106" s="34">
        <v>31.4</v>
      </c>
      <c r="K106" s="34">
        <v>0.8</v>
      </c>
      <c r="L106" s="34">
        <v>31.4</v>
      </c>
      <c r="M106" s="34">
        <v>0.96</v>
      </c>
      <c r="N106" s="36">
        <v>600</v>
      </c>
      <c r="P106" s="23">
        <f t="shared" si="6"/>
        <v>0.8</v>
      </c>
      <c r="Q106">
        <v>33.9</v>
      </c>
      <c r="R106">
        <f t="shared" si="4"/>
        <v>32.543999999999997</v>
      </c>
    </row>
    <row r="107" spans="1:18" x14ac:dyDescent="0.25">
      <c r="A107" s="32" t="s">
        <v>271</v>
      </c>
      <c r="B107" s="33"/>
      <c r="C107" s="43" t="s">
        <v>214</v>
      </c>
      <c r="D107" s="34" t="s">
        <v>192</v>
      </c>
      <c r="E107" s="34">
        <v>12</v>
      </c>
      <c r="F107" s="34">
        <v>194</v>
      </c>
      <c r="G107" s="34">
        <v>5</v>
      </c>
      <c r="H107" s="34">
        <v>194</v>
      </c>
      <c r="I107" s="34">
        <v>1.5</v>
      </c>
      <c r="J107" s="34">
        <v>17.7</v>
      </c>
      <c r="K107" s="34">
        <v>1.5</v>
      </c>
      <c r="L107" s="34">
        <v>17.7</v>
      </c>
      <c r="M107" s="34">
        <v>0.95</v>
      </c>
      <c r="N107" s="36">
        <v>600</v>
      </c>
      <c r="P107" s="23">
        <f t="shared" si="6"/>
        <v>0.90326400000000007</v>
      </c>
      <c r="Q107">
        <v>54.1</v>
      </c>
      <c r="R107">
        <f t="shared" si="4"/>
        <v>58.639898880000004</v>
      </c>
    </row>
    <row r="108" spans="1:18" x14ac:dyDescent="0.25">
      <c r="A108" s="32" t="s">
        <v>272</v>
      </c>
      <c r="B108" s="33"/>
      <c r="C108" s="43" t="s">
        <v>273</v>
      </c>
      <c r="D108" s="34" t="s">
        <v>192</v>
      </c>
      <c r="E108" s="34">
        <v>24</v>
      </c>
      <c r="F108" s="34">
        <v>450</v>
      </c>
      <c r="G108" s="34">
        <v>5</v>
      </c>
      <c r="H108" s="34">
        <v>150</v>
      </c>
      <c r="I108" s="34">
        <v>2.6</v>
      </c>
      <c r="J108" s="34">
        <v>63.6</v>
      </c>
      <c r="K108" s="34">
        <v>2.6</v>
      </c>
      <c r="L108" s="34">
        <v>63.6</v>
      </c>
      <c r="M108" s="34">
        <v>1.62</v>
      </c>
      <c r="N108" s="36">
        <v>600</v>
      </c>
      <c r="P108" s="23">
        <f t="shared" si="6"/>
        <v>3.24</v>
      </c>
      <c r="Q108">
        <v>54.1</v>
      </c>
      <c r="R108">
        <f t="shared" si="4"/>
        <v>210.34080000000003</v>
      </c>
    </row>
    <row r="109" spans="1:18" x14ac:dyDescent="0.25">
      <c r="A109" s="32" t="s">
        <v>274</v>
      </c>
      <c r="B109" s="33"/>
      <c r="C109" s="43" t="s">
        <v>250</v>
      </c>
      <c r="D109" s="34" t="s">
        <v>192</v>
      </c>
      <c r="E109" s="34">
        <v>20</v>
      </c>
      <c r="F109" s="34">
        <v>170</v>
      </c>
      <c r="G109" s="34">
        <v>15</v>
      </c>
      <c r="H109" s="34">
        <v>270</v>
      </c>
      <c r="I109" s="34">
        <v>5.4</v>
      </c>
      <c r="J109" s="34">
        <v>108.1</v>
      </c>
      <c r="K109" s="34">
        <v>5.4</v>
      </c>
      <c r="L109" s="34">
        <v>108.1</v>
      </c>
      <c r="M109" s="34">
        <v>2.1</v>
      </c>
      <c r="N109" s="36">
        <v>600</v>
      </c>
      <c r="P109" s="23">
        <f t="shared" si="6"/>
        <v>1.8360000000000001</v>
      </c>
      <c r="Q109">
        <v>9.9</v>
      </c>
      <c r="R109">
        <f t="shared" si="4"/>
        <v>21.811679999999999</v>
      </c>
    </row>
    <row r="110" spans="1:18" x14ac:dyDescent="0.25">
      <c r="A110" s="32" t="s">
        <v>275</v>
      </c>
      <c r="B110" s="33"/>
      <c r="C110" s="43" t="s">
        <v>262</v>
      </c>
      <c r="D110" s="34" t="s">
        <v>192</v>
      </c>
      <c r="E110" s="34">
        <v>40</v>
      </c>
      <c r="F110" s="34">
        <v>94</v>
      </c>
      <c r="G110" s="34">
        <v>5</v>
      </c>
      <c r="H110" s="34">
        <v>144</v>
      </c>
      <c r="I110" s="34">
        <v>0.5</v>
      </c>
      <c r="J110" s="34">
        <v>21.3</v>
      </c>
      <c r="K110" s="34">
        <v>0.5</v>
      </c>
      <c r="L110" s="34">
        <v>21.3</v>
      </c>
      <c r="M110" s="34">
        <v>1.18</v>
      </c>
      <c r="N110" s="36">
        <v>600</v>
      </c>
      <c r="P110" s="23">
        <f t="shared" si="6"/>
        <v>1.0828799999999998</v>
      </c>
      <c r="Q110">
        <v>54.1</v>
      </c>
      <c r="R110">
        <f t="shared" si="4"/>
        <v>70.300569599999989</v>
      </c>
    </row>
    <row r="111" spans="1:18" x14ac:dyDescent="0.25">
      <c r="A111" s="32" t="s">
        <v>276</v>
      </c>
      <c r="B111" s="33"/>
      <c r="C111" s="43" t="s">
        <v>172</v>
      </c>
      <c r="D111" s="34" t="s">
        <v>192</v>
      </c>
      <c r="E111" s="34">
        <v>24</v>
      </c>
      <c r="F111" s="34">
        <v>450</v>
      </c>
      <c r="G111" s="34">
        <v>10</v>
      </c>
      <c r="H111" s="34">
        <v>140</v>
      </c>
      <c r="I111" s="34">
        <v>4.9000000000000004</v>
      </c>
      <c r="J111" s="34">
        <v>118.7</v>
      </c>
      <c r="K111" s="34">
        <v>4.9000000000000004</v>
      </c>
      <c r="L111" s="34">
        <v>118.7</v>
      </c>
      <c r="M111" s="34">
        <v>1.51</v>
      </c>
      <c r="N111" s="36">
        <v>600</v>
      </c>
      <c r="P111" s="23">
        <f t="shared" si="6"/>
        <v>3.024</v>
      </c>
      <c r="Q111">
        <v>33.9</v>
      </c>
      <c r="R111">
        <f t="shared" si="4"/>
        <v>123.01631999999999</v>
      </c>
    </row>
    <row r="112" spans="1:18" x14ac:dyDescent="0.25">
      <c r="A112" s="32" t="s">
        <v>277</v>
      </c>
      <c r="B112" s="33"/>
      <c r="C112" s="43" t="s">
        <v>260</v>
      </c>
      <c r="D112" s="34" t="s">
        <v>192</v>
      </c>
      <c r="E112" s="34">
        <v>20</v>
      </c>
      <c r="F112" s="34">
        <v>100</v>
      </c>
      <c r="G112" s="34">
        <v>5</v>
      </c>
      <c r="H112" s="34">
        <v>50</v>
      </c>
      <c r="I112" s="34">
        <v>0.2</v>
      </c>
      <c r="J112" s="34">
        <v>3.7</v>
      </c>
      <c r="K112" s="34">
        <v>0.2</v>
      </c>
      <c r="L112" s="34">
        <v>3.9</v>
      </c>
      <c r="M112" s="34">
        <v>0.1</v>
      </c>
      <c r="N112" s="36">
        <v>600</v>
      </c>
      <c r="P112" s="23">
        <f t="shared" si="6"/>
        <v>0.2</v>
      </c>
      <c r="Q112">
        <v>54.1</v>
      </c>
      <c r="R112">
        <f t="shared" si="4"/>
        <v>12.984</v>
      </c>
    </row>
    <row r="113" spans="1:18" x14ac:dyDescent="0.25">
      <c r="A113" s="32" t="s">
        <v>278</v>
      </c>
      <c r="B113" s="33"/>
      <c r="C113" s="43" t="s">
        <v>260</v>
      </c>
      <c r="D113" s="34" t="s">
        <v>192</v>
      </c>
      <c r="E113" s="34">
        <v>20</v>
      </c>
      <c r="F113" s="34">
        <v>100</v>
      </c>
      <c r="G113" s="34">
        <v>5</v>
      </c>
      <c r="H113" s="34">
        <v>50</v>
      </c>
      <c r="I113" s="34">
        <v>0.2</v>
      </c>
      <c r="J113" s="34">
        <v>3.9</v>
      </c>
      <c r="K113" s="34">
        <v>0.2</v>
      </c>
      <c r="L113" s="34">
        <v>3.9</v>
      </c>
      <c r="M113" s="34">
        <v>0.1</v>
      </c>
      <c r="N113" s="36">
        <v>600</v>
      </c>
      <c r="P113" s="23">
        <f t="shared" si="6"/>
        <v>0.2</v>
      </c>
      <c r="Q113">
        <v>54.1</v>
      </c>
      <c r="R113">
        <f t="shared" si="4"/>
        <v>12.984</v>
      </c>
    </row>
    <row r="114" spans="1:18" x14ac:dyDescent="0.25">
      <c r="A114" s="32" t="s">
        <v>279</v>
      </c>
      <c r="B114" s="33"/>
      <c r="C114" s="43" t="s">
        <v>280</v>
      </c>
      <c r="D114" s="34" t="s">
        <v>79</v>
      </c>
      <c r="E114" s="34">
        <v>2</v>
      </c>
      <c r="F114" s="34">
        <v>12135</v>
      </c>
      <c r="G114" s="34">
        <v>200</v>
      </c>
      <c r="H114" s="34">
        <v>200</v>
      </c>
      <c r="I114" s="34">
        <v>585.29999999999995</v>
      </c>
      <c r="J114" s="34">
        <v>1170.5999999999999</v>
      </c>
      <c r="K114" s="34">
        <v>564.29999999999995</v>
      </c>
      <c r="L114" s="34">
        <v>1128.7</v>
      </c>
      <c r="M114" s="34">
        <v>18.579999999999998</v>
      </c>
      <c r="N114" s="36">
        <v>600</v>
      </c>
      <c r="P114" s="23">
        <f xml:space="preserve"> 0.766*F114*E114/10^3</f>
        <v>18.590820000000001</v>
      </c>
      <c r="Q114">
        <v>69.7</v>
      </c>
      <c r="R114">
        <f t="shared" si="4"/>
        <v>1554.9361848000001</v>
      </c>
    </row>
    <row r="115" spans="1:18" x14ac:dyDescent="0.25">
      <c r="A115" s="32" t="s">
        <v>281</v>
      </c>
      <c r="B115" s="33"/>
      <c r="C115" s="43" t="s">
        <v>282</v>
      </c>
      <c r="D115" s="34" t="s">
        <v>79</v>
      </c>
      <c r="E115" s="34">
        <v>12</v>
      </c>
      <c r="F115" s="34">
        <v>1911.5</v>
      </c>
      <c r="G115" s="34">
        <v>80</v>
      </c>
      <c r="H115" s="34">
        <v>80</v>
      </c>
      <c r="I115" s="34">
        <v>17.5</v>
      </c>
      <c r="J115" s="34">
        <v>209.4</v>
      </c>
      <c r="K115" s="34">
        <v>17.600000000000001</v>
      </c>
      <c r="L115" s="34">
        <v>211.5</v>
      </c>
      <c r="M115" s="34">
        <v>7.03</v>
      </c>
      <c r="N115" s="36">
        <v>560</v>
      </c>
      <c r="P115" s="23">
        <f xml:space="preserve"> 0.306*F115*E115/10^3</f>
        <v>7.0190280000000005</v>
      </c>
      <c r="Q115">
        <v>128.4</v>
      </c>
      <c r="R115">
        <f t="shared" si="4"/>
        <v>1081.4918342400001</v>
      </c>
    </row>
    <row r="116" spans="1:18" x14ac:dyDescent="0.25">
      <c r="A116" s="32" t="s">
        <v>281</v>
      </c>
      <c r="B116" s="33"/>
      <c r="C116" s="43" t="s">
        <v>282</v>
      </c>
      <c r="D116" s="34" t="s">
        <v>79</v>
      </c>
      <c r="E116" s="34">
        <v>12</v>
      </c>
      <c r="F116" s="34">
        <v>1912</v>
      </c>
      <c r="G116" s="34">
        <v>80</v>
      </c>
      <c r="H116" s="34">
        <v>80</v>
      </c>
      <c r="I116" s="34">
        <v>17.5</v>
      </c>
      <c r="J116" s="34">
        <v>209.5</v>
      </c>
      <c r="K116" s="34">
        <v>17.600000000000001</v>
      </c>
      <c r="L116" s="34">
        <v>211.6</v>
      </c>
      <c r="M116" s="34">
        <v>7.03</v>
      </c>
      <c r="N116" s="36">
        <v>560</v>
      </c>
      <c r="P116" s="23">
        <f xml:space="preserve"> 0.306*F116*E116/10^3</f>
        <v>7.0208639999999995</v>
      </c>
      <c r="Q116">
        <v>128.4</v>
      </c>
      <c r="R116">
        <f t="shared" si="4"/>
        <v>1081.7747251199999</v>
      </c>
    </row>
    <row r="117" spans="1:18" x14ac:dyDescent="0.25">
      <c r="A117" s="32" t="s">
        <v>283</v>
      </c>
      <c r="B117" s="33"/>
      <c r="C117" s="43" t="s">
        <v>282</v>
      </c>
      <c r="D117" s="34" t="s">
        <v>79</v>
      </c>
      <c r="E117" s="34">
        <v>4</v>
      </c>
      <c r="F117" s="34">
        <v>1924.3</v>
      </c>
      <c r="G117" s="34">
        <v>80</v>
      </c>
      <c r="H117" s="34">
        <v>80</v>
      </c>
      <c r="I117" s="34">
        <v>17.600000000000001</v>
      </c>
      <c r="J117" s="34">
        <v>70.2</v>
      </c>
      <c r="K117" s="34">
        <v>17.7</v>
      </c>
      <c r="L117" s="34">
        <v>71</v>
      </c>
      <c r="M117" s="34">
        <v>2.36</v>
      </c>
      <c r="N117" s="36">
        <v>560</v>
      </c>
      <c r="P117" s="23">
        <f xml:space="preserve"> 0.306*F117*E117/10^3</f>
        <v>2.3553431999999996</v>
      </c>
      <c r="Q117">
        <v>128.4</v>
      </c>
      <c r="R117">
        <f t="shared" si="4"/>
        <v>362.91128025599994</v>
      </c>
    </row>
    <row r="118" spans="1:18" x14ac:dyDescent="0.25">
      <c r="A118" s="32" t="s">
        <v>284</v>
      </c>
      <c r="B118" s="33"/>
      <c r="C118" s="43" t="s">
        <v>285</v>
      </c>
      <c r="D118" s="34" t="s">
        <v>79</v>
      </c>
      <c r="E118" s="34">
        <v>6</v>
      </c>
      <c r="F118" s="34">
        <v>9563.1</v>
      </c>
      <c r="G118" s="34">
        <v>150</v>
      </c>
      <c r="H118" s="34">
        <v>150</v>
      </c>
      <c r="I118" s="34">
        <v>217.7</v>
      </c>
      <c r="J118" s="34">
        <v>1306.2</v>
      </c>
      <c r="K118" s="34">
        <v>212.9</v>
      </c>
      <c r="L118" s="34">
        <v>1277.2</v>
      </c>
      <c r="M118" s="34">
        <v>33.44</v>
      </c>
      <c r="N118" s="36">
        <v>630</v>
      </c>
      <c r="P118" s="23">
        <f xml:space="preserve"> 0.283*F118*E118/10^3</f>
        <v>16.2381438</v>
      </c>
      <c r="Q118">
        <v>72</v>
      </c>
      <c r="R118">
        <f t="shared" si="4"/>
        <v>1402.9756243199997</v>
      </c>
    </row>
    <row r="119" spans="1:18" x14ac:dyDescent="0.25">
      <c r="A119" s="32" t="s">
        <v>286</v>
      </c>
      <c r="B119" s="33"/>
      <c r="C119" s="43" t="s">
        <v>287</v>
      </c>
      <c r="D119" s="34" t="s">
        <v>79</v>
      </c>
      <c r="E119" s="34">
        <v>40</v>
      </c>
      <c r="F119" s="34">
        <v>2722.6</v>
      </c>
      <c r="G119" s="34">
        <v>50</v>
      </c>
      <c r="H119" s="34">
        <v>50</v>
      </c>
      <c r="I119" s="34">
        <v>15.4</v>
      </c>
      <c r="J119" s="34">
        <v>617.4</v>
      </c>
      <c r="K119" s="34">
        <v>14.9</v>
      </c>
      <c r="L119" s="34">
        <v>594.1</v>
      </c>
      <c r="M119" s="34">
        <v>20.260000000000002</v>
      </c>
      <c r="N119" s="36">
        <v>675</v>
      </c>
      <c r="P119" s="23">
        <f xml:space="preserve"> 0.186*F119*E119/10^3</f>
        <v>20.256143999999999</v>
      </c>
      <c r="Q119">
        <v>63.5</v>
      </c>
      <c r="R119">
        <f t="shared" si="4"/>
        <v>1543.5181728</v>
      </c>
    </row>
    <row r="120" spans="1:18" x14ac:dyDescent="0.25">
      <c r="A120" s="32" t="s">
        <v>288</v>
      </c>
      <c r="B120" s="33"/>
      <c r="C120" s="43" t="s">
        <v>289</v>
      </c>
      <c r="D120" s="34" t="s">
        <v>79</v>
      </c>
      <c r="E120" s="34">
        <v>20</v>
      </c>
      <c r="F120" s="34">
        <v>10089.6</v>
      </c>
      <c r="G120" s="34">
        <v>120</v>
      </c>
      <c r="H120" s="34">
        <v>120</v>
      </c>
      <c r="I120" s="34">
        <v>181.8</v>
      </c>
      <c r="J120" s="34">
        <v>3635.5</v>
      </c>
      <c r="K120" s="34">
        <v>177.1</v>
      </c>
      <c r="L120" s="34">
        <v>3541.4</v>
      </c>
      <c r="M120" s="34">
        <v>93.39</v>
      </c>
      <c r="N120" s="36">
        <v>645</v>
      </c>
      <c r="P120" s="23">
        <f xml:space="preserve"> 0.483*F120*E120/10^3</f>
        <v>97.465535999999986</v>
      </c>
      <c r="Q120">
        <v>72</v>
      </c>
      <c r="R120">
        <f t="shared" si="4"/>
        <v>8421.0223103999979</v>
      </c>
    </row>
    <row r="121" spans="1:18" x14ac:dyDescent="0.25">
      <c r="A121" s="32" t="s">
        <v>288</v>
      </c>
      <c r="B121" s="33"/>
      <c r="C121" s="43" t="s">
        <v>289</v>
      </c>
      <c r="D121" s="34" t="s">
        <v>79</v>
      </c>
      <c r="E121" s="34">
        <v>20</v>
      </c>
      <c r="F121" s="34">
        <v>10089.6</v>
      </c>
      <c r="G121" s="34">
        <v>120</v>
      </c>
      <c r="H121" s="34">
        <v>120</v>
      </c>
      <c r="I121" s="34">
        <v>181.8</v>
      </c>
      <c r="J121" s="34">
        <v>3635.5</v>
      </c>
      <c r="K121" s="34">
        <v>177.1</v>
      </c>
      <c r="L121" s="34">
        <v>3541.4</v>
      </c>
      <c r="M121" s="34">
        <v>93.39</v>
      </c>
      <c r="N121" s="36">
        <v>645</v>
      </c>
      <c r="P121" s="23">
        <f xml:space="preserve"> 0.483*F121*E121/10^3</f>
        <v>97.465535999999986</v>
      </c>
      <c r="Q121">
        <v>72</v>
      </c>
      <c r="R121">
        <f t="shared" si="4"/>
        <v>8421.0223103999979</v>
      </c>
    </row>
    <row r="122" spans="1:18" x14ac:dyDescent="0.25">
      <c r="A122" s="32" t="s">
        <v>290</v>
      </c>
      <c r="B122" s="33"/>
      <c r="C122" s="43" t="s">
        <v>291</v>
      </c>
      <c r="D122" s="34" t="s">
        <v>79</v>
      </c>
      <c r="E122" s="34">
        <v>20</v>
      </c>
      <c r="F122" s="34">
        <v>181.6</v>
      </c>
      <c r="G122" s="34">
        <v>100</v>
      </c>
      <c r="H122" s="34">
        <v>100</v>
      </c>
      <c r="I122" s="34">
        <v>4.0999999999999996</v>
      </c>
      <c r="J122" s="34">
        <v>83</v>
      </c>
      <c r="K122" s="34">
        <v>3.9</v>
      </c>
      <c r="L122" s="34">
        <v>77.7</v>
      </c>
      <c r="M122" s="34">
        <v>1.33</v>
      </c>
      <c r="N122" s="36">
        <v>580</v>
      </c>
      <c r="P122" s="23">
        <f xml:space="preserve"> 0.366*F122*E122/10^3</f>
        <v>1.3293119999999998</v>
      </c>
      <c r="Q122">
        <v>69.7</v>
      </c>
      <c r="R122">
        <f t="shared" si="4"/>
        <v>111.18365567999999</v>
      </c>
    </row>
    <row r="123" spans="1:18" x14ac:dyDescent="0.25">
      <c r="A123" s="32" t="s">
        <v>292</v>
      </c>
      <c r="B123" s="33"/>
      <c r="C123" s="43" t="s">
        <v>282</v>
      </c>
      <c r="D123" s="34" t="s">
        <v>79</v>
      </c>
      <c r="E123" s="34">
        <v>20</v>
      </c>
      <c r="F123" s="34">
        <v>2506.8000000000002</v>
      </c>
      <c r="G123" s="34">
        <v>80</v>
      </c>
      <c r="H123" s="34">
        <v>80</v>
      </c>
      <c r="I123" s="34">
        <v>23</v>
      </c>
      <c r="J123" s="34">
        <v>460.3</v>
      </c>
      <c r="K123" s="34">
        <v>23.1</v>
      </c>
      <c r="L123" s="34">
        <v>462.4</v>
      </c>
      <c r="M123" s="34">
        <v>15.36</v>
      </c>
      <c r="N123" s="36">
        <v>560</v>
      </c>
      <c r="P123" s="23">
        <f xml:space="preserve"> 0.306*F123*E123/10^3</f>
        <v>15.341616000000002</v>
      </c>
      <c r="Q123">
        <v>128.4</v>
      </c>
      <c r="R123">
        <f t="shared" si="4"/>
        <v>2363.8361932800003</v>
      </c>
    </row>
    <row r="124" spans="1:18" x14ac:dyDescent="0.25">
      <c r="A124" s="32" t="s">
        <v>292</v>
      </c>
      <c r="B124" s="33"/>
      <c r="C124" s="43" t="s">
        <v>282</v>
      </c>
      <c r="D124" s="34" t="s">
        <v>79</v>
      </c>
      <c r="E124" s="34">
        <v>20</v>
      </c>
      <c r="F124" s="34">
        <v>2506.8000000000002</v>
      </c>
      <c r="G124" s="34">
        <v>80</v>
      </c>
      <c r="H124" s="34">
        <v>80</v>
      </c>
      <c r="I124" s="34">
        <v>23</v>
      </c>
      <c r="J124" s="34">
        <v>460.3</v>
      </c>
      <c r="K124" s="34">
        <v>23.1</v>
      </c>
      <c r="L124" s="34">
        <v>462.4</v>
      </c>
      <c r="M124" s="34">
        <v>15.36</v>
      </c>
      <c r="N124" s="36">
        <v>560</v>
      </c>
      <c r="P124" s="23">
        <f xml:space="preserve"> 0.306*F124*E124/10^3</f>
        <v>15.341616000000002</v>
      </c>
      <c r="Q124">
        <v>128.4</v>
      </c>
      <c r="R124">
        <f t="shared" si="4"/>
        <v>2363.8361932800003</v>
      </c>
    </row>
    <row r="125" spans="1:18" x14ac:dyDescent="0.25">
      <c r="A125" s="32" t="s">
        <v>293</v>
      </c>
      <c r="B125" s="33"/>
      <c r="C125" s="43" t="s">
        <v>294</v>
      </c>
      <c r="D125" s="34" t="s">
        <v>79</v>
      </c>
      <c r="E125" s="34">
        <v>20</v>
      </c>
      <c r="F125" s="34">
        <v>12110</v>
      </c>
      <c r="G125" s="34">
        <v>100</v>
      </c>
      <c r="H125" s="34">
        <v>150</v>
      </c>
      <c r="I125" s="34">
        <v>271.39999999999998</v>
      </c>
      <c r="J125" s="34">
        <v>5428.7</v>
      </c>
      <c r="K125" s="34">
        <v>262.39999999999998</v>
      </c>
      <c r="L125" s="34">
        <v>5247.5</v>
      </c>
      <c r="M125" s="34">
        <v>116.01</v>
      </c>
      <c r="N125" s="36">
        <v>610</v>
      </c>
      <c r="P125" s="23">
        <f xml:space="preserve"> 0.479*F125*E125/10^3</f>
        <v>116.01379999999999</v>
      </c>
      <c r="Q125">
        <v>93.7</v>
      </c>
      <c r="R125">
        <f t="shared" si="4"/>
        <v>13044.591671999999</v>
      </c>
    </row>
    <row r="126" spans="1:18" x14ac:dyDescent="0.25">
      <c r="A126" s="32" t="s">
        <v>295</v>
      </c>
      <c r="B126" s="33"/>
      <c r="C126" s="43" t="s">
        <v>291</v>
      </c>
      <c r="D126" s="34" t="s">
        <v>79</v>
      </c>
      <c r="E126" s="34">
        <v>20</v>
      </c>
      <c r="F126" s="34">
        <v>86.5</v>
      </c>
      <c r="G126" s="34">
        <v>100</v>
      </c>
      <c r="H126" s="34">
        <v>100</v>
      </c>
      <c r="I126" s="34">
        <v>2</v>
      </c>
      <c r="J126" s="34">
        <v>39</v>
      </c>
      <c r="K126" s="34">
        <v>1.8</v>
      </c>
      <c r="L126" s="34">
        <v>37</v>
      </c>
      <c r="M126" s="34">
        <v>0.63</v>
      </c>
      <c r="N126" s="36">
        <v>580</v>
      </c>
      <c r="P126" s="23">
        <f xml:space="preserve"> 0.366*F126*E126/10^3</f>
        <v>0.63317999999999997</v>
      </c>
      <c r="Q126">
        <v>69.7</v>
      </c>
      <c r="R126">
        <f t="shared" si="4"/>
        <v>52.959175199999997</v>
      </c>
    </row>
    <row r="127" spans="1:18" x14ac:dyDescent="0.25">
      <c r="A127" s="32" t="s">
        <v>296</v>
      </c>
      <c r="B127" s="33"/>
      <c r="C127" s="43" t="s">
        <v>287</v>
      </c>
      <c r="D127" s="34" t="s">
        <v>79</v>
      </c>
      <c r="E127" s="34">
        <v>20</v>
      </c>
      <c r="F127" s="34">
        <v>2628</v>
      </c>
      <c r="G127" s="34">
        <v>50</v>
      </c>
      <c r="H127" s="34">
        <v>50</v>
      </c>
      <c r="I127" s="34">
        <v>14.9</v>
      </c>
      <c r="J127" s="34">
        <v>297.7</v>
      </c>
      <c r="K127" s="34">
        <v>14.3</v>
      </c>
      <c r="L127" s="34">
        <v>286.8</v>
      </c>
      <c r="M127" s="34">
        <v>9.7799999999999994</v>
      </c>
      <c r="N127" s="36">
        <v>675</v>
      </c>
      <c r="P127" s="23">
        <f xml:space="preserve"> 0.186*F127*E127/10^3</f>
        <v>9.7761599999999991</v>
      </c>
      <c r="Q127">
        <v>63.5</v>
      </c>
      <c r="R127">
        <f t="shared" si="4"/>
        <v>744.94339200000002</v>
      </c>
    </row>
    <row r="128" spans="1:18" x14ac:dyDescent="0.25">
      <c r="A128" s="32" t="s">
        <v>296</v>
      </c>
      <c r="B128" s="33"/>
      <c r="C128" s="43" t="s">
        <v>287</v>
      </c>
      <c r="D128" s="34" t="s">
        <v>79</v>
      </c>
      <c r="E128" s="34">
        <v>20</v>
      </c>
      <c r="F128" s="34">
        <v>2628</v>
      </c>
      <c r="G128" s="34">
        <v>50</v>
      </c>
      <c r="H128" s="34">
        <v>50</v>
      </c>
      <c r="I128" s="34">
        <v>14.9</v>
      </c>
      <c r="J128" s="34">
        <v>297.7</v>
      </c>
      <c r="K128" s="34">
        <v>14.3</v>
      </c>
      <c r="L128" s="34">
        <v>286.8</v>
      </c>
      <c r="M128" s="34">
        <v>9.7799999999999994</v>
      </c>
      <c r="N128" s="36">
        <v>675</v>
      </c>
      <c r="P128" s="23">
        <f xml:space="preserve"> 0.186*F128*E128/10^3</f>
        <v>9.7761599999999991</v>
      </c>
      <c r="Q128">
        <v>63.5</v>
      </c>
      <c r="R128">
        <f t="shared" si="4"/>
        <v>744.94339200000002</v>
      </c>
    </row>
    <row r="129" spans="1:18" x14ac:dyDescent="0.25">
      <c r="A129" s="32" t="s">
        <v>297</v>
      </c>
      <c r="B129" s="33"/>
      <c r="C129" s="43" t="s">
        <v>298</v>
      </c>
      <c r="D129" s="34" t="s">
        <v>79</v>
      </c>
      <c r="E129" s="34">
        <v>20</v>
      </c>
      <c r="F129" s="34">
        <v>2525</v>
      </c>
      <c r="G129" s="34">
        <v>70</v>
      </c>
      <c r="H129" s="34">
        <v>70</v>
      </c>
      <c r="I129" s="34">
        <v>20.3</v>
      </c>
      <c r="J129" s="34">
        <v>405.7</v>
      </c>
      <c r="K129" s="34">
        <v>20.100000000000001</v>
      </c>
      <c r="L129" s="34">
        <v>402.3</v>
      </c>
      <c r="M129" s="34">
        <v>13.45</v>
      </c>
      <c r="N129" s="36">
        <v>610</v>
      </c>
      <c r="P129" s="23">
        <f xml:space="preserve"> 0.266*F129*E129/10^3</f>
        <v>13.433000000000002</v>
      </c>
      <c r="Q129">
        <v>63.5</v>
      </c>
      <c r="R129">
        <f t="shared" si="4"/>
        <v>1023.5946000000001</v>
      </c>
    </row>
    <row r="130" spans="1:18" x14ac:dyDescent="0.25">
      <c r="A130" s="32" t="s">
        <v>297</v>
      </c>
      <c r="B130" s="33"/>
      <c r="C130" s="43" t="s">
        <v>298</v>
      </c>
      <c r="D130" s="34" t="s">
        <v>79</v>
      </c>
      <c r="E130" s="34">
        <v>20</v>
      </c>
      <c r="F130" s="34">
        <v>2525</v>
      </c>
      <c r="G130" s="34">
        <v>70</v>
      </c>
      <c r="H130" s="34">
        <v>70</v>
      </c>
      <c r="I130" s="34">
        <v>20.3</v>
      </c>
      <c r="J130" s="34">
        <v>405.7</v>
      </c>
      <c r="K130" s="34">
        <v>20.100000000000001</v>
      </c>
      <c r="L130" s="34">
        <v>402.3</v>
      </c>
      <c r="M130" s="34">
        <v>13.45</v>
      </c>
      <c r="N130" s="36">
        <v>610</v>
      </c>
      <c r="P130" s="23">
        <f xml:space="preserve"> 0.266*F130*E130/10^3</f>
        <v>13.433000000000002</v>
      </c>
      <c r="Q130">
        <v>63.5</v>
      </c>
      <c r="R130">
        <f t="shared" si="4"/>
        <v>1023.5946000000001</v>
      </c>
    </row>
    <row r="131" spans="1:18" x14ac:dyDescent="0.25">
      <c r="A131" s="32" t="s">
        <v>299</v>
      </c>
      <c r="B131" s="33"/>
      <c r="C131" s="43" t="s">
        <v>298</v>
      </c>
      <c r="D131" s="34" t="s">
        <v>79</v>
      </c>
      <c r="E131" s="34">
        <v>20</v>
      </c>
      <c r="F131" s="34">
        <v>2616.3000000000002</v>
      </c>
      <c r="G131" s="34">
        <v>70</v>
      </c>
      <c r="H131" s="34">
        <v>70</v>
      </c>
      <c r="I131" s="34">
        <v>21.1</v>
      </c>
      <c r="J131" s="34">
        <v>421</v>
      </c>
      <c r="K131" s="34">
        <v>20.8</v>
      </c>
      <c r="L131" s="34">
        <v>416.8</v>
      </c>
      <c r="M131" s="34">
        <v>13.93</v>
      </c>
      <c r="N131" s="36">
        <v>610</v>
      </c>
      <c r="P131" s="23">
        <f xml:space="preserve"> 0.266*F131*E131/10^3</f>
        <v>13.918716000000002</v>
      </c>
      <c r="Q131">
        <v>63.5</v>
      </c>
      <c r="R131">
        <f t="shared" si="4"/>
        <v>1060.6061592000001</v>
      </c>
    </row>
    <row r="132" spans="1:18" x14ac:dyDescent="0.25">
      <c r="A132" s="32" t="s">
        <v>299</v>
      </c>
      <c r="B132" s="33"/>
      <c r="C132" s="43" t="s">
        <v>298</v>
      </c>
      <c r="D132" s="34" t="s">
        <v>79</v>
      </c>
      <c r="E132" s="34">
        <v>20</v>
      </c>
      <c r="F132" s="34">
        <v>2616.3000000000002</v>
      </c>
      <c r="G132" s="34">
        <v>70</v>
      </c>
      <c r="H132" s="34">
        <v>70</v>
      </c>
      <c r="I132" s="34">
        <v>21.1</v>
      </c>
      <c r="J132" s="34">
        <v>421</v>
      </c>
      <c r="K132" s="34">
        <v>20.8</v>
      </c>
      <c r="L132" s="34">
        <v>416.8</v>
      </c>
      <c r="M132" s="34">
        <v>13.93</v>
      </c>
      <c r="N132" s="36">
        <v>610</v>
      </c>
      <c r="P132" s="23">
        <f xml:space="preserve"> 0.266*F132*E132/10^3</f>
        <v>13.918716000000002</v>
      </c>
      <c r="Q132">
        <v>63.5</v>
      </c>
      <c r="R132">
        <f t="shared" ref="R132:R151" si="7">Q132*P132*$T$2</f>
        <v>1060.6061592000001</v>
      </c>
    </row>
    <row r="133" spans="1:18" x14ac:dyDescent="0.25">
      <c r="A133" s="32" t="s">
        <v>300</v>
      </c>
      <c r="B133" s="33"/>
      <c r="C133" s="43" t="s">
        <v>282</v>
      </c>
      <c r="D133" s="34" t="s">
        <v>79</v>
      </c>
      <c r="E133" s="34">
        <v>20</v>
      </c>
      <c r="F133" s="34">
        <v>2554.5</v>
      </c>
      <c r="G133" s="34">
        <v>80</v>
      </c>
      <c r="H133" s="34">
        <v>80</v>
      </c>
      <c r="I133" s="34">
        <v>23.4</v>
      </c>
      <c r="J133" s="34">
        <v>467.2</v>
      </c>
      <c r="K133" s="34">
        <v>23.6</v>
      </c>
      <c r="L133" s="34">
        <v>471.2</v>
      </c>
      <c r="M133" s="34">
        <v>15.65</v>
      </c>
      <c r="N133" s="36">
        <v>560</v>
      </c>
      <c r="P133" s="23">
        <f xml:space="preserve"> 0.306*F133*E133/10^3</f>
        <v>15.63354</v>
      </c>
      <c r="Q133">
        <v>128.4</v>
      </c>
      <c r="R133">
        <f t="shared" si="7"/>
        <v>2408.8158432</v>
      </c>
    </row>
    <row r="134" spans="1:18" x14ac:dyDescent="0.25">
      <c r="A134" s="32" t="s">
        <v>301</v>
      </c>
      <c r="B134" s="33"/>
      <c r="C134" s="43" t="s">
        <v>294</v>
      </c>
      <c r="D134" s="34" t="s">
        <v>79</v>
      </c>
      <c r="E134" s="34">
        <v>20</v>
      </c>
      <c r="F134" s="34">
        <v>11980</v>
      </c>
      <c r="G134" s="34">
        <v>100</v>
      </c>
      <c r="H134" s="34">
        <v>150</v>
      </c>
      <c r="I134" s="34">
        <v>268.5</v>
      </c>
      <c r="J134" s="34">
        <v>5370.4</v>
      </c>
      <c r="K134" s="34">
        <v>259.60000000000002</v>
      </c>
      <c r="L134" s="34">
        <v>5191.2</v>
      </c>
      <c r="M134" s="34">
        <v>114.77</v>
      </c>
      <c r="N134" s="36">
        <v>610</v>
      </c>
      <c r="P134" s="23">
        <f xml:space="preserve"> 0.479*F134*E134/10^3</f>
        <v>114.7684</v>
      </c>
      <c r="Q134">
        <v>93.7</v>
      </c>
      <c r="R134">
        <f t="shared" si="7"/>
        <v>12904.558896</v>
      </c>
    </row>
    <row r="135" spans="1:18" x14ac:dyDescent="0.25">
      <c r="A135" s="32" t="s">
        <v>302</v>
      </c>
      <c r="B135" s="33"/>
      <c r="C135" s="43" t="s">
        <v>280</v>
      </c>
      <c r="D135" s="34" t="s">
        <v>79</v>
      </c>
      <c r="E135" s="34">
        <v>4</v>
      </c>
      <c r="F135" s="34">
        <v>11970</v>
      </c>
      <c r="G135" s="34">
        <v>200</v>
      </c>
      <c r="H135" s="34">
        <v>200</v>
      </c>
      <c r="I135" s="34">
        <v>577.29999999999995</v>
      </c>
      <c r="J135" s="34">
        <v>2309.3000000000002</v>
      </c>
      <c r="K135" s="34">
        <v>556.70000000000005</v>
      </c>
      <c r="L135" s="34">
        <v>2226.6999999999998</v>
      </c>
      <c r="M135" s="34">
        <v>36.659999999999997</v>
      </c>
      <c r="N135" s="36">
        <v>600</v>
      </c>
      <c r="P135" s="23">
        <f xml:space="preserve"> 0.766*F135*E135/10^3</f>
        <v>36.676079999999999</v>
      </c>
      <c r="Q135">
        <v>69.7</v>
      </c>
      <c r="R135">
        <f t="shared" si="7"/>
        <v>3067.5873311999999</v>
      </c>
    </row>
    <row r="136" spans="1:18" x14ac:dyDescent="0.25">
      <c r="A136" s="32" t="s">
        <v>303</v>
      </c>
      <c r="B136" s="33"/>
      <c r="C136" s="43" t="s">
        <v>282</v>
      </c>
      <c r="D136" s="34" t="s">
        <v>79</v>
      </c>
      <c r="E136" s="34">
        <v>8</v>
      </c>
      <c r="F136" s="34">
        <v>1976.4</v>
      </c>
      <c r="G136" s="34">
        <v>80</v>
      </c>
      <c r="H136" s="34">
        <v>80</v>
      </c>
      <c r="I136" s="34">
        <v>18</v>
      </c>
      <c r="J136" s="34">
        <v>144.19999999999999</v>
      </c>
      <c r="K136" s="34">
        <v>18.2</v>
      </c>
      <c r="L136" s="34">
        <v>145.80000000000001</v>
      </c>
      <c r="M136" s="34">
        <v>4.84</v>
      </c>
      <c r="N136" s="36">
        <v>560</v>
      </c>
      <c r="P136" s="23">
        <f xml:space="preserve"> 0.306*F136*E136/10^3</f>
        <v>4.8382272000000004</v>
      </c>
      <c r="Q136">
        <v>128.4</v>
      </c>
      <c r="R136">
        <f t="shared" si="7"/>
        <v>745.47404697600007</v>
      </c>
    </row>
    <row r="137" spans="1:18" x14ac:dyDescent="0.25">
      <c r="A137" s="32" t="s">
        <v>304</v>
      </c>
      <c r="B137" s="33"/>
      <c r="C137" s="43" t="s">
        <v>305</v>
      </c>
      <c r="D137" s="34" t="s">
        <v>83</v>
      </c>
      <c r="E137" s="34">
        <v>80</v>
      </c>
      <c r="F137" s="34">
        <v>50</v>
      </c>
      <c r="G137" s="34">
        <v>12</v>
      </c>
      <c r="H137" s="34">
        <v>12</v>
      </c>
      <c r="I137" s="34">
        <v>0</v>
      </c>
      <c r="J137" s="34">
        <v>3.2</v>
      </c>
      <c r="K137" s="34">
        <v>0</v>
      </c>
      <c r="L137" s="34">
        <v>3.2</v>
      </c>
      <c r="M137" s="34">
        <v>0.16</v>
      </c>
      <c r="N137" s="36"/>
      <c r="P137" s="23">
        <f xml:space="preserve"> 0.2*F137*E137/10^3</f>
        <v>0.8</v>
      </c>
      <c r="R137">
        <f t="shared" si="7"/>
        <v>0</v>
      </c>
    </row>
    <row r="138" spans="1:18" x14ac:dyDescent="0.25">
      <c r="A138" s="32" t="s">
        <v>306</v>
      </c>
      <c r="B138" s="33"/>
      <c r="C138" s="43" t="s">
        <v>287</v>
      </c>
      <c r="D138" s="34" t="s">
        <v>79</v>
      </c>
      <c r="E138" s="34">
        <v>20</v>
      </c>
      <c r="F138" s="34">
        <v>1506.5</v>
      </c>
      <c r="G138" s="34">
        <v>50</v>
      </c>
      <c r="H138" s="34">
        <v>50</v>
      </c>
      <c r="I138" s="34">
        <v>8.6999999999999993</v>
      </c>
      <c r="J138" s="34">
        <v>173.2</v>
      </c>
      <c r="K138" s="34">
        <v>8.1999999999999993</v>
      </c>
      <c r="L138" s="34">
        <v>164.4</v>
      </c>
      <c r="M138" s="34">
        <v>5.6</v>
      </c>
      <c r="N138" s="36">
        <v>675</v>
      </c>
      <c r="P138" s="23">
        <f t="shared" ref="P138:P143" si="8" xml:space="preserve"> 0.186*F138*E138/10^3</f>
        <v>5.6041800000000004</v>
      </c>
      <c r="Q138">
        <v>63.5</v>
      </c>
      <c r="R138">
        <f t="shared" si="7"/>
        <v>427.03851600000002</v>
      </c>
    </row>
    <row r="139" spans="1:18" x14ac:dyDescent="0.25">
      <c r="A139" s="32" t="s">
        <v>306</v>
      </c>
      <c r="B139" s="33"/>
      <c r="C139" s="43" t="s">
        <v>287</v>
      </c>
      <c r="D139" s="34" t="s">
        <v>79</v>
      </c>
      <c r="E139" s="34">
        <v>20</v>
      </c>
      <c r="F139" s="34">
        <v>1506.5</v>
      </c>
      <c r="G139" s="34">
        <v>50</v>
      </c>
      <c r="H139" s="34">
        <v>50</v>
      </c>
      <c r="I139" s="34">
        <v>8.6999999999999993</v>
      </c>
      <c r="J139" s="34">
        <v>173.2</v>
      </c>
      <c r="K139" s="34">
        <v>8.1999999999999993</v>
      </c>
      <c r="L139" s="34">
        <v>164.4</v>
      </c>
      <c r="M139" s="34">
        <v>5.6</v>
      </c>
      <c r="N139" s="36">
        <v>675</v>
      </c>
      <c r="P139" s="23">
        <f t="shared" si="8"/>
        <v>5.6041800000000004</v>
      </c>
      <c r="Q139">
        <v>63.5</v>
      </c>
      <c r="R139">
        <f t="shared" si="7"/>
        <v>427.03851600000002</v>
      </c>
    </row>
    <row r="140" spans="1:18" x14ac:dyDescent="0.25">
      <c r="A140" s="32" t="s">
        <v>307</v>
      </c>
      <c r="B140" s="33"/>
      <c r="C140" s="43" t="s">
        <v>287</v>
      </c>
      <c r="D140" s="34" t="s">
        <v>79</v>
      </c>
      <c r="E140" s="34">
        <v>20</v>
      </c>
      <c r="F140" s="34">
        <v>1674.2</v>
      </c>
      <c r="G140" s="34">
        <v>50</v>
      </c>
      <c r="H140" s="34">
        <v>50</v>
      </c>
      <c r="I140" s="34">
        <v>9.6</v>
      </c>
      <c r="J140" s="34">
        <v>192.5</v>
      </c>
      <c r="K140" s="34">
        <v>9.1</v>
      </c>
      <c r="L140" s="34">
        <v>182.7</v>
      </c>
      <c r="M140" s="34">
        <v>6.23</v>
      </c>
      <c r="N140" s="36">
        <v>675</v>
      </c>
      <c r="P140" s="23">
        <f t="shared" si="8"/>
        <v>6.2280240000000004</v>
      </c>
      <c r="Q140">
        <v>63.5</v>
      </c>
      <c r="R140">
        <f t="shared" si="7"/>
        <v>474.5754288</v>
      </c>
    </row>
    <row r="141" spans="1:18" x14ac:dyDescent="0.25">
      <c r="A141" s="32" t="s">
        <v>307</v>
      </c>
      <c r="B141" s="33"/>
      <c r="C141" s="43" t="s">
        <v>287</v>
      </c>
      <c r="D141" s="34" t="s">
        <v>79</v>
      </c>
      <c r="E141" s="34">
        <v>20</v>
      </c>
      <c r="F141" s="34">
        <v>1674.2</v>
      </c>
      <c r="G141" s="34">
        <v>50</v>
      </c>
      <c r="H141" s="34">
        <v>50</v>
      </c>
      <c r="I141" s="34">
        <v>9.6</v>
      </c>
      <c r="J141" s="34">
        <v>192.4</v>
      </c>
      <c r="K141" s="34">
        <v>9.1</v>
      </c>
      <c r="L141" s="34">
        <v>182.7</v>
      </c>
      <c r="M141" s="34">
        <v>6.23</v>
      </c>
      <c r="N141" s="36">
        <v>675</v>
      </c>
      <c r="P141" s="23">
        <f t="shared" si="8"/>
        <v>6.2280240000000004</v>
      </c>
      <c r="Q141">
        <v>63.5</v>
      </c>
      <c r="R141">
        <f t="shared" si="7"/>
        <v>474.5754288</v>
      </c>
    </row>
    <row r="142" spans="1:18" x14ac:dyDescent="0.25">
      <c r="A142" s="32" t="s">
        <v>308</v>
      </c>
      <c r="B142" s="33"/>
      <c r="C142" s="43" t="s">
        <v>287</v>
      </c>
      <c r="D142" s="34" t="s">
        <v>79</v>
      </c>
      <c r="E142" s="34">
        <v>20</v>
      </c>
      <c r="F142" s="34">
        <v>1832</v>
      </c>
      <c r="G142" s="34">
        <v>50</v>
      </c>
      <c r="H142" s="34">
        <v>50</v>
      </c>
      <c r="I142" s="34">
        <v>10.5</v>
      </c>
      <c r="J142" s="34">
        <v>210.6</v>
      </c>
      <c r="K142" s="34">
        <v>10</v>
      </c>
      <c r="L142" s="34">
        <v>199.9</v>
      </c>
      <c r="M142" s="34">
        <v>6.82</v>
      </c>
      <c r="N142" s="36">
        <v>675</v>
      </c>
      <c r="P142" s="23">
        <f t="shared" si="8"/>
        <v>6.8150399999999998</v>
      </c>
      <c r="Q142">
        <v>63.5</v>
      </c>
      <c r="R142">
        <f t="shared" si="7"/>
        <v>519.30604800000003</v>
      </c>
    </row>
    <row r="143" spans="1:18" x14ac:dyDescent="0.25">
      <c r="A143" s="32" t="s">
        <v>308</v>
      </c>
      <c r="B143" s="33"/>
      <c r="C143" s="43" t="s">
        <v>287</v>
      </c>
      <c r="D143" s="34" t="s">
        <v>79</v>
      </c>
      <c r="E143" s="34">
        <v>20</v>
      </c>
      <c r="F143" s="34">
        <v>1832</v>
      </c>
      <c r="G143" s="34">
        <v>50</v>
      </c>
      <c r="H143" s="34">
        <v>50</v>
      </c>
      <c r="I143" s="34">
        <v>10.5</v>
      </c>
      <c r="J143" s="34">
        <v>210.6</v>
      </c>
      <c r="K143" s="34">
        <v>10</v>
      </c>
      <c r="L143" s="34">
        <v>199.9</v>
      </c>
      <c r="M143" s="34">
        <v>6.82</v>
      </c>
      <c r="N143" s="36">
        <v>675</v>
      </c>
      <c r="P143" s="23">
        <f t="shared" si="8"/>
        <v>6.8150399999999998</v>
      </c>
      <c r="Q143">
        <v>63.5</v>
      </c>
      <c r="R143">
        <f t="shared" si="7"/>
        <v>519.30604800000003</v>
      </c>
    </row>
    <row r="144" spans="1:18" x14ac:dyDescent="0.25">
      <c r="A144" s="32" t="s">
        <v>309</v>
      </c>
      <c r="B144" s="33"/>
      <c r="C144" s="43" t="s">
        <v>305</v>
      </c>
      <c r="D144" s="34" t="s">
        <v>83</v>
      </c>
      <c r="E144" s="34">
        <v>24</v>
      </c>
      <c r="F144" s="34">
        <v>50</v>
      </c>
      <c r="G144" s="34">
        <v>12</v>
      </c>
      <c r="H144" s="34">
        <v>12</v>
      </c>
      <c r="I144" s="34">
        <v>0</v>
      </c>
      <c r="J144" s="34">
        <v>1</v>
      </c>
      <c r="K144" s="34">
        <v>0</v>
      </c>
      <c r="L144" s="34">
        <v>1</v>
      </c>
      <c r="M144" s="34">
        <v>0.05</v>
      </c>
      <c r="N144" s="36"/>
      <c r="P144" s="23">
        <f xml:space="preserve"> 0.2*F144*E144/10^3</f>
        <v>0.24</v>
      </c>
      <c r="R144">
        <f t="shared" si="7"/>
        <v>0</v>
      </c>
    </row>
    <row r="145" spans="1:20" x14ac:dyDescent="0.25">
      <c r="A145" s="32" t="s">
        <v>310</v>
      </c>
      <c r="B145" s="33"/>
      <c r="C145" s="43" t="s">
        <v>282</v>
      </c>
      <c r="D145" s="34" t="s">
        <v>79</v>
      </c>
      <c r="E145" s="34">
        <v>20</v>
      </c>
      <c r="F145" s="34">
        <v>2467.3000000000002</v>
      </c>
      <c r="G145" s="34">
        <v>80</v>
      </c>
      <c r="H145" s="34">
        <v>80</v>
      </c>
      <c r="I145" s="34">
        <v>22.6</v>
      </c>
      <c r="J145" s="34">
        <v>451.6</v>
      </c>
      <c r="K145" s="34">
        <v>22.8</v>
      </c>
      <c r="L145" s="34">
        <v>455.1</v>
      </c>
      <c r="M145" s="34">
        <v>15.11</v>
      </c>
      <c r="N145" s="36">
        <v>560</v>
      </c>
      <c r="P145" s="23">
        <f xml:space="preserve"> 0.306*F145*E145/10^3</f>
        <v>15.099876000000002</v>
      </c>
      <c r="Q145">
        <v>128.4</v>
      </c>
      <c r="R145">
        <f t="shared" si="7"/>
        <v>2326.5888940800005</v>
      </c>
    </row>
    <row r="146" spans="1:20" x14ac:dyDescent="0.25">
      <c r="A146" s="32" t="s">
        <v>311</v>
      </c>
      <c r="B146" s="33"/>
      <c r="C146" s="43" t="s">
        <v>312</v>
      </c>
      <c r="D146" s="34" t="s">
        <v>79</v>
      </c>
      <c r="E146" s="34">
        <v>10</v>
      </c>
      <c r="F146" s="34">
        <v>145</v>
      </c>
      <c r="G146" s="34">
        <v>120</v>
      </c>
      <c r="H146" s="34">
        <v>120</v>
      </c>
      <c r="I146" s="34">
        <v>3.9</v>
      </c>
      <c r="J146" s="34">
        <v>38.799999999999997</v>
      </c>
      <c r="K146" s="34">
        <v>3.8</v>
      </c>
      <c r="L146" s="34">
        <v>38.299999999999997</v>
      </c>
      <c r="M146" s="34">
        <v>0.65</v>
      </c>
      <c r="N146" s="36">
        <v>610</v>
      </c>
      <c r="P146" s="23">
        <f xml:space="preserve"> 0.446*F146*E146/10^3</f>
        <v>0.64670000000000005</v>
      </c>
      <c r="Q146">
        <v>69.7</v>
      </c>
      <c r="R146">
        <f t="shared" si="7"/>
        <v>54.089988000000005</v>
      </c>
    </row>
    <row r="147" spans="1:20" x14ac:dyDescent="0.25">
      <c r="A147" s="32" t="s">
        <v>313</v>
      </c>
      <c r="B147" s="33"/>
      <c r="C147" s="43" t="s">
        <v>282</v>
      </c>
      <c r="D147" s="34" t="s">
        <v>79</v>
      </c>
      <c r="E147" s="34">
        <v>2</v>
      </c>
      <c r="F147" s="34">
        <v>2032.1</v>
      </c>
      <c r="G147" s="34">
        <v>80</v>
      </c>
      <c r="H147" s="34">
        <v>80</v>
      </c>
      <c r="I147" s="34">
        <v>18.5</v>
      </c>
      <c r="J147" s="34">
        <v>37</v>
      </c>
      <c r="K147" s="34">
        <v>18.7</v>
      </c>
      <c r="L147" s="34">
        <v>37.5</v>
      </c>
      <c r="M147" s="34">
        <v>1.24</v>
      </c>
      <c r="N147" s="36">
        <v>560</v>
      </c>
      <c r="P147" s="23">
        <f xml:space="preserve"> 0.306*F147*E147/10^3</f>
        <v>1.2436452</v>
      </c>
      <c r="Q147">
        <v>128.4</v>
      </c>
      <c r="R147">
        <f t="shared" si="7"/>
        <v>191.62085241599999</v>
      </c>
    </row>
    <row r="148" spans="1:20" x14ac:dyDescent="0.25">
      <c r="A148" s="32" t="s">
        <v>314</v>
      </c>
      <c r="B148" s="33"/>
      <c r="C148" s="43" t="s">
        <v>282</v>
      </c>
      <c r="D148" s="34" t="s">
        <v>79</v>
      </c>
      <c r="E148" s="34">
        <v>8</v>
      </c>
      <c r="F148" s="34">
        <v>1920.6</v>
      </c>
      <c r="G148" s="34">
        <v>80</v>
      </c>
      <c r="H148" s="34">
        <v>80</v>
      </c>
      <c r="I148" s="34">
        <v>17.5</v>
      </c>
      <c r="J148" s="34">
        <v>140.19999999999999</v>
      </c>
      <c r="K148" s="34">
        <v>17.7</v>
      </c>
      <c r="L148" s="34">
        <v>141.69999999999999</v>
      </c>
      <c r="M148" s="34">
        <v>4.71</v>
      </c>
      <c r="N148" s="36">
        <v>560</v>
      </c>
      <c r="P148" s="23">
        <f xml:space="preserve"> 0.306*F148*E148/10^3</f>
        <v>4.7016287999999999</v>
      </c>
      <c r="Q148">
        <v>128.4</v>
      </c>
      <c r="R148">
        <f t="shared" si="7"/>
        <v>724.42696550400001</v>
      </c>
    </row>
    <row r="149" spans="1:20" x14ac:dyDescent="0.25">
      <c r="A149" s="32" t="s">
        <v>315</v>
      </c>
      <c r="B149" s="33"/>
      <c r="C149" s="43" t="s">
        <v>282</v>
      </c>
      <c r="D149" s="34" t="s">
        <v>79</v>
      </c>
      <c r="E149" s="34">
        <v>2</v>
      </c>
      <c r="F149" s="34">
        <v>1971.5</v>
      </c>
      <c r="G149" s="34">
        <v>80</v>
      </c>
      <c r="H149" s="34">
        <v>80</v>
      </c>
      <c r="I149" s="34">
        <v>18</v>
      </c>
      <c r="J149" s="34">
        <v>36</v>
      </c>
      <c r="K149" s="34">
        <v>18.2</v>
      </c>
      <c r="L149" s="34">
        <v>36.4</v>
      </c>
      <c r="M149" s="34">
        <v>1.21</v>
      </c>
      <c r="N149" s="36">
        <v>560</v>
      </c>
      <c r="P149" s="23">
        <f xml:space="preserve"> 0.306*F149*E149/10^3</f>
        <v>1.206558</v>
      </c>
      <c r="Q149">
        <v>128.4</v>
      </c>
      <c r="R149">
        <f t="shared" si="7"/>
        <v>185.90645664000002</v>
      </c>
    </row>
    <row r="150" spans="1:20" x14ac:dyDescent="0.25">
      <c r="A150" s="32" t="s">
        <v>316</v>
      </c>
      <c r="B150" s="33"/>
      <c r="C150" s="43" t="s">
        <v>312</v>
      </c>
      <c r="D150" s="34" t="s">
        <v>79</v>
      </c>
      <c r="E150" s="34">
        <v>2</v>
      </c>
      <c r="F150" s="34">
        <v>145</v>
      </c>
      <c r="G150" s="34">
        <v>120</v>
      </c>
      <c r="H150" s="34">
        <v>120</v>
      </c>
      <c r="I150" s="34">
        <v>4</v>
      </c>
      <c r="J150" s="34">
        <v>8</v>
      </c>
      <c r="K150" s="34">
        <v>3.8</v>
      </c>
      <c r="L150" s="34">
        <v>7.7</v>
      </c>
      <c r="M150" s="34">
        <v>0.13</v>
      </c>
      <c r="N150" s="36">
        <v>610</v>
      </c>
      <c r="P150" s="23">
        <f xml:space="preserve"> 0.446*F150*E150/10^3</f>
        <v>0.12934000000000001</v>
      </c>
      <c r="Q150">
        <v>69.7</v>
      </c>
      <c r="R150">
        <f t="shared" si="7"/>
        <v>10.8179976</v>
      </c>
    </row>
    <row r="151" spans="1:20" ht="14.95" thickBot="1" x14ac:dyDescent="0.3">
      <c r="A151" s="37"/>
      <c r="B151" s="38"/>
      <c r="C151" s="44"/>
      <c r="D151" s="39"/>
      <c r="E151" s="40">
        <v>1638</v>
      </c>
      <c r="F151" s="39"/>
      <c r="G151" s="39"/>
      <c r="H151" s="39"/>
      <c r="I151" s="39"/>
      <c r="J151" s="40">
        <v>42507</v>
      </c>
      <c r="K151" s="39"/>
      <c r="L151" s="40">
        <v>41331.4</v>
      </c>
      <c r="M151" s="39"/>
      <c r="N151" s="41"/>
      <c r="R151">
        <f t="shared" si="7"/>
        <v>0</v>
      </c>
    </row>
    <row r="152" spans="1:20" x14ac:dyDescent="0.25">
      <c r="P152" s="20">
        <f t="shared" ref="P152:R152" si="9">SUM(P3:P151)</f>
        <v>1026.1894494999999</v>
      </c>
      <c r="Q152" s="20"/>
      <c r="R152" s="20">
        <f t="shared" si="9"/>
        <v>105623.94687386403</v>
      </c>
      <c r="S152" s="48">
        <f>R152/P152</f>
        <v>102.92831106900212</v>
      </c>
      <c r="T152" s="18" t="s">
        <v>317</v>
      </c>
    </row>
  </sheetData>
  <autoFilter ref="A2:Q151" xr:uid="{F2F8F515-F7C3-4EEF-A6D1-31A0F9B71785}"/>
  <mergeCells count="1">
    <mergeCell ref="A1:N1"/>
  </mergeCells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�� 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poValidTillDays xmlns="67f72299-ac7c-4625-b403-a095ae70dd05" xsi:nil="true"/>
    <poPrice xmlns="67f72299-ac7c-4625-b403-a095ae70dd05" xsi:nil="true"/>
    <contactPhonePrimary xmlns="67f72299-ac7c-4625-b403-a095ae70dd05" xsi:nil="true"/>
    <pqOfferManager xmlns="67f72299-ac7c-4625-b403-a095ae70dd05" xsi:nil="true"/>
    <pqOfferManagerPhone xmlns="67f72299-ac7c-4625-b403-a095ae70dd05" xsi:nil="true"/>
    <pqBudgeterPhone xmlns="67f72299-ac7c-4625-b403-a095ae70dd05" xsi:nil="true"/>
    <poNumber xmlns="67f72299-ac7c-4625-b403-a095ae70dd05" xsi:nil="true"/>
    <pqBudgeterEMail xmlns="67f72299-ac7c-4625-b403-a095ae70dd05" xsi:nil="true"/>
    <formattedDate xmlns="67f72299-ac7c-4625-b403-a095ae70dd05" xsi:nil="true"/>
    <contactName xmlns="67f72299-ac7c-4625-b403-a095ae70dd05" xsi:nil="true"/>
    <contactEMail xmlns="67f72299-ac7c-4625-b403-a095ae70dd05" xsi:nil="true"/>
    <pqBudgeterJobTitle xmlns="67f72299-ac7c-4625-b403-a095ae70dd05" xsi:nil="true"/>
    <pqOfferManagerEMail xmlns="67f72299-ac7c-4625-b403-a095ae70dd05" xsi:nil="true"/>
    <pqBudgeter xmlns="67f72299-ac7c-4625-b403-a095ae70dd05" xsi:nil="true"/>
    <lcf76f155ced4ddcb4097134ff3c332f xmlns="4677cf2c-acb3-4c5f-9d0d-3ee5fdee7961">
      <Terms xmlns="http://schemas.microsoft.com/office/infopath/2007/PartnerControls"/>
    </lcf76f155ced4ddcb4097134ff3c332f>
    <pqAddress xmlns="67f72299-ac7c-4625-b403-a095ae70dd05" xsi:nil="true"/>
    <pqOfferManagerJobTitle xmlns="67f72299-ac7c-4625-b403-a095ae70dd05" xsi:nil="true"/>
    <Olulisusterasepakkumiseks xmlns="4677cf2c-acb3-4c5f-9d0d-3ee5fdee7961">false</Olulisusterasepakkumiseks>
    <poClient xmlns="67f72299-ac7c-4625-b403-a095ae70dd05" xsi:nil="true"/>
    <pqName xmlns="67f72299-ac7c-4625-b403-a095ae70dd05" xsi:nil="true"/>
    <TaxCatchAll xmlns="67f72299-ac7c-4625-b403-a095ae70dd05" xsi:nil="true"/>
  </documentManagement>
</p:properties>
</file>

<file path=customXml/item4.xml><?xml version="1.0" encoding="utf-8"?>
<ct:contentTypeSchema xmlns:ct="http://schemas.microsoft.com/office/2006/metadata/contentType" xmlns:ma="http://schemas.microsoft.com/office/2006/metadata/properties/metaAttributes" ct:_="" ma:_="" ma:contentTypeName="PriceOfferTemplate" ma:contentTypeID="0x0101003656FDA27A494BC092A9328040A274D000700830A3D05D564AB9A0E847634159A2" ma:contentTypeVersion="57" ma:contentTypeDescription="" ma:contentTypeScope="" ma:versionID="87c3dbe51772271734fe1e2416f60c52">
  <xsd:schema xmlns:xsd="http://www.w3.org/2001/XMLSchema" xmlns:xs="http://www.w3.org/2001/XMLSchema" xmlns:p="http://schemas.microsoft.com/office/2006/metadata/properties" xmlns:ns1="67f72299-ac7c-4625-b403-a095ae70dd05" xmlns:ns3="4677cf2c-acb3-4c5f-9d0d-3ee5fdee7961" targetNamespace="http://schemas.microsoft.com/office/2006/metadata/properties" ma:root="true" ma:fieldsID="e60cd5cfe6ae16653be0db2292fe0102" ns1:_="" ns3:_="">
    <xsd:import namespace="67f72299-ac7c-4625-b403-a095ae70dd05"/>
    <xsd:import namespace="4677cf2c-acb3-4c5f-9d0d-3ee5fdee7961"/>
    <xsd:element name="properties">
      <xsd:complexType>
        <xsd:sequence>
          <xsd:element name="documentManagement">
            <xsd:complexType>
              <xsd:all>
                <xsd:element ref="ns1:contactName" minOccurs="0"/>
                <xsd:element ref="ns1:contactPhonePrimary" minOccurs="0"/>
                <xsd:element ref="ns1:contactEMail" minOccurs="0"/>
                <xsd:element ref="ns1:poClient" minOccurs="0"/>
                <xsd:element ref="ns1:formattedDate" minOccurs="0"/>
                <xsd:element ref="ns1:poNumber" minOccurs="0"/>
                <xsd:element ref="ns1:pqName" minOccurs="0"/>
                <xsd:element ref="ns1:pqAddress" minOccurs="0"/>
                <xsd:element ref="ns1:poPrice" minOccurs="0"/>
                <xsd:element ref="ns1:poValidTillDays" minOccurs="0"/>
                <xsd:element ref="ns1:pqOfferManager" minOccurs="0"/>
                <xsd:element ref="ns1:pqOfferManagerJobTitle" minOccurs="0"/>
                <xsd:element ref="ns1:pqOfferManagerPhone" minOccurs="0"/>
                <xsd:element ref="ns1:pqOfferManagerEMail" minOccurs="0"/>
                <xsd:element ref="ns1:pqBudgeter" minOccurs="0"/>
                <xsd:element ref="ns1:pqBudgeterJobTitle" minOccurs="0"/>
                <xsd:element ref="ns1:pqBudgeterPhone" minOccurs="0"/>
                <xsd:element ref="ns1:pqBudgeterEMail" minOccurs="0"/>
                <xsd:element ref="ns3:MediaServiceMetadata" minOccurs="0"/>
                <xsd:element ref="ns3:MediaServiceFastMetadata" minOccurs="0"/>
                <xsd:element ref="ns1:SharedWithUsers" minOccurs="0"/>
                <xsd:element ref="ns1:SharedWithDetails" minOccurs="0"/>
                <xsd:element ref="ns3:lcf76f155ced4ddcb4097134ff3c332f" minOccurs="0"/>
                <xsd:element ref="ns1:TaxCatchAll" minOccurs="0"/>
                <xsd:element ref="ns3:MediaServiceDateTaken" minOccurs="0"/>
                <xsd:element ref="ns3:MediaServiceGenerationTime" minOccurs="0"/>
                <xsd:element ref="ns3:MediaServiceEventHashCode" minOccurs="0"/>
                <xsd:element ref="ns3:MediaServiceOCR" minOccurs="0"/>
                <xsd:element ref="ns3:Olulisusterasepakkumiseks" minOccurs="0"/>
                <xsd:element ref="ns3:MediaServiceLocation" minOccurs="0"/>
                <xsd:element ref="ns3:MediaServiceObjectDetectorVersions" minOccurs="0"/>
                <xsd:element ref="ns3:MediaLengthInSeconds" minOccurs="0"/>
                <xsd:element ref="ns3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7f72299-ac7c-4625-b403-a095ae70dd05" elementFormDefault="qualified">
    <xsd:import namespace="http://schemas.microsoft.com/office/2006/documentManagement/types"/>
    <xsd:import namespace="http://schemas.microsoft.com/office/infopath/2007/PartnerControls"/>
    <xsd:element name="contactName" ma:index="0" nillable="true" ma:displayName="Kontakti nimi" ma:internalName="contactName" ma:readOnly="false">
      <xsd:simpleType>
        <xsd:restriction base="dms:Text"/>
      </xsd:simpleType>
    </xsd:element>
    <xsd:element name="contactPhonePrimary" ma:index="1" nillable="true" ma:displayName="Kontakti mobiil" ma:internalName="contactPhonePrimary" ma:readOnly="false">
      <xsd:simpleType>
        <xsd:restriction base="dms:Text"/>
      </xsd:simpleType>
    </xsd:element>
    <xsd:element name="contactEMail" ma:index="2" nillable="true" ma:displayName="Kontakti e-mail" ma:internalName="contactEMail" ma:readOnly="false">
      <xsd:simpleType>
        <xsd:restriction base="dms:Text"/>
      </xsd:simpleType>
    </xsd:element>
    <xsd:element name="poClient" ma:index="3" nillable="true" ma:displayName="Kliendi nimi" ma:internalName="poClient" ma:readOnly="false">
      <xsd:simpleType>
        <xsd:restriction base="dms:Text"/>
      </xsd:simpleType>
    </xsd:element>
    <xsd:element name="formattedDate" ma:index="4" nillable="true" ma:displayName="Kuupäev" ma:internalName="formattedDate" ma:readOnly="false">
      <xsd:simpleType>
        <xsd:restriction base="dms:Text"/>
      </xsd:simpleType>
    </xsd:element>
    <xsd:element name="poNumber" ma:index="5" nillable="true" ma:displayName="DSP Kood" ma:internalName="poNumber" ma:readOnly="false">
      <xsd:simpleType>
        <xsd:restriction base="dms:Text"/>
      </xsd:simpleType>
    </xsd:element>
    <xsd:element name="pqName" ma:index="6" nillable="true" ma:displayName="Objekti nimi" ma:internalName="pqName" ma:readOnly="false">
      <xsd:simpleType>
        <xsd:restriction base="dms:Text"/>
      </xsd:simpleType>
    </xsd:element>
    <xsd:element name="pqAddress" ma:index="7" nillable="true" ma:displayName="Objekti aadress" ma:internalName="pqAddress" ma:readOnly="false">
      <xsd:simpleType>
        <xsd:restriction base="dms:Text"/>
      </xsd:simpleType>
    </xsd:element>
    <xsd:element name="poPrice" ma:index="8" nillable="true" ma:displayName="Hind (km-ta)" ma:internalName="poPrice" ma:readOnly="false">
      <xsd:simpleType>
        <xsd:restriction base="dms:Text"/>
      </xsd:simpleType>
    </xsd:element>
    <xsd:element name="poValidTillDays" ma:index="9" nillable="true" ma:displayName="Kehtivus päevades" ma:internalName="poValidTillDays" ma:readOnly="false">
      <xsd:simpleType>
        <xsd:restriction base="dms:Text"/>
      </xsd:simpleType>
    </xsd:element>
    <xsd:element name="pqOfferManager" ma:index="10" nillable="true" ma:displayName="Pakkumise juht" ma:internalName="pqOfferManager" ma:readOnly="false">
      <xsd:simpleType>
        <xsd:restriction base="dms:Text"/>
      </xsd:simpleType>
    </xsd:element>
    <xsd:element name="pqOfferManagerJobTitle" ma:index="11" nillable="true" ma:displayName="Pakkumise juhi positsioon" ma:internalName="pqOfferManagerJobTitle" ma:readOnly="false">
      <xsd:simpleType>
        <xsd:restriction base="dms:Text"/>
      </xsd:simpleType>
    </xsd:element>
    <xsd:element name="pqOfferManagerPhone" ma:index="12" nillable="true" ma:displayName="Pakkumise juhi mobiil" ma:internalName="pqOfferManagerPhone" ma:readOnly="false">
      <xsd:simpleType>
        <xsd:restriction base="dms:Text"/>
      </xsd:simpleType>
    </xsd:element>
    <xsd:element name="pqOfferManagerEMail" ma:index="13" nillable="true" ma:displayName="Pakkumise juhi e-mail" ma:internalName="pqOfferManagerEMail" ma:readOnly="false">
      <xsd:simpleType>
        <xsd:restriction base="dms:Text"/>
      </xsd:simpleType>
    </xsd:element>
    <xsd:element name="pqBudgeter" ma:index="14" nillable="true" ma:displayName="Eelarvestaja" ma:internalName="pqBudgeter" ma:readOnly="false">
      <xsd:simpleType>
        <xsd:restriction base="dms:Text"/>
      </xsd:simpleType>
    </xsd:element>
    <xsd:element name="pqBudgeterJobTitle" ma:index="15" nillable="true" ma:displayName="Eelarvestaja positsioon" ma:internalName="pqBudgeterJobTitle" ma:readOnly="false">
      <xsd:simpleType>
        <xsd:restriction base="dms:Text"/>
      </xsd:simpleType>
    </xsd:element>
    <xsd:element name="pqBudgeterPhone" ma:index="16" nillable="true" ma:displayName="Eelarvestaja mobiil" ma:internalName="pqBudgeterPhone" ma:readOnly="false">
      <xsd:simpleType>
        <xsd:restriction base="dms:Text"/>
      </xsd:simpleType>
    </xsd:element>
    <xsd:element name="pqBudgeterEMail" ma:index="17" nillable="true" ma:displayName="Eelarvestaja e-mail" ma:internalName="pqBudgeterEMail" ma:readOnly="false">
      <xsd:simpleType>
        <xsd:restriction base="dms:Text"/>
      </xsd:simpleType>
    </xsd:element>
    <xsd:element name="SharedWithUsers" ma:index="28" nillable="true" ma:displayName="Ühiskasutuses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9" nillable="true" ma:displayName="Ühiskasutusse andmise üksikasjad" ma:internalName="SharedWithDetails" ma:readOnly="true">
      <xsd:simpleType>
        <xsd:restriction base="dms:Note">
          <xsd:maxLength value="255"/>
        </xsd:restriction>
      </xsd:simpleType>
    </xsd:element>
    <xsd:element name="TaxCatchAll" ma:index="32" nillable="true" ma:displayName="Taxonomy Catch All Column" ma:hidden="true" ma:list="{896ab889-f28e-42ce-8acc-e4c65d811d6c}" ma:internalName="TaxCatchAll" ma:showField="CatchAllData" ma:web="67f72299-ac7c-4625-b403-a095ae70dd0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677cf2c-acb3-4c5f-9d0d-3ee5fdee796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26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27" nillable="true" ma:displayName="MediaServiceFastMetadata" ma:hidden="true" ma:internalName="MediaServiceFastMetadata" ma:readOnly="true">
      <xsd:simpleType>
        <xsd:restriction base="dms:Note"/>
      </xsd:simpleType>
    </xsd:element>
    <xsd:element name="lcf76f155ced4ddcb4097134ff3c332f" ma:index="31" nillable="true" ma:taxonomy="true" ma:internalName="lcf76f155ced4ddcb4097134ff3c332f" ma:taxonomyFieldName="MediaServiceImageTags" ma:displayName="Pildisildid" ma:readOnly="false" ma:fieldId="{5cf76f15-5ced-4ddc-b409-7134ff3c332f}" ma:taxonomyMulti="true" ma:sspId="7917b355-1b09-41e2-8b23-d37907ecb1fb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33" nillable="true" ma:displayName="MediaServiceDateTaken" ma:hidden="true" ma:internalName="MediaServiceDateTaken" ma:readOnly="true">
      <xsd:simpleType>
        <xsd:restriction base="dms:Text"/>
      </xsd:simpleType>
    </xsd:element>
    <xsd:element name="MediaServiceGenerationTime" ma:index="3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3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3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Olulisusterasepakkumiseks" ma:index="37" nillable="true" ma:displayName="Olulisus terase pakkumiseks" ma:default="0" ma:format="Dropdown" ma:internalName="Olulisusterasepakkumiseks">
      <xsd:simpleType>
        <xsd:restriction base="dms:Boolean"/>
      </xsd:simpleType>
    </xsd:element>
    <xsd:element name="MediaServiceLocation" ma:index="38" nillable="true" ma:displayName="Location" ma:description="" ma:indexed="true" ma:internalName="MediaServiceLocation" ma:readOnly="true">
      <xsd:simpleType>
        <xsd:restriction base="dms:Text"/>
      </xsd:simpleType>
    </xsd:element>
    <xsd:element name="MediaServiceObjectDetectorVersions" ma:index="39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  <xsd:element name="MediaLengthInSeconds" ma:index="40" nillable="true" ma:displayName="MediaLengthInSeconds" ma:hidden="true" ma:internalName="MediaLengthInSeconds" ma:readOnly="true">
      <xsd:simpleType>
        <xsd:restriction base="dms:Unknown"/>
      </xsd:simpleType>
    </xsd:element>
    <xsd:element name="MediaServiceSearchProperties" ma:index="41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24" ma:displayName="Sisutüüp"/>
        <xsd:element ref="dc:title" minOccurs="0" maxOccurs="1" ma:index="20" ma:displayName="Pealkiri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8DA3E679-A0E1-43FC-B7A6-E495DABBE7D7}">
  <ds:schemaRefs>
    <ds:schemaRef ds:uri="http://schemas.microsoft.com/DataMashup"/>
  </ds:schemaRefs>
</ds:datastoreItem>
</file>

<file path=customXml/itemProps2.xml><?xml version="1.0" encoding="utf-8"?>
<ds:datastoreItem xmlns:ds="http://schemas.openxmlformats.org/officeDocument/2006/customXml" ds:itemID="{01C3C3D4-FC81-4278-8235-5D6FFEA35B3C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65716432-2347-4A32-9368-F26265C6E9FF}">
  <ds:schemaRefs>
    <ds:schemaRef ds:uri="http://purl.org/dc/elements/1.1/"/>
    <ds:schemaRef ds:uri="http://schemas.microsoft.com/office/infopath/2007/PartnerControls"/>
    <ds:schemaRef ds:uri="http://purl.org/dc/dcmitype/"/>
    <ds:schemaRef ds:uri="http://schemas.microsoft.com/office/2006/documentManagement/types"/>
    <ds:schemaRef ds:uri="4677cf2c-acb3-4c5f-9d0d-3ee5fdee7961"/>
    <ds:schemaRef ds:uri="http://schemas.microsoft.com/office/2006/metadata/properties"/>
    <ds:schemaRef ds:uri="http://purl.org/dc/terms/"/>
    <ds:schemaRef ds:uri="http://www.w3.org/XML/1998/namespace"/>
    <ds:schemaRef ds:uri="http://schemas.openxmlformats.org/package/2006/metadata/core-properties"/>
    <ds:schemaRef ds:uri="67f72299-ac7c-4625-b403-a095ae70dd05"/>
  </ds:schemaRefs>
</ds:datastoreItem>
</file>

<file path=customXml/itemProps4.xml><?xml version="1.0" encoding="utf-8"?>
<ds:datastoreItem xmlns:ds="http://schemas.openxmlformats.org/officeDocument/2006/customXml" ds:itemID="{2CBCF265-AAEF-48AB-94D5-5A7ED7504FB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67f72299-ac7c-4625-b403-a095ae70dd05"/>
    <ds:schemaRef ds:uri="4677cf2c-acb3-4c5f-9d0d-3ee5fdee7961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18</vt:i4>
      </vt:variant>
    </vt:vector>
  </HeadingPairs>
  <TitlesOfParts>
    <vt:vector size="28" baseType="lpstr">
      <vt:lpstr>Data</vt:lpstr>
      <vt:lpstr>Koostamine</vt:lpstr>
      <vt:lpstr>Gaasilõikus</vt:lpstr>
      <vt:lpstr>Saagimine</vt:lpstr>
      <vt:lpstr>Materjalid</vt:lpstr>
      <vt:lpstr>Pakkeleht</vt:lpstr>
      <vt:lpstr>Pakkumistabel</vt:lpstr>
      <vt:lpstr>Terasehind</vt:lpstr>
      <vt:lpstr>Tuletõke</vt:lpstr>
      <vt:lpstr>Tuletõkke R90</vt:lpstr>
      <vt:lpstr>firmakulu</vt:lpstr>
      <vt:lpstr>Koostamine!Kuupäev</vt:lpstr>
      <vt:lpstr>null</vt:lpstr>
      <vt:lpstr>Koostamine!Number</vt:lpstr>
      <vt:lpstr>pakendus</vt:lpstr>
      <vt:lpstr>Gaasilõikus!Print_Area</vt:lpstr>
      <vt:lpstr>Koostamine!Print_Area</vt:lpstr>
      <vt:lpstr>Materjalid!Print_Area</vt:lpstr>
      <vt:lpstr>Pakkeleht!Print_Area</vt:lpstr>
      <vt:lpstr>Saagimine!Print_Area</vt:lpstr>
      <vt:lpstr>Gaasilõikus!Print_Titles</vt:lpstr>
      <vt:lpstr>Koostamine!Print_Titles</vt:lpstr>
      <vt:lpstr>Materjalid!Print_Titles</vt:lpstr>
      <vt:lpstr>Pakkeleht!Print_Titles</vt:lpstr>
      <vt:lpstr>Saagimine!Print_Titles</vt:lpstr>
      <vt:lpstr>Zink</vt:lpstr>
      <vt:lpstr>Koostamine!Tellija</vt:lpstr>
      <vt:lpstr>Koostamine!Toode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Tarmo Aigro</dc:creator>
  <cp:keywords/>
  <dc:description/>
  <cp:lastModifiedBy>Madis Tuuling</cp:lastModifiedBy>
  <cp:revision/>
  <dcterms:created xsi:type="dcterms:W3CDTF">2009-04-04T10:52:59Z</dcterms:created>
  <dcterms:modified xsi:type="dcterms:W3CDTF">2026-07-16T10:45:49Z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0x0101003656FDA27A494BC092A9328040A274D000700830A3D05D564AB9A0E847634159A2</vt:lpwstr>
  </property>
  <property fmtid="{D5CDD505-2E9C-101B-9397-08002B2CF9AE}" pid="3" name="MediaServiceImageTags">
    <vt:lpwstr/>
  </property>
</Properties>
</file>